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E:\D Drive Data\Rishi\learning\PMP\Books\"/>
    </mc:Choice>
  </mc:AlternateContent>
  <xr:revisionPtr revIDLastSave="0" documentId="8_{53745106-948A-4189-A6B2-B91752D9D822}" xr6:coauthVersionLast="47" xr6:coauthVersionMax="47" xr10:uidLastSave="{00000000-0000-0000-0000-000000000000}"/>
  <bookViews>
    <workbookView xWindow="-110" yWindow="-110" windowWidth="19420" windowHeight="10300" tabRatio="696" xr2:uid="{41BFD483-69BD-4569-A248-E7C52162C09E}"/>
  </bookViews>
  <sheets>
    <sheet name="Definations" sheetId="22" r:id="rId1"/>
    <sheet name="Data" sheetId="1" r:id="rId2"/>
    <sheet name="Summary" sheetId="4" r:id="rId3"/>
    <sheet name="All" sheetId="7" r:id="rId4"/>
    <sheet name="PMBOK" sheetId="8" r:id="rId5"/>
    <sheet name="Sheet9" sheetId="9" r:id="rId6"/>
    <sheet name="Answers WHY" sheetId="20" r:id="rId7"/>
    <sheet name="Others" sheetId="17" r:id="rId8"/>
    <sheet name="Tests" sheetId="18" r:id="rId9"/>
    <sheet name="math" sheetId="6" r:id="rId10"/>
    <sheet name="Terms" sheetId="3" r:id="rId11"/>
    <sheet name="Terms 2" sheetId="10" r:id="rId12"/>
    <sheet name="ITTO" sheetId="16" r:id="rId13"/>
    <sheet name="Rita Quick test" sheetId="14" r:id="rId14"/>
    <sheet name="Checking outcomes" sheetId="11" r:id="rId15"/>
    <sheet name="Meanings" sheetId="12" r:id="rId16"/>
  </sheets>
  <definedNames>
    <definedName name="_xlnm._FilterDatabase" localSheetId="14" hidden="1">'Checking outcomes'!$B$2:$D$40</definedName>
    <definedName name="_xlnm._FilterDatabase" localSheetId="1" hidden="1">Data!$A$1:$W$1727</definedName>
    <definedName name="_xlnm._FilterDatabase" localSheetId="5" hidden="1">Sheet9!$H$2:$I$53</definedName>
    <definedName name="_xlnm._FilterDatabase" localSheetId="10" hidden="1">Terms!$C$1:$E$336</definedName>
    <definedName name="_xlnm._FilterDatabase" localSheetId="11" hidden="1">'Terms 2'!$B$2:$D$688</definedName>
    <definedName name="_xlnm._FilterDatabase" localSheetId="8" hidden="1">Tests!$C$2:$I$388</definedName>
  </definedNames>
  <calcPr calcId="191029"/>
  <pivotCaches>
    <pivotCache cacheId="0" r:id="rId17"/>
    <pivotCache cacheId="1" r:id="rId18"/>
    <pivotCache cacheId="2"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8" l="1"/>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118" i="18"/>
  <c r="B119" i="18"/>
  <c r="B120" i="18"/>
  <c r="B121" i="18"/>
  <c r="B122" i="18"/>
  <c r="B123" i="18"/>
  <c r="B124" i="18"/>
  <c r="B125" i="18"/>
  <c r="B126" i="18"/>
  <c r="B127" i="18"/>
  <c r="B128" i="18"/>
  <c r="B129" i="18"/>
  <c r="B130" i="18"/>
  <c r="B131" i="18"/>
  <c r="B132" i="18"/>
  <c r="B133" i="18"/>
  <c r="B134" i="18"/>
  <c r="B135" i="18"/>
  <c r="B136" i="18"/>
  <c r="B137" i="18"/>
  <c r="B138" i="18"/>
  <c r="B139" i="18"/>
  <c r="B140" i="18"/>
  <c r="B141" i="18"/>
  <c r="B142" i="18"/>
  <c r="B143" i="18"/>
  <c r="B144" i="18"/>
  <c r="B145" i="18"/>
  <c r="B146" i="18"/>
  <c r="B147" i="18"/>
  <c r="B148" i="18"/>
  <c r="B149" i="18"/>
  <c r="B150" i="18"/>
  <c r="B151" i="18"/>
  <c r="B152" i="18"/>
  <c r="B153" i="18"/>
  <c r="B154" i="18"/>
  <c r="B155" i="18"/>
  <c r="B156" i="18"/>
  <c r="B157" i="18"/>
  <c r="B158" i="18"/>
  <c r="B159" i="18"/>
  <c r="B160" i="18"/>
  <c r="B161" i="18"/>
  <c r="B162" i="18"/>
  <c r="B163" i="18"/>
  <c r="B164" i="18"/>
  <c r="B165" i="18"/>
  <c r="B166" i="18"/>
  <c r="B167" i="18"/>
  <c r="B168" i="18"/>
  <c r="B169" i="18"/>
  <c r="B170" i="18"/>
  <c r="B171" i="18"/>
  <c r="B172" i="18"/>
  <c r="B173" i="18"/>
  <c r="B174" i="18"/>
  <c r="B175" i="18"/>
  <c r="B176" i="18"/>
  <c r="B177" i="18"/>
  <c r="B178" i="18"/>
  <c r="B179" i="18"/>
  <c r="B180" i="18"/>
  <c r="B181" i="18"/>
  <c r="B182" i="18"/>
  <c r="B183" i="18"/>
  <c r="B184" i="18"/>
  <c r="B185" i="18"/>
  <c r="B186" i="18"/>
  <c r="B187" i="18"/>
  <c r="B188" i="18"/>
  <c r="B189" i="18"/>
  <c r="B190" i="18"/>
  <c r="B191" i="18"/>
  <c r="B192" i="18"/>
  <c r="B193" i="18"/>
  <c r="B194" i="18"/>
  <c r="B195" i="18"/>
  <c r="B196" i="18"/>
  <c r="B197" i="18"/>
  <c r="B198" i="18"/>
  <c r="B199" i="18"/>
  <c r="B200" i="18"/>
  <c r="B201" i="18"/>
  <c r="B202" i="18"/>
  <c r="B203" i="18"/>
  <c r="B204" i="18"/>
  <c r="B205" i="18"/>
  <c r="B206" i="18"/>
  <c r="B207" i="18"/>
  <c r="B208" i="18"/>
  <c r="B209" i="18"/>
  <c r="B210" i="18"/>
  <c r="B211" i="18"/>
  <c r="B212" i="18"/>
  <c r="B213" i="18"/>
  <c r="B214" i="18"/>
  <c r="B215" i="18"/>
  <c r="B216" i="18"/>
  <c r="B217" i="18"/>
  <c r="B218" i="18"/>
  <c r="B219" i="18"/>
  <c r="B220" i="18"/>
  <c r="B221" i="18"/>
  <c r="B222" i="18"/>
  <c r="B223" i="18"/>
  <c r="B224" i="18"/>
  <c r="B225" i="18"/>
  <c r="B226" i="18"/>
  <c r="B227" i="18"/>
  <c r="B228" i="18"/>
  <c r="B229" i="18"/>
  <c r="B230" i="18"/>
  <c r="B231" i="18"/>
  <c r="B232" i="18"/>
  <c r="B233" i="18"/>
  <c r="B234" i="18"/>
  <c r="B235" i="18"/>
  <c r="B236" i="18"/>
  <c r="B237" i="18"/>
  <c r="B238" i="18"/>
  <c r="B239" i="18"/>
  <c r="B240" i="18"/>
  <c r="B241" i="18"/>
  <c r="B242" i="18"/>
  <c r="B243" i="18"/>
  <c r="B244" i="18"/>
  <c r="B245" i="18"/>
  <c r="B246" i="18"/>
  <c r="B247" i="18"/>
  <c r="B248" i="18"/>
  <c r="B249" i="18"/>
  <c r="B250" i="18"/>
  <c r="B251" i="18"/>
  <c r="B252" i="18"/>
  <c r="B253" i="18"/>
  <c r="B254" i="18"/>
  <c r="B255" i="18"/>
  <c r="B256" i="18"/>
  <c r="B257" i="18"/>
  <c r="B258" i="18"/>
  <c r="B259" i="18"/>
  <c r="B260" i="18"/>
  <c r="B261" i="18"/>
  <c r="B262" i="18"/>
  <c r="B263" i="18"/>
  <c r="B264" i="18"/>
  <c r="B265" i="18"/>
  <c r="B266" i="18"/>
  <c r="B267" i="18"/>
  <c r="B268" i="18"/>
  <c r="B269" i="18"/>
  <c r="B270" i="18"/>
  <c r="B271" i="18"/>
  <c r="B272" i="18"/>
  <c r="B273" i="18"/>
  <c r="B274" i="18"/>
  <c r="B275" i="18"/>
  <c r="B276" i="18"/>
  <c r="B277" i="18"/>
  <c r="B278" i="18"/>
  <c r="B279" i="18"/>
  <c r="B280" i="18"/>
  <c r="B281" i="18"/>
  <c r="B282" i="18"/>
  <c r="B283" i="18"/>
  <c r="B284" i="18"/>
  <c r="B285" i="18"/>
  <c r="B286" i="18"/>
  <c r="B287" i="18"/>
  <c r="B288" i="18"/>
  <c r="B289" i="18"/>
  <c r="B290" i="18"/>
  <c r="B291" i="18"/>
  <c r="B292" i="18"/>
  <c r="B293" i="18"/>
  <c r="B294" i="18"/>
  <c r="B295" i="18"/>
  <c r="B296" i="18"/>
  <c r="B297" i="18"/>
  <c r="B298" i="18"/>
  <c r="B299" i="18"/>
  <c r="B300" i="18"/>
  <c r="B301" i="18"/>
  <c r="B302" i="18"/>
  <c r="B303" i="18"/>
  <c r="B304" i="18"/>
  <c r="B305" i="18"/>
  <c r="B306" i="18"/>
  <c r="B307" i="18"/>
  <c r="B308" i="18"/>
  <c r="B309" i="18"/>
  <c r="B310" i="18"/>
  <c r="B311" i="18"/>
  <c r="B312" i="18"/>
  <c r="B313" i="18"/>
  <c r="B314" i="18"/>
  <c r="B315" i="18"/>
  <c r="B316" i="18"/>
  <c r="B317" i="18"/>
  <c r="B318" i="18"/>
  <c r="B319" i="18"/>
  <c r="B320" i="18"/>
  <c r="B321" i="18"/>
  <c r="B322" i="18"/>
  <c r="B323" i="18"/>
  <c r="B324" i="18"/>
  <c r="B325" i="18"/>
  <c r="B326" i="18"/>
  <c r="B327" i="18"/>
  <c r="B328" i="18"/>
  <c r="B329" i="18"/>
  <c r="B330" i="18"/>
  <c r="B331" i="18"/>
  <c r="B332" i="18"/>
  <c r="B333" i="18"/>
  <c r="B334" i="18"/>
  <c r="B335" i="18"/>
  <c r="B336" i="18"/>
  <c r="B337" i="18"/>
  <c r="B338" i="18"/>
  <c r="B339" i="18"/>
  <c r="B340" i="18"/>
  <c r="B341" i="18"/>
  <c r="B342" i="18"/>
  <c r="B343" i="18"/>
  <c r="B344" i="18"/>
  <c r="B345" i="18"/>
  <c r="B346" i="18"/>
  <c r="B347" i="18"/>
  <c r="B348" i="18"/>
  <c r="B349" i="18"/>
  <c r="B350" i="18"/>
  <c r="B351" i="18"/>
  <c r="B352" i="18"/>
  <c r="B353" i="18"/>
  <c r="B354" i="18"/>
  <c r="B355" i="18"/>
  <c r="B356" i="18"/>
  <c r="B357" i="18"/>
  <c r="B358" i="18"/>
  <c r="B359" i="18"/>
  <c r="B360" i="18"/>
  <c r="B361" i="18"/>
  <c r="B362" i="18"/>
  <c r="B363" i="18"/>
  <c r="B364" i="18"/>
  <c r="B365" i="18"/>
  <c r="B366" i="18"/>
  <c r="B367" i="18"/>
  <c r="B368" i="18"/>
  <c r="B369" i="18"/>
  <c r="B370" i="18"/>
  <c r="B371" i="18"/>
  <c r="B372" i="18"/>
  <c r="B373" i="18"/>
  <c r="B374" i="18"/>
  <c r="B375" i="18"/>
  <c r="B376" i="18"/>
  <c r="B377" i="18"/>
  <c r="B378" i="18"/>
  <c r="B379" i="18"/>
  <c r="B380" i="18"/>
  <c r="B381" i="18"/>
  <c r="B382" i="18"/>
  <c r="B383" i="18"/>
  <c r="B384" i="18"/>
  <c r="B385" i="18"/>
  <c r="B386" i="18"/>
  <c r="B387" i="18"/>
  <c r="B388" i="18"/>
  <c r="B3" i="18"/>
  <c r="I237" i="18"/>
  <c r="E237" i="18" a="1"/>
  <c r="E237" i="18" s="1"/>
  <c r="F237" i="18" a="1"/>
  <c r="F237" i="18" s="1"/>
  <c r="E388" i="18" a="1"/>
  <c r="E388" i="18" s="1"/>
  <c r="E387" i="18" a="1"/>
  <c r="E387" i="18" s="1"/>
  <c r="E386" i="18" a="1"/>
  <c r="E386" i="18" s="1"/>
  <c r="E385" i="18" a="1"/>
  <c r="E385" i="18" s="1"/>
  <c r="E384" i="18" a="1"/>
  <c r="E384" i="18" s="1"/>
  <c r="E383" i="18" a="1"/>
  <c r="E383" i="18" s="1"/>
  <c r="E382" i="18" a="1"/>
  <c r="E382" i="18" s="1"/>
  <c r="E381" i="18" a="1"/>
  <c r="E381" i="18" s="1"/>
  <c r="E380" i="18" a="1"/>
  <c r="E380" i="18" s="1"/>
  <c r="E379" i="18" a="1"/>
  <c r="E379" i="18" s="1"/>
  <c r="E378" i="18" a="1"/>
  <c r="E378" i="18" s="1"/>
  <c r="E377" i="18" a="1"/>
  <c r="E377" i="18" s="1"/>
  <c r="E376" i="18" a="1"/>
  <c r="E376" i="18" s="1"/>
  <c r="E375" i="18" a="1"/>
  <c r="E375" i="18" s="1"/>
  <c r="E374" i="18" a="1"/>
  <c r="E374" i="18" s="1"/>
  <c r="E373" i="18" a="1"/>
  <c r="E373" i="18" s="1"/>
  <c r="E372" i="18" a="1"/>
  <c r="E372" i="18" s="1"/>
  <c r="E371" i="18" a="1"/>
  <c r="E371" i="18" s="1"/>
  <c r="E370" i="18" a="1"/>
  <c r="E370" i="18" s="1"/>
  <c r="E369" i="18" a="1"/>
  <c r="E369" i="18" s="1"/>
  <c r="E368" i="18" a="1"/>
  <c r="E368" i="18" s="1"/>
  <c r="E367" i="18" a="1"/>
  <c r="E367" i="18" s="1"/>
  <c r="E366" i="18" a="1"/>
  <c r="E366" i="18" s="1"/>
  <c r="E365" i="18" a="1"/>
  <c r="E365" i="18" s="1"/>
  <c r="E364" i="18" a="1"/>
  <c r="E364" i="18" s="1"/>
  <c r="E363" i="18" a="1"/>
  <c r="E363" i="18" s="1"/>
  <c r="E362" i="18" a="1"/>
  <c r="E362" i="18" s="1"/>
  <c r="E361" i="18" a="1"/>
  <c r="E361" i="18" s="1"/>
  <c r="E360" i="18" a="1"/>
  <c r="E360" i="18" s="1"/>
  <c r="E359" i="18" a="1"/>
  <c r="E359" i="18" s="1"/>
  <c r="E358" i="18" a="1"/>
  <c r="E358" i="18" s="1"/>
  <c r="E357" i="18" a="1"/>
  <c r="E357" i="18" s="1"/>
  <c r="E356" i="18" a="1"/>
  <c r="E356" i="18" s="1"/>
  <c r="E355" i="18" a="1"/>
  <c r="E355" i="18" s="1"/>
  <c r="E354" i="18" a="1"/>
  <c r="E354" i="18" s="1"/>
  <c r="E353" i="18" a="1"/>
  <c r="E353" i="18" s="1"/>
  <c r="E352" i="18" a="1"/>
  <c r="E352" i="18" s="1"/>
  <c r="E351" i="18" a="1"/>
  <c r="E351" i="18" s="1"/>
  <c r="E350" i="18" a="1"/>
  <c r="E350" i="18" s="1"/>
  <c r="E349" i="18" a="1"/>
  <c r="E349" i="18" s="1"/>
  <c r="E348" i="18" a="1"/>
  <c r="E348" i="18" s="1"/>
  <c r="E347" i="18" a="1"/>
  <c r="E347" i="18" s="1"/>
  <c r="E346" i="18" a="1"/>
  <c r="E346" i="18" s="1"/>
  <c r="E345" i="18" a="1"/>
  <c r="E345" i="18" s="1"/>
  <c r="E344" i="18" a="1"/>
  <c r="E344" i="18" s="1"/>
  <c r="E343" i="18" a="1"/>
  <c r="E343" i="18" s="1"/>
  <c r="E342" i="18" a="1"/>
  <c r="E342" i="18" s="1"/>
  <c r="E341" i="18" a="1"/>
  <c r="E341" i="18" s="1"/>
  <c r="E340" i="18" a="1"/>
  <c r="E340" i="18" s="1"/>
  <c r="E339" i="18" a="1"/>
  <c r="E339" i="18" s="1"/>
  <c r="E338" i="18" a="1"/>
  <c r="E338" i="18" s="1"/>
  <c r="E337" i="18" a="1"/>
  <c r="E337" i="18" s="1"/>
  <c r="E336" i="18" a="1"/>
  <c r="E336" i="18" s="1"/>
  <c r="E335" i="18" a="1"/>
  <c r="E335" i="18" s="1"/>
  <c r="E334" i="18" a="1"/>
  <c r="E334" i="18" s="1"/>
  <c r="E333" i="18" a="1"/>
  <c r="E333" i="18" s="1"/>
  <c r="E332" i="18" a="1"/>
  <c r="E332" i="18" s="1"/>
  <c r="E331" i="18" a="1"/>
  <c r="E331" i="18" s="1"/>
  <c r="E330" i="18" a="1"/>
  <c r="E330" i="18" s="1"/>
  <c r="E329" i="18" a="1"/>
  <c r="E329" i="18" s="1"/>
  <c r="E328" i="18" a="1"/>
  <c r="E328" i="18" s="1"/>
  <c r="E327" i="18" a="1"/>
  <c r="E327" i="18" s="1"/>
  <c r="E326" i="18" a="1"/>
  <c r="E326" i="18" s="1"/>
  <c r="E325" i="18" a="1"/>
  <c r="E325" i="18" s="1"/>
  <c r="E324" i="18" a="1"/>
  <c r="E324" i="18" s="1"/>
  <c r="E323" i="18" a="1"/>
  <c r="E323" i="18" s="1"/>
  <c r="E322" i="18" a="1"/>
  <c r="E322" i="18" s="1"/>
  <c r="E321" i="18" a="1"/>
  <c r="E321" i="18" s="1"/>
  <c r="E320" i="18" a="1"/>
  <c r="E320" i="18" s="1"/>
  <c r="E319" i="18" a="1"/>
  <c r="E319" i="18" s="1"/>
  <c r="E318" i="18" a="1"/>
  <c r="E318" i="18" s="1"/>
  <c r="E317" i="18" a="1"/>
  <c r="E317" i="18" s="1"/>
  <c r="E316" i="18" a="1"/>
  <c r="E316" i="18" s="1"/>
  <c r="E315" i="18" a="1"/>
  <c r="E315" i="18" s="1"/>
  <c r="E314" i="18" a="1"/>
  <c r="E314" i="18" s="1"/>
  <c r="E313" i="18" a="1"/>
  <c r="E313" i="18" s="1"/>
  <c r="E312" i="18" a="1"/>
  <c r="E312" i="18" s="1"/>
  <c r="E311" i="18" a="1"/>
  <c r="E311" i="18" s="1"/>
  <c r="E310" i="18" a="1"/>
  <c r="E310" i="18" s="1"/>
  <c r="E309" i="18" a="1"/>
  <c r="E309" i="18" s="1"/>
  <c r="E308" i="18" a="1"/>
  <c r="E308" i="18" s="1"/>
  <c r="E307" i="18" a="1"/>
  <c r="E307" i="18" s="1"/>
  <c r="E306" i="18" a="1"/>
  <c r="E306" i="18" s="1"/>
  <c r="E305" i="18" a="1"/>
  <c r="E305" i="18" s="1"/>
  <c r="E304" i="18" a="1"/>
  <c r="E304" i="18" s="1"/>
  <c r="E303" i="18" a="1"/>
  <c r="E303" i="18" s="1"/>
  <c r="E302" i="18" a="1"/>
  <c r="E302" i="18" s="1"/>
  <c r="E301" i="18" a="1"/>
  <c r="E301" i="18" s="1"/>
  <c r="E300" i="18" a="1"/>
  <c r="E300" i="18" s="1"/>
  <c r="E299" i="18" a="1"/>
  <c r="E299" i="18" s="1"/>
  <c r="E298" i="18" a="1"/>
  <c r="E298" i="18" s="1"/>
  <c r="E297" i="18" a="1"/>
  <c r="E297" i="18" s="1"/>
  <c r="E296" i="18" a="1"/>
  <c r="E296" i="18" s="1"/>
  <c r="E295" i="18" a="1"/>
  <c r="E295" i="18" s="1"/>
  <c r="E294" i="18" a="1"/>
  <c r="E294" i="18" s="1"/>
  <c r="E293" i="18" a="1"/>
  <c r="E293" i="18" s="1"/>
  <c r="E292" i="18" a="1"/>
  <c r="E292" i="18" s="1"/>
  <c r="E291" i="18" a="1"/>
  <c r="E291" i="18" s="1"/>
  <c r="E290" i="18" a="1"/>
  <c r="E290" i="18" s="1"/>
  <c r="E289" i="18" a="1"/>
  <c r="E289" i="18" s="1"/>
  <c r="E288" i="18" a="1"/>
  <c r="E288" i="18" s="1"/>
  <c r="E287" i="18" a="1"/>
  <c r="E287" i="18" s="1"/>
  <c r="E286" i="18" a="1"/>
  <c r="E286" i="18" s="1"/>
  <c r="E285" i="18" a="1"/>
  <c r="E285" i="18" s="1"/>
  <c r="E284" i="18" a="1"/>
  <c r="E284" i="18" s="1"/>
  <c r="E283" i="18" a="1"/>
  <c r="E283" i="18" s="1"/>
  <c r="E282" i="18" a="1"/>
  <c r="E282" i="18" s="1"/>
  <c r="E281" i="18" a="1"/>
  <c r="E281" i="18" s="1"/>
  <c r="E280" i="18" a="1"/>
  <c r="E280" i="18" s="1"/>
  <c r="E279" i="18" a="1"/>
  <c r="E279" i="18" s="1"/>
  <c r="E278" i="18" a="1"/>
  <c r="E278" i="18" s="1"/>
  <c r="E277" i="18" a="1"/>
  <c r="E277" i="18" s="1"/>
  <c r="E276" i="18" a="1"/>
  <c r="E276" i="18" s="1"/>
  <c r="E275" i="18" a="1"/>
  <c r="E275" i="18" s="1"/>
  <c r="E274" i="18" a="1"/>
  <c r="E274" i="18" s="1"/>
  <c r="E273" i="18" a="1"/>
  <c r="E273" i="18" s="1"/>
  <c r="E272" i="18" a="1"/>
  <c r="E272" i="18" s="1"/>
  <c r="E271" i="18" a="1"/>
  <c r="E271" i="18" s="1"/>
  <c r="E270" i="18" a="1"/>
  <c r="E270" i="18" s="1"/>
  <c r="E269" i="18" a="1"/>
  <c r="E269" i="18" s="1"/>
  <c r="E268" i="18" a="1"/>
  <c r="E268" i="18" s="1"/>
  <c r="E267" i="18" a="1"/>
  <c r="E267" i="18" s="1"/>
  <c r="E266" i="18" a="1"/>
  <c r="E266" i="18" s="1"/>
  <c r="E265" i="18" a="1"/>
  <c r="E265" i="18" s="1"/>
  <c r="E264" i="18" a="1"/>
  <c r="E264" i="18" s="1"/>
  <c r="E263" i="18" a="1"/>
  <c r="E263" i="18" s="1"/>
  <c r="E262" i="18" a="1"/>
  <c r="E262" i="18" s="1"/>
  <c r="E261" i="18" a="1"/>
  <c r="E261" i="18" s="1"/>
  <c r="E260" i="18" a="1"/>
  <c r="E260" i="18" s="1"/>
  <c r="E259" i="18" a="1"/>
  <c r="E259" i="18" s="1"/>
  <c r="E258" i="18" a="1"/>
  <c r="E258" i="18" s="1"/>
  <c r="E257" i="18" a="1"/>
  <c r="E257" i="18" s="1"/>
  <c r="E256" i="18" a="1"/>
  <c r="E256" i="18" s="1"/>
  <c r="E255" i="18" a="1"/>
  <c r="E255" i="18" s="1"/>
  <c r="E254" i="18" a="1"/>
  <c r="E254" i="18" s="1"/>
  <c r="E253" i="18" a="1"/>
  <c r="E253" i="18" s="1"/>
  <c r="E252" i="18" a="1"/>
  <c r="E252" i="18" s="1"/>
  <c r="E251" i="18" a="1"/>
  <c r="E251" i="18" s="1"/>
  <c r="E250" i="18" a="1"/>
  <c r="E250" i="18" s="1"/>
  <c r="E249" i="18" a="1"/>
  <c r="E249" i="18" s="1"/>
  <c r="E248" i="18" a="1"/>
  <c r="E248" i="18" s="1"/>
  <c r="E247" i="18" a="1"/>
  <c r="E247" i="18" s="1"/>
  <c r="E246" i="18" a="1"/>
  <c r="E246" i="18" s="1"/>
  <c r="E245" i="18" a="1"/>
  <c r="E245" i="18" s="1"/>
  <c r="E244" i="18" a="1"/>
  <c r="E244" i="18" s="1"/>
  <c r="E243" i="18" a="1"/>
  <c r="E243" i="18" s="1"/>
  <c r="E242" i="18" a="1"/>
  <c r="E242" i="18" s="1"/>
  <c r="E241" i="18" a="1"/>
  <c r="E241" i="18" s="1"/>
  <c r="E240" i="18" a="1"/>
  <c r="E240" i="18" s="1"/>
  <c r="E239" i="18" a="1"/>
  <c r="E239" i="18" s="1"/>
  <c r="E238" i="18" a="1"/>
  <c r="E238" i="18" s="1"/>
  <c r="E236" i="18" a="1"/>
  <c r="E236" i="18" s="1"/>
  <c r="E235" i="18" a="1"/>
  <c r="E235" i="18" s="1"/>
  <c r="E234" i="18" a="1"/>
  <c r="E234" i="18" s="1"/>
  <c r="E233" i="18" a="1"/>
  <c r="E233" i="18" s="1"/>
  <c r="E232" i="18" a="1"/>
  <c r="E232" i="18" s="1"/>
  <c r="E231" i="18" a="1"/>
  <c r="E231" i="18" s="1"/>
  <c r="E230" i="18" a="1"/>
  <c r="E230" i="18" s="1"/>
  <c r="E229" i="18" a="1"/>
  <c r="E229" i="18" s="1"/>
  <c r="E228" i="18" a="1"/>
  <c r="E228" i="18" s="1"/>
  <c r="E227" i="18" a="1"/>
  <c r="E227" i="18" s="1"/>
  <c r="E226" i="18" a="1"/>
  <c r="E226" i="18" s="1"/>
  <c r="E225" i="18" a="1"/>
  <c r="E225" i="18" s="1"/>
  <c r="E224" i="18" a="1"/>
  <c r="E224" i="18" s="1"/>
  <c r="E223" i="18" a="1"/>
  <c r="E223" i="18" s="1"/>
  <c r="E222" i="18" a="1"/>
  <c r="E222" i="18" s="1"/>
  <c r="E221" i="18" a="1"/>
  <c r="E221" i="18" s="1"/>
  <c r="E220" i="18" a="1"/>
  <c r="E220" i="18" s="1"/>
  <c r="E219" i="18" a="1"/>
  <c r="E219" i="18" s="1"/>
  <c r="E218" i="18" a="1"/>
  <c r="E218" i="18" s="1"/>
  <c r="E217" i="18" a="1"/>
  <c r="E217" i="18" s="1"/>
  <c r="E216" i="18" a="1"/>
  <c r="E216" i="18" s="1"/>
  <c r="E215" i="18" a="1"/>
  <c r="E215" i="18" s="1"/>
  <c r="E214" i="18" a="1"/>
  <c r="E214" i="18" s="1"/>
  <c r="E213" i="18" a="1"/>
  <c r="E213" i="18" s="1"/>
  <c r="E212" i="18" a="1"/>
  <c r="E212" i="18" s="1"/>
  <c r="E211" i="18" a="1"/>
  <c r="E211" i="18" s="1"/>
  <c r="E210" i="18" a="1"/>
  <c r="E210" i="18" s="1"/>
  <c r="E209" i="18" a="1"/>
  <c r="E209" i="18" s="1"/>
  <c r="E208" i="18" a="1"/>
  <c r="E208" i="18" s="1"/>
  <c r="E207" i="18" a="1"/>
  <c r="E207" i="18" s="1"/>
  <c r="E206" i="18" a="1"/>
  <c r="E206" i="18" s="1"/>
  <c r="E205" i="18" a="1"/>
  <c r="E205" i="18" s="1"/>
  <c r="E204" i="18" a="1"/>
  <c r="E204" i="18" s="1"/>
  <c r="E203" i="18" a="1"/>
  <c r="E203" i="18" s="1"/>
  <c r="E202" i="18" a="1"/>
  <c r="E202" i="18" s="1"/>
  <c r="E201" i="18" a="1"/>
  <c r="E201" i="18" s="1"/>
  <c r="E200" i="18" a="1"/>
  <c r="E200" i="18" s="1"/>
  <c r="E199" i="18" a="1"/>
  <c r="E199" i="18" s="1"/>
  <c r="E198" i="18" a="1"/>
  <c r="E198" i="18" s="1"/>
  <c r="E197" i="18" a="1"/>
  <c r="E197" i="18" s="1"/>
  <c r="E196" i="18" a="1"/>
  <c r="E196" i="18" s="1"/>
  <c r="E195" i="18" a="1"/>
  <c r="E195" i="18" s="1"/>
  <c r="E194" i="18" a="1"/>
  <c r="E194" i="18" s="1"/>
  <c r="E193" i="18" a="1"/>
  <c r="E193" i="18" s="1"/>
  <c r="E192" i="18" a="1"/>
  <c r="E192" i="18" s="1"/>
  <c r="E191" i="18" a="1"/>
  <c r="E191" i="18" s="1"/>
  <c r="E190" i="18" a="1"/>
  <c r="E190" i="18" s="1"/>
  <c r="E189" i="18" a="1"/>
  <c r="E189" i="18" s="1"/>
  <c r="E188" i="18" a="1"/>
  <c r="E188" i="18" s="1"/>
  <c r="E187" i="18" a="1"/>
  <c r="E187" i="18" s="1"/>
  <c r="E186" i="18" a="1"/>
  <c r="E186" i="18" s="1"/>
  <c r="E185" i="18" a="1"/>
  <c r="E185" i="18" s="1"/>
  <c r="E184" i="18" a="1"/>
  <c r="E184" i="18" s="1"/>
  <c r="E183" i="18" a="1"/>
  <c r="E183" i="18" s="1"/>
  <c r="E182" i="18" a="1"/>
  <c r="E182" i="18" s="1"/>
  <c r="E181" i="18" a="1"/>
  <c r="E181" i="18" s="1"/>
  <c r="E180" i="18" a="1"/>
  <c r="E180" i="18" s="1"/>
  <c r="E179" i="18" a="1"/>
  <c r="E179" i="18" s="1"/>
  <c r="E178" i="18" a="1"/>
  <c r="E178" i="18" s="1"/>
  <c r="E177" i="18" a="1"/>
  <c r="E177" i="18" s="1"/>
  <c r="E176" i="18" a="1"/>
  <c r="E176" i="18" s="1"/>
  <c r="E175" i="18" a="1"/>
  <c r="E175" i="18" s="1"/>
  <c r="E174" i="18" a="1"/>
  <c r="E174" i="18" s="1"/>
  <c r="E173" i="18" a="1"/>
  <c r="E173" i="18" s="1"/>
  <c r="E172" i="18" a="1"/>
  <c r="E172" i="18" s="1"/>
  <c r="E171" i="18" a="1"/>
  <c r="E171" i="18" s="1"/>
  <c r="E170" i="18" a="1"/>
  <c r="E170" i="18" s="1"/>
  <c r="E169" i="18" a="1"/>
  <c r="E169" i="18" s="1"/>
  <c r="E168" i="18" a="1"/>
  <c r="E168" i="18" s="1"/>
  <c r="E167" i="18" a="1"/>
  <c r="E167" i="18" s="1"/>
  <c r="E166" i="18" a="1"/>
  <c r="E166" i="18" s="1"/>
  <c r="E165" i="18" a="1"/>
  <c r="E165" i="18" s="1"/>
  <c r="E164" i="18" a="1"/>
  <c r="E164" i="18" s="1"/>
  <c r="E163" i="18" a="1"/>
  <c r="E163" i="18" s="1"/>
  <c r="E162" i="18" a="1"/>
  <c r="E162" i="18" s="1"/>
  <c r="E161" i="18" a="1"/>
  <c r="E161" i="18" s="1"/>
  <c r="E160" i="18" a="1"/>
  <c r="E160" i="18" s="1"/>
  <c r="E159" i="18" a="1"/>
  <c r="E159" i="18" s="1"/>
  <c r="E158" i="18" a="1"/>
  <c r="E158" i="18" s="1"/>
  <c r="E157" i="18" a="1"/>
  <c r="E157" i="18" s="1"/>
  <c r="E156" i="18" a="1"/>
  <c r="E156" i="18" s="1"/>
  <c r="E155" i="18" a="1"/>
  <c r="E155" i="18" s="1"/>
  <c r="E154" i="18" a="1"/>
  <c r="E154" i="18" s="1"/>
  <c r="E153" i="18" a="1"/>
  <c r="E153" i="18" s="1"/>
  <c r="E152" i="18" a="1"/>
  <c r="E152" i="18" s="1"/>
  <c r="E151" i="18" a="1"/>
  <c r="E151" i="18" s="1"/>
  <c r="E150" i="18" a="1"/>
  <c r="E150" i="18" s="1"/>
  <c r="E149" i="18" a="1"/>
  <c r="E149" i="18" s="1"/>
  <c r="E148" i="18" a="1"/>
  <c r="E148" i="18" s="1"/>
  <c r="E147" i="18" a="1"/>
  <c r="E147" i="18" s="1"/>
  <c r="E146" i="18" a="1"/>
  <c r="E146" i="18" s="1"/>
  <c r="E145" i="18" a="1"/>
  <c r="E145" i="18" s="1"/>
  <c r="E144" i="18" a="1"/>
  <c r="E144" i="18" s="1"/>
  <c r="E143" i="18" a="1"/>
  <c r="E143" i="18" s="1"/>
  <c r="E142" i="18" a="1"/>
  <c r="E142" i="18" s="1"/>
  <c r="E141" i="18" a="1"/>
  <c r="E141" i="18" s="1"/>
  <c r="E140" i="18" a="1"/>
  <c r="E140" i="18" s="1"/>
  <c r="E139" i="18" a="1"/>
  <c r="E139" i="18" s="1"/>
  <c r="E138" i="18" a="1"/>
  <c r="E138" i="18" s="1"/>
  <c r="E137" i="18" a="1"/>
  <c r="E137" i="18" s="1"/>
  <c r="E136" i="18" a="1"/>
  <c r="E136" i="18" s="1"/>
  <c r="E135" i="18" a="1"/>
  <c r="E135" i="18" s="1"/>
  <c r="E134" i="18" a="1"/>
  <c r="E134" i="18" s="1"/>
  <c r="E133" i="18" a="1"/>
  <c r="E133" i="18" s="1"/>
  <c r="E132" i="18" a="1"/>
  <c r="E132" i="18" s="1"/>
  <c r="E131" i="18" a="1"/>
  <c r="E131" i="18" s="1"/>
  <c r="E130" i="18" a="1"/>
  <c r="E130" i="18" s="1"/>
  <c r="E129" i="18" a="1"/>
  <c r="E129" i="18" s="1"/>
  <c r="E128" i="18" a="1"/>
  <c r="E128" i="18" s="1"/>
  <c r="E127" i="18" a="1"/>
  <c r="E127" i="18" s="1"/>
  <c r="E126" i="18" a="1"/>
  <c r="E126" i="18" s="1"/>
  <c r="E125" i="18" a="1"/>
  <c r="E125" i="18" s="1"/>
  <c r="E124" i="18" a="1"/>
  <c r="E124" i="18" s="1"/>
  <c r="E123" i="18" a="1"/>
  <c r="E123" i="18" s="1"/>
  <c r="E122" i="18" a="1"/>
  <c r="E122" i="18" s="1"/>
  <c r="E121" i="18" a="1"/>
  <c r="E121" i="18" s="1"/>
  <c r="E120" i="18" a="1"/>
  <c r="E120" i="18" s="1"/>
  <c r="E119" i="18" a="1"/>
  <c r="E119" i="18" s="1"/>
  <c r="E118" i="18" a="1"/>
  <c r="E118" i="18" s="1"/>
  <c r="E117" i="18" a="1"/>
  <c r="E117" i="18" s="1"/>
  <c r="E116" i="18" a="1"/>
  <c r="E116" i="18" s="1"/>
  <c r="E115" i="18" a="1"/>
  <c r="E115" i="18" s="1"/>
  <c r="E114" i="18" a="1"/>
  <c r="E114" i="18" s="1"/>
  <c r="E113" i="18" a="1"/>
  <c r="E113" i="18" s="1"/>
  <c r="E112" i="18" a="1"/>
  <c r="E112" i="18" s="1"/>
  <c r="E111" i="18" a="1"/>
  <c r="E111" i="18" s="1"/>
  <c r="E110" i="18" a="1"/>
  <c r="E110" i="18" s="1"/>
  <c r="E109" i="18" a="1"/>
  <c r="E109" i="18" s="1"/>
  <c r="E108" i="18" a="1"/>
  <c r="E108" i="18" s="1"/>
  <c r="E107" i="18" a="1"/>
  <c r="E107" i="18" s="1"/>
  <c r="E106" i="18" a="1"/>
  <c r="E106" i="18" s="1"/>
  <c r="E105" i="18" a="1"/>
  <c r="E105" i="18" s="1"/>
  <c r="E104" i="18" a="1"/>
  <c r="E104" i="18" s="1"/>
  <c r="E103" i="18" a="1"/>
  <c r="E103" i="18" s="1"/>
  <c r="E102" i="18" a="1"/>
  <c r="E102" i="18" s="1"/>
  <c r="E101" i="18" a="1"/>
  <c r="E101" i="18" s="1"/>
  <c r="E100" i="18" a="1"/>
  <c r="E100" i="18" s="1"/>
  <c r="E99" i="18" a="1"/>
  <c r="E99" i="18" s="1"/>
  <c r="E98" i="18" a="1"/>
  <c r="E98" i="18" s="1"/>
  <c r="E97" i="18" a="1"/>
  <c r="E97" i="18" s="1"/>
  <c r="E96" i="18" a="1"/>
  <c r="E96" i="18" s="1"/>
  <c r="E95" i="18" a="1"/>
  <c r="E95" i="18" s="1"/>
  <c r="E94" i="18" a="1"/>
  <c r="E94" i="18" s="1"/>
  <c r="E93" i="18" a="1"/>
  <c r="E93" i="18" s="1"/>
  <c r="E92" i="18" a="1"/>
  <c r="E92" i="18" s="1"/>
  <c r="E91" i="18" a="1"/>
  <c r="E91" i="18" s="1"/>
  <c r="E90" i="18" a="1"/>
  <c r="E90" i="18" s="1"/>
  <c r="E89" i="18" a="1"/>
  <c r="E89" i="18" s="1"/>
  <c r="E88" i="18" a="1"/>
  <c r="E88" i="18" s="1"/>
  <c r="E87" i="18" a="1"/>
  <c r="E87" i="18" s="1"/>
  <c r="E86" i="18" a="1"/>
  <c r="E86" i="18" s="1"/>
  <c r="E85" i="18" a="1"/>
  <c r="E85" i="18" s="1"/>
  <c r="E84" i="18" a="1"/>
  <c r="E84" i="18" s="1"/>
  <c r="E83" i="18" a="1"/>
  <c r="E83" i="18" s="1"/>
  <c r="E82" i="18" a="1"/>
  <c r="E82" i="18" s="1"/>
  <c r="E81" i="18" a="1"/>
  <c r="E81" i="18" s="1"/>
  <c r="E80" i="18" a="1"/>
  <c r="E80" i="18" s="1"/>
  <c r="E79" i="18" a="1"/>
  <c r="E79" i="18" s="1"/>
  <c r="E78" i="18" a="1"/>
  <c r="E78" i="18" s="1"/>
  <c r="E77" i="18" a="1"/>
  <c r="E77" i="18" s="1"/>
  <c r="E76" i="18" a="1"/>
  <c r="E76" i="18" s="1"/>
  <c r="E75" i="18" a="1"/>
  <c r="E75" i="18" s="1"/>
  <c r="E74" i="18" a="1"/>
  <c r="E74" i="18" s="1"/>
  <c r="E73" i="18" a="1"/>
  <c r="E73" i="18" s="1"/>
  <c r="E72" i="18" a="1"/>
  <c r="E72" i="18" s="1"/>
  <c r="E71" i="18" a="1"/>
  <c r="E71" i="18" s="1"/>
  <c r="E70" i="18" a="1"/>
  <c r="E70" i="18" s="1"/>
  <c r="E69" i="18" a="1"/>
  <c r="E69" i="18" s="1"/>
  <c r="E68" i="18" a="1"/>
  <c r="E68" i="18" s="1"/>
  <c r="E67" i="18" a="1"/>
  <c r="E67" i="18" s="1"/>
  <c r="E66" i="18" a="1"/>
  <c r="E66" i="18" s="1"/>
  <c r="E65" i="18" a="1"/>
  <c r="E65" i="18" s="1"/>
  <c r="E64" i="18" a="1"/>
  <c r="E64" i="18" s="1"/>
  <c r="E63" i="18" a="1"/>
  <c r="E63" i="18" s="1"/>
  <c r="E62" i="18" a="1"/>
  <c r="E62" i="18" s="1"/>
  <c r="E61" i="18" a="1"/>
  <c r="E61" i="18" s="1"/>
  <c r="E60" i="18" a="1"/>
  <c r="E60" i="18" s="1"/>
  <c r="E59" i="18" a="1"/>
  <c r="E59" i="18" s="1"/>
  <c r="E58" i="18" a="1"/>
  <c r="E58" i="18" s="1"/>
  <c r="E57" i="18" a="1"/>
  <c r="E57" i="18" s="1"/>
  <c r="E56" i="18" a="1"/>
  <c r="E56" i="18" s="1"/>
  <c r="E55" i="18" a="1"/>
  <c r="E55" i="18" s="1"/>
  <c r="E54" i="18" a="1"/>
  <c r="E54" i="18" s="1"/>
  <c r="E53" i="18" a="1"/>
  <c r="E53" i="18" s="1"/>
  <c r="E52" i="18" a="1"/>
  <c r="E52" i="18" s="1"/>
  <c r="E51" i="18" a="1"/>
  <c r="E51" i="18" s="1"/>
  <c r="E50" i="18" a="1"/>
  <c r="E50" i="18" s="1"/>
  <c r="E49" i="18" a="1"/>
  <c r="E49" i="18" s="1"/>
  <c r="E48" i="18" a="1"/>
  <c r="E48" i="18" s="1"/>
  <c r="E47" i="18" a="1"/>
  <c r="E47" i="18" s="1"/>
  <c r="E46" i="18" a="1"/>
  <c r="E46" i="18" s="1"/>
  <c r="E45" i="18" a="1"/>
  <c r="E45" i="18" s="1"/>
  <c r="E44" i="18" a="1"/>
  <c r="E44" i="18" s="1"/>
  <c r="E43" i="18" a="1"/>
  <c r="E43" i="18" s="1"/>
  <c r="E42" i="18" a="1"/>
  <c r="E42" i="18" s="1"/>
  <c r="E41" i="18" a="1"/>
  <c r="E41" i="18" s="1"/>
  <c r="E40" i="18" a="1"/>
  <c r="E40" i="18" s="1"/>
  <c r="E39" i="18" a="1"/>
  <c r="E39" i="18" s="1"/>
  <c r="E38" i="18" a="1"/>
  <c r="E38" i="18" s="1"/>
  <c r="E37" i="18" a="1"/>
  <c r="E37" i="18" s="1"/>
  <c r="E36" i="18" a="1"/>
  <c r="E36" i="18" s="1"/>
  <c r="E35" i="18" a="1"/>
  <c r="E35" i="18" s="1"/>
  <c r="E34" i="18" a="1"/>
  <c r="E34" i="18" s="1"/>
  <c r="E33" i="18" a="1"/>
  <c r="E33" i="18" s="1"/>
  <c r="E32" i="18" a="1"/>
  <c r="E32" i="18" s="1"/>
  <c r="E31" i="18" a="1"/>
  <c r="E31" i="18" s="1"/>
  <c r="E30" i="18" a="1"/>
  <c r="E30" i="18" s="1"/>
  <c r="E29" i="18" a="1"/>
  <c r="E29" i="18" s="1"/>
  <c r="E28" i="18" a="1"/>
  <c r="E28" i="18" s="1"/>
  <c r="E27" i="18" a="1"/>
  <c r="E27" i="18" s="1"/>
  <c r="E26" i="18" a="1"/>
  <c r="E26" i="18" s="1"/>
  <c r="E25" i="18" a="1"/>
  <c r="E25" i="18" s="1"/>
  <c r="E24" i="18" a="1"/>
  <c r="E24" i="18" s="1"/>
  <c r="E23" i="18" a="1"/>
  <c r="E23" i="18" s="1"/>
  <c r="E22" i="18" a="1"/>
  <c r="E22" i="18" s="1"/>
  <c r="E21" i="18" a="1"/>
  <c r="E21" i="18" s="1"/>
  <c r="E20" i="18" a="1"/>
  <c r="E20" i="18" s="1"/>
  <c r="E19" i="18" a="1"/>
  <c r="E19" i="18" s="1"/>
  <c r="E18" i="18" a="1"/>
  <c r="E18" i="18" s="1"/>
  <c r="E17" i="18" a="1"/>
  <c r="E17" i="18" s="1"/>
  <c r="E16" i="18" a="1"/>
  <c r="E16" i="18" s="1"/>
  <c r="E15" i="18" a="1"/>
  <c r="E15" i="18" s="1"/>
  <c r="E14" i="18" a="1"/>
  <c r="E14" i="18" s="1"/>
  <c r="E13" i="18" a="1"/>
  <c r="E13" i="18" s="1"/>
  <c r="E12" i="18" a="1"/>
  <c r="E12" i="18" s="1"/>
  <c r="E11" i="18" a="1"/>
  <c r="E11" i="18" s="1"/>
  <c r="E10" i="18" a="1"/>
  <c r="E10" i="18" s="1"/>
  <c r="E9" i="18" a="1"/>
  <c r="E9" i="18" s="1"/>
  <c r="E8" i="18" a="1"/>
  <c r="E8" i="18" s="1"/>
  <c r="E7" i="18" a="1"/>
  <c r="E7" i="18" s="1"/>
  <c r="E6" i="18" a="1"/>
  <c r="E6" i="18" s="1"/>
  <c r="E5" i="18" a="1"/>
  <c r="E5" i="18" s="1"/>
  <c r="E4" i="18" a="1"/>
  <c r="E4" i="18" s="1"/>
  <c r="E3" i="18" a="1"/>
  <c r="E3" i="18" s="1"/>
  <c r="F3" i="18" a="1"/>
  <c r="F3" i="18" s="1"/>
  <c r="F4" i="18" a="1"/>
  <c r="F4" i="18" s="1"/>
  <c r="F5" i="18" a="1"/>
  <c r="F5" i="18" s="1"/>
  <c r="F6" i="18" a="1"/>
  <c r="F6" i="18" s="1"/>
  <c r="F7" i="18" a="1"/>
  <c r="F7" i="18" s="1"/>
  <c r="F8" i="18" a="1"/>
  <c r="F8" i="18" s="1"/>
  <c r="F9" i="18" a="1"/>
  <c r="F9" i="18" s="1"/>
  <c r="F10" i="18" a="1"/>
  <c r="F10" i="18" s="1"/>
  <c r="F11" i="18" a="1"/>
  <c r="F11" i="18" s="1"/>
  <c r="F12" i="18" a="1"/>
  <c r="F12" i="18" s="1"/>
  <c r="F13" i="18" a="1"/>
  <c r="F13" i="18" s="1"/>
  <c r="F14" i="18" a="1"/>
  <c r="F14" i="18" s="1"/>
  <c r="F15" i="18" a="1"/>
  <c r="F15" i="18" s="1"/>
  <c r="F16" i="18" a="1"/>
  <c r="F16" i="18" s="1"/>
  <c r="F17" i="18" a="1"/>
  <c r="F17" i="18" s="1"/>
  <c r="F18" i="18" a="1"/>
  <c r="F18" i="18" s="1"/>
  <c r="F19" i="18" a="1"/>
  <c r="F19" i="18" s="1"/>
  <c r="F20" i="18" a="1"/>
  <c r="F20" i="18" s="1"/>
  <c r="F21" i="18" a="1"/>
  <c r="F21" i="18" s="1"/>
  <c r="F22" i="18" a="1"/>
  <c r="F22" i="18" s="1"/>
  <c r="F23" i="18" a="1"/>
  <c r="F23" i="18" s="1"/>
  <c r="F24" i="18" a="1"/>
  <c r="F24" i="18" s="1"/>
  <c r="F25" i="18" a="1"/>
  <c r="F25" i="18" s="1"/>
  <c r="F26" i="18" a="1"/>
  <c r="F26" i="18" s="1"/>
  <c r="F27" i="18" a="1"/>
  <c r="F27" i="18" s="1"/>
  <c r="F28" i="18" a="1"/>
  <c r="F28" i="18" s="1"/>
  <c r="F29" i="18" a="1"/>
  <c r="F29" i="18" s="1"/>
  <c r="F30" i="18" a="1"/>
  <c r="F30" i="18" s="1"/>
  <c r="F31" i="18" a="1"/>
  <c r="F31" i="18" s="1"/>
  <c r="F32" i="18" a="1"/>
  <c r="F32" i="18" s="1"/>
  <c r="F33" i="18" a="1"/>
  <c r="F33" i="18" s="1"/>
  <c r="F34" i="18" a="1"/>
  <c r="F34" i="18" s="1"/>
  <c r="F35" i="18" a="1"/>
  <c r="F35" i="18" s="1"/>
  <c r="F36" i="18" a="1"/>
  <c r="F36" i="18" s="1"/>
  <c r="F37" i="18" a="1"/>
  <c r="F37" i="18" s="1"/>
  <c r="F38" i="18" a="1"/>
  <c r="F38" i="18" s="1"/>
  <c r="F39" i="18" a="1"/>
  <c r="F39" i="18" s="1"/>
  <c r="F40" i="18" a="1"/>
  <c r="F40" i="18" s="1"/>
  <c r="F41" i="18" a="1"/>
  <c r="F41" i="18" s="1"/>
  <c r="F42" i="18" a="1"/>
  <c r="F42" i="18" s="1"/>
  <c r="F43" i="18" a="1"/>
  <c r="F43" i="18" s="1"/>
  <c r="F44" i="18" a="1"/>
  <c r="F44" i="18" s="1"/>
  <c r="F45" i="18" a="1"/>
  <c r="F45" i="18" s="1"/>
  <c r="F46" i="18" a="1"/>
  <c r="F46" i="18" s="1"/>
  <c r="F47" i="18" a="1"/>
  <c r="F47" i="18" s="1"/>
  <c r="F48" i="18" a="1"/>
  <c r="F48" i="18" s="1"/>
  <c r="F49" i="18" a="1"/>
  <c r="F49" i="18" s="1"/>
  <c r="F50" i="18" a="1"/>
  <c r="F50" i="18" s="1"/>
  <c r="F51" i="18" a="1"/>
  <c r="F51" i="18" s="1"/>
  <c r="F52" i="18" a="1"/>
  <c r="F52" i="18" s="1"/>
  <c r="F53" i="18" a="1"/>
  <c r="F53" i="18" s="1"/>
  <c r="F54" i="18" a="1"/>
  <c r="F54" i="18" s="1"/>
  <c r="F55" i="18" a="1"/>
  <c r="F55" i="18" s="1"/>
  <c r="F56" i="18" a="1"/>
  <c r="F56" i="18" s="1"/>
  <c r="F57" i="18" a="1"/>
  <c r="F57" i="18" s="1"/>
  <c r="F58" i="18" a="1"/>
  <c r="F58" i="18" s="1"/>
  <c r="F59" i="18" a="1"/>
  <c r="F59" i="18" s="1"/>
  <c r="F60" i="18" a="1"/>
  <c r="F60" i="18" s="1"/>
  <c r="F61" i="18" a="1"/>
  <c r="F61" i="18" s="1"/>
  <c r="F62" i="18" a="1"/>
  <c r="F62" i="18" s="1"/>
  <c r="F63" i="18" a="1"/>
  <c r="F63" i="18" s="1"/>
  <c r="F64" i="18" a="1"/>
  <c r="F64" i="18" s="1"/>
  <c r="F65" i="18" a="1"/>
  <c r="F65" i="18" s="1"/>
  <c r="F66" i="18" a="1"/>
  <c r="F66" i="18" s="1"/>
  <c r="F67" i="18" a="1"/>
  <c r="F67" i="18" s="1"/>
  <c r="F68" i="18" a="1"/>
  <c r="F68" i="18" s="1"/>
  <c r="F69" i="18" a="1"/>
  <c r="F69" i="18" s="1"/>
  <c r="F70" i="18" a="1"/>
  <c r="F70" i="18" s="1"/>
  <c r="F71" i="18" a="1"/>
  <c r="F71" i="18" s="1"/>
  <c r="F72" i="18" a="1"/>
  <c r="F72" i="18" s="1"/>
  <c r="F73" i="18" a="1"/>
  <c r="F73" i="18" s="1"/>
  <c r="F74" i="18" a="1"/>
  <c r="F74" i="18" s="1"/>
  <c r="F75" i="18" a="1"/>
  <c r="F75" i="18" s="1"/>
  <c r="F76" i="18" a="1"/>
  <c r="F76" i="18" s="1"/>
  <c r="F77" i="18" a="1"/>
  <c r="F77" i="18" s="1"/>
  <c r="F78" i="18" a="1"/>
  <c r="F78" i="18" s="1"/>
  <c r="F79" i="18" a="1"/>
  <c r="F79" i="18" s="1"/>
  <c r="F80" i="18" a="1"/>
  <c r="F80" i="18" s="1"/>
  <c r="F81" i="18" a="1"/>
  <c r="F81" i="18" s="1"/>
  <c r="F82" i="18" a="1"/>
  <c r="F82" i="18" s="1"/>
  <c r="F83" i="18" a="1"/>
  <c r="F83" i="18" s="1"/>
  <c r="F84" i="18" a="1"/>
  <c r="F84" i="18" s="1"/>
  <c r="F85" i="18" a="1"/>
  <c r="F85" i="18" s="1"/>
  <c r="F86" i="18" a="1"/>
  <c r="F86" i="18" s="1"/>
  <c r="F87" i="18" a="1"/>
  <c r="F87" i="18" s="1"/>
  <c r="F88" i="18" a="1"/>
  <c r="F88" i="18" s="1"/>
  <c r="F89" i="18" a="1"/>
  <c r="F89" i="18" s="1"/>
  <c r="F90" i="18" a="1"/>
  <c r="F90" i="18" s="1"/>
  <c r="F91" i="18" a="1"/>
  <c r="F91" i="18" s="1"/>
  <c r="F92" i="18" a="1"/>
  <c r="F92" i="18" s="1"/>
  <c r="F93" i="18" a="1"/>
  <c r="F93" i="18" s="1"/>
  <c r="F94" i="18" a="1"/>
  <c r="F94" i="18" s="1"/>
  <c r="F95" i="18" a="1"/>
  <c r="F95" i="18" s="1"/>
  <c r="F96" i="18" a="1"/>
  <c r="F96" i="18" s="1"/>
  <c r="F97" i="18" a="1"/>
  <c r="F97" i="18" s="1"/>
  <c r="F98" i="18" a="1"/>
  <c r="F98" i="18" s="1"/>
  <c r="F99" i="18" a="1"/>
  <c r="F99" i="18" s="1"/>
  <c r="F100" i="18" a="1"/>
  <c r="F100" i="18" s="1"/>
  <c r="F101" i="18" a="1"/>
  <c r="F101" i="18" s="1"/>
  <c r="F102" i="18" a="1"/>
  <c r="F102" i="18" s="1"/>
  <c r="F103" i="18" a="1"/>
  <c r="F103" i="18" s="1"/>
  <c r="F104" i="18" a="1"/>
  <c r="F104" i="18" s="1"/>
  <c r="F105" i="18" a="1"/>
  <c r="F105" i="18" s="1"/>
  <c r="F106" i="18" a="1"/>
  <c r="F106" i="18" s="1"/>
  <c r="F107" i="18" a="1"/>
  <c r="F107" i="18" s="1"/>
  <c r="F108" i="18" a="1"/>
  <c r="F108" i="18" s="1"/>
  <c r="F109" i="18" a="1"/>
  <c r="F109" i="18" s="1"/>
  <c r="F110" i="18" a="1"/>
  <c r="F110" i="18" s="1"/>
  <c r="F111" i="18" a="1"/>
  <c r="F111" i="18" s="1"/>
  <c r="F112" i="18" a="1"/>
  <c r="F112" i="18" s="1"/>
  <c r="F113" i="18" a="1"/>
  <c r="F113" i="18" s="1"/>
  <c r="F114" i="18" a="1"/>
  <c r="F114" i="18" s="1"/>
  <c r="F115" i="18" a="1"/>
  <c r="F115" i="18" s="1"/>
  <c r="F116" i="18" a="1"/>
  <c r="F116" i="18" s="1"/>
  <c r="F117" i="18" a="1"/>
  <c r="F117" i="18" s="1"/>
  <c r="F118" i="18" a="1"/>
  <c r="F118" i="18" s="1"/>
  <c r="F119" i="18" a="1"/>
  <c r="F119" i="18" s="1"/>
  <c r="F120" i="18" a="1"/>
  <c r="F120" i="18" s="1"/>
  <c r="F121" i="18" a="1"/>
  <c r="F121" i="18" s="1"/>
  <c r="F122" i="18" a="1"/>
  <c r="F122" i="18" s="1"/>
  <c r="F123" i="18" a="1"/>
  <c r="F123" i="18" s="1"/>
  <c r="F124" i="18" a="1"/>
  <c r="F124" i="18" s="1"/>
  <c r="F125" i="18" a="1"/>
  <c r="F125" i="18" s="1"/>
  <c r="F126" i="18" a="1"/>
  <c r="F126" i="18" s="1"/>
  <c r="F127" i="18" a="1"/>
  <c r="F127" i="18" s="1"/>
  <c r="F128" i="18" a="1"/>
  <c r="F128" i="18" s="1"/>
  <c r="F129" i="18" a="1"/>
  <c r="F129" i="18" s="1"/>
  <c r="F130" i="18" a="1"/>
  <c r="F130" i="18" s="1"/>
  <c r="F131" i="18" a="1"/>
  <c r="F131" i="18" s="1"/>
  <c r="F132" i="18" a="1"/>
  <c r="F132" i="18" s="1"/>
  <c r="F133" i="18" a="1"/>
  <c r="F133" i="18" s="1"/>
  <c r="F134" i="18" a="1"/>
  <c r="F134" i="18" s="1"/>
  <c r="F135" i="18" a="1"/>
  <c r="F135" i="18" s="1"/>
  <c r="F136" i="18" a="1"/>
  <c r="F136" i="18" s="1"/>
  <c r="F137" i="18" a="1"/>
  <c r="F137" i="18" s="1"/>
  <c r="F138" i="18" a="1"/>
  <c r="F138" i="18" s="1"/>
  <c r="F139" i="18" a="1"/>
  <c r="F139" i="18" s="1"/>
  <c r="F140" i="18" a="1"/>
  <c r="F140" i="18" s="1"/>
  <c r="F141" i="18" a="1"/>
  <c r="F141" i="18" s="1"/>
  <c r="F142" i="18" a="1"/>
  <c r="F142" i="18" s="1"/>
  <c r="F143" i="18" a="1"/>
  <c r="F143" i="18" s="1"/>
  <c r="F144" i="18" a="1"/>
  <c r="F144" i="18" s="1"/>
  <c r="F145" i="18" a="1"/>
  <c r="F145" i="18" s="1"/>
  <c r="F146" i="18" a="1"/>
  <c r="F146" i="18" s="1"/>
  <c r="F147" i="18" a="1"/>
  <c r="F147" i="18" s="1"/>
  <c r="F148" i="18" a="1"/>
  <c r="F148" i="18" s="1"/>
  <c r="F149" i="18" a="1"/>
  <c r="F149" i="18" s="1"/>
  <c r="F150" i="18" a="1"/>
  <c r="F150" i="18" s="1"/>
  <c r="F151" i="18" a="1"/>
  <c r="F151" i="18" s="1"/>
  <c r="F152" i="18" a="1"/>
  <c r="F152" i="18" s="1"/>
  <c r="F153" i="18" a="1"/>
  <c r="F153" i="18" s="1"/>
  <c r="F154" i="18" a="1"/>
  <c r="F154" i="18" s="1"/>
  <c r="F155" i="18" a="1"/>
  <c r="F155" i="18" s="1"/>
  <c r="F156" i="18" a="1"/>
  <c r="F156" i="18" s="1"/>
  <c r="F157" i="18" a="1"/>
  <c r="F157" i="18" s="1"/>
  <c r="F158" i="18" a="1"/>
  <c r="F158" i="18" s="1"/>
  <c r="F159" i="18" a="1"/>
  <c r="F159" i="18" s="1"/>
  <c r="F160" i="18" a="1"/>
  <c r="F160" i="18" s="1"/>
  <c r="F161" i="18" a="1"/>
  <c r="F161" i="18" s="1"/>
  <c r="F162" i="18" a="1"/>
  <c r="F162" i="18" s="1"/>
  <c r="F163" i="18" a="1"/>
  <c r="F163" i="18" s="1"/>
  <c r="F164" i="18" a="1"/>
  <c r="F164" i="18" s="1"/>
  <c r="F165" i="18" a="1"/>
  <c r="F165" i="18" s="1"/>
  <c r="F166" i="18" a="1"/>
  <c r="F166" i="18" s="1"/>
  <c r="F167" i="18" a="1"/>
  <c r="F167" i="18" s="1"/>
  <c r="F168" i="18" a="1"/>
  <c r="F168" i="18" s="1"/>
  <c r="F169" i="18" a="1"/>
  <c r="F169" i="18" s="1"/>
  <c r="F170" i="18" a="1"/>
  <c r="F170" i="18" s="1"/>
  <c r="F171" i="18" a="1"/>
  <c r="F171" i="18" s="1"/>
  <c r="F172" i="18" a="1"/>
  <c r="F172" i="18" s="1"/>
  <c r="F173" i="18" a="1"/>
  <c r="F173" i="18" s="1"/>
  <c r="F174" i="18" a="1"/>
  <c r="F174" i="18" s="1"/>
  <c r="F175" i="18" a="1"/>
  <c r="F175" i="18" s="1"/>
  <c r="F176" i="18" a="1"/>
  <c r="F176" i="18" s="1"/>
  <c r="F177" i="18" a="1"/>
  <c r="F177" i="18" s="1"/>
  <c r="F178" i="18" a="1"/>
  <c r="F178" i="18" s="1"/>
  <c r="F179" i="18" a="1"/>
  <c r="F179" i="18" s="1"/>
  <c r="F180" i="18" a="1"/>
  <c r="F180" i="18" s="1"/>
  <c r="F181" i="18" a="1"/>
  <c r="F181" i="18" s="1"/>
  <c r="F182" i="18" a="1"/>
  <c r="F182" i="18" s="1"/>
  <c r="F183" i="18" a="1"/>
  <c r="F183" i="18" s="1"/>
  <c r="F184" i="18" a="1"/>
  <c r="F184" i="18" s="1"/>
  <c r="F185" i="18" a="1"/>
  <c r="F185" i="18" s="1"/>
  <c r="F186" i="18" a="1"/>
  <c r="F186" i="18" s="1"/>
  <c r="F187" i="18" a="1"/>
  <c r="F187" i="18" s="1"/>
  <c r="F188" i="18" a="1"/>
  <c r="F188" i="18" s="1"/>
  <c r="F189" i="18" a="1"/>
  <c r="F189" i="18" s="1"/>
  <c r="F190" i="18" a="1"/>
  <c r="F190" i="18" s="1"/>
  <c r="F191" i="18" a="1"/>
  <c r="F191" i="18" s="1"/>
  <c r="F192" i="18" a="1"/>
  <c r="F192" i="18" s="1"/>
  <c r="F193" i="18" a="1"/>
  <c r="F193" i="18" s="1"/>
  <c r="F194" i="18" a="1"/>
  <c r="F194" i="18" s="1"/>
  <c r="F195" i="18" a="1"/>
  <c r="F195" i="18" s="1"/>
  <c r="F196" i="18" a="1"/>
  <c r="F196" i="18" s="1"/>
  <c r="F197" i="18" a="1"/>
  <c r="F197" i="18" s="1"/>
  <c r="F198" i="18" a="1"/>
  <c r="F198" i="18" s="1"/>
  <c r="F199" i="18" a="1"/>
  <c r="F199" i="18" s="1"/>
  <c r="F200" i="18" a="1"/>
  <c r="F200" i="18" s="1"/>
  <c r="F201" i="18" a="1"/>
  <c r="F201" i="18" s="1"/>
  <c r="F202" i="18" a="1"/>
  <c r="F202" i="18" s="1"/>
  <c r="F203" i="18" a="1"/>
  <c r="F203" i="18" s="1"/>
  <c r="F204" i="18" a="1"/>
  <c r="F204" i="18" s="1"/>
  <c r="F205" i="18" a="1"/>
  <c r="F205" i="18" s="1"/>
  <c r="F206" i="18" a="1"/>
  <c r="F206" i="18" s="1"/>
  <c r="F207" i="18" a="1"/>
  <c r="F207" i="18" s="1"/>
  <c r="F208" i="18" a="1"/>
  <c r="F208" i="18" s="1"/>
  <c r="F209" i="18" a="1"/>
  <c r="F209" i="18" s="1"/>
  <c r="F210" i="18" a="1"/>
  <c r="F210" i="18" s="1"/>
  <c r="F211" i="18" a="1"/>
  <c r="F211" i="18" s="1"/>
  <c r="F212" i="18" a="1"/>
  <c r="F212" i="18" s="1"/>
  <c r="F213" i="18" a="1"/>
  <c r="F213" i="18" s="1"/>
  <c r="F214" i="18" a="1"/>
  <c r="F214" i="18" s="1"/>
  <c r="F215" i="18" a="1"/>
  <c r="F215" i="18" s="1"/>
  <c r="F216" i="18" a="1"/>
  <c r="F216" i="18" s="1"/>
  <c r="F217" i="18" a="1"/>
  <c r="F217" i="18" s="1"/>
  <c r="F218" i="18" a="1"/>
  <c r="F218" i="18" s="1"/>
  <c r="F219" i="18" a="1"/>
  <c r="F219" i="18" s="1"/>
  <c r="F220" i="18" a="1"/>
  <c r="F220" i="18" s="1"/>
  <c r="F221" i="18" a="1"/>
  <c r="F221" i="18" s="1"/>
  <c r="F222" i="18" a="1"/>
  <c r="F222" i="18" s="1"/>
  <c r="F223" i="18" a="1"/>
  <c r="F223" i="18" s="1"/>
  <c r="F224" i="18" a="1"/>
  <c r="F224" i="18" s="1"/>
  <c r="F225" i="18" a="1"/>
  <c r="F225" i="18" s="1"/>
  <c r="F226" i="18" a="1"/>
  <c r="F226" i="18" s="1"/>
  <c r="F227" i="18" a="1"/>
  <c r="F227" i="18" s="1"/>
  <c r="F228" i="18" a="1"/>
  <c r="F228" i="18" s="1"/>
  <c r="F229" i="18" a="1"/>
  <c r="F229" i="18" s="1"/>
  <c r="F230" i="18" a="1"/>
  <c r="F230" i="18" s="1"/>
  <c r="F231" i="18" a="1"/>
  <c r="F231" i="18" s="1"/>
  <c r="F232" i="18" a="1"/>
  <c r="F232" i="18" s="1"/>
  <c r="F233" i="18" a="1"/>
  <c r="F233" i="18" s="1"/>
  <c r="F234" i="18" a="1"/>
  <c r="F234" i="18" s="1"/>
  <c r="F235" i="18" a="1"/>
  <c r="F235" i="18" s="1"/>
  <c r="F236" i="18" a="1"/>
  <c r="F236" i="18" s="1"/>
  <c r="F238" i="18" a="1"/>
  <c r="F238" i="18" s="1"/>
  <c r="F239" i="18" a="1"/>
  <c r="F239" i="18" s="1"/>
  <c r="F240" i="18" a="1"/>
  <c r="F240" i="18" s="1"/>
  <c r="F241" i="18" a="1"/>
  <c r="F241" i="18" s="1"/>
  <c r="F242" i="18" a="1"/>
  <c r="F242" i="18" s="1"/>
  <c r="F243" i="18" a="1"/>
  <c r="F243" i="18" s="1"/>
  <c r="F244" i="18" a="1"/>
  <c r="F244" i="18" s="1"/>
  <c r="F245" i="18" a="1"/>
  <c r="F245" i="18" s="1"/>
  <c r="F246" i="18" a="1"/>
  <c r="F246" i="18" s="1"/>
  <c r="F247" i="18" a="1"/>
  <c r="F247" i="18" s="1"/>
  <c r="F248" i="18" a="1"/>
  <c r="F248" i="18" s="1"/>
  <c r="F249" i="18" a="1"/>
  <c r="F249" i="18" s="1"/>
  <c r="F250" i="18" a="1"/>
  <c r="F250" i="18" s="1"/>
  <c r="F251" i="18" a="1"/>
  <c r="F251" i="18" s="1"/>
  <c r="F252" i="18" a="1"/>
  <c r="F252" i="18" s="1"/>
  <c r="F253" i="18" a="1"/>
  <c r="F253" i="18" s="1"/>
  <c r="F254" i="18" a="1"/>
  <c r="F254" i="18" s="1"/>
  <c r="F255" i="18" a="1"/>
  <c r="F255" i="18" s="1"/>
  <c r="F256" i="18" a="1"/>
  <c r="F256" i="18" s="1"/>
  <c r="F257" i="18" a="1"/>
  <c r="F257" i="18" s="1"/>
  <c r="F258" i="18" a="1"/>
  <c r="F258" i="18" s="1"/>
  <c r="F259" i="18" a="1"/>
  <c r="F259" i="18" s="1"/>
  <c r="F260" i="18" a="1"/>
  <c r="F260" i="18" s="1"/>
  <c r="F261" i="18" a="1"/>
  <c r="F261" i="18" s="1"/>
  <c r="F262" i="18" a="1"/>
  <c r="F262" i="18" s="1"/>
  <c r="F263" i="18" a="1"/>
  <c r="F263" i="18" s="1"/>
  <c r="F264" i="18" a="1"/>
  <c r="F264" i="18" s="1"/>
  <c r="F265" i="18" a="1"/>
  <c r="F265" i="18" s="1"/>
  <c r="F266" i="18" a="1"/>
  <c r="F266" i="18" s="1"/>
  <c r="F267" i="18" a="1"/>
  <c r="F267" i="18" s="1"/>
  <c r="F268" i="18" a="1"/>
  <c r="F268" i="18" s="1"/>
  <c r="F269" i="18" a="1"/>
  <c r="F269" i="18" s="1"/>
  <c r="F270" i="18" a="1"/>
  <c r="F270" i="18" s="1"/>
  <c r="F271" i="18" a="1"/>
  <c r="F271" i="18" s="1"/>
  <c r="F272" i="18" a="1"/>
  <c r="F272" i="18" s="1"/>
  <c r="F273" i="18" a="1"/>
  <c r="F273" i="18" s="1"/>
  <c r="F274" i="18" a="1"/>
  <c r="F274" i="18" s="1"/>
  <c r="F275" i="18" a="1"/>
  <c r="F275" i="18" s="1"/>
  <c r="F276" i="18" a="1"/>
  <c r="F276" i="18" s="1"/>
  <c r="F277" i="18" a="1"/>
  <c r="F277" i="18" s="1"/>
  <c r="F278" i="18" a="1"/>
  <c r="F278" i="18" s="1"/>
  <c r="F279" i="18" a="1"/>
  <c r="F279" i="18" s="1"/>
  <c r="F280" i="18" a="1"/>
  <c r="F280" i="18" s="1"/>
  <c r="F281" i="18" a="1"/>
  <c r="F281" i="18" s="1"/>
  <c r="F282" i="18" a="1"/>
  <c r="F282" i="18" s="1"/>
  <c r="F283" i="18" a="1"/>
  <c r="F283" i="18" s="1"/>
  <c r="F284" i="18" a="1"/>
  <c r="F284" i="18" s="1"/>
  <c r="F285" i="18" a="1"/>
  <c r="F285" i="18" s="1"/>
  <c r="F286" i="18" a="1"/>
  <c r="F286" i="18" s="1"/>
  <c r="F287" i="18" a="1"/>
  <c r="F287" i="18" s="1"/>
  <c r="F288" i="18" a="1"/>
  <c r="F288" i="18" s="1"/>
  <c r="F289" i="18" a="1"/>
  <c r="F289" i="18" s="1"/>
  <c r="F290" i="18" a="1"/>
  <c r="F290" i="18" s="1"/>
  <c r="F291" i="18" a="1"/>
  <c r="F291" i="18" s="1"/>
  <c r="F292" i="18" a="1"/>
  <c r="F292" i="18" s="1"/>
  <c r="F293" i="18" a="1"/>
  <c r="F293" i="18" s="1"/>
  <c r="F294" i="18" a="1"/>
  <c r="F294" i="18" s="1"/>
  <c r="F295" i="18" a="1"/>
  <c r="F295" i="18" s="1"/>
  <c r="F296" i="18" a="1"/>
  <c r="F296" i="18" s="1"/>
  <c r="F297" i="18" a="1"/>
  <c r="F297" i="18" s="1"/>
  <c r="F298" i="18" a="1"/>
  <c r="F298" i="18" s="1"/>
  <c r="F299" i="18" a="1"/>
  <c r="F299" i="18" s="1"/>
  <c r="F300" i="18" a="1"/>
  <c r="F300" i="18" s="1"/>
  <c r="F301" i="18" a="1"/>
  <c r="F301" i="18" s="1"/>
  <c r="F302" i="18" a="1"/>
  <c r="F302" i="18" s="1"/>
  <c r="F303" i="18" a="1"/>
  <c r="F303" i="18" s="1"/>
  <c r="F304" i="18" a="1"/>
  <c r="F304" i="18" s="1"/>
  <c r="F305" i="18" a="1"/>
  <c r="F305" i="18" s="1"/>
  <c r="F306" i="18" a="1"/>
  <c r="F306" i="18" s="1"/>
  <c r="F307" i="18" a="1"/>
  <c r="F307" i="18" s="1"/>
  <c r="F308" i="18" a="1"/>
  <c r="F308" i="18" s="1"/>
  <c r="F309" i="18" a="1"/>
  <c r="F309" i="18" s="1"/>
  <c r="F310" i="18" a="1"/>
  <c r="F310" i="18" s="1"/>
  <c r="F311" i="18" a="1"/>
  <c r="F311" i="18" s="1"/>
  <c r="F312" i="18" a="1"/>
  <c r="F312" i="18" s="1"/>
  <c r="F313" i="18" a="1"/>
  <c r="F313" i="18" s="1"/>
  <c r="F314" i="18" a="1"/>
  <c r="F314" i="18" s="1"/>
  <c r="F315" i="18" a="1"/>
  <c r="F315" i="18" s="1"/>
  <c r="F316" i="18" a="1"/>
  <c r="F316" i="18" s="1"/>
  <c r="F317" i="18" a="1"/>
  <c r="F317" i="18" s="1"/>
  <c r="F318" i="18" a="1"/>
  <c r="F318" i="18" s="1"/>
  <c r="F319" i="18" a="1"/>
  <c r="F319" i="18" s="1"/>
  <c r="F320" i="18" a="1"/>
  <c r="F320" i="18" s="1"/>
  <c r="F321" i="18" a="1"/>
  <c r="F321" i="18" s="1"/>
  <c r="F322" i="18" a="1"/>
  <c r="F322" i="18" s="1"/>
  <c r="F323" i="18" a="1"/>
  <c r="F323" i="18" s="1"/>
  <c r="F324" i="18" a="1"/>
  <c r="F324" i="18" s="1"/>
  <c r="F325" i="18" a="1"/>
  <c r="F325" i="18" s="1"/>
  <c r="F326" i="18" a="1"/>
  <c r="F326" i="18" s="1"/>
  <c r="F327" i="18" a="1"/>
  <c r="F327" i="18" s="1"/>
  <c r="F328" i="18" a="1"/>
  <c r="F328" i="18" s="1"/>
  <c r="F329" i="18" a="1"/>
  <c r="F329" i="18" s="1"/>
  <c r="F330" i="18" a="1"/>
  <c r="F330" i="18" s="1"/>
  <c r="F331" i="18" a="1"/>
  <c r="F331" i="18" s="1"/>
  <c r="F332" i="18" a="1"/>
  <c r="F332" i="18" s="1"/>
  <c r="F333" i="18" a="1"/>
  <c r="F333" i="18" s="1"/>
  <c r="F334" i="18" a="1"/>
  <c r="F334" i="18" s="1"/>
  <c r="F335" i="18" a="1"/>
  <c r="F335" i="18" s="1"/>
  <c r="F336" i="18" a="1"/>
  <c r="F336" i="18" s="1"/>
  <c r="F337" i="18" a="1"/>
  <c r="F337" i="18" s="1"/>
  <c r="F338" i="18" a="1"/>
  <c r="F338" i="18" s="1"/>
  <c r="F339" i="18" a="1"/>
  <c r="F339" i="18" s="1"/>
  <c r="F340" i="18" a="1"/>
  <c r="F340" i="18" s="1"/>
  <c r="F341" i="18" a="1"/>
  <c r="F341" i="18" s="1"/>
  <c r="F342" i="18" a="1"/>
  <c r="F342" i="18" s="1"/>
  <c r="F343" i="18" a="1"/>
  <c r="F343" i="18" s="1"/>
  <c r="F344" i="18" a="1"/>
  <c r="F344" i="18" s="1"/>
  <c r="F345" i="18" a="1"/>
  <c r="F345" i="18" s="1"/>
  <c r="F346" i="18" a="1"/>
  <c r="F346" i="18" s="1"/>
  <c r="F347" i="18" a="1"/>
  <c r="F347" i="18" s="1"/>
  <c r="F348" i="18" a="1"/>
  <c r="F348" i="18" s="1"/>
  <c r="F349" i="18" a="1"/>
  <c r="F349" i="18" s="1"/>
  <c r="F350" i="18" a="1"/>
  <c r="F350" i="18" s="1"/>
  <c r="F351" i="18" a="1"/>
  <c r="F351" i="18" s="1"/>
  <c r="F352" i="18" a="1"/>
  <c r="F352" i="18" s="1"/>
  <c r="F353" i="18" a="1"/>
  <c r="F353" i="18" s="1"/>
  <c r="F354" i="18" a="1"/>
  <c r="F354" i="18" s="1"/>
  <c r="F355" i="18" a="1"/>
  <c r="F355" i="18" s="1"/>
  <c r="F356" i="18" a="1"/>
  <c r="F356" i="18" s="1"/>
  <c r="F357" i="18" a="1"/>
  <c r="F357" i="18" s="1"/>
  <c r="F358" i="18" a="1"/>
  <c r="F358" i="18" s="1"/>
  <c r="F359" i="18" a="1"/>
  <c r="F359" i="18" s="1"/>
  <c r="F360" i="18" a="1"/>
  <c r="F360" i="18" s="1"/>
  <c r="F361" i="18" a="1"/>
  <c r="F361" i="18" s="1"/>
  <c r="F362" i="18" a="1"/>
  <c r="F362" i="18" s="1"/>
  <c r="F363" i="18" a="1"/>
  <c r="F363" i="18" s="1"/>
  <c r="F364" i="18" a="1"/>
  <c r="F364" i="18" s="1"/>
  <c r="F365" i="18" a="1"/>
  <c r="F365" i="18" s="1"/>
  <c r="F366" i="18" a="1"/>
  <c r="F366" i="18" s="1"/>
  <c r="F367" i="18" a="1"/>
  <c r="F367" i="18" s="1"/>
  <c r="F368" i="18" a="1"/>
  <c r="F368" i="18" s="1"/>
  <c r="F369" i="18" a="1"/>
  <c r="F369" i="18" s="1"/>
  <c r="F370" i="18" a="1"/>
  <c r="F370" i="18" s="1"/>
  <c r="F371" i="18" a="1"/>
  <c r="F371" i="18" s="1"/>
  <c r="F372" i="18" a="1"/>
  <c r="F372" i="18" s="1"/>
  <c r="F373" i="18" a="1"/>
  <c r="F373" i="18" s="1"/>
  <c r="F374" i="18" a="1"/>
  <c r="F374" i="18" s="1"/>
  <c r="F375" i="18" a="1"/>
  <c r="F375" i="18" s="1"/>
  <c r="F376" i="18" a="1"/>
  <c r="F376" i="18" s="1"/>
  <c r="F377" i="18" a="1"/>
  <c r="F377" i="18" s="1"/>
  <c r="F378" i="18" a="1"/>
  <c r="F378" i="18" s="1"/>
  <c r="F379" i="18" a="1"/>
  <c r="F379" i="18" s="1"/>
  <c r="F380" i="18" a="1"/>
  <c r="F380" i="18" s="1"/>
  <c r="F381" i="18" a="1"/>
  <c r="F381" i="18" s="1"/>
  <c r="F382" i="18" a="1"/>
  <c r="F382" i="18" s="1"/>
  <c r="F383" i="18" a="1"/>
  <c r="F383" i="18" s="1"/>
  <c r="F384" i="18" a="1"/>
  <c r="F384" i="18" s="1"/>
  <c r="F385" i="18" a="1"/>
  <c r="F385" i="18" s="1"/>
  <c r="F386" i="18" a="1"/>
  <c r="F386" i="18" s="1"/>
  <c r="F387" i="18" a="1"/>
  <c r="F387" i="18" s="1"/>
  <c r="F388" i="18" a="1"/>
  <c r="F388" i="18" s="1"/>
  <c r="G3" i="18" a="1"/>
  <c r="G3" i="18" s="1"/>
  <c r="I388" i="18"/>
  <c r="I387" i="18"/>
  <c r="I386" i="18"/>
  <c r="I385" i="18"/>
  <c r="I384" i="18"/>
  <c r="I383" i="18"/>
  <c r="I382" i="18"/>
  <c r="I381" i="18"/>
  <c r="I380" i="18"/>
  <c r="I379" i="18"/>
  <c r="I378" i="18"/>
  <c r="I377" i="18"/>
  <c r="I376" i="18"/>
  <c r="I375" i="18"/>
  <c r="I374" i="18"/>
  <c r="I373" i="18"/>
  <c r="I372" i="18"/>
  <c r="I371" i="18"/>
  <c r="I370" i="18"/>
  <c r="I369" i="18"/>
  <c r="I368" i="18"/>
  <c r="I367" i="18"/>
  <c r="I366" i="18"/>
  <c r="I365" i="18"/>
  <c r="I364" i="18"/>
  <c r="I363" i="18"/>
  <c r="I362" i="18"/>
  <c r="I361" i="18"/>
  <c r="I360" i="18"/>
  <c r="I359" i="18"/>
  <c r="I358" i="18"/>
  <c r="I357" i="18"/>
  <c r="I356" i="18"/>
  <c r="I355" i="18"/>
  <c r="I354" i="18"/>
  <c r="I353" i="18"/>
  <c r="I352" i="18"/>
  <c r="I351" i="18"/>
  <c r="I350" i="18"/>
  <c r="I349" i="18"/>
  <c r="I348" i="18"/>
  <c r="I347" i="18"/>
  <c r="I346" i="18"/>
  <c r="I345" i="18"/>
  <c r="I344" i="18"/>
  <c r="I343" i="18"/>
  <c r="I342" i="18"/>
  <c r="I341" i="18"/>
  <c r="I340" i="18"/>
  <c r="I339" i="18"/>
  <c r="I338" i="18"/>
  <c r="I337" i="18"/>
  <c r="I336" i="18"/>
  <c r="I335" i="18"/>
  <c r="I334" i="18"/>
  <c r="I333" i="18"/>
  <c r="I332" i="18"/>
  <c r="I331" i="18"/>
  <c r="I330" i="18"/>
  <c r="I329" i="18"/>
  <c r="I328" i="18"/>
  <c r="I327" i="18"/>
  <c r="I326" i="18"/>
  <c r="I325" i="18"/>
  <c r="I324" i="18"/>
  <c r="I323" i="18"/>
  <c r="I322" i="18"/>
  <c r="I321" i="18"/>
  <c r="I320" i="18"/>
  <c r="I319" i="18"/>
  <c r="I318" i="18"/>
  <c r="I317" i="18"/>
  <c r="I316" i="18"/>
  <c r="I315" i="18"/>
  <c r="I314" i="18"/>
  <c r="I313" i="18"/>
  <c r="I312" i="18"/>
  <c r="I311" i="18"/>
  <c r="I309" i="18"/>
  <c r="I308" i="18"/>
  <c r="I307" i="18"/>
  <c r="I306" i="18"/>
  <c r="I305" i="18"/>
  <c r="I304" i="18"/>
  <c r="I303" i="18"/>
  <c r="I302" i="18"/>
  <c r="I301" i="18"/>
  <c r="I299" i="18"/>
  <c r="I298" i="18"/>
  <c r="I297" i="18"/>
  <c r="I296" i="18"/>
  <c r="I295" i="18"/>
  <c r="I294" i="18"/>
  <c r="I293" i="18"/>
  <c r="I292" i="18"/>
  <c r="I291" i="18"/>
  <c r="I290" i="18"/>
  <c r="I289" i="18"/>
  <c r="I288" i="18"/>
  <c r="I287" i="18"/>
  <c r="I286" i="18"/>
  <c r="I285" i="18"/>
  <c r="I284" i="18"/>
  <c r="I283" i="18"/>
  <c r="I282" i="18"/>
  <c r="I281" i="18"/>
  <c r="I280" i="18"/>
  <c r="I279" i="18"/>
  <c r="I278" i="18"/>
  <c r="I277" i="18"/>
  <c r="I276" i="18"/>
  <c r="I275" i="18"/>
  <c r="I274" i="18"/>
  <c r="I273" i="18"/>
  <c r="I272" i="18"/>
  <c r="I271" i="18"/>
  <c r="I270" i="18"/>
  <c r="I269" i="18"/>
  <c r="I268" i="18"/>
  <c r="I267" i="18"/>
  <c r="I266" i="18"/>
  <c r="I265" i="18"/>
  <c r="I264" i="18"/>
  <c r="I263" i="18"/>
  <c r="I262" i="18"/>
  <c r="I261" i="18"/>
  <c r="I259" i="18"/>
  <c r="I258" i="18"/>
  <c r="I257" i="18"/>
  <c r="I256" i="18"/>
  <c r="I255" i="18"/>
  <c r="I254" i="18"/>
  <c r="I253" i="18"/>
  <c r="I252" i="18"/>
  <c r="I251" i="18"/>
  <c r="I250" i="18"/>
  <c r="I249" i="18"/>
  <c r="I248" i="18"/>
  <c r="I247" i="18"/>
  <c r="I246" i="18"/>
  <c r="I245" i="18"/>
  <c r="I244" i="18"/>
  <c r="I243" i="18"/>
  <c r="I242" i="18"/>
  <c r="I241" i="18"/>
  <c r="I240" i="18"/>
  <c r="I239" i="18"/>
  <c r="I238" i="18"/>
  <c r="I236" i="18"/>
  <c r="I235" i="18"/>
  <c r="I234" i="18"/>
  <c r="I233" i="18"/>
  <c r="I232" i="18"/>
  <c r="I231" i="18"/>
  <c r="I230" i="18"/>
  <c r="I229" i="18"/>
  <c r="I228" i="18"/>
  <c r="I227" i="18"/>
  <c r="I226" i="18"/>
  <c r="I225" i="18"/>
  <c r="I224" i="18"/>
  <c r="I223" i="18"/>
  <c r="I222" i="18"/>
  <c r="I221" i="18"/>
  <c r="I220" i="18"/>
  <c r="I219" i="18"/>
  <c r="I218" i="18"/>
  <c r="I217" i="18"/>
  <c r="I216" i="18"/>
  <c r="I215" i="18"/>
  <c r="I214" i="18"/>
  <c r="I213" i="18"/>
  <c r="I212" i="18"/>
  <c r="I211" i="18"/>
  <c r="I210" i="18"/>
  <c r="I209" i="18"/>
  <c r="I208" i="18"/>
  <c r="I207" i="18"/>
  <c r="I206" i="18"/>
  <c r="I205" i="18"/>
  <c r="I204" i="18"/>
  <c r="I203" i="18"/>
  <c r="I202" i="18"/>
  <c r="I201" i="18"/>
  <c r="I200" i="18"/>
  <c r="I199" i="18"/>
  <c r="I198" i="18"/>
  <c r="I197" i="18"/>
  <c r="I196" i="18"/>
  <c r="I195" i="18"/>
  <c r="I194" i="18"/>
  <c r="I191" i="18"/>
  <c r="I190" i="18"/>
  <c r="I189" i="18"/>
  <c r="I188" i="18"/>
  <c r="I187" i="18"/>
  <c r="I186" i="18"/>
  <c r="I185" i="18"/>
  <c r="I184" i="18"/>
  <c r="I183" i="18"/>
  <c r="I182" i="18"/>
  <c r="I181" i="18"/>
  <c r="I180" i="18"/>
  <c r="I179" i="18"/>
  <c r="I178" i="18"/>
  <c r="I177" i="18"/>
  <c r="I176" i="18"/>
  <c r="I175" i="18"/>
  <c r="I174" i="18"/>
  <c r="I173" i="18"/>
  <c r="I172" i="18"/>
  <c r="I171" i="18"/>
  <c r="I170" i="18"/>
  <c r="I169" i="18"/>
  <c r="I168" i="18"/>
  <c r="I167" i="18"/>
  <c r="I166" i="18"/>
  <c r="I165" i="18"/>
  <c r="I164" i="18"/>
  <c r="I163" i="18"/>
  <c r="I162" i="18"/>
  <c r="I160" i="18"/>
  <c r="I159" i="18"/>
  <c r="I158" i="18"/>
  <c r="I157" i="18"/>
  <c r="I156" i="18"/>
  <c r="I155" i="18"/>
  <c r="I154" i="18"/>
  <c r="I153" i="18"/>
  <c r="I152" i="18"/>
  <c r="I151" i="18"/>
  <c r="I149" i="18"/>
  <c r="I148" i="18"/>
  <c r="I147" i="18"/>
  <c r="I146" i="18"/>
  <c r="I145" i="18"/>
  <c r="I144" i="18"/>
  <c r="I143" i="18"/>
  <c r="I142" i="18"/>
  <c r="I141" i="18"/>
  <c r="I140" i="18"/>
  <c r="I139" i="18"/>
  <c r="I138" i="18"/>
  <c r="I137" i="18"/>
  <c r="I136" i="18"/>
  <c r="I135" i="18"/>
  <c r="I134" i="18"/>
  <c r="I133" i="18"/>
  <c r="I132" i="18"/>
  <c r="I131" i="18"/>
  <c r="I130" i="18"/>
  <c r="I129" i="18"/>
  <c r="I128" i="18"/>
  <c r="I127" i="18"/>
  <c r="I126" i="18"/>
  <c r="I125" i="18"/>
  <c r="I124" i="18"/>
  <c r="I123" i="18"/>
  <c r="I122" i="18"/>
  <c r="I121" i="18"/>
  <c r="I120" i="18"/>
  <c r="I118" i="18"/>
  <c r="I117" i="18"/>
  <c r="I116" i="18"/>
  <c r="I115" i="18"/>
  <c r="I114" i="18"/>
  <c r="I113" i="18"/>
  <c r="I112" i="18"/>
  <c r="I111" i="18"/>
  <c r="I110" i="18"/>
  <c r="I109" i="18"/>
  <c r="I108" i="18"/>
  <c r="I107" i="18"/>
  <c r="I106" i="18"/>
  <c r="I105" i="18"/>
  <c r="I104" i="18"/>
  <c r="I103" i="18"/>
  <c r="I102" i="18"/>
  <c r="I101" i="18"/>
  <c r="I100" i="18"/>
  <c r="I99" i="18"/>
  <c r="I98" i="18"/>
  <c r="I97" i="18"/>
  <c r="I96" i="18"/>
  <c r="I95" i="18"/>
  <c r="I94" i="18"/>
  <c r="I93" i="18"/>
  <c r="I92" i="18"/>
  <c r="I91" i="18"/>
  <c r="I90" i="18"/>
  <c r="I89" i="18"/>
  <c r="I88" i="18"/>
  <c r="I87" i="18"/>
  <c r="I86" i="18"/>
  <c r="I85" i="18"/>
  <c r="I84" i="18"/>
  <c r="I83" i="18"/>
  <c r="I82" i="18"/>
  <c r="I81" i="18"/>
  <c r="I80" i="18"/>
  <c r="I79" i="18"/>
  <c r="I78" i="18"/>
  <c r="I76" i="18"/>
  <c r="I75" i="18"/>
  <c r="I74" i="18"/>
  <c r="I73" i="18"/>
  <c r="I72" i="18"/>
  <c r="I71" i="18"/>
  <c r="I70" i="18"/>
  <c r="I69" i="18"/>
  <c r="I68" i="18"/>
  <c r="I67" i="18"/>
  <c r="I66" i="18"/>
  <c r="I65" i="18"/>
  <c r="I64" i="18"/>
  <c r="I63" i="18"/>
  <c r="I62" i="18"/>
  <c r="I61" i="18"/>
  <c r="I60" i="18"/>
  <c r="I59" i="18"/>
  <c r="I58" i="18"/>
  <c r="I57" i="18"/>
  <c r="I56" i="18"/>
  <c r="I55" i="18"/>
  <c r="I54" i="18"/>
  <c r="I53" i="18"/>
  <c r="I52" i="18"/>
  <c r="I51" i="18"/>
  <c r="I50" i="18"/>
  <c r="I49" i="18"/>
  <c r="I48" i="18"/>
  <c r="I47" i="18"/>
  <c r="I46" i="18"/>
  <c r="I45" i="18"/>
  <c r="I44" i="18"/>
  <c r="I43" i="18"/>
  <c r="I42" i="18"/>
  <c r="I41" i="18"/>
  <c r="I40" i="18"/>
  <c r="I39" i="18"/>
  <c r="I38" i="18"/>
  <c r="I37" i="18"/>
  <c r="I36" i="18"/>
  <c r="I35" i="18"/>
  <c r="I34" i="18"/>
  <c r="I33" i="18"/>
  <c r="I32" i="18"/>
  <c r="I31" i="18"/>
  <c r="I30" i="18"/>
  <c r="I29" i="18"/>
  <c r="I28" i="18"/>
  <c r="I27" i="18"/>
  <c r="I26" i="18"/>
  <c r="I25" i="18"/>
  <c r="I24" i="18"/>
  <c r="I23" i="18"/>
  <c r="I22" i="18"/>
  <c r="I21" i="18"/>
  <c r="I20" i="18"/>
  <c r="I19" i="18"/>
  <c r="I18" i="18"/>
  <c r="I17" i="18"/>
  <c r="I16" i="18"/>
  <c r="I15" i="18"/>
  <c r="I13" i="18"/>
  <c r="I12" i="18"/>
  <c r="I11" i="18"/>
  <c r="I10" i="18"/>
  <c r="I9" i="18"/>
  <c r="I8" i="18"/>
  <c r="I7" i="18"/>
  <c r="I6" i="18"/>
  <c r="I5" i="18"/>
  <c r="I4" i="18"/>
  <c r="I3"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G388" i="18" a="1"/>
  <c r="G388" i="18" s="1"/>
  <c r="G387" i="18" a="1"/>
  <c r="G387" i="18" s="1"/>
  <c r="G386" i="18" a="1"/>
  <c r="G386" i="18" s="1"/>
  <c r="G385" i="18" a="1"/>
  <c r="G385" i="18" s="1"/>
  <c r="G384" i="18" a="1"/>
  <c r="G384" i="18" s="1"/>
  <c r="G383" i="18" a="1"/>
  <c r="G383" i="18" s="1"/>
  <c r="G382" i="18" a="1"/>
  <c r="G382" i="18" s="1"/>
  <c r="G381" i="18" a="1"/>
  <c r="G381" i="18" s="1"/>
  <c r="G380" i="18" a="1"/>
  <c r="G380" i="18" s="1"/>
  <c r="G379" i="18" a="1"/>
  <c r="G379" i="18" s="1"/>
  <c r="G378" i="18" a="1"/>
  <c r="G378" i="18" s="1"/>
  <c r="G377" i="18" a="1"/>
  <c r="G377" i="18" s="1"/>
  <c r="G376" i="18" a="1"/>
  <c r="G376" i="18" s="1"/>
  <c r="G375" i="18" a="1"/>
  <c r="G375" i="18" s="1"/>
  <c r="G374" i="18" a="1"/>
  <c r="G374" i="18" s="1"/>
  <c r="G373" i="18" a="1"/>
  <c r="G373" i="18" s="1"/>
  <c r="G372" i="18" a="1"/>
  <c r="G372" i="18" s="1"/>
  <c r="G371" i="18" a="1"/>
  <c r="G371" i="18" s="1"/>
  <c r="G370" i="18" a="1"/>
  <c r="G370" i="18" s="1"/>
  <c r="G369" i="18" a="1"/>
  <c r="G369" i="18" s="1"/>
  <c r="G368" i="18" a="1"/>
  <c r="G368" i="18" s="1"/>
  <c r="G367" i="18" a="1"/>
  <c r="G367" i="18" s="1"/>
  <c r="G366" i="18" a="1"/>
  <c r="G366" i="18" s="1"/>
  <c r="G365" i="18" a="1"/>
  <c r="G365" i="18" s="1"/>
  <c r="G364" i="18" a="1"/>
  <c r="G364" i="18" s="1"/>
  <c r="G363" i="18" a="1"/>
  <c r="G363" i="18" s="1"/>
  <c r="G362" i="18" a="1"/>
  <c r="G362" i="18" s="1"/>
  <c r="G361" i="18" a="1"/>
  <c r="G361" i="18" s="1"/>
  <c r="G360" i="18" a="1"/>
  <c r="G360" i="18" s="1"/>
  <c r="G359" i="18" a="1"/>
  <c r="G359" i="18" s="1"/>
  <c r="G358" i="18" a="1"/>
  <c r="G358" i="18" s="1"/>
  <c r="G357" i="18" a="1"/>
  <c r="G357" i="18" s="1"/>
  <c r="G356" i="18" a="1"/>
  <c r="G356" i="18" s="1"/>
  <c r="G355" i="18" a="1"/>
  <c r="G355" i="18" s="1"/>
  <c r="G354" i="18" a="1"/>
  <c r="G354" i="18" s="1"/>
  <c r="G353" i="18" a="1"/>
  <c r="G353" i="18" s="1"/>
  <c r="G352" i="18" a="1"/>
  <c r="G352" i="18" s="1"/>
  <c r="G351" i="18" a="1"/>
  <c r="G351" i="18" s="1"/>
  <c r="G350" i="18" a="1"/>
  <c r="G350" i="18" s="1"/>
  <c r="G349" i="18" a="1"/>
  <c r="G349" i="18" s="1"/>
  <c r="G348" i="18" a="1"/>
  <c r="G348" i="18" s="1"/>
  <c r="G347" i="18" a="1"/>
  <c r="G347" i="18" s="1"/>
  <c r="G346" i="18" a="1"/>
  <c r="G346" i="18" s="1"/>
  <c r="G345" i="18" a="1"/>
  <c r="G345" i="18" s="1"/>
  <c r="G344" i="18" a="1"/>
  <c r="G344" i="18" s="1"/>
  <c r="G343" i="18" a="1"/>
  <c r="G343" i="18" s="1"/>
  <c r="G342" i="18" a="1"/>
  <c r="G342" i="18" s="1"/>
  <c r="G341" i="18" a="1"/>
  <c r="G341" i="18" s="1"/>
  <c r="G340" i="18" a="1"/>
  <c r="G340" i="18" s="1"/>
  <c r="G339" i="18" a="1"/>
  <c r="G339" i="18" s="1"/>
  <c r="G338" i="18" a="1"/>
  <c r="G338" i="18" s="1"/>
  <c r="G337" i="18" a="1"/>
  <c r="G337" i="18" s="1"/>
  <c r="G336" i="18" a="1"/>
  <c r="G336" i="18" s="1"/>
  <c r="G335" i="18" a="1"/>
  <c r="G335" i="18" s="1"/>
  <c r="G334" i="18" a="1"/>
  <c r="G334" i="18" s="1"/>
  <c r="G333" i="18" a="1"/>
  <c r="G333" i="18" s="1"/>
  <c r="G332" i="18" a="1"/>
  <c r="G332" i="18" s="1"/>
  <c r="G331" i="18" a="1"/>
  <c r="G331" i="18" s="1"/>
  <c r="G330" i="18" a="1"/>
  <c r="G330" i="18" s="1"/>
  <c r="G329" i="18" a="1"/>
  <c r="G329" i="18" s="1"/>
  <c r="G328" i="18" a="1"/>
  <c r="G328" i="18" s="1"/>
  <c r="G327" i="18" a="1"/>
  <c r="G327" i="18" s="1"/>
  <c r="G326" i="18" a="1"/>
  <c r="G326" i="18" s="1"/>
  <c r="G325" i="18" a="1"/>
  <c r="G325" i="18" s="1"/>
  <c r="G324" i="18" a="1"/>
  <c r="G324" i="18" s="1"/>
  <c r="G323" i="18" a="1"/>
  <c r="G323" i="18" s="1"/>
  <c r="G322" i="18" a="1"/>
  <c r="G322" i="18" s="1"/>
  <c r="G321" i="18" a="1"/>
  <c r="G321" i="18" s="1"/>
  <c r="G320" i="18" a="1"/>
  <c r="G320" i="18" s="1"/>
  <c r="G319" i="18" a="1"/>
  <c r="G319" i="18" s="1"/>
  <c r="G318" i="18" a="1"/>
  <c r="G318" i="18" s="1"/>
  <c r="G317" i="18" a="1"/>
  <c r="G317" i="18" s="1"/>
  <c r="G316" i="18" a="1"/>
  <c r="G316" i="18" s="1"/>
  <c r="G315" i="18" a="1"/>
  <c r="G315" i="18" s="1"/>
  <c r="G314" i="18" a="1"/>
  <c r="G314" i="18" s="1"/>
  <c r="G313" i="18" a="1"/>
  <c r="G313" i="18" s="1"/>
  <c r="G312" i="18" a="1"/>
  <c r="G312" i="18" s="1"/>
  <c r="G311" i="18" a="1"/>
  <c r="G311" i="18" s="1"/>
  <c r="G310" i="18" a="1"/>
  <c r="G310" i="18" s="1"/>
  <c r="G309" i="18" a="1"/>
  <c r="G309" i="18" s="1"/>
  <c r="G308" i="18" a="1"/>
  <c r="G308" i="18" s="1"/>
  <c r="G307" i="18" a="1"/>
  <c r="G307" i="18" s="1"/>
  <c r="G306" i="18" a="1"/>
  <c r="G306" i="18" s="1"/>
  <c r="G305" i="18" a="1"/>
  <c r="G305" i="18" s="1"/>
  <c r="G304" i="18" a="1"/>
  <c r="G304" i="18" s="1"/>
  <c r="G303" i="18" a="1"/>
  <c r="G303" i="18" s="1"/>
  <c r="G302" i="18" a="1"/>
  <c r="G302" i="18" s="1"/>
  <c r="G301" i="18" a="1"/>
  <c r="G301" i="18" s="1"/>
  <c r="G300" i="18" a="1"/>
  <c r="G300" i="18" s="1"/>
  <c r="G299" i="18" a="1"/>
  <c r="G299" i="18" s="1"/>
  <c r="G298" i="18" a="1"/>
  <c r="G298" i="18" s="1"/>
  <c r="G297" i="18" a="1"/>
  <c r="G297" i="18" s="1"/>
  <c r="G296" i="18" a="1"/>
  <c r="G296" i="18" s="1"/>
  <c r="G295" i="18" a="1"/>
  <c r="G295" i="18" s="1"/>
  <c r="G294" i="18" a="1"/>
  <c r="G294" i="18" s="1"/>
  <c r="G293" i="18" a="1"/>
  <c r="G293" i="18" s="1"/>
  <c r="G292" i="18" a="1"/>
  <c r="G292" i="18" s="1"/>
  <c r="G291" i="18" a="1"/>
  <c r="G291" i="18" s="1"/>
  <c r="G290" i="18" a="1"/>
  <c r="G290" i="18" s="1"/>
  <c r="G289" i="18" a="1"/>
  <c r="G289" i="18" s="1"/>
  <c r="G288" i="18" a="1"/>
  <c r="G288" i="18" s="1"/>
  <c r="G287" i="18" a="1"/>
  <c r="G287" i="18" s="1"/>
  <c r="G286" i="18" a="1"/>
  <c r="G286" i="18" s="1"/>
  <c r="G285" i="18" a="1"/>
  <c r="G285" i="18" s="1"/>
  <c r="G284" i="18" a="1"/>
  <c r="G284" i="18" s="1"/>
  <c r="G283" i="18" a="1"/>
  <c r="G283" i="18" s="1"/>
  <c r="G282" i="18" a="1"/>
  <c r="G282" i="18" s="1"/>
  <c r="G281" i="18" a="1"/>
  <c r="G281" i="18" s="1"/>
  <c r="G280" i="18" a="1"/>
  <c r="G280" i="18" s="1"/>
  <c r="G279" i="18" a="1"/>
  <c r="G279" i="18" s="1"/>
  <c r="G278" i="18" a="1"/>
  <c r="G278" i="18" s="1"/>
  <c r="G277" i="18" a="1"/>
  <c r="G277" i="18" s="1"/>
  <c r="G276" i="18" a="1"/>
  <c r="G276" i="18" s="1"/>
  <c r="G275" i="18" a="1"/>
  <c r="G275" i="18" s="1"/>
  <c r="G274" i="18" a="1"/>
  <c r="G274" i="18" s="1"/>
  <c r="G273" i="18" a="1"/>
  <c r="G273" i="18" s="1"/>
  <c r="G272" i="18" a="1"/>
  <c r="G272" i="18" s="1"/>
  <c r="G271" i="18" a="1"/>
  <c r="G271" i="18" s="1"/>
  <c r="G270" i="18" a="1"/>
  <c r="G270" i="18" s="1"/>
  <c r="G269" i="18" a="1"/>
  <c r="G269" i="18" s="1"/>
  <c r="G268" i="18" a="1"/>
  <c r="G268" i="18" s="1"/>
  <c r="G267" i="18" a="1"/>
  <c r="G267" i="18" s="1"/>
  <c r="G266" i="18" a="1"/>
  <c r="G266" i="18" s="1"/>
  <c r="G265" i="18" a="1"/>
  <c r="G265" i="18" s="1"/>
  <c r="G264" i="18" a="1"/>
  <c r="G264" i="18" s="1"/>
  <c r="G263" i="18" a="1"/>
  <c r="G263" i="18" s="1"/>
  <c r="G262" i="18" a="1"/>
  <c r="G262" i="18" s="1"/>
  <c r="G261" i="18" a="1"/>
  <c r="G261" i="18" s="1"/>
  <c r="G260" i="18" a="1"/>
  <c r="G260" i="18" s="1"/>
  <c r="G259" i="18" a="1"/>
  <c r="G259" i="18" s="1"/>
  <c r="G258" i="18" a="1"/>
  <c r="G258" i="18" s="1"/>
  <c r="G257" i="18" a="1"/>
  <c r="G257" i="18" s="1"/>
  <c r="G256" i="18" a="1"/>
  <c r="G256" i="18" s="1"/>
  <c r="G255" i="18" a="1"/>
  <c r="G255" i="18" s="1"/>
  <c r="G254" i="18" a="1"/>
  <c r="G254" i="18" s="1"/>
  <c r="G253" i="18" a="1"/>
  <c r="G253" i="18" s="1"/>
  <c r="G252" i="18" a="1"/>
  <c r="G252" i="18" s="1"/>
  <c r="G251" i="18" a="1"/>
  <c r="G251" i="18" s="1"/>
  <c r="G250" i="18" a="1"/>
  <c r="G250" i="18" s="1"/>
  <c r="G249" i="18" a="1"/>
  <c r="G249" i="18" s="1"/>
  <c r="G248" i="18" a="1"/>
  <c r="G248" i="18" s="1"/>
  <c r="G247" i="18" a="1"/>
  <c r="G247" i="18" s="1"/>
  <c r="G246" i="18" a="1"/>
  <c r="G246" i="18" s="1"/>
  <c r="G245" i="18" a="1"/>
  <c r="G245" i="18" s="1"/>
  <c r="G244" i="18" a="1"/>
  <c r="G244" i="18" s="1"/>
  <c r="G243" i="18" a="1"/>
  <c r="G243" i="18" s="1"/>
  <c r="G242" i="18" a="1"/>
  <c r="G242" i="18" s="1"/>
  <c r="G241" i="18" a="1"/>
  <c r="G241" i="18" s="1"/>
  <c r="G240" i="18" a="1"/>
  <c r="G240" i="18" s="1"/>
  <c r="G239" i="18" a="1"/>
  <c r="G239" i="18" s="1"/>
  <c r="G238" i="18" a="1"/>
  <c r="G238" i="18" s="1"/>
  <c r="G237" i="18" a="1"/>
  <c r="G237" i="18" s="1"/>
  <c r="G236" i="18" a="1"/>
  <c r="G236" i="18" s="1"/>
  <c r="G235" i="18" a="1"/>
  <c r="G235" i="18" s="1"/>
  <c r="G234" i="18" a="1"/>
  <c r="G234" i="18" s="1"/>
  <c r="G233" i="18" a="1"/>
  <c r="G233" i="18" s="1"/>
  <c r="G232" i="18" a="1"/>
  <c r="G232" i="18" s="1"/>
  <c r="G231" i="18" a="1"/>
  <c r="G231" i="18" s="1"/>
  <c r="G230" i="18" a="1"/>
  <c r="G230" i="18" s="1"/>
  <c r="G229" i="18" a="1"/>
  <c r="G229" i="18" s="1"/>
  <c r="G228" i="18" a="1"/>
  <c r="G228" i="18" s="1"/>
  <c r="G227" i="18" a="1"/>
  <c r="G227" i="18" s="1"/>
  <c r="G226" i="18" a="1"/>
  <c r="G226" i="18" s="1"/>
  <c r="G225" i="18" a="1"/>
  <c r="G225" i="18" s="1"/>
  <c r="G224" i="18" a="1"/>
  <c r="G224" i="18" s="1"/>
  <c r="G223" i="18" a="1"/>
  <c r="G223" i="18" s="1"/>
  <c r="G222" i="18" a="1"/>
  <c r="G222" i="18" s="1"/>
  <c r="G221" i="18" a="1"/>
  <c r="G221" i="18" s="1"/>
  <c r="G220" i="18" a="1"/>
  <c r="G220" i="18" s="1"/>
  <c r="G219" i="18" a="1"/>
  <c r="G219" i="18" s="1"/>
  <c r="G218" i="18" a="1"/>
  <c r="G218" i="18" s="1"/>
  <c r="G217" i="18" a="1"/>
  <c r="G217" i="18" s="1"/>
  <c r="G216" i="18" a="1"/>
  <c r="G216" i="18" s="1"/>
  <c r="G215" i="18" a="1"/>
  <c r="G215" i="18" s="1"/>
  <c r="G214" i="18" a="1"/>
  <c r="G214" i="18" s="1"/>
  <c r="G213" i="18" a="1"/>
  <c r="G213" i="18" s="1"/>
  <c r="G212" i="18" a="1"/>
  <c r="G212" i="18" s="1"/>
  <c r="G211" i="18" a="1"/>
  <c r="G211" i="18" s="1"/>
  <c r="G210" i="18" a="1"/>
  <c r="G210" i="18" s="1"/>
  <c r="G209" i="18" a="1"/>
  <c r="G209" i="18" s="1"/>
  <c r="G208" i="18" a="1"/>
  <c r="G208" i="18" s="1"/>
  <c r="G207" i="18" a="1"/>
  <c r="G207" i="18" s="1"/>
  <c r="G206" i="18" a="1"/>
  <c r="G206" i="18" s="1"/>
  <c r="G205" i="18" a="1"/>
  <c r="G205" i="18" s="1"/>
  <c r="G204" i="18" a="1"/>
  <c r="G204" i="18" s="1"/>
  <c r="G203" i="18" a="1"/>
  <c r="G203" i="18" s="1"/>
  <c r="G202" i="18" a="1"/>
  <c r="G202" i="18" s="1"/>
  <c r="G201" i="18" a="1"/>
  <c r="G201" i="18" s="1"/>
  <c r="G200" i="18" a="1"/>
  <c r="G200" i="18" s="1"/>
  <c r="G199" i="18" a="1"/>
  <c r="G199" i="18" s="1"/>
  <c r="G198" i="18" a="1"/>
  <c r="G198" i="18" s="1"/>
  <c r="G197" i="18" a="1"/>
  <c r="G197" i="18" s="1"/>
  <c r="G196" i="18" a="1"/>
  <c r="G196" i="18" s="1"/>
  <c r="G195" i="18" a="1"/>
  <c r="G195" i="18" s="1"/>
  <c r="G194" i="18" a="1"/>
  <c r="G194" i="18" s="1"/>
  <c r="G193" i="18" a="1"/>
  <c r="G193" i="18" s="1"/>
  <c r="G192" i="18" a="1"/>
  <c r="G192" i="18" s="1"/>
  <c r="G191" i="18" a="1"/>
  <c r="G191" i="18" s="1"/>
  <c r="G190" i="18" a="1"/>
  <c r="G190" i="18" s="1"/>
  <c r="G189" i="18" a="1"/>
  <c r="G189" i="18" s="1"/>
  <c r="G188" i="18" a="1"/>
  <c r="G188" i="18" s="1"/>
  <c r="G187" i="18" a="1"/>
  <c r="G187" i="18" s="1"/>
  <c r="G186" i="18" a="1"/>
  <c r="G186" i="18" s="1"/>
  <c r="G185" i="18" a="1"/>
  <c r="G185" i="18" s="1"/>
  <c r="G184" i="18" a="1"/>
  <c r="G184" i="18" s="1"/>
  <c r="G183" i="18" a="1"/>
  <c r="G183" i="18" s="1"/>
  <c r="G182" i="18" a="1"/>
  <c r="G182" i="18" s="1"/>
  <c r="G181" i="18" a="1"/>
  <c r="G181" i="18" s="1"/>
  <c r="G180" i="18" a="1"/>
  <c r="G180" i="18" s="1"/>
  <c r="G179" i="18" a="1"/>
  <c r="G179" i="18" s="1"/>
  <c r="G178" i="18" a="1"/>
  <c r="G178" i="18" s="1"/>
  <c r="G177" i="18" a="1"/>
  <c r="G177" i="18" s="1"/>
  <c r="G176" i="18" a="1"/>
  <c r="G176" i="18" s="1"/>
  <c r="G175" i="18" a="1"/>
  <c r="G175" i="18" s="1"/>
  <c r="G174" i="18" a="1"/>
  <c r="G174" i="18" s="1"/>
  <c r="G173" i="18" a="1"/>
  <c r="G173" i="18" s="1"/>
  <c r="G172" i="18" a="1"/>
  <c r="G172" i="18" s="1"/>
  <c r="G171" i="18" a="1"/>
  <c r="G171" i="18" s="1"/>
  <c r="G170" i="18" a="1"/>
  <c r="G170" i="18" s="1"/>
  <c r="G169" i="18" a="1"/>
  <c r="G169" i="18" s="1"/>
  <c r="G168" i="18" a="1"/>
  <c r="G168" i="18" s="1"/>
  <c r="G167" i="18" a="1"/>
  <c r="G167" i="18" s="1"/>
  <c r="G166" i="18" a="1"/>
  <c r="G166" i="18" s="1"/>
  <c r="G165" i="18" a="1"/>
  <c r="G165" i="18" s="1"/>
  <c r="G164" i="18" a="1"/>
  <c r="G164" i="18" s="1"/>
  <c r="G163" i="18" a="1"/>
  <c r="G163" i="18" s="1"/>
  <c r="G162" i="18" a="1"/>
  <c r="G162" i="18" s="1"/>
  <c r="G161" i="18" a="1"/>
  <c r="G161" i="18" s="1"/>
  <c r="G160" i="18" a="1"/>
  <c r="G160" i="18" s="1"/>
  <c r="G159" i="18" a="1"/>
  <c r="G159" i="18" s="1"/>
  <c r="G158" i="18" a="1"/>
  <c r="G158" i="18" s="1"/>
  <c r="G157" i="18" a="1"/>
  <c r="G157" i="18" s="1"/>
  <c r="G156" i="18" a="1"/>
  <c r="G156" i="18" s="1"/>
  <c r="G155" i="18" a="1"/>
  <c r="G155" i="18" s="1"/>
  <c r="G154" i="18" a="1"/>
  <c r="G154" i="18" s="1"/>
  <c r="G153" i="18" a="1"/>
  <c r="G153" i="18" s="1"/>
  <c r="G152" i="18" a="1"/>
  <c r="G152" i="18" s="1"/>
  <c r="G151" i="18" a="1"/>
  <c r="G151" i="18" s="1"/>
  <c r="G150" i="18" a="1"/>
  <c r="G150" i="18" s="1"/>
  <c r="G149" i="18" a="1"/>
  <c r="G149" i="18" s="1"/>
  <c r="G148" i="18" a="1"/>
  <c r="G148" i="18" s="1"/>
  <c r="G147" i="18" a="1"/>
  <c r="G147" i="18" s="1"/>
  <c r="G146" i="18" a="1"/>
  <c r="G146" i="18" s="1"/>
  <c r="G145" i="18" a="1"/>
  <c r="G145" i="18" s="1"/>
  <c r="G144" i="18" a="1"/>
  <c r="G144" i="18" s="1"/>
  <c r="G143" i="18" a="1"/>
  <c r="G143" i="18" s="1"/>
  <c r="G142" i="18" a="1"/>
  <c r="G142" i="18" s="1"/>
  <c r="G141" i="18" a="1"/>
  <c r="G141" i="18" s="1"/>
  <c r="G140" i="18" a="1"/>
  <c r="G140" i="18" s="1"/>
  <c r="G139" i="18" a="1"/>
  <c r="G139" i="18" s="1"/>
  <c r="G138" i="18" a="1"/>
  <c r="G138" i="18" s="1"/>
  <c r="G137" i="18" a="1"/>
  <c r="G137" i="18" s="1"/>
  <c r="G136" i="18" a="1"/>
  <c r="G136" i="18" s="1"/>
  <c r="G135" i="18" a="1"/>
  <c r="G135" i="18" s="1"/>
  <c r="G134" i="18" a="1"/>
  <c r="G134" i="18" s="1"/>
  <c r="G133" i="18" a="1"/>
  <c r="G133" i="18" s="1"/>
  <c r="G132" i="18" a="1"/>
  <c r="G132" i="18" s="1"/>
  <c r="G131" i="18" a="1"/>
  <c r="G131" i="18" s="1"/>
  <c r="G130" i="18" a="1"/>
  <c r="G130" i="18" s="1"/>
  <c r="G129" i="18" a="1"/>
  <c r="G129" i="18" s="1"/>
  <c r="G128" i="18" a="1"/>
  <c r="G128" i="18" s="1"/>
  <c r="G127" i="18" a="1"/>
  <c r="G127" i="18" s="1"/>
  <c r="G126" i="18" a="1"/>
  <c r="G126" i="18" s="1"/>
  <c r="G125" i="18" a="1"/>
  <c r="G125" i="18" s="1"/>
  <c r="G124" i="18" a="1"/>
  <c r="G124" i="18" s="1"/>
  <c r="G123" i="18" a="1"/>
  <c r="G123" i="18" s="1"/>
  <c r="G122" i="18" a="1"/>
  <c r="G122" i="18" s="1"/>
  <c r="G121" i="18" a="1"/>
  <c r="G121" i="18" s="1"/>
  <c r="G120" i="18" a="1"/>
  <c r="G120" i="18" s="1"/>
  <c r="G119" i="18" a="1"/>
  <c r="G119" i="18" s="1"/>
  <c r="G118" i="18" a="1"/>
  <c r="G118" i="18" s="1"/>
  <c r="G117" i="18" a="1"/>
  <c r="G117" i="18" s="1"/>
  <c r="G116" i="18" a="1"/>
  <c r="G116" i="18" s="1"/>
  <c r="G115" i="18" a="1"/>
  <c r="G115" i="18" s="1"/>
  <c r="G114" i="18" a="1"/>
  <c r="G114" i="18" s="1"/>
  <c r="G113" i="18" a="1"/>
  <c r="G113" i="18" s="1"/>
  <c r="G112" i="18" a="1"/>
  <c r="G112" i="18" s="1"/>
  <c r="G111" i="18" a="1"/>
  <c r="G111" i="18" s="1"/>
  <c r="G110" i="18" a="1"/>
  <c r="G110" i="18" s="1"/>
  <c r="G109" i="18" a="1"/>
  <c r="G109" i="18" s="1"/>
  <c r="G108" i="18" a="1"/>
  <c r="G108" i="18" s="1"/>
  <c r="G107" i="18" a="1"/>
  <c r="G107" i="18" s="1"/>
  <c r="G106" i="18" a="1"/>
  <c r="G106" i="18" s="1"/>
  <c r="G105" i="18" a="1"/>
  <c r="G105" i="18" s="1"/>
  <c r="G104" i="18" a="1"/>
  <c r="G104" i="18" s="1"/>
  <c r="G103" i="18" a="1"/>
  <c r="G103" i="18" s="1"/>
  <c r="G102" i="18" a="1"/>
  <c r="G102" i="18" s="1"/>
  <c r="G101" i="18" a="1"/>
  <c r="G101" i="18" s="1"/>
  <c r="G100" i="18" a="1"/>
  <c r="G100" i="18" s="1"/>
  <c r="G99" i="18" a="1"/>
  <c r="G99" i="18" s="1"/>
  <c r="G98" i="18" a="1"/>
  <c r="G98" i="18" s="1"/>
  <c r="G97" i="18" a="1"/>
  <c r="G97" i="18" s="1"/>
  <c r="G96" i="18" a="1"/>
  <c r="G96" i="18" s="1"/>
  <c r="G95" i="18" a="1"/>
  <c r="G95" i="18" s="1"/>
  <c r="G94" i="18" a="1"/>
  <c r="G94" i="18" s="1"/>
  <c r="G93" i="18" a="1"/>
  <c r="G93" i="18" s="1"/>
  <c r="G92" i="18" a="1"/>
  <c r="G92" i="18" s="1"/>
  <c r="G91" i="18" a="1"/>
  <c r="G91" i="18" s="1"/>
  <c r="G90" i="18" a="1"/>
  <c r="G90" i="18" s="1"/>
  <c r="G89" i="18" a="1"/>
  <c r="G89" i="18" s="1"/>
  <c r="G88" i="18" a="1"/>
  <c r="G88" i="18" s="1"/>
  <c r="G87" i="18" a="1"/>
  <c r="G87" i="18" s="1"/>
  <c r="G86" i="18" a="1"/>
  <c r="G86" i="18" s="1"/>
  <c r="G85" i="18" a="1"/>
  <c r="G85" i="18" s="1"/>
  <c r="G84" i="18" a="1"/>
  <c r="G84" i="18" s="1"/>
  <c r="G83" i="18" a="1"/>
  <c r="G83" i="18" s="1"/>
  <c r="G82" i="18" a="1"/>
  <c r="G82" i="18" s="1"/>
  <c r="G81" i="18" a="1"/>
  <c r="G81" i="18" s="1"/>
  <c r="G80" i="18" a="1"/>
  <c r="G80" i="18" s="1"/>
  <c r="G79" i="18" a="1"/>
  <c r="G79" i="18" s="1"/>
  <c r="G78" i="18" a="1"/>
  <c r="G78" i="18" s="1"/>
  <c r="G77" i="18" a="1"/>
  <c r="G77" i="18" s="1"/>
  <c r="G76" i="18" a="1"/>
  <c r="G76" i="18" s="1"/>
  <c r="G75" i="18" a="1"/>
  <c r="G75" i="18" s="1"/>
  <c r="G74" i="18" a="1"/>
  <c r="G74" i="18" s="1"/>
  <c r="G73" i="18" a="1"/>
  <c r="G73" i="18" s="1"/>
  <c r="G72" i="18" a="1"/>
  <c r="G72" i="18" s="1"/>
  <c r="G71" i="18" a="1"/>
  <c r="G71" i="18" s="1"/>
  <c r="G70" i="18" a="1"/>
  <c r="G70" i="18" s="1"/>
  <c r="G69" i="18" a="1"/>
  <c r="G69" i="18" s="1"/>
  <c r="G68" i="18" a="1"/>
  <c r="G68" i="18" s="1"/>
  <c r="G67" i="18" a="1"/>
  <c r="G67" i="18" s="1"/>
  <c r="G66" i="18" a="1"/>
  <c r="G66" i="18" s="1"/>
  <c r="G65" i="18" a="1"/>
  <c r="G65" i="18" s="1"/>
  <c r="G64" i="18" a="1"/>
  <c r="G64" i="18" s="1"/>
  <c r="G63" i="18" a="1"/>
  <c r="G63" i="18" s="1"/>
  <c r="G62" i="18" a="1"/>
  <c r="G62" i="18" s="1"/>
  <c r="G61" i="18" a="1"/>
  <c r="G61" i="18" s="1"/>
  <c r="G60" i="18" a="1"/>
  <c r="G60" i="18" s="1"/>
  <c r="G59" i="18" a="1"/>
  <c r="G59" i="18" s="1"/>
  <c r="G58" i="18" a="1"/>
  <c r="G58" i="18" s="1"/>
  <c r="G57" i="18" a="1"/>
  <c r="G57" i="18" s="1"/>
  <c r="G56" i="18" a="1"/>
  <c r="G56" i="18" s="1"/>
  <c r="G55" i="18" a="1"/>
  <c r="G55" i="18" s="1"/>
  <c r="G54" i="18" a="1"/>
  <c r="G54" i="18" s="1"/>
  <c r="G53" i="18" a="1"/>
  <c r="G53" i="18" s="1"/>
  <c r="G52" i="18" a="1"/>
  <c r="G52" i="18" s="1"/>
  <c r="G51" i="18" a="1"/>
  <c r="G51" i="18" s="1"/>
  <c r="G50" i="18" a="1"/>
  <c r="G50" i="18" s="1"/>
  <c r="G49" i="18" a="1"/>
  <c r="G49" i="18" s="1"/>
  <c r="G48" i="18" a="1"/>
  <c r="G48" i="18" s="1"/>
  <c r="G47" i="18" a="1"/>
  <c r="G47" i="18" s="1"/>
  <c r="G46" i="18" a="1"/>
  <c r="G46" i="18" s="1"/>
  <c r="G45" i="18" a="1"/>
  <c r="G45" i="18" s="1"/>
  <c r="G44" i="18" a="1"/>
  <c r="G44" i="18" s="1"/>
  <c r="G43" i="18" a="1"/>
  <c r="G43" i="18" s="1"/>
  <c r="G42" i="18" a="1"/>
  <c r="G42" i="18" s="1"/>
  <c r="G41" i="18" a="1"/>
  <c r="G41" i="18" s="1"/>
  <c r="G40" i="18" a="1"/>
  <c r="G40" i="18" s="1"/>
  <c r="G39" i="18" a="1"/>
  <c r="G39" i="18" s="1"/>
  <c r="G38" i="18" a="1"/>
  <c r="G38" i="18" s="1"/>
  <c r="G37" i="18" a="1"/>
  <c r="G37" i="18" s="1"/>
  <c r="G36" i="18" a="1"/>
  <c r="G36" i="18" s="1"/>
  <c r="G35" i="18" a="1"/>
  <c r="G35" i="18" s="1"/>
  <c r="G34" i="18" a="1"/>
  <c r="G34" i="18" s="1"/>
  <c r="G33" i="18" a="1"/>
  <c r="G33" i="18" s="1"/>
  <c r="G32" i="18" a="1"/>
  <c r="G32" i="18" s="1"/>
  <c r="G31" i="18" a="1"/>
  <c r="G31" i="18" s="1"/>
  <c r="G30" i="18" a="1"/>
  <c r="G30" i="18" s="1"/>
  <c r="G29" i="18" a="1"/>
  <c r="G29" i="18" s="1"/>
  <c r="G28" i="18" a="1"/>
  <c r="G28" i="18" s="1"/>
  <c r="G27" i="18" a="1"/>
  <c r="G27" i="18" s="1"/>
  <c r="G26" i="18" a="1"/>
  <c r="G26" i="18" s="1"/>
  <c r="G25" i="18" a="1"/>
  <c r="G25" i="18" s="1"/>
  <c r="G24" i="18" a="1"/>
  <c r="G24" i="18" s="1"/>
  <c r="G23" i="18" a="1"/>
  <c r="G23" i="18" s="1"/>
  <c r="G22" i="18" a="1"/>
  <c r="G22" i="18" s="1"/>
  <c r="G21" i="18" a="1"/>
  <c r="G21" i="18" s="1"/>
  <c r="G20" i="18" a="1"/>
  <c r="G20" i="18" s="1"/>
  <c r="G19" i="18" a="1"/>
  <c r="G19" i="18" s="1"/>
  <c r="G18" i="18" a="1"/>
  <c r="G18" i="18" s="1"/>
  <c r="G17" i="18" a="1"/>
  <c r="G17" i="18" s="1"/>
  <c r="G16" i="18" a="1"/>
  <c r="G16" i="18" s="1"/>
  <c r="G15" i="18" a="1"/>
  <c r="G15" i="18" s="1"/>
  <c r="G14" i="18" a="1"/>
  <c r="G14" i="18" s="1"/>
  <c r="G13" i="18" a="1"/>
  <c r="G13" i="18" s="1"/>
  <c r="G12" i="18" a="1"/>
  <c r="G12" i="18" s="1"/>
  <c r="G11" i="18" a="1"/>
  <c r="G11" i="18" s="1"/>
  <c r="G10" i="18" a="1"/>
  <c r="G10" i="18" s="1"/>
  <c r="G9" i="18" a="1"/>
  <c r="G9" i="18" s="1"/>
  <c r="G8" i="18" a="1"/>
  <c r="G8" i="18" s="1"/>
  <c r="G7" i="18" a="1"/>
  <c r="G7" i="18" s="1"/>
  <c r="G6" i="18" a="1"/>
  <c r="G6" i="18" s="1"/>
  <c r="G5" i="18" a="1"/>
  <c r="G5" i="18" s="1"/>
  <c r="G4" i="18" a="1"/>
  <c r="G4" i="18" s="1"/>
  <c r="A4" i="16"/>
  <c r="A5" i="16" s="1"/>
  <c r="A6" i="16" s="1"/>
  <c r="A7" i="16" s="1"/>
  <c r="A8" i="16" s="1"/>
  <c r="A9" i="16" s="1"/>
  <c r="A10" i="16" s="1"/>
  <c r="A11" i="16" s="1"/>
  <c r="A12" i="16" s="1"/>
  <c r="G1" i="18" l="1" a="1"/>
  <c r="G1" i="18" s="1"/>
  <c r="H1" i="18" a="1"/>
  <c r="H1" i="18" s="1"/>
  <c r="F1" i="18" a="1"/>
  <c r="F1" i="18" s="1"/>
  <c r="E1" i="18" a="1"/>
  <c r="E1" i="18" s="1"/>
  <c r="A1" i="14"/>
  <c r="P1" i="14"/>
  <c r="O1" i="14"/>
  <c r="N1" i="14"/>
  <c r="M1" i="14"/>
  <c r="L1" i="14"/>
  <c r="K1" i="14"/>
  <c r="J1" i="14"/>
  <c r="I1" i="14"/>
  <c r="H1" i="14"/>
  <c r="G1" i="14"/>
  <c r="F1" i="14"/>
  <c r="E1" i="14"/>
  <c r="D1" i="14"/>
  <c r="C1" i="14"/>
  <c r="B1" i="14"/>
  <c r="D688" i="10" l="1"/>
  <c r="D687" i="10"/>
  <c r="D686" i="10"/>
  <c r="D685" i="10"/>
  <c r="D684" i="10"/>
  <c r="D683" i="10"/>
  <c r="D682" i="10"/>
  <c r="D681" i="10"/>
  <c r="D680" i="10"/>
  <c r="D679" i="10"/>
  <c r="D678" i="10"/>
  <c r="D677" i="10"/>
  <c r="D676" i="10"/>
  <c r="D675" i="10"/>
  <c r="D674" i="10"/>
  <c r="D673" i="10"/>
  <c r="D672" i="10"/>
  <c r="D671" i="10"/>
  <c r="D670" i="10"/>
  <c r="D669" i="10"/>
  <c r="D668" i="10"/>
  <c r="D667" i="10"/>
  <c r="D666" i="10"/>
  <c r="D665" i="10"/>
  <c r="D664" i="10"/>
  <c r="D663" i="10"/>
  <c r="D662" i="10"/>
  <c r="D661" i="10"/>
  <c r="D660" i="10"/>
  <c r="D659" i="10"/>
  <c r="D658" i="10"/>
  <c r="D657" i="10"/>
  <c r="D656" i="10"/>
  <c r="D655" i="10"/>
  <c r="D654" i="10"/>
  <c r="D653" i="10"/>
  <c r="D652" i="10"/>
  <c r="D651" i="10"/>
  <c r="D650" i="10"/>
  <c r="D649" i="10"/>
  <c r="D648" i="10"/>
  <c r="D647" i="10"/>
  <c r="D646" i="10"/>
  <c r="D645" i="10"/>
  <c r="D644" i="10"/>
  <c r="D643" i="10"/>
  <c r="D642" i="10"/>
  <c r="D641" i="10"/>
  <c r="D640" i="10"/>
  <c r="D639" i="10"/>
  <c r="D638" i="10"/>
  <c r="D637" i="10"/>
  <c r="D636" i="10"/>
  <c r="D635" i="10"/>
  <c r="D634" i="10"/>
  <c r="D633" i="10"/>
  <c r="D632" i="10"/>
  <c r="D631" i="10"/>
  <c r="D630" i="10"/>
  <c r="D629" i="10"/>
  <c r="D628" i="10"/>
  <c r="D627" i="10"/>
  <c r="D626" i="10"/>
  <c r="D625" i="10"/>
  <c r="D624" i="10"/>
  <c r="D623" i="10"/>
  <c r="D622" i="10"/>
  <c r="D621" i="10"/>
  <c r="D620" i="10"/>
  <c r="D619" i="10"/>
  <c r="D618" i="10"/>
  <c r="D617" i="10"/>
  <c r="D616" i="10"/>
  <c r="D615" i="10"/>
  <c r="D614" i="10"/>
  <c r="D613" i="10"/>
  <c r="D612" i="10"/>
  <c r="D611" i="10"/>
  <c r="D610" i="10"/>
  <c r="D609" i="10"/>
  <c r="D608" i="10"/>
  <c r="D607" i="10"/>
  <c r="D606" i="10"/>
  <c r="D605" i="10"/>
  <c r="D604" i="10"/>
  <c r="D603" i="10"/>
  <c r="D602" i="10"/>
  <c r="D601" i="10"/>
  <c r="D600" i="10"/>
  <c r="D599" i="10"/>
  <c r="D598" i="10"/>
  <c r="D597" i="10"/>
  <c r="D596" i="10"/>
  <c r="D595" i="10"/>
  <c r="D594" i="10"/>
  <c r="D593" i="10"/>
  <c r="D592" i="10"/>
  <c r="D591" i="10"/>
  <c r="D590" i="10"/>
  <c r="D589" i="10"/>
  <c r="D588" i="10"/>
  <c r="D587" i="10"/>
  <c r="D586" i="10"/>
  <c r="D585" i="10"/>
  <c r="D584" i="10"/>
  <c r="D583" i="10"/>
  <c r="D582" i="10"/>
  <c r="D581" i="10"/>
  <c r="D580" i="10"/>
  <c r="D579" i="10"/>
  <c r="D578" i="10"/>
  <c r="D577" i="10"/>
  <c r="D576" i="10"/>
  <c r="D575" i="10"/>
  <c r="D574" i="10"/>
  <c r="D573" i="10"/>
  <c r="D572" i="10"/>
  <c r="D571" i="10"/>
  <c r="D570" i="10"/>
  <c r="D569" i="10"/>
  <c r="D568" i="10"/>
  <c r="D567" i="10"/>
  <c r="D566" i="10"/>
  <c r="D565" i="10"/>
  <c r="D564" i="10"/>
  <c r="D563" i="10"/>
  <c r="D562" i="10"/>
  <c r="D561" i="10"/>
  <c r="D560" i="10"/>
  <c r="D559" i="10"/>
  <c r="D558" i="10"/>
  <c r="D557" i="10"/>
  <c r="D556" i="10"/>
  <c r="D555" i="10"/>
  <c r="D554" i="10"/>
  <c r="D553" i="10"/>
  <c r="D552" i="10"/>
  <c r="D551" i="10"/>
  <c r="D550" i="10"/>
  <c r="D549" i="10"/>
  <c r="D548" i="10"/>
  <c r="D547" i="10"/>
  <c r="D546" i="10"/>
  <c r="D545" i="10"/>
  <c r="D544" i="10"/>
  <c r="D543" i="10"/>
  <c r="D542" i="10"/>
  <c r="D541" i="10"/>
  <c r="D540" i="10"/>
  <c r="D539" i="10"/>
  <c r="D538" i="10"/>
  <c r="D537" i="10"/>
  <c r="D536" i="10"/>
  <c r="D535" i="10"/>
  <c r="D534" i="10"/>
  <c r="D533" i="10"/>
  <c r="D532" i="10"/>
  <c r="D531" i="10"/>
  <c r="D530" i="10"/>
  <c r="D529" i="10"/>
  <c r="D528" i="10"/>
  <c r="D527" i="10"/>
  <c r="D526" i="10"/>
  <c r="D525" i="10"/>
  <c r="D524" i="10"/>
  <c r="D523" i="10"/>
  <c r="D522" i="10"/>
  <c r="D521" i="10"/>
  <c r="D520" i="10"/>
  <c r="D519" i="10"/>
  <c r="D518" i="10"/>
  <c r="I310" i="18" s="1"/>
  <c r="D517" i="10"/>
  <c r="D516" i="10"/>
  <c r="D515" i="10"/>
  <c r="D514" i="10"/>
  <c r="D513" i="10"/>
  <c r="D512" i="10"/>
  <c r="D511" i="10"/>
  <c r="D510" i="10"/>
  <c r="D509" i="10"/>
  <c r="D508" i="10"/>
  <c r="D507" i="10"/>
  <c r="D506" i="10"/>
  <c r="D505" i="10"/>
  <c r="D504" i="10"/>
  <c r="D503" i="10"/>
  <c r="D502" i="10"/>
  <c r="D501" i="10"/>
  <c r="D500" i="10"/>
  <c r="D499" i="10"/>
  <c r="D498" i="10"/>
  <c r="D497" i="10"/>
  <c r="D496" i="10"/>
  <c r="D495" i="10"/>
  <c r="D494" i="10"/>
  <c r="D493" i="10"/>
  <c r="D492" i="10"/>
  <c r="D491" i="10"/>
  <c r="D490" i="10"/>
  <c r="D489" i="10"/>
  <c r="D488" i="10"/>
  <c r="D487" i="10"/>
  <c r="D486" i="10"/>
  <c r="D485" i="10"/>
  <c r="D484" i="10"/>
  <c r="D483" i="10"/>
  <c r="D482" i="10"/>
  <c r="D481" i="10"/>
  <c r="D480" i="10"/>
  <c r="D479" i="10"/>
  <c r="D478" i="10"/>
  <c r="D477" i="10"/>
  <c r="D476" i="10"/>
  <c r="D475" i="10"/>
  <c r="I300" i="18" s="1"/>
  <c r="D474" i="10"/>
  <c r="D473" i="10"/>
  <c r="D472" i="10"/>
  <c r="D471" i="10"/>
  <c r="D470" i="10"/>
  <c r="D469" i="10"/>
  <c r="D468" i="10"/>
  <c r="D467" i="10"/>
  <c r="D466" i="10"/>
  <c r="D465" i="10"/>
  <c r="D464" i="10"/>
  <c r="D463" i="10"/>
  <c r="D462" i="10"/>
  <c r="D461" i="10"/>
  <c r="D460" i="10"/>
  <c r="D459" i="10"/>
  <c r="D458" i="10"/>
  <c r="D457" i="10"/>
  <c r="D456" i="10"/>
  <c r="D455" i="10"/>
  <c r="D454" i="10"/>
  <c r="D453" i="10"/>
  <c r="D452" i="10"/>
  <c r="D451" i="10"/>
  <c r="D450" i="10"/>
  <c r="D449" i="10"/>
  <c r="D448" i="10"/>
  <c r="D447" i="10"/>
  <c r="D446" i="10"/>
  <c r="D445" i="10"/>
  <c r="D444" i="10"/>
  <c r="D443" i="10"/>
  <c r="D442" i="10"/>
  <c r="D441" i="10"/>
  <c r="D440" i="10"/>
  <c r="D439" i="10"/>
  <c r="D438" i="10"/>
  <c r="D437" i="10"/>
  <c r="D436" i="10"/>
  <c r="D435" i="10"/>
  <c r="D434" i="10"/>
  <c r="D433" i="10"/>
  <c r="D432" i="10"/>
  <c r="D431" i="10"/>
  <c r="D430" i="10"/>
  <c r="D429" i="10"/>
  <c r="D428" i="10"/>
  <c r="D427" i="10"/>
  <c r="D426" i="10"/>
  <c r="D425" i="10"/>
  <c r="D424" i="10"/>
  <c r="D423" i="10"/>
  <c r="D422" i="10"/>
  <c r="D421" i="10"/>
  <c r="D420" i="10"/>
  <c r="D419" i="10"/>
  <c r="D418" i="10"/>
  <c r="D417" i="10"/>
  <c r="D416" i="10"/>
  <c r="D415" i="10"/>
  <c r="D414" i="10"/>
  <c r="D413" i="10"/>
  <c r="D412" i="10"/>
  <c r="D411" i="10"/>
  <c r="D410" i="10"/>
  <c r="D409" i="10"/>
  <c r="D408" i="10"/>
  <c r="D407" i="10"/>
  <c r="D406" i="10"/>
  <c r="D405" i="10"/>
  <c r="D404" i="10"/>
  <c r="D403" i="10"/>
  <c r="D402" i="10"/>
  <c r="D401" i="10"/>
  <c r="D400" i="10"/>
  <c r="D399" i="10"/>
  <c r="D398" i="10"/>
  <c r="D397" i="10"/>
  <c r="D396" i="10"/>
  <c r="D395" i="10"/>
  <c r="D394" i="10"/>
  <c r="D393" i="10"/>
  <c r="D392" i="10"/>
  <c r="D391" i="10"/>
  <c r="D390" i="10"/>
  <c r="D389" i="10"/>
  <c r="D388" i="10"/>
  <c r="D387" i="10"/>
  <c r="D386" i="10"/>
  <c r="D385" i="10"/>
  <c r="D384" i="10"/>
  <c r="D383" i="10"/>
  <c r="D382" i="10"/>
  <c r="D381" i="10"/>
  <c r="D380" i="10"/>
  <c r="D379" i="10"/>
  <c r="I260" i="18" s="1"/>
  <c r="D378" i="10"/>
  <c r="D377" i="10"/>
  <c r="D376" i="10"/>
  <c r="D375" i="10"/>
  <c r="D374" i="10"/>
  <c r="D373" i="10"/>
  <c r="D372" i="10"/>
  <c r="D371" i="10"/>
  <c r="D370" i="10"/>
  <c r="D369" i="10"/>
  <c r="D368" i="10"/>
  <c r="D367" i="10"/>
  <c r="D366" i="10"/>
  <c r="D365" i="10"/>
  <c r="D364" i="10"/>
  <c r="D363" i="10"/>
  <c r="D362" i="10"/>
  <c r="D361" i="10"/>
  <c r="D360" i="10"/>
  <c r="D359" i="10"/>
  <c r="D358" i="10"/>
  <c r="D357" i="10"/>
  <c r="D356" i="10"/>
  <c r="D355" i="10"/>
  <c r="D354" i="10"/>
  <c r="D353" i="10"/>
  <c r="D352" i="10"/>
  <c r="D351" i="10"/>
  <c r="D350" i="10"/>
  <c r="D349" i="10"/>
  <c r="D348" i="10"/>
  <c r="D347" i="10"/>
  <c r="D346" i="10"/>
  <c r="D345" i="10"/>
  <c r="D344" i="10"/>
  <c r="D343" i="10"/>
  <c r="D342" i="10"/>
  <c r="D341" i="10"/>
  <c r="D340" i="10"/>
  <c r="D339" i="10"/>
  <c r="D338" i="10"/>
  <c r="D337" i="10"/>
  <c r="D336" i="10"/>
  <c r="D335" i="10"/>
  <c r="D334" i="10"/>
  <c r="D333" i="10"/>
  <c r="D332" i="10"/>
  <c r="D331" i="10"/>
  <c r="D330" i="10"/>
  <c r="D329" i="10"/>
  <c r="D328" i="10"/>
  <c r="D327" i="10"/>
  <c r="D326" i="10"/>
  <c r="D325" i="10"/>
  <c r="D324" i="10"/>
  <c r="D323" i="10"/>
  <c r="D322" i="10"/>
  <c r="D321" i="10"/>
  <c r="D320" i="10"/>
  <c r="D319" i="10"/>
  <c r="D318" i="10"/>
  <c r="D317" i="10"/>
  <c r="D316" i="10"/>
  <c r="D315" i="10"/>
  <c r="D314" i="10"/>
  <c r="D313" i="10"/>
  <c r="D312" i="10"/>
  <c r="D311" i="10"/>
  <c r="D310" i="10"/>
  <c r="D309" i="10"/>
  <c r="D308" i="10"/>
  <c r="D307" i="10"/>
  <c r="D306" i="10"/>
  <c r="D305" i="10"/>
  <c r="D304" i="10"/>
  <c r="D303" i="10"/>
  <c r="D302" i="10"/>
  <c r="D301" i="10"/>
  <c r="D300" i="10"/>
  <c r="D299" i="10"/>
  <c r="D298" i="10"/>
  <c r="D297" i="10"/>
  <c r="D296" i="10"/>
  <c r="D295" i="10"/>
  <c r="D294" i="10"/>
  <c r="D293" i="10"/>
  <c r="D292" i="10"/>
  <c r="D291" i="10"/>
  <c r="D290" i="10"/>
  <c r="D289" i="10"/>
  <c r="D288" i="10"/>
  <c r="D287" i="10"/>
  <c r="D286" i="10"/>
  <c r="D285" i="10"/>
  <c r="D284" i="10"/>
  <c r="D283" i="10"/>
  <c r="D282" i="10"/>
  <c r="D281" i="10"/>
  <c r="D280" i="10"/>
  <c r="D279" i="10"/>
  <c r="D278" i="10"/>
  <c r="D277" i="10"/>
  <c r="D276" i="10"/>
  <c r="D275" i="10"/>
  <c r="D274" i="10"/>
  <c r="D273" i="10"/>
  <c r="D272" i="10"/>
  <c r="D271" i="10"/>
  <c r="D270" i="10"/>
  <c r="D269" i="10"/>
  <c r="D268" i="10"/>
  <c r="D267" i="10"/>
  <c r="D266" i="10"/>
  <c r="D265" i="10"/>
  <c r="D264" i="10"/>
  <c r="D263" i="10"/>
  <c r="D262" i="10"/>
  <c r="D261" i="10"/>
  <c r="D260" i="10"/>
  <c r="D259" i="10"/>
  <c r="D258" i="10"/>
  <c r="D257" i="10"/>
  <c r="D256" i="10"/>
  <c r="D255" i="10"/>
  <c r="D254" i="10"/>
  <c r="D253" i="10"/>
  <c r="D252" i="10"/>
  <c r="D251" i="10"/>
  <c r="D250" i="10"/>
  <c r="D249" i="10"/>
  <c r="I193" i="18" s="1"/>
  <c r="D248" i="10"/>
  <c r="D247" i="10"/>
  <c r="I192" i="18" s="1"/>
  <c r="D246" i="10"/>
  <c r="D245" i="10"/>
  <c r="D244" i="10"/>
  <c r="D243" i="10"/>
  <c r="D242" i="10"/>
  <c r="D241" i="10"/>
  <c r="D240" i="10"/>
  <c r="D239" i="10"/>
  <c r="D238" i="10"/>
  <c r="D237" i="10"/>
  <c r="D236" i="10"/>
  <c r="D235" i="10"/>
  <c r="D234" i="10"/>
  <c r="D233" i="10"/>
  <c r="D232" i="10"/>
  <c r="D231" i="10"/>
  <c r="D230" i="10"/>
  <c r="D229" i="10"/>
  <c r="D228" i="10"/>
  <c r="D227" i="10"/>
  <c r="D226" i="10"/>
  <c r="D225" i="10"/>
  <c r="D224" i="10"/>
  <c r="D223" i="10"/>
  <c r="D222" i="10"/>
  <c r="I161" i="18" s="1"/>
  <c r="D221" i="10"/>
  <c r="D220" i="10"/>
  <c r="D219" i="10"/>
  <c r="D218" i="10"/>
  <c r="D217" i="10"/>
  <c r="D216" i="10"/>
  <c r="D215" i="10"/>
  <c r="D214" i="10"/>
  <c r="D213" i="10"/>
  <c r="I150" i="18" s="1"/>
  <c r="D212" i="10"/>
  <c r="D211" i="10"/>
  <c r="D210" i="10"/>
  <c r="D209" i="10"/>
  <c r="D208" i="10"/>
  <c r="D207" i="10"/>
  <c r="D206" i="10"/>
  <c r="D205" i="10"/>
  <c r="D204" i="10"/>
  <c r="D203" i="10"/>
  <c r="D202" i="10"/>
  <c r="D201" i="10"/>
  <c r="D200" i="10"/>
  <c r="D199" i="10"/>
  <c r="D198" i="10"/>
  <c r="D197" i="10"/>
  <c r="D196" i="10"/>
  <c r="D195" i="10"/>
  <c r="D194" i="10"/>
  <c r="D193" i="10"/>
  <c r="D192" i="10"/>
  <c r="D191" i="10"/>
  <c r="D190" i="10"/>
  <c r="D189" i="10"/>
  <c r="D188" i="10"/>
  <c r="D187" i="10"/>
  <c r="D186" i="10"/>
  <c r="D185" i="10"/>
  <c r="D184" i="10"/>
  <c r="D183" i="10"/>
  <c r="D182" i="10"/>
  <c r="D181" i="10"/>
  <c r="D180" i="10"/>
  <c r="D179" i="10"/>
  <c r="D178" i="10"/>
  <c r="D177" i="10"/>
  <c r="D176" i="10"/>
  <c r="D175" i="10"/>
  <c r="D174" i="10"/>
  <c r="D173" i="10"/>
  <c r="I119" i="18" s="1"/>
  <c r="D172" i="10"/>
  <c r="D171" i="10"/>
  <c r="D170" i="10"/>
  <c r="D169" i="10"/>
  <c r="D168" i="10"/>
  <c r="D167" i="10"/>
  <c r="D166" i="10"/>
  <c r="D165" i="10"/>
  <c r="D164" i="10"/>
  <c r="D163" i="10"/>
  <c r="D162" i="10"/>
  <c r="D161" i="10"/>
  <c r="D160" i="10"/>
  <c r="D159" i="10"/>
  <c r="D158" i="10"/>
  <c r="D157" i="10"/>
  <c r="D156" i="10"/>
  <c r="D155" i="10"/>
  <c r="D154" i="10"/>
  <c r="D153" i="10"/>
  <c r="D152" i="10"/>
  <c r="D151" i="10"/>
  <c r="D150" i="10"/>
  <c r="D149" i="10"/>
  <c r="D148" i="10"/>
  <c r="D147" i="10"/>
  <c r="D146" i="10"/>
  <c r="D145" i="10"/>
  <c r="D144" i="10"/>
  <c r="D143" i="10"/>
  <c r="D142" i="10"/>
  <c r="D141" i="10"/>
  <c r="D140" i="10"/>
  <c r="D139" i="10"/>
  <c r="D138" i="10"/>
  <c r="D137" i="10"/>
  <c r="D136" i="10"/>
  <c r="D135" i="10"/>
  <c r="D134" i="10"/>
  <c r="D133" i="10"/>
  <c r="D132" i="10"/>
  <c r="D131" i="10"/>
  <c r="D130" i="10"/>
  <c r="D129" i="10"/>
  <c r="D128" i="10"/>
  <c r="D127" i="10"/>
  <c r="D126" i="10"/>
  <c r="D125" i="10"/>
  <c r="D124" i="10"/>
  <c r="D123" i="10"/>
  <c r="D122" i="10"/>
  <c r="D121" i="10"/>
  <c r="D120" i="10"/>
  <c r="D119" i="10"/>
  <c r="D118" i="10"/>
  <c r="D117" i="10"/>
  <c r="D116" i="10"/>
  <c r="I77" i="18" s="1"/>
  <c r="D115" i="10"/>
  <c r="D114" i="10"/>
  <c r="D113" i="10"/>
  <c r="D112" i="10"/>
  <c r="D111" i="10"/>
  <c r="D110" i="10"/>
  <c r="D109" i="10"/>
  <c r="D108" i="10"/>
  <c r="D107" i="10"/>
  <c r="D106" i="10"/>
  <c r="D105" i="10"/>
  <c r="D104" i="10"/>
  <c r="D103" i="10"/>
  <c r="D102" i="10"/>
  <c r="D101" i="10"/>
  <c r="D100" i="10"/>
  <c r="D99" i="10"/>
  <c r="D98" i="10"/>
  <c r="D97" i="10"/>
  <c r="D96" i="10"/>
  <c r="D95" i="10"/>
  <c r="D94" i="10"/>
  <c r="D93" i="10"/>
  <c r="D92" i="10"/>
  <c r="D91" i="10"/>
  <c r="D90" i="10"/>
  <c r="D89" i="10"/>
  <c r="D88" i="10"/>
  <c r="D87" i="10"/>
  <c r="D86" i="10"/>
  <c r="D85" i="10"/>
  <c r="D84" i="10"/>
  <c r="D83" i="10"/>
  <c r="D82" i="10"/>
  <c r="D81" i="10"/>
  <c r="D80" i="10"/>
  <c r="D79" i="10"/>
  <c r="D78" i="10"/>
  <c r="D77" i="10"/>
  <c r="D76" i="10"/>
  <c r="D75" i="10"/>
  <c r="D74" i="10"/>
  <c r="D73" i="10"/>
  <c r="D72" i="10"/>
  <c r="D71" i="10"/>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I14" i="18" s="1"/>
  <c r="D10" i="10"/>
  <c r="D9" i="10"/>
  <c r="D8" i="10"/>
  <c r="D7" i="10"/>
  <c r="D6" i="10"/>
  <c r="D5" i="10"/>
  <c r="D4" i="10"/>
  <c r="D3" i="10"/>
  <c r="D2" i="10"/>
  <c r="V1727" i="1"/>
  <c r="U1727" i="1"/>
  <c r="T1727" i="1"/>
  <c r="S1727" i="1"/>
  <c r="R1727" i="1"/>
  <c r="Q1727" i="1"/>
  <c r="P1727" i="1"/>
  <c r="O1727" i="1"/>
  <c r="N1727" i="1"/>
  <c r="M1727" i="1"/>
  <c r="L1727" i="1"/>
  <c r="K1727" i="1"/>
  <c r="J1727" i="1"/>
  <c r="I1727" i="1"/>
  <c r="V1726" i="1"/>
  <c r="U1726" i="1"/>
  <c r="T1726" i="1"/>
  <c r="S1726" i="1"/>
  <c r="R1726" i="1"/>
  <c r="Q1726" i="1"/>
  <c r="P1726" i="1"/>
  <c r="O1726" i="1"/>
  <c r="N1726" i="1"/>
  <c r="M1726" i="1"/>
  <c r="L1726" i="1"/>
  <c r="K1726" i="1"/>
  <c r="J1726" i="1"/>
  <c r="V1725" i="1"/>
  <c r="U1725" i="1"/>
  <c r="T1725" i="1"/>
  <c r="S1725" i="1"/>
  <c r="R1725" i="1"/>
  <c r="Q1725" i="1"/>
  <c r="P1725" i="1"/>
  <c r="O1725" i="1"/>
  <c r="N1725" i="1"/>
  <c r="M1725" i="1"/>
  <c r="L1725" i="1"/>
  <c r="K1725" i="1"/>
  <c r="V1724" i="1"/>
  <c r="U1724" i="1"/>
  <c r="T1724" i="1"/>
  <c r="S1724" i="1"/>
  <c r="R1724" i="1"/>
  <c r="Q1724" i="1"/>
  <c r="P1724" i="1"/>
  <c r="O1724" i="1"/>
  <c r="N1724" i="1"/>
  <c r="M1724" i="1"/>
  <c r="L1724" i="1"/>
  <c r="V1723" i="1"/>
  <c r="U1723" i="1"/>
  <c r="T1723" i="1"/>
  <c r="S1723" i="1"/>
  <c r="R1723" i="1"/>
  <c r="Q1723" i="1"/>
  <c r="P1723" i="1"/>
  <c r="O1723" i="1"/>
  <c r="N1723" i="1"/>
  <c r="M1723" i="1"/>
  <c r="V1722" i="1"/>
  <c r="U1722" i="1"/>
  <c r="T1722" i="1"/>
  <c r="S1722" i="1"/>
  <c r="R1722" i="1"/>
  <c r="Q1722" i="1"/>
  <c r="P1722" i="1"/>
  <c r="O1722" i="1"/>
  <c r="N1722" i="1"/>
  <c r="V1721" i="1"/>
  <c r="U1721" i="1"/>
  <c r="T1721" i="1"/>
  <c r="S1721" i="1"/>
  <c r="R1721" i="1"/>
  <c r="Q1721" i="1"/>
  <c r="P1721" i="1"/>
  <c r="O1721" i="1"/>
  <c r="V1720" i="1"/>
  <c r="U1720" i="1"/>
  <c r="T1720" i="1"/>
  <c r="S1720" i="1"/>
  <c r="R1720" i="1"/>
  <c r="Q1720" i="1"/>
  <c r="P1720" i="1"/>
  <c r="V1719" i="1"/>
  <c r="U1719" i="1"/>
  <c r="T1719" i="1"/>
  <c r="S1719" i="1"/>
  <c r="R1719" i="1"/>
  <c r="Q1719" i="1"/>
  <c r="V1718" i="1"/>
  <c r="U1718" i="1"/>
  <c r="T1718" i="1"/>
  <c r="S1718" i="1"/>
  <c r="R1718" i="1"/>
  <c r="V1717" i="1"/>
  <c r="U1717" i="1"/>
  <c r="T1717" i="1"/>
  <c r="S1717" i="1"/>
  <c r="V1716" i="1"/>
  <c r="U1716" i="1"/>
  <c r="T1716" i="1"/>
  <c r="V1715" i="1"/>
  <c r="U1715" i="1"/>
  <c r="V1714" i="1"/>
  <c r="G1723" i="1"/>
  <c r="G1718" i="1"/>
  <c r="G1711" i="1"/>
  <c r="G1707" i="1"/>
  <c r="G1700" i="1"/>
  <c r="G1692" i="1"/>
  <c r="G1688" i="1"/>
  <c r="G1680" i="1"/>
  <c r="G1675" i="1"/>
  <c r="G1671" i="1"/>
  <c r="G1668" i="1"/>
  <c r="G1665" i="1"/>
  <c r="G1659" i="1"/>
  <c r="G1654" i="1"/>
  <c r="G1648" i="1"/>
  <c r="G1639" i="1"/>
  <c r="G1632" i="1"/>
  <c r="G1624" i="1"/>
  <c r="G1618" i="1"/>
  <c r="G1611" i="1"/>
  <c r="G1608" i="1"/>
  <c r="G1602" i="1"/>
  <c r="G1598" i="1"/>
  <c r="G1593" i="1"/>
  <c r="G1589" i="1"/>
  <c r="G1583" i="1"/>
  <c r="G1575" i="1"/>
  <c r="G1571" i="1"/>
  <c r="G1567" i="1"/>
  <c r="G1563" i="1"/>
  <c r="G1557" i="1"/>
  <c r="G1552" i="1"/>
  <c r="G1548" i="1"/>
  <c r="G1544" i="1"/>
  <c r="G1539" i="1"/>
  <c r="G1533" i="1"/>
  <c r="G1528" i="1"/>
  <c r="G1516" i="1"/>
  <c r="G1511" i="1"/>
  <c r="G1506" i="1"/>
  <c r="G1502" i="1"/>
  <c r="G1495" i="1"/>
  <c r="G1483" i="1"/>
  <c r="G1478" i="1"/>
  <c r="G1475" i="1"/>
  <c r="G1471" i="1"/>
  <c r="G1468" i="1"/>
  <c r="G1463" i="1"/>
  <c r="G1458" i="1"/>
  <c r="G1455" i="1"/>
  <c r="G1452" i="1"/>
  <c r="G1448" i="1"/>
  <c r="G1441" i="1"/>
  <c r="G1437" i="1"/>
  <c r="G1434" i="1"/>
  <c r="G1427" i="1"/>
  <c r="G1421" i="1"/>
  <c r="G1417" i="1"/>
  <c r="G1414" i="1"/>
  <c r="G1410" i="1"/>
  <c r="G1403" i="1"/>
  <c r="G1397" i="1"/>
  <c r="G1393" i="1"/>
  <c r="G1388" i="1"/>
  <c r="G1383" i="1"/>
  <c r="G1378" i="1"/>
  <c r="G1371" i="1"/>
  <c r="G1367" i="1"/>
  <c r="G1360" i="1"/>
  <c r="G1357" i="1"/>
  <c r="G1354" i="1"/>
  <c r="G1349" i="1"/>
  <c r="G1344" i="1"/>
  <c r="G1339" i="1"/>
  <c r="G1331" i="1"/>
  <c r="G1328" i="1"/>
  <c r="G1322" i="1"/>
  <c r="G1317" i="1"/>
  <c r="G1313" i="1"/>
  <c r="G1302" i="1"/>
  <c r="G1296" i="1"/>
  <c r="G1291" i="1"/>
  <c r="G1288" i="1"/>
  <c r="G1284" i="1"/>
  <c r="G1277" i="1"/>
  <c r="G1272" i="1"/>
  <c r="G1266" i="1"/>
  <c r="G1262" i="1"/>
  <c r="G1251" i="1"/>
  <c r="G1243" i="1"/>
  <c r="G1240" i="1"/>
  <c r="G1236" i="1"/>
  <c r="G1232" i="1"/>
  <c r="G1227" i="1"/>
  <c r="G1224" i="1"/>
  <c r="G1219" i="1"/>
  <c r="G1216" i="1"/>
  <c r="G1213" i="1"/>
  <c r="G1204" i="1"/>
  <c r="G1198" i="1"/>
  <c r="G1195" i="1"/>
  <c r="G1190" i="1"/>
  <c r="G1186" i="1"/>
  <c r="G1181" i="1"/>
  <c r="G1175" i="1"/>
  <c r="G1172" i="1"/>
  <c r="G1165" i="1"/>
  <c r="G1158" i="1"/>
  <c r="G1153" i="1"/>
  <c r="G1150" i="1"/>
  <c r="G1143" i="1"/>
  <c r="G1139" i="1"/>
  <c r="G1135" i="1"/>
  <c r="G1130" i="1"/>
  <c r="G1124" i="1"/>
  <c r="G1119" i="1"/>
  <c r="G1115" i="1"/>
  <c r="G1110" i="1"/>
  <c r="G1106" i="1"/>
  <c r="G1102" i="1"/>
  <c r="G1097" i="1"/>
  <c r="G1091" i="1"/>
  <c r="G1085" i="1"/>
  <c r="G1081" i="1"/>
  <c r="G1077" i="1"/>
  <c r="G1071" i="1"/>
  <c r="G1065" i="1"/>
  <c r="G1062" i="1"/>
  <c r="G1055" i="1"/>
  <c r="G1051" i="1"/>
  <c r="G1047" i="1"/>
  <c r="G1041" i="1"/>
  <c r="G1037" i="1"/>
  <c r="G1031" i="1"/>
  <c r="G1026" i="1"/>
  <c r="G1023" i="1"/>
  <c r="G1019" i="1"/>
  <c r="G1015" i="1"/>
  <c r="G1010" i="1"/>
  <c r="G1006" i="1"/>
  <c r="G1000" i="1"/>
  <c r="G995" i="1"/>
  <c r="G991" i="1"/>
  <c r="G986" i="1"/>
  <c r="G980" i="1"/>
  <c r="G975" i="1"/>
  <c r="G970" i="1"/>
  <c r="G965" i="1"/>
  <c r="G958" i="1"/>
  <c r="G953" i="1"/>
  <c r="G948" i="1"/>
  <c r="G944" i="1"/>
  <c r="G940" i="1"/>
  <c r="G934" i="1"/>
  <c r="G931" i="1"/>
  <c r="G928" i="1"/>
  <c r="G924" i="1"/>
  <c r="G917" i="1"/>
  <c r="G914" i="1"/>
  <c r="G908" i="1"/>
  <c r="G905" i="1"/>
  <c r="G901" i="1"/>
  <c r="G898" i="1"/>
  <c r="G894" i="1"/>
  <c r="G890" i="1"/>
  <c r="G886" i="1"/>
  <c r="G883" i="1"/>
  <c r="G880" i="1"/>
  <c r="G873" i="1"/>
  <c r="G870" i="1"/>
  <c r="G865" i="1"/>
  <c r="G862" i="1"/>
  <c r="G856" i="1"/>
  <c r="G853" i="1"/>
  <c r="G847" i="1"/>
  <c r="G833" i="1"/>
  <c r="G830" i="1"/>
  <c r="G825" i="1"/>
  <c r="G821" i="1"/>
  <c r="G817" i="1"/>
  <c r="G813" i="1"/>
  <c r="G807" i="1"/>
  <c r="G801" i="1"/>
  <c r="G791" i="1"/>
  <c r="G787" i="1"/>
  <c r="G781" i="1"/>
  <c r="G775" i="1"/>
  <c r="G771" i="1"/>
  <c r="G767" i="1"/>
  <c r="G762" i="1"/>
  <c r="G757" i="1"/>
  <c r="G751" i="1"/>
  <c r="G746" i="1"/>
  <c r="G740" i="1"/>
  <c r="G733" i="1"/>
  <c r="G728" i="1"/>
  <c r="G722" i="1"/>
  <c r="G717" i="1"/>
  <c r="G709" i="1"/>
  <c r="G704" i="1"/>
  <c r="G700" i="1"/>
  <c r="G696" i="1"/>
  <c r="G689" i="1"/>
  <c r="G684" i="1"/>
  <c r="G678" i="1"/>
  <c r="G674" i="1"/>
  <c r="G669" i="1"/>
  <c r="G661" i="1"/>
  <c r="G656" i="1"/>
  <c r="G651" i="1"/>
  <c r="G643" i="1"/>
  <c r="G639" i="1"/>
  <c r="G629" i="1"/>
  <c r="G626" i="1"/>
  <c r="G622" i="1"/>
  <c r="G618" i="1"/>
  <c r="G615" i="1"/>
  <c r="G609" i="1"/>
  <c r="G603" i="1"/>
  <c r="G596" i="1"/>
  <c r="K593" i="1" s="1"/>
  <c r="G590" i="1"/>
  <c r="G575" i="1"/>
  <c r="G568" i="1"/>
  <c r="G564" i="1"/>
  <c r="G559" i="1"/>
  <c r="G555" i="1"/>
  <c r="G548" i="1"/>
  <c r="G541" i="1"/>
  <c r="G538" i="1"/>
  <c r="G528" i="1"/>
  <c r="G523" i="1"/>
  <c r="G519" i="1"/>
  <c r="G511" i="1"/>
  <c r="G507" i="1"/>
  <c r="G504" i="1"/>
  <c r="I503" i="1" s="1"/>
  <c r="G499" i="1"/>
  <c r="G495" i="1"/>
  <c r="G489" i="1"/>
  <c r="G483" i="1"/>
  <c r="G475" i="1"/>
  <c r="G470" i="1"/>
  <c r="G465" i="1"/>
  <c r="G459" i="1"/>
  <c r="T447" i="1" s="1"/>
  <c r="G453" i="1"/>
  <c r="G448" i="1"/>
  <c r="G443" i="1"/>
  <c r="G436" i="1"/>
  <c r="G432" i="1"/>
  <c r="G428" i="1"/>
  <c r="P420" i="1" s="1"/>
  <c r="G422" i="1"/>
  <c r="G416" i="1"/>
  <c r="G412" i="1"/>
  <c r="G405" i="1"/>
  <c r="Q396" i="1" s="1"/>
  <c r="G400" i="1"/>
  <c r="G394" i="1"/>
  <c r="G388" i="1"/>
  <c r="G377" i="1"/>
  <c r="G367" i="1"/>
  <c r="G364" i="1"/>
  <c r="G359" i="1"/>
  <c r="G354" i="1"/>
  <c r="K351" i="1" s="1"/>
  <c r="G348" i="1"/>
  <c r="G343" i="1"/>
  <c r="G338" i="1"/>
  <c r="G332" i="1"/>
  <c r="G327" i="1"/>
  <c r="G324" i="1"/>
  <c r="S313" i="1" s="1"/>
  <c r="G317" i="1"/>
  <c r="G311" i="1"/>
  <c r="G307" i="1"/>
  <c r="G300" i="1"/>
  <c r="L296" i="1" s="1"/>
  <c r="G296" i="1"/>
  <c r="U283" i="1" s="1"/>
  <c r="G293" i="1"/>
  <c r="G283" i="1"/>
  <c r="G277" i="1"/>
  <c r="G270" i="1"/>
  <c r="G263" i="1"/>
  <c r="G255" i="1"/>
  <c r="G251" i="1"/>
  <c r="P243" i="1" s="1"/>
  <c r="G244" i="1"/>
  <c r="G239" i="1"/>
  <c r="N233" i="1" s="1"/>
  <c r="G235" i="1"/>
  <c r="G231" i="1"/>
  <c r="G227" i="1"/>
  <c r="G219" i="1"/>
  <c r="G208" i="1"/>
  <c r="G202" i="1"/>
  <c r="V188" i="1" s="1"/>
  <c r="G197" i="1"/>
  <c r="V183" i="1" s="1"/>
  <c r="G192" i="1"/>
  <c r="I191" i="1" s="1"/>
  <c r="G185" i="1"/>
  <c r="K182" i="1" s="1"/>
  <c r="G180" i="1"/>
  <c r="G174" i="1"/>
  <c r="I173" i="1" s="1"/>
  <c r="G166" i="1"/>
  <c r="H166" i="1" s="1"/>
  <c r="G161" i="1"/>
  <c r="K158" i="1" s="1"/>
  <c r="G157" i="1"/>
  <c r="M152" i="1" s="1"/>
  <c r="G148" i="1"/>
  <c r="P140" i="1" s="1"/>
  <c r="G142" i="1"/>
  <c r="U129" i="1" s="1"/>
  <c r="G136" i="1"/>
  <c r="J134" i="1" s="1"/>
  <c r="G128" i="1"/>
  <c r="R118" i="1" s="1"/>
  <c r="G121" i="1"/>
  <c r="K118" i="1" s="1"/>
  <c r="G116" i="1"/>
  <c r="H116" i="1" s="1"/>
  <c r="G109" i="1"/>
  <c r="Q100" i="1" s="1"/>
  <c r="G105" i="1"/>
  <c r="O98" i="1" s="1"/>
  <c r="G95" i="1"/>
  <c r="V81" i="1" s="1"/>
  <c r="G86" i="1"/>
  <c r="I85" i="1" s="1"/>
  <c r="G79" i="1"/>
  <c r="P71" i="1" s="1"/>
  <c r="G76" i="1"/>
  <c r="O69" i="1" s="1"/>
  <c r="G67" i="1"/>
  <c r="J65" i="1" s="1"/>
  <c r="G61" i="1"/>
  <c r="O54" i="1" s="1"/>
  <c r="G57" i="1"/>
  <c r="Q48" i="1" s="1"/>
  <c r="G55" i="1"/>
  <c r="S44" i="1" s="1"/>
  <c r="G53" i="1"/>
  <c r="G49" i="1"/>
  <c r="H49" i="1" s="1"/>
  <c r="G47" i="1"/>
  <c r="P39" i="1" s="1"/>
  <c r="G45" i="1"/>
  <c r="J43" i="1" s="1"/>
  <c r="G43" i="1"/>
  <c r="I42" i="1" s="1"/>
  <c r="G41" i="1"/>
  <c r="G42" i="1" s="1"/>
  <c r="I41" i="1" s="1"/>
  <c r="G39" i="1"/>
  <c r="G40" i="1" s="1"/>
  <c r="I39" i="1" s="1"/>
  <c r="G37" i="1"/>
  <c r="G38" i="1" s="1"/>
  <c r="H38" i="1" s="1"/>
  <c r="G35" i="1"/>
  <c r="G36" i="1" s="1"/>
  <c r="K33" i="1" s="1"/>
  <c r="G33" i="1"/>
  <c r="G34" i="1" s="1"/>
  <c r="J32" i="1" s="1"/>
  <c r="G31" i="1"/>
  <c r="G32" i="1" s="1"/>
  <c r="I31" i="1" s="1"/>
  <c r="G29" i="1"/>
  <c r="G30" i="1" s="1"/>
  <c r="H30" i="1" s="1"/>
  <c r="G27" i="1"/>
  <c r="K24" i="1" s="1"/>
  <c r="G25" i="1"/>
  <c r="G26" i="1" s="1"/>
  <c r="J24" i="1" s="1"/>
  <c r="G23" i="1"/>
  <c r="G24" i="1" s="1"/>
  <c r="I23" i="1" s="1"/>
  <c r="G21" i="1"/>
  <c r="G22" i="1" s="1"/>
  <c r="H22" i="1" s="1"/>
  <c r="G19" i="1"/>
  <c r="K16" i="1" s="1"/>
  <c r="G15" i="1"/>
  <c r="G16" i="1" s="1"/>
  <c r="G17" i="1" s="1"/>
  <c r="J15" i="1" s="1"/>
  <c r="G13" i="1"/>
  <c r="G14" i="1" s="1"/>
  <c r="H14" i="1" s="1"/>
  <c r="G11" i="1"/>
  <c r="G12" i="1" s="1"/>
  <c r="K9" i="1" s="1"/>
  <c r="G9" i="1"/>
  <c r="G10" i="1" s="1"/>
  <c r="J8" i="1" s="1"/>
  <c r="G7" i="1"/>
  <c r="G8" i="1" s="1"/>
  <c r="I7" i="1" s="1"/>
  <c r="G5" i="1"/>
  <c r="G6" i="1" s="1"/>
  <c r="H6" i="1" s="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3" i="1"/>
  <c r="G3" i="1"/>
  <c r="G4" i="1" s="1"/>
  <c r="H4" i="1"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B392" i="1" s="1"/>
  <c r="B393" i="1" s="1"/>
  <c r="B394" i="1" s="1"/>
  <c r="B395" i="1" s="1"/>
  <c r="B396" i="1" s="1"/>
  <c r="B397" i="1" s="1"/>
  <c r="B398" i="1" s="1"/>
  <c r="B399" i="1" s="1"/>
  <c r="B400" i="1" s="1"/>
  <c r="B401" i="1" s="1"/>
  <c r="B402" i="1" s="1"/>
  <c r="B403" i="1" s="1"/>
  <c r="B404" i="1" s="1"/>
  <c r="B405" i="1" s="1"/>
  <c r="B406" i="1" s="1"/>
  <c r="B407" i="1" s="1"/>
  <c r="B408" i="1" s="1"/>
  <c r="B409" i="1" s="1"/>
  <c r="B410" i="1" s="1"/>
  <c r="B411" i="1" s="1"/>
  <c r="B412" i="1" s="1"/>
  <c r="B413" i="1" s="1"/>
  <c r="B414" i="1" s="1"/>
  <c r="B415" i="1" s="1"/>
  <c r="B416" i="1" s="1"/>
  <c r="B417" i="1" s="1"/>
  <c r="B418" i="1" s="1"/>
  <c r="B419" i="1" s="1"/>
  <c r="B420" i="1" s="1"/>
  <c r="B421" i="1" s="1"/>
  <c r="B422" i="1" s="1"/>
  <c r="B423" i="1" s="1"/>
  <c r="B424" i="1" s="1"/>
  <c r="B425" i="1" s="1"/>
  <c r="B426" i="1" s="1"/>
  <c r="B427" i="1" s="1"/>
  <c r="B428" i="1" s="1"/>
  <c r="B429" i="1" s="1"/>
  <c r="B430" i="1" s="1"/>
  <c r="B431" i="1" s="1"/>
  <c r="B432" i="1" s="1"/>
  <c r="B433" i="1" s="1"/>
  <c r="B434" i="1" s="1"/>
  <c r="B435" i="1" s="1"/>
  <c r="B436" i="1" s="1"/>
  <c r="B437" i="1" s="1"/>
  <c r="B438" i="1" s="1"/>
  <c r="B439" i="1" s="1"/>
  <c r="B440" i="1" s="1"/>
  <c r="B441" i="1" s="1"/>
  <c r="B442" i="1" s="1"/>
  <c r="B443" i="1" s="1"/>
  <c r="B444" i="1" s="1"/>
  <c r="B445" i="1" s="1"/>
  <c r="B446" i="1" s="1"/>
  <c r="B447" i="1" s="1"/>
  <c r="B448" i="1" s="1"/>
  <c r="B449" i="1" s="1"/>
  <c r="B450" i="1" s="1"/>
  <c r="B451" i="1" s="1"/>
  <c r="B452" i="1" s="1"/>
  <c r="B453" i="1" s="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s="1"/>
  <c r="B487" i="1" s="1"/>
  <c r="B488" i="1" s="1"/>
  <c r="B489" i="1" s="1"/>
  <c r="B490" i="1" s="1"/>
  <c r="B491" i="1" s="1"/>
  <c r="B492" i="1" s="1"/>
  <c r="B493" i="1" s="1"/>
  <c r="B494" i="1" s="1"/>
  <c r="B495" i="1" s="1"/>
  <c r="B496" i="1" s="1"/>
  <c r="B497" i="1" s="1"/>
  <c r="B498" i="1" s="1"/>
  <c r="B499" i="1" s="1"/>
  <c r="B500" i="1" s="1"/>
  <c r="B501" i="1" s="1"/>
  <c r="B502" i="1" s="1"/>
  <c r="B503" i="1" s="1"/>
  <c r="B504" i="1" s="1"/>
  <c r="B505" i="1" s="1"/>
  <c r="B506" i="1" s="1"/>
  <c r="B507" i="1" s="1"/>
  <c r="B508" i="1" s="1"/>
  <c r="B509" i="1" s="1"/>
  <c r="B510" i="1" s="1"/>
  <c r="B511" i="1" s="1"/>
  <c r="B512" i="1" s="1"/>
  <c r="B513" i="1" s="1"/>
  <c r="B514" i="1" s="1"/>
  <c r="B515" i="1" s="1"/>
  <c r="B516" i="1" s="1"/>
  <c r="B517" i="1" s="1"/>
  <c r="B518" i="1" s="1"/>
  <c r="B519" i="1" s="1"/>
  <c r="B520" i="1" s="1"/>
  <c r="B521" i="1" s="1"/>
  <c r="B522" i="1" s="1"/>
  <c r="B523" i="1" s="1"/>
  <c r="B524" i="1" s="1"/>
  <c r="B525" i="1" s="1"/>
  <c r="B526" i="1" s="1"/>
  <c r="B527" i="1" s="1"/>
  <c r="B528" i="1" s="1"/>
  <c r="B529" i="1" s="1"/>
  <c r="B530" i="1" s="1"/>
  <c r="B531" i="1" s="1"/>
  <c r="B532" i="1" s="1"/>
  <c r="B533" i="1" s="1"/>
  <c r="B534" i="1" s="1"/>
  <c r="B535" i="1" s="1"/>
  <c r="B536" i="1" s="1"/>
  <c r="B537" i="1" s="1"/>
  <c r="B538" i="1" s="1"/>
  <c r="B539" i="1" s="1"/>
  <c r="B540" i="1" s="1"/>
  <c r="B541" i="1" s="1"/>
  <c r="B542" i="1" s="1"/>
  <c r="B543" i="1" s="1"/>
  <c r="B544" i="1" s="1"/>
  <c r="B545" i="1" s="1"/>
  <c r="B546" i="1" s="1"/>
  <c r="B547" i="1" s="1"/>
  <c r="B548" i="1" s="1"/>
  <c r="B549" i="1" s="1"/>
  <c r="B550" i="1" s="1"/>
  <c r="B551" i="1" s="1"/>
  <c r="B552" i="1" s="1"/>
  <c r="B553" i="1" s="1"/>
  <c r="B554" i="1" s="1"/>
  <c r="B555" i="1" s="1"/>
  <c r="B556" i="1" s="1"/>
  <c r="B557" i="1" s="1"/>
  <c r="B558" i="1" s="1"/>
  <c r="B559" i="1" s="1"/>
  <c r="B560" i="1" s="1"/>
  <c r="B561" i="1" s="1"/>
  <c r="B562" i="1" s="1"/>
  <c r="B563" i="1" s="1"/>
  <c r="B564" i="1" s="1"/>
  <c r="B565" i="1" s="1"/>
  <c r="B566" i="1" s="1"/>
  <c r="B567" i="1" s="1"/>
  <c r="B568" i="1" s="1"/>
  <c r="B569" i="1" s="1"/>
  <c r="B570" i="1" s="1"/>
  <c r="B571" i="1" s="1"/>
  <c r="B572" i="1" s="1"/>
  <c r="B573" i="1" s="1"/>
  <c r="B574" i="1" s="1"/>
  <c r="B575" i="1" s="1"/>
  <c r="B576" i="1" s="1"/>
  <c r="B577" i="1" s="1"/>
  <c r="B578" i="1" s="1"/>
  <c r="B579" i="1" s="1"/>
  <c r="B580" i="1" s="1"/>
  <c r="B581" i="1" s="1"/>
  <c r="B582" i="1" s="1"/>
  <c r="B583" i="1" s="1"/>
  <c r="B584" i="1" s="1"/>
  <c r="B585" i="1" s="1"/>
  <c r="B586" i="1" s="1"/>
  <c r="B587" i="1" s="1"/>
  <c r="B588" i="1" s="1"/>
  <c r="B589" i="1" s="1"/>
  <c r="B590" i="1" s="1"/>
  <c r="B591" i="1" s="1"/>
  <c r="B592" i="1" s="1"/>
  <c r="B593" i="1" s="1"/>
  <c r="B594" i="1" s="1"/>
  <c r="B595" i="1" s="1"/>
  <c r="B596" i="1" s="1"/>
  <c r="B597" i="1" s="1"/>
  <c r="B598" i="1" s="1"/>
  <c r="B599" i="1" s="1"/>
  <c r="B600" i="1" s="1"/>
  <c r="B601" i="1" s="1"/>
  <c r="B602" i="1" s="1"/>
  <c r="B603" i="1" s="1"/>
  <c r="B604" i="1" s="1"/>
  <c r="B605" i="1" s="1"/>
  <c r="B606" i="1" s="1"/>
  <c r="B607" i="1" s="1"/>
  <c r="B608" i="1" s="1"/>
  <c r="B609" i="1" s="1"/>
  <c r="B610" i="1" s="1"/>
  <c r="B611" i="1" s="1"/>
  <c r="B612" i="1" s="1"/>
  <c r="B613" i="1" s="1"/>
  <c r="B614" i="1" s="1"/>
  <c r="B615" i="1" s="1"/>
  <c r="B616" i="1" s="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42" i="1" s="1"/>
  <c r="B643" i="1" s="1"/>
  <c r="B644" i="1" s="1"/>
  <c r="B645" i="1" s="1"/>
  <c r="B646" i="1" s="1"/>
  <c r="B647" i="1" s="1"/>
  <c r="B648" i="1" s="1"/>
  <c r="B649" i="1" s="1"/>
  <c r="B650" i="1" s="1"/>
  <c r="B651" i="1" s="1"/>
  <c r="B652" i="1" s="1"/>
  <c r="B653" i="1" s="1"/>
  <c r="B654" i="1" s="1"/>
  <c r="B655" i="1" s="1"/>
  <c r="B656" i="1" s="1"/>
  <c r="B657" i="1" s="1"/>
  <c r="B658" i="1" s="1"/>
  <c r="B659" i="1" s="1"/>
  <c r="B660" i="1" s="1"/>
  <c r="B661" i="1" s="1"/>
  <c r="B662" i="1" s="1"/>
  <c r="B663" i="1" s="1"/>
  <c r="B664" i="1" s="1"/>
  <c r="B665" i="1" s="1"/>
  <c r="B666" i="1" s="1"/>
  <c r="B667" i="1" s="1"/>
  <c r="B668" i="1" s="1"/>
  <c r="B669" i="1" s="1"/>
  <c r="B670" i="1" s="1"/>
  <c r="B671" i="1" s="1"/>
  <c r="B672" i="1" s="1"/>
  <c r="B673" i="1" s="1"/>
  <c r="B674" i="1" s="1"/>
  <c r="B675" i="1" s="1"/>
  <c r="B676" i="1" s="1"/>
  <c r="B677" i="1" s="1"/>
  <c r="B678" i="1" s="1"/>
  <c r="B679" i="1" s="1"/>
  <c r="B680" i="1" s="1"/>
  <c r="B681" i="1" s="1"/>
  <c r="B682" i="1" s="1"/>
  <c r="B683" i="1" s="1"/>
  <c r="B684" i="1" s="1"/>
  <c r="B685" i="1" s="1"/>
  <c r="B686" i="1" s="1"/>
  <c r="B687" i="1" s="1"/>
  <c r="B688" i="1" s="1"/>
  <c r="B689" i="1" s="1"/>
  <c r="B690" i="1" s="1"/>
  <c r="B691" i="1" s="1"/>
  <c r="B692" i="1" s="1"/>
  <c r="B693" i="1" s="1"/>
  <c r="B694" i="1" s="1"/>
  <c r="B695" i="1" s="1"/>
  <c r="B696" i="1" s="1"/>
  <c r="B697" i="1" s="1"/>
  <c r="B698" i="1" s="1"/>
  <c r="B699" i="1" s="1"/>
  <c r="B700" i="1" s="1"/>
  <c r="B701" i="1" s="1"/>
  <c r="B702" i="1" s="1"/>
  <c r="B703" i="1" s="1"/>
  <c r="B704" i="1" s="1"/>
  <c r="B705" i="1" s="1"/>
  <c r="B706" i="1" s="1"/>
  <c r="B707" i="1" s="1"/>
  <c r="B708" i="1" s="1"/>
  <c r="B709" i="1" s="1"/>
  <c r="B710" i="1" s="1"/>
  <c r="B711" i="1" s="1"/>
  <c r="B712" i="1" s="1"/>
  <c r="B713" i="1" s="1"/>
  <c r="B714" i="1" s="1"/>
  <c r="B715" i="1" s="1"/>
  <c r="B716" i="1" s="1"/>
  <c r="B717" i="1" s="1"/>
  <c r="B718" i="1" s="1"/>
  <c r="B719" i="1" s="1"/>
  <c r="B720" i="1" s="1"/>
  <c r="B721" i="1" s="1"/>
  <c r="B722" i="1" s="1"/>
  <c r="B723" i="1" s="1"/>
  <c r="B724" i="1" s="1"/>
  <c r="B725" i="1" s="1"/>
  <c r="B726" i="1" s="1"/>
  <c r="B727" i="1" s="1"/>
  <c r="B728" i="1" s="1"/>
  <c r="B729" i="1" s="1"/>
  <c r="B730" i="1" s="1"/>
  <c r="B731" i="1" s="1"/>
  <c r="B732" i="1" s="1"/>
  <c r="B733" i="1" s="1"/>
  <c r="B734" i="1" s="1"/>
  <c r="B735" i="1" s="1"/>
  <c r="B736" i="1" s="1"/>
  <c r="B737" i="1" s="1"/>
  <c r="B738" i="1" s="1"/>
  <c r="B739" i="1" s="1"/>
  <c r="B740" i="1" s="1"/>
  <c r="B741" i="1" s="1"/>
  <c r="B742" i="1" s="1"/>
  <c r="B743" i="1" s="1"/>
  <c r="B744" i="1" s="1"/>
  <c r="B745" i="1" s="1"/>
  <c r="B746" i="1" s="1"/>
  <c r="B747" i="1" s="1"/>
  <c r="B748" i="1" s="1"/>
  <c r="B749" i="1" s="1"/>
  <c r="B750" i="1" s="1"/>
  <c r="B751" i="1" s="1"/>
  <c r="B752" i="1" s="1"/>
  <c r="B753" i="1" s="1"/>
  <c r="B754" i="1" s="1"/>
  <c r="B755" i="1" s="1"/>
  <c r="B756" i="1" s="1"/>
  <c r="B757" i="1" s="1"/>
  <c r="B758" i="1" s="1"/>
  <c r="B759" i="1" s="1"/>
  <c r="B760" i="1" s="1"/>
  <c r="B761" i="1" s="1"/>
  <c r="B762" i="1" s="1"/>
  <c r="B763" i="1" s="1"/>
  <c r="B764" i="1" s="1"/>
  <c r="B765" i="1" s="1"/>
  <c r="B766" i="1" s="1"/>
  <c r="B767" i="1" s="1"/>
  <c r="B768" i="1" s="1"/>
  <c r="B769" i="1" s="1"/>
  <c r="B770" i="1" s="1"/>
  <c r="B771" i="1" s="1"/>
  <c r="B772" i="1" s="1"/>
  <c r="B773" i="1" s="1"/>
  <c r="B774" i="1" s="1"/>
  <c r="B775" i="1" s="1"/>
  <c r="B776" i="1" s="1"/>
  <c r="B777" i="1" s="1"/>
  <c r="B778" i="1" s="1"/>
  <c r="B779" i="1" s="1"/>
  <c r="B780" i="1" s="1"/>
  <c r="B781" i="1" s="1"/>
  <c r="B782" i="1" s="1"/>
  <c r="B783" i="1" s="1"/>
  <c r="B784" i="1" s="1"/>
  <c r="B785" i="1" s="1"/>
  <c r="B786" i="1" s="1"/>
  <c r="B787" i="1" s="1"/>
  <c r="B788" i="1" s="1"/>
  <c r="B789" i="1" s="1"/>
  <c r="B790" i="1" s="1"/>
  <c r="B791" i="1" s="1"/>
  <c r="B792" i="1" s="1"/>
  <c r="B793" i="1" s="1"/>
  <c r="B794" i="1" s="1"/>
  <c r="B795" i="1" s="1"/>
  <c r="B796" i="1" s="1"/>
  <c r="B797" i="1" s="1"/>
  <c r="B798" i="1" s="1"/>
  <c r="B799" i="1" s="1"/>
  <c r="B800" i="1" s="1"/>
  <c r="B801" i="1" s="1"/>
  <c r="B802" i="1" s="1"/>
  <c r="B803" i="1" s="1"/>
  <c r="B804" i="1" s="1"/>
  <c r="B805" i="1" s="1"/>
  <c r="B806" i="1" s="1"/>
  <c r="B807" i="1" s="1"/>
  <c r="B808" i="1" s="1"/>
  <c r="B809" i="1" s="1"/>
  <c r="B810" i="1" s="1"/>
  <c r="B811" i="1" s="1"/>
  <c r="B812" i="1" s="1"/>
  <c r="B813" i="1" s="1"/>
  <c r="B814" i="1" s="1"/>
  <c r="B815" i="1" s="1"/>
  <c r="B816" i="1" s="1"/>
  <c r="B817" i="1" s="1"/>
  <c r="B818" i="1" s="1"/>
  <c r="B819" i="1" s="1"/>
  <c r="B820" i="1" s="1"/>
  <c r="B821" i="1" s="1"/>
  <c r="B822" i="1" s="1"/>
  <c r="B823" i="1" s="1"/>
  <c r="B824" i="1" s="1"/>
  <c r="B825" i="1" s="1"/>
  <c r="B826" i="1" s="1"/>
  <c r="B827" i="1" s="1"/>
  <c r="B828" i="1" s="1"/>
  <c r="B829" i="1" s="1"/>
  <c r="B830" i="1" s="1"/>
  <c r="B831" i="1" s="1"/>
  <c r="B832" i="1" s="1"/>
  <c r="B833" i="1" s="1"/>
  <c r="B834" i="1" s="1"/>
  <c r="B835" i="1" s="1"/>
  <c r="B836" i="1" s="1"/>
  <c r="B837" i="1" s="1"/>
  <c r="B838" i="1" s="1"/>
  <c r="B839" i="1" s="1"/>
  <c r="B840" i="1" s="1"/>
  <c r="B841" i="1" s="1"/>
  <c r="B842" i="1" s="1"/>
  <c r="B843" i="1" s="1"/>
  <c r="B844" i="1" s="1"/>
  <c r="B845" i="1" s="1"/>
  <c r="B846" i="1" s="1"/>
  <c r="B847" i="1" s="1"/>
  <c r="B848" i="1" s="1"/>
  <c r="B849" i="1" s="1"/>
  <c r="B850" i="1" s="1"/>
  <c r="B851" i="1" s="1"/>
  <c r="B852" i="1" s="1"/>
  <c r="B853" i="1" s="1"/>
  <c r="B854" i="1" s="1"/>
  <c r="B855" i="1" s="1"/>
  <c r="B856" i="1" s="1"/>
  <c r="B857" i="1" s="1"/>
  <c r="B858" i="1" s="1"/>
  <c r="B859" i="1" s="1"/>
  <c r="B860" i="1" s="1"/>
  <c r="B861" i="1" s="1"/>
  <c r="B862" i="1" s="1"/>
  <c r="B863" i="1" s="1"/>
  <c r="B864" i="1" s="1"/>
  <c r="B865" i="1" s="1"/>
  <c r="B866" i="1" s="1"/>
  <c r="B867" i="1" s="1"/>
  <c r="B868" i="1" s="1"/>
  <c r="B869" i="1" s="1"/>
  <c r="B870" i="1" s="1"/>
  <c r="B871" i="1" s="1"/>
  <c r="B872" i="1" s="1"/>
  <c r="B873" i="1" s="1"/>
  <c r="B874" i="1" s="1"/>
  <c r="B875" i="1" s="1"/>
  <c r="B876" i="1" s="1"/>
  <c r="B877" i="1" s="1"/>
  <c r="B878" i="1" s="1"/>
  <c r="B879" i="1" s="1"/>
  <c r="B880" i="1" s="1"/>
  <c r="B881" i="1" s="1"/>
  <c r="B882" i="1" s="1"/>
  <c r="B883" i="1" s="1"/>
  <c r="B884" i="1" s="1"/>
  <c r="B885" i="1" s="1"/>
  <c r="B886" i="1" s="1"/>
  <c r="B887" i="1" s="1"/>
  <c r="B888" i="1" s="1"/>
  <c r="B889" i="1" s="1"/>
  <c r="B890" i="1" s="1"/>
  <c r="B891" i="1" s="1"/>
  <c r="B892" i="1" s="1"/>
  <c r="B893" i="1" s="1"/>
  <c r="B894" i="1" s="1"/>
  <c r="B895" i="1" s="1"/>
  <c r="B896" i="1" s="1"/>
  <c r="B897" i="1" s="1"/>
  <c r="B898" i="1" s="1"/>
  <c r="B899" i="1" s="1"/>
  <c r="B900" i="1" s="1"/>
  <c r="B901" i="1" s="1"/>
  <c r="B902" i="1" s="1"/>
  <c r="B903" i="1" s="1"/>
  <c r="B904" i="1" s="1"/>
  <c r="B905" i="1" s="1"/>
  <c r="B906" i="1" s="1"/>
  <c r="B907" i="1" s="1"/>
  <c r="B908" i="1" s="1"/>
  <c r="B909" i="1" s="1"/>
  <c r="B910" i="1" s="1"/>
  <c r="B911" i="1" s="1"/>
  <c r="B912" i="1" s="1"/>
  <c r="B913" i="1" s="1"/>
  <c r="B914" i="1" s="1"/>
  <c r="B915" i="1" s="1"/>
  <c r="B916" i="1" s="1"/>
  <c r="B917" i="1" s="1"/>
  <c r="B918" i="1" s="1"/>
  <c r="B919" i="1" s="1"/>
  <c r="B920" i="1" s="1"/>
  <c r="B921" i="1" s="1"/>
  <c r="B922" i="1" s="1"/>
  <c r="B923" i="1" s="1"/>
  <c r="B924" i="1" s="1"/>
  <c r="B925" i="1" s="1"/>
  <c r="B926" i="1" s="1"/>
  <c r="B927" i="1" s="1"/>
  <c r="B928" i="1" s="1"/>
  <c r="B929" i="1" s="1"/>
  <c r="B930" i="1" s="1"/>
  <c r="B931" i="1" s="1"/>
  <c r="B932" i="1" s="1"/>
  <c r="B933" i="1" s="1"/>
  <c r="B934" i="1" s="1"/>
  <c r="B935" i="1" s="1"/>
  <c r="B936" i="1" s="1"/>
  <c r="B937" i="1" s="1"/>
  <c r="B938" i="1" s="1"/>
  <c r="B939" i="1" s="1"/>
  <c r="B940" i="1" s="1"/>
  <c r="B941" i="1" s="1"/>
  <c r="B942" i="1" s="1"/>
  <c r="B943" i="1" s="1"/>
  <c r="B944" i="1" s="1"/>
  <c r="B945" i="1" s="1"/>
  <c r="B946" i="1" s="1"/>
  <c r="B947" i="1" s="1"/>
  <c r="B948" i="1" s="1"/>
  <c r="B949" i="1" s="1"/>
  <c r="B950" i="1" s="1"/>
  <c r="B951" i="1" s="1"/>
  <c r="B952" i="1" s="1"/>
  <c r="B953" i="1" s="1"/>
  <c r="B954" i="1" s="1"/>
  <c r="B955" i="1" s="1"/>
  <c r="B956" i="1" s="1"/>
  <c r="B957" i="1" s="1"/>
  <c r="B958" i="1" s="1"/>
  <c r="B959" i="1" s="1"/>
  <c r="B960" i="1" s="1"/>
  <c r="B961" i="1" s="1"/>
  <c r="B962" i="1" s="1"/>
  <c r="B963" i="1" s="1"/>
  <c r="B964" i="1" s="1"/>
  <c r="B965" i="1" s="1"/>
  <c r="B966" i="1" s="1"/>
  <c r="B967" i="1" s="1"/>
  <c r="B968" i="1" s="1"/>
  <c r="B969" i="1" s="1"/>
  <c r="B970" i="1" s="1"/>
  <c r="B971" i="1" s="1"/>
  <c r="B972" i="1" s="1"/>
  <c r="B973" i="1" s="1"/>
  <c r="B974" i="1" s="1"/>
  <c r="B975" i="1" s="1"/>
  <c r="B976" i="1" s="1"/>
  <c r="B977" i="1" s="1"/>
  <c r="B978" i="1" s="1"/>
  <c r="B979" i="1" s="1"/>
  <c r="B980" i="1" s="1"/>
  <c r="B981" i="1" s="1"/>
  <c r="B982" i="1" s="1"/>
  <c r="B983" i="1" s="1"/>
  <c r="B984" i="1" s="1"/>
  <c r="B985" i="1" s="1"/>
  <c r="B986" i="1" s="1"/>
  <c r="B987" i="1" s="1"/>
  <c r="B988" i="1" s="1"/>
  <c r="B989" i="1" s="1"/>
  <c r="B990" i="1" s="1"/>
  <c r="B991" i="1" s="1"/>
  <c r="B992" i="1" s="1"/>
  <c r="B993" i="1" s="1"/>
  <c r="B994" i="1" s="1"/>
  <c r="B995" i="1" s="1"/>
  <c r="B996" i="1" s="1"/>
  <c r="B997" i="1" s="1"/>
  <c r="B998" i="1" s="1"/>
  <c r="B999" i="1" s="1"/>
  <c r="B1000" i="1" s="1"/>
  <c r="B1001" i="1" s="1"/>
  <c r="B1002" i="1" s="1"/>
  <c r="B1003" i="1" s="1"/>
  <c r="B1004" i="1" s="1"/>
  <c r="B1005" i="1" s="1"/>
  <c r="B1006" i="1" s="1"/>
  <c r="B1007" i="1" s="1"/>
  <c r="B1008" i="1" s="1"/>
  <c r="B1009" i="1" s="1"/>
  <c r="B1010" i="1" s="1"/>
  <c r="B1011" i="1" s="1"/>
  <c r="B1012" i="1" s="1"/>
  <c r="B1013" i="1" s="1"/>
  <c r="B1014" i="1" s="1"/>
  <c r="B1015" i="1" s="1"/>
  <c r="B1016" i="1" s="1"/>
  <c r="B1017" i="1" s="1"/>
  <c r="B1018" i="1" s="1"/>
  <c r="B1019" i="1" s="1"/>
  <c r="B1020" i="1" s="1"/>
  <c r="B1021" i="1" s="1"/>
  <c r="B1022" i="1" s="1"/>
  <c r="B1023" i="1" s="1"/>
  <c r="B1024" i="1" s="1"/>
  <c r="B1025" i="1" s="1"/>
  <c r="B1026" i="1" s="1"/>
  <c r="B1027" i="1" s="1"/>
  <c r="B1028" i="1" s="1"/>
  <c r="B1029" i="1" s="1"/>
  <c r="B1030" i="1" s="1"/>
  <c r="B1031" i="1" s="1"/>
  <c r="B1032" i="1" s="1"/>
  <c r="B1033" i="1" s="1"/>
  <c r="B1034" i="1" s="1"/>
  <c r="B1035" i="1" s="1"/>
  <c r="B1036" i="1" s="1"/>
  <c r="B1037" i="1" s="1"/>
  <c r="B1038" i="1" s="1"/>
  <c r="B1039" i="1" s="1"/>
  <c r="B1040" i="1" s="1"/>
  <c r="B1041" i="1" s="1"/>
  <c r="B1042" i="1" s="1"/>
  <c r="B1043" i="1" s="1"/>
  <c r="B1044" i="1" s="1"/>
  <c r="B1045" i="1" s="1"/>
  <c r="B1046" i="1" s="1"/>
  <c r="B1047" i="1" s="1"/>
  <c r="B1048" i="1" s="1"/>
  <c r="B1049" i="1" s="1"/>
  <c r="B1050" i="1" s="1"/>
  <c r="B1051" i="1" s="1"/>
  <c r="B1052" i="1" s="1"/>
  <c r="B1053" i="1" s="1"/>
  <c r="B1054" i="1" s="1"/>
  <c r="B1055" i="1" s="1"/>
  <c r="B1056" i="1" s="1"/>
  <c r="B1057" i="1" s="1"/>
  <c r="B1058" i="1" s="1"/>
  <c r="B1059" i="1" s="1"/>
  <c r="B1060" i="1" s="1"/>
  <c r="B1061" i="1" s="1"/>
  <c r="B1062" i="1" s="1"/>
  <c r="B1063" i="1" s="1"/>
  <c r="B1064" i="1" s="1"/>
  <c r="B1065" i="1" s="1"/>
  <c r="B1066" i="1" s="1"/>
  <c r="B1067" i="1" s="1"/>
  <c r="B1068" i="1" s="1"/>
  <c r="B1069" i="1" s="1"/>
  <c r="B1070" i="1" s="1"/>
  <c r="B1071" i="1" s="1"/>
  <c r="B1072" i="1" s="1"/>
  <c r="B1073" i="1" s="1"/>
  <c r="B1074" i="1" s="1"/>
  <c r="B1075" i="1" s="1"/>
  <c r="B1076" i="1" s="1"/>
  <c r="B1077" i="1" s="1"/>
  <c r="B1078" i="1" s="1"/>
  <c r="B1079" i="1" s="1"/>
  <c r="B1080" i="1" s="1"/>
  <c r="B1081" i="1" s="1"/>
  <c r="B1082" i="1" s="1"/>
  <c r="B1083" i="1" s="1"/>
  <c r="B1084" i="1" s="1"/>
  <c r="B1085" i="1" s="1"/>
  <c r="B1086" i="1" s="1"/>
  <c r="B1087" i="1" s="1"/>
  <c r="B1088" i="1" s="1"/>
  <c r="B1089" i="1" s="1"/>
  <c r="B1090" i="1" s="1"/>
  <c r="B1091" i="1" s="1"/>
  <c r="B1092" i="1" s="1"/>
  <c r="B1093" i="1" s="1"/>
  <c r="B1094" i="1" s="1"/>
  <c r="B1095" i="1" s="1"/>
  <c r="B1096" i="1" s="1"/>
  <c r="B1097" i="1" s="1"/>
  <c r="B1098" i="1" s="1"/>
  <c r="B1099" i="1" s="1"/>
  <c r="B1100" i="1" s="1"/>
  <c r="B1101" i="1" s="1"/>
  <c r="B1102" i="1" s="1"/>
  <c r="B1103" i="1" s="1"/>
  <c r="B1104" i="1" s="1"/>
  <c r="B1105" i="1" s="1"/>
  <c r="B1106" i="1" s="1"/>
  <c r="B1107" i="1" s="1"/>
  <c r="B1108" i="1" s="1"/>
  <c r="B1109" i="1" s="1"/>
  <c r="B1110" i="1" s="1"/>
  <c r="B1111" i="1" s="1"/>
  <c r="B1112" i="1" s="1"/>
  <c r="B1113" i="1" s="1"/>
  <c r="B1114" i="1" s="1"/>
  <c r="B1115" i="1" s="1"/>
  <c r="B1116" i="1" s="1"/>
  <c r="B1117" i="1" s="1"/>
  <c r="B1118" i="1" s="1"/>
  <c r="B1119" i="1" s="1"/>
  <c r="B1120" i="1" s="1"/>
  <c r="B1121" i="1" s="1"/>
  <c r="B1122" i="1" s="1"/>
  <c r="B1123" i="1" s="1"/>
  <c r="B1124" i="1" s="1"/>
  <c r="B1125" i="1" s="1"/>
  <c r="B1126" i="1" s="1"/>
  <c r="B1127" i="1" s="1"/>
  <c r="B1128" i="1" s="1"/>
  <c r="B1129" i="1" s="1"/>
  <c r="B1130" i="1" s="1"/>
  <c r="B1131" i="1" s="1"/>
  <c r="B1132" i="1" s="1"/>
  <c r="B1133" i="1" s="1"/>
  <c r="B1134" i="1" s="1"/>
  <c r="B1135" i="1" s="1"/>
  <c r="B1136" i="1" s="1"/>
  <c r="B1137" i="1" s="1"/>
  <c r="B1138" i="1" s="1"/>
  <c r="B1139" i="1" s="1"/>
  <c r="B1140" i="1" s="1"/>
  <c r="B1141" i="1" s="1"/>
  <c r="B1142" i="1" s="1"/>
  <c r="B1143" i="1" s="1"/>
  <c r="B1144" i="1" s="1"/>
  <c r="B1145" i="1" s="1"/>
  <c r="B1146" i="1" s="1"/>
  <c r="B1147" i="1" s="1"/>
  <c r="B1148" i="1" s="1"/>
  <c r="B1149" i="1" s="1"/>
  <c r="B1150" i="1" s="1"/>
  <c r="B1151" i="1" s="1"/>
  <c r="B1152" i="1" s="1"/>
  <c r="B1153" i="1" s="1"/>
  <c r="B1154" i="1" s="1"/>
  <c r="B1155" i="1" s="1"/>
  <c r="B1156" i="1" s="1"/>
  <c r="B1157" i="1" s="1"/>
  <c r="B1158" i="1" s="1"/>
  <c r="B1159" i="1" s="1"/>
  <c r="B1160" i="1" s="1"/>
  <c r="B1161" i="1" s="1"/>
  <c r="B1162" i="1" s="1"/>
  <c r="B1163" i="1" s="1"/>
  <c r="B1164" i="1" s="1"/>
  <c r="B1165" i="1" s="1"/>
  <c r="B1166" i="1" s="1"/>
  <c r="B1167" i="1" s="1"/>
  <c r="B1168" i="1" s="1"/>
  <c r="B1169" i="1" s="1"/>
  <c r="B1170" i="1" s="1"/>
  <c r="B1171" i="1" s="1"/>
  <c r="B1172" i="1" s="1"/>
  <c r="B1173" i="1" s="1"/>
  <c r="B1174" i="1" s="1"/>
  <c r="B1175" i="1" s="1"/>
  <c r="B1176" i="1" s="1"/>
  <c r="B1177" i="1" s="1"/>
  <c r="B1178" i="1" s="1"/>
  <c r="B1179" i="1" s="1"/>
  <c r="B1180" i="1" s="1"/>
  <c r="B1181" i="1" s="1"/>
  <c r="B1182" i="1" s="1"/>
  <c r="B1183" i="1" s="1"/>
  <c r="B1184" i="1" s="1"/>
  <c r="B1185" i="1" s="1"/>
  <c r="B1186" i="1" s="1"/>
  <c r="B1187" i="1" s="1"/>
  <c r="B1188" i="1" s="1"/>
  <c r="B1189" i="1" s="1"/>
  <c r="B1190" i="1" s="1"/>
  <c r="B1191" i="1" s="1"/>
  <c r="B1192" i="1" s="1"/>
  <c r="B1193" i="1" s="1"/>
  <c r="B1194" i="1" s="1"/>
  <c r="B1195" i="1" s="1"/>
  <c r="B1196" i="1" s="1"/>
  <c r="B1197" i="1" s="1"/>
  <c r="B1198" i="1" s="1"/>
  <c r="B1199" i="1" s="1"/>
  <c r="B1200" i="1" s="1"/>
  <c r="B1201" i="1" s="1"/>
  <c r="B1202" i="1" s="1"/>
  <c r="B1203" i="1" s="1"/>
  <c r="B1204" i="1" s="1"/>
  <c r="B1205" i="1" s="1"/>
  <c r="B1206" i="1" s="1"/>
  <c r="B1207" i="1" s="1"/>
  <c r="B1208" i="1" s="1"/>
  <c r="B1209" i="1" s="1"/>
  <c r="B1210" i="1" s="1"/>
  <c r="B1211" i="1" s="1"/>
  <c r="B1212" i="1" s="1"/>
  <c r="B1213" i="1" s="1"/>
  <c r="B1214" i="1" s="1"/>
  <c r="B1215" i="1" s="1"/>
  <c r="B1216" i="1" s="1"/>
  <c r="B1217" i="1" s="1"/>
  <c r="B1218" i="1" s="1"/>
  <c r="B1219" i="1" s="1"/>
  <c r="B1220" i="1" s="1"/>
  <c r="B1221" i="1" s="1"/>
  <c r="B1222" i="1" s="1"/>
  <c r="B1223" i="1" s="1"/>
  <c r="B1224" i="1" s="1"/>
  <c r="B1225" i="1" s="1"/>
  <c r="B1226" i="1" s="1"/>
  <c r="B1227" i="1" s="1"/>
  <c r="B1228" i="1" s="1"/>
  <c r="B1229" i="1" s="1"/>
  <c r="B1230" i="1" s="1"/>
  <c r="B1231" i="1" s="1"/>
  <c r="B1232" i="1" s="1"/>
  <c r="B1233" i="1" s="1"/>
  <c r="B1234" i="1" s="1"/>
  <c r="B1235" i="1" s="1"/>
  <c r="B1236" i="1" s="1"/>
  <c r="B1237" i="1" s="1"/>
  <c r="B1238" i="1" s="1"/>
  <c r="B1239" i="1" s="1"/>
  <c r="B1240" i="1" s="1"/>
  <c r="B1241" i="1" s="1"/>
  <c r="B1242" i="1" s="1"/>
  <c r="B1243" i="1" s="1"/>
  <c r="B1244" i="1" s="1"/>
  <c r="B1245" i="1" s="1"/>
  <c r="B1246" i="1" s="1"/>
  <c r="B1247" i="1" s="1"/>
  <c r="B1248" i="1" s="1"/>
  <c r="B1249" i="1" s="1"/>
  <c r="B1250" i="1" s="1"/>
  <c r="B1251" i="1" s="1"/>
  <c r="B1252" i="1" s="1"/>
  <c r="B1253" i="1" s="1"/>
  <c r="B1254" i="1" s="1"/>
  <c r="B1255" i="1" s="1"/>
  <c r="B1256" i="1" s="1"/>
  <c r="B1257" i="1" s="1"/>
  <c r="B1258" i="1" s="1"/>
  <c r="B1259" i="1" s="1"/>
  <c r="B1260" i="1" s="1"/>
  <c r="B1261" i="1" s="1"/>
  <c r="B1262" i="1" s="1"/>
  <c r="B1263" i="1" s="1"/>
  <c r="B1264" i="1" s="1"/>
  <c r="B1265" i="1" s="1"/>
  <c r="B1266" i="1" s="1"/>
  <c r="B1267" i="1" s="1"/>
  <c r="B1268" i="1" s="1"/>
  <c r="B1269" i="1" s="1"/>
  <c r="B1270" i="1" s="1"/>
  <c r="B1271" i="1" s="1"/>
  <c r="B1272" i="1" s="1"/>
  <c r="B1273" i="1" s="1"/>
  <c r="B1274" i="1" s="1"/>
  <c r="B1275" i="1" s="1"/>
  <c r="B1276" i="1" s="1"/>
  <c r="B1277" i="1" s="1"/>
  <c r="B1278" i="1" s="1"/>
  <c r="B1279" i="1" s="1"/>
  <c r="B1280" i="1" s="1"/>
  <c r="B1281" i="1" s="1"/>
  <c r="B1282" i="1" s="1"/>
  <c r="B1283" i="1" s="1"/>
  <c r="B1284" i="1" s="1"/>
  <c r="B1285" i="1" s="1"/>
  <c r="B1286" i="1" s="1"/>
  <c r="B1287" i="1" s="1"/>
  <c r="B1288" i="1" s="1"/>
  <c r="B1289" i="1" s="1"/>
  <c r="B1290" i="1" s="1"/>
  <c r="B1291" i="1" s="1"/>
  <c r="B1292" i="1" s="1"/>
  <c r="B1293" i="1" s="1"/>
  <c r="B1294" i="1" s="1"/>
  <c r="B1295" i="1" s="1"/>
  <c r="B1296" i="1" s="1"/>
  <c r="B1297" i="1" s="1"/>
  <c r="B1298" i="1" s="1"/>
  <c r="B1299" i="1" s="1"/>
  <c r="B1300" i="1" s="1"/>
  <c r="B1301" i="1" s="1"/>
  <c r="B1302" i="1" s="1"/>
  <c r="B1303" i="1" s="1"/>
  <c r="B1304" i="1" s="1"/>
  <c r="B1305" i="1" s="1"/>
  <c r="B1306" i="1" s="1"/>
  <c r="B1307" i="1" s="1"/>
  <c r="B1308" i="1" s="1"/>
  <c r="B1309" i="1" s="1"/>
  <c r="B1310" i="1" s="1"/>
  <c r="B1311" i="1" s="1"/>
  <c r="B1312" i="1" s="1"/>
  <c r="B1313" i="1" s="1"/>
  <c r="B1314" i="1" s="1"/>
  <c r="B1315" i="1" s="1"/>
  <c r="B1316" i="1" s="1"/>
  <c r="B1317" i="1" s="1"/>
  <c r="B1318" i="1" s="1"/>
  <c r="B1319" i="1" s="1"/>
  <c r="B1320" i="1" s="1"/>
  <c r="B1321" i="1" s="1"/>
  <c r="B1322" i="1" s="1"/>
  <c r="B1323" i="1" s="1"/>
  <c r="B1324" i="1" s="1"/>
  <c r="B1325" i="1" s="1"/>
  <c r="B1326" i="1" s="1"/>
  <c r="B1327" i="1" s="1"/>
  <c r="B1328" i="1" s="1"/>
  <c r="B1329" i="1" s="1"/>
  <c r="B1330" i="1" s="1"/>
  <c r="B1331" i="1" s="1"/>
  <c r="B1332" i="1" s="1"/>
  <c r="B1333" i="1" s="1"/>
  <c r="B1334" i="1" s="1"/>
  <c r="B1335" i="1" s="1"/>
  <c r="B1336" i="1" s="1"/>
  <c r="B1337" i="1" s="1"/>
  <c r="B1338" i="1" s="1"/>
  <c r="B1339" i="1" s="1"/>
  <c r="B1340" i="1" s="1"/>
  <c r="B1341" i="1" s="1"/>
  <c r="B1342" i="1" s="1"/>
  <c r="B1343" i="1" s="1"/>
  <c r="B1344" i="1" s="1"/>
  <c r="B1345" i="1" s="1"/>
  <c r="B1346" i="1" s="1"/>
  <c r="B1347" i="1" s="1"/>
  <c r="B1348" i="1" s="1"/>
  <c r="B1349" i="1" s="1"/>
  <c r="B1350" i="1" s="1"/>
  <c r="B1351" i="1" s="1"/>
  <c r="B1352" i="1" s="1"/>
  <c r="B1353" i="1" s="1"/>
  <c r="B1354" i="1" s="1"/>
  <c r="B1355" i="1" s="1"/>
  <c r="B1356" i="1" s="1"/>
  <c r="B1357" i="1" s="1"/>
  <c r="B1358" i="1" s="1"/>
  <c r="B1359" i="1" s="1"/>
  <c r="B1360" i="1" s="1"/>
  <c r="B1361" i="1" s="1"/>
  <c r="B1362" i="1" s="1"/>
  <c r="B1363" i="1" s="1"/>
  <c r="B1364" i="1" s="1"/>
  <c r="B1365" i="1" s="1"/>
  <c r="B1366" i="1" s="1"/>
  <c r="B1367" i="1" s="1"/>
  <c r="B1368" i="1" s="1"/>
  <c r="B1369" i="1" s="1"/>
  <c r="B1370" i="1" s="1"/>
  <c r="B1371" i="1" s="1"/>
  <c r="B1372" i="1" s="1"/>
  <c r="B1373" i="1" s="1"/>
  <c r="B1374" i="1" s="1"/>
  <c r="B1375" i="1" s="1"/>
  <c r="B1376" i="1" s="1"/>
  <c r="B1377" i="1" s="1"/>
  <c r="B1378" i="1" s="1"/>
  <c r="B1379" i="1" s="1"/>
  <c r="B1380" i="1" s="1"/>
  <c r="B1381" i="1" s="1"/>
  <c r="B1382" i="1" s="1"/>
  <c r="B1383" i="1" s="1"/>
  <c r="B1384" i="1" s="1"/>
  <c r="B1385" i="1" s="1"/>
  <c r="B1386" i="1" s="1"/>
  <c r="B1387" i="1" s="1"/>
  <c r="B1388" i="1" s="1"/>
  <c r="B1389" i="1" s="1"/>
  <c r="B1390" i="1" s="1"/>
  <c r="B1391" i="1" s="1"/>
  <c r="B1392" i="1" s="1"/>
  <c r="B1393" i="1" s="1"/>
  <c r="B1394" i="1" s="1"/>
  <c r="B1395" i="1" s="1"/>
  <c r="B1396" i="1" s="1"/>
  <c r="B1397" i="1" s="1"/>
  <c r="B1398" i="1" s="1"/>
  <c r="B1399" i="1" s="1"/>
  <c r="B1400" i="1" s="1"/>
  <c r="B1401" i="1" s="1"/>
  <c r="B1402" i="1" s="1"/>
  <c r="B1403" i="1" s="1"/>
  <c r="B1404" i="1" s="1"/>
  <c r="B1405" i="1" s="1"/>
  <c r="B1406" i="1" s="1"/>
  <c r="B1407" i="1" s="1"/>
  <c r="B1408" i="1" s="1"/>
  <c r="B1409" i="1" s="1"/>
  <c r="B1410" i="1" s="1"/>
  <c r="B1411" i="1" s="1"/>
  <c r="B1412" i="1" s="1"/>
  <c r="B1413" i="1" s="1"/>
  <c r="B1414" i="1" s="1"/>
  <c r="B1415" i="1" s="1"/>
  <c r="B1416" i="1" s="1"/>
  <c r="B1417" i="1" s="1"/>
  <c r="B1418" i="1" s="1"/>
  <c r="B1419" i="1" s="1"/>
  <c r="B1420" i="1" s="1"/>
  <c r="B1421" i="1" s="1"/>
  <c r="B1422" i="1" s="1"/>
  <c r="B1423" i="1" s="1"/>
  <c r="B1424" i="1" s="1"/>
  <c r="B1425" i="1" s="1"/>
  <c r="B1426" i="1" s="1"/>
  <c r="B1427" i="1" s="1"/>
  <c r="B1428" i="1" s="1"/>
  <c r="B1429" i="1" s="1"/>
  <c r="B1430" i="1" s="1"/>
  <c r="B1431" i="1" s="1"/>
  <c r="B1432" i="1" s="1"/>
  <c r="B1433" i="1" s="1"/>
  <c r="B1434" i="1" s="1"/>
  <c r="B1435" i="1" s="1"/>
  <c r="B1436" i="1" s="1"/>
  <c r="B1437" i="1" s="1"/>
  <c r="B1438" i="1" s="1"/>
  <c r="B1439" i="1" s="1"/>
  <c r="B1440" i="1" s="1"/>
  <c r="B1441" i="1" s="1"/>
  <c r="B1442" i="1" s="1"/>
  <c r="B1443" i="1" s="1"/>
  <c r="B1444" i="1" s="1"/>
  <c r="B1445" i="1" s="1"/>
  <c r="B1446" i="1" s="1"/>
  <c r="B1447" i="1" s="1"/>
  <c r="B1448" i="1" s="1"/>
  <c r="B1449" i="1" s="1"/>
  <c r="B1450" i="1" s="1"/>
  <c r="B1451" i="1" s="1"/>
  <c r="B1452" i="1" s="1"/>
  <c r="B1453" i="1" s="1"/>
  <c r="B1454" i="1" s="1"/>
  <c r="B1455" i="1" s="1"/>
  <c r="B1456" i="1" s="1"/>
  <c r="B1457" i="1" s="1"/>
  <c r="B1458" i="1" s="1"/>
  <c r="B1459" i="1" s="1"/>
  <c r="B1460" i="1" s="1"/>
  <c r="B1461" i="1" s="1"/>
  <c r="B1462" i="1" s="1"/>
  <c r="B1463" i="1" s="1"/>
  <c r="B1464" i="1" s="1"/>
  <c r="B1465" i="1" s="1"/>
  <c r="B1466" i="1" s="1"/>
  <c r="B1467" i="1" s="1"/>
  <c r="B1468" i="1" s="1"/>
  <c r="B1469" i="1" s="1"/>
  <c r="B1470" i="1" s="1"/>
  <c r="B1471" i="1" s="1"/>
  <c r="B1472" i="1" s="1"/>
  <c r="B1473" i="1" s="1"/>
  <c r="B1474" i="1" s="1"/>
  <c r="B1475" i="1" s="1"/>
  <c r="B1476" i="1" s="1"/>
  <c r="B1477" i="1" s="1"/>
  <c r="B1478" i="1" s="1"/>
  <c r="B1479" i="1" s="1"/>
  <c r="B1480" i="1" s="1"/>
  <c r="B1481" i="1" s="1"/>
  <c r="B1482" i="1" s="1"/>
  <c r="B1483" i="1" s="1"/>
  <c r="B1484" i="1" s="1"/>
  <c r="B1485" i="1" s="1"/>
  <c r="B1486" i="1" s="1"/>
  <c r="B1487" i="1" s="1"/>
  <c r="B1488" i="1" s="1"/>
  <c r="B1489" i="1" s="1"/>
  <c r="B1490" i="1" s="1"/>
  <c r="B1491" i="1" s="1"/>
  <c r="B1492" i="1" s="1"/>
  <c r="B1493" i="1" s="1"/>
  <c r="B1494" i="1" s="1"/>
  <c r="B1495" i="1" s="1"/>
  <c r="B1496" i="1" s="1"/>
  <c r="B1497" i="1" s="1"/>
  <c r="B1498" i="1" s="1"/>
  <c r="B1499" i="1" s="1"/>
  <c r="B1500" i="1" s="1"/>
  <c r="B1501" i="1" s="1"/>
  <c r="B1502" i="1" s="1"/>
  <c r="B1503" i="1" s="1"/>
  <c r="B1504" i="1" s="1"/>
  <c r="B1505" i="1" s="1"/>
  <c r="B1506" i="1" s="1"/>
  <c r="B1507" i="1" s="1"/>
  <c r="B1508" i="1" s="1"/>
  <c r="B1509" i="1" s="1"/>
  <c r="B1510" i="1" s="1"/>
  <c r="B1511" i="1" s="1"/>
  <c r="B1512" i="1" s="1"/>
  <c r="B1513" i="1" s="1"/>
  <c r="B1514" i="1" s="1"/>
  <c r="B1515" i="1" s="1"/>
  <c r="B1516" i="1" s="1"/>
  <c r="B1517" i="1" s="1"/>
  <c r="B1518" i="1" s="1"/>
  <c r="B1519" i="1" s="1"/>
  <c r="B1520" i="1" s="1"/>
  <c r="B1521" i="1" s="1"/>
  <c r="B1522" i="1" s="1"/>
  <c r="B1523" i="1" s="1"/>
  <c r="B1524" i="1" s="1"/>
  <c r="B1525" i="1" s="1"/>
  <c r="B1526" i="1" s="1"/>
  <c r="B1527" i="1" s="1"/>
  <c r="B1528" i="1" s="1"/>
  <c r="B1529" i="1" s="1"/>
  <c r="B1530" i="1" s="1"/>
  <c r="B1531" i="1" s="1"/>
  <c r="B1532" i="1" s="1"/>
  <c r="B1533" i="1" s="1"/>
  <c r="B1534" i="1" s="1"/>
  <c r="B1535" i="1" s="1"/>
  <c r="B1536" i="1" s="1"/>
  <c r="B1537" i="1" s="1"/>
  <c r="B1538" i="1" s="1"/>
  <c r="B1539" i="1" s="1"/>
  <c r="B1540" i="1" s="1"/>
  <c r="B1541" i="1" s="1"/>
  <c r="B1542" i="1" s="1"/>
  <c r="B1543" i="1" s="1"/>
  <c r="B1544" i="1" s="1"/>
  <c r="B1545" i="1" s="1"/>
  <c r="B1546" i="1" s="1"/>
  <c r="B1547" i="1" s="1"/>
  <c r="B1548" i="1" s="1"/>
  <c r="B1549" i="1" s="1"/>
  <c r="B1550" i="1" s="1"/>
  <c r="B1551" i="1" s="1"/>
  <c r="B1552" i="1" s="1"/>
  <c r="B1553" i="1" s="1"/>
  <c r="B1554" i="1" s="1"/>
  <c r="B1555" i="1" s="1"/>
  <c r="B1556" i="1" s="1"/>
  <c r="B1557" i="1" s="1"/>
  <c r="B1558" i="1" s="1"/>
  <c r="B1559" i="1" s="1"/>
  <c r="B1560" i="1" s="1"/>
  <c r="B1561" i="1" s="1"/>
  <c r="B1562" i="1" s="1"/>
  <c r="B1563" i="1" s="1"/>
  <c r="B1564" i="1" s="1"/>
  <c r="B1565" i="1" s="1"/>
  <c r="B1566" i="1" s="1"/>
  <c r="B1567" i="1" s="1"/>
  <c r="B1568" i="1" s="1"/>
  <c r="B1569" i="1" s="1"/>
  <c r="B1570" i="1" s="1"/>
  <c r="B1571" i="1" s="1"/>
  <c r="B1572" i="1" s="1"/>
  <c r="B1573" i="1" s="1"/>
  <c r="B1574" i="1" s="1"/>
  <c r="B1575" i="1" s="1"/>
  <c r="B1576" i="1" s="1"/>
  <c r="B1577" i="1" s="1"/>
  <c r="B1578" i="1" s="1"/>
  <c r="B1579" i="1" s="1"/>
  <c r="B1580" i="1" s="1"/>
  <c r="B1581" i="1" s="1"/>
  <c r="B1582" i="1" s="1"/>
  <c r="B1583" i="1" s="1"/>
  <c r="B1584" i="1" s="1"/>
  <c r="B1585" i="1" s="1"/>
  <c r="B1586" i="1" s="1"/>
  <c r="B1587" i="1" s="1"/>
  <c r="B1588" i="1" s="1"/>
  <c r="B1589" i="1" s="1"/>
  <c r="B1590" i="1" s="1"/>
  <c r="B1591" i="1" s="1"/>
  <c r="B1592" i="1" s="1"/>
  <c r="B1593" i="1" s="1"/>
  <c r="B1594" i="1" s="1"/>
  <c r="B1595" i="1" s="1"/>
  <c r="B1596" i="1" s="1"/>
  <c r="B1597" i="1" s="1"/>
  <c r="B1598" i="1" s="1"/>
  <c r="B1599" i="1" s="1"/>
  <c r="B1600" i="1" s="1"/>
  <c r="B1601" i="1" s="1"/>
  <c r="B1602" i="1" s="1"/>
  <c r="B1603" i="1" s="1"/>
  <c r="B1604" i="1" s="1"/>
  <c r="B1605" i="1" s="1"/>
  <c r="B1606" i="1" s="1"/>
  <c r="B1607" i="1" s="1"/>
  <c r="B1608" i="1" s="1"/>
  <c r="B1609" i="1" s="1"/>
  <c r="B1610" i="1" s="1"/>
  <c r="B1611" i="1" s="1"/>
  <c r="B1612" i="1" s="1"/>
  <c r="B1613" i="1" s="1"/>
  <c r="B1614" i="1" s="1"/>
  <c r="B1615" i="1" s="1"/>
  <c r="B1616" i="1" s="1"/>
  <c r="B1617" i="1" s="1"/>
  <c r="B1618" i="1" s="1"/>
  <c r="B1619" i="1" s="1"/>
  <c r="B1620" i="1" s="1"/>
  <c r="B1621" i="1" s="1"/>
  <c r="B1622" i="1" s="1"/>
  <c r="B1623" i="1" s="1"/>
  <c r="B1624" i="1" s="1"/>
  <c r="B1625" i="1" s="1"/>
  <c r="B1626" i="1" s="1"/>
  <c r="B1627" i="1" s="1"/>
  <c r="B1628" i="1" s="1"/>
  <c r="B1629" i="1" s="1"/>
  <c r="B1630" i="1" s="1"/>
  <c r="B1631" i="1" s="1"/>
  <c r="B1632" i="1" s="1"/>
  <c r="B1633" i="1" s="1"/>
  <c r="B1634" i="1" s="1"/>
  <c r="B1635" i="1" s="1"/>
  <c r="B1636" i="1" s="1"/>
  <c r="B1637" i="1" s="1"/>
  <c r="B1638" i="1" s="1"/>
  <c r="B1639" i="1" s="1"/>
  <c r="B1640" i="1" s="1"/>
  <c r="B1641" i="1" s="1"/>
  <c r="B1642" i="1" s="1"/>
  <c r="B1643" i="1" s="1"/>
  <c r="B1644" i="1" s="1"/>
  <c r="B1645" i="1" s="1"/>
  <c r="B1646" i="1" s="1"/>
  <c r="B1647" i="1" s="1"/>
  <c r="B1648" i="1" s="1"/>
  <c r="B1649" i="1" s="1"/>
  <c r="B1650" i="1" s="1"/>
  <c r="B1651" i="1" s="1"/>
  <c r="B1652" i="1" s="1"/>
  <c r="B1653" i="1" s="1"/>
  <c r="B1654" i="1" s="1"/>
  <c r="B1655" i="1" s="1"/>
  <c r="B1656" i="1" s="1"/>
  <c r="B1657" i="1" s="1"/>
  <c r="B1658" i="1" s="1"/>
  <c r="B1659" i="1" s="1"/>
  <c r="B1660" i="1" s="1"/>
  <c r="B1661" i="1" s="1"/>
  <c r="B1662" i="1" s="1"/>
  <c r="B1663" i="1" s="1"/>
  <c r="B1664" i="1" s="1"/>
  <c r="B1665" i="1" s="1"/>
  <c r="B1666" i="1" s="1"/>
  <c r="B1667" i="1" s="1"/>
  <c r="B1668" i="1" s="1"/>
  <c r="B1669" i="1" s="1"/>
  <c r="B1670" i="1" s="1"/>
  <c r="B1671" i="1" s="1"/>
  <c r="B1672" i="1" s="1"/>
  <c r="B1673" i="1" s="1"/>
  <c r="B1674" i="1" s="1"/>
  <c r="B1675" i="1" s="1"/>
  <c r="B1676" i="1" s="1"/>
  <c r="B1677" i="1" s="1"/>
  <c r="B1678" i="1" s="1"/>
  <c r="B1679" i="1" s="1"/>
  <c r="B1680" i="1" s="1"/>
  <c r="B1681" i="1" s="1"/>
  <c r="B1682" i="1" s="1"/>
  <c r="B1683" i="1" s="1"/>
  <c r="B1684" i="1" s="1"/>
  <c r="B1685" i="1" s="1"/>
  <c r="B1686" i="1" s="1"/>
  <c r="B1687" i="1" s="1"/>
  <c r="B1688" i="1" s="1"/>
  <c r="B1689" i="1" s="1"/>
  <c r="B1690" i="1" s="1"/>
  <c r="B1691" i="1" s="1"/>
  <c r="B1692" i="1" s="1"/>
  <c r="B1693" i="1" s="1"/>
  <c r="B1694" i="1" s="1"/>
  <c r="B1695" i="1" s="1"/>
  <c r="B1696" i="1" s="1"/>
  <c r="B1697" i="1" s="1"/>
  <c r="B1698" i="1" s="1"/>
  <c r="B1699" i="1" s="1"/>
  <c r="B1700" i="1" s="1"/>
  <c r="B1701" i="1" s="1"/>
  <c r="B1702" i="1" s="1"/>
  <c r="B1703" i="1" s="1"/>
  <c r="B1704" i="1" s="1"/>
  <c r="B1705" i="1" s="1"/>
  <c r="B1706" i="1" s="1"/>
  <c r="B1707" i="1" s="1"/>
  <c r="B1708" i="1" s="1"/>
  <c r="B1709" i="1" s="1"/>
  <c r="B1710" i="1" s="1"/>
  <c r="B1711" i="1" s="1"/>
  <c r="B1712" i="1" s="1"/>
  <c r="B1713" i="1" s="1"/>
  <c r="B1714" i="1" s="1"/>
  <c r="B1715" i="1" s="1"/>
  <c r="B1716" i="1" s="1"/>
  <c r="B1717" i="1" s="1"/>
  <c r="B1718" i="1" s="1"/>
  <c r="B1719" i="1" s="1"/>
  <c r="B1720" i="1" s="1"/>
  <c r="B1721" i="1" s="1"/>
  <c r="B1722" i="1" s="1"/>
  <c r="B1723" i="1" s="1"/>
  <c r="B1724" i="1" s="1"/>
  <c r="B1725" i="1" s="1"/>
  <c r="B1726" i="1" s="1"/>
  <c r="B1727"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2" i="1"/>
  <c r="I1" i="18" l="1" a="1"/>
  <c r="I1" i="18" s="1"/>
  <c r="N8" i="1"/>
  <c r="N18" i="1"/>
  <c r="J29" i="1"/>
  <c r="J38" i="1"/>
  <c r="U17" i="1"/>
  <c r="O26" i="1"/>
  <c r="H10" i="1"/>
  <c r="V17" i="1"/>
  <c r="I29" i="1"/>
  <c r="K42" i="1"/>
  <c r="N10" i="1"/>
  <c r="M44" i="1"/>
  <c r="Q4" i="1"/>
  <c r="O10" i="1"/>
  <c r="I21" i="1"/>
  <c r="Q29" i="1"/>
  <c r="H55" i="1"/>
  <c r="R4" i="1"/>
  <c r="J12" i="1"/>
  <c r="J21" i="1"/>
  <c r="K31" i="1"/>
  <c r="I5" i="1"/>
  <c r="I13" i="1"/>
  <c r="T22" i="1"/>
  <c r="H34" i="1"/>
  <c r="L8" i="1"/>
  <c r="J13" i="1"/>
  <c r="V25" i="1"/>
  <c r="N34" i="1"/>
  <c r="V160" i="1"/>
  <c r="M8" i="1"/>
  <c r="R14" i="1"/>
  <c r="N26" i="1"/>
  <c r="R37" i="1"/>
  <c r="S163" i="1"/>
  <c r="L6" i="1"/>
  <c r="S15" i="1"/>
  <c r="Q21" i="1"/>
  <c r="L23" i="1"/>
  <c r="S31" i="1"/>
  <c r="O34" i="1"/>
  <c r="K38" i="1"/>
  <c r="Q58" i="1"/>
  <c r="S30" i="1"/>
  <c r="S14" i="1"/>
  <c r="J5" i="1"/>
  <c r="R6" i="1"/>
  <c r="M9" i="1"/>
  <c r="V10" i="1"/>
  <c r="K13" i="1"/>
  <c r="T15" i="1"/>
  <c r="O18" i="1"/>
  <c r="R21" i="1"/>
  <c r="S23" i="1"/>
  <c r="P26" i="1"/>
  <c r="R29" i="1"/>
  <c r="T31" i="1"/>
  <c r="O35" i="1"/>
  <c r="S38" i="1"/>
  <c r="J45" i="1"/>
  <c r="T64" i="1"/>
  <c r="N122" i="1"/>
  <c r="L181" i="1"/>
  <c r="J6" i="1"/>
  <c r="T55" i="1"/>
  <c r="K5" i="1"/>
  <c r="S6" i="1"/>
  <c r="N9" i="1"/>
  <c r="H11" i="1"/>
  <c r="Q13" i="1"/>
  <c r="U16" i="1"/>
  <c r="V18" i="1"/>
  <c r="J22" i="1"/>
  <c r="M24" i="1"/>
  <c r="V26" i="1"/>
  <c r="J30" i="1"/>
  <c r="U32" i="1"/>
  <c r="P35" i="1"/>
  <c r="K39" i="1"/>
  <c r="T45" i="1"/>
  <c r="S65" i="1"/>
  <c r="R126" i="1"/>
  <c r="N196" i="1"/>
  <c r="K23" i="1"/>
  <c r="H43" i="1"/>
  <c r="Q5" i="1"/>
  <c r="K7" i="1"/>
  <c r="O9" i="1"/>
  <c r="I11" i="1"/>
  <c r="R13" i="1"/>
  <c r="V16" i="1"/>
  <c r="O19" i="1"/>
  <c r="K22" i="1"/>
  <c r="M25" i="1"/>
  <c r="H27" i="1"/>
  <c r="K30" i="1"/>
  <c r="M33" i="1"/>
  <c r="Q36" i="1"/>
  <c r="L39" i="1"/>
  <c r="V47" i="1"/>
  <c r="L72" i="1"/>
  <c r="M137" i="1"/>
  <c r="K6" i="1"/>
  <c r="I4" i="1"/>
  <c r="R5" i="1"/>
  <c r="L7" i="1"/>
  <c r="U9" i="1"/>
  <c r="H12" i="1"/>
  <c r="J14" i="1"/>
  <c r="M17" i="1"/>
  <c r="P19" i="1"/>
  <c r="R22" i="1"/>
  <c r="N25" i="1"/>
  <c r="O27" i="1"/>
  <c r="L30" i="1"/>
  <c r="N33" i="1"/>
  <c r="I37" i="1"/>
  <c r="M40" i="1"/>
  <c r="K73" i="1"/>
  <c r="I156" i="1"/>
  <c r="P4" i="1"/>
  <c r="S5" i="1"/>
  <c r="M7" i="1"/>
  <c r="V9" i="1"/>
  <c r="I12" i="1"/>
  <c r="K14" i="1"/>
  <c r="N17" i="1"/>
  <c r="Q20" i="1"/>
  <c r="S22" i="1"/>
  <c r="U25" i="1"/>
  <c r="I28" i="1"/>
  <c r="R30" i="1"/>
  <c r="V33" i="1"/>
  <c r="J37" i="1"/>
  <c r="P41" i="1"/>
  <c r="S50" i="1"/>
  <c r="Q77" i="1"/>
  <c r="G54" i="1"/>
  <c r="H53" i="1"/>
  <c r="L49" i="1"/>
  <c r="P45" i="1"/>
  <c r="T41" i="1"/>
  <c r="J336" i="1"/>
  <c r="N332" i="1"/>
  <c r="R328" i="1"/>
  <c r="V324" i="1"/>
  <c r="I337" i="1"/>
  <c r="M333" i="1"/>
  <c r="Q329" i="1"/>
  <c r="U325" i="1"/>
  <c r="S327" i="1"/>
  <c r="T326" i="1"/>
  <c r="L334" i="1"/>
  <c r="K335" i="1"/>
  <c r="H338" i="1"/>
  <c r="P330" i="1"/>
  <c r="K516" i="1"/>
  <c r="O512" i="1"/>
  <c r="S508" i="1"/>
  <c r="J517" i="1"/>
  <c r="N513" i="1"/>
  <c r="R509" i="1"/>
  <c r="V505" i="1"/>
  <c r="I518" i="1"/>
  <c r="M514" i="1"/>
  <c r="Q510" i="1"/>
  <c r="U506" i="1"/>
  <c r="H519" i="1"/>
  <c r="L515" i="1"/>
  <c r="P511" i="1"/>
  <c r="T507" i="1"/>
  <c r="I703" i="1"/>
  <c r="M699" i="1"/>
  <c r="Q695" i="1"/>
  <c r="U691" i="1"/>
  <c r="H704" i="1"/>
  <c r="L700" i="1"/>
  <c r="P696" i="1"/>
  <c r="T692" i="1"/>
  <c r="N698" i="1"/>
  <c r="S693" i="1"/>
  <c r="J702" i="1"/>
  <c r="O697" i="1"/>
  <c r="V690" i="1"/>
  <c r="R694" i="1"/>
  <c r="K701" i="1"/>
  <c r="J906" i="1"/>
  <c r="N902" i="1"/>
  <c r="R898" i="1"/>
  <c r="V894" i="1"/>
  <c r="I907" i="1"/>
  <c r="M903" i="1"/>
  <c r="Q899" i="1"/>
  <c r="U895" i="1"/>
  <c r="H908" i="1"/>
  <c r="L904" i="1"/>
  <c r="P900" i="1"/>
  <c r="T896" i="1"/>
  <c r="K905" i="1"/>
  <c r="O901" i="1"/>
  <c r="S897" i="1"/>
  <c r="I1061" i="1"/>
  <c r="M1057" i="1"/>
  <c r="Q1053" i="1"/>
  <c r="U1049" i="1"/>
  <c r="H1062" i="1"/>
  <c r="L1058" i="1"/>
  <c r="P1054" i="1"/>
  <c r="T1050" i="1"/>
  <c r="S1051" i="1"/>
  <c r="V1048" i="1"/>
  <c r="J1060" i="1"/>
  <c r="O1055" i="1"/>
  <c r="R1052" i="1"/>
  <c r="K1059" i="1"/>
  <c r="N1056" i="1"/>
  <c r="H1219" i="1"/>
  <c r="L1215" i="1"/>
  <c r="P1211" i="1"/>
  <c r="T1207" i="1"/>
  <c r="K1216" i="1"/>
  <c r="O1212" i="1"/>
  <c r="S1208" i="1"/>
  <c r="J1217" i="1"/>
  <c r="N1213" i="1"/>
  <c r="R1209" i="1"/>
  <c r="V1205" i="1"/>
  <c r="I1218" i="1"/>
  <c r="M1214" i="1"/>
  <c r="Q1210" i="1"/>
  <c r="U1206" i="1"/>
  <c r="I1348" i="1"/>
  <c r="M1344" i="1"/>
  <c r="Q1340" i="1"/>
  <c r="U1336" i="1"/>
  <c r="H1349" i="1"/>
  <c r="L1345" i="1"/>
  <c r="P1341" i="1"/>
  <c r="T1337" i="1"/>
  <c r="R1339" i="1"/>
  <c r="N1343" i="1"/>
  <c r="S1338" i="1"/>
  <c r="J1347" i="1"/>
  <c r="V1335" i="1"/>
  <c r="O1342" i="1"/>
  <c r="K1346" i="1"/>
  <c r="Q1543" i="1"/>
  <c r="S1541" i="1"/>
  <c r="I1551" i="1"/>
  <c r="L1548" i="1"/>
  <c r="V1538" i="1"/>
  <c r="N1546" i="1"/>
  <c r="P1544" i="1"/>
  <c r="K1549" i="1"/>
  <c r="T1540" i="1"/>
  <c r="H1552" i="1"/>
  <c r="M1547" i="1"/>
  <c r="O1545" i="1"/>
  <c r="U1539" i="1"/>
  <c r="R1542" i="1"/>
  <c r="J1550" i="1"/>
  <c r="K1677" i="1"/>
  <c r="J1678" i="1"/>
  <c r="I1679" i="1"/>
  <c r="O1673" i="1"/>
  <c r="S1669" i="1"/>
  <c r="N1674" i="1"/>
  <c r="R1670" i="1"/>
  <c r="V1666" i="1"/>
  <c r="P1672" i="1"/>
  <c r="T1668" i="1"/>
  <c r="U1667" i="1"/>
  <c r="L1676" i="1"/>
  <c r="Q1671" i="1"/>
  <c r="H1680" i="1"/>
  <c r="M1675" i="1"/>
  <c r="T24" i="1"/>
  <c r="L32" i="1"/>
  <c r="J103" i="1"/>
  <c r="N99" i="1"/>
  <c r="R95" i="1"/>
  <c r="V91" i="1"/>
  <c r="I104" i="1"/>
  <c r="M100" i="1"/>
  <c r="Q96" i="1"/>
  <c r="U92" i="1"/>
  <c r="H105" i="1"/>
  <c r="L101" i="1"/>
  <c r="P97" i="1"/>
  <c r="T93" i="1"/>
  <c r="K433" i="1"/>
  <c r="O429" i="1"/>
  <c r="S425" i="1"/>
  <c r="J434" i="1"/>
  <c r="N430" i="1"/>
  <c r="R426" i="1"/>
  <c r="V422" i="1"/>
  <c r="H436" i="1"/>
  <c r="M431" i="1"/>
  <c r="P428" i="1"/>
  <c r="U423" i="1"/>
  <c r="I435" i="1"/>
  <c r="Q427" i="1"/>
  <c r="T424" i="1"/>
  <c r="L432" i="1"/>
  <c r="H709" i="1"/>
  <c r="L705" i="1"/>
  <c r="P701" i="1"/>
  <c r="T697" i="1"/>
  <c r="K706" i="1"/>
  <c r="O702" i="1"/>
  <c r="S698" i="1"/>
  <c r="J707" i="1"/>
  <c r="N703" i="1"/>
  <c r="R699" i="1"/>
  <c r="V695" i="1"/>
  <c r="I708" i="1"/>
  <c r="M704" i="1"/>
  <c r="Q700" i="1"/>
  <c r="U696" i="1"/>
  <c r="K988" i="1"/>
  <c r="O984" i="1"/>
  <c r="S980" i="1"/>
  <c r="J989" i="1"/>
  <c r="N985" i="1"/>
  <c r="R981" i="1"/>
  <c r="V977" i="1"/>
  <c r="T979" i="1"/>
  <c r="I990" i="1"/>
  <c r="P983" i="1"/>
  <c r="U978" i="1"/>
  <c r="M986" i="1"/>
  <c r="H991" i="1"/>
  <c r="Q982" i="1"/>
  <c r="L987" i="1"/>
  <c r="K1263" i="1"/>
  <c r="O1259" i="1"/>
  <c r="S1255" i="1"/>
  <c r="J1264" i="1"/>
  <c r="N1260" i="1"/>
  <c r="R1256" i="1"/>
  <c r="V1252" i="1"/>
  <c r="I1265" i="1"/>
  <c r="M1261" i="1"/>
  <c r="Q1257" i="1"/>
  <c r="U1253" i="1"/>
  <c r="H1266" i="1"/>
  <c r="L1262" i="1"/>
  <c r="P1258" i="1"/>
  <c r="T1254" i="1"/>
  <c r="K1508" i="1"/>
  <c r="O1504" i="1"/>
  <c r="S1500" i="1"/>
  <c r="J1509" i="1"/>
  <c r="N1505" i="1"/>
  <c r="R1501" i="1"/>
  <c r="V1497" i="1"/>
  <c r="H1511" i="1"/>
  <c r="L1507" i="1"/>
  <c r="P1503" i="1"/>
  <c r="T1499" i="1"/>
  <c r="U1498" i="1"/>
  <c r="I1510" i="1"/>
  <c r="M1506" i="1"/>
  <c r="Q1502" i="1"/>
  <c r="I20" i="1"/>
  <c r="P27" i="1"/>
  <c r="M32" i="1"/>
  <c r="K52" i="1"/>
  <c r="H148" i="1"/>
  <c r="J294" i="1"/>
  <c r="O331" i="1"/>
  <c r="G58" i="1"/>
  <c r="J55" i="1"/>
  <c r="N51" i="1"/>
  <c r="R47" i="1"/>
  <c r="V43" i="1"/>
  <c r="H109" i="1"/>
  <c r="L105" i="1"/>
  <c r="P101" i="1"/>
  <c r="T97" i="1"/>
  <c r="K106" i="1"/>
  <c r="O102" i="1"/>
  <c r="S98" i="1"/>
  <c r="J107" i="1"/>
  <c r="N103" i="1"/>
  <c r="R99" i="1"/>
  <c r="V95" i="1"/>
  <c r="G162" i="1"/>
  <c r="J159" i="1"/>
  <c r="N155" i="1"/>
  <c r="R151" i="1"/>
  <c r="V147" i="1"/>
  <c r="I160" i="1"/>
  <c r="M156" i="1"/>
  <c r="Q152" i="1"/>
  <c r="U148" i="1"/>
  <c r="L157" i="1"/>
  <c r="P153" i="1"/>
  <c r="T149" i="1"/>
  <c r="H208" i="1"/>
  <c r="L204" i="1"/>
  <c r="P200" i="1"/>
  <c r="T196" i="1"/>
  <c r="K205" i="1"/>
  <c r="O201" i="1"/>
  <c r="S197" i="1"/>
  <c r="N202" i="1"/>
  <c r="V194" i="1"/>
  <c r="M203" i="1"/>
  <c r="U195" i="1"/>
  <c r="J206" i="1"/>
  <c r="R198" i="1"/>
  <c r="H255" i="1"/>
  <c r="L251" i="1"/>
  <c r="P247" i="1"/>
  <c r="T243" i="1"/>
  <c r="K252" i="1"/>
  <c r="O248" i="1"/>
  <c r="S244" i="1"/>
  <c r="J253" i="1"/>
  <c r="N249" i="1"/>
  <c r="R245" i="1"/>
  <c r="I254" i="1"/>
  <c r="M250" i="1"/>
  <c r="Q246" i="1"/>
  <c r="U242" i="1"/>
  <c r="J305" i="1"/>
  <c r="N301" i="1"/>
  <c r="R297" i="1"/>
  <c r="V293" i="1"/>
  <c r="I306" i="1"/>
  <c r="M302" i="1"/>
  <c r="Q298" i="1"/>
  <c r="U294" i="1"/>
  <c r="H307" i="1"/>
  <c r="L303" i="1"/>
  <c r="P299" i="1"/>
  <c r="T295" i="1"/>
  <c r="K304" i="1"/>
  <c r="O300" i="1"/>
  <c r="S296" i="1"/>
  <c r="K345" i="1"/>
  <c r="O341" i="1"/>
  <c r="S337" i="1"/>
  <c r="J346" i="1"/>
  <c r="N342" i="1"/>
  <c r="R338" i="1"/>
  <c r="V334" i="1"/>
  <c r="M343" i="1"/>
  <c r="P340" i="1"/>
  <c r="I347" i="1"/>
  <c r="L344" i="1"/>
  <c r="H348" i="1"/>
  <c r="T336" i="1"/>
  <c r="U335" i="1"/>
  <c r="I399" i="1"/>
  <c r="M395" i="1"/>
  <c r="Q391" i="1"/>
  <c r="U387" i="1"/>
  <c r="H400" i="1"/>
  <c r="L396" i="1"/>
  <c r="P392" i="1"/>
  <c r="T388" i="1"/>
  <c r="K397" i="1"/>
  <c r="N394" i="1"/>
  <c r="S389" i="1"/>
  <c r="V386" i="1"/>
  <c r="O393" i="1"/>
  <c r="R390" i="1"/>
  <c r="J398" i="1"/>
  <c r="K440" i="1"/>
  <c r="O436" i="1"/>
  <c r="S432" i="1"/>
  <c r="J441" i="1"/>
  <c r="N437" i="1"/>
  <c r="R433" i="1"/>
  <c r="V429" i="1"/>
  <c r="I442" i="1"/>
  <c r="M438" i="1"/>
  <c r="Q434" i="1"/>
  <c r="U430" i="1"/>
  <c r="H443" i="1"/>
  <c r="P435" i="1"/>
  <c r="L439" i="1"/>
  <c r="H489" i="1"/>
  <c r="L485" i="1"/>
  <c r="P481" i="1"/>
  <c r="T477" i="1"/>
  <c r="K486" i="1"/>
  <c r="O482" i="1"/>
  <c r="S478" i="1"/>
  <c r="J487" i="1"/>
  <c r="N483" i="1"/>
  <c r="R479" i="1"/>
  <c r="V475" i="1"/>
  <c r="I488" i="1"/>
  <c r="M484" i="1"/>
  <c r="Q480" i="1"/>
  <c r="U476" i="1"/>
  <c r="K525" i="1"/>
  <c r="O521" i="1"/>
  <c r="S517" i="1"/>
  <c r="J526" i="1"/>
  <c r="N522" i="1"/>
  <c r="R518" i="1"/>
  <c r="V514" i="1"/>
  <c r="L524" i="1"/>
  <c r="Q519" i="1"/>
  <c r="H528" i="1"/>
  <c r="M523" i="1"/>
  <c r="T516" i="1"/>
  <c r="I527" i="1"/>
  <c r="U515" i="1"/>
  <c r="P520" i="1"/>
  <c r="K572" i="1"/>
  <c r="O568" i="1"/>
  <c r="S564" i="1"/>
  <c r="J573" i="1"/>
  <c r="N569" i="1"/>
  <c r="R565" i="1"/>
  <c r="V561" i="1"/>
  <c r="I574" i="1"/>
  <c r="M570" i="1"/>
  <c r="Q566" i="1"/>
  <c r="U562" i="1"/>
  <c r="H575" i="1"/>
  <c r="L571" i="1"/>
  <c r="P567" i="1"/>
  <c r="T563" i="1"/>
  <c r="J624" i="1"/>
  <c r="N620" i="1"/>
  <c r="R616" i="1"/>
  <c r="V612" i="1"/>
  <c r="I625" i="1"/>
  <c r="M621" i="1"/>
  <c r="Q617" i="1"/>
  <c r="U613" i="1"/>
  <c r="O619" i="1"/>
  <c r="T614" i="1"/>
  <c r="K623" i="1"/>
  <c r="P618" i="1"/>
  <c r="S615" i="1"/>
  <c r="H626" i="1"/>
  <c r="L622" i="1"/>
  <c r="J672" i="1"/>
  <c r="N668" i="1"/>
  <c r="R664" i="1"/>
  <c r="V660" i="1"/>
  <c r="I673" i="1"/>
  <c r="M669" i="1"/>
  <c r="Q665" i="1"/>
  <c r="U661" i="1"/>
  <c r="L670" i="1"/>
  <c r="S663" i="1"/>
  <c r="H674" i="1"/>
  <c r="O667" i="1"/>
  <c r="K671" i="1"/>
  <c r="T662" i="1"/>
  <c r="P666" i="1"/>
  <c r="H717" i="1"/>
  <c r="L713" i="1"/>
  <c r="P709" i="1"/>
  <c r="T705" i="1"/>
  <c r="K714" i="1"/>
  <c r="O710" i="1"/>
  <c r="S706" i="1"/>
  <c r="J715" i="1"/>
  <c r="N711" i="1"/>
  <c r="R707" i="1"/>
  <c r="V703" i="1"/>
  <c r="I716" i="1"/>
  <c r="M712" i="1"/>
  <c r="Q708" i="1"/>
  <c r="U704" i="1"/>
  <c r="K759" i="1"/>
  <c r="O755" i="1"/>
  <c r="S751" i="1"/>
  <c r="I761" i="1"/>
  <c r="M757" i="1"/>
  <c r="Q753" i="1"/>
  <c r="U749" i="1"/>
  <c r="R752" i="1"/>
  <c r="L758" i="1"/>
  <c r="V748" i="1"/>
  <c r="N756" i="1"/>
  <c r="T750" i="1"/>
  <c r="J760" i="1"/>
  <c r="P754" i="1"/>
  <c r="H762" i="1"/>
  <c r="I806" i="1"/>
  <c r="M802" i="1"/>
  <c r="Q798" i="1"/>
  <c r="U794" i="1"/>
  <c r="H807" i="1"/>
  <c r="O800" i="1"/>
  <c r="R797" i="1"/>
  <c r="L803" i="1"/>
  <c r="P799" i="1"/>
  <c r="J805" i="1"/>
  <c r="T795" i="1"/>
  <c r="V793" i="1"/>
  <c r="N801" i="1"/>
  <c r="S796" i="1"/>
  <c r="K804" i="1"/>
  <c r="H853" i="1"/>
  <c r="L849" i="1"/>
  <c r="P845" i="1"/>
  <c r="T841" i="1"/>
  <c r="I852" i="1"/>
  <c r="S842" i="1"/>
  <c r="V839" i="1"/>
  <c r="J851" i="1"/>
  <c r="M848" i="1"/>
  <c r="K850" i="1"/>
  <c r="N847" i="1"/>
  <c r="Q844" i="1"/>
  <c r="O846" i="1"/>
  <c r="U840" i="1"/>
  <c r="R843" i="1"/>
  <c r="K883" i="1"/>
  <c r="O879" i="1"/>
  <c r="J884" i="1"/>
  <c r="I885" i="1"/>
  <c r="H886" i="1"/>
  <c r="L882" i="1"/>
  <c r="P878" i="1"/>
  <c r="T874" i="1"/>
  <c r="M881" i="1"/>
  <c r="S875" i="1"/>
  <c r="Q877" i="1"/>
  <c r="V872" i="1"/>
  <c r="N880" i="1"/>
  <c r="U873" i="1"/>
  <c r="R876" i="1"/>
  <c r="J915" i="1"/>
  <c r="N911" i="1"/>
  <c r="R907" i="1"/>
  <c r="V903" i="1"/>
  <c r="I916" i="1"/>
  <c r="M912" i="1"/>
  <c r="Q908" i="1"/>
  <c r="U904" i="1"/>
  <c r="L913" i="1"/>
  <c r="S906" i="1"/>
  <c r="H917" i="1"/>
  <c r="P909" i="1"/>
  <c r="T905" i="1"/>
  <c r="O910" i="1"/>
  <c r="K914" i="1"/>
  <c r="H953" i="1"/>
  <c r="L949" i="1"/>
  <c r="P945" i="1"/>
  <c r="T941" i="1"/>
  <c r="K950" i="1"/>
  <c r="O946" i="1"/>
  <c r="S942" i="1"/>
  <c r="I952" i="1"/>
  <c r="N947" i="1"/>
  <c r="U940" i="1"/>
  <c r="J951" i="1"/>
  <c r="R943" i="1"/>
  <c r="V939" i="1"/>
  <c r="Q944" i="1"/>
  <c r="M948" i="1"/>
  <c r="I994" i="1"/>
  <c r="M990" i="1"/>
  <c r="Q986" i="1"/>
  <c r="U982" i="1"/>
  <c r="H995" i="1"/>
  <c r="L991" i="1"/>
  <c r="P987" i="1"/>
  <c r="T983" i="1"/>
  <c r="V981" i="1"/>
  <c r="K992" i="1"/>
  <c r="R985" i="1"/>
  <c r="O988" i="1"/>
  <c r="S984" i="1"/>
  <c r="N989" i="1"/>
  <c r="J993" i="1"/>
  <c r="J1029" i="1"/>
  <c r="N1025" i="1"/>
  <c r="R1021" i="1"/>
  <c r="V1017" i="1"/>
  <c r="H1031" i="1"/>
  <c r="L1027" i="1"/>
  <c r="P1023" i="1"/>
  <c r="T1019" i="1"/>
  <c r="K1028" i="1"/>
  <c r="O1024" i="1"/>
  <c r="S1020" i="1"/>
  <c r="U1018" i="1"/>
  <c r="I1030" i="1"/>
  <c r="Q1022" i="1"/>
  <c r="M1026" i="1"/>
  <c r="J1069" i="1"/>
  <c r="N1065" i="1"/>
  <c r="R1061" i="1"/>
  <c r="V1057" i="1"/>
  <c r="H1071" i="1"/>
  <c r="L1067" i="1"/>
  <c r="P1063" i="1"/>
  <c r="T1059" i="1"/>
  <c r="K1068" i="1"/>
  <c r="O1064" i="1"/>
  <c r="S1060" i="1"/>
  <c r="U1058" i="1"/>
  <c r="I1070" i="1"/>
  <c r="Q1062" i="1"/>
  <c r="M1066" i="1"/>
  <c r="I1109" i="1"/>
  <c r="M1105" i="1"/>
  <c r="Q1101" i="1"/>
  <c r="U1097" i="1"/>
  <c r="H1110" i="1"/>
  <c r="L1106" i="1"/>
  <c r="P1102" i="1"/>
  <c r="T1098" i="1"/>
  <c r="R1100" i="1"/>
  <c r="N1104" i="1"/>
  <c r="S1099" i="1"/>
  <c r="J1108" i="1"/>
  <c r="V1096" i="1"/>
  <c r="O1103" i="1"/>
  <c r="K1107" i="1"/>
  <c r="I1149" i="1"/>
  <c r="M1145" i="1"/>
  <c r="Q1141" i="1"/>
  <c r="U1137" i="1"/>
  <c r="H1150" i="1"/>
  <c r="L1146" i="1"/>
  <c r="P1142" i="1"/>
  <c r="T1138" i="1"/>
  <c r="V1136" i="1"/>
  <c r="K1147" i="1"/>
  <c r="R1140" i="1"/>
  <c r="N1144" i="1"/>
  <c r="J1148" i="1"/>
  <c r="S1139" i="1"/>
  <c r="O1143" i="1"/>
  <c r="I1189" i="1"/>
  <c r="M1185" i="1"/>
  <c r="Q1181" i="1"/>
  <c r="U1177" i="1"/>
  <c r="H1190" i="1"/>
  <c r="L1186" i="1"/>
  <c r="P1182" i="1"/>
  <c r="T1178" i="1"/>
  <c r="N1184" i="1"/>
  <c r="S1179" i="1"/>
  <c r="J1188" i="1"/>
  <c r="O1183" i="1"/>
  <c r="V1176" i="1"/>
  <c r="R1180" i="1"/>
  <c r="K1187" i="1"/>
  <c r="L1223" i="1"/>
  <c r="P1219" i="1"/>
  <c r="T1215" i="1"/>
  <c r="K1224" i="1"/>
  <c r="O1220" i="1"/>
  <c r="S1216" i="1"/>
  <c r="H1227" i="1"/>
  <c r="J1225" i="1"/>
  <c r="N1221" i="1"/>
  <c r="R1217" i="1"/>
  <c r="V1213" i="1"/>
  <c r="M1222" i="1"/>
  <c r="Q1218" i="1"/>
  <c r="U1214" i="1"/>
  <c r="I1226" i="1"/>
  <c r="J1270" i="1"/>
  <c r="N1266" i="1"/>
  <c r="R1262" i="1"/>
  <c r="V1258" i="1"/>
  <c r="I1271" i="1"/>
  <c r="M1267" i="1"/>
  <c r="Q1263" i="1"/>
  <c r="U1259" i="1"/>
  <c r="H1272" i="1"/>
  <c r="L1268" i="1"/>
  <c r="P1264" i="1"/>
  <c r="T1260" i="1"/>
  <c r="K1269" i="1"/>
  <c r="O1265" i="1"/>
  <c r="S1261" i="1"/>
  <c r="I1316" i="1"/>
  <c r="M1312" i="1"/>
  <c r="Q1308" i="1"/>
  <c r="U1304" i="1"/>
  <c r="H1317" i="1"/>
  <c r="L1313" i="1"/>
  <c r="P1309" i="1"/>
  <c r="R1307" i="1"/>
  <c r="N1311" i="1"/>
  <c r="T1305" i="1"/>
  <c r="J1315" i="1"/>
  <c r="V1303" i="1"/>
  <c r="S1306" i="1"/>
  <c r="K1314" i="1"/>
  <c r="O1310" i="1"/>
  <c r="M1352" i="1"/>
  <c r="Q1348" i="1"/>
  <c r="U1344" i="1"/>
  <c r="H1357" i="1"/>
  <c r="L1353" i="1"/>
  <c r="P1349" i="1"/>
  <c r="T1345" i="1"/>
  <c r="V1343" i="1"/>
  <c r="K1354" i="1"/>
  <c r="R1347" i="1"/>
  <c r="I1356" i="1"/>
  <c r="N1351" i="1"/>
  <c r="J1355" i="1"/>
  <c r="O1350" i="1"/>
  <c r="S1346" i="1"/>
  <c r="I1396" i="1"/>
  <c r="M1392" i="1"/>
  <c r="K1394" i="1"/>
  <c r="O1390" i="1"/>
  <c r="S1386" i="1"/>
  <c r="J1395" i="1"/>
  <c r="N1391" i="1"/>
  <c r="R1387" i="1"/>
  <c r="V1383" i="1"/>
  <c r="Q1388" i="1"/>
  <c r="P1389" i="1"/>
  <c r="L1393" i="1"/>
  <c r="U1384" i="1"/>
  <c r="H1397" i="1"/>
  <c r="T1385" i="1"/>
  <c r="I1436" i="1"/>
  <c r="M1432" i="1"/>
  <c r="Q1428" i="1"/>
  <c r="U1424" i="1"/>
  <c r="J1435" i="1"/>
  <c r="N1431" i="1"/>
  <c r="R1427" i="1"/>
  <c r="V1423" i="1"/>
  <c r="K1434" i="1"/>
  <c r="S1426" i="1"/>
  <c r="H1437" i="1"/>
  <c r="P1429" i="1"/>
  <c r="O1430" i="1"/>
  <c r="L1433" i="1"/>
  <c r="T1425" i="1"/>
  <c r="H1471" i="1"/>
  <c r="L1467" i="1"/>
  <c r="P1463" i="1"/>
  <c r="T1459" i="1"/>
  <c r="O1464" i="1"/>
  <c r="Q1462" i="1"/>
  <c r="R1461" i="1"/>
  <c r="M1466" i="1"/>
  <c r="N1465" i="1"/>
  <c r="S1460" i="1"/>
  <c r="J1469" i="1"/>
  <c r="V1457" i="1"/>
  <c r="U1458" i="1"/>
  <c r="K1468" i="1"/>
  <c r="I1470" i="1"/>
  <c r="I1515" i="1"/>
  <c r="M1511" i="1"/>
  <c r="Q1507" i="1"/>
  <c r="U1503" i="1"/>
  <c r="H1516" i="1"/>
  <c r="L1512" i="1"/>
  <c r="P1508" i="1"/>
  <c r="T1504" i="1"/>
  <c r="K1513" i="1"/>
  <c r="N1510" i="1"/>
  <c r="O1509" i="1"/>
  <c r="R1506" i="1"/>
  <c r="V1502" i="1"/>
  <c r="J1514" i="1"/>
  <c r="S1505" i="1"/>
  <c r="J1561" i="1"/>
  <c r="N1557" i="1"/>
  <c r="R1553" i="1"/>
  <c r="V1549" i="1"/>
  <c r="I1562" i="1"/>
  <c r="M1558" i="1"/>
  <c r="Q1554" i="1"/>
  <c r="U1550" i="1"/>
  <c r="K1560" i="1"/>
  <c r="O1556" i="1"/>
  <c r="H1563" i="1"/>
  <c r="P1555" i="1"/>
  <c r="S1552" i="1"/>
  <c r="T1551" i="1"/>
  <c r="L1559" i="1"/>
  <c r="K1599" i="1"/>
  <c r="O1595" i="1"/>
  <c r="S1591" i="1"/>
  <c r="J1600" i="1"/>
  <c r="N1596" i="1"/>
  <c r="R1592" i="1"/>
  <c r="V1588" i="1"/>
  <c r="L1598" i="1"/>
  <c r="M1597" i="1"/>
  <c r="P1594" i="1"/>
  <c r="Q1593" i="1"/>
  <c r="T1590" i="1"/>
  <c r="U1589" i="1"/>
  <c r="I1601" i="1"/>
  <c r="H1602" i="1"/>
  <c r="J1652" i="1"/>
  <c r="N1648" i="1"/>
  <c r="R1644" i="1"/>
  <c r="V1640" i="1"/>
  <c r="I1653" i="1"/>
  <c r="M1649" i="1"/>
  <c r="Q1645" i="1"/>
  <c r="U1641" i="1"/>
  <c r="K1651" i="1"/>
  <c r="O1647" i="1"/>
  <c r="S1643" i="1"/>
  <c r="P1646" i="1"/>
  <c r="L1650" i="1"/>
  <c r="T1642" i="1"/>
  <c r="H1654" i="1"/>
  <c r="I1691" i="1"/>
  <c r="M1687" i="1"/>
  <c r="Q1683" i="1"/>
  <c r="U1679" i="1"/>
  <c r="H1692" i="1"/>
  <c r="L1688" i="1"/>
  <c r="P1684" i="1"/>
  <c r="T1680" i="1"/>
  <c r="K1689" i="1"/>
  <c r="O1685" i="1"/>
  <c r="S1681" i="1"/>
  <c r="N1686" i="1"/>
  <c r="J1690" i="1"/>
  <c r="V1678" i="1"/>
  <c r="R1682" i="1"/>
  <c r="J4" i="1"/>
  <c r="V8" i="1"/>
  <c r="R12" i="1"/>
  <c r="S13" i="1"/>
  <c r="T14" i="1"/>
  <c r="N16" i="1"/>
  <c r="O17" i="1"/>
  <c r="P18" i="1"/>
  <c r="J20" i="1"/>
  <c r="R20" i="1"/>
  <c r="K21" i="1"/>
  <c r="S21" i="1"/>
  <c r="L22" i="1"/>
  <c r="U23" i="1"/>
  <c r="N24" i="1"/>
  <c r="V24" i="1"/>
  <c r="O25" i="1"/>
  <c r="H26" i="1"/>
  <c r="Q27" i="1"/>
  <c r="J28" i="1"/>
  <c r="R28" i="1"/>
  <c r="K29" i="1"/>
  <c r="S29" i="1"/>
  <c r="T30" i="1"/>
  <c r="M31" i="1"/>
  <c r="N32" i="1"/>
  <c r="O33" i="1"/>
  <c r="P34" i="1"/>
  <c r="I35" i="1"/>
  <c r="J36" i="1"/>
  <c r="K37" i="1"/>
  <c r="L38" i="1"/>
  <c r="T43" i="1"/>
  <c r="I48" i="1"/>
  <c r="K50" i="1"/>
  <c r="M52" i="1"/>
  <c r="P59" i="1"/>
  <c r="V65" i="1"/>
  <c r="H67" i="1"/>
  <c r="N73" i="1"/>
  <c r="S94" i="1"/>
  <c r="U96" i="1"/>
  <c r="O154" i="1"/>
  <c r="H161" i="1"/>
  <c r="H880" i="1"/>
  <c r="I879" i="1"/>
  <c r="K877" i="1"/>
  <c r="M875" i="1"/>
  <c r="Q871" i="1"/>
  <c r="U867" i="1"/>
  <c r="P872" i="1"/>
  <c r="T868" i="1"/>
  <c r="L876" i="1"/>
  <c r="N874" i="1"/>
  <c r="S869" i="1"/>
  <c r="V866" i="1"/>
  <c r="O873" i="1"/>
  <c r="J878" i="1"/>
  <c r="R870" i="1"/>
  <c r="G62" i="1"/>
  <c r="H61" i="1"/>
  <c r="L57" i="1"/>
  <c r="P53" i="1"/>
  <c r="T49" i="1"/>
  <c r="J59" i="1"/>
  <c r="G117" i="1"/>
  <c r="K113" i="1"/>
  <c r="O109" i="1"/>
  <c r="S105" i="1"/>
  <c r="J114" i="1"/>
  <c r="N110" i="1"/>
  <c r="R106" i="1"/>
  <c r="V102" i="1"/>
  <c r="I115" i="1"/>
  <c r="M111" i="1"/>
  <c r="Q107" i="1"/>
  <c r="U103" i="1"/>
  <c r="G167" i="1"/>
  <c r="L162" i="1"/>
  <c r="I165" i="1"/>
  <c r="P158" i="1"/>
  <c r="T154" i="1"/>
  <c r="J164" i="1"/>
  <c r="M161" i="1"/>
  <c r="O159" i="1"/>
  <c r="S155" i="1"/>
  <c r="K163" i="1"/>
  <c r="N160" i="1"/>
  <c r="R156" i="1"/>
  <c r="V152" i="1"/>
  <c r="J217" i="1"/>
  <c r="N213" i="1"/>
  <c r="R209" i="1"/>
  <c r="V205" i="1"/>
  <c r="I218" i="1"/>
  <c r="M214" i="1"/>
  <c r="K216" i="1"/>
  <c r="O212" i="1"/>
  <c r="S208" i="1"/>
  <c r="H219" i="1"/>
  <c r="T207" i="1"/>
  <c r="Q210" i="1"/>
  <c r="P211" i="1"/>
  <c r="L215" i="1"/>
  <c r="H263" i="1"/>
  <c r="L259" i="1"/>
  <c r="P255" i="1"/>
  <c r="T251" i="1"/>
  <c r="K260" i="1"/>
  <c r="O256" i="1"/>
  <c r="S252" i="1"/>
  <c r="J261" i="1"/>
  <c r="N257" i="1"/>
  <c r="R253" i="1"/>
  <c r="V249" i="1"/>
  <c r="I262" i="1"/>
  <c r="M258" i="1"/>
  <c r="Q254" i="1"/>
  <c r="U250" i="1"/>
  <c r="H311" i="1"/>
  <c r="L307" i="1"/>
  <c r="P303" i="1"/>
  <c r="T299" i="1"/>
  <c r="K308" i="1"/>
  <c r="O304" i="1"/>
  <c r="S300" i="1"/>
  <c r="J309" i="1"/>
  <c r="N305" i="1"/>
  <c r="R301" i="1"/>
  <c r="V297" i="1"/>
  <c r="I310" i="1"/>
  <c r="M306" i="1"/>
  <c r="Q302" i="1"/>
  <c r="U298" i="1"/>
  <c r="J352" i="1"/>
  <c r="N348" i="1"/>
  <c r="R344" i="1"/>
  <c r="V340" i="1"/>
  <c r="I353" i="1"/>
  <c r="M349" i="1"/>
  <c r="Q345" i="1"/>
  <c r="U341" i="1"/>
  <c r="L350" i="1"/>
  <c r="O347" i="1"/>
  <c r="T342" i="1"/>
  <c r="H354" i="1"/>
  <c r="P346" i="1"/>
  <c r="S343" i="1"/>
  <c r="H405" i="1"/>
  <c r="L401" i="1"/>
  <c r="P397" i="1"/>
  <c r="T393" i="1"/>
  <c r="K402" i="1"/>
  <c r="O398" i="1"/>
  <c r="S394" i="1"/>
  <c r="J403" i="1"/>
  <c r="N399" i="1"/>
  <c r="R395" i="1"/>
  <c r="V391" i="1"/>
  <c r="M400" i="1"/>
  <c r="U392" i="1"/>
  <c r="I404" i="1"/>
  <c r="I447" i="1"/>
  <c r="M443" i="1"/>
  <c r="Q439" i="1"/>
  <c r="U435" i="1"/>
  <c r="H448" i="1"/>
  <c r="L444" i="1"/>
  <c r="P440" i="1"/>
  <c r="T436" i="1"/>
  <c r="O441" i="1"/>
  <c r="R438" i="1"/>
  <c r="K445" i="1"/>
  <c r="N442" i="1"/>
  <c r="V434" i="1"/>
  <c r="J446" i="1"/>
  <c r="S437" i="1"/>
  <c r="K492" i="1"/>
  <c r="O488" i="1"/>
  <c r="S484" i="1"/>
  <c r="J493" i="1"/>
  <c r="N489" i="1"/>
  <c r="R485" i="1"/>
  <c r="V481" i="1"/>
  <c r="I494" i="1"/>
  <c r="M490" i="1"/>
  <c r="Q486" i="1"/>
  <c r="U482" i="1"/>
  <c r="H495" i="1"/>
  <c r="L491" i="1"/>
  <c r="P487" i="1"/>
  <c r="T483" i="1"/>
  <c r="H538" i="1"/>
  <c r="L534" i="1"/>
  <c r="P530" i="1"/>
  <c r="T526" i="1"/>
  <c r="K535" i="1"/>
  <c r="O531" i="1"/>
  <c r="S527" i="1"/>
  <c r="I537" i="1"/>
  <c r="N532" i="1"/>
  <c r="U525" i="1"/>
  <c r="J536" i="1"/>
  <c r="Q529" i="1"/>
  <c r="R528" i="1"/>
  <c r="M533" i="1"/>
  <c r="J588" i="1"/>
  <c r="N584" i="1"/>
  <c r="R580" i="1"/>
  <c r="V576" i="1"/>
  <c r="I589" i="1"/>
  <c r="M585" i="1"/>
  <c r="Q581" i="1"/>
  <c r="U577" i="1"/>
  <c r="S579" i="1"/>
  <c r="H590" i="1"/>
  <c r="O583" i="1"/>
  <c r="T578" i="1"/>
  <c r="K587" i="1"/>
  <c r="L586" i="1"/>
  <c r="P582" i="1"/>
  <c r="H629" i="1"/>
  <c r="L625" i="1"/>
  <c r="P621" i="1"/>
  <c r="T617" i="1"/>
  <c r="K626" i="1"/>
  <c r="O622" i="1"/>
  <c r="S618" i="1"/>
  <c r="J627" i="1"/>
  <c r="N623" i="1"/>
  <c r="R619" i="1"/>
  <c r="V615" i="1"/>
  <c r="I628" i="1"/>
  <c r="M624" i="1"/>
  <c r="Q620" i="1"/>
  <c r="U616" i="1"/>
  <c r="H678" i="1"/>
  <c r="L674" i="1"/>
  <c r="P670" i="1"/>
  <c r="T666" i="1"/>
  <c r="K675" i="1"/>
  <c r="O671" i="1"/>
  <c r="S667" i="1"/>
  <c r="I677" i="1"/>
  <c r="N672" i="1"/>
  <c r="U665" i="1"/>
  <c r="J676" i="1"/>
  <c r="Q669" i="1"/>
  <c r="M673" i="1"/>
  <c r="R668" i="1"/>
  <c r="V664" i="1"/>
  <c r="J720" i="1"/>
  <c r="N716" i="1"/>
  <c r="R712" i="1"/>
  <c r="V708" i="1"/>
  <c r="I721" i="1"/>
  <c r="M717" i="1"/>
  <c r="Q713" i="1"/>
  <c r="U709" i="1"/>
  <c r="O715" i="1"/>
  <c r="T710" i="1"/>
  <c r="K719" i="1"/>
  <c r="P714" i="1"/>
  <c r="S711" i="1"/>
  <c r="H722" i="1"/>
  <c r="L718" i="1"/>
  <c r="J765" i="1"/>
  <c r="N761" i="1"/>
  <c r="R757" i="1"/>
  <c r="V753" i="1"/>
  <c r="I766" i="1"/>
  <c r="M762" i="1"/>
  <c r="Q758" i="1"/>
  <c r="U754" i="1"/>
  <c r="H767" i="1"/>
  <c r="L763" i="1"/>
  <c r="P759" i="1"/>
  <c r="T755" i="1"/>
  <c r="K764" i="1"/>
  <c r="S756" i="1"/>
  <c r="O760" i="1"/>
  <c r="H813" i="1"/>
  <c r="L809" i="1"/>
  <c r="P805" i="1"/>
  <c r="T801" i="1"/>
  <c r="S802" i="1"/>
  <c r="J811" i="1"/>
  <c r="M808" i="1"/>
  <c r="K810" i="1"/>
  <c r="R803" i="1"/>
  <c r="U800" i="1"/>
  <c r="N807" i="1"/>
  <c r="V799" i="1"/>
  <c r="I812" i="1"/>
  <c r="O806" i="1"/>
  <c r="Q804" i="1"/>
  <c r="I855" i="1"/>
  <c r="M851" i="1"/>
  <c r="Q847" i="1"/>
  <c r="U843" i="1"/>
  <c r="H856" i="1"/>
  <c r="J854" i="1"/>
  <c r="K853" i="1"/>
  <c r="N850" i="1"/>
  <c r="L852" i="1"/>
  <c r="O849" i="1"/>
  <c r="R846" i="1"/>
  <c r="P848" i="1"/>
  <c r="T844" i="1"/>
  <c r="V842" i="1"/>
  <c r="S845" i="1"/>
  <c r="I889" i="1"/>
  <c r="M885" i="1"/>
  <c r="Q881" i="1"/>
  <c r="U877" i="1"/>
  <c r="H890" i="1"/>
  <c r="L886" i="1"/>
  <c r="P882" i="1"/>
  <c r="K887" i="1"/>
  <c r="O883" i="1"/>
  <c r="J888" i="1"/>
  <c r="N884" i="1"/>
  <c r="R880" i="1"/>
  <c r="V876" i="1"/>
  <c r="T878" i="1"/>
  <c r="S879" i="1"/>
  <c r="J922" i="1"/>
  <c r="N918" i="1"/>
  <c r="R914" i="1"/>
  <c r="V910" i="1"/>
  <c r="I923" i="1"/>
  <c r="M919" i="1"/>
  <c r="Q915" i="1"/>
  <c r="U911" i="1"/>
  <c r="H924" i="1"/>
  <c r="L920" i="1"/>
  <c r="P916" i="1"/>
  <c r="T912" i="1"/>
  <c r="K921" i="1"/>
  <c r="O917" i="1"/>
  <c r="S913" i="1"/>
  <c r="K955" i="1"/>
  <c r="O951" i="1"/>
  <c r="S947" i="1"/>
  <c r="J956" i="1"/>
  <c r="N952" i="1"/>
  <c r="R948" i="1"/>
  <c r="V944" i="1"/>
  <c r="I957" i="1"/>
  <c r="M953" i="1"/>
  <c r="Q949" i="1"/>
  <c r="U945" i="1"/>
  <c r="H958" i="1"/>
  <c r="L954" i="1"/>
  <c r="P950" i="1"/>
  <c r="T946" i="1"/>
  <c r="L996" i="1"/>
  <c r="P992" i="1"/>
  <c r="T988" i="1"/>
  <c r="H1000" i="1"/>
  <c r="K997" i="1"/>
  <c r="O993" i="1"/>
  <c r="S989" i="1"/>
  <c r="J998" i="1"/>
  <c r="N994" i="1"/>
  <c r="R990" i="1"/>
  <c r="V986" i="1"/>
  <c r="I999" i="1"/>
  <c r="M995" i="1"/>
  <c r="Q991" i="1"/>
  <c r="U987" i="1"/>
  <c r="I1036" i="1"/>
  <c r="M1032" i="1"/>
  <c r="Q1028" i="1"/>
  <c r="U1024" i="1"/>
  <c r="K1034" i="1"/>
  <c r="O1030" i="1"/>
  <c r="S1026" i="1"/>
  <c r="J1035" i="1"/>
  <c r="N1031" i="1"/>
  <c r="R1027" i="1"/>
  <c r="V1023" i="1"/>
  <c r="L1033" i="1"/>
  <c r="T1025" i="1"/>
  <c r="H1037" i="1"/>
  <c r="P1029" i="1"/>
  <c r="I1076" i="1"/>
  <c r="M1072" i="1"/>
  <c r="Q1068" i="1"/>
  <c r="U1064" i="1"/>
  <c r="K1074" i="1"/>
  <c r="O1070" i="1"/>
  <c r="S1066" i="1"/>
  <c r="J1075" i="1"/>
  <c r="N1071" i="1"/>
  <c r="R1067" i="1"/>
  <c r="V1063" i="1"/>
  <c r="T1065" i="1"/>
  <c r="H1077" i="1"/>
  <c r="P1069" i="1"/>
  <c r="L1073" i="1"/>
  <c r="H1115" i="1"/>
  <c r="L1111" i="1"/>
  <c r="P1107" i="1"/>
  <c r="T1103" i="1"/>
  <c r="K1112" i="1"/>
  <c r="O1108" i="1"/>
  <c r="S1104" i="1"/>
  <c r="J1113" i="1"/>
  <c r="N1109" i="1"/>
  <c r="R1105" i="1"/>
  <c r="V1101" i="1"/>
  <c r="I1114" i="1"/>
  <c r="M1110" i="1"/>
  <c r="Q1106" i="1"/>
  <c r="U1102" i="1"/>
  <c r="H1153" i="1"/>
  <c r="K1150" i="1"/>
  <c r="O1146" i="1"/>
  <c r="S1142" i="1"/>
  <c r="J1151" i="1"/>
  <c r="N1147" i="1"/>
  <c r="R1143" i="1"/>
  <c r="V1139" i="1"/>
  <c r="I1152" i="1"/>
  <c r="M1148" i="1"/>
  <c r="Q1144" i="1"/>
  <c r="U1140" i="1"/>
  <c r="L1149" i="1"/>
  <c r="P1145" i="1"/>
  <c r="T1141" i="1"/>
  <c r="H1195" i="1"/>
  <c r="L1191" i="1"/>
  <c r="P1187" i="1"/>
  <c r="T1183" i="1"/>
  <c r="K1192" i="1"/>
  <c r="O1188" i="1"/>
  <c r="S1184" i="1"/>
  <c r="J1193" i="1"/>
  <c r="N1189" i="1"/>
  <c r="R1185" i="1"/>
  <c r="V1181" i="1"/>
  <c r="I1194" i="1"/>
  <c r="M1190" i="1"/>
  <c r="Q1186" i="1"/>
  <c r="U1182" i="1"/>
  <c r="J1230" i="1"/>
  <c r="N1226" i="1"/>
  <c r="K1229" i="1"/>
  <c r="M1227" i="1"/>
  <c r="R1222" i="1"/>
  <c r="V1218" i="1"/>
  <c r="Q1223" i="1"/>
  <c r="U1219" i="1"/>
  <c r="H1232" i="1"/>
  <c r="I1231" i="1"/>
  <c r="L1228" i="1"/>
  <c r="P1224" i="1"/>
  <c r="S1221" i="1"/>
  <c r="O1225" i="1"/>
  <c r="T1220" i="1"/>
  <c r="H1277" i="1"/>
  <c r="L1273" i="1"/>
  <c r="P1269" i="1"/>
  <c r="T1265" i="1"/>
  <c r="K1274" i="1"/>
  <c r="O1270" i="1"/>
  <c r="S1266" i="1"/>
  <c r="I1276" i="1"/>
  <c r="N1271" i="1"/>
  <c r="U1264" i="1"/>
  <c r="J1275" i="1"/>
  <c r="Q1268" i="1"/>
  <c r="M1272" i="1"/>
  <c r="R1267" i="1"/>
  <c r="V1263" i="1"/>
  <c r="H1322" i="1"/>
  <c r="L1318" i="1"/>
  <c r="P1314" i="1"/>
  <c r="T1310" i="1"/>
  <c r="K1319" i="1"/>
  <c r="O1315" i="1"/>
  <c r="S1311" i="1"/>
  <c r="J1320" i="1"/>
  <c r="N1316" i="1"/>
  <c r="R1312" i="1"/>
  <c r="V1308" i="1"/>
  <c r="I1321" i="1"/>
  <c r="M1317" i="1"/>
  <c r="Q1313" i="1"/>
  <c r="U1309" i="1"/>
  <c r="J1358" i="1"/>
  <c r="H1360" i="1"/>
  <c r="K1357" i="1"/>
  <c r="O1353" i="1"/>
  <c r="S1349" i="1"/>
  <c r="L1356" i="1"/>
  <c r="N1354" i="1"/>
  <c r="R1350" i="1"/>
  <c r="V1346" i="1"/>
  <c r="I1359" i="1"/>
  <c r="Q1351" i="1"/>
  <c r="U1347" i="1"/>
  <c r="P1352" i="1"/>
  <c r="T1348" i="1"/>
  <c r="M1355" i="1"/>
  <c r="H1403" i="1"/>
  <c r="L1399" i="1"/>
  <c r="P1395" i="1"/>
  <c r="T1391" i="1"/>
  <c r="J1401" i="1"/>
  <c r="N1397" i="1"/>
  <c r="R1393" i="1"/>
  <c r="V1389" i="1"/>
  <c r="I1402" i="1"/>
  <c r="M1398" i="1"/>
  <c r="Q1394" i="1"/>
  <c r="U1390" i="1"/>
  <c r="O1396" i="1"/>
  <c r="S1392" i="1"/>
  <c r="K1400" i="1"/>
  <c r="K1438" i="1"/>
  <c r="O1434" i="1"/>
  <c r="S1430" i="1"/>
  <c r="H1441" i="1"/>
  <c r="L1437" i="1"/>
  <c r="P1433" i="1"/>
  <c r="T1429" i="1"/>
  <c r="M1436" i="1"/>
  <c r="U1428" i="1"/>
  <c r="J1439" i="1"/>
  <c r="R1431" i="1"/>
  <c r="I1440" i="1"/>
  <c r="Q1432" i="1"/>
  <c r="N1435" i="1"/>
  <c r="V1427" i="1"/>
  <c r="J1473" i="1"/>
  <c r="N1469" i="1"/>
  <c r="R1465" i="1"/>
  <c r="V1461" i="1"/>
  <c r="L1471" i="1"/>
  <c r="M1470" i="1"/>
  <c r="O1468" i="1"/>
  <c r="I1474" i="1"/>
  <c r="T1463" i="1"/>
  <c r="K1472" i="1"/>
  <c r="U1462" i="1"/>
  <c r="P1467" i="1"/>
  <c r="S1464" i="1"/>
  <c r="Q1466" i="1"/>
  <c r="H1475" i="1"/>
  <c r="K1525" i="1"/>
  <c r="J1526" i="1"/>
  <c r="H1528" i="1"/>
  <c r="O1521" i="1"/>
  <c r="S1517" i="1"/>
  <c r="I1527" i="1"/>
  <c r="N1522" i="1"/>
  <c r="R1518" i="1"/>
  <c r="V1514" i="1"/>
  <c r="M1523" i="1"/>
  <c r="P1520" i="1"/>
  <c r="U1515" i="1"/>
  <c r="Q1519" i="1"/>
  <c r="L1524" i="1"/>
  <c r="T1516" i="1"/>
  <c r="H1567" i="1"/>
  <c r="L1563" i="1"/>
  <c r="P1559" i="1"/>
  <c r="T1555" i="1"/>
  <c r="K1564" i="1"/>
  <c r="O1560" i="1"/>
  <c r="S1556" i="1"/>
  <c r="I1566" i="1"/>
  <c r="M1562" i="1"/>
  <c r="Q1558" i="1"/>
  <c r="U1554" i="1"/>
  <c r="J1565" i="1"/>
  <c r="R1557" i="1"/>
  <c r="V1553" i="1"/>
  <c r="N1561" i="1"/>
  <c r="K1605" i="1"/>
  <c r="J1606" i="1"/>
  <c r="N1602" i="1"/>
  <c r="R1598" i="1"/>
  <c r="V1594" i="1"/>
  <c r="M1603" i="1"/>
  <c r="Q1599" i="1"/>
  <c r="U1595" i="1"/>
  <c r="O1601" i="1"/>
  <c r="P1600" i="1"/>
  <c r="H1608" i="1"/>
  <c r="S1597" i="1"/>
  <c r="L1604" i="1"/>
  <c r="T1596" i="1"/>
  <c r="I1607" i="1"/>
  <c r="H1659" i="1"/>
  <c r="L1655" i="1"/>
  <c r="P1651" i="1"/>
  <c r="T1647" i="1"/>
  <c r="K1656" i="1"/>
  <c r="O1652" i="1"/>
  <c r="S1648" i="1"/>
  <c r="R1649" i="1"/>
  <c r="U1646" i="1"/>
  <c r="I1658" i="1"/>
  <c r="N1653" i="1"/>
  <c r="Q1650" i="1"/>
  <c r="J1657" i="1"/>
  <c r="M1654" i="1"/>
  <c r="V1645" i="1"/>
  <c r="I1699" i="1"/>
  <c r="M1695" i="1"/>
  <c r="Q1691" i="1"/>
  <c r="U1687" i="1"/>
  <c r="H1700" i="1"/>
  <c r="L1696" i="1"/>
  <c r="P1692" i="1"/>
  <c r="T1688" i="1"/>
  <c r="K1697" i="1"/>
  <c r="O1693" i="1"/>
  <c r="S1689" i="1"/>
  <c r="R1690" i="1"/>
  <c r="N1694" i="1"/>
  <c r="J1698" i="1"/>
  <c r="V1686" i="1"/>
  <c r="K4" i="1"/>
  <c r="S4" i="1"/>
  <c r="L5" i="1"/>
  <c r="T5" i="1"/>
  <c r="M6" i="1"/>
  <c r="U6" i="1"/>
  <c r="N7" i="1"/>
  <c r="V7" i="1"/>
  <c r="O8" i="1"/>
  <c r="H9" i="1"/>
  <c r="P9" i="1"/>
  <c r="I10" i="1"/>
  <c r="Q10" i="1"/>
  <c r="J11" i="1"/>
  <c r="R11" i="1"/>
  <c r="K12" i="1"/>
  <c r="S12" i="1"/>
  <c r="L13" i="1"/>
  <c r="T13" i="1"/>
  <c r="M14" i="1"/>
  <c r="U14" i="1"/>
  <c r="N15" i="1"/>
  <c r="V15" i="1"/>
  <c r="O16" i="1"/>
  <c r="H17" i="1"/>
  <c r="P17" i="1"/>
  <c r="I18" i="1"/>
  <c r="Q18" i="1"/>
  <c r="J19" i="1"/>
  <c r="R19" i="1"/>
  <c r="K20" i="1"/>
  <c r="S20" i="1"/>
  <c r="L21" i="1"/>
  <c r="T21" i="1"/>
  <c r="M22" i="1"/>
  <c r="U22" i="1"/>
  <c r="N23" i="1"/>
  <c r="V23" i="1"/>
  <c r="O24" i="1"/>
  <c r="H25" i="1"/>
  <c r="P25" i="1"/>
  <c r="I26" i="1"/>
  <c r="Q26" i="1"/>
  <c r="J27" i="1"/>
  <c r="R27" i="1"/>
  <c r="K28" i="1"/>
  <c r="S28" i="1"/>
  <c r="L29" i="1"/>
  <c r="T29" i="1"/>
  <c r="M30" i="1"/>
  <c r="U30" i="1"/>
  <c r="N31" i="1"/>
  <c r="V31" i="1"/>
  <c r="O32" i="1"/>
  <c r="H33" i="1"/>
  <c r="P33" i="1"/>
  <c r="I34" i="1"/>
  <c r="Q34" i="1"/>
  <c r="J35" i="1"/>
  <c r="R35" i="1"/>
  <c r="K36" i="1"/>
  <c r="S36" i="1"/>
  <c r="L37" i="1"/>
  <c r="T37" i="1"/>
  <c r="M38" i="1"/>
  <c r="N39" i="1"/>
  <c r="V39" i="1"/>
  <c r="O40" i="1"/>
  <c r="H41" i="1"/>
  <c r="O42" i="1"/>
  <c r="Q44" i="1"/>
  <c r="L45" i="1"/>
  <c r="S46" i="1"/>
  <c r="N47" i="1"/>
  <c r="U48" i="1"/>
  <c r="P49" i="1"/>
  <c r="R51" i="1"/>
  <c r="J53" i="1"/>
  <c r="L112" i="1"/>
  <c r="V122" i="1"/>
  <c r="Q133" i="1"/>
  <c r="L144" i="1"/>
  <c r="U206" i="1"/>
  <c r="I94" i="1"/>
  <c r="M90" i="1"/>
  <c r="Q86" i="1"/>
  <c r="U82" i="1"/>
  <c r="H95" i="1"/>
  <c r="L91" i="1"/>
  <c r="P87" i="1"/>
  <c r="T83" i="1"/>
  <c r="K92" i="1"/>
  <c r="O88" i="1"/>
  <c r="S84" i="1"/>
  <c r="J242" i="1"/>
  <c r="N238" i="1"/>
  <c r="R234" i="1"/>
  <c r="V230" i="1"/>
  <c r="I243" i="1"/>
  <c r="M239" i="1"/>
  <c r="Q235" i="1"/>
  <c r="U231" i="1"/>
  <c r="L240" i="1"/>
  <c r="O237" i="1"/>
  <c r="T232" i="1"/>
  <c r="H244" i="1"/>
  <c r="K241" i="1"/>
  <c r="K385" i="1"/>
  <c r="O381" i="1"/>
  <c r="S377" i="1"/>
  <c r="J386" i="1"/>
  <c r="N382" i="1"/>
  <c r="R378" i="1"/>
  <c r="V374" i="1"/>
  <c r="P380" i="1"/>
  <c r="U375" i="1"/>
  <c r="I387" i="1"/>
  <c r="L384" i="1"/>
  <c r="Q379" i="1"/>
  <c r="H388" i="1"/>
  <c r="M383" i="1"/>
  <c r="T376" i="1"/>
  <c r="I563" i="1"/>
  <c r="M559" i="1"/>
  <c r="Q555" i="1"/>
  <c r="U551" i="1"/>
  <c r="H564" i="1"/>
  <c r="L560" i="1"/>
  <c r="P556" i="1"/>
  <c r="T552" i="1"/>
  <c r="N558" i="1"/>
  <c r="S553" i="1"/>
  <c r="J562" i="1"/>
  <c r="O557" i="1"/>
  <c r="V550" i="1"/>
  <c r="K561" i="1"/>
  <c r="R554" i="1"/>
  <c r="J749" i="1"/>
  <c r="N745" i="1"/>
  <c r="R741" i="1"/>
  <c r="I750" i="1"/>
  <c r="M746" i="1"/>
  <c r="Q742" i="1"/>
  <c r="U738" i="1"/>
  <c r="H751" i="1"/>
  <c r="L747" i="1"/>
  <c r="O744" i="1"/>
  <c r="P743" i="1"/>
  <c r="T739" i="1"/>
  <c r="V737" i="1"/>
  <c r="S740" i="1"/>
  <c r="K748" i="1"/>
  <c r="H944" i="1"/>
  <c r="L940" i="1"/>
  <c r="P936" i="1"/>
  <c r="T932" i="1"/>
  <c r="K941" i="1"/>
  <c r="O937" i="1"/>
  <c r="S933" i="1"/>
  <c r="J942" i="1"/>
  <c r="N938" i="1"/>
  <c r="R934" i="1"/>
  <c r="V930" i="1"/>
  <c r="I943" i="1"/>
  <c r="M939" i="1"/>
  <c r="Q935" i="1"/>
  <c r="U931" i="1"/>
  <c r="I1101" i="1"/>
  <c r="M1097" i="1"/>
  <c r="Q1093" i="1"/>
  <c r="U1089" i="1"/>
  <c r="H1102" i="1"/>
  <c r="L1098" i="1"/>
  <c r="P1094" i="1"/>
  <c r="T1090" i="1"/>
  <c r="N1096" i="1"/>
  <c r="S1091" i="1"/>
  <c r="J1100" i="1"/>
  <c r="O1095" i="1"/>
  <c r="V1088" i="1"/>
  <c r="R1092" i="1"/>
  <c r="K1099" i="1"/>
  <c r="I1261" i="1"/>
  <c r="M1257" i="1"/>
  <c r="Q1253" i="1"/>
  <c r="U1249" i="1"/>
  <c r="H1262" i="1"/>
  <c r="L1258" i="1"/>
  <c r="P1254" i="1"/>
  <c r="T1250" i="1"/>
  <c r="K1259" i="1"/>
  <c r="O1255" i="1"/>
  <c r="S1251" i="1"/>
  <c r="J1260" i="1"/>
  <c r="N1256" i="1"/>
  <c r="R1252" i="1"/>
  <c r="V1248" i="1"/>
  <c r="H1388" i="1"/>
  <c r="L1384" i="1"/>
  <c r="P1380" i="1"/>
  <c r="T1376" i="1"/>
  <c r="K1385" i="1"/>
  <c r="O1381" i="1"/>
  <c r="S1377" i="1"/>
  <c r="N1382" i="1"/>
  <c r="V1374" i="1"/>
  <c r="M1383" i="1"/>
  <c r="U1375" i="1"/>
  <c r="J1386" i="1"/>
  <c r="R1378" i="1"/>
  <c r="I1387" i="1"/>
  <c r="Q1379" i="1"/>
  <c r="I1592" i="1"/>
  <c r="M1588" i="1"/>
  <c r="Q1584" i="1"/>
  <c r="U1580" i="1"/>
  <c r="S1582" i="1"/>
  <c r="T1581" i="1"/>
  <c r="J1591" i="1"/>
  <c r="N1587" i="1"/>
  <c r="O1586" i="1"/>
  <c r="P1585" i="1"/>
  <c r="H1593" i="1"/>
  <c r="K1590" i="1"/>
  <c r="V1579" i="1"/>
  <c r="L1589" i="1"/>
  <c r="R1583" i="1"/>
  <c r="O46" i="1"/>
  <c r="H157" i="1"/>
  <c r="L153" i="1"/>
  <c r="P149" i="1"/>
  <c r="T145" i="1"/>
  <c r="K154" i="1"/>
  <c r="O150" i="1"/>
  <c r="S146" i="1"/>
  <c r="J155" i="1"/>
  <c r="N151" i="1"/>
  <c r="R147" i="1"/>
  <c r="V143" i="1"/>
  <c r="J298" i="1"/>
  <c r="N294" i="1"/>
  <c r="R290" i="1"/>
  <c r="V286" i="1"/>
  <c r="I299" i="1"/>
  <c r="M295" i="1"/>
  <c r="Q291" i="1"/>
  <c r="U287" i="1"/>
  <c r="S289" i="1"/>
  <c r="H300" i="1"/>
  <c r="O293" i="1"/>
  <c r="T288" i="1"/>
  <c r="K297" i="1"/>
  <c r="P292" i="1"/>
  <c r="I482" i="1"/>
  <c r="M478" i="1"/>
  <c r="Q474" i="1"/>
  <c r="U470" i="1"/>
  <c r="H483" i="1"/>
  <c r="L479" i="1"/>
  <c r="P475" i="1"/>
  <c r="T471" i="1"/>
  <c r="K480" i="1"/>
  <c r="O476" i="1"/>
  <c r="S472" i="1"/>
  <c r="J481" i="1"/>
  <c r="N477" i="1"/>
  <c r="R473" i="1"/>
  <c r="V469" i="1"/>
  <c r="H622" i="1"/>
  <c r="L618" i="1"/>
  <c r="P614" i="1"/>
  <c r="T610" i="1"/>
  <c r="K619" i="1"/>
  <c r="O615" i="1"/>
  <c r="S611" i="1"/>
  <c r="M617" i="1"/>
  <c r="R612" i="1"/>
  <c r="I621" i="1"/>
  <c r="N616" i="1"/>
  <c r="U609" i="1"/>
  <c r="Q613" i="1"/>
  <c r="J620" i="1"/>
  <c r="V608" i="1"/>
  <c r="J799" i="1"/>
  <c r="N795" i="1"/>
  <c r="R791" i="1"/>
  <c r="V787" i="1"/>
  <c r="M796" i="1"/>
  <c r="T789" i="1"/>
  <c r="Q792" i="1"/>
  <c r="U788" i="1"/>
  <c r="L797" i="1"/>
  <c r="O794" i="1"/>
  <c r="I800" i="1"/>
  <c r="K798" i="1"/>
  <c r="S790" i="1"/>
  <c r="H801" i="1"/>
  <c r="P793" i="1"/>
  <c r="I882" i="1"/>
  <c r="L879" i="1"/>
  <c r="O876" i="1"/>
  <c r="R873" i="1"/>
  <c r="V869" i="1"/>
  <c r="M878" i="1"/>
  <c r="Q874" i="1"/>
  <c r="U870" i="1"/>
  <c r="K880" i="1"/>
  <c r="S872" i="1"/>
  <c r="J881" i="1"/>
  <c r="N877" i="1"/>
  <c r="P875" i="1"/>
  <c r="H883" i="1"/>
  <c r="T871" i="1"/>
  <c r="K1062" i="1"/>
  <c r="O1058" i="1"/>
  <c r="S1054" i="1"/>
  <c r="I1064" i="1"/>
  <c r="M1060" i="1"/>
  <c r="Q1056" i="1"/>
  <c r="U1052" i="1"/>
  <c r="H1065" i="1"/>
  <c r="L1061" i="1"/>
  <c r="P1057" i="1"/>
  <c r="T1053" i="1"/>
  <c r="J1063" i="1"/>
  <c r="R1055" i="1"/>
  <c r="V1051" i="1"/>
  <c r="N1059" i="1"/>
  <c r="J1141" i="1"/>
  <c r="N1137" i="1"/>
  <c r="R1133" i="1"/>
  <c r="V1129" i="1"/>
  <c r="I1142" i="1"/>
  <c r="M1138" i="1"/>
  <c r="Q1134" i="1"/>
  <c r="U1130" i="1"/>
  <c r="H1143" i="1"/>
  <c r="L1139" i="1"/>
  <c r="P1135" i="1"/>
  <c r="T1131" i="1"/>
  <c r="K1140" i="1"/>
  <c r="O1136" i="1"/>
  <c r="S1132" i="1"/>
  <c r="H1354" i="1"/>
  <c r="L1350" i="1"/>
  <c r="P1346" i="1"/>
  <c r="T1342" i="1"/>
  <c r="K1351" i="1"/>
  <c r="O1347" i="1"/>
  <c r="S1343" i="1"/>
  <c r="J1352" i="1"/>
  <c r="N1348" i="1"/>
  <c r="R1344" i="1"/>
  <c r="V1340" i="1"/>
  <c r="I1353" i="1"/>
  <c r="M1349" i="1"/>
  <c r="Q1345" i="1"/>
  <c r="U1341" i="1"/>
  <c r="I1467" i="1"/>
  <c r="M1463" i="1"/>
  <c r="Q1459" i="1"/>
  <c r="U1455" i="1"/>
  <c r="H1468" i="1"/>
  <c r="L1464" i="1"/>
  <c r="P1460" i="1"/>
  <c r="T1456" i="1"/>
  <c r="J1466" i="1"/>
  <c r="K1465" i="1"/>
  <c r="V1454" i="1"/>
  <c r="R1458" i="1"/>
  <c r="S1457" i="1"/>
  <c r="N1462" i="1"/>
  <c r="O1461" i="1"/>
  <c r="K1685" i="1"/>
  <c r="O1681" i="1"/>
  <c r="S1677" i="1"/>
  <c r="J1686" i="1"/>
  <c r="N1682" i="1"/>
  <c r="R1678" i="1"/>
  <c r="I1687" i="1"/>
  <c r="M1683" i="1"/>
  <c r="Q1679" i="1"/>
  <c r="V1674" i="1"/>
  <c r="P1680" i="1"/>
  <c r="T1676" i="1"/>
  <c r="H1688" i="1"/>
  <c r="L1684" i="1"/>
  <c r="U1675" i="1"/>
  <c r="T7" i="1"/>
  <c r="P11" i="1"/>
  <c r="Q12" i="1"/>
  <c r="L15" i="1"/>
  <c r="M16" i="1"/>
  <c r="H19" i="1"/>
  <c r="Q28" i="1"/>
  <c r="L31" i="1"/>
  <c r="H35" i="1"/>
  <c r="G68" i="1"/>
  <c r="K64" i="1"/>
  <c r="O60" i="1"/>
  <c r="S56" i="1"/>
  <c r="I66" i="1"/>
  <c r="M62" i="1"/>
  <c r="G122" i="1"/>
  <c r="J119" i="1"/>
  <c r="N115" i="1"/>
  <c r="R111" i="1"/>
  <c r="V107" i="1"/>
  <c r="I120" i="1"/>
  <c r="M116" i="1"/>
  <c r="Q112" i="1"/>
  <c r="U108" i="1"/>
  <c r="H121" i="1"/>
  <c r="L117" i="1"/>
  <c r="P113" i="1"/>
  <c r="T109" i="1"/>
  <c r="G175" i="1"/>
  <c r="P166" i="1"/>
  <c r="J172" i="1"/>
  <c r="M169" i="1"/>
  <c r="T162" i="1"/>
  <c r="K171" i="1"/>
  <c r="N168" i="1"/>
  <c r="Q165" i="1"/>
  <c r="H174" i="1"/>
  <c r="O167" i="1"/>
  <c r="R164" i="1"/>
  <c r="U161" i="1"/>
  <c r="J225" i="1"/>
  <c r="N221" i="1"/>
  <c r="R217" i="1"/>
  <c r="V213" i="1"/>
  <c r="I226" i="1"/>
  <c r="M222" i="1"/>
  <c r="Q218" i="1"/>
  <c r="U214" i="1"/>
  <c r="K224" i="1"/>
  <c r="O220" i="1"/>
  <c r="S216" i="1"/>
  <c r="L223" i="1"/>
  <c r="T215" i="1"/>
  <c r="H227" i="1"/>
  <c r="P219" i="1"/>
  <c r="K267" i="1"/>
  <c r="O263" i="1"/>
  <c r="S259" i="1"/>
  <c r="J268" i="1"/>
  <c r="N264" i="1"/>
  <c r="R260" i="1"/>
  <c r="V256" i="1"/>
  <c r="L266" i="1"/>
  <c r="Q261" i="1"/>
  <c r="H270" i="1"/>
  <c r="M265" i="1"/>
  <c r="T258" i="1"/>
  <c r="I269" i="1"/>
  <c r="K314" i="1"/>
  <c r="O310" i="1"/>
  <c r="S306" i="1"/>
  <c r="J315" i="1"/>
  <c r="N311" i="1"/>
  <c r="R307" i="1"/>
  <c r="V303" i="1"/>
  <c r="I316" i="1"/>
  <c r="M312" i="1"/>
  <c r="Q308" i="1"/>
  <c r="U304" i="1"/>
  <c r="H317" i="1"/>
  <c r="L313" i="1"/>
  <c r="P309" i="1"/>
  <c r="T305" i="1"/>
  <c r="I358" i="1"/>
  <c r="M354" i="1"/>
  <c r="Q350" i="1"/>
  <c r="U346" i="1"/>
  <c r="H359" i="1"/>
  <c r="L355" i="1"/>
  <c r="P351" i="1"/>
  <c r="T347" i="1"/>
  <c r="K356" i="1"/>
  <c r="O352" i="1"/>
  <c r="S348" i="1"/>
  <c r="N353" i="1"/>
  <c r="V345" i="1"/>
  <c r="J357" i="1"/>
  <c r="R349" i="1"/>
  <c r="K409" i="1"/>
  <c r="O405" i="1"/>
  <c r="S401" i="1"/>
  <c r="J410" i="1"/>
  <c r="N406" i="1"/>
  <c r="R402" i="1"/>
  <c r="V398" i="1"/>
  <c r="M407" i="1"/>
  <c r="P404" i="1"/>
  <c r="U399" i="1"/>
  <c r="I411" i="1"/>
  <c r="L408" i="1"/>
  <c r="T400" i="1"/>
  <c r="H412" i="1"/>
  <c r="Q403" i="1"/>
  <c r="H453" i="1"/>
  <c r="L449" i="1"/>
  <c r="P445" i="1"/>
  <c r="T441" i="1"/>
  <c r="K450" i="1"/>
  <c r="O446" i="1"/>
  <c r="S442" i="1"/>
  <c r="J451" i="1"/>
  <c r="N447" i="1"/>
  <c r="R443" i="1"/>
  <c r="V439" i="1"/>
  <c r="M448" i="1"/>
  <c r="U440" i="1"/>
  <c r="I452" i="1"/>
  <c r="Q444" i="1"/>
  <c r="I498" i="1"/>
  <c r="M494" i="1"/>
  <c r="Q490" i="1"/>
  <c r="U486" i="1"/>
  <c r="H499" i="1"/>
  <c r="L495" i="1"/>
  <c r="P491" i="1"/>
  <c r="T487" i="1"/>
  <c r="K496" i="1"/>
  <c r="O492" i="1"/>
  <c r="S488" i="1"/>
  <c r="J497" i="1"/>
  <c r="N493" i="1"/>
  <c r="R489" i="1"/>
  <c r="V485" i="1"/>
  <c r="J539" i="1"/>
  <c r="N535" i="1"/>
  <c r="R531" i="1"/>
  <c r="V527" i="1"/>
  <c r="I540" i="1"/>
  <c r="M536" i="1"/>
  <c r="Q532" i="1"/>
  <c r="U528" i="1"/>
  <c r="H541" i="1"/>
  <c r="L537" i="1"/>
  <c r="P533" i="1"/>
  <c r="T529" i="1"/>
  <c r="K538" i="1"/>
  <c r="O534" i="1"/>
  <c r="S530" i="1"/>
  <c r="J594" i="1"/>
  <c r="I595" i="1"/>
  <c r="M591" i="1"/>
  <c r="Q587" i="1"/>
  <c r="U583" i="1"/>
  <c r="L592" i="1"/>
  <c r="P588" i="1"/>
  <c r="T584" i="1"/>
  <c r="N590" i="1"/>
  <c r="S585" i="1"/>
  <c r="O589" i="1"/>
  <c r="V582" i="1"/>
  <c r="H596" i="1"/>
  <c r="R586" i="1"/>
  <c r="I638" i="1"/>
  <c r="M634" i="1"/>
  <c r="Q630" i="1"/>
  <c r="U626" i="1"/>
  <c r="H639" i="1"/>
  <c r="L635" i="1"/>
  <c r="P631" i="1"/>
  <c r="T627" i="1"/>
  <c r="K636" i="1"/>
  <c r="O632" i="1"/>
  <c r="S628" i="1"/>
  <c r="J637" i="1"/>
  <c r="N633" i="1"/>
  <c r="R629" i="1"/>
  <c r="V625" i="1"/>
  <c r="K681" i="1"/>
  <c r="O677" i="1"/>
  <c r="S673" i="1"/>
  <c r="J682" i="1"/>
  <c r="N678" i="1"/>
  <c r="R674" i="1"/>
  <c r="V670" i="1"/>
  <c r="T672" i="1"/>
  <c r="I683" i="1"/>
  <c r="P676" i="1"/>
  <c r="U671" i="1"/>
  <c r="L680" i="1"/>
  <c r="H684" i="1"/>
  <c r="M679" i="1"/>
  <c r="Q675" i="1"/>
  <c r="I727" i="1"/>
  <c r="M723" i="1"/>
  <c r="Q719" i="1"/>
  <c r="U715" i="1"/>
  <c r="H728" i="1"/>
  <c r="L724" i="1"/>
  <c r="P720" i="1"/>
  <c r="T716" i="1"/>
  <c r="J726" i="1"/>
  <c r="O721" i="1"/>
  <c r="V714" i="1"/>
  <c r="K725" i="1"/>
  <c r="R718" i="1"/>
  <c r="N722" i="1"/>
  <c r="S717" i="1"/>
  <c r="H771" i="1"/>
  <c r="L767" i="1"/>
  <c r="P763" i="1"/>
  <c r="T759" i="1"/>
  <c r="K768" i="1"/>
  <c r="O764" i="1"/>
  <c r="S760" i="1"/>
  <c r="J769" i="1"/>
  <c r="N765" i="1"/>
  <c r="R761" i="1"/>
  <c r="V757" i="1"/>
  <c r="Q762" i="1"/>
  <c r="M766" i="1"/>
  <c r="U758" i="1"/>
  <c r="I770" i="1"/>
  <c r="J815" i="1"/>
  <c r="N811" i="1"/>
  <c r="R807" i="1"/>
  <c r="V803" i="1"/>
  <c r="H817" i="1"/>
  <c r="U804" i="1"/>
  <c r="L813" i="1"/>
  <c r="O810" i="1"/>
  <c r="M812" i="1"/>
  <c r="I816" i="1"/>
  <c r="T805" i="1"/>
  <c r="P809" i="1"/>
  <c r="Q808" i="1"/>
  <c r="S806" i="1"/>
  <c r="K814" i="1"/>
  <c r="H862" i="1"/>
  <c r="L858" i="1"/>
  <c r="P854" i="1"/>
  <c r="T850" i="1"/>
  <c r="K859" i="1"/>
  <c r="O855" i="1"/>
  <c r="J860" i="1"/>
  <c r="S851" i="1"/>
  <c r="V848" i="1"/>
  <c r="I861" i="1"/>
  <c r="N856" i="1"/>
  <c r="Q853" i="1"/>
  <c r="R852" i="1"/>
  <c r="U849" i="1"/>
  <c r="M857" i="1"/>
  <c r="K891" i="1"/>
  <c r="O887" i="1"/>
  <c r="S883" i="1"/>
  <c r="J892" i="1"/>
  <c r="N888" i="1"/>
  <c r="R884" i="1"/>
  <c r="I893" i="1"/>
  <c r="M889" i="1"/>
  <c r="Q885" i="1"/>
  <c r="H894" i="1"/>
  <c r="L890" i="1"/>
  <c r="P886" i="1"/>
  <c r="T882" i="1"/>
  <c r="V880" i="1"/>
  <c r="U881" i="1"/>
  <c r="H928" i="1"/>
  <c r="L924" i="1"/>
  <c r="P920" i="1"/>
  <c r="T916" i="1"/>
  <c r="K925" i="1"/>
  <c r="O921" i="1"/>
  <c r="S917" i="1"/>
  <c r="J926" i="1"/>
  <c r="N922" i="1"/>
  <c r="R918" i="1"/>
  <c r="V914" i="1"/>
  <c r="I927" i="1"/>
  <c r="M923" i="1"/>
  <c r="Q919" i="1"/>
  <c r="U915" i="1"/>
  <c r="J963" i="1"/>
  <c r="N959" i="1"/>
  <c r="R955" i="1"/>
  <c r="V951" i="1"/>
  <c r="I964" i="1"/>
  <c r="M960" i="1"/>
  <c r="Q956" i="1"/>
  <c r="U952" i="1"/>
  <c r="O958" i="1"/>
  <c r="T953" i="1"/>
  <c r="K962" i="1"/>
  <c r="P957" i="1"/>
  <c r="H965" i="1"/>
  <c r="L961" i="1"/>
  <c r="S954" i="1"/>
  <c r="I1005" i="1"/>
  <c r="L1002" i="1"/>
  <c r="O999" i="1"/>
  <c r="S995" i="1"/>
  <c r="M1001" i="1"/>
  <c r="R996" i="1"/>
  <c r="V992" i="1"/>
  <c r="J1004" i="1"/>
  <c r="Q997" i="1"/>
  <c r="U993" i="1"/>
  <c r="H1006" i="1"/>
  <c r="K1003" i="1"/>
  <c r="P998" i="1"/>
  <c r="T994" i="1"/>
  <c r="N1000" i="1"/>
  <c r="K1038" i="1"/>
  <c r="O1034" i="1"/>
  <c r="S1030" i="1"/>
  <c r="I1040" i="1"/>
  <c r="M1036" i="1"/>
  <c r="Q1032" i="1"/>
  <c r="U1028" i="1"/>
  <c r="H1041" i="1"/>
  <c r="L1037" i="1"/>
  <c r="P1033" i="1"/>
  <c r="T1029" i="1"/>
  <c r="R1031" i="1"/>
  <c r="N1035" i="1"/>
  <c r="V1027" i="1"/>
  <c r="J1039" i="1"/>
  <c r="K1078" i="1"/>
  <c r="O1074" i="1"/>
  <c r="S1070" i="1"/>
  <c r="I1080" i="1"/>
  <c r="M1076" i="1"/>
  <c r="Q1072" i="1"/>
  <c r="U1068" i="1"/>
  <c r="H1081" i="1"/>
  <c r="L1077" i="1"/>
  <c r="P1073" i="1"/>
  <c r="T1069" i="1"/>
  <c r="R1071" i="1"/>
  <c r="N1075" i="1"/>
  <c r="J1079" i="1"/>
  <c r="V1067" i="1"/>
  <c r="J1117" i="1"/>
  <c r="N1113" i="1"/>
  <c r="R1109" i="1"/>
  <c r="V1105" i="1"/>
  <c r="I1118" i="1"/>
  <c r="M1114" i="1"/>
  <c r="Q1110" i="1"/>
  <c r="U1106" i="1"/>
  <c r="H1119" i="1"/>
  <c r="L1115" i="1"/>
  <c r="P1111" i="1"/>
  <c r="T1107" i="1"/>
  <c r="K1116" i="1"/>
  <c r="O1112" i="1"/>
  <c r="S1108" i="1"/>
  <c r="I1157" i="1"/>
  <c r="L1154" i="1"/>
  <c r="K1155" i="1"/>
  <c r="Q1149" i="1"/>
  <c r="U1145" i="1"/>
  <c r="J1156" i="1"/>
  <c r="M1153" i="1"/>
  <c r="P1150" i="1"/>
  <c r="T1146" i="1"/>
  <c r="H1158" i="1"/>
  <c r="O1151" i="1"/>
  <c r="V1144" i="1"/>
  <c r="R1148" i="1"/>
  <c r="N1152" i="1"/>
  <c r="S1147" i="1"/>
  <c r="I1197" i="1"/>
  <c r="M1193" i="1"/>
  <c r="Q1189" i="1"/>
  <c r="U1185" i="1"/>
  <c r="H1198" i="1"/>
  <c r="L1194" i="1"/>
  <c r="P1190" i="1"/>
  <c r="T1186" i="1"/>
  <c r="R1188" i="1"/>
  <c r="N1192" i="1"/>
  <c r="S1187" i="1"/>
  <c r="J1196" i="1"/>
  <c r="V1184" i="1"/>
  <c r="K1195" i="1"/>
  <c r="O1191" i="1"/>
  <c r="H1236" i="1"/>
  <c r="L1232" i="1"/>
  <c r="P1228" i="1"/>
  <c r="J1234" i="1"/>
  <c r="I1235" i="1"/>
  <c r="M1231" i="1"/>
  <c r="Q1227" i="1"/>
  <c r="K1233" i="1"/>
  <c r="O1229" i="1"/>
  <c r="R1226" i="1"/>
  <c r="T1224" i="1"/>
  <c r="S1225" i="1"/>
  <c r="N1230" i="1"/>
  <c r="U1223" i="1"/>
  <c r="V1222" i="1"/>
  <c r="H1284" i="1"/>
  <c r="L1280" i="1"/>
  <c r="P1276" i="1"/>
  <c r="T1272" i="1"/>
  <c r="K1281" i="1"/>
  <c r="O1277" i="1"/>
  <c r="S1273" i="1"/>
  <c r="J1282" i="1"/>
  <c r="N1278" i="1"/>
  <c r="R1274" i="1"/>
  <c r="V1270" i="1"/>
  <c r="I1283" i="1"/>
  <c r="M1279" i="1"/>
  <c r="Q1275" i="1"/>
  <c r="U1271" i="1"/>
  <c r="K1325" i="1"/>
  <c r="O1321" i="1"/>
  <c r="S1317" i="1"/>
  <c r="J1326" i="1"/>
  <c r="N1322" i="1"/>
  <c r="R1318" i="1"/>
  <c r="V1314" i="1"/>
  <c r="I1327" i="1"/>
  <c r="M1323" i="1"/>
  <c r="Q1319" i="1"/>
  <c r="U1315" i="1"/>
  <c r="H1328" i="1"/>
  <c r="L1324" i="1"/>
  <c r="P1320" i="1"/>
  <c r="T1316" i="1"/>
  <c r="H1367" i="1"/>
  <c r="L1363" i="1"/>
  <c r="P1359" i="1"/>
  <c r="T1355" i="1"/>
  <c r="Q1358" i="1"/>
  <c r="K1364" i="1"/>
  <c r="N1361" i="1"/>
  <c r="V1353" i="1"/>
  <c r="J1365" i="1"/>
  <c r="I1366" i="1"/>
  <c r="O1360" i="1"/>
  <c r="R1357" i="1"/>
  <c r="U1354" i="1"/>
  <c r="M1362" i="1"/>
  <c r="S1356" i="1"/>
  <c r="L1406" i="1"/>
  <c r="O1403" i="1"/>
  <c r="S1399" i="1"/>
  <c r="R1400" i="1"/>
  <c r="V1396" i="1"/>
  <c r="J1408" i="1"/>
  <c r="M1405" i="1"/>
  <c r="K1407" i="1"/>
  <c r="N1404" i="1"/>
  <c r="H1410" i="1"/>
  <c r="P1402" i="1"/>
  <c r="U1397" i="1"/>
  <c r="I1409" i="1"/>
  <c r="Q1401" i="1"/>
  <c r="T1398" i="1"/>
  <c r="J1446" i="1"/>
  <c r="N1442" i="1"/>
  <c r="R1438" i="1"/>
  <c r="V1434" i="1"/>
  <c r="K1445" i="1"/>
  <c r="O1441" i="1"/>
  <c r="S1437" i="1"/>
  <c r="I1447" i="1"/>
  <c r="P1440" i="1"/>
  <c r="M1443" i="1"/>
  <c r="U1435" i="1"/>
  <c r="H1448" i="1"/>
  <c r="L1444" i="1"/>
  <c r="T1436" i="1"/>
  <c r="Q1439" i="1"/>
  <c r="J1476" i="1"/>
  <c r="N1472" i="1"/>
  <c r="R1468" i="1"/>
  <c r="V1464" i="1"/>
  <c r="I1477" i="1"/>
  <c r="M1473" i="1"/>
  <c r="Q1469" i="1"/>
  <c r="U1465" i="1"/>
  <c r="H1478" i="1"/>
  <c r="S1467" i="1"/>
  <c r="T1466" i="1"/>
  <c r="O1471" i="1"/>
  <c r="P1470" i="1"/>
  <c r="L1474" i="1"/>
  <c r="K1475" i="1"/>
  <c r="H1533" i="1"/>
  <c r="L1529" i="1"/>
  <c r="P1525" i="1"/>
  <c r="J1531" i="1"/>
  <c r="N1527" i="1"/>
  <c r="R1523" i="1"/>
  <c r="V1519" i="1"/>
  <c r="K1530" i="1"/>
  <c r="U1520" i="1"/>
  <c r="M1528" i="1"/>
  <c r="Q1524" i="1"/>
  <c r="I1532" i="1"/>
  <c r="O1526" i="1"/>
  <c r="S1522" i="1"/>
  <c r="T1521" i="1"/>
  <c r="J1569" i="1"/>
  <c r="N1565" i="1"/>
  <c r="R1561" i="1"/>
  <c r="V1557" i="1"/>
  <c r="I1570" i="1"/>
  <c r="M1566" i="1"/>
  <c r="Q1562" i="1"/>
  <c r="U1558" i="1"/>
  <c r="K1568" i="1"/>
  <c r="O1564" i="1"/>
  <c r="S1560" i="1"/>
  <c r="L1567" i="1"/>
  <c r="T1559" i="1"/>
  <c r="H1571" i="1"/>
  <c r="P1563" i="1"/>
  <c r="H1611" i="1"/>
  <c r="J1609" i="1"/>
  <c r="K1608" i="1"/>
  <c r="I1610" i="1"/>
  <c r="O1604" i="1"/>
  <c r="R1601" i="1"/>
  <c r="V1597" i="1"/>
  <c r="Q1602" i="1"/>
  <c r="T1599" i="1"/>
  <c r="U1598" i="1"/>
  <c r="L1607" i="1"/>
  <c r="N1605" i="1"/>
  <c r="M1606" i="1"/>
  <c r="P1603" i="1"/>
  <c r="S1600" i="1"/>
  <c r="K1662" i="1"/>
  <c r="O1658" i="1"/>
  <c r="S1654" i="1"/>
  <c r="J1663" i="1"/>
  <c r="N1659" i="1"/>
  <c r="R1655" i="1"/>
  <c r="V1651" i="1"/>
  <c r="Q1656" i="1"/>
  <c r="T1653" i="1"/>
  <c r="H1665" i="1"/>
  <c r="M1660" i="1"/>
  <c r="P1657" i="1"/>
  <c r="U1652" i="1"/>
  <c r="I1664" i="1"/>
  <c r="L1661" i="1"/>
  <c r="I1706" i="1"/>
  <c r="M1702" i="1"/>
  <c r="Q1698" i="1"/>
  <c r="U1694" i="1"/>
  <c r="H1707" i="1"/>
  <c r="L1703" i="1"/>
  <c r="P1699" i="1"/>
  <c r="T1695" i="1"/>
  <c r="K1704" i="1"/>
  <c r="O1700" i="1"/>
  <c r="S1696" i="1"/>
  <c r="J1705" i="1"/>
  <c r="N1701" i="1"/>
  <c r="R1697" i="1"/>
  <c r="V1693" i="1"/>
  <c r="L4" i="1"/>
  <c r="T4" i="1"/>
  <c r="M5" i="1"/>
  <c r="N6" i="1"/>
  <c r="O7" i="1"/>
  <c r="H8" i="1"/>
  <c r="P8" i="1"/>
  <c r="I9" i="1"/>
  <c r="J10" i="1"/>
  <c r="K11" i="1"/>
  <c r="S11" i="1"/>
  <c r="L12" i="1"/>
  <c r="T12" i="1"/>
  <c r="U13" i="1"/>
  <c r="O15" i="1"/>
  <c r="H16" i="1"/>
  <c r="P16" i="1"/>
  <c r="Q17" i="1"/>
  <c r="K19" i="1"/>
  <c r="S19" i="1"/>
  <c r="L20" i="1"/>
  <c r="T20" i="1"/>
  <c r="M21" i="1"/>
  <c r="U21" i="1"/>
  <c r="V22" i="1"/>
  <c r="O23" i="1"/>
  <c r="H24" i="1"/>
  <c r="P24" i="1"/>
  <c r="I25" i="1"/>
  <c r="Q25" i="1"/>
  <c r="R26" i="1"/>
  <c r="K27" i="1"/>
  <c r="S27" i="1"/>
  <c r="L28" i="1"/>
  <c r="T28" i="1"/>
  <c r="M29" i="1"/>
  <c r="U29" i="1"/>
  <c r="N30" i="1"/>
  <c r="O31" i="1"/>
  <c r="H32" i="1"/>
  <c r="P32" i="1"/>
  <c r="I33" i="1"/>
  <c r="Q33" i="1"/>
  <c r="J34" i="1"/>
  <c r="K35" i="1"/>
  <c r="L36" i="1"/>
  <c r="M37" i="1"/>
  <c r="H40" i="1"/>
  <c r="J41" i="1"/>
  <c r="L43" i="1"/>
  <c r="P47" i="1"/>
  <c r="V53" i="1"/>
  <c r="I56" i="1"/>
  <c r="K58" i="1"/>
  <c r="T74" i="1"/>
  <c r="J93" i="1"/>
  <c r="I108" i="1"/>
  <c r="O114" i="1"/>
  <c r="Q148" i="1"/>
  <c r="S150" i="1"/>
  <c r="L170" i="1"/>
  <c r="I207" i="1"/>
  <c r="S233" i="1"/>
  <c r="P262" i="1"/>
  <c r="G198" i="1"/>
  <c r="K194" i="1"/>
  <c r="O190" i="1"/>
  <c r="S186" i="1"/>
  <c r="H197" i="1"/>
  <c r="L193" i="1"/>
  <c r="P189" i="1"/>
  <c r="T185" i="1"/>
  <c r="I196" i="1"/>
  <c r="Q188" i="1"/>
  <c r="N191" i="1"/>
  <c r="M192" i="1"/>
  <c r="U184" i="1"/>
  <c r="J616" i="1"/>
  <c r="N612" i="1"/>
  <c r="R608" i="1"/>
  <c r="V604" i="1"/>
  <c r="I617" i="1"/>
  <c r="M613" i="1"/>
  <c r="Q609" i="1"/>
  <c r="U605" i="1"/>
  <c r="K615" i="1"/>
  <c r="P610" i="1"/>
  <c r="L614" i="1"/>
  <c r="S607" i="1"/>
  <c r="O611" i="1"/>
  <c r="H618" i="1"/>
  <c r="T606" i="1"/>
  <c r="J1021" i="1"/>
  <c r="N1017" i="1"/>
  <c r="R1013" i="1"/>
  <c r="V1009" i="1"/>
  <c r="H1023" i="1"/>
  <c r="L1019" i="1"/>
  <c r="P1015" i="1"/>
  <c r="T1011" i="1"/>
  <c r="K1020" i="1"/>
  <c r="O1016" i="1"/>
  <c r="S1012" i="1"/>
  <c r="Q1014" i="1"/>
  <c r="M1018" i="1"/>
  <c r="U1010" i="1"/>
  <c r="I1022" i="1"/>
  <c r="H1463" i="1"/>
  <c r="L1459" i="1"/>
  <c r="P1455" i="1"/>
  <c r="T1451" i="1"/>
  <c r="K1460" i="1"/>
  <c r="V1449" i="1"/>
  <c r="M1458" i="1"/>
  <c r="N1457" i="1"/>
  <c r="U1450" i="1"/>
  <c r="I1462" i="1"/>
  <c r="S1452" i="1"/>
  <c r="J1461" i="1"/>
  <c r="R1453" i="1"/>
  <c r="Q1454" i="1"/>
  <c r="O1456" i="1"/>
  <c r="P28" i="1"/>
  <c r="H36" i="1"/>
  <c r="J249" i="1"/>
  <c r="N245" i="1"/>
  <c r="R241" i="1"/>
  <c r="V237" i="1"/>
  <c r="I250" i="1"/>
  <c r="M246" i="1"/>
  <c r="Q242" i="1"/>
  <c r="U238" i="1"/>
  <c r="H251" i="1"/>
  <c r="L247" i="1"/>
  <c r="K248" i="1"/>
  <c r="O244" i="1"/>
  <c r="S240" i="1"/>
  <c r="T239" i="1"/>
  <c r="K565" i="1"/>
  <c r="O561" i="1"/>
  <c r="S557" i="1"/>
  <c r="J566" i="1"/>
  <c r="N562" i="1"/>
  <c r="R558" i="1"/>
  <c r="V554" i="1"/>
  <c r="P560" i="1"/>
  <c r="U555" i="1"/>
  <c r="L564" i="1"/>
  <c r="Q559" i="1"/>
  <c r="H568" i="1"/>
  <c r="T556" i="1"/>
  <c r="I567" i="1"/>
  <c r="M563" i="1"/>
  <c r="I913" i="1"/>
  <c r="M909" i="1"/>
  <c r="Q905" i="1"/>
  <c r="U901" i="1"/>
  <c r="H914" i="1"/>
  <c r="L910" i="1"/>
  <c r="P906" i="1"/>
  <c r="T902" i="1"/>
  <c r="K911" i="1"/>
  <c r="O907" i="1"/>
  <c r="S903" i="1"/>
  <c r="J912" i="1"/>
  <c r="N908" i="1"/>
  <c r="R904" i="1"/>
  <c r="V900" i="1"/>
  <c r="J1222" i="1"/>
  <c r="N1218" i="1"/>
  <c r="R1214" i="1"/>
  <c r="V1210" i="1"/>
  <c r="I1223" i="1"/>
  <c r="M1219" i="1"/>
  <c r="Q1215" i="1"/>
  <c r="U1211" i="1"/>
  <c r="L1220" i="1"/>
  <c r="S1213" i="1"/>
  <c r="H1224" i="1"/>
  <c r="O1217" i="1"/>
  <c r="K1221" i="1"/>
  <c r="P1216" i="1"/>
  <c r="T1212" i="1"/>
  <c r="K1554" i="1"/>
  <c r="O1550" i="1"/>
  <c r="S1546" i="1"/>
  <c r="J1555" i="1"/>
  <c r="N1551" i="1"/>
  <c r="H1557" i="1"/>
  <c r="R1547" i="1"/>
  <c r="L1553" i="1"/>
  <c r="M1552" i="1"/>
  <c r="P1549" i="1"/>
  <c r="T1545" i="1"/>
  <c r="V1543" i="1"/>
  <c r="Q1548" i="1"/>
  <c r="U1544" i="1"/>
  <c r="I1556" i="1"/>
  <c r="N49" i="1"/>
  <c r="G46" i="1"/>
  <c r="H45" i="1"/>
  <c r="L41" i="1"/>
  <c r="G77" i="1"/>
  <c r="J74" i="1"/>
  <c r="N70" i="1"/>
  <c r="R66" i="1"/>
  <c r="V62" i="1"/>
  <c r="I75" i="1"/>
  <c r="M71" i="1"/>
  <c r="Q67" i="1"/>
  <c r="U63" i="1"/>
  <c r="G129" i="1"/>
  <c r="I127" i="1"/>
  <c r="M123" i="1"/>
  <c r="Q119" i="1"/>
  <c r="U115" i="1"/>
  <c r="H128" i="1"/>
  <c r="L124" i="1"/>
  <c r="P120" i="1"/>
  <c r="T116" i="1"/>
  <c r="K125" i="1"/>
  <c r="O121" i="1"/>
  <c r="S117" i="1"/>
  <c r="G181" i="1"/>
  <c r="I179" i="1"/>
  <c r="K177" i="1"/>
  <c r="R170" i="1"/>
  <c r="U167" i="1"/>
  <c r="O173" i="1"/>
  <c r="H180" i="1"/>
  <c r="L176" i="1"/>
  <c r="V166" i="1"/>
  <c r="S169" i="1"/>
  <c r="J178" i="1"/>
  <c r="M175" i="1"/>
  <c r="P172" i="1"/>
  <c r="H231" i="1"/>
  <c r="L227" i="1"/>
  <c r="P223" i="1"/>
  <c r="T219" i="1"/>
  <c r="K228" i="1"/>
  <c r="O224" i="1"/>
  <c r="S220" i="1"/>
  <c r="I230" i="1"/>
  <c r="M226" i="1"/>
  <c r="Q222" i="1"/>
  <c r="U218" i="1"/>
  <c r="R221" i="1"/>
  <c r="N225" i="1"/>
  <c r="K274" i="1"/>
  <c r="O270" i="1"/>
  <c r="S266" i="1"/>
  <c r="J275" i="1"/>
  <c r="N271" i="1"/>
  <c r="R267" i="1"/>
  <c r="V263" i="1"/>
  <c r="I276" i="1"/>
  <c r="M272" i="1"/>
  <c r="Q268" i="1"/>
  <c r="U264" i="1"/>
  <c r="H277" i="1"/>
  <c r="L273" i="1"/>
  <c r="P269" i="1"/>
  <c r="T265" i="1"/>
  <c r="J322" i="1"/>
  <c r="N318" i="1"/>
  <c r="R314" i="1"/>
  <c r="V310" i="1"/>
  <c r="H324" i="1"/>
  <c r="M319" i="1"/>
  <c r="Q315" i="1"/>
  <c r="U311" i="1"/>
  <c r="I323" i="1"/>
  <c r="O317" i="1"/>
  <c r="T312" i="1"/>
  <c r="K321" i="1"/>
  <c r="P316" i="1"/>
  <c r="L320" i="1"/>
  <c r="K361" i="1"/>
  <c r="O357" i="1"/>
  <c r="S353" i="1"/>
  <c r="J362" i="1"/>
  <c r="N358" i="1"/>
  <c r="R354" i="1"/>
  <c r="V350" i="1"/>
  <c r="U351" i="1"/>
  <c r="I363" i="1"/>
  <c r="L360" i="1"/>
  <c r="Q355" i="1"/>
  <c r="T352" i="1"/>
  <c r="M359" i="1"/>
  <c r="P356" i="1"/>
  <c r="H364" i="1"/>
  <c r="I415" i="1"/>
  <c r="M411" i="1"/>
  <c r="Q407" i="1"/>
  <c r="U403" i="1"/>
  <c r="H416" i="1"/>
  <c r="L412" i="1"/>
  <c r="P408" i="1"/>
  <c r="T404" i="1"/>
  <c r="N410" i="1"/>
  <c r="S405" i="1"/>
  <c r="V402" i="1"/>
  <c r="J414" i="1"/>
  <c r="O409" i="1"/>
  <c r="K413" i="1"/>
  <c r="R406" i="1"/>
  <c r="K456" i="1"/>
  <c r="O452" i="1"/>
  <c r="S448" i="1"/>
  <c r="J457" i="1"/>
  <c r="N453" i="1"/>
  <c r="R449" i="1"/>
  <c r="V445" i="1"/>
  <c r="I458" i="1"/>
  <c r="M454" i="1"/>
  <c r="Q450" i="1"/>
  <c r="U446" i="1"/>
  <c r="P451" i="1"/>
  <c r="L455" i="1"/>
  <c r="H459" i="1"/>
  <c r="K501" i="1"/>
  <c r="O497" i="1"/>
  <c r="S493" i="1"/>
  <c r="J502" i="1"/>
  <c r="N498" i="1"/>
  <c r="R494" i="1"/>
  <c r="V490" i="1"/>
  <c r="P496" i="1"/>
  <c r="U491" i="1"/>
  <c r="L500" i="1"/>
  <c r="Q495" i="1"/>
  <c r="H504" i="1"/>
  <c r="M499" i="1"/>
  <c r="T492" i="1"/>
  <c r="I547" i="1"/>
  <c r="M543" i="1"/>
  <c r="Q539" i="1"/>
  <c r="U535" i="1"/>
  <c r="H548" i="1"/>
  <c r="L544" i="1"/>
  <c r="P540" i="1"/>
  <c r="T536" i="1"/>
  <c r="V534" i="1"/>
  <c r="K545" i="1"/>
  <c r="R538" i="1"/>
  <c r="N542" i="1"/>
  <c r="J546" i="1"/>
  <c r="S537" i="1"/>
  <c r="O541" i="1"/>
  <c r="K600" i="1"/>
  <c r="J601" i="1"/>
  <c r="I602" i="1"/>
  <c r="M598" i="1"/>
  <c r="H603" i="1"/>
  <c r="L599" i="1"/>
  <c r="P595" i="1"/>
  <c r="O596" i="1"/>
  <c r="R593" i="1"/>
  <c r="U590" i="1"/>
  <c r="T591" i="1"/>
  <c r="S592" i="1"/>
  <c r="V589" i="1"/>
  <c r="Q594" i="1"/>
  <c r="N597" i="1"/>
  <c r="K640" i="1"/>
  <c r="O636" i="1"/>
  <c r="S632" i="1"/>
  <c r="J641" i="1"/>
  <c r="N637" i="1"/>
  <c r="R633" i="1"/>
  <c r="V629" i="1"/>
  <c r="I642" i="1"/>
  <c r="M638" i="1"/>
  <c r="Q634" i="1"/>
  <c r="U630" i="1"/>
  <c r="H643" i="1"/>
  <c r="L639" i="1"/>
  <c r="P635" i="1"/>
  <c r="T631" i="1"/>
  <c r="J687" i="1"/>
  <c r="N683" i="1"/>
  <c r="R679" i="1"/>
  <c r="V675" i="1"/>
  <c r="I688" i="1"/>
  <c r="M684" i="1"/>
  <c r="Q680" i="1"/>
  <c r="U676" i="1"/>
  <c r="H689" i="1"/>
  <c r="L685" i="1"/>
  <c r="P681" i="1"/>
  <c r="T677" i="1"/>
  <c r="K686" i="1"/>
  <c r="O682" i="1"/>
  <c r="S678" i="1"/>
  <c r="H733" i="1"/>
  <c r="L729" i="1"/>
  <c r="P725" i="1"/>
  <c r="T721" i="1"/>
  <c r="K730" i="1"/>
  <c r="O726" i="1"/>
  <c r="S722" i="1"/>
  <c r="J731" i="1"/>
  <c r="N727" i="1"/>
  <c r="R723" i="1"/>
  <c r="V719" i="1"/>
  <c r="I732" i="1"/>
  <c r="M728" i="1"/>
  <c r="Q724" i="1"/>
  <c r="U720" i="1"/>
  <c r="J773" i="1"/>
  <c r="N769" i="1"/>
  <c r="R765" i="1"/>
  <c r="V761" i="1"/>
  <c r="I774" i="1"/>
  <c r="M770" i="1"/>
  <c r="Q766" i="1"/>
  <c r="U762" i="1"/>
  <c r="H775" i="1"/>
  <c r="L771" i="1"/>
  <c r="P767" i="1"/>
  <c r="T763" i="1"/>
  <c r="O768" i="1"/>
  <c r="K772" i="1"/>
  <c r="S764" i="1"/>
  <c r="H821" i="1"/>
  <c r="L817" i="1"/>
  <c r="P813" i="1"/>
  <c r="T809" i="1"/>
  <c r="J819" i="1"/>
  <c r="N815" i="1"/>
  <c r="K818" i="1"/>
  <c r="Q812" i="1"/>
  <c r="M816" i="1"/>
  <c r="O814" i="1"/>
  <c r="V807" i="1"/>
  <c r="I820" i="1"/>
  <c r="S810" i="1"/>
  <c r="U808" i="1"/>
  <c r="R811" i="1"/>
  <c r="I864" i="1"/>
  <c r="M860" i="1"/>
  <c r="Q856" i="1"/>
  <c r="H865" i="1"/>
  <c r="L861" i="1"/>
  <c r="P857" i="1"/>
  <c r="T853" i="1"/>
  <c r="J863" i="1"/>
  <c r="N859" i="1"/>
  <c r="R855" i="1"/>
  <c r="V851" i="1"/>
  <c r="O858" i="1"/>
  <c r="K862" i="1"/>
  <c r="S854" i="1"/>
  <c r="U852" i="1"/>
  <c r="I897" i="1"/>
  <c r="M893" i="1"/>
  <c r="Q889" i="1"/>
  <c r="U885" i="1"/>
  <c r="H898" i="1"/>
  <c r="L894" i="1"/>
  <c r="P890" i="1"/>
  <c r="T886" i="1"/>
  <c r="K895" i="1"/>
  <c r="O891" i="1"/>
  <c r="S887" i="1"/>
  <c r="J896" i="1"/>
  <c r="N892" i="1"/>
  <c r="R888" i="1"/>
  <c r="V884" i="1"/>
  <c r="I930" i="1"/>
  <c r="M926" i="1"/>
  <c r="Q922" i="1"/>
  <c r="U918" i="1"/>
  <c r="H931" i="1"/>
  <c r="L927" i="1"/>
  <c r="P923" i="1"/>
  <c r="T919" i="1"/>
  <c r="V917" i="1"/>
  <c r="K928" i="1"/>
  <c r="R921" i="1"/>
  <c r="O924" i="1"/>
  <c r="J929" i="1"/>
  <c r="S920" i="1"/>
  <c r="N925" i="1"/>
  <c r="I969" i="1"/>
  <c r="M965" i="1"/>
  <c r="Q961" i="1"/>
  <c r="U957" i="1"/>
  <c r="H970" i="1"/>
  <c r="L966" i="1"/>
  <c r="P962" i="1"/>
  <c r="T958" i="1"/>
  <c r="K967" i="1"/>
  <c r="O963" i="1"/>
  <c r="S959" i="1"/>
  <c r="J968" i="1"/>
  <c r="N964" i="1"/>
  <c r="R960" i="1"/>
  <c r="V956" i="1"/>
  <c r="K1007" i="1"/>
  <c r="J1008" i="1"/>
  <c r="I1009" i="1"/>
  <c r="N1004" i="1"/>
  <c r="Q1001" i="1"/>
  <c r="U997" i="1"/>
  <c r="O1003" i="1"/>
  <c r="R1000" i="1"/>
  <c r="T998" i="1"/>
  <c r="H1010" i="1"/>
  <c r="L1006" i="1"/>
  <c r="S999" i="1"/>
  <c r="M1005" i="1"/>
  <c r="V996" i="1"/>
  <c r="P1002" i="1"/>
  <c r="J1045" i="1"/>
  <c r="N1041" i="1"/>
  <c r="R1037" i="1"/>
  <c r="V1033" i="1"/>
  <c r="H1047" i="1"/>
  <c r="L1043" i="1"/>
  <c r="P1039" i="1"/>
  <c r="T1035" i="1"/>
  <c r="K1044" i="1"/>
  <c r="O1040" i="1"/>
  <c r="S1036" i="1"/>
  <c r="I1046" i="1"/>
  <c r="Q1038" i="1"/>
  <c r="U1034" i="1"/>
  <c r="M1042" i="1"/>
  <c r="G1086" i="1"/>
  <c r="G1087" i="1" s="1"/>
  <c r="I1084" i="1"/>
  <c r="M1080" i="1"/>
  <c r="Q1076" i="1"/>
  <c r="U1072" i="1"/>
  <c r="K1082" i="1"/>
  <c r="O1078" i="1"/>
  <c r="S1074" i="1"/>
  <c r="J1083" i="1"/>
  <c r="N1079" i="1"/>
  <c r="R1075" i="1"/>
  <c r="V1071" i="1"/>
  <c r="L1081" i="1"/>
  <c r="T1073" i="1"/>
  <c r="H1085" i="1"/>
  <c r="P1077" i="1"/>
  <c r="H1124" i="1"/>
  <c r="L1120" i="1"/>
  <c r="P1116" i="1"/>
  <c r="T1112" i="1"/>
  <c r="K1121" i="1"/>
  <c r="O1117" i="1"/>
  <c r="S1113" i="1"/>
  <c r="Q1115" i="1"/>
  <c r="V1110" i="1"/>
  <c r="M1119" i="1"/>
  <c r="R1114" i="1"/>
  <c r="I1123" i="1"/>
  <c r="U1111" i="1"/>
  <c r="J1122" i="1"/>
  <c r="N1118" i="1"/>
  <c r="I1164" i="1"/>
  <c r="M1160" i="1"/>
  <c r="Q1156" i="1"/>
  <c r="H1165" i="1"/>
  <c r="K1162" i="1"/>
  <c r="O1158" i="1"/>
  <c r="S1154" i="1"/>
  <c r="J1163" i="1"/>
  <c r="N1159" i="1"/>
  <c r="R1155" i="1"/>
  <c r="U1152" i="1"/>
  <c r="L1161" i="1"/>
  <c r="V1151" i="1"/>
  <c r="T1153" i="1"/>
  <c r="P1157" i="1"/>
  <c r="H1204" i="1"/>
  <c r="L1200" i="1"/>
  <c r="P1196" i="1"/>
  <c r="T1192" i="1"/>
  <c r="K1201" i="1"/>
  <c r="O1197" i="1"/>
  <c r="S1193" i="1"/>
  <c r="M1199" i="1"/>
  <c r="R1194" i="1"/>
  <c r="I1203" i="1"/>
  <c r="N1198" i="1"/>
  <c r="U1191" i="1"/>
  <c r="Q1195" i="1"/>
  <c r="J1202" i="1"/>
  <c r="V1190" i="1"/>
  <c r="J1238" i="1"/>
  <c r="N1234" i="1"/>
  <c r="R1230" i="1"/>
  <c r="V1226" i="1"/>
  <c r="I1239" i="1"/>
  <c r="M1235" i="1"/>
  <c r="H1240" i="1"/>
  <c r="L1236" i="1"/>
  <c r="P1232" i="1"/>
  <c r="K1237" i="1"/>
  <c r="O1233" i="1"/>
  <c r="S1229" i="1"/>
  <c r="Q1231" i="1"/>
  <c r="T1228" i="1"/>
  <c r="U1227" i="1"/>
  <c r="J1286" i="1"/>
  <c r="N1282" i="1"/>
  <c r="R1278" i="1"/>
  <c r="V1274" i="1"/>
  <c r="I1287" i="1"/>
  <c r="M1283" i="1"/>
  <c r="Q1279" i="1"/>
  <c r="U1275" i="1"/>
  <c r="H1288" i="1"/>
  <c r="L1284" i="1"/>
  <c r="P1280" i="1"/>
  <c r="T1276" i="1"/>
  <c r="K1285" i="1"/>
  <c r="O1281" i="1"/>
  <c r="S1277" i="1"/>
  <c r="H1331" i="1"/>
  <c r="L1327" i="1"/>
  <c r="P1323" i="1"/>
  <c r="T1319" i="1"/>
  <c r="K1328" i="1"/>
  <c r="O1324" i="1"/>
  <c r="S1320" i="1"/>
  <c r="Q1322" i="1"/>
  <c r="V1317" i="1"/>
  <c r="M1326" i="1"/>
  <c r="R1321" i="1"/>
  <c r="I1330" i="1"/>
  <c r="U1318" i="1"/>
  <c r="N1325" i="1"/>
  <c r="J1329" i="1"/>
  <c r="J1369" i="1"/>
  <c r="N1365" i="1"/>
  <c r="R1361" i="1"/>
  <c r="V1357" i="1"/>
  <c r="I1370" i="1"/>
  <c r="M1366" i="1"/>
  <c r="S1360" i="1"/>
  <c r="P1363" i="1"/>
  <c r="L1367" i="1"/>
  <c r="K1368" i="1"/>
  <c r="Q1362" i="1"/>
  <c r="T1359" i="1"/>
  <c r="H1371" i="1"/>
  <c r="U1358" i="1"/>
  <c r="O1364" i="1"/>
  <c r="I1413" i="1"/>
  <c r="Q1405" i="1"/>
  <c r="H1414" i="1"/>
  <c r="N1408" i="1"/>
  <c r="U1401" i="1"/>
  <c r="J1412" i="1"/>
  <c r="R1404" i="1"/>
  <c r="T1402" i="1"/>
  <c r="K1411" i="1"/>
  <c r="L1410" i="1"/>
  <c r="O1407" i="1"/>
  <c r="M1409" i="1"/>
  <c r="P1406" i="1"/>
  <c r="S1403" i="1"/>
  <c r="V1400" i="1"/>
  <c r="H1452" i="1"/>
  <c r="L1448" i="1"/>
  <c r="P1444" i="1"/>
  <c r="T1440" i="1"/>
  <c r="I1451" i="1"/>
  <c r="M1447" i="1"/>
  <c r="Q1443" i="1"/>
  <c r="U1439" i="1"/>
  <c r="J1450" i="1"/>
  <c r="R1442" i="1"/>
  <c r="O1445" i="1"/>
  <c r="K1449" i="1"/>
  <c r="V1438" i="1"/>
  <c r="N1446" i="1"/>
  <c r="S1441" i="1"/>
  <c r="J1481" i="1"/>
  <c r="N1477" i="1"/>
  <c r="R1473" i="1"/>
  <c r="V1469" i="1"/>
  <c r="P1475" i="1"/>
  <c r="Q1474" i="1"/>
  <c r="H1483" i="1"/>
  <c r="S1472" i="1"/>
  <c r="M1478" i="1"/>
  <c r="O1476" i="1"/>
  <c r="L1479" i="1"/>
  <c r="T1471" i="1"/>
  <c r="K1480" i="1"/>
  <c r="I1482" i="1"/>
  <c r="U1470" i="1"/>
  <c r="K1536" i="1"/>
  <c r="O1532" i="1"/>
  <c r="S1528" i="1"/>
  <c r="I1538" i="1"/>
  <c r="M1534" i="1"/>
  <c r="Q1530" i="1"/>
  <c r="U1526" i="1"/>
  <c r="P1531" i="1"/>
  <c r="V1525" i="1"/>
  <c r="J1537" i="1"/>
  <c r="T1527" i="1"/>
  <c r="L1535" i="1"/>
  <c r="H1539" i="1"/>
  <c r="N1533" i="1"/>
  <c r="R1529" i="1"/>
  <c r="H1575" i="1"/>
  <c r="L1571" i="1"/>
  <c r="P1567" i="1"/>
  <c r="T1563" i="1"/>
  <c r="K1572" i="1"/>
  <c r="O1568" i="1"/>
  <c r="S1564" i="1"/>
  <c r="I1574" i="1"/>
  <c r="M1570" i="1"/>
  <c r="Q1566" i="1"/>
  <c r="U1562" i="1"/>
  <c r="N1569" i="1"/>
  <c r="V1561" i="1"/>
  <c r="J1573" i="1"/>
  <c r="R1565" i="1"/>
  <c r="H1618" i="1"/>
  <c r="L1614" i="1"/>
  <c r="P1610" i="1"/>
  <c r="T1606" i="1"/>
  <c r="K1615" i="1"/>
  <c r="O1611" i="1"/>
  <c r="S1607" i="1"/>
  <c r="J1616" i="1"/>
  <c r="I1617" i="1"/>
  <c r="M1613" i="1"/>
  <c r="Q1609" i="1"/>
  <c r="N1612" i="1"/>
  <c r="V1604" i="1"/>
  <c r="U1605" i="1"/>
  <c r="R1608" i="1"/>
  <c r="I1667" i="1"/>
  <c r="M1663" i="1"/>
  <c r="Q1659" i="1"/>
  <c r="U1655" i="1"/>
  <c r="H1668" i="1"/>
  <c r="L1664" i="1"/>
  <c r="P1660" i="1"/>
  <c r="T1656" i="1"/>
  <c r="J1666" i="1"/>
  <c r="N1662" i="1"/>
  <c r="R1658" i="1"/>
  <c r="V1654" i="1"/>
  <c r="K1665" i="1"/>
  <c r="S1657" i="1"/>
  <c r="O1661" i="1"/>
  <c r="K1708" i="1"/>
  <c r="O1704" i="1"/>
  <c r="S1700" i="1"/>
  <c r="J1709" i="1"/>
  <c r="N1705" i="1"/>
  <c r="R1701" i="1"/>
  <c r="V1697" i="1"/>
  <c r="I1710" i="1"/>
  <c r="M1706" i="1"/>
  <c r="Q1702" i="1"/>
  <c r="U1698" i="1"/>
  <c r="H1711" i="1"/>
  <c r="L1707" i="1"/>
  <c r="P1703" i="1"/>
  <c r="T1699" i="1"/>
  <c r="M4" i="1"/>
  <c r="U4" i="1"/>
  <c r="N5" i="1"/>
  <c r="V5" i="1"/>
  <c r="O6" i="1"/>
  <c r="H7" i="1"/>
  <c r="P7" i="1"/>
  <c r="I8" i="1"/>
  <c r="Q8" i="1"/>
  <c r="J9" i="1"/>
  <c r="R9" i="1"/>
  <c r="K10" i="1"/>
  <c r="S10" i="1"/>
  <c r="L11" i="1"/>
  <c r="T11" i="1"/>
  <c r="M12" i="1"/>
  <c r="U12" i="1"/>
  <c r="N13" i="1"/>
  <c r="V13" i="1"/>
  <c r="O14" i="1"/>
  <c r="H15" i="1"/>
  <c r="P15" i="1"/>
  <c r="I16" i="1"/>
  <c r="Q16" i="1"/>
  <c r="J17" i="1"/>
  <c r="R17" i="1"/>
  <c r="K18" i="1"/>
  <c r="S18" i="1"/>
  <c r="L19" i="1"/>
  <c r="T19" i="1"/>
  <c r="M20" i="1"/>
  <c r="U20" i="1"/>
  <c r="N21" i="1"/>
  <c r="V21" i="1"/>
  <c r="O22" i="1"/>
  <c r="H23" i="1"/>
  <c r="P23" i="1"/>
  <c r="I24" i="1"/>
  <c r="Q24" i="1"/>
  <c r="J25" i="1"/>
  <c r="R25" i="1"/>
  <c r="K26" i="1"/>
  <c r="S26" i="1"/>
  <c r="L27" i="1"/>
  <c r="T27" i="1"/>
  <c r="M28" i="1"/>
  <c r="U28" i="1"/>
  <c r="N29" i="1"/>
  <c r="V29" i="1"/>
  <c r="O30" i="1"/>
  <c r="H31" i="1"/>
  <c r="P31" i="1"/>
  <c r="I32" i="1"/>
  <c r="Q32" i="1"/>
  <c r="J33" i="1"/>
  <c r="R33" i="1"/>
  <c r="K34" i="1"/>
  <c r="S34" i="1"/>
  <c r="L35" i="1"/>
  <c r="T35" i="1"/>
  <c r="M36" i="1"/>
  <c r="U36" i="1"/>
  <c r="N37" i="1"/>
  <c r="O38" i="1"/>
  <c r="H39" i="1"/>
  <c r="I40" i="1"/>
  <c r="Q40" i="1"/>
  <c r="V41" i="1"/>
  <c r="I44" i="1"/>
  <c r="K46" i="1"/>
  <c r="M48" i="1"/>
  <c r="O50" i="1"/>
  <c r="J51" i="1"/>
  <c r="Q52" i="1"/>
  <c r="L53" i="1"/>
  <c r="N55" i="1"/>
  <c r="P68" i="1"/>
  <c r="U73" i="1"/>
  <c r="H76" i="1"/>
  <c r="P108" i="1"/>
  <c r="V114" i="1"/>
  <c r="Q157" i="1"/>
  <c r="J195" i="1"/>
  <c r="J229" i="1"/>
  <c r="Q339" i="1"/>
  <c r="V524" i="1"/>
  <c r="I431" i="1"/>
  <c r="M427" i="1"/>
  <c r="Q423" i="1"/>
  <c r="U419" i="1"/>
  <c r="H432" i="1"/>
  <c r="L428" i="1"/>
  <c r="P424" i="1"/>
  <c r="T420" i="1"/>
  <c r="V418" i="1"/>
  <c r="J430" i="1"/>
  <c r="O425" i="1"/>
  <c r="R422" i="1"/>
  <c r="N426" i="1"/>
  <c r="K429" i="1"/>
  <c r="S421" i="1"/>
  <c r="J831" i="1"/>
  <c r="N827" i="1"/>
  <c r="R823" i="1"/>
  <c r="V819" i="1"/>
  <c r="H833" i="1"/>
  <c r="L829" i="1"/>
  <c r="P825" i="1"/>
  <c r="T821" i="1"/>
  <c r="U820" i="1"/>
  <c r="K830" i="1"/>
  <c r="M828" i="1"/>
  <c r="I832" i="1"/>
  <c r="Q824" i="1"/>
  <c r="O826" i="1"/>
  <c r="S822" i="1"/>
  <c r="I1180" i="1"/>
  <c r="M1176" i="1"/>
  <c r="Q1172" i="1"/>
  <c r="U1168" i="1"/>
  <c r="H1181" i="1"/>
  <c r="L1177" i="1"/>
  <c r="P1173" i="1"/>
  <c r="T1169" i="1"/>
  <c r="K1178" i="1"/>
  <c r="O1174" i="1"/>
  <c r="S1170" i="1"/>
  <c r="J1179" i="1"/>
  <c r="N1175" i="1"/>
  <c r="R1171" i="1"/>
  <c r="V1167" i="1"/>
  <c r="H1506" i="1"/>
  <c r="L1502" i="1"/>
  <c r="P1498" i="1"/>
  <c r="T1494" i="1"/>
  <c r="K1503" i="1"/>
  <c r="O1499" i="1"/>
  <c r="S1495" i="1"/>
  <c r="N1500" i="1"/>
  <c r="Q1497" i="1"/>
  <c r="R1496" i="1"/>
  <c r="U1493" i="1"/>
  <c r="I1505" i="1"/>
  <c r="J1504" i="1"/>
  <c r="M1501" i="1"/>
  <c r="V1492" i="1"/>
  <c r="P236" i="1"/>
  <c r="I54" i="1"/>
  <c r="M50" i="1"/>
  <c r="Q46" i="1"/>
  <c r="U42" i="1"/>
  <c r="J392" i="1"/>
  <c r="N388" i="1"/>
  <c r="R384" i="1"/>
  <c r="V380" i="1"/>
  <c r="I393" i="1"/>
  <c r="M389" i="1"/>
  <c r="Q385" i="1"/>
  <c r="U381" i="1"/>
  <c r="L390" i="1"/>
  <c r="O387" i="1"/>
  <c r="T382" i="1"/>
  <c r="H394" i="1"/>
  <c r="K391" i="1"/>
  <c r="S383" i="1"/>
  <c r="P386" i="1"/>
  <c r="H669" i="1"/>
  <c r="L665" i="1"/>
  <c r="P661" i="1"/>
  <c r="T657" i="1"/>
  <c r="K666" i="1"/>
  <c r="O662" i="1"/>
  <c r="S658" i="1"/>
  <c r="J667" i="1"/>
  <c r="N663" i="1"/>
  <c r="R659" i="1"/>
  <c r="V655" i="1"/>
  <c r="I668" i="1"/>
  <c r="M664" i="1"/>
  <c r="Q660" i="1"/>
  <c r="U656" i="1"/>
  <c r="J946" i="1"/>
  <c r="N942" i="1"/>
  <c r="R938" i="1"/>
  <c r="V934" i="1"/>
  <c r="I947" i="1"/>
  <c r="M943" i="1"/>
  <c r="Q939" i="1"/>
  <c r="U935" i="1"/>
  <c r="H948" i="1"/>
  <c r="L944" i="1"/>
  <c r="P940" i="1"/>
  <c r="T936" i="1"/>
  <c r="K945" i="1"/>
  <c r="O941" i="1"/>
  <c r="S937" i="1"/>
  <c r="K1183" i="1"/>
  <c r="O1179" i="1"/>
  <c r="S1175" i="1"/>
  <c r="J1184" i="1"/>
  <c r="N1180" i="1"/>
  <c r="R1176" i="1"/>
  <c r="V1172" i="1"/>
  <c r="L1182" i="1"/>
  <c r="Q1177" i="1"/>
  <c r="H1186" i="1"/>
  <c r="M1181" i="1"/>
  <c r="T1174" i="1"/>
  <c r="P1178" i="1"/>
  <c r="I1185" i="1"/>
  <c r="U1173" i="1"/>
  <c r="K1431" i="1"/>
  <c r="O1427" i="1"/>
  <c r="S1423" i="1"/>
  <c r="H1434" i="1"/>
  <c r="L1430" i="1"/>
  <c r="P1426" i="1"/>
  <c r="U1421" i="1"/>
  <c r="V1420" i="1"/>
  <c r="I1433" i="1"/>
  <c r="Q1425" i="1"/>
  <c r="N1428" i="1"/>
  <c r="M1429" i="1"/>
  <c r="J1432" i="1"/>
  <c r="T1422" i="1"/>
  <c r="R1424" i="1"/>
  <c r="K1645" i="1"/>
  <c r="O1641" i="1"/>
  <c r="S1637" i="1"/>
  <c r="J1646" i="1"/>
  <c r="N1642" i="1"/>
  <c r="R1638" i="1"/>
  <c r="H1648" i="1"/>
  <c r="L1644" i="1"/>
  <c r="P1640" i="1"/>
  <c r="Q1639" i="1"/>
  <c r="T1636" i="1"/>
  <c r="V1634" i="1"/>
  <c r="M1643" i="1"/>
  <c r="U1635" i="1"/>
  <c r="I1647" i="1"/>
  <c r="U8" i="1"/>
  <c r="T23" i="1"/>
  <c r="U24" i="1"/>
  <c r="G48" i="1"/>
  <c r="I46" i="1"/>
  <c r="M42" i="1"/>
  <c r="G80" i="1"/>
  <c r="I78" i="1"/>
  <c r="M74" i="1"/>
  <c r="Q70" i="1"/>
  <c r="U66" i="1"/>
  <c r="H79" i="1"/>
  <c r="K76" i="1"/>
  <c r="O72" i="1"/>
  <c r="S68" i="1"/>
  <c r="G137" i="1"/>
  <c r="I135" i="1"/>
  <c r="M131" i="1"/>
  <c r="Q127" i="1"/>
  <c r="U123" i="1"/>
  <c r="H136" i="1"/>
  <c r="L132" i="1"/>
  <c r="P128" i="1"/>
  <c r="T124" i="1"/>
  <c r="K133" i="1"/>
  <c r="O129" i="1"/>
  <c r="S125" i="1"/>
  <c r="G186" i="1"/>
  <c r="I184" i="1"/>
  <c r="M180" i="1"/>
  <c r="Q176" i="1"/>
  <c r="U172" i="1"/>
  <c r="J183" i="1"/>
  <c r="N179" i="1"/>
  <c r="R175" i="1"/>
  <c r="V171" i="1"/>
  <c r="O178" i="1"/>
  <c r="H185" i="1"/>
  <c r="P177" i="1"/>
  <c r="S174" i="1"/>
  <c r="J233" i="1"/>
  <c r="N229" i="1"/>
  <c r="R225" i="1"/>
  <c r="V221" i="1"/>
  <c r="I234" i="1"/>
  <c r="M230" i="1"/>
  <c r="Q226" i="1"/>
  <c r="U222" i="1"/>
  <c r="K232" i="1"/>
  <c r="O228" i="1"/>
  <c r="S224" i="1"/>
  <c r="P227" i="1"/>
  <c r="L231" i="1"/>
  <c r="T223" i="1"/>
  <c r="J281" i="1"/>
  <c r="N277" i="1"/>
  <c r="R273" i="1"/>
  <c r="V269" i="1"/>
  <c r="I282" i="1"/>
  <c r="M278" i="1"/>
  <c r="Q274" i="1"/>
  <c r="U270" i="1"/>
  <c r="H283" i="1"/>
  <c r="L279" i="1"/>
  <c r="P275" i="1"/>
  <c r="T271" i="1"/>
  <c r="K280" i="1"/>
  <c r="O276" i="1"/>
  <c r="S272" i="1"/>
  <c r="K324" i="1"/>
  <c r="I326" i="1"/>
  <c r="J325" i="1"/>
  <c r="P319" i="1"/>
  <c r="T315" i="1"/>
  <c r="L323" i="1"/>
  <c r="O320" i="1"/>
  <c r="S316" i="1"/>
  <c r="N321" i="1"/>
  <c r="R317" i="1"/>
  <c r="V313" i="1"/>
  <c r="M322" i="1"/>
  <c r="Q318" i="1"/>
  <c r="U314" i="1"/>
  <c r="H327" i="1"/>
  <c r="I366" i="1"/>
  <c r="M362" i="1"/>
  <c r="Q358" i="1"/>
  <c r="U354" i="1"/>
  <c r="H367" i="1"/>
  <c r="L363" i="1"/>
  <c r="P359" i="1"/>
  <c r="T355" i="1"/>
  <c r="K364" i="1"/>
  <c r="O360" i="1"/>
  <c r="S356" i="1"/>
  <c r="R357" i="1"/>
  <c r="N361" i="1"/>
  <c r="J365" i="1"/>
  <c r="V353" i="1"/>
  <c r="H422" i="1"/>
  <c r="L418" i="1"/>
  <c r="P414" i="1"/>
  <c r="T410" i="1"/>
  <c r="K419" i="1"/>
  <c r="O415" i="1"/>
  <c r="S411" i="1"/>
  <c r="J420" i="1"/>
  <c r="M417" i="1"/>
  <c r="R412" i="1"/>
  <c r="U409" i="1"/>
  <c r="I421" i="1"/>
  <c r="Q413" i="1"/>
  <c r="N416" i="1"/>
  <c r="H465" i="1"/>
  <c r="L461" i="1"/>
  <c r="K462" i="1"/>
  <c r="J463" i="1"/>
  <c r="I464" i="1"/>
  <c r="M460" i="1"/>
  <c r="R455" i="1"/>
  <c r="V451" i="1"/>
  <c r="N459" i="1"/>
  <c r="Q456" i="1"/>
  <c r="U452" i="1"/>
  <c r="P457" i="1"/>
  <c r="T453" i="1"/>
  <c r="O458" i="1"/>
  <c r="S454" i="1"/>
  <c r="I506" i="1"/>
  <c r="M502" i="1"/>
  <c r="Q498" i="1"/>
  <c r="U494" i="1"/>
  <c r="H507" i="1"/>
  <c r="L503" i="1"/>
  <c r="P499" i="1"/>
  <c r="T495" i="1"/>
  <c r="K504" i="1"/>
  <c r="O500" i="1"/>
  <c r="S496" i="1"/>
  <c r="J505" i="1"/>
  <c r="N501" i="1"/>
  <c r="R497" i="1"/>
  <c r="V493" i="1"/>
  <c r="I554" i="1"/>
  <c r="M550" i="1"/>
  <c r="Q546" i="1"/>
  <c r="U542" i="1"/>
  <c r="H555" i="1"/>
  <c r="L551" i="1"/>
  <c r="P547" i="1"/>
  <c r="T543" i="1"/>
  <c r="K552" i="1"/>
  <c r="O548" i="1"/>
  <c r="S544" i="1"/>
  <c r="J553" i="1"/>
  <c r="N549" i="1"/>
  <c r="R545" i="1"/>
  <c r="V541" i="1"/>
  <c r="J607" i="1"/>
  <c r="N603" i="1"/>
  <c r="R599" i="1"/>
  <c r="I608" i="1"/>
  <c r="M604" i="1"/>
  <c r="Q600" i="1"/>
  <c r="H609" i="1"/>
  <c r="L605" i="1"/>
  <c r="P601" i="1"/>
  <c r="T597" i="1"/>
  <c r="K606" i="1"/>
  <c r="O602" i="1"/>
  <c r="S598" i="1"/>
  <c r="U596" i="1"/>
  <c r="V595" i="1"/>
  <c r="K648" i="1"/>
  <c r="O644" i="1"/>
  <c r="S640" i="1"/>
  <c r="J649" i="1"/>
  <c r="N645" i="1"/>
  <c r="R641" i="1"/>
  <c r="V637" i="1"/>
  <c r="I650" i="1"/>
  <c r="M646" i="1"/>
  <c r="Q642" i="1"/>
  <c r="U638" i="1"/>
  <c r="H651" i="1"/>
  <c r="L647" i="1"/>
  <c r="P643" i="1"/>
  <c r="T639" i="1"/>
  <c r="I695" i="1"/>
  <c r="M691" i="1"/>
  <c r="Q687" i="1"/>
  <c r="U683" i="1"/>
  <c r="H696" i="1"/>
  <c r="L692" i="1"/>
  <c r="P688" i="1"/>
  <c r="T684" i="1"/>
  <c r="J694" i="1"/>
  <c r="O689" i="1"/>
  <c r="V682" i="1"/>
  <c r="K693" i="1"/>
  <c r="R686" i="1"/>
  <c r="N690" i="1"/>
  <c r="S685" i="1"/>
  <c r="K737" i="1"/>
  <c r="O733" i="1"/>
  <c r="S729" i="1"/>
  <c r="J738" i="1"/>
  <c r="N734" i="1"/>
  <c r="R730" i="1"/>
  <c r="V726" i="1"/>
  <c r="H740" i="1"/>
  <c r="I739" i="1"/>
  <c r="P732" i="1"/>
  <c r="U727" i="1"/>
  <c r="L736" i="1"/>
  <c r="Q731" i="1"/>
  <c r="T728" i="1"/>
  <c r="M735" i="1"/>
  <c r="H781" i="1"/>
  <c r="L777" i="1"/>
  <c r="Q772" i="1"/>
  <c r="U768" i="1"/>
  <c r="J779" i="1"/>
  <c r="M776" i="1"/>
  <c r="P773" i="1"/>
  <c r="T769" i="1"/>
  <c r="K778" i="1"/>
  <c r="O774" i="1"/>
  <c r="S770" i="1"/>
  <c r="N775" i="1"/>
  <c r="V767" i="1"/>
  <c r="R771" i="1"/>
  <c r="I780" i="1"/>
  <c r="J823" i="1"/>
  <c r="N819" i="1"/>
  <c r="R815" i="1"/>
  <c r="V811" i="1"/>
  <c r="H825" i="1"/>
  <c r="L821" i="1"/>
  <c r="P817" i="1"/>
  <c r="Q816" i="1"/>
  <c r="S814" i="1"/>
  <c r="I824" i="1"/>
  <c r="M820" i="1"/>
  <c r="K822" i="1"/>
  <c r="U812" i="1"/>
  <c r="T813" i="1"/>
  <c r="O818" i="1"/>
  <c r="H870" i="1"/>
  <c r="L866" i="1"/>
  <c r="P862" i="1"/>
  <c r="T858" i="1"/>
  <c r="K867" i="1"/>
  <c r="O863" i="1"/>
  <c r="S859" i="1"/>
  <c r="N864" i="1"/>
  <c r="V856" i="1"/>
  <c r="J868" i="1"/>
  <c r="M865" i="1"/>
  <c r="R860" i="1"/>
  <c r="U857" i="1"/>
  <c r="Q861" i="1"/>
  <c r="I869" i="1"/>
  <c r="J899" i="1"/>
  <c r="N895" i="1"/>
  <c r="R891" i="1"/>
  <c r="V887" i="1"/>
  <c r="I900" i="1"/>
  <c r="M896" i="1"/>
  <c r="Q892" i="1"/>
  <c r="U888" i="1"/>
  <c r="O894" i="1"/>
  <c r="T889" i="1"/>
  <c r="K898" i="1"/>
  <c r="P893" i="1"/>
  <c r="H901" i="1"/>
  <c r="L897" i="1"/>
  <c r="S890" i="1"/>
  <c r="K931" i="1"/>
  <c r="O927" i="1"/>
  <c r="S923" i="1"/>
  <c r="J932" i="1"/>
  <c r="N928" i="1"/>
  <c r="R924" i="1"/>
  <c r="V920" i="1"/>
  <c r="I933" i="1"/>
  <c r="M929" i="1"/>
  <c r="Q925" i="1"/>
  <c r="U921" i="1"/>
  <c r="H934" i="1"/>
  <c r="L930" i="1"/>
  <c r="P926" i="1"/>
  <c r="T922" i="1"/>
  <c r="K972" i="1"/>
  <c r="O968" i="1"/>
  <c r="S964" i="1"/>
  <c r="J973" i="1"/>
  <c r="N969" i="1"/>
  <c r="R965" i="1"/>
  <c r="V961" i="1"/>
  <c r="L971" i="1"/>
  <c r="Q966" i="1"/>
  <c r="H975" i="1"/>
  <c r="M970" i="1"/>
  <c r="U962" i="1"/>
  <c r="I974" i="1"/>
  <c r="P967" i="1"/>
  <c r="T963" i="1"/>
  <c r="J1013" i="1"/>
  <c r="N1009" i="1"/>
  <c r="R1005" i="1"/>
  <c r="V1001" i="1"/>
  <c r="H1015" i="1"/>
  <c r="L1011" i="1"/>
  <c r="P1007" i="1"/>
  <c r="K1012" i="1"/>
  <c r="O1008" i="1"/>
  <c r="S1004" i="1"/>
  <c r="M1010" i="1"/>
  <c r="U1002" i="1"/>
  <c r="I1014" i="1"/>
  <c r="Q1006" i="1"/>
  <c r="T1003" i="1"/>
  <c r="H1051" i="1"/>
  <c r="L1047" i="1"/>
  <c r="P1043" i="1"/>
  <c r="T1039" i="1"/>
  <c r="J1049" i="1"/>
  <c r="N1045" i="1"/>
  <c r="R1041" i="1"/>
  <c r="V1037" i="1"/>
  <c r="I1050" i="1"/>
  <c r="M1046" i="1"/>
  <c r="Q1042" i="1"/>
  <c r="U1038" i="1"/>
  <c r="O1044" i="1"/>
  <c r="K1048" i="1"/>
  <c r="S1040" i="1"/>
  <c r="H1091" i="1"/>
  <c r="L1087" i="1"/>
  <c r="P1083" i="1"/>
  <c r="T1079" i="1"/>
  <c r="K1088" i="1"/>
  <c r="J1089" i="1"/>
  <c r="N1085" i="1"/>
  <c r="R1081" i="1"/>
  <c r="V1077" i="1"/>
  <c r="I1090" i="1"/>
  <c r="M1086" i="1"/>
  <c r="Q1082" i="1"/>
  <c r="U1078" i="1"/>
  <c r="O1084" i="1"/>
  <c r="S1080" i="1"/>
  <c r="K1127" i="1"/>
  <c r="O1123" i="1"/>
  <c r="S1119" i="1"/>
  <c r="J1128" i="1"/>
  <c r="N1124" i="1"/>
  <c r="R1120" i="1"/>
  <c r="V1116" i="1"/>
  <c r="L1126" i="1"/>
  <c r="Q1121" i="1"/>
  <c r="H1130" i="1"/>
  <c r="M1125" i="1"/>
  <c r="T1118" i="1"/>
  <c r="P1122" i="1"/>
  <c r="I1129" i="1"/>
  <c r="U1117" i="1"/>
  <c r="H1172" i="1"/>
  <c r="L1168" i="1"/>
  <c r="P1164" i="1"/>
  <c r="T1160" i="1"/>
  <c r="K1169" i="1"/>
  <c r="O1165" i="1"/>
  <c r="M1167" i="1"/>
  <c r="S1161" i="1"/>
  <c r="R1162" i="1"/>
  <c r="I1171" i="1"/>
  <c r="Q1163" i="1"/>
  <c r="N1166" i="1"/>
  <c r="U1159" i="1"/>
  <c r="V1158" i="1"/>
  <c r="J1170" i="1"/>
  <c r="I1212" i="1"/>
  <c r="M1208" i="1"/>
  <c r="Q1204" i="1"/>
  <c r="U1200" i="1"/>
  <c r="H1213" i="1"/>
  <c r="L1209" i="1"/>
  <c r="P1205" i="1"/>
  <c r="T1201" i="1"/>
  <c r="K1210" i="1"/>
  <c r="O1206" i="1"/>
  <c r="S1202" i="1"/>
  <c r="J1211" i="1"/>
  <c r="N1207" i="1"/>
  <c r="R1203" i="1"/>
  <c r="V1199" i="1"/>
  <c r="K1240" i="1"/>
  <c r="O1236" i="1"/>
  <c r="J1241" i="1"/>
  <c r="N1237" i="1"/>
  <c r="U1230" i="1"/>
  <c r="L1239" i="1"/>
  <c r="Q1234" i="1"/>
  <c r="V1229" i="1"/>
  <c r="H1243" i="1"/>
  <c r="P1235" i="1"/>
  <c r="R1233" i="1"/>
  <c r="S1232" i="1"/>
  <c r="T1231" i="1"/>
  <c r="I1242" i="1"/>
  <c r="M1238" i="1"/>
  <c r="K1288" i="1"/>
  <c r="O1284" i="1"/>
  <c r="S1280" i="1"/>
  <c r="J1289" i="1"/>
  <c r="N1285" i="1"/>
  <c r="R1281" i="1"/>
  <c r="V1277" i="1"/>
  <c r="H1291" i="1"/>
  <c r="M1286" i="1"/>
  <c r="T1279" i="1"/>
  <c r="I1290" i="1"/>
  <c r="P1283" i="1"/>
  <c r="L1287" i="1"/>
  <c r="U1278" i="1"/>
  <c r="Q1282" i="1"/>
  <c r="H1339" i="1"/>
  <c r="L1335" i="1"/>
  <c r="P1331" i="1"/>
  <c r="T1327" i="1"/>
  <c r="K1336" i="1"/>
  <c r="O1332" i="1"/>
  <c r="S1328" i="1"/>
  <c r="U1326" i="1"/>
  <c r="J1337" i="1"/>
  <c r="Q1330" i="1"/>
  <c r="V1325" i="1"/>
  <c r="M1334" i="1"/>
  <c r="I1338" i="1"/>
  <c r="N1333" i="1"/>
  <c r="R1329" i="1"/>
  <c r="K1375" i="1"/>
  <c r="O1371" i="1"/>
  <c r="S1367" i="1"/>
  <c r="J1376" i="1"/>
  <c r="N1372" i="1"/>
  <c r="R1368" i="1"/>
  <c r="V1364" i="1"/>
  <c r="I1377" i="1"/>
  <c r="Q1369" i="1"/>
  <c r="H1378" i="1"/>
  <c r="P1370" i="1"/>
  <c r="M1373" i="1"/>
  <c r="U1365" i="1"/>
  <c r="L1374" i="1"/>
  <c r="T1366" i="1"/>
  <c r="K1414" i="1"/>
  <c r="O1410" i="1"/>
  <c r="S1406" i="1"/>
  <c r="H1417" i="1"/>
  <c r="L1413" i="1"/>
  <c r="P1409" i="1"/>
  <c r="T1405" i="1"/>
  <c r="M1412" i="1"/>
  <c r="N1411" i="1"/>
  <c r="R1407" i="1"/>
  <c r="U1404" i="1"/>
  <c r="V1403" i="1"/>
  <c r="I1416" i="1"/>
  <c r="J1415" i="1"/>
  <c r="Q1408" i="1"/>
  <c r="H1455" i="1"/>
  <c r="L1451" i="1"/>
  <c r="N1449" i="1"/>
  <c r="R1445" i="1"/>
  <c r="V1441" i="1"/>
  <c r="I1454" i="1"/>
  <c r="J1453" i="1"/>
  <c r="M1450" i="1"/>
  <c r="Q1446" i="1"/>
  <c r="O1448" i="1"/>
  <c r="S1444" i="1"/>
  <c r="T1443" i="1"/>
  <c r="K1452" i="1"/>
  <c r="U1442" i="1"/>
  <c r="P1447" i="1"/>
  <c r="K1492" i="1"/>
  <c r="O1488" i="1"/>
  <c r="J1493" i="1"/>
  <c r="N1489" i="1"/>
  <c r="H1495" i="1"/>
  <c r="L1491" i="1"/>
  <c r="P1487" i="1"/>
  <c r="T1483" i="1"/>
  <c r="Q1486" i="1"/>
  <c r="M1490" i="1"/>
  <c r="R1485" i="1"/>
  <c r="S1484" i="1"/>
  <c r="U1482" i="1"/>
  <c r="I1494" i="1"/>
  <c r="V1481" i="1"/>
  <c r="K1541" i="1"/>
  <c r="O1537" i="1"/>
  <c r="S1533" i="1"/>
  <c r="H1544" i="1"/>
  <c r="N1538" i="1"/>
  <c r="R1534" i="1"/>
  <c r="V1530" i="1"/>
  <c r="J1542" i="1"/>
  <c r="L1540" i="1"/>
  <c r="P1536" i="1"/>
  <c r="T1532" i="1"/>
  <c r="I1543" i="1"/>
  <c r="Q1535" i="1"/>
  <c r="M1539" i="1"/>
  <c r="U1531" i="1"/>
  <c r="H1583" i="1"/>
  <c r="L1579" i="1"/>
  <c r="P1575" i="1"/>
  <c r="I1582" i="1"/>
  <c r="Q1574" i="1"/>
  <c r="T1571" i="1"/>
  <c r="S1572" i="1"/>
  <c r="M1578" i="1"/>
  <c r="U1570" i="1"/>
  <c r="J1581" i="1"/>
  <c r="O1576" i="1"/>
  <c r="R1573" i="1"/>
  <c r="N1577" i="1"/>
  <c r="K1580" i="1"/>
  <c r="V1569" i="1"/>
  <c r="K1621" i="1"/>
  <c r="O1617" i="1"/>
  <c r="S1613" i="1"/>
  <c r="J1622" i="1"/>
  <c r="N1618" i="1"/>
  <c r="R1614" i="1"/>
  <c r="V1610" i="1"/>
  <c r="I1623" i="1"/>
  <c r="M1619" i="1"/>
  <c r="Q1615" i="1"/>
  <c r="H1624" i="1"/>
  <c r="L1620" i="1"/>
  <c r="P1616" i="1"/>
  <c r="T1612" i="1"/>
  <c r="U1611" i="1"/>
  <c r="J1669" i="1"/>
  <c r="N1665" i="1"/>
  <c r="R1661" i="1"/>
  <c r="V1657" i="1"/>
  <c r="I1670" i="1"/>
  <c r="M1666" i="1"/>
  <c r="Q1662" i="1"/>
  <c r="U1658" i="1"/>
  <c r="H1671" i="1"/>
  <c r="K1668" i="1"/>
  <c r="P1663" i="1"/>
  <c r="S1660" i="1"/>
  <c r="O1664" i="1"/>
  <c r="L1667" i="1"/>
  <c r="T1659" i="1"/>
  <c r="J1716" i="1"/>
  <c r="N1712" i="1"/>
  <c r="R1708" i="1"/>
  <c r="V1704" i="1"/>
  <c r="I1717" i="1"/>
  <c r="M1713" i="1"/>
  <c r="Q1709" i="1"/>
  <c r="U1705" i="1"/>
  <c r="H1718" i="1"/>
  <c r="L1714" i="1"/>
  <c r="P1710" i="1"/>
  <c r="T1706" i="1"/>
  <c r="S1707" i="1"/>
  <c r="K1715" i="1"/>
  <c r="O1711" i="1"/>
  <c r="N4" i="1"/>
  <c r="O5" i="1"/>
  <c r="P6" i="1"/>
  <c r="Q7" i="1"/>
  <c r="L10" i="1"/>
  <c r="T10" i="1"/>
  <c r="M11" i="1"/>
  <c r="U11" i="1"/>
  <c r="V12" i="1"/>
  <c r="P14" i="1"/>
  <c r="I15" i="1"/>
  <c r="Q15" i="1"/>
  <c r="R16" i="1"/>
  <c r="L18" i="1"/>
  <c r="T18" i="1"/>
  <c r="M19" i="1"/>
  <c r="U19" i="1"/>
  <c r="N20" i="1"/>
  <c r="V20" i="1"/>
  <c r="P22" i="1"/>
  <c r="Q23" i="1"/>
  <c r="R24" i="1"/>
  <c r="S25" i="1"/>
  <c r="L26" i="1"/>
  <c r="T26" i="1"/>
  <c r="M27" i="1"/>
  <c r="U27" i="1"/>
  <c r="N28" i="1"/>
  <c r="V28" i="1"/>
  <c r="O29" i="1"/>
  <c r="P30" i="1"/>
  <c r="Q31" i="1"/>
  <c r="R32" i="1"/>
  <c r="L34" i="1"/>
  <c r="M35" i="1"/>
  <c r="N36" i="1"/>
  <c r="J40" i="1"/>
  <c r="H42" i="1"/>
  <c r="S42" i="1"/>
  <c r="U44" i="1"/>
  <c r="H47" i="1"/>
  <c r="L51" i="1"/>
  <c r="R57" i="1"/>
  <c r="I60" i="1"/>
  <c r="L63" i="1"/>
  <c r="R69" i="1"/>
  <c r="J77" i="1"/>
  <c r="N89" i="1"/>
  <c r="K102" i="1"/>
  <c r="M104" i="1"/>
  <c r="S110" i="1"/>
  <c r="U144" i="1"/>
  <c r="T173" i="1"/>
  <c r="Q199" i="1"/>
  <c r="V217" i="1"/>
  <c r="H235" i="1"/>
  <c r="V408" i="1"/>
  <c r="T431" i="1"/>
  <c r="K145" i="1"/>
  <c r="O141" i="1"/>
  <c r="S137" i="1"/>
  <c r="J146" i="1"/>
  <c r="N142" i="1"/>
  <c r="R138" i="1"/>
  <c r="V134" i="1"/>
  <c r="I147" i="1"/>
  <c r="M143" i="1"/>
  <c r="Q139" i="1"/>
  <c r="U135" i="1"/>
  <c r="H296" i="1"/>
  <c r="L292" i="1"/>
  <c r="P288" i="1"/>
  <c r="T284" i="1"/>
  <c r="K293" i="1"/>
  <c r="O289" i="1"/>
  <c r="S285" i="1"/>
  <c r="Q287" i="1"/>
  <c r="V282" i="1"/>
  <c r="M291" i="1"/>
  <c r="R286" i="1"/>
  <c r="I295" i="1"/>
  <c r="N290" i="1"/>
  <c r="I474" i="1"/>
  <c r="M470" i="1"/>
  <c r="Q466" i="1"/>
  <c r="U462" i="1"/>
  <c r="H475" i="1"/>
  <c r="L471" i="1"/>
  <c r="P467" i="1"/>
  <c r="T463" i="1"/>
  <c r="K472" i="1"/>
  <c r="O468" i="1"/>
  <c r="S464" i="1"/>
  <c r="J473" i="1"/>
  <c r="N469" i="1"/>
  <c r="R465" i="1"/>
  <c r="V461" i="1"/>
  <c r="H661" i="1"/>
  <c r="L657" i="1"/>
  <c r="P653" i="1"/>
  <c r="T649" i="1"/>
  <c r="K658" i="1"/>
  <c r="O654" i="1"/>
  <c r="S650" i="1"/>
  <c r="J659" i="1"/>
  <c r="N655" i="1"/>
  <c r="R651" i="1"/>
  <c r="V647" i="1"/>
  <c r="I660" i="1"/>
  <c r="M656" i="1"/>
  <c r="Q652" i="1"/>
  <c r="U648" i="1"/>
  <c r="I790" i="1"/>
  <c r="M786" i="1"/>
  <c r="Q782" i="1"/>
  <c r="U778" i="1"/>
  <c r="P783" i="1"/>
  <c r="J789" i="1"/>
  <c r="T779" i="1"/>
  <c r="H791" i="1"/>
  <c r="O784" i="1"/>
  <c r="R781" i="1"/>
  <c r="K788" i="1"/>
  <c r="S780" i="1"/>
  <c r="L787" i="1"/>
  <c r="N785" i="1"/>
  <c r="V777" i="1"/>
  <c r="I985" i="1"/>
  <c r="M981" i="1"/>
  <c r="Q977" i="1"/>
  <c r="U973" i="1"/>
  <c r="H986" i="1"/>
  <c r="L982" i="1"/>
  <c r="P978" i="1"/>
  <c r="T974" i="1"/>
  <c r="K983" i="1"/>
  <c r="O979" i="1"/>
  <c r="S975" i="1"/>
  <c r="J984" i="1"/>
  <c r="N980" i="1"/>
  <c r="R976" i="1"/>
  <c r="V972" i="1"/>
  <c r="H1139" i="1"/>
  <c r="L1135" i="1"/>
  <c r="P1131" i="1"/>
  <c r="T1127" i="1"/>
  <c r="K1136" i="1"/>
  <c r="O1132" i="1"/>
  <c r="S1128" i="1"/>
  <c r="J1137" i="1"/>
  <c r="N1133" i="1"/>
  <c r="R1129" i="1"/>
  <c r="V1125" i="1"/>
  <c r="I1138" i="1"/>
  <c r="M1134" i="1"/>
  <c r="Q1130" i="1"/>
  <c r="U1126" i="1"/>
  <c r="J1300" i="1"/>
  <c r="N1296" i="1"/>
  <c r="K1299" i="1"/>
  <c r="O1295" i="1"/>
  <c r="Q1293" i="1"/>
  <c r="U1289" i="1"/>
  <c r="P1294" i="1"/>
  <c r="T1290" i="1"/>
  <c r="H1302" i="1"/>
  <c r="S1291" i="1"/>
  <c r="R1292" i="1"/>
  <c r="V1288" i="1"/>
  <c r="M1297" i="1"/>
  <c r="L1298" i="1"/>
  <c r="I1301" i="1"/>
  <c r="H1427" i="1"/>
  <c r="L1423" i="1"/>
  <c r="P1419" i="1"/>
  <c r="T1415" i="1"/>
  <c r="I1426" i="1"/>
  <c r="M1422" i="1"/>
  <c r="Q1418" i="1"/>
  <c r="U1414" i="1"/>
  <c r="K1424" i="1"/>
  <c r="J1425" i="1"/>
  <c r="N1421" i="1"/>
  <c r="O1420" i="1"/>
  <c r="S1416" i="1"/>
  <c r="R1417" i="1"/>
  <c r="V1413" i="1"/>
  <c r="J1637" i="1"/>
  <c r="I1638" i="1"/>
  <c r="K1636" i="1"/>
  <c r="N1633" i="1"/>
  <c r="R1629" i="1"/>
  <c r="V1625" i="1"/>
  <c r="M1634" i="1"/>
  <c r="Q1630" i="1"/>
  <c r="U1626" i="1"/>
  <c r="H1639" i="1"/>
  <c r="T1627" i="1"/>
  <c r="P1631" i="1"/>
  <c r="L1635" i="1"/>
  <c r="S1628" i="1"/>
  <c r="O1632" i="1"/>
  <c r="R85" i="1"/>
  <c r="I201" i="1"/>
  <c r="M197" i="1"/>
  <c r="Q193" i="1"/>
  <c r="U189" i="1"/>
  <c r="H202" i="1"/>
  <c r="L198" i="1"/>
  <c r="P194" i="1"/>
  <c r="T190" i="1"/>
  <c r="K199" i="1"/>
  <c r="S191" i="1"/>
  <c r="J200" i="1"/>
  <c r="R192" i="1"/>
  <c r="O195" i="1"/>
  <c r="I342" i="1"/>
  <c r="M338" i="1"/>
  <c r="H343" i="1"/>
  <c r="L339" i="1"/>
  <c r="K340" i="1"/>
  <c r="O336" i="1"/>
  <c r="S332" i="1"/>
  <c r="P335" i="1"/>
  <c r="Q334" i="1"/>
  <c r="R333" i="1"/>
  <c r="N337" i="1"/>
  <c r="T331" i="1"/>
  <c r="U330" i="1"/>
  <c r="V329" i="1"/>
  <c r="J341" i="1"/>
  <c r="I522" i="1"/>
  <c r="M518" i="1"/>
  <c r="Q514" i="1"/>
  <c r="U510" i="1"/>
  <c r="H523" i="1"/>
  <c r="L519" i="1"/>
  <c r="P515" i="1"/>
  <c r="T511" i="1"/>
  <c r="K520" i="1"/>
  <c r="O516" i="1"/>
  <c r="S512" i="1"/>
  <c r="J521" i="1"/>
  <c r="N517" i="1"/>
  <c r="R513" i="1"/>
  <c r="V509" i="1"/>
  <c r="I756" i="1"/>
  <c r="M752" i="1"/>
  <c r="Q748" i="1"/>
  <c r="U744" i="1"/>
  <c r="H757" i="1"/>
  <c r="L753" i="1"/>
  <c r="P749" i="1"/>
  <c r="T745" i="1"/>
  <c r="K754" i="1"/>
  <c r="O750" i="1"/>
  <c r="S746" i="1"/>
  <c r="N751" i="1"/>
  <c r="J755" i="1"/>
  <c r="R747" i="1"/>
  <c r="V743" i="1"/>
  <c r="I846" i="1"/>
  <c r="M842" i="1"/>
  <c r="Q838" i="1"/>
  <c r="U834" i="1"/>
  <c r="H847" i="1"/>
  <c r="K844" i="1"/>
  <c r="N841" i="1"/>
  <c r="L843" i="1"/>
  <c r="O840" i="1"/>
  <c r="P839" i="1"/>
  <c r="S836" i="1"/>
  <c r="R837" i="1"/>
  <c r="T835" i="1"/>
  <c r="V833" i="1"/>
  <c r="J845" i="1"/>
  <c r="K1023" i="1"/>
  <c r="O1019" i="1"/>
  <c r="S1015" i="1"/>
  <c r="J1024" i="1"/>
  <c r="N1020" i="1"/>
  <c r="R1016" i="1"/>
  <c r="V1012" i="1"/>
  <c r="Q1017" i="1"/>
  <c r="T1014" i="1"/>
  <c r="H1026" i="1"/>
  <c r="M1021" i="1"/>
  <c r="P1018" i="1"/>
  <c r="I1025" i="1"/>
  <c r="L1022" i="1"/>
  <c r="U1013" i="1"/>
  <c r="K1103" i="1"/>
  <c r="O1099" i="1"/>
  <c r="S1095" i="1"/>
  <c r="J1104" i="1"/>
  <c r="N1100" i="1"/>
  <c r="R1096" i="1"/>
  <c r="V1092" i="1"/>
  <c r="P1098" i="1"/>
  <c r="U1093" i="1"/>
  <c r="L1102" i="1"/>
  <c r="Q1097" i="1"/>
  <c r="H1106" i="1"/>
  <c r="T1094" i="1"/>
  <c r="I1105" i="1"/>
  <c r="M1101" i="1"/>
  <c r="K1310" i="1"/>
  <c r="O1306" i="1"/>
  <c r="J1311" i="1"/>
  <c r="U1300" i="1"/>
  <c r="N1307" i="1"/>
  <c r="L1309" i="1"/>
  <c r="Q1304" i="1"/>
  <c r="R1303" i="1"/>
  <c r="S1302" i="1"/>
  <c r="V1299" i="1"/>
  <c r="H1313" i="1"/>
  <c r="P1305" i="1"/>
  <c r="M1308" i="1"/>
  <c r="I1312" i="1"/>
  <c r="T1301" i="1"/>
  <c r="I1392" i="1"/>
  <c r="M1388" i="1"/>
  <c r="Q1384" i="1"/>
  <c r="U1380" i="1"/>
  <c r="H1393" i="1"/>
  <c r="L1389" i="1"/>
  <c r="P1385" i="1"/>
  <c r="T1381" i="1"/>
  <c r="J1391" i="1"/>
  <c r="O1386" i="1"/>
  <c r="N1387" i="1"/>
  <c r="V1379" i="1"/>
  <c r="K1390" i="1"/>
  <c r="S1382" i="1"/>
  <c r="R1383" i="1"/>
  <c r="I1597" i="1"/>
  <c r="M1593" i="1"/>
  <c r="Q1589" i="1"/>
  <c r="U1585" i="1"/>
  <c r="H1598" i="1"/>
  <c r="L1594" i="1"/>
  <c r="P1590" i="1"/>
  <c r="T1586" i="1"/>
  <c r="R1588" i="1"/>
  <c r="S1587" i="1"/>
  <c r="N1592" i="1"/>
  <c r="O1591" i="1"/>
  <c r="K1595" i="1"/>
  <c r="J1596" i="1"/>
  <c r="V1584" i="1"/>
  <c r="I36" i="1"/>
  <c r="U40" i="1"/>
  <c r="R43" i="1"/>
  <c r="G50" i="1"/>
  <c r="J47" i="1"/>
  <c r="N43" i="1"/>
  <c r="G87" i="1"/>
  <c r="H86" i="1"/>
  <c r="L82" i="1"/>
  <c r="P78" i="1"/>
  <c r="K83" i="1"/>
  <c r="O79" i="1"/>
  <c r="S75" i="1"/>
  <c r="J84" i="1"/>
  <c r="N80" i="1"/>
  <c r="R76" i="1"/>
  <c r="V72" i="1"/>
  <c r="G143" i="1"/>
  <c r="H142" i="1"/>
  <c r="L138" i="1"/>
  <c r="P134" i="1"/>
  <c r="T130" i="1"/>
  <c r="K139" i="1"/>
  <c r="O135" i="1"/>
  <c r="S131" i="1"/>
  <c r="J140" i="1"/>
  <c r="N136" i="1"/>
  <c r="R132" i="1"/>
  <c r="V128" i="1"/>
  <c r="G193" i="1"/>
  <c r="H192" i="1"/>
  <c r="L188" i="1"/>
  <c r="K189" i="1"/>
  <c r="O185" i="1"/>
  <c r="S181" i="1"/>
  <c r="P184" i="1"/>
  <c r="N186" i="1"/>
  <c r="Q183" i="1"/>
  <c r="M187" i="1"/>
  <c r="R182" i="1"/>
  <c r="T180" i="1"/>
  <c r="U179" i="1"/>
  <c r="J190" i="1"/>
  <c r="V178" i="1"/>
  <c r="H239" i="1"/>
  <c r="L235" i="1"/>
  <c r="P231" i="1"/>
  <c r="T227" i="1"/>
  <c r="K236" i="1"/>
  <c r="O232" i="1"/>
  <c r="S228" i="1"/>
  <c r="I238" i="1"/>
  <c r="M234" i="1"/>
  <c r="Q230" i="1"/>
  <c r="U226" i="1"/>
  <c r="V225" i="1"/>
  <c r="J237" i="1"/>
  <c r="R229" i="1"/>
  <c r="K290" i="1"/>
  <c r="O286" i="1"/>
  <c r="S282" i="1"/>
  <c r="J291" i="1"/>
  <c r="N287" i="1"/>
  <c r="R283" i="1"/>
  <c r="V279" i="1"/>
  <c r="I292" i="1"/>
  <c r="M288" i="1"/>
  <c r="Q284" i="1"/>
  <c r="U280" i="1"/>
  <c r="H293" i="1"/>
  <c r="L289" i="1"/>
  <c r="P285" i="1"/>
  <c r="T281" i="1"/>
  <c r="K329" i="1"/>
  <c r="O325" i="1"/>
  <c r="J330" i="1"/>
  <c r="N326" i="1"/>
  <c r="H332" i="1"/>
  <c r="I331" i="1"/>
  <c r="R322" i="1"/>
  <c r="V318" i="1"/>
  <c r="L328" i="1"/>
  <c r="M327" i="1"/>
  <c r="U319" i="1"/>
  <c r="P324" i="1"/>
  <c r="Q323" i="1"/>
  <c r="S321" i="1"/>
  <c r="T320" i="1"/>
  <c r="J375" i="1"/>
  <c r="N371" i="1"/>
  <c r="R367" i="1"/>
  <c r="V363" i="1"/>
  <c r="I376" i="1"/>
  <c r="M372" i="1"/>
  <c r="Q368" i="1"/>
  <c r="U364" i="1"/>
  <c r="H377" i="1"/>
  <c r="L373" i="1"/>
  <c r="P369" i="1"/>
  <c r="T365" i="1"/>
  <c r="O370" i="1"/>
  <c r="K374" i="1"/>
  <c r="S366" i="1"/>
  <c r="K425" i="1"/>
  <c r="O421" i="1"/>
  <c r="S417" i="1"/>
  <c r="J426" i="1"/>
  <c r="N422" i="1"/>
  <c r="R418" i="1"/>
  <c r="V414" i="1"/>
  <c r="U415" i="1"/>
  <c r="I427" i="1"/>
  <c r="L424" i="1"/>
  <c r="Q419" i="1"/>
  <c r="T416" i="1"/>
  <c r="M423" i="1"/>
  <c r="H428" i="1"/>
  <c r="J468" i="1"/>
  <c r="N464" i="1"/>
  <c r="R460" i="1"/>
  <c r="I469" i="1"/>
  <c r="M465" i="1"/>
  <c r="Q461" i="1"/>
  <c r="L466" i="1"/>
  <c r="T458" i="1"/>
  <c r="H470" i="1"/>
  <c r="O463" i="1"/>
  <c r="S459" i="1"/>
  <c r="V456" i="1"/>
  <c r="P462" i="1"/>
  <c r="U457" i="1"/>
  <c r="K467" i="1"/>
  <c r="K508" i="1"/>
  <c r="O504" i="1"/>
  <c r="S500" i="1"/>
  <c r="J509" i="1"/>
  <c r="N505" i="1"/>
  <c r="R501" i="1"/>
  <c r="V497" i="1"/>
  <c r="I510" i="1"/>
  <c r="M506" i="1"/>
  <c r="Q502" i="1"/>
  <c r="U498" i="1"/>
  <c r="H511" i="1"/>
  <c r="L507" i="1"/>
  <c r="P503" i="1"/>
  <c r="T499" i="1"/>
  <c r="K556" i="1"/>
  <c r="O552" i="1"/>
  <c r="S548" i="1"/>
  <c r="J557" i="1"/>
  <c r="N553" i="1"/>
  <c r="R549" i="1"/>
  <c r="V545" i="1"/>
  <c r="I558" i="1"/>
  <c r="M554" i="1"/>
  <c r="Q550" i="1"/>
  <c r="U546" i="1"/>
  <c r="H559" i="1"/>
  <c r="L555" i="1"/>
  <c r="P551" i="1"/>
  <c r="T547" i="1"/>
  <c r="I614" i="1"/>
  <c r="M610" i="1"/>
  <c r="Q606" i="1"/>
  <c r="U602" i="1"/>
  <c r="H615" i="1"/>
  <c r="L611" i="1"/>
  <c r="P607" i="1"/>
  <c r="T603" i="1"/>
  <c r="K612" i="1"/>
  <c r="O608" i="1"/>
  <c r="S604" i="1"/>
  <c r="J613" i="1"/>
  <c r="N609" i="1"/>
  <c r="R605" i="1"/>
  <c r="V601" i="1"/>
  <c r="I655" i="1"/>
  <c r="M651" i="1"/>
  <c r="Q647" i="1"/>
  <c r="U643" i="1"/>
  <c r="H656" i="1"/>
  <c r="L652" i="1"/>
  <c r="P648" i="1"/>
  <c r="T644" i="1"/>
  <c r="V642" i="1"/>
  <c r="K653" i="1"/>
  <c r="R646" i="1"/>
  <c r="N650" i="1"/>
  <c r="J654" i="1"/>
  <c r="S645" i="1"/>
  <c r="O649" i="1"/>
  <c r="K697" i="1"/>
  <c r="O693" i="1"/>
  <c r="S689" i="1"/>
  <c r="J698" i="1"/>
  <c r="N694" i="1"/>
  <c r="R690" i="1"/>
  <c r="V686" i="1"/>
  <c r="L696" i="1"/>
  <c r="Q691" i="1"/>
  <c r="H700" i="1"/>
  <c r="M695" i="1"/>
  <c r="T688" i="1"/>
  <c r="P692" i="1"/>
  <c r="U687" i="1"/>
  <c r="I699" i="1"/>
  <c r="I745" i="1"/>
  <c r="M741" i="1"/>
  <c r="H746" i="1"/>
  <c r="N740" i="1"/>
  <c r="R736" i="1"/>
  <c r="V732" i="1"/>
  <c r="O739" i="1"/>
  <c r="Q737" i="1"/>
  <c r="U733" i="1"/>
  <c r="J744" i="1"/>
  <c r="K743" i="1"/>
  <c r="L742" i="1"/>
  <c r="P738" i="1"/>
  <c r="S735" i="1"/>
  <c r="T734" i="1"/>
  <c r="K784" i="1"/>
  <c r="O780" i="1"/>
  <c r="S776" i="1"/>
  <c r="N781" i="1"/>
  <c r="T775" i="1"/>
  <c r="H787" i="1"/>
  <c r="R777" i="1"/>
  <c r="V773" i="1"/>
  <c r="M782" i="1"/>
  <c r="P779" i="1"/>
  <c r="I786" i="1"/>
  <c r="Q778" i="1"/>
  <c r="U774" i="1"/>
  <c r="J785" i="1"/>
  <c r="L783" i="1"/>
  <c r="K827" i="1"/>
  <c r="O823" i="1"/>
  <c r="S819" i="1"/>
  <c r="P822" i="1"/>
  <c r="Q821" i="1"/>
  <c r="R820" i="1"/>
  <c r="U817" i="1"/>
  <c r="V816" i="1"/>
  <c r="L826" i="1"/>
  <c r="I829" i="1"/>
  <c r="N824" i="1"/>
  <c r="J828" i="1"/>
  <c r="T818" i="1"/>
  <c r="M825" i="1"/>
  <c r="H830" i="1"/>
  <c r="I872" i="1"/>
  <c r="M868" i="1"/>
  <c r="Q864" i="1"/>
  <c r="U860" i="1"/>
  <c r="H873" i="1"/>
  <c r="L869" i="1"/>
  <c r="P865" i="1"/>
  <c r="T861" i="1"/>
  <c r="J871" i="1"/>
  <c r="N867" i="1"/>
  <c r="R863" i="1"/>
  <c r="V859" i="1"/>
  <c r="K870" i="1"/>
  <c r="S862" i="1"/>
  <c r="O866" i="1"/>
  <c r="H905" i="1"/>
  <c r="L901" i="1"/>
  <c r="P897" i="1"/>
  <c r="T893" i="1"/>
  <c r="K902" i="1"/>
  <c r="O898" i="1"/>
  <c r="S894" i="1"/>
  <c r="Q896" i="1"/>
  <c r="V891" i="1"/>
  <c r="M900" i="1"/>
  <c r="R895" i="1"/>
  <c r="J903" i="1"/>
  <c r="N899" i="1"/>
  <c r="I904" i="1"/>
  <c r="U892" i="1"/>
  <c r="J938" i="1"/>
  <c r="N934" i="1"/>
  <c r="R930" i="1"/>
  <c r="V926" i="1"/>
  <c r="I939" i="1"/>
  <c r="M935" i="1"/>
  <c r="Q931" i="1"/>
  <c r="U927" i="1"/>
  <c r="H940" i="1"/>
  <c r="L936" i="1"/>
  <c r="P932" i="1"/>
  <c r="T928" i="1"/>
  <c r="K937" i="1"/>
  <c r="O933" i="1"/>
  <c r="S929" i="1"/>
  <c r="J978" i="1"/>
  <c r="N974" i="1"/>
  <c r="R970" i="1"/>
  <c r="V966" i="1"/>
  <c r="I979" i="1"/>
  <c r="M975" i="1"/>
  <c r="Q971" i="1"/>
  <c r="U967" i="1"/>
  <c r="H980" i="1"/>
  <c r="L976" i="1"/>
  <c r="P972" i="1"/>
  <c r="T968" i="1"/>
  <c r="K977" i="1"/>
  <c r="O973" i="1"/>
  <c r="S969" i="1"/>
  <c r="H1019" i="1"/>
  <c r="L1015" i="1"/>
  <c r="P1011" i="1"/>
  <c r="T1007" i="1"/>
  <c r="J1017" i="1"/>
  <c r="N1013" i="1"/>
  <c r="R1009" i="1"/>
  <c r="I1018" i="1"/>
  <c r="M1014" i="1"/>
  <c r="Q1010" i="1"/>
  <c r="U1006" i="1"/>
  <c r="K1016" i="1"/>
  <c r="S1008" i="1"/>
  <c r="O1012" i="1"/>
  <c r="V1005" i="1"/>
  <c r="J1053" i="1"/>
  <c r="N1049" i="1"/>
  <c r="R1045" i="1"/>
  <c r="V1041" i="1"/>
  <c r="H1055" i="1"/>
  <c r="L1051" i="1"/>
  <c r="P1047" i="1"/>
  <c r="T1043" i="1"/>
  <c r="K1052" i="1"/>
  <c r="O1048" i="1"/>
  <c r="S1044" i="1"/>
  <c r="M1050" i="1"/>
  <c r="U1042" i="1"/>
  <c r="I1054" i="1"/>
  <c r="Q1046" i="1"/>
  <c r="K1094" i="1"/>
  <c r="O1090" i="1"/>
  <c r="S1086" i="1"/>
  <c r="J1095" i="1"/>
  <c r="N1091" i="1"/>
  <c r="R1087" i="1"/>
  <c r="I1096" i="1"/>
  <c r="M1092" i="1"/>
  <c r="Q1088" i="1"/>
  <c r="U1084" i="1"/>
  <c r="H1097" i="1"/>
  <c r="L1093" i="1"/>
  <c r="P1089" i="1"/>
  <c r="T1085" i="1"/>
  <c r="V1083" i="1"/>
  <c r="J1133" i="1"/>
  <c r="N1129" i="1"/>
  <c r="R1125" i="1"/>
  <c r="V1121" i="1"/>
  <c r="I1134" i="1"/>
  <c r="M1130" i="1"/>
  <c r="Q1126" i="1"/>
  <c r="U1122" i="1"/>
  <c r="H1135" i="1"/>
  <c r="L1131" i="1"/>
  <c r="P1127" i="1"/>
  <c r="T1123" i="1"/>
  <c r="K1132" i="1"/>
  <c r="O1128" i="1"/>
  <c r="S1124" i="1"/>
  <c r="J1173" i="1"/>
  <c r="N1169" i="1"/>
  <c r="R1165" i="1"/>
  <c r="V1161" i="1"/>
  <c r="I1174" i="1"/>
  <c r="M1170" i="1"/>
  <c r="Q1166" i="1"/>
  <c r="H1175" i="1"/>
  <c r="L1171" i="1"/>
  <c r="P1167" i="1"/>
  <c r="T1163" i="1"/>
  <c r="K1172" i="1"/>
  <c r="O1168" i="1"/>
  <c r="S1164" i="1"/>
  <c r="U1162" i="1"/>
  <c r="J1214" i="1"/>
  <c r="N1210" i="1"/>
  <c r="R1206" i="1"/>
  <c r="V1202" i="1"/>
  <c r="I1215" i="1"/>
  <c r="M1211" i="1"/>
  <c r="Q1207" i="1"/>
  <c r="U1203" i="1"/>
  <c r="S1205" i="1"/>
  <c r="H1216" i="1"/>
  <c r="O1209" i="1"/>
  <c r="T1204" i="1"/>
  <c r="K1213" i="1"/>
  <c r="L1212" i="1"/>
  <c r="P1208" i="1"/>
  <c r="K1248" i="1"/>
  <c r="O1244" i="1"/>
  <c r="S1240" i="1"/>
  <c r="J1249" i="1"/>
  <c r="N1245" i="1"/>
  <c r="R1241" i="1"/>
  <c r="V1237" i="1"/>
  <c r="T1239" i="1"/>
  <c r="I1250" i="1"/>
  <c r="P1243" i="1"/>
  <c r="U1238" i="1"/>
  <c r="L1247" i="1"/>
  <c r="H1251" i="1"/>
  <c r="M1246" i="1"/>
  <c r="Q1242" i="1"/>
  <c r="H1296" i="1"/>
  <c r="J1294" i="1"/>
  <c r="N1290" i="1"/>
  <c r="R1286" i="1"/>
  <c r="V1282" i="1"/>
  <c r="I1295" i="1"/>
  <c r="M1291" i="1"/>
  <c r="Q1287" i="1"/>
  <c r="U1283" i="1"/>
  <c r="L1292" i="1"/>
  <c r="P1288" i="1"/>
  <c r="T1284" i="1"/>
  <c r="K1293" i="1"/>
  <c r="O1289" i="1"/>
  <c r="S1285" i="1"/>
  <c r="K1341" i="1"/>
  <c r="O1337" i="1"/>
  <c r="S1333" i="1"/>
  <c r="J1342" i="1"/>
  <c r="N1338" i="1"/>
  <c r="R1334" i="1"/>
  <c r="V1330" i="1"/>
  <c r="I1343" i="1"/>
  <c r="M1339" i="1"/>
  <c r="Q1335" i="1"/>
  <c r="U1331" i="1"/>
  <c r="H1344" i="1"/>
  <c r="L1340" i="1"/>
  <c r="P1336" i="1"/>
  <c r="T1332" i="1"/>
  <c r="H1383" i="1"/>
  <c r="L1379" i="1"/>
  <c r="P1375" i="1"/>
  <c r="T1371" i="1"/>
  <c r="K1380" i="1"/>
  <c r="O1376" i="1"/>
  <c r="S1372" i="1"/>
  <c r="J1381" i="1"/>
  <c r="R1373" i="1"/>
  <c r="I1382" i="1"/>
  <c r="Q1374" i="1"/>
  <c r="N1377" i="1"/>
  <c r="V1369" i="1"/>
  <c r="U1370" i="1"/>
  <c r="M1378" i="1"/>
  <c r="I1420" i="1"/>
  <c r="M1416" i="1"/>
  <c r="Q1412" i="1"/>
  <c r="U1408" i="1"/>
  <c r="J1419" i="1"/>
  <c r="N1415" i="1"/>
  <c r="R1411" i="1"/>
  <c r="V1407" i="1"/>
  <c r="S1410" i="1"/>
  <c r="T1409" i="1"/>
  <c r="O1414" i="1"/>
  <c r="P1413" i="1"/>
  <c r="H1421" i="1"/>
  <c r="L1417" i="1"/>
  <c r="K1418" i="1"/>
  <c r="H1458" i="1"/>
  <c r="L1454" i="1"/>
  <c r="K1455" i="1"/>
  <c r="O1451" i="1"/>
  <c r="M1453" i="1"/>
  <c r="N1452" i="1"/>
  <c r="S1447" i="1"/>
  <c r="J1456" i="1"/>
  <c r="P1450" i="1"/>
  <c r="T1446" i="1"/>
  <c r="R1448" i="1"/>
  <c r="U1445" i="1"/>
  <c r="Q1449" i="1"/>
  <c r="I1457" i="1"/>
  <c r="V1444" i="1"/>
  <c r="J1500" i="1"/>
  <c r="N1496" i="1"/>
  <c r="R1492" i="1"/>
  <c r="V1488" i="1"/>
  <c r="I1501" i="1"/>
  <c r="M1497" i="1"/>
  <c r="Q1493" i="1"/>
  <c r="U1489" i="1"/>
  <c r="H1502" i="1"/>
  <c r="K1499" i="1"/>
  <c r="P1494" i="1"/>
  <c r="S1491" i="1"/>
  <c r="T1490" i="1"/>
  <c r="O1495" i="1"/>
  <c r="L1498" i="1"/>
  <c r="Q1539" i="1"/>
  <c r="U1535" i="1"/>
  <c r="I1547" i="1"/>
  <c r="P1540" i="1"/>
  <c r="T1536" i="1"/>
  <c r="K1545" i="1"/>
  <c r="M1543" i="1"/>
  <c r="H1548" i="1"/>
  <c r="J1546" i="1"/>
  <c r="R1538" i="1"/>
  <c r="V1534" i="1"/>
  <c r="L1544" i="1"/>
  <c r="N1542" i="1"/>
  <c r="O1541" i="1"/>
  <c r="S1537" i="1"/>
  <c r="K1586" i="1"/>
  <c r="O1582" i="1"/>
  <c r="S1578" i="1"/>
  <c r="I1588" i="1"/>
  <c r="J1587" i="1"/>
  <c r="T1577" i="1"/>
  <c r="L1585" i="1"/>
  <c r="M1584" i="1"/>
  <c r="N1583" i="1"/>
  <c r="Q1580" i="1"/>
  <c r="R1579" i="1"/>
  <c r="H1589" i="1"/>
  <c r="P1581" i="1"/>
  <c r="U1576" i="1"/>
  <c r="V1575" i="1"/>
  <c r="K1629" i="1"/>
  <c r="O1625" i="1"/>
  <c r="S1621" i="1"/>
  <c r="J1630" i="1"/>
  <c r="N1626" i="1"/>
  <c r="R1622" i="1"/>
  <c r="V1618" i="1"/>
  <c r="I1631" i="1"/>
  <c r="M1627" i="1"/>
  <c r="Q1623" i="1"/>
  <c r="U1619" i="1"/>
  <c r="H1632" i="1"/>
  <c r="L1628" i="1"/>
  <c r="P1624" i="1"/>
  <c r="T1620" i="1"/>
  <c r="H1675" i="1"/>
  <c r="L1671" i="1"/>
  <c r="P1667" i="1"/>
  <c r="T1663" i="1"/>
  <c r="K1672" i="1"/>
  <c r="O1668" i="1"/>
  <c r="S1664" i="1"/>
  <c r="N1669" i="1"/>
  <c r="Q1666" i="1"/>
  <c r="V1661" i="1"/>
  <c r="J1673" i="1"/>
  <c r="M1670" i="1"/>
  <c r="R1665" i="1"/>
  <c r="U1662" i="1"/>
  <c r="I1674" i="1"/>
  <c r="I1722" i="1"/>
  <c r="M1718" i="1"/>
  <c r="Q1714" i="1"/>
  <c r="U1710" i="1"/>
  <c r="H1723" i="1"/>
  <c r="L1719" i="1"/>
  <c r="P1715" i="1"/>
  <c r="T1711" i="1"/>
  <c r="K1720" i="1"/>
  <c r="O1716" i="1"/>
  <c r="S1712" i="1"/>
  <c r="J1721" i="1"/>
  <c r="N1717" i="1"/>
  <c r="R1713" i="1"/>
  <c r="V1709" i="1"/>
  <c r="O4" i="1"/>
  <c r="H5" i="1"/>
  <c r="P5" i="1"/>
  <c r="I6" i="1"/>
  <c r="Q6" i="1"/>
  <c r="J7" i="1"/>
  <c r="R7" i="1"/>
  <c r="K8" i="1"/>
  <c r="S8" i="1"/>
  <c r="L9" i="1"/>
  <c r="T9" i="1"/>
  <c r="M10" i="1"/>
  <c r="U10" i="1"/>
  <c r="N11" i="1"/>
  <c r="V11" i="1"/>
  <c r="O12" i="1"/>
  <c r="H13" i="1"/>
  <c r="P13" i="1"/>
  <c r="I14" i="1"/>
  <c r="Q14" i="1"/>
  <c r="R15" i="1"/>
  <c r="S16" i="1"/>
  <c r="L17" i="1"/>
  <c r="T17" i="1"/>
  <c r="M18" i="1"/>
  <c r="U18" i="1"/>
  <c r="N19" i="1"/>
  <c r="V19" i="1"/>
  <c r="O20" i="1"/>
  <c r="H21" i="1"/>
  <c r="P21" i="1"/>
  <c r="I22" i="1"/>
  <c r="Q22" i="1"/>
  <c r="J23" i="1"/>
  <c r="R23" i="1"/>
  <c r="S24" i="1"/>
  <c r="L25" i="1"/>
  <c r="T25" i="1"/>
  <c r="M26" i="1"/>
  <c r="U26" i="1"/>
  <c r="N27" i="1"/>
  <c r="V27" i="1"/>
  <c r="O28" i="1"/>
  <c r="H29" i="1"/>
  <c r="P29" i="1"/>
  <c r="I30" i="1"/>
  <c r="Q30" i="1"/>
  <c r="J31" i="1"/>
  <c r="R31" i="1"/>
  <c r="K32" i="1"/>
  <c r="S32" i="1"/>
  <c r="L33" i="1"/>
  <c r="T33" i="1"/>
  <c r="M34" i="1"/>
  <c r="U34" i="1"/>
  <c r="N35" i="1"/>
  <c r="V35" i="1"/>
  <c r="O36" i="1"/>
  <c r="H37" i="1"/>
  <c r="P37" i="1"/>
  <c r="I38" i="1"/>
  <c r="Q38" i="1"/>
  <c r="J39" i="1"/>
  <c r="R39" i="1"/>
  <c r="K40" i="1"/>
  <c r="N41" i="1"/>
  <c r="K44" i="1"/>
  <c r="R45" i="1"/>
  <c r="O48" i="1"/>
  <c r="I52" i="1"/>
  <c r="K54" i="1"/>
  <c r="U54" i="1"/>
  <c r="M56" i="1"/>
  <c r="H57" i="1"/>
  <c r="N61" i="1"/>
  <c r="T67" i="1"/>
  <c r="L75" i="1"/>
  <c r="M81" i="1"/>
  <c r="T104" i="1"/>
  <c r="J126" i="1"/>
  <c r="N130" i="1"/>
  <c r="T136" i="1"/>
  <c r="I141" i="1"/>
  <c r="U153" i="1"/>
  <c r="T168" i="1"/>
  <c r="Q171" i="1"/>
  <c r="N174" i="1"/>
  <c r="R187" i="1"/>
  <c r="V241" i="1"/>
  <c r="U257" i="1"/>
  <c r="G1176" i="1"/>
  <c r="G1177" i="1" s="1"/>
  <c r="G106" i="1"/>
  <c r="G158" i="1"/>
  <c r="G1318" i="1"/>
  <c r="G1319" i="1" s="1"/>
  <c r="G1672" i="1"/>
  <c r="G417" i="1"/>
  <c r="G971" i="1"/>
  <c r="G1159" i="1"/>
  <c r="G1438" i="1"/>
  <c r="G228" i="1"/>
  <c r="G264" i="1"/>
  <c r="G312" i="1"/>
  <c r="G313" i="1" s="1"/>
  <c r="G355" i="1"/>
  <c r="G401" i="1"/>
  <c r="G444" i="1"/>
  <c r="G490" i="1"/>
  <c r="G529" i="1"/>
  <c r="G576" i="1"/>
  <c r="G627" i="1"/>
  <c r="G675" i="1"/>
  <c r="G718" i="1"/>
  <c r="G763" i="1"/>
  <c r="G808" i="1"/>
  <c r="G854" i="1"/>
  <c r="G887" i="1"/>
  <c r="G918" i="1"/>
  <c r="G954" i="1"/>
  <c r="G996" i="1"/>
  <c r="G1032" i="1"/>
  <c r="G1072" i="1"/>
  <c r="G1107" i="1"/>
  <c r="G1144" i="1"/>
  <c r="G1182" i="1"/>
  <c r="G1220" i="1"/>
  <c r="G1263" i="1"/>
  <c r="G1303" i="1"/>
  <c r="G1345" i="1"/>
  <c r="G1384" i="1"/>
  <c r="G1422" i="1"/>
  <c r="G1459" i="1"/>
  <c r="G1503" i="1"/>
  <c r="G1549" i="1"/>
  <c r="G1590" i="1"/>
  <c r="G1633" i="1"/>
  <c r="G328" i="1"/>
  <c r="G329" i="1" s="1"/>
  <c r="G549" i="1"/>
  <c r="G776" i="1"/>
  <c r="G932" i="1"/>
  <c r="G1278" i="1"/>
  <c r="G1517" i="1"/>
  <c r="G232" i="1"/>
  <c r="G271" i="1"/>
  <c r="G318" i="1"/>
  <c r="G360" i="1"/>
  <c r="G406" i="1"/>
  <c r="G449" i="1"/>
  <c r="G539" i="1"/>
  <c r="G591" i="1"/>
  <c r="G630" i="1"/>
  <c r="G679" i="1"/>
  <c r="G723" i="1"/>
  <c r="G768" i="1"/>
  <c r="G814" i="1"/>
  <c r="G857" i="1"/>
  <c r="G891" i="1"/>
  <c r="G925" i="1"/>
  <c r="G959" i="1"/>
  <c r="G1001" i="1"/>
  <c r="G1038" i="1"/>
  <c r="G1078" i="1"/>
  <c r="G1111" i="1"/>
  <c r="G1151" i="1"/>
  <c r="G1187" i="1"/>
  <c r="G1225" i="1"/>
  <c r="G1267" i="1"/>
  <c r="G1314" i="1"/>
  <c r="G1350" i="1"/>
  <c r="G1389" i="1"/>
  <c r="G1428" i="1"/>
  <c r="G1464" i="1"/>
  <c r="G1507" i="1"/>
  <c r="G1553" i="1"/>
  <c r="G1594" i="1"/>
  <c r="G1640" i="1"/>
  <c r="G505" i="1"/>
  <c r="G822" i="1"/>
  <c r="G1358" i="1"/>
  <c r="G413" i="1"/>
  <c r="G597" i="1"/>
  <c r="G772" i="1"/>
  <c r="G929" i="1"/>
  <c r="G1082" i="1"/>
  <c r="G1228" i="1"/>
  <c r="G1394" i="1"/>
  <c r="G1558" i="1"/>
  <c r="G604" i="1"/>
  <c r="G899" i="1"/>
  <c r="G1120" i="1"/>
  <c r="G1398" i="1"/>
  <c r="G240" i="1"/>
  <c r="G294" i="1"/>
  <c r="G333" i="1"/>
  <c r="G368" i="1"/>
  <c r="G423" i="1"/>
  <c r="G466" i="1"/>
  <c r="G508" i="1"/>
  <c r="G556" i="1"/>
  <c r="G610" i="1"/>
  <c r="G652" i="1"/>
  <c r="G697" i="1"/>
  <c r="G741" i="1"/>
  <c r="G782" i="1"/>
  <c r="G826" i="1"/>
  <c r="G871" i="1"/>
  <c r="G902" i="1"/>
  <c r="G935" i="1"/>
  <c r="G976" i="1"/>
  <c r="G1016" i="1"/>
  <c r="G1052" i="1"/>
  <c r="G1125" i="1"/>
  <c r="G1166" i="1"/>
  <c r="G1199" i="1"/>
  <c r="G1237" i="1"/>
  <c r="G1285" i="1"/>
  <c r="G1323" i="1"/>
  <c r="G1361" i="1"/>
  <c r="G1404" i="1"/>
  <c r="G1442" i="1"/>
  <c r="G1476" i="1"/>
  <c r="G1529" i="1"/>
  <c r="G1568" i="1"/>
  <c r="G1609" i="1"/>
  <c r="G278" i="1"/>
  <c r="G454" i="1"/>
  <c r="G640" i="1"/>
  <c r="G818" i="1"/>
  <c r="G966" i="1"/>
  <c r="G1116" i="1"/>
  <c r="G1273" i="1"/>
  <c r="G1435" i="1"/>
  <c r="G1599" i="1"/>
  <c r="G284" i="1"/>
  <c r="G1048" i="1"/>
  <c r="G1233" i="1"/>
  <c r="G1564" i="1"/>
  <c r="G203" i="1"/>
  <c r="G245" i="1"/>
  <c r="G297" i="1"/>
  <c r="G339" i="1"/>
  <c r="G378" i="1"/>
  <c r="G429" i="1"/>
  <c r="G471" i="1"/>
  <c r="G512" i="1"/>
  <c r="G560" i="1"/>
  <c r="G616" i="1"/>
  <c r="G657" i="1"/>
  <c r="G701" i="1"/>
  <c r="G747" i="1"/>
  <c r="G788" i="1"/>
  <c r="G831" i="1"/>
  <c r="G874" i="1"/>
  <c r="G906" i="1"/>
  <c r="G941" i="1"/>
  <c r="G981" i="1"/>
  <c r="G1020" i="1"/>
  <c r="G1056" i="1"/>
  <c r="G1092" i="1"/>
  <c r="G1131" i="1"/>
  <c r="G1173" i="1"/>
  <c r="G1205" i="1"/>
  <c r="G1241" i="1"/>
  <c r="G1289" i="1"/>
  <c r="G1329" i="1"/>
  <c r="G1368" i="1"/>
  <c r="G1411" i="1"/>
  <c r="G1449" i="1"/>
  <c r="G1479" i="1"/>
  <c r="G1534" i="1"/>
  <c r="G1572" i="1"/>
  <c r="G1612" i="1"/>
  <c r="G365" i="1"/>
  <c r="G729" i="1"/>
  <c r="G895" i="1"/>
  <c r="G1042" i="1"/>
  <c r="G1191" i="1"/>
  <c r="G1355" i="1"/>
  <c r="G1512" i="1"/>
  <c r="G460" i="1"/>
  <c r="G866" i="1"/>
  <c r="G1603" i="1"/>
  <c r="G209" i="1"/>
  <c r="G252" i="1"/>
  <c r="G301" i="1"/>
  <c r="G344" i="1"/>
  <c r="G389" i="1"/>
  <c r="G433" i="1"/>
  <c r="G476" i="1"/>
  <c r="G520" i="1"/>
  <c r="G565" i="1"/>
  <c r="G619" i="1"/>
  <c r="G662" i="1"/>
  <c r="G705" i="1"/>
  <c r="G752" i="1"/>
  <c r="G792" i="1"/>
  <c r="G834" i="1"/>
  <c r="G881" i="1"/>
  <c r="G909" i="1"/>
  <c r="G945" i="1"/>
  <c r="G987" i="1"/>
  <c r="G1024" i="1"/>
  <c r="G1063" i="1"/>
  <c r="G1098" i="1"/>
  <c r="G1136" i="1"/>
  <c r="G1214" i="1"/>
  <c r="G1244" i="1"/>
  <c r="G1292" i="1"/>
  <c r="G1332" i="1"/>
  <c r="G1372" i="1"/>
  <c r="G1415" i="1"/>
  <c r="G1453" i="1"/>
  <c r="G1484" i="1"/>
  <c r="G1540" i="1"/>
  <c r="G1576" i="1"/>
  <c r="G1619" i="1"/>
  <c r="G325" i="1"/>
  <c r="G500" i="1"/>
  <c r="G685" i="1"/>
  <c r="G863" i="1"/>
  <c r="G1007" i="1"/>
  <c r="G1154" i="1"/>
  <c r="G1469" i="1"/>
  <c r="G1649" i="1"/>
  <c r="G690" i="1"/>
  <c r="G1011" i="1"/>
  <c r="G1196" i="1"/>
  <c r="G1472" i="1"/>
  <c r="G220" i="1"/>
  <c r="G256" i="1"/>
  <c r="G308" i="1"/>
  <c r="G349" i="1"/>
  <c r="G395" i="1"/>
  <c r="G437" i="1"/>
  <c r="G484" i="1"/>
  <c r="G524" i="1"/>
  <c r="G569" i="1"/>
  <c r="G623" i="1"/>
  <c r="G670" i="1"/>
  <c r="G710" i="1"/>
  <c r="G758" i="1"/>
  <c r="G802" i="1"/>
  <c r="G848" i="1"/>
  <c r="G884" i="1"/>
  <c r="G915" i="1"/>
  <c r="G949" i="1"/>
  <c r="G992" i="1"/>
  <c r="G1027" i="1"/>
  <c r="G1066" i="1"/>
  <c r="G1103" i="1"/>
  <c r="G1140" i="1"/>
  <c r="G1217" i="1"/>
  <c r="G1252" i="1"/>
  <c r="G1297" i="1"/>
  <c r="G1340" i="1"/>
  <c r="G1379" i="1"/>
  <c r="G1418" i="1"/>
  <c r="G1456" i="1"/>
  <c r="G1496" i="1"/>
  <c r="G1545" i="1"/>
  <c r="G1584" i="1"/>
  <c r="G1625" i="1"/>
  <c r="G236" i="1"/>
  <c r="G1719" i="1"/>
  <c r="G110" i="1"/>
  <c r="G149" i="1"/>
  <c r="G1676" i="1"/>
  <c r="G1724" i="1"/>
  <c r="G1655" i="1"/>
  <c r="G1681" i="1"/>
  <c r="G1689" i="1"/>
  <c r="G1660" i="1"/>
  <c r="G1693" i="1"/>
  <c r="G1666" i="1"/>
  <c r="G1701" i="1"/>
  <c r="G96" i="1"/>
  <c r="G1669" i="1"/>
  <c r="G1708" i="1"/>
  <c r="G1712" i="1"/>
  <c r="G496" i="1"/>
  <c r="G56" i="1"/>
  <c r="G542" i="1"/>
  <c r="G644" i="1"/>
  <c r="G734" i="1"/>
  <c r="G18" i="1"/>
  <c r="G20" i="1"/>
  <c r="G28" i="1"/>
  <c r="G44" i="1"/>
  <c r="H3" i="1"/>
  <c r="K3" i="1"/>
  <c r="P3" i="1"/>
  <c r="L3" i="1"/>
  <c r="N3" i="1"/>
  <c r="R3" i="1"/>
  <c r="Q3" i="1"/>
  <c r="J3" i="1"/>
  <c r="T3" i="1"/>
  <c r="U3" i="1"/>
  <c r="V3" i="1"/>
  <c r="I312" i="1" l="1"/>
  <c r="M308" i="1"/>
  <c r="Q304" i="1"/>
  <c r="U300" i="1"/>
  <c r="H313" i="1"/>
  <c r="L309" i="1"/>
  <c r="P305" i="1"/>
  <c r="T301" i="1"/>
  <c r="K310" i="1"/>
  <c r="O306" i="1"/>
  <c r="S302" i="1"/>
  <c r="J311" i="1"/>
  <c r="N307" i="1"/>
  <c r="R303" i="1"/>
  <c r="V299" i="1"/>
  <c r="H1666" i="1"/>
  <c r="L1662" i="1"/>
  <c r="P1658" i="1"/>
  <c r="T1654" i="1"/>
  <c r="K1663" i="1"/>
  <c r="O1659" i="1"/>
  <c r="S1655" i="1"/>
  <c r="I1665" i="1"/>
  <c r="M1661" i="1"/>
  <c r="Q1657" i="1"/>
  <c r="U1653" i="1"/>
  <c r="R1656" i="1"/>
  <c r="N1660" i="1"/>
  <c r="J1664" i="1"/>
  <c r="V1652" i="1"/>
  <c r="H1196" i="1"/>
  <c r="L1192" i="1"/>
  <c r="P1188" i="1"/>
  <c r="T1184" i="1"/>
  <c r="K1193" i="1"/>
  <c r="O1189" i="1"/>
  <c r="S1185" i="1"/>
  <c r="I1195" i="1"/>
  <c r="N1190" i="1"/>
  <c r="U1183" i="1"/>
  <c r="J1194" i="1"/>
  <c r="Q1187" i="1"/>
  <c r="M1191" i="1"/>
  <c r="R1186" i="1"/>
  <c r="V1182" i="1"/>
  <c r="H752" i="1"/>
  <c r="L748" i="1"/>
  <c r="P744" i="1"/>
  <c r="T740" i="1"/>
  <c r="K749" i="1"/>
  <c r="V738" i="1"/>
  <c r="J750" i="1"/>
  <c r="I751" i="1"/>
  <c r="Q743" i="1"/>
  <c r="R742" i="1"/>
  <c r="O745" i="1"/>
  <c r="S741" i="1"/>
  <c r="M747" i="1"/>
  <c r="U739" i="1"/>
  <c r="N746" i="1"/>
  <c r="J939" i="1"/>
  <c r="N935" i="1"/>
  <c r="R931" i="1"/>
  <c r="V927" i="1"/>
  <c r="I940" i="1"/>
  <c r="M936" i="1"/>
  <c r="Q932" i="1"/>
  <c r="U928" i="1"/>
  <c r="S930" i="1"/>
  <c r="H941" i="1"/>
  <c r="O934" i="1"/>
  <c r="T929" i="1"/>
  <c r="L937" i="1"/>
  <c r="P933" i="1"/>
  <c r="K938" i="1"/>
  <c r="H1237" i="1"/>
  <c r="M1232" i="1"/>
  <c r="U1224" i="1"/>
  <c r="I1236" i="1"/>
  <c r="Q1228" i="1"/>
  <c r="T1225" i="1"/>
  <c r="N1231" i="1"/>
  <c r="V1223" i="1"/>
  <c r="L1233" i="1"/>
  <c r="P1229" i="1"/>
  <c r="S1226" i="1"/>
  <c r="J1235" i="1"/>
  <c r="K1234" i="1"/>
  <c r="O1230" i="1"/>
  <c r="R1227" i="1"/>
  <c r="K1591" i="1"/>
  <c r="O1587" i="1"/>
  <c r="S1583" i="1"/>
  <c r="J1592" i="1"/>
  <c r="N1588" i="1"/>
  <c r="R1584" i="1"/>
  <c r="V1580" i="1"/>
  <c r="H1594" i="1"/>
  <c r="I1593" i="1"/>
  <c r="L1590" i="1"/>
  <c r="M1589" i="1"/>
  <c r="P1586" i="1"/>
  <c r="Q1585" i="1"/>
  <c r="U1581" i="1"/>
  <c r="T1582" i="1"/>
  <c r="I1262" i="1"/>
  <c r="M1258" i="1"/>
  <c r="Q1254" i="1"/>
  <c r="U1250" i="1"/>
  <c r="H1263" i="1"/>
  <c r="L1259" i="1"/>
  <c r="P1255" i="1"/>
  <c r="T1251" i="1"/>
  <c r="J1261" i="1"/>
  <c r="O1256" i="1"/>
  <c r="V1249" i="1"/>
  <c r="K1260" i="1"/>
  <c r="R1253" i="1"/>
  <c r="N1257" i="1"/>
  <c r="S1252" i="1"/>
  <c r="G78" i="1"/>
  <c r="H77" i="1"/>
  <c r="L73" i="1"/>
  <c r="P69" i="1"/>
  <c r="T65" i="1"/>
  <c r="J75" i="1"/>
  <c r="N71" i="1"/>
  <c r="R67" i="1"/>
  <c r="V63" i="1"/>
  <c r="K74" i="1"/>
  <c r="S66" i="1"/>
  <c r="I76" i="1"/>
  <c r="Q68" i="1"/>
  <c r="O70" i="1"/>
  <c r="M72" i="1"/>
  <c r="U64" i="1"/>
  <c r="G118" i="1"/>
  <c r="H117" i="1"/>
  <c r="L113" i="1"/>
  <c r="P109" i="1"/>
  <c r="T105" i="1"/>
  <c r="K114" i="1"/>
  <c r="O110" i="1"/>
  <c r="S106" i="1"/>
  <c r="J115" i="1"/>
  <c r="N111" i="1"/>
  <c r="R107" i="1"/>
  <c r="V103" i="1"/>
  <c r="Q108" i="1"/>
  <c r="M112" i="1"/>
  <c r="I116" i="1"/>
  <c r="U104" i="1"/>
  <c r="J1691" i="1"/>
  <c r="N1687" i="1"/>
  <c r="R1683" i="1"/>
  <c r="V1679" i="1"/>
  <c r="I1692" i="1"/>
  <c r="M1688" i="1"/>
  <c r="Q1684" i="1"/>
  <c r="U1680" i="1"/>
  <c r="H1693" i="1"/>
  <c r="L1689" i="1"/>
  <c r="P1685" i="1"/>
  <c r="T1681" i="1"/>
  <c r="K1690" i="1"/>
  <c r="O1686" i="1"/>
  <c r="S1682" i="1"/>
  <c r="H110" i="1"/>
  <c r="L106" i="1"/>
  <c r="P102" i="1"/>
  <c r="T98" i="1"/>
  <c r="K107" i="1"/>
  <c r="O103" i="1"/>
  <c r="S99" i="1"/>
  <c r="J108" i="1"/>
  <c r="N104" i="1"/>
  <c r="R100" i="1"/>
  <c r="V96" i="1"/>
  <c r="I109" i="1"/>
  <c r="U97" i="1"/>
  <c r="Q101" i="1"/>
  <c r="M105" i="1"/>
  <c r="K1415" i="1"/>
  <c r="O1411" i="1"/>
  <c r="M1413" i="1"/>
  <c r="N1412" i="1"/>
  <c r="S1407" i="1"/>
  <c r="V1404" i="1"/>
  <c r="T1406" i="1"/>
  <c r="H1418" i="1"/>
  <c r="Q1409" i="1"/>
  <c r="I1417" i="1"/>
  <c r="J1416" i="1"/>
  <c r="R1408" i="1"/>
  <c r="U1405" i="1"/>
  <c r="L1414" i="1"/>
  <c r="P1410" i="1"/>
  <c r="J1101" i="1"/>
  <c r="N1097" i="1"/>
  <c r="R1093" i="1"/>
  <c r="V1089" i="1"/>
  <c r="I1102" i="1"/>
  <c r="M1098" i="1"/>
  <c r="Q1094" i="1"/>
  <c r="U1090" i="1"/>
  <c r="H1103" i="1"/>
  <c r="L1099" i="1"/>
  <c r="P1095" i="1"/>
  <c r="T1091" i="1"/>
  <c r="K1100" i="1"/>
  <c r="O1096" i="1"/>
  <c r="S1092" i="1"/>
  <c r="I801" i="1"/>
  <c r="M797" i="1"/>
  <c r="Q793" i="1"/>
  <c r="U789" i="1"/>
  <c r="H802" i="1"/>
  <c r="K799" i="1"/>
  <c r="R792" i="1"/>
  <c r="L798" i="1"/>
  <c r="O795" i="1"/>
  <c r="P794" i="1"/>
  <c r="S791" i="1"/>
  <c r="J800" i="1"/>
  <c r="N796" i="1"/>
  <c r="T790" i="1"/>
  <c r="V788" i="1"/>
  <c r="H437" i="1"/>
  <c r="L433" i="1"/>
  <c r="P429" i="1"/>
  <c r="T425" i="1"/>
  <c r="K434" i="1"/>
  <c r="O430" i="1"/>
  <c r="S426" i="1"/>
  <c r="J435" i="1"/>
  <c r="N431" i="1"/>
  <c r="R427" i="1"/>
  <c r="V423" i="1"/>
  <c r="Q428" i="1"/>
  <c r="M432" i="1"/>
  <c r="U424" i="1"/>
  <c r="I436" i="1"/>
  <c r="H1011" i="1"/>
  <c r="L1007" i="1"/>
  <c r="P1003" i="1"/>
  <c r="T999" i="1"/>
  <c r="J1009" i="1"/>
  <c r="I1010" i="1"/>
  <c r="M1006" i="1"/>
  <c r="Q1002" i="1"/>
  <c r="S1000" i="1"/>
  <c r="U998" i="1"/>
  <c r="O1004" i="1"/>
  <c r="R1001" i="1"/>
  <c r="K1008" i="1"/>
  <c r="V997" i="1"/>
  <c r="N1005" i="1"/>
  <c r="I499" i="1"/>
  <c r="M495" i="1"/>
  <c r="Q491" i="1"/>
  <c r="U487" i="1"/>
  <c r="H500" i="1"/>
  <c r="L496" i="1"/>
  <c r="P492" i="1"/>
  <c r="T488" i="1"/>
  <c r="N494" i="1"/>
  <c r="S489" i="1"/>
  <c r="J498" i="1"/>
  <c r="O493" i="1"/>
  <c r="V486" i="1"/>
  <c r="K497" i="1"/>
  <c r="R490" i="1"/>
  <c r="H1372" i="1"/>
  <c r="L1368" i="1"/>
  <c r="P1364" i="1"/>
  <c r="T1360" i="1"/>
  <c r="K1369" i="1"/>
  <c r="O1365" i="1"/>
  <c r="N1366" i="1"/>
  <c r="Q1363" i="1"/>
  <c r="M1367" i="1"/>
  <c r="R1362" i="1"/>
  <c r="U1359" i="1"/>
  <c r="J1370" i="1"/>
  <c r="V1358" i="1"/>
  <c r="S1361" i="1"/>
  <c r="I1371" i="1"/>
  <c r="J1022" i="1"/>
  <c r="N1018" i="1"/>
  <c r="R1014" i="1"/>
  <c r="V1010" i="1"/>
  <c r="I1023" i="1"/>
  <c r="M1019" i="1"/>
  <c r="Q1015" i="1"/>
  <c r="U1011" i="1"/>
  <c r="L1020" i="1"/>
  <c r="O1017" i="1"/>
  <c r="T1012" i="1"/>
  <c r="H1024" i="1"/>
  <c r="K1021" i="1"/>
  <c r="P1016" i="1"/>
  <c r="S1013" i="1"/>
  <c r="J703" i="1"/>
  <c r="N699" i="1"/>
  <c r="R695" i="1"/>
  <c r="V691" i="1"/>
  <c r="I704" i="1"/>
  <c r="M700" i="1"/>
  <c r="Q696" i="1"/>
  <c r="U692" i="1"/>
  <c r="H705" i="1"/>
  <c r="L701" i="1"/>
  <c r="P697" i="1"/>
  <c r="T693" i="1"/>
  <c r="K702" i="1"/>
  <c r="O698" i="1"/>
  <c r="S694" i="1"/>
  <c r="I343" i="1"/>
  <c r="M339" i="1"/>
  <c r="Q335" i="1"/>
  <c r="U331" i="1"/>
  <c r="H344" i="1"/>
  <c r="L340" i="1"/>
  <c r="P336" i="1"/>
  <c r="T332" i="1"/>
  <c r="J342" i="1"/>
  <c r="O337" i="1"/>
  <c r="V330" i="1"/>
  <c r="K341" i="1"/>
  <c r="R334" i="1"/>
  <c r="N338" i="1"/>
  <c r="S333" i="1"/>
  <c r="H1355" i="1"/>
  <c r="L1351" i="1"/>
  <c r="P1347" i="1"/>
  <c r="T1343" i="1"/>
  <c r="K1352" i="1"/>
  <c r="O1348" i="1"/>
  <c r="S1344" i="1"/>
  <c r="M1350" i="1"/>
  <c r="R1345" i="1"/>
  <c r="I1354" i="1"/>
  <c r="N1349" i="1"/>
  <c r="U1342" i="1"/>
  <c r="Q1346" i="1"/>
  <c r="V1341" i="1"/>
  <c r="J1353" i="1"/>
  <c r="J1532" i="1"/>
  <c r="N1528" i="1"/>
  <c r="R1524" i="1"/>
  <c r="I1533" i="1"/>
  <c r="M1529" i="1"/>
  <c r="Q1525" i="1"/>
  <c r="K1531" i="1"/>
  <c r="O1527" i="1"/>
  <c r="L1530" i="1"/>
  <c r="V1520" i="1"/>
  <c r="H1534" i="1"/>
  <c r="U1521" i="1"/>
  <c r="S1523" i="1"/>
  <c r="T1522" i="1"/>
  <c r="P1526" i="1"/>
  <c r="I1204" i="1"/>
  <c r="M1200" i="1"/>
  <c r="Q1196" i="1"/>
  <c r="U1192" i="1"/>
  <c r="H1205" i="1"/>
  <c r="L1201" i="1"/>
  <c r="P1197" i="1"/>
  <c r="T1193" i="1"/>
  <c r="K1202" i="1"/>
  <c r="O1198" i="1"/>
  <c r="S1194" i="1"/>
  <c r="J1203" i="1"/>
  <c r="N1199" i="1"/>
  <c r="R1195" i="1"/>
  <c r="V1191" i="1"/>
  <c r="I905" i="1"/>
  <c r="M901" i="1"/>
  <c r="Q897" i="1"/>
  <c r="U893" i="1"/>
  <c r="H906" i="1"/>
  <c r="L902" i="1"/>
  <c r="P898" i="1"/>
  <c r="T894" i="1"/>
  <c r="K903" i="1"/>
  <c r="O899" i="1"/>
  <c r="S895" i="1"/>
  <c r="J904" i="1"/>
  <c r="N900" i="1"/>
  <c r="R896" i="1"/>
  <c r="V892" i="1"/>
  <c r="K557" i="1"/>
  <c r="O553" i="1"/>
  <c r="S549" i="1"/>
  <c r="J558" i="1"/>
  <c r="N554" i="1"/>
  <c r="R550" i="1"/>
  <c r="V546" i="1"/>
  <c r="L556" i="1"/>
  <c r="Q551" i="1"/>
  <c r="H560" i="1"/>
  <c r="M555" i="1"/>
  <c r="T548" i="1"/>
  <c r="U547" i="1"/>
  <c r="I559" i="1"/>
  <c r="P552" i="1"/>
  <c r="J201" i="1"/>
  <c r="N197" i="1"/>
  <c r="R193" i="1"/>
  <c r="V189" i="1"/>
  <c r="K200" i="1"/>
  <c r="O196" i="1"/>
  <c r="S192" i="1"/>
  <c r="L199" i="1"/>
  <c r="T191" i="1"/>
  <c r="I202" i="1"/>
  <c r="Q194" i="1"/>
  <c r="H203" i="1"/>
  <c r="P195" i="1"/>
  <c r="U190" i="1"/>
  <c r="M198" i="1"/>
  <c r="H1116" i="1"/>
  <c r="L1112" i="1"/>
  <c r="P1108" i="1"/>
  <c r="T1104" i="1"/>
  <c r="K1113" i="1"/>
  <c r="O1109" i="1"/>
  <c r="S1105" i="1"/>
  <c r="M1111" i="1"/>
  <c r="R1106" i="1"/>
  <c r="I1115" i="1"/>
  <c r="N1110" i="1"/>
  <c r="U1103" i="1"/>
  <c r="Q1107" i="1"/>
  <c r="V1102" i="1"/>
  <c r="J1114" i="1"/>
  <c r="J1527" i="1"/>
  <c r="H1529" i="1"/>
  <c r="L1525" i="1"/>
  <c r="P1521" i="1"/>
  <c r="T1517" i="1"/>
  <c r="O1522" i="1"/>
  <c r="S1518" i="1"/>
  <c r="M1524" i="1"/>
  <c r="Q1520" i="1"/>
  <c r="U1516" i="1"/>
  <c r="I1528" i="1"/>
  <c r="V1515" i="1"/>
  <c r="N1523" i="1"/>
  <c r="K1526" i="1"/>
  <c r="R1519" i="1"/>
  <c r="J1197" i="1"/>
  <c r="N1193" i="1"/>
  <c r="R1189" i="1"/>
  <c r="V1185" i="1"/>
  <c r="I1198" i="1"/>
  <c r="M1194" i="1"/>
  <c r="Q1190" i="1"/>
  <c r="U1186" i="1"/>
  <c r="H1199" i="1"/>
  <c r="L1195" i="1"/>
  <c r="P1191" i="1"/>
  <c r="T1187" i="1"/>
  <c r="K1196" i="1"/>
  <c r="O1192" i="1"/>
  <c r="S1188" i="1"/>
  <c r="H871" i="1"/>
  <c r="L867" i="1"/>
  <c r="P863" i="1"/>
  <c r="T859" i="1"/>
  <c r="K868" i="1"/>
  <c r="O864" i="1"/>
  <c r="S860" i="1"/>
  <c r="I870" i="1"/>
  <c r="M866" i="1"/>
  <c r="Q862" i="1"/>
  <c r="U858" i="1"/>
  <c r="R861" i="1"/>
  <c r="N865" i="1"/>
  <c r="V857" i="1"/>
  <c r="J869" i="1"/>
  <c r="I507" i="1"/>
  <c r="M503" i="1"/>
  <c r="Q499" i="1"/>
  <c r="U495" i="1"/>
  <c r="H508" i="1"/>
  <c r="L504" i="1"/>
  <c r="P500" i="1"/>
  <c r="T496" i="1"/>
  <c r="R498" i="1"/>
  <c r="N502" i="1"/>
  <c r="S497" i="1"/>
  <c r="J506" i="1"/>
  <c r="V494" i="1"/>
  <c r="K505" i="1"/>
  <c r="O501" i="1"/>
  <c r="J1118" i="1"/>
  <c r="N1114" i="1"/>
  <c r="R1110" i="1"/>
  <c r="V1106" i="1"/>
  <c r="I1119" i="1"/>
  <c r="M1115" i="1"/>
  <c r="Q1111" i="1"/>
  <c r="U1107" i="1"/>
  <c r="O1113" i="1"/>
  <c r="T1108" i="1"/>
  <c r="K1117" i="1"/>
  <c r="P1112" i="1"/>
  <c r="S1109" i="1"/>
  <c r="H1120" i="1"/>
  <c r="L1116" i="1"/>
  <c r="H772" i="1"/>
  <c r="L768" i="1"/>
  <c r="P764" i="1"/>
  <c r="T760" i="1"/>
  <c r="J770" i="1"/>
  <c r="N766" i="1"/>
  <c r="R762" i="1"/>
  <c r="V758" i="1"/>
  <c r="O765" i="1"/>
  <c r="U759" i="1"/>
  <c r="I771" i="1"/>
  <c r="K769" i="1"/>
  <c r="Q763" i="1"/>
  <c r="S761" i="1"/>
  <c r="M767" i="1"/>
  <c r="I1552" i="1"/>
  <c r="M1548" i="1"/>
  <c r="Q1544" i="1"/>
  <c r="H1553" i="1"/>
  <c r="L1549" i="1"/>
  <c r="O1546" i="1"/>
  <c r="K1550" i="1"/>
  <c r="S1542" i="1"/>
  <c r="V1539" i="1"/>
  <c r="N1547" i="1"/>
  <c r="P1545" i="1"/>
  <c r="R1543" i="1"/>
  <c r="T1541" i="1"/>
  <c r="J1551" i="1"/>
  <c r="U1540" i="1"/>
  <c r="K1222" i="1"/>
  <c r="O1218" i="1"/>
  <c r="S1214" i="1"/>
  <c r="J1223" i="1"/>
  <c r="N1219" i="1"/>
  <c r="R1215" i="1"/>
  <c r="V1211" i="1"/>
  <c r="I1224" i="1"/>
  <c r="M1220" i="1"/>
  <c r="Q1216" i="1"/>
  <c r="U1212" i="1"/>
  <c r="H1225" i="1"/>
  <c r="L1221" i="1"/>
  <c r="P1217" i="1"/>
  <c r="T1213" i="1"/>
  <c r="J923" i="1"/>
  <c r="N919" i="1"/>
  <c r="R915" i="1"/>
  <c r="V911" i="1"/>
  <c r="I924" i="1"/>
  <c r="M920" i="1"/>
  <c r="Q916" i="1"/>
  <c r="U912" i="1"/>
  <c r="K922" i="1"/>
  <c r="P917" i="1"/>
  <c r="L921" i="1"/>
  <c r="T913" i="1"/>
  <c r="S914" i="1"/>
  <c r="H925" i="1"/>
  <c r="O918" i="1"/>
  <c r="K588" i="1"/>
  <c r="O584" i="1"/>
  <c r="S580" i="1"/>
  <c r="J589" i="1"/>
  <c r="N585" i="1"/>
  <c r="R581" i="1"/>
  <c r="V577" i="1"/>
  <c r="I590" i="1"/>
  <c r="M586" i="1"/>
  <c r="Q582" i="1"/>
  <c r="U578" i="1"/>
  <c r="H591" i="1"/>
  <c r="L587" i="1"/>
  <c r="P583" i="1"/>
  <c r="T579" i="1"/>
  <c r="J1515" i="1"/>
  <c r="N1511" i="1"/>
  <c r="R1507" i="1"/>
  <c r="V1503" i="1"/>
  <c r="I1516" i="1"/>
  <c r="M1512" i="1"/>
  <c r="Q1508" i="1"/>
  <c r="U1504" i="1"/>
  <c r="K1514" i="1"/>
  <c r="O1510" i="1"/>
  <c r="S1506" i="1"/>
  <c r="L1513" i="1"/>
  <c r="T1505" i="1"/>
  <c r="H1517" i="1"/>
  <c r="P1509" i="1"/>
  <c r="K1546" i="1"/>
  <c r="O1542" i="1"/>
  <c r="L1545" i="1"/>
  <c r="N1543" i="1"/>
  <c r="P1541" i="1"/>
  <c r="T1537" i="1"/>
  <c r="M1544" i="1"/>
  <c r="R1539" i="1"/>
  <c r="V1535" i="1"/>
  <c r="I1548" i="1"/>
  <c r="S1538" i="1"/>
  <c r="U1536" i="1"/>
  <c r="Q1540" i="1"/>
  <c r="J1547" i="1"/>
  <c r="H1549" i="1"/>
  <c r="H1220" i="1"/>
  <c r="L1216" i="1"/>
  <c r="P1212" i="1"/>
  <c r="T1208" i="1"/>
  <c r="K1217" i="1"/>
  <c r="O1213" i="1"/>
  <c r="S1209" i="1"/>
  <c r="U1207" i="1"/>
  <c r="J1218" i="1"/>
  <c r="Q1211" i="1"/>
  <c r="V1206" i="1"/>
  <c r="M1215" i="1"/>
  <c r="I1219" i="1"/>
  <c r="R1210" i="1"/>
  <c r="N1214" i="1"/>
  <c r="K915" i="1"/>
  <c r="O911" i="1"/>
  <c r="S907" i="1"/>
  <c r="J916" i="1"/>
  <c r="N912" i="1"/>
  <c r="R908" i="1"/>
  <c r="V904" i="1"/>
  <c r="I917" i="1"/>
  <c r="M913" i="1"/>
  <c r="Q909" i="1"/>
  <c r="U905" i="1"/>
  <c r="H918" i="1"/>
  <c r="L914" i="1"/>
  <c r="P910" i="1"/>
  <c r="T906" i="1"/>
  <c r="K573" i="1"/>
  <c r="O569" i="1"/>
  <c r="S565" i="1"/>
  <c r="J574" i="1"/>
  <c r="N570" i="1"/>
  <c r="R566" i="1"/>
  <c r="V562" i="1"/>
  <c r="T564" i="1"/>
  <c r="I575" i="1"/>
  <c r="P568" i="1"/>
  <c r="U563" i="1"/>
  <c r="L572" i="1"/>
  <c r="Q567" i="1"/>
  <c r="H576" i="1"/>
  <c r="M571" i="1"/>
  <c r="J226" i="1"/>
  <c r="N222" i="1"/>
  <c r="R218" i="1"/>
  <c r="V214" i="1"/>
  <c r="I227" i="1"/>
  <c r="M223" i="1"/>
  <c r="Q219" i="1"/>
  <c r="U215" i="1"/>
  <c r="P220" i="1"/>
  <c r="S217" i="1"/>
  <c r="L224" i="1"/>
  <c r="O221" i="1"/>
  <c r="T216" i="1"/>
  <c r="H228" i="1"/>
  <c r="K225" i="1"/>
  <c r="J1316" i="1"/>
  <c r="N1312" i="1"/>
  <c r="R1308" i="1"/>
  <c r="V1304" i="1"/>
  <c r="I1317" i="1"/>
  <c r="M1313" i="1"/>
  <c r="Q1309" i="1"/>
  <c r="U1305" i="1"/>
  <c r="H1318" i="1"/>
  <c r="L1314" i="1"/>
  <c r="P1310" i="1"/>
  <c r="T1306" i="1"/>
  <c r="K1315" i="1"/>
  <c r="O1311" i="1"/>
  <c r="S1307" i="1"/>
  <c r="G51" i="1"/>
  <c r="I49" i="1"/>
  <c r="M45" i="1"/>
  <c r="Q41" i="1"/>
  <c r="K47" i="1"/>
  <c r="L46" i="1"/>
  <c r="O43" i="1"/>
  <c r="R40" i="1"/>
  <c r="V36" i="1"/>
  <c r="N44" i="1"/>
  <c r="P42" i="1"/>
  <c r="U37" i="1"/>
  <c r="H50" i="1"/>
  <c r="J48" i="1"/>
  <c r="T38" i="1"/>
  <c r="S39" i="1"/>
  <c r="H1140" i="1"/>
  <c r="L1136" i="1"/>
  <c r="P1132" i="1"/>
  <c r="T1128" i="1"/>
  <c r="K1137" i="1"/>
  <c r="O1133" i="1"/>
  <c r="S1129" i="1"/>
  <c r="I1139" i="1"/>
  <c r="N1134" i="1"/>
  <c r="U1127" i="1"/>
  <c r="J1138" i="1"/>
  <c r="Q1131" i="1"/>
  <c r="M1135" i="1"/>
  <c r="R1130" i="1"/>
  <c r="V1126" i="1"/>
  <c r="K1509" i="1"/>
  <c r="O1505" i="1"/>
  <c r="S1501" i="1"/>
  <c r="J1510" i="1"/>
  <c r="N1506" i="1"/>
  <c r="R1502" i="1"/>
  <c r="V1498" i="1"/>
  <c r="H1512" i="1"/>
  <c r="M1507" i="1"/>
  <c r="P1504" i="1"/>
  <c r="Q1503" i="1"/>
  <c r="T1500" i="1"/>
  <c r="L1508" i="1"/>
  <c r="U1499" i="1"/>
  <c r="I1511" i="1"/>
  <c r="K899" i="1"/>
  <c r="O895" i="1"/>
  <c r="S891" i="1"/>
  <c r="J900" i="1"/>
  <c r="N896" i="1"/>
  <c r="R892" i="1"/>
  <c r="V888" i="1"/>
  <c r="I901" i="1"/>
  <c r="M897" i="1"/>
  <c r="Q893" i="1"/>
  <c r="U889" i="1"/>
  <c r="H902" i="1"/>
  <c r="L898" i="1"/>
  <c r="P894" i="1"/>
  <c r="T890" i="1"/>
  <c r="I1589" i="1"/>
  <c r="M1585" i="1"/>
  <c r="Q1581" i="1"/>
  <c r="U1577" i="1"/>
  <c r="H1590" i="1"/>
  <c r="L1586" i="1"/>
  <c r="P1582" i="1"/>
  <c r="T1578" i="1"/>
  <c r="V1576" i="1"/>
  <c r="N1584" i="1"/>
  <c r="O1583" i="1"/>
  <c r="J1588" i="1"/>
  <c r="K1587" i="1"/>
  <c r="S1579" i="1"/>
  <c r="R1580" i="1"/>
  <c r="K1716" i="1"/>
  <c r="O1712" i="1"/>
  <c r="S1708" i="1"/>
  <c r="J1717" i="1"/>
  <c r="N1713" i="1"/>
  <c r="R1709" i="1"/>
  <c r="V1705" i="1"/>
  <c r="I1718" i="1"/>
  <c r="M1714" i="1"/>
  <c r="Q1710" i="1"/>
  <c r="U1706" i="1"/>
  <c r="H1719" i="1"/>
  <c r="L1715" i="1"/>
  <c r="P1711" i="1"/>
  <c r="T1707" i="1"/>
  <c r="I986" i="1"/>
  <c r="M982" i="1"/>
  <c r="Q978" i="1"/>
  <c r="U974" i="1"/>
  <c r="H987" i="1"/>
  <c r="L983" i="1"/>
  <c r="P979" i="1"/>
  <c r="T975" i="1"/>
  <c r="R977" i="1"/>
  <c r="N981" i="1"/>
  <c r="S976" i="1"/>
  <c r="K984" i="1"/>
  <c r="J985" i="1"/>
  <c r="V973" i="1"/>
  <c r="O980" i="1"/>
  <c r="I1165" i="1"/>
  <c r="M1161" i="1"/>
  <c r="Q1157" i="1"/>
  <c r="H1166" i="1"/>
  <c r="P1158" i="1"/>
  <c r="O1159" i="1"/>
  <c r="N1160" i="1"/>
  <c r="L1162" i="1"/>
  <c r="T1154" i="1"/>
  <c r="U1153" i="1"/>
  <c r="J1164" i="1"/>
  <c r="R1156" i="1"/>
  <c r="V1152" i="1"/>
  <c r="S1155" i="1"/>
  <c r="K1163" i="1"/>
  <c r="I1181" i="1"/>
  <c r="M1177" i="1"/>
  <c r="Q1173" i="1"/>
  <c r="U1169" i="1"/>
  <c r="H1182" i="1"/>
  <c r="L1178" i="1"/>
  <c r="P1174" i="1"/>
  <c r="T1170" i="1"/>
  <c r="J1180" i="1"/>
  <c r="O1175" i="1"/>
  <c r="V1168" i="1"/>
  <c r="K1179" i="1"/>
  <c r="R1172" i="1"/>
  <c r="N1176" i="1"/>
  <c r="S1171" i="1"/>
  <c r="K1709" i="1"/>
  <c r="O1705" i="1"/>
  <c r="S1701" i="1"/>
  <c r="J1710" i="1"/>
  <c r="N1706" i="1"/>
  <c r="R1702" i="1"/>
  <c r="V1698" i="1"/>
  <c r="I1711" i="1"/>
  <c r="M1707" i="1"/>
  <c r="Q1703" i="1"/>
  <c r="U1699" i="1"/>
  <c r="H1712" i="1"/>
  <c r="P1704" i="1"/>
  <c r="T1700" i="1"/>
  <c r="L1708" i="1"/>
  <c r="J234" i="1"/>
  <c r="N230" i="1"/>
  <c r="R226" i="1"/>
  <c r="V222" i="1"/>
  <c r="I235" i="1"/>
  <c r="M231" i="1"/>
  <c r="Q227" i="1"/>
  <c r="U223" i="1"/>
  <c r="T224" i="1"/>
  <c r="H236" i="1"/>
  <c r="K233" i="1"/>
  <c r="P228" i="1"/>
  <c r="S225" i="1"/>
  <c r="O229" i="1"/>
  <c r="L232" i="1"/>
  <c r="H1027" i="1"/>
  <c r="L1023" i="1"/>
  <c r="P1019" i="1"/>
  <c r="T1015" i="1"/>
  <c r="J1025" i="1"/>
  <c r="N1021" i="1"/>
  <c r="R1017" i="1"/>
  <c r="V1013" i="1"/>
  <c r="I1026" i="1"/>
  <c r="M1022" i="1"/>
  <c r="Q1018" i="1"/>
  <c r="U1014" i="1"/>
  <c r="O1020" i="1"/>
  <c r="K1024" i="1"/>
  <c r="S1016" i="1"/>
  <c r="H349" i="1"/>
  <c r="L345" i="1"/>
  <c r="P341" i="1"/>
  <c r="T337" i="1"/>
  <c r="K346" i="1"/>
  <c r="O342" i="1"/>
  <c r="S338" i="1"/>
  <c r="J347" i="1"/>
  <c r="N343" i="1"/>
  <c r="R339" i="1"/>
  <c r="V335" i="1"/>
  <c r="Q340" i="1"/>
  <c r="M344" i="1"/>
  <c r="I348" i="1"/>
  <c r="U336" i="1"/>
  <c r="H1619" i="1"/>
  <c r="L1615" i="1"/>
  <c r="P1611" i="1"/>
  <c r="K1616" i="1"/>
  <c r="O1612" i="1"/>
  <c r="J1617" i="1"/>
  <c r="N1613" i="1"/>
  <c r="Q1610" i="1"/>
  <c r="M1614" i="1"/>
  <c r="S1608" i="1"/>
  <c r="V1605" i="1"/>
  <c r="R1609" i="1"/>
  <c r="T1607" i="1"/>
  <c r="U1606" i="1"/>
  <c r="I1618" i="1"/>
  <c r="H945" i="1"/>
  <c r="L941" i="1"/>
  <c r="P937" i="1"/>
  <c r="T933" i="1"/>
  <c r="K942" i="1"/>
  <c r="O938" i="1"/>
  <c r="S934" i="1"/>
  <c r="U932" i="1"/>
  <c r="J943" i="1"/>
  <c r="Q936" i="1"/>
  <c r="V931" i="1"/>
  <c r="N939" i="1"/>
  <c r="I944" i="1"/>
  <c r="M940" i="1"/>
  <c r="R935" i="1"/>
  <c r="J250" i="1"/>
  <c r="N246" i="1"/>
  <c r="R242" i="1"/>
  <c r="V238" i="1"/>
  <c r="I251" i="1"/>
  <c r="M247" i="1"/>
  <c r="Q243" i="1"/>
  <c r="U239" i="1"/>
  <c r="K249" i="1"/>
  <c r="P244" i="1"/>
  <c r="S241" i="1"/>
  <c r="L248" i="1"/>
  <c r="H252" i="1"/>
  <c r="T240" i="1"/>
  <c r="O245" i="1"/>
  <c r="H1131" i="1"/>
  <c r="L1127" i="1"/>
  <c r="P1123" i="1"/>
  <c r="T1119" i="1"/>
  <c r="K1128" i="1"/>
  <c r="O1124" i="1"/>
  <c r="S1120" i="1"/>
  <c r="J1129" i="1"/>
  <c r="N1125" i="1"/>
  <c r="R1121" i="1"/>
  <c r="V1117" i="1"/>
  <c r="I1130" i="1"/>
  <c r="M1126" i="1"/>
  <c r="Q1122" i="1"/>
  <c r="U1118" i="1"/>
  <c r="K1230" i="1"/>
  <c r="S1222" i="1"/>
  <c r="H1233" i="1"/>
  <c r="O1226" i="1"/>
  <c r="R1223" i="1"/>
  <c r="V1219" i="1"/>
  <c r="I1232" i="1"/>
  <c r="L1229" i="1"/>
  <c r="Q1224" i="1"/>
  <c r="U1220" i="1"/>
  <c r="P1225" i="1"/>
  <c r="T1221" i="1"/>
  <c r="N1227" i="1"/>
  <c r="M1228" i="1"/>
  <c r="J1231" i="1"/>
  <c r="K1439" i="1"/>
  <c r="O1435" i="1"/>
  <c r="S1431" i="1"/>
  <c r="H1442" i="1"/>
  <c r="L1438" i="1"/>
  <c r="P1434" i="1"/>
  <c r="T1430" i="1"/>
  <c r="M1437" i="1"/>
  <c r="U1429" i="1"/>
  <c r="J1440" i="1"/>
  <c r="R1432" i="1"/>
  <c r="I1441" i="1"/>
  <c r="Q1433" i="1"/>
  <c r="V1428" i="1"/>
  <c r="N1436" i="1"/>
  <c r="K779" i="1"/>
  <c r="N776" i="1"/>
  <c r="H782" i="1"/>
  <c r="Q773" i="1"/>
  <c r="U769" i="1"/>
  <c r="I781" i="1"/>
  <c r="O775" i="1"/>
  <c r="S771" i="1"/>
  <c r="M777" i="1"/>
  <c r="R772" i="1"/>
  <c r="T770" i="1"/>
  <c r="J780" i="1"/>
  <c r="L778" i="1"/>
  <c r="P774" i="1"/>
  <c r="V768" i="1"/>
  <c r="K601" i="1"/>
  <c r="J602" i="1"/>
  <c r="N598" i="1"/>
  <c r="R594" i="1"/>
  <c r="L600" i="1"/>
  <c r="U591" i="1"/>
  <c r="H604" i="1"/>
  <c r="Q595" i="1"/>
  <c r="T592" i="1"/>
  <c r="M599" i="1"/>
  <c r="O597" i="1"/>
  <c r="I603" i="1"/>
  <c r="P596" i="1"/>
  <c r="S593" i="1"/>
  <c r="V590" i="1"/>
  <c r="K1461" i="1"/>
  <c r="O1457" i="1"/>
  <c r="S1453" i="1"/>
  <c r="J1462" i="1"/>
  <c r="N1458" i="1"/>
  <c r="R1454" i="1"/>
  <c r="M1459" i="1"/>
  <c r="V1450" i="1"/>
  <c r="P1456" i="1"/>
  <c r="U1451" i="1"/>
  <c r="L1460" i="1"/>
  <c r="I1463" i="1"/>
  <c r="Q1455" i="1"/>
  <c r="H1464" i="1"/>
  <c r="T1452" i="1"/>
  <c r="I856" i="1"/>
  <c r="H857" i="1"/>
  <c r="J855" i="1"/>
  <c r="N851" i="1"/>
  <c r="R847" i="1"/>
  <c r="V843" i="1"/>
  <c r="U844" i="1"/>
  <c r="K854" i="1"/>
  <c r="L853" i="1"/>
  <c r="O850" i="1"/>
  <c r="M852" i="1"/>
  <c r="P849" i="1"/>
  <c r="S846" i="1"/>
  <c r="Q848" i="1"/>
  <c r="T845" i="1"/>
  <c r="J1457" i="1"/>
  <c r="N1453" i="1"/>
  <c r="O1452" i="1"/>
  <c r="T1447" i="1"/>
  <c r="P1451" i="1"/>
  <c r="S1448" i="1"/>
  <c r="L1455" i="1"/>
  <c r="Q1450" i="1"/>
  <c r="U1446" i="1"/>
  <c r="M1454" i="1"/>
  <c r="V1445" i="1"/>
  <c r="K1456" i="1"/>
  <c r="I1458" i="1"/>
  <c r="R1449" i="1"/>
  <c r="H1459" i="1"/>
  <c r="H490" i="1"/>
  <c r="L486" i="1"/>
  <c r="P482" i="1"/>
  <c r="T478" i="1"/>
  <c r="K487" i="1"/>
  <c r="O483" i="1"/>
  <c r="S479" i="1"/>
  <c r="Q481" i="1"/>
  <c r="V476" i="1"/>
  <c r="M485" i="1"/>
  <c r="R480" i="1"/>
  <c r="I489" i="1"/>
  <c r="U477" i="1"/>
  <c r="J488" i="1"/>
  <c r="N484" i="1"/>
  <c r="G144" i="1"/>
  <c r="I142" i="1"/>
  <c r="M138" i="1"/>
  <c r="Q134" i="1"/>
  <c r="U130" i="1"/>
  <c r="H143" i="1"/>
  <c r="L139" i="1"/>
  <c r="P135" i="1"/>
  <c r="T131" i="1"/>
  <c r="K140" i="1"/>
  <c r="O136" i="1"/>
  <c r="S132" i="1"/>
  <c r="J141" i="1"/>
  <c r="V129" i="1"/>
  <c r="R133" i="1"/>
  <c r="N137" i="1"/>
  <c r="G182" i="1"/>
  <c r="K178" i="1"/>
  <c r="O174" i="1"/>
  <c r="S170" i="1"/>
  <c r="H181" i="1"/>
  <c r="L177" i="1"/>
  <c r="P173" i="1"/>
  <c r="T169" i="1"/>
  <c r="V167" i="1"/>
  <c r="I180" i="1"/>
  <c r="M176" i="1"/>
  <c r="J179" i="1"/>
  <c r="N175" i="1"/>
  <c r="Q172" i="1"/>
  <c r="U168" i="1"/>
  <c r="R171" i="1"/>
  <c r="K43" i="1"/>
  <c r="L42" i="1"/>
  <c r="I45" i="1"/>
  <c r="Q37" i="1"/>
  <c r="U33" i="1"/>
  <c r="J44" i="1"/>
  <c r="M41" i="1"/>
  <c r="P38" i="1"/>
  <c r="T34" i="1"/>
  <c r="O39" i="1"/>
  <c r="S35" i="1"/>
  <c r="H46" i="1"/>
  <c r="N40" i="1"/>
  <c r="R36" i="1"/>
  <c r="V32" i="1"/>
  <c r="H149" i="1"/>
  <c r="L145" i="1"/>
  <c r="P141" i="1"/>
  <c r="T137" i="1"/>
  <c r="K146" i="1"/>
  <c r="O142" i="1"/>
  <c r="S138" i="1"/>
  <c r="J147" i="1"/>
  <c r="N143" i="1"/>
  <c r="R139" i="1"/>
  <c r="V135" i="1"/>
  <c r="Q140" i="1"/>
  <c r="U136" i="1"/>
  <c r="M144" i="1"/>
  <c r="I148" i="1"/>
  <c r="I483" i="1"/>
  <c r="M479" i="1"/>
  <c r="Q475" i="1"/>
  <c r="U471" i="1"/>
  <c r="H484" i="1"/>
  <c r="L480" i="1"/>
  <c r="P476" i="1"/>
  <c r="T472" i="1"/>
  <c r="V470" i="1"/>
  <c r="K481" i="1"/>
  <c r="R474" i="1"/>
  <c r="N478" i="1"/>
  <c r="O477" i="1"/>
  <c r="J482" i="1"/>
  <c r="S473" i="1"/>
  <c r="J1061" i="1"/>
  <c r="N1057" i="1"/>
  <c r="R1053" i="1"/>
  <c r="V1049" i="1"/>
  <c r="H1063" i="1"/>
  <c r="L1059" i="1"/>
  <c r="P1055" i="1"/>
  <c r="T1051" i="1"/>
  <c r="K1060" i="1"/>
  <c r="O1056" i="1"/>
  <c r="S1052" i="1"/>
  <c r="Q1054" i="1"/>
  <c r="M1058" i="1"/>
  <c r="I1062" i="1"/>
  <c r="U1050" i="1"/>
  <c r="J1239" i="1"/>
  <c r="I1240" i="1"/>
  <c r="V1227" i="1"/>
  <c r="L1237" i="1"/>
  <c r="S1230" i="1"/>
  <c r="H1241" i="1"/>
  <c r="O1234" i="1"/>
  <c r="K1238" i="1"/>
  <c r="Q1232" i="1"/>
  <c r="T1229" i="1"/>
  <c r="M1236" i="1"/>
  <c r="N1235" i="1"/>
  <c r="R1231" i="1"/>
  <c r="U1228" i="1"/>
  <c r="P1233" i="1"/>
  <c r="J1271" i="1"/>
  <c r="N1267" i="1"/>
  <c r="R1263" i="1"/>
  <c r="V1259" i="1"/>
  <c r="I1272" i="1"/>
  <c r="M1268" i="1"/>
  <c r="Q1264" i="1"/>
  <c r="U1260" i="1"/>
  <c r="L1269" i="1"/>
  <c r="S1262" i="1"/>
  <c r="H1273" i="1"/>
  <c r="O1266" i="1"/>
  <c r="K1270" i="1"/>
  <c r="T1261" i="1"/>
  <c r="P1265" i="1"/>
  <c r="I555" i="1"/>
  <c r="M551" i="1"/>
  <c r="Q547" i="1"/>
  <c r="U543" i="1"/>
  <c r="H556" i="1"/>
  <c r="L552" i="1"/>
  <c r="P548" i="1"/>
  <c r="T544" i="1"/>
  <c r="J554" i="1"/>
  <c r="O549" i="1"/>
  <c r="V542" i="1"/>
  <c r="K553" i="1"/>
  <c r="R546" i="1"/>
  <c r="S545" i="1"/>
  <c r="N550" i="1"/>
  <c r="K956" i="1"/>
  <c r="O952" i="1"/>
  <c r="S948" i="1"/>
  <c r="J957" i="1"/>
  <c r="N953" i="1"/>
  <c r="R949" i="1"/>
  <c r="V945" i="1"/>
  <c r="T947" i="1"/>
  <c r="I958" i="1"/>
  <c r="P951" i="1"/>
  <c r="U946" i="1"/>
  <c r="M954" i="1"/>
  <c r="Q950" i="1"/>
  <c r="L955" i="1"/>
  <c r="H959" i="1"/>
  <c r="I953" i="1"/>
  <c r="M949" i="1"/>
  <c r="Q945" i="1"/>
  <c r="U941" i="1"/>
  <c r="H954" i="1"/>
  <c r="L950" i="1"/>
  <c r="P946" i="1"/>
  <c r="T942" i="1"/>
  <c r="K951" i="1"/>
  <c r="O947" i="1"/>
  <c r="S943" i="1"/>
  <c r="J952" i="1"/>
  <c r="N948" i="1"/>
  <c r="R944" i="1"/>
  <c r="V940" i="1"/>
  <c r="K493" i="1"/>
  <c r="O489" i="1"/>
  <c r="S485" i="1"/>
  <c r="J494" i="1"/>
  <c r="N490" i="1"/>
  <c r="R486" i="1"/>
  <c r="V482" i="1"/>
  <c r="L492" i="1"/>
  <c r="Q487" i="1"/>
  <c r="H496" i="1"/>
  <c r="M491" i="1"/>
  <c r="T484" i="1"/>
  <c r="U483" i="1"/>
  <c r="P488" i="1"/>
  <c r="I495" i="1"/>
  <c r="K392" i="1"/>
  <c r="O388" i="1"/>
  <c r="S384" i="1"/>
  <c r="J393" i="1"/>
  <c r="N389" i="1"/>
  <c r="R385" i="1"/>
  <c r="V381" i="1"/>
  <c r="I394" i="1"/>
  <c r="M390" i="1"/>
  <c r="Q386" i="1"/>
  <c r="U382" i="1"/>
  <c r="P387" i="1"/>
  <c r="L391" i="1"/>
  <c r="H395" i="1"/>
  <c r="T383" i="1"/>
  <c r="J1189" i="1"/>
  <c r="N1185" i="1"/>
  <c r="R1181" i="1"/>
  <c r="V1177" i="1"/>
  <c r="I1190" i="1"/>
  <c r="M1186" i="1"/>
  <c r="Q1182" i="1"/>
  <c r="U1178" i="1"/>
  <c r="H1191" i="1"/>
  <c r="L1187" i="1"/>
  <c r="P1183" i="1"/>
  <c r="T1179" i="1"/>
  <c r="K1188" i="1"/>
  <c r="O1184" i="1"/>
  <c r="S1180" i="1"/>
  <c r="I1563" i="1"/>
  <c r="M1559" i="1"/>
  <c r="Q1555" i="1"/>
  <c r="U1551" i="1"/>
  <c r="O1557" i="1"/>
  <c r="N1558" i="1"/>
  <c r="V1550" i="1"/>
  <c r="K1561" i="1"/>
  <c r="J1562" i="1"/>
  <c r="R1554" i="1"/>
  <c r="S1553" i="1"/>
  <c r="T1552" i="1"/>
  <c r="P1556" i="1"/>
  <c r="L1560" i="1"/>
  <c r="H1564" i="1"/>
  <c r="I596" i="1"/>
  <c r="N591" i="1"/>
  <c r="R587" i="1"/>
  <c r="V583" i="1"/>
  <c r="H597" i="1"/>
  <c r="K594" i="1"/>
  <c r="M592" i="1"/>
  <c r="Q588" i="1"/>
  <c r="U584" i="1"/>
  <c r="L593" i="1"/>
  <c r="P589" i="1"/>
  <c r="T585" i="1"/>
  <c r="O590" i="1"/>
  <c r="S586" i="1"/>
  <c r="J595" i="1"/>
  <c r="I1277" i="1"/>
  <c r="M1273" i="1"/>
  <c r="Q1269" i="1"/>
  <c r="U1265" i="1"/>
  <c r="H1278" i="1"/>
  <c r="L1274" i="1"/>
  <c r="P1270" i="1"/>
  <c r="T1266" i="1"/>
  <c r="K1275" i="1"/>
  <c r="O1271" i="1"/>
  <c r="S1267" i="1"/>
  <c r="J1276" i="1"/>
  <c r="N1272" i="1"/>
  <c r="R1268" i="1"/>
  <c r="V1264" i="1"/>
  <c r="G159" i="1"/>
  <c r="H158" i="1"/>
  <c r="L154" i="1"/>
  <c r="P150" i="1"/>
  <c r="T146" i="1"/>
  <c r="K155" i="1"/>
  <c r="O151" i="1"/>
  <c r="S147" i="1"/>
  <c r="J156" i="1"/>
  <c r="N152" i="1"/>
  <c r="R148" i="1"/>
  <c r="V144" i="1"/>
  <c r="Q149" i="1"/>
  <c r="M153" i="1"/>
  <c r="I157" i="1"/>
  <c r="U145" i="1"/>
  <c r="G69" i="1"/>
  <c r="J66" i="1"/>
  <c r="N62" i="1"/>
  <c r="R58" i="1"/>
  <c r="V54" i="1"/>
  <c r="I67" i="1"/>
  <c r="M63" i="1"/>
  <c r="Q59" i="1"/>
  <c r="S57" i="1"/>
  <c r="P60" i="1"/>
  <c r="O61" i="1"/>
  <c r="L64" i="1"/>
  <c r="K65" i="1"/>
  <c r="T56" i="1"/>
  <c r="U55" i="1"/>
  <c r="H68" i="1"/>
  <c r="J16" i="1"/>
  <c r="N12" i="1"/>
  <c r="R8" i="1"/>
  <c r="V4" i="1"/>
  <c r="I17" i="1"/>
  <c r="M13" i="1"/>
  <c r="Q9" i="1"/>
  <c r="U5" i="1"/>
  <c r="K15" i="1"/>
  <c r="H18" i="1"/>
  <c r="L14" i="1"/>
  <c r="P10" i="1"/>
  <c r="T6" i="1"/>
  <c r="O11" i="1"/>
  <c r="S7" i="1"/>
  <c r="H1689" i="1"/>
  <c r="L1685" i="1"/>
  <c r="P1681" i="1"/>
  <c r="T1677" i="1"/>
  <c r="K1686" i="1"/>
  <c r="O1682" i="1"/>
  <c r="S1678" i="1"/>
  <c r="J1687" i="1"/>
  <c r="N1683" i="1"/>
  <c r="R1679" i="1"/>
  <c r="I1688" i="1"/>
  <c r="M1684" i="1"/>
  <c r="Q1680" i="1"/>
  <c r="U1676" i="1"/>
  <c r="V1675" i="1"/>
  <c r="I1339" i="1"/>
  <c r="M1335" i="1"/>
  <c r="Q1331" i="1"/>
  <c r="U1327" i="1"/>
  <c r="H1340" i="1"/>
  <c r="L1336" i="1"/>
  <c r="P1332" i="1"/>
  <c r="T1328" i="1"/>
  <c r="K1337" i="1"/>
  <c r="O1333" i="1"/>
  <c r="S1329" i="1"/>
  <c r="J1338" i="1"/>
  <c r="N1334" i="1"/>
  <c r="R1330" i="1"/>
  <c r="V1326" i="1"/>
  <c r="H710" i="1"/>
  <c r="L706" i="1"/>
  <c r="P702" i="1"/>
  <c r="T698" i="1"/>
  <c r="K707" i="1"/>
  <c r="O703" i="1"/>
  <c r="S699" i="1"/>
  <c r="I709" i="1"/>
  <c r="N704" i="1"/>
  <c r="U697" i="1"/>
  <c r="J708" i="1"/>
  <c r="Q701" i="1"/>
  <c r="M705" i="1"/>
  <c r="V696" i="1"/>
  <c r="R700" i="1"/>
  <c r="K1646" i="1"/>
  <c r="O1642" i="1"/>
  <c r="S1638" i="1"/>
  <c r="J1647" i="1"/>
  <c r="N1643" i="1"/>
  <c r="R1639" i="1"/>
  <c r="I1648" i="1"/>
  <c r="L1645" i="1"/>
  <c r="U1636" i="1"/>
  <c r="Q1640" i="1"/>
  <c r="T1637" i="1"/>
  <c r="V1635" i="1"/>
  <c r="H1649" i="1"/>
  <c r="M1644" i="1"/>
  <c r="P1641" i="1"/>
  <c r="H1292" i="1"/>
  <c r="L1288" i="1"/>
  <c r="P1284" i="1"/>
  <c r="T1280" i="1"/>
  <c r="K1289" i="1"/>
  <c r="O1285" i="1"/>
  <c r="S1281" i="1"/>
  <c r="J1290" i="1"/>
  <c r="N1286" i="1"/>
  <c r="R1282" i="1"/>
  <c r="V1278" i="1"/>
  <c r="I1291" i="1"/>
  <c r="M1287" i="1"/>
  <c r="Q1283" i="1"/>
  <c r="U1279" i="1"/>
  <c r="K616" i="1"/>
  <c r="O612" i="1"/>
  <c r="S608" i="1"/>
  <c r="J617" i="1"/>
  <c r="N613" i="1"/>
  <c r="R609" i="1"/>
  <c r="V605" i="1"/>
  <c r="I618" i="1"/>
  <c r="M614" i="1"/>
  <c r="Q610" i="1"/>
  <c r="U606" i="1"/>
  <c r="H619" i="1"/>
  <c r="L615" i="1"/>
  <c r="P611" i="1"/>
  <c r="T607" i="1"/>
  <c r="K1039" i="1"/>
  <c r="O1035" i="1"/>
  <c r="S1031" i="1"/>
  <c r="J1040" i="1"/>
  <c r="N1036" i="1"/>
  <c r="R1032" i="1"/>
  <c r="V1028" i="1"/>
  <c r="M1037" i="1"/>
  <c r="P1034" i="1"/>
  <c r="U1029" i="1"/>
  <c r="I1041" i="1"/>
  <c r="L1038" i="1"/>
  <c r="Q1033" i="1"/>
  <c r="T1030" i="1"/>
  <c r="H1042" i="1"/>
  <c r="K1446" i="1"/>
  <c r="O1442" i="1"/>
  <c r="S1438" i="1"/>
  <c r="J1447" i="1"/>
  <c r="H1449" i="1"/>
  <c r="L1445" i="1"/>
  <c r="P1441" i="1"/>
  <c r="T1437" i="1"/>
  <c r="Q1440" i="1"/>
  <c r="N1443" i="1"/>
  <c r="V1435" i="1"/>
  <c r="I1448" i="1"/>
  <c r="M1444" i="1"/>
  <c r="U1436" i="1"/>
  <c r="R1439" i="1"/>
  <c r="I830" i="1"/>
  <c r="M826" i="1"/>
  <c r="Q822" i="1"/>
  <c r="U818" i="1"/>
  <c r="K828" i="1"/>
  <c r="O824" i="1"/>
  <c r="S820" i="1"/>
  <c r="R821" i="1"/>
  <c r="J829" i="1"/>
  <c r="T819" i="1"/>
  <c r="H831" i="1"/>
  <c r="L827" i="1"/>
  <c r="N825" i="1"/>
  <c r="P823" i="1"/>
  <c r="V817" i="1"/>
  <c r="K468" i="1"/>
  <c r="O464" i="1"/>
  <c r="S460" i="1"/>
  <c r="J469" i="1"/>
  <c r="N465" i="1"/>
  <c r="R461" i="1"/>
  <c r="I470" i="1"/>
  <c r="M466" i="1"/>
  <c r="Q462" i="1"/>
  <c r="H471" i="1"/>
  <c r="L467" i="1"/>
  <c r="P463" i="1"/>
  <c r="T459" i="1"/>
  <c r="U458" i="1"/>
  <c r="V457" i="1"/>
  <c r="I817" i="1"/>
  <c r="M813" i="1"/>
  <c r="Q809" i="1"/>
  <c r="U805" i="1"/>
  <c r="P810" i="1"/>
  <c r="S807" i="1"/>
  <c r="H818" i="1"/>
  <c r="T806" i="1"/>
  <c r="J816" i="1"/>
  <c r="K815" i="1"/>
  <c r="R808" i="1"/>
  <c r="O811" i="1"/>
  <c r="L814" i="1"/>
  <c r="N812" i="1"/>
  <c r="V804" i="1"/>
  <c r="I1124" i="1"/>
  <c r="M1120" i="1"/>
  <c r="Q1116" i="1"/>
  <c r="U1112" i="1"/>
  <c r="H1125" i="1"/>
  <c r="L1121" i="1"/>
  <c r="P1117" i="1"/>
  <c r="T1113" i="1"/>
  <c r="K1122" i="1"/>
  <c r="O1118" i="1"/>
  <c r="S1114" i="1"/>
  <c r="J1123" i="1"/>
  <c r="N1119" i="1"/>
  <c r="R1115" i="1"/>
  <c r="V1111" i="1"/>
  <c r="I422" i="1"/>
  <c r="M418" i="1"/>
  <c r="Q414" i="1"/>
  <c r="U410" i="1"/>
  <c r="H423" i="1"/>
  <c r="L419" i="1"/>
  <c r="P415" i="1"/>
  <c r="T411" i="1"/>
  <c r="K420" i="1"/>
  <c r="O416" i="1"/>
  <c r="S412" i="1"/>
  <c r="N417" i="1"/>
  <c r="V409" i="1"/>
  <c r="J421" i="1"/>
  <c r="R413" i="1"/>
  <c r="H413" i="1"/>
  <c r="L409" i="1"/>
  <c r="P405" i="1"/>
  <c r="T401" i="1"/>
  <c r="K410" i="1"/>
  <c r="O406" i="1"/>
  <c r="S402" i="1"/>
  <c r="J411" i="1"/>
  <c r="N407" i="1"/>
  <c r="R403" i="1"/>
  <c r="V399" i="1"/>
  <c r="Q404" i="1"/>
  <c r="M408" i="1"/>
  <c r="I412" i="1"/>
  <c r="U400" i="1"/>
  <c r="J1149" i="1"/>
  <c r="N1145" i="1"/>
  <c r="R1141" i="1"/>
  <c r="V1137" i="1"/>
  <c r="I1150" i="1"/>
  <c r="M1146" i="1"/>
  <c r="Q1142" i="1"/>
  <c r="U1138" i="1"/>
  <c r="H1151" i="1"/>
  <c r="L1147" i="1"/>
  <c r="P1143" i="1"/>
  <c r="T1139" i="1"/>
  <c r="K1148" i="1"/>
  <c r="O1144" i="1"/>
  <c r="S1140" i="1"/>
  <c r="J447" i="1"/>
  <c r="N443" i="1"/>
  <c r="R439" i="1"/>
  <c r="V435" i="1"/>
  <c r="I448" i="1"/>
  <c r="M444" i="1"/>
  <c r="Q440" i="1"/>
  <c r="U436" i="1"/>
  <c r="H449" i="1"/>
  <c r="L445" i="1"/>
  <c r="P441" i="1"/>
  <c r="T437" i="1"/>
  <c r="S438" i="1"/>
  <c r="O442" i="1"/>
  <c r="K446" i="1"/>
  <c r="J930" i="1"/>
  <c r="N926" i="1"/>
  <c r="R922" i="1"/>
  <c r="V918" i="1"/>
  <c r="I931" i="1"/>
  <c r="M927" i="1"/>
  <c r="Q923" i="1"/>
  <c r="U919" i="1"/>
  <c r="H932" i="1"/>
  <c r="L928" i="1"/>
  <c r="P924" i="1"/>
  <c r="T920" i="1"/>
  <c r="K929" i="1"/>
  <c r="O925" i="1"/>
  <c r="S921" i="1"/>
  <c r="J1142" i="1"/>
  <c r="N1138" i="1"/>
  <c r="R1134" i="1"/>
  <c r="V1130" i="1"/>
  <c r="I1143" i="1"/>
  <c r="M1139" i="1"/>
  <c r="Q1135" i="1"/>
  <c r="U1131" i="1"/>
  <c r="K1141" i="1"/>
  <c r="P1136" i="1"/>
  <c r="L1140" i="1"/>
  <c r="S1133" i="1"/>
  <c r="O1137" i="1"/>
  <c r="H1144" i="1"/>
  <c r="T1132" i="1"/>
  <c r="H854" i="1"/>
  <c r="L850" i="1"/>
  <c r="P846" i="1"/>
  <c r="T842" i="1"/>
  <c r="O847" i="1"/>
  <c r="R844" i="1"/>
  <c r="U841" i="1"/>
  <c r="I853" i="1"/>
  <c r="S843" i="1"/>
  <c r="V840" i="1"/>
  <c r="J852" i="1"/>
  <c r="N848" i="1"/>
  <c r="K851" i="1"/>
  <c r="M849" i="1"/>
  <c r="Q845" i="1"/>
  <c r="J1157" i="1"/>
  <c r="N1153" i="1"/>
  <c r="H1159" i="1"/>
  <c r="L1155" i="1"/>
  <c r="K1156" i="1"/>
  <c r="R1149" i="1"/>
  <c r="V1145" i="1"/>
  <c r="Q1150" i="1"/>
  <c r="U1146" i="1"/>
  <c r="I1158" i="1"/>
  <c r="P1151" i="1"/>
  <c r="T1147" i="1"/>
  <c r="O1152" i="1"/>
  <c r="S1148" i="1"/>
  <c r="M1154" i="1"/>
  <c r="G107" i="1"/>
  <c r="J104" i="1"/>
  <c r="N100" i="1"/>
  <c r="R96" i="1"/>
  <c r="V92" i="1"/>
  <c r="I105" i="1"/>
  <c r="M101" i="1"/>
  <c r="Q97" i="1"/>
  <c r="U93" i="1"/>
  <c r="H106" i="1"/>
  <c r="L102" i="1"/>
  <c r="P98" i="1"/>
  <c r="T94" i="1"/>
  <c r="S95" i="1"/>
  <c r="O99" i="1"/>
  <c r="K103" i="1"/>
  <c r="H734" i="1"/>
  <c r="L730" i="1"/>
  <c r="P726" i="1"/>
  <c r="T722" i="1"/>
  <c r="K731" i="1"/>
  <c r="O727" i="1"/>
  <c r="S723" i="1"/>
  <c r="U721" i="1"/>
  <c r="J732" i="1"/>
  <c r="Q725" i="1"/>
  <c r="V720" i="1"/>
  <c r="M729" i="1"/>
  <c r="I733" i="1"/>
  <c r="N728" i="1"/>
  <c r="R724" i="1"/>
  <c r="I1707" i="1"/>
  <c r="M1703" i="1"/>
  <c r="Q1699" i="1"/>
  <c r="U1695" i="1"/>
  <c r="H1708" i="1"/>
  <c r="L1704" i="1"/>
  <c r="P1700" i="1"/>
  <c r="T1696" i="1"/>
  <c r="K1705" i="1"/>
  <c r="O1701" i="1"/>
  <c r="S1697" i="1"/>
  <c r="V1694" i="1"/>
  <c r="R1698" i="1"/>
  <c r="N1702" i="1"/>
  <c r="J1706" i="1"/>
  <c r="H1681" i="1"/>
  <c r="L1677" i="1"/>
  <c r="K1678" i="1"/>
  <c r="J1679" i="1"/>
  <c r="I1680" i="1"/>
  <c r="O1674" i="1"/>
  <c r="S1670" i="1"/>
  <c r="N1675" i="1"/>
  <c r="R1671" i="1"/>
  <c r="V1667" i="1"/>
  <c r="M1676" i="1"/>
  <c r="P1673" i="1"/>
  <c r="U1668" i="1"/>
  <c r="T1669" i="1"/>
  <c r="Q1672" i="1"/>
  <c r="K1622" i="1"/>
  <c r="O1618" i="1"/>
  <c r="S1614" i="1"/>
  <c r="J1623" i="1"/>
  <c r="N1619" i="1"/>
  <c r="R1615" i="1"/>
  <c r="V1611" i="1"/>
  <c r="L1621" i="1"/>
  <c r="Q1616" i="1"/>
  <c r="H1625" i="1"/>
  <c r="M1620" i="1"/>
  <c r="U1612" i="1"/>
  <c r="I1624" i="1"/>
  <c r="P1617" i="1"/>
  <c r="T1613" i="1"/>
  <c r="J1295" i="1"/>
  <c r="N1291" i="1"/>
  <c r="R1287" i="1"/>
  <c r="V1283" i="1"/>
  <c r="H1297" i="1"/>
  <c r="M1292" i="1"/>
  <c r="Q1288" i="1"/>
  <c r="U1284" i="1"/>
  <c r="I1296" i="1"/>
  <c r="S1286" i="1"/>
  <c r="O1290" i="1"/>
  <c r="T1285" i="1"/>
  <c r="K1294" i="1"/>
  <c r="L1293" i="1"/>
  <c r="P1289" i="1"/>
  <c r="H992" i="1"/>
  <c r="L988" i="1"/>
  <c r="P984" i="1"/>
  <c r="T980" i="1"/>
  <c r="K989" i="1"/>
  <c r="O985" i="1"/>
  <c r="S981" i="1"/>
  <c r="J990" i="1"/>
  <c r="N986" i="1"/>
  <c r="R982" i="1"/>
  <c r="V978" i="1"/>
  <c r="I991" i="1"/>
  <c r="M987" i="1"/>
  <c r="Q983" i="1"/>
  <c r="U979" i="1"/>
  <c r="H670" i="1"/>
  <c r="L666" i="1"/>
  <c r="P662" i="1"/>
  <c r="T658" i="1"/>
  <c r="K667" i="1"/>
  <c r="O663" i="1"/>
  <c r="S659" i="1"/>
  <c r="U657" i="1"/>
  <c r="J668" i="1"/>
  <c r="Q661" i="1"/>
  <c r="V656" i="1"/>
  <c r="M665" i="1"/>
  <c r="I669" i="1"/>
  <c r="N664" i="1"/>
  <c r="R660" i="1"/>
  <c r="J306" i="1"/>
  <c r="N302" i="1"/>
  <c r="R298" i="1"/>
  <c r="V294" i="1"/>
  <c r="I307" i="1"/>
  <c r="M303" i="1"/>
  <c r="Q299" i="1"/>
  <c r="U295" i="1"/>
  <c r="L304" i="1"/>
  <c r="S297" i="1"/>
  <c r="H308" i="1"/>
  <c r="O301" i="1"/>
  <c r="T296" i="1"/>
  <c r="P300" i="1"/>
  <c r="K305" i="1"/>
  <c r="K1466" i="1"/>
  <c r="O1462" i="1"/>
  <c r="S1458" i="1"/>
  <c r="L1465" i="1"/>
  <c r="V1455" i="1"/>
  <c r="M1464" i="1"/>
  <c r="N1463" i="1"/>
  <c r="I1468" i="1"/>
  <c r="T1457" i="1"/>
  <c r="J1467" i="1"/>
  <c r="U1456" i="1"/>
  <c r="Q1460" i="1"/>
  <c r="H1469" i="1"/>
  <c r="P1461" i="1"/>
  <c r="R1459" i="1"/>
  <c r="J1574" i="1"/>
  <c r="H1576" i="1"/>
  <c r="I1575" i="1"/>
  <c r="K1573" i="1"/>
  <c r="O1569" i="1"/>
  <c r="S1565" i="1"/>
  <c r="M1571" i="1"/>
  <c r="U1563" i="1"/>
  <c r="T1564" i="1"/>
  <c r="L1572" i="1"/>
  <c r="Q1567" i="1"/>
  <c r="P1568" i="1"/>
  <c r="N1570" i="1"/>
  <c r="R1566" i="1"/>
  <c r="V1562" i="1"/>
  <c r="H1244" i="1"/>
  <c r="L1240" i="1"/>
  <c r="P1236" i="1"/>
  <c r="T1232" i="1"/>
  <c r="K1241" i="1"/>
  <c r="O1237" i="1"/>
  <c r="J1242" i="1"/>
  <c r="N1238" i="1"/>
  <c r="R1234" i="1"/>
  <c r="I1243" i="1"/>
  <c r="M1239" i="1"/>
  <c r="Q1235" i="1"/>
  <c r="U1231" i="1"/>
  <c r="V1230" i="1"/>
  <c r="S1233" i="1"/>
  <c r="J907" i="1"/>
  <c r="N903" i="1"/>
  <c r="R899" i="1"/>
  <c r="V895" i="1"/>
  <c r="I908" i="1"/>
  <c r="M904" i="1"/>
  <c r="Q900" i="1"/>
  <c r="U896" i="1"/>
  <c r="S898" i="1"/>
  <c r="H909" i="1"/>
  <c r="O902" i="1"/>
  <c r="T897" i="1"/>
  <c r="L905" i="1"/>
  <c r="K906" i="1"/>
  <c r="P901" i="1"/>
  <c r="J563" i="1"/>
  <c r="N559" i="1"/>
  <c r="R555" i="1"/>
  <c r="V551" i="1"/>
  <c r="I564" i="1"/>
  <c r="M560" i="1"/>
  <c r="Q556" i="1"/>
  <c r="U552" i="1"/>
  <c r="H565" i="1"/>
  <c r="L561" i="1"/>
  <c r="P557" i="1"/>
  <c r="T553" i="1"/>
  <c r="K562" i="1"/>
  <c r="O558" i="1"/>
  <c r="S554" i="1"/>
  <c r="I208" i="1"/>
  <c r="M204" i="1"/>
  <c r="Q200" i="1"/>
  <c r="U196" i="1"/>
  <c r="J207" i="1"/>
  <c r="N203" i="1"/>
  <c r="R199" i="1"/>
  <c r="V195" i="1"/>
  <c r="O202" i="1"/>
  <c r="L205" i="1"/>
  <c r="T197" i="1"/>
  <c r="K206" i="1"/>
  <c r="S198" i="1"/>
  <c r="H209" i="1"/>
  <c r="P201" i="1"/>
  <c r="K892" i="1"/>
  <c r="O888" i="1"/>
  <c r="S884" i="1"/>
  <c r="J893" i="1"/>
  <c r="N889" i="1"/>
  <c r="Q886" i="1"/>
  <c r="T883" i="1"/>
  <c r="I894" i="1"/>
  <c r="P887" i="1"/>
  <c r="V881" i="1"/>
  <c r="M890" i="1"/>
  <c r="H895" i="1"/>
  <c r="L891" i="1"/>
  <c r="U882" i="1"/>
  <c r="R885" i="1"/>
  <c r="H1411" i="1"/>
  <c r="L1407" i="1"/>
  <c r="I1410" i="1"/>
  <c r="M1406" i="1"/>
  <c r="P1403" i="1"/>
  <c r="T1399" i="1"/>
  <c r="J1409" i="1"/>
  <c r="K1408" i="1"/>
  <c r="N1405" i="1"/>
  <c r="R1401" i="1"/>
  <c r="V1397" i="1"/>
  <c r="O1404" i="1"/>
  <c r="Q1402" i="1"/>
  <c r="U1398" i="1"/>
  <c r="S1400" i="1"/>
  <c r="H1092" i="1"/>
  <c r="L1088" i="1"/>
  <c r="P1084" i="1"/>
  <c r="T1080" i="1"/>
  <c r="K1089" i="1"/>
  <c r="O1085" i="1"/>
  <c r="S1081" i="1"/>
  <c r="M1087" i="1"/>
  <c r="R1082" i="1"/>
  <c r="U1079" i="1"/>
  <c r="I1091" i="1"/>
  <c r="N1086" i="1"/>
  <c r="J1090" i="1"/>
  <c r="Q1083" i="1"/>
  <c r="V1078" i="1"/>
  <c r="J786" i="1"/>
  <c r="N782" i="1"/>
  <c r="R778" i="1"/>
  <c r="I787" i="1"/>
  <c r="L784" i="1"/>
  <c r="S777" i="1"/>
  <c r="M783" i="1"/>
  <c r="P780" i="1"/>
  <c r="Q779" i="1"/>
  <c r="T776" i="1"/>
  <c r="K785" i="1"/>
  <c r="V774" i="1"/>
  <c r="H788" i="1"/>
  <c r="U775" i="1"/>
  <c r="O781" i="1"/>
  <c r="H429" i="1"/>
  <c r="L425" i="1"/>
  <c r="P421" i="1"/>
  <c r="T417" i="1"/>
  <c r="K426" i="1"/>
  <c r="O422" i="1"/>
  <c r="S418" i="1"/>
  <c r="J427" i="1"/>
  <c r="N423" i="1"/>
  <c r="R419" i="1"/>
  <c r="V415" i="1"/>
  <c r="M424" i="1"/>
  <c r="U416" i="1"/>
  <c r="I428" i="1"/>
  <c r="Q420" i="1"/>
  <c r="J1046" i="1"/>
  <c r="N1042" i="1"/>
  <c r="R1038" i="1"/>
  <c r="V1034" i="1"/>
  <c r="I1047" i="1"/>
  <c r="M1043" i="1"/>
  <c r="Q1039" i="1"/>
  <c r="U1035" i="1"/>
  <c r="L1044" i="1"/>
  <c r="O1041" i="1"/>
  <c r="T1036" i="1"/>
  <c r="P1040" i="1"/>
  <c r="K1045" i="1"/>
  <c r="H1048" i="1"/>
  <c r="S1037" i="1"/>
  <c r="I639" i="1"/>
  <c r="M635" i="1"/>
  <c r="Q631" i="1"/>
  <c r="U627" i="1"/>
  <c r="H640" i="1"/>
  <c r="L636" i="1"/>
  <c r="P632" i="1"/>
  <c r="T628" i="1"/>
  <c r="N634" i="1"/>
  <c r="S629" i="1"/>
  <c r="J638" i="1"/>
  <c r="O633" i="1"/>
  <c r="V626" i="1"/>
  <c r="R630" i="1"/>
  <c r="K637" i="1"/>
  <c r="L1400" i="1"/>
  <c r="P1396" i="1"/>
  <c r="T1392" i="1"/>
  <c r="K1401" i="1"/>
  <c r="O1397" i="1"/>
  <c r="S1393" i="1"/>
  <c r="H1404" i="1"/>
  <c r="V1390" i="1"/>
  <c r="J1402" i="1"/>
  <c r="M1399" i="1"/>
  <c r="R1394" i="1"/>
  <c r="U1391" i="1"/>
  <c r="N1398" i="1"/>
  <c r="I1403" i="1"/>
  <c r="Q1395" i="1"/>
  <c r="H1052" i="1"/>
  <c r="L1048" i="1"/>
  <c r="P1044" i="1"/>
  <c r="T1040" i="1"/>
  <c r="K1049" i="1"/>
  <c r="O1045" i="1"/>
  <c r="S1041" i="1"/>
  <c r="V1038" i="1"/>
  <c r="J1050" i="1"/>
  <c r="M1047" i="1"/>
  <c r="R1042" i="1"/>
  <c r="U1039" i="1"/>
  <c r="I1051" i="1"/>
  <c r="N1046" i="1"/>
  <c r="Q1043" i="1"/>
  <c r="I740" i="1"/>
  <c r="H741" i="1"/>
  <c r="L737" i="1"/>
  <c r="P733" i="1"/>
  <c r="T729" i="1"/>
  <c r="K738" i="1"/>
  <c r="O734" i="1"/>
  <c r="S730" i="1"/>
  <c r="N735" i="1"/>
  <c r="R731" i="1"/>
  <c r="V727" i="1"/>
  <c r="M736" i="1"/>
  <c r="Q732" i="1"/>
  <c r="U728" i="1"/>
  <c r="J739" i="1"/>
  <c r="I367" i="1"/>
  <c r="M363" i="1"/>
  <c r="Q359" i="1"/>
  <c r="U355" i="1"/>
  <c r="H368" i="1"/>
  <c r="L364" i="1"/>
  <c r="P360" i="1"/>
  <c r="T356" i="1"/>
  <c r="V354" i="1"/>
  <c r="J366" i="1"/>
  <c r="O361" i="1"/>
  <c r="R358" i="1"/>
  <c r="N362" i="1"/>
  <c r="K365" i="1"/>
  <c r="S357" i="1"/>
  <c r="J1556" i="1"/>
  <c r="N1552" i="1"/>
  <c r="P1550" i="1"/>
  <c r="L1554" i="1"/>
  <c r="M1553" i="1"/>
  <c r="Q1549" i="1"/>
  <c r="U1545" i="1"/>
  <c r="K1555" i="1"/>
  <c r="H1558" i="1"/>
  <c r="T1546" i="1"/>
  <c r="V1544" i="1"/>
  <c r="I1557" i="1"/>
  <c r="O1551" i="1"/>
  <c r="S1547" i="1"/>
  <c r="R1548" i="1"/>
  <c r="I1357" i="1"/>
  <c r="N1352" i="1"/>
  <c r="R1348" i="1"/>
  <c r="V1344" i="1"/>
  <c r="M1353" i="1"/>
  <c r="Q1349" i="1"/>
  <c r="U1345" i="1"/>
  <c r="J1356" i="1"/>
  <c r="L1354" i="1"/>
  <c r="P1350" i="1"/>
  <c r="T1346" i="1"/>
  <c r="K1355" i="1"/>
  <c r="O1351" i="1"/>
  <c r="S1347" i="1"/>
  <c r="H1358" i="1"/>
  <c r="H1428" i="1"/>
  <c r="L1424" i="1"/>
  <c r="P1420" i="1"/>
  <c r="T1416" i="1"/>
  <c r="I1427" i="1"/>
  <c r="U1415" i="1"/>
  <c r="V1414" i="1"/>
  <c r="M1423" i="1"/>
  <c r="K1425" i="1"/>
  <c r="N1422" i="1"/>
  <c r="O1421" i="1"/>
  <c r="J1426" i="1"/>
  <c r="Q1419" i="1"/>
  <c r="R1418" i="1"/>
  <c r="S1417" i="1"/>
  <c r="J1109" i="1"/>
  <c r="N1105" i="1"/>
  <c r="R1101" i="1"/>
  <c r="V1097" i="1"/>
  <c r="I1110" i="1"/>
  <c r="M1106" i="1"/>
  <c r="Q1102" i="1"/>
  <c r="U1098" i="1"/>
  <c r="H1111" i="1"/>
  <c r="L1107" i="1"/>
  <c r="P1103" i="1"/>
  <c r="T1099" i="1"/>
  <c r="K1108" i="1"/>
  <c r="O1104" i="1"/>
  <c r="S1100" i="1"/>
  <c r="K811" i="1"/>
  <c r="O807" i="1"/>
  <c r="S803" i="1"/>
  <c r="N808" i="1"/>
  <c r="Q805" i="1"/>
  <c r="H814" i="1"/>
  <c r="R804" i="1"/>
  <c r="U801" i="1"/>
  <c r="I813" i="1"/>
  <c r="V800" i="1"/>
  <c r="P806" i="1"/>
  <c r="M809" i="1"/>
  <c r="J812" i="1"/>
  <c r="L810" i="1"/>
  <c r="T802" i="1"/>
  <c r="H406" i="1"/>
  <c r="L402" i="1"/>
  <c r="P398" i="1"/>
  <c r="T394" i="1"/>
  <c r="K403" i="1"/>
  <c r="O399" i="1"/>
  <c r="S395" i="1"/>
  <c r="Q397" i="1"/>
  <c r="V392" i="1"/>
  <c r="J404" i="1"/>
  <c r="M401" i="1"/>
  <c r="R396" i="1"/>
  <c r="I405" i="1"/>
  <c r="N400" i="1"/>
  <c r="U393" i="1"/>
  <c r="J774" i="1"/>
  <c r="N770" i="1"/>
  <c r="R766" i="1"/>
  <c r="V762" i="1"/>
  <c r="H776" i="1"/>
  <c r="L772" i="1"/>
  <c r="P768" i="1"/>
  <c r="T764" i="1"/>
  <c r="M771" i="1"/>
  <c r="S765" i="1"/>
  <c r="U763" i="1"/>
  <c r="I775" i="1"/>
  <c r="O769" i="1"/>
  <c r="K773" i="1"/>
  <c r="Q767" i="1"/>
  <c r="I1421" i="1"/>
  <c r="M1417" i="1"/>
  <c r="Q1413" i="1"/>
  <c r="J1420" i="1"/>
  <c r="U1409" i="1"/>
  <c r="K1419" i="1"/>
  <c r="L1418" i="1"/>
  <c r="N1416" i="1"/>
  <c r="V1408" i="1"/>
  <c r="O1415" i="1"/>
  <c r="P1414" i="1"/>
  <c r="H1422" i="1"/>
  <c r="R1412" i="1"/>
  <c r="S1411" i="1"/>
  <c r="T1410" i="1"/>
  <c r="H1107" i="1"/>
  <c r="L1103" i="1"/>
  <c r="P1099" i="1"/>
  <c r="T1095" i="1"/>
  <c r="K1104" i="1"/>
  <c r="O1100" i="1"/>
  <c r="S1096" i="1"/>
  <c r="J1105" i="1"/>
  <c r="N1101" i="1"/>
  <c r="R1097" i="1"/>
  <c r="V1093" i="1"/>
  <c r="I1106" i="1"/>
  <c r="M1102" i="1"/>
  <c r="Q1098" i="1"/>
  <c r="U1094" i="1"/>
  <c r="H808" i="1"/>
  <c r="L804" i="1"/>
  <c r="P800" i="1"/>
  <c r="T796" i="1"/>
  <c r="S797" i="1"/>
  <c r="V794" i="1"/>
  <c r="M803" i="1"/>
  <c r="J806" i="1"/>
  <c r="K805" i="1"/>
  <c r="N802" i="1"/>
  <c r="U795" i="1"/>
  <c r="O801" i="1"/>
  <c r="Q799" i="1"/>
  <c r="I807" i="1"/>
  <c r="R798" i="1"/>
  <c r="K441" i="1"/>
  <c r="O437" i="1"/>
  <c r="S433" i="1"/>
  <c r="J442" i="1"/>
  <c r="N438" i="1"/>
  <c r="R434" i="1"/>
  <c r="V430" i="1"/>
  <c r="L440" i="1"/>
  <c r="Q435" i="1"/>
  <c r="T432" i="1"/>
  <c r="H444" i="1"/>
  <c r="M439" i="1"/>
  <c r="U431" i="1"/>
  <c r="P436" i="1"/>
  <c r="I443" i="1"/>
  <c r="I970" i="1"/>
  <c r="M966" i="1"/>
  <c r="Q962" i="1"/>
  <c r="U958" i="1"/>
  <c r="H971" i="1"/>
  <c r="L967" i="1"/>
  <c r="P963" i="1"/>
  <c r="T959" i="1"/>
  <c r="J969" i="1"/>
  <c r="O964" i="1"/>
  <c r="V957" i="1"/>
  <c r="K968" i="1"/>
  <c r="S960" i="1"/>
  <c r="R961" i="1"/>
  <c r="N965" i="1"/>
  <c r="J1174" i="1"/>
  <c r="N1170" i="1"/>
  <c r="R1166" i="1"/>
  <c r="V1162" i="1"/>
  <c r="I1175" i="1"/>
  <c r="M1171" i="1"/>
  <c r="Q1167" i="1"/>
  <c r="O1169" i="1"/>
  <c r="U1163" i="1"/>
  <c r="K1173" i="1"/>
  <c r="T1164" i="1"/>
  <c r="P1168" i="1"/>
  <c r="S1165" i="1"/>
  <c r="H1176" i="1"/>
  <c r="L1172" i="1"/>
  <c r="G123" i="1"/>
  <c r="J120" i="1"/>
  <c r="N116" i="1"/>
  <c r="R112" i="1"/>
  <c r="V108" i="1"/>
  <c r="I121" i="1"/>
  <c r="M117" i="1"/>
  <c r="Q113" i="1"/>
  <c r="U109" i="1"/>
  <c r="H122" i="1"/>
  <c r="L118" i="1"/>
  <c r="P114" i="1"/>
  <c r="T110" i="1"/>
  <c r="O115" i="1"/>
  <c r="K119" i="1"/>
  <c r="S111" i="1"/>
  <c r="G168" i="1"/>
  <c r="H167" i="1"/>
  <c r="L163" i="1"/>
  <c r="I166" i="1"/>
  <c r="M162" i="1"/>
  <c r="J165" i="1"/>
  <c r="Q158" i="1"/>
  <c r="U154" i="1"/>
  <c r="K164" i="1"/>
  <c r="N161" i="1"/>
  <c r="P159" i="1"/>
  <c r="T155" i="1"/>
  <c r="O160" i="1"/>
  <c r="S156" i="1"/>
  <c r="R157" i="1"/>
  <c r="V153" i="1"/>
  <c r="G163" i="1"/>
  <c r="J160" i="1"/>
  <c r="N156" i="1"/>
  <c r="R152" i="1"/>
  <c r="V148" i="1"/>
  <c r="H162" i="1"/>
  <c r="M157" i="1"/>
  <c r="Q153" i="1"/>
  <c r="U149" i="1"/>
  <c r="I161" i="1"/>
  <c r="L158" i="1"/>
  <c r="P154" i="1"/>
  <c r="T150" i="1"/>
  <c r="S151" i="1"/>
  <c r="O155" i="1"/>
  <c r="K159" i="1"/>
  <c r="G59" i="1"/>
  <c r="I57" i="1"/>
  <c r="M53" i="1"/>
  <c r="Q49" i="1"/>
  <c r="U45" i="1"/>
  <c r="V44" i="1"/>
  <c r="P50" i="1"/>
  <c r="S47" i="1"/>
  <c r="J56" i="1"/>
  <c r="L54" i="1"/>
  <c r="T46" i="1"/>
  <c r="R48" i="1"/>
  <c r="O51" i="1"/>
  <c r="N52" i="1"/>
  <c r="H58" i="1"/>
  <c r="K55" i="1"/>
  <c r="H329" i="1"/>
  <c r="L325" i="1"/>
  <c r="M324" i="1"/>
  <c r="Q320" i="1"/>
  <c r="U316" i="1"/>
  <c r="N323" i="1"/>
  <c r="P321" i="1"/>
  <c r="T317" i="1"/>
  <c r="O322" i="1"/>
  <c r="S318" i="1"/>
  <c r="J327" i="1"/>
  <c r="K326" i="1"/>
  <c r="R319" i="1"/>
  <c r="V315" i="1"/>
  <c r="I328" i="1"/>
  <c r="H685" i="1"/>
  <c r="L681" i="1"/>
  <c r="P677" i="1"/>
  <c r="T673" i="1"/>
  <c r="K682" i="1"/>
  <c r="O678" i="1"/>
  <c r="S674" i="1"/>
  <c r="J683" i="1"/>
  <c r="N679" i="1"/>
  <c r="R675" i="1"/>
  <c r="V671" i="1"/>
  <c r="I684" i="1"/>
  <c r="M680" i="1"/>
  <c r="Q676" i="1"/>
  <c r="U672" i="1"/>
  <c r="I615" i="1"/>
  <c r="M611" i="1"/>
  <c r="Q607" i="1"/>
  <c r="U603" i="1"/>
  <c r="H616" i="1"/>
  <c r="L612" i="1"/>
  <c r="P608" i="1"/>
  <c r="T604" i="1"/>
  <c r="R606" i="1"/>
  <c r="N610" i="1"/>
  <c r="S605" i="1"/>
  <c r="J614" i="1"/>
  <c r="V602" i="1"/>
  <c r="K613" i="1"/>
  <c r="O609" i="1"/>
  <c r="K1264" i="1"/>
  <c r="O1260" i="1"/>
  <c r="S1256" i="1"/>
  <c r="J1265" i="1"/>
  <c r="N1261" i="1"/>
  <c r="R1257" i="1"/>
  <c r="V1253" i="1"/>
  <c r="L1263" i="1"/>
  <c r="Q1258" i="1"/>
  <c r="H1267" i="1"/>
  <c r="M1262" i="1"/>
  <c r="T1255" i="1"/>
  <c r="P1259" i="1"/>
  <c r="U1254" i="1"/>
  <c r="I1266" i="1"/>
  <c r="K1669" i="1"/>
  <c r="O1665" i="1"/>
  <c r="S1661" i="1"/>
  <c r="J1670" i="1"/>
  <c r="N1666" i="1"/>
  <c r="R1662" i="1"/>
  <c r="V1658" i="1"/>
  <c r="H1672" i="1"/>
  <c r="L1668" i="1"/>
  <c r="P1664" i="1"/>
  <c r="T1660" i="1"/>
  <c r="Q1663" i="1"/>
  <c r="M1667" i="1"/>
  <c r="U1659" i="1"/>
  <c r="I1671" i="1"/>
  <c r="I757" i="1"/>
  <c r="M753" i="1"/>
  <c r="K755" i="1"/>
  <c r="O751" i="1"/>
  <c r="S747" i="1"/>
  <c r="L754" i="1"/>
  <c r="V744" i="1"/>
  <c r="U745" i="1"/>
  <c r="T746" i="1"/>
  <c r="H758" i="1"/>
  <c r="N752" i="1"/>
  <c r="R748" i="1"/>
  <c r="J756" i="1"/>
  <c r="P750" i="1"/>
  <c r="Q749" i="1"/>
  <c r="K298" i="1"/>
  <c r="O294" i="1"/>
  <c r="S290" i="1"/>
  <c r="J299" i="1"/>
  <c r="N295" i="1"/>
  <c r="R291" i="1"/>
  <c r="V287" i="1"/>
  <c r="I300" i="1"/>
  <c r="M296" i="1"/>
  <c r="Q292" i="1"/>
  <c r="U288" i="1"/>
  <c r="H301" i="1"/>
  <c r="L297" i="1"/>
  <c r="P293" i="1"/>
  <c r="T289" i="1"/>
  <c r="K509" i="1"/>
  <c r="O505" i="1"/>
  <c r="S501" i="1"/>
  <c r="J510" i="1"/>
  <c r="N506" i="1"/>
  <c r="R502" i="1"/>
  <c r="V498" i="1"/>
  <c r="T500" i="1"/>
  <c r="I511" i="1"/>
  <c r="P504" i="1"/>
  <c r="U499" i="1"/>
  <c r="L508" i="1"/>
  <c r="H512" i="1"/>
  <c r="Q503" i="1"/>
  <c r="M507" i="1"/>
  <c r="I825" i="1"/>
  <c r="M821" i="1"/>
  <c r="Q817" i="1"/>
  <c r="U813" i="1"/>
  <c r="S815" i="1"/>
  <c r="T814" i="1"/>
  <c r="J824" i="1"/>
  <c r="K823" i="1"/>
  <c r="L822" i="1"/>
  <c r="N820" i="1"/>
  <c r="O819" i="1"/>
  <c r="P818" i="1"/>
  <c r="V812" i="1"/>
  <c r="H826" i="1"/>
  <c r="R816" i="1"/>
  <c r="I890" i="1"/>
  <c r="M886" i="1"/>
  <c r="Q882" i="1"/>
  <c r="H891" i="1"/>
  <c r="V877" i="1"/>
  <c r="P883" i="1"/>
  <c r="S880" i="1"/>
  <c r="T879" i="1"/>
  <c r="K888" i="1"/>
  <c r="N885" i="1"/>
  <c r="O884" i="1"/>
  <c r="R881" i="1"/>
  <c r="L887" i="1"/>
  <c r="U878" i="1"/>
  <c r="J889" i="1"/>
  <c r="H529" i="1"/>
  <c r="L525" i="1"/>
  <c r="P521" i="1"/>
  <c r="T517" i="1"/>
  <c r="K526" i="1"/>
  <c r="O522" i="1"/>
  <c r="S518" i="1"/>
  <c r="J527" i="1"/>
  <c r="N523" i="1"/>
  <c r="R519" i="1"/>
  <c r="V515" i="1"/>
  <c r="I528" i="1"/>
  <c r="M524" i="1"/>
  <c r="Q520" i="1"/>
  <c r="U516" i="1"/>
  <c r="H48" i="1"/>
  <c r="L44" i="1"/>
  <c r="I47" i="1"/>
  <c r="R38" i="1"/>
  <c r="Q39" i="1"/>
  <c r="U35" i="1"/>
  <c r="M43" i="1"/>
  <c r="J46" i="1"/>
  <c r="P40" i="1"/>
  <c r="T36" i="1"/>
  <c r="O41" i="1"/>
  <c r="V34" i="1"/>
  <c r="K45" i="1"/>
  <c r="N42" i="1"/>
  <c r="S37" i="1"/>
  <c r="J1653" i="1"/>
  <c r="N1649" i="1"/>
  <c r="R1645" i="1"/>
  <c r="V1641" i="1"/>
  <c r="I1654" i="1"/>
  <c r="M1650" i="1"/>
  <c r="Q1646" i="1"/>
  <c r="U1642" i="1"/>
  <c r="T1643" i="1"/>
  <c r="H1655" i="1"/>
  <c r="K1652" i="1"/>
  <c r="P1647" i="1"/>
  <c r="S1644" i="1"/>
  <c r="L1651" i="1"/>
  <c r="O1648" i="1"/>
  <c r="G257" i="1"/>
  <c r="G258" i="1" s="1"/>
  <c r="H256" i="1"/>
  <c r="L252" i="1"/>
  <c r="P248" i="1"/>
  <c r="T244" i="1"/>
  <c r="K253" i="1"/>
  <c r="O249" i="1"/>
  <c r="S245" i="1"/>
  <c r="M251" i="1"/>
  <c r="R246" i="1"/>
  <c r="I255" i="1"/>
  <c r="V242" i="1"/>
  <c r="N250" i="1"/>
  <c r="J254" i="1"/>
  <c r="U243" i="1"/>
  <c r="Q247" i="1"/>
  <c r="K517" i="1"/>
  <c r="O513" i="1"/>
  <c r="S509" i="1"/>
  <c r="J518" i="1"/>
  <c r="N514" i="1"/>
  <c r="R510" i="1"/>
  <c r="V506" i="1"/>
  <c r="H520" i="1"/>
  <c r="M515" i="1"/>
  <c r="T508" i="1"/>
  <c r="I519" i="1"/>
  <c r="P512" i="1"/>
  <c r="Q511" i="1"/>
  <c r="L516" i="1"/>
  <c r="U507" i="1"/>
  <c r="H747" i="1"/>
  <c r="L743" i="1"/>
  <c r="K744" i="1"/>
  <c r="O740" i="1"/>
  <c r="J745" i="1"/>
  <c r="S736" i="1"/>
  <c r="P739" i="1"/>
  <c r="R737" i="1"/>
  <c r="V733" i="1"/>
  <c r="Q738" i="1"/>
  <c r="U734" i="1"/>
  <c r="M742" i="1"/>
  <c r="T735" i="1"/>
  <c r="I746" i="1"/>
  <c r="N741" i="1"/>
  <c r="H454" i="1"/>
  <c r="L450" i="1"/>
  <c r="P446" i="1"/>
  <c r="T442" i="1"/>
  <c r="K451" i="1"/>
  <c r="O447" i="1"/>
  <c r="S443" i="1"/>
  <c r="I453" i="1"/>
  <c r="N448" i="1"/>
  <c r="Q445" i="1"/>
  <c r="V440" i="1"/>
  <c r="J452" i="1"/>
  <c r="R444" i="1"/>
  <c r="U441" i="1"/>
  <c r="M449" i="1"/>
  <c r="I1360" i="1"/>
  <c r="M1356" i="1"/>
  <c r="O1354" i="1"/>
  <c r="S1350" i="1"/>
  <c r="J1359" i="1"/>
  <c r="R1351" i="1"/>
  <c r="V1347" i="1"/>
  <c r="N1355" i="1"/>
  <c r="L1357" i="1"/>
  <c r="T1349" i="1"/>
  <c r="P1353" i="1"/>
  <c r="Q1352" i="1"/>
  <c r="H1361" i="1"/>
  <c r="K1358" i="1"/>
  <c r="U1348" i="1"/>
  <c r="J1014" i="1"/>
  <c r="N1010" i="1"/>
  <c r="I1015" i="1"/>
  <c r="M1011" i="1"/>
  <c r="Q1007" i="1"/>
  <c r="V1002" i="1"/>
  <c r="H1016" i="1"/>
  <c r="K1013" i="1"/>
  <c r="S1005" i="1"/>
  <c r="P1008" i="1"/>
  <c r="T1004" i="1"/>
  <c r="L1012" i="1"/>
  <c r="O1009" i="1"/>
  <c r="R1006" i="1"/>
  <c r="U1003" i="1"/>
  <c r="J695" i="1"/>
  <c r="N691" i="1"/>
  <c r="R687" i="1"/>
  <c r="V683" i="1"/>
  <c r="I696" i="1"/>
  <c r="M692" i="1"/>
  <c r="Q688" i="1"/>
  <c r="U684" i="1"/>
  <c r="H697" i="1"/>
  <c r="L693" i="1"/>
  <c r="P689" i="1"/>
  <c r="T685" i="1"/>
  <c r="K694" i="1"/>
  <c r="O690" i="1"/>
  <c r="S686" i="1"/>
  <c r="K819" i="1"/>
  <c r="O815" i="1"/>
  <c r="S811" i="1"/>
  <c r="L818" i="1"/>
  <c r="R812" i="1"/>
  <c r="U809" i="1"/>
  <c r="M817" i="1"/>
  <c r="N816" i="1"/>
  <c r="V808" i="1"/>
  <c r="H822" i="1"/>
  <c r="T810" i="1"/>
  <c r="P814" i="1"/>
  <c r="I821" i="1"/>
  <c r="Q813" i="1"/>
  <c r="J820" i="1"/>
  <c r="K1386" i="1"/>
  <c r="O1382" i="1"/>
  <c r="S1378" i="1"/>
  <c r="J1387" i="1"/>
  <c r="N1383" i="1"/>
  <c r="R1379" i="1"/>
  <c r="V1375" i="1"/>
  <c r="M1384" i="1"/>
  <c r="U1376" i="1"/>
  <c r="L1385" i="1"/>
  <c r="T1377" i="1"/>
  <c r="I1388" i="1"/>
  <c r="Q1380" i="1"/>
  <c r="P1381" i="1"/>
  <c r="H1389" i="1"/>
  <c r="I1077" i="1"/>
  <c r="M1073" i="1"/>
  <c r="Q1069" i="1"/>
  <c r="U1065" i="1"/>
  <c r="H1078" i="1"/>
  <c r="L1074" i="1"/>
  <c r="P1070" i="1"/>
  <c r="T1066" i="1"/>
  <c r="O1071" i="1"/>
  <c r="R1068" i="1"/>
  <c r="K1075" i="1"/>
  <c r="N1072" i="1"/>
  <c r="S1067" i="1"/>
  <c r="V1064" i="1"/>
  <c r="J1076" i="1"/>
  <c r="J766" i="1"/>
  <c r="N762" i="1"/>
  <c r="R758" i="1"/>
  <c r="V754" i="1"/>
  <c r="H768" i="1"/>
  <c r="L764" i="1"/>
  <c r="P760" i="1"/>
  <c r="T756" i="1"/>
  <c r="I767" i="1"/>
  <c r="O761" i="1"/>
  <c r="Q759" i="1"/>
  <c r="K765" i="1"/>
  <c r="U755" i="1"/>
  <c r="S757" i="1"/>
  <c r="M763" i="1"/>
  <c r="I359" i="1"/>
  <c r="M355" i="1"/>
  <c r="Q351" i="1"/>
  <c r="U347" i="1"/>
  <c r="H360" i="1"/>
  <c r="L356" i="1"/>
  <c r="P352" i="1"/>
  <c r="T348" i="1"/>
  <c r="R350" i="1"/>
  <c r="K357" i="1"/>
  <c r="N354" i="1"/>
  <c r="S349" i="1"/>
  <c r="J358" i="1"/>
  <c r="O353" i="1"/>
  <c r="V346" i="1"/>
  <c r="J547" i="1"/>
  <c r="N543" i="1"/>
  <c r="R539" i="1"/>
  <c r="V535" i="1"/>
  <c r="I548" i="1"/>
  <c r="M544" i="1"/>
  <c r="Q540" i="1"/>
  <c r="U536" i="1"/>
  <c r="H549" i="1"/>
  <c r="L545" i="1"/>
  <c r="P541" i="1"/>
  <c r="T537" i="1"/>
  <c r="K546" i="1"/>
  <c r="O542" i="1"/>
  <c r="S538" i="1"/>
  <c r="J1382" i="1"/>
  <c r="N1378" i="1"/>
  <c r="R1374" i="1"/>
  <c r="V1370" i="1"/>
  <c r="I1383" i="1"/>
  <c r="M1379" i="1"/>
  <c r="Q1375" i="1"/>
  <c r="U1371" i="1"/>
  <c r="L1380" i="1"/>
  <c r="T1372" i="1"/>
  <c r="K1381" i="1"/>
  <c r="S1373" i="1"/>
  <c r="H1384" i="1"/>
  <c r="P1376" i="1"/>
  <c r="O1377" i="1"/>
  <c r="J1070" i="1"/>
  <c r="N1066" i="1"/>
  <c r="R1062" i="1"/>
  <c r="V1058" i="1"/>
  <c r="I1071" i="1"/>
  <c r="M1067" i="1"/>
  <c r="Q1063" i="1"/>
  <c r="U1059" i="1"/>
  <c r="P1064" i="1"/>
  <c r="S1061" i="1"/>
  <c r="L1068" i="1"/>
  <c r="O1065" i="1"/>
  <c r="H1072" i="1"/>
  <c r="K1069" i="1"/>
  <c r="T1060" i="1"/>
  <c r="H763" i="1"/>
  <c r="L759" i="1"/>
  <c r="P755" i="1"/>
  <c r="T751" i="1"/>
  <c r="K760" i="1"/>
  <c r="O756" i="1"/>
  <c r="S752" i="1"/>
  <c r="J761" i="1"/>
  <c r="N757" i="1"/>
  <c r="R753" i="1"/>
  <c r="V749" i="1"/>
  <c r="M758" i="1"/>
  <c r="U750" i="1"/>
  <c r="I762" i="1"/>
  <c r="Q754" i="1"/>
  <c r="J399" i="1"/>
  <c r="N395" i="1"/>
  <c r="R391" i="1"/>
  <c r="V387" i="1"/>
  <c r="I400" i="1"/>
  <c r="M396" i="1"/>
  <c r="Q392" i="1"/>
  <c r="U388" i="1"/>
  <c r="H401" i="1"/>
  <c r="L397" i="1"/>
  <c r="P393" i="1"/>
  <c r="T389" i="1"/>
  <c r="O394" i="1"/>
  <c r="K398" i="1"/>
  <c r="S390" i="1"/>
  <c r="J415" i="1"/>
  <c r="N411" i="1"/>
  <c r="R407" i="1"/>
  <c r="V403" i="1"/>
  <c r="I416" i="1"/>
  <c r="M412" i="1"/>
  <c r="Q408" i="1"/>
  <c r="U404" i="1"/>
  <c r="H417" i="1"/>
  <c r="L413" i="1"/>
  <c r="P409" i="1"/>
  <c r="T405" i="1"/>
  <c r="K414" i="1"/>
  <c r="S406" i="1"/>
  <c r="O410" i="1"/>
  <c r="K1453" i="1"/>
  <c r="J1454" i="1"/>
  <c r="I1455" i="1"/>
  <c r="N1450" i="1"/>
  <c r="R1446" i="1"/>
  <c r="V1442" i="1"/>
  <c r="L1452" i="1"/>
  <c r="H1456" i="1"/>
  <c r="O1449" i="1"/>
  <c r="S1445" i="1"/>
  <c r="T1444" i="1"/>
  <c r="M1451" i="1"/>
  <c r="P1448" i="1"/>
  <c r="Q1447" i="1"/>
  <c r="U1443" i="1"/>
  <c r="J1413" i="1"/>
  <c r="N1409" i="1"/>
  <c r="R1405" i="1"/>
  <c r="K1412" i="1"/>
  <c r="O1408" i="1"/>
  <c r="S1404" i="1"/>
  <c r="H1415" i="1"/>
  <c r="I1414" i="1"/>
  <c r="V1401" i="1"/>
  <c r="L1411" i="1"/>
  <c r="M1410" i="1"/>
  <c r="P1407" i="1"/>
  <c r="Q1406" i="1"/>
  <c r="T1403" i="1"/>
  <c r="U1402" i="1"/>
  <c r="I1571" i="1"/>
  <c r="M1567" i="1"/>
  <c r="Q1563" i="1"/>
  <c r="U1559" i="1"/>
  <c r="H1572" i="1"/>
  <c r="K1569" i="1"/>
  <c r="S1561" i="1"/>
  <c r="J1570" i="1"/>
  <c r="R1562" i="1"/>
  <c r="O1565" i="1"/>
  <c r="N1566" i="1"/>
  <c r="V1558" i="1"/>
  <c r="L1568" i="1"/>
  <c r="P1564" i="1"/>
  <c r="T1560" i="1"/>
  <c r="K1565" i="1"/>
  <c r="O1561" i="1"/>
  <c r="S1557" i="1"/>
  <c r="I1567" i="1"/>
  <c r="Q1559" i="1"/>
  <c r="H1568" i="1"/>
  <c r="P1560" i="1"/>
  <c r="M1563" i="1"/>
  <c r="U1555" i="1"/>
  <c r="L1564" i="1"/>
  <c r="T1556" i="1"/>
  <c r="N1562" i="1"/>
  <c r="R1558" i="1"/>
  <c r="J1566" i="1"/>
  <c r="V1554" i="1"/>
  <c r="H929" i="1"/>
  <c r="L925" i="1"/>
  <c r="P921" i="1"/>
  <c r="T917" i="1"/>
  <c r="K926" i="1"/>
  <c r="O922" i="1"/>
  <c r="S918" i="1"/>
  <c r="M924" i="1"/>
  <c r="R919" i="1"/>
  <c r="I928" i="1"/>
  <c r="N923" i="1"/>
  <c r="V915" i="1"/>
  <c r="U916" i="1"/>
  <c r="J927" i="1"/>
  <c r="Q920" i="1"/>
  <c r="H232" i="1"/>
  <c r="L228" i="1"/>
  <c r="P224" i="1"/>
  <c r="T220" i="1"/>
  <c r="K229" i="1"/>
  <c r="O225" i="1"/>
  <c r="S221" i="1"/>
  <c r="V218" i="1"/>
  <c r="J230" i="1"/>
  <c r="M227" i="1"/>
  <c r="R222" i="1"/>
  <c r="U219" i="1"/>
  <c r="I231" i="1"/>
  <c r="Q223" i="1"/>
  <c r="N226" i="1"/>
  <c r="H264" i="1"/>
  <c r="L260" i="1"/>
  <c r="P256" i="1"/>
  <c r="T252" i="1"/>
  <c r="K261" i="1"/>
  <c r="O257" i="1"/>
  <c r="S253" i="1"/>
  <c r="Q255" i="1"/>
  <c r="V250" i="1"/>
  <c r="M259" i="1"/>
  <c r="R254" i="1"/>
  <c r="I263" i="1"/>
  <c r="N258" i="1"/>
  <c r="J262" i="1"/>
  <c r="U251" i="1"/>
  <c r="I1659" i="1"/>
  <c r="M1655" i="1"/>
  <c r="Q1651" i="1"/>
  <c r="U1647" i="1"/>
  <c r="H1660" i="1"/>
  <c r="L1656" i="1"/>
  <c r="P1652" i="1"/>
  <c r="T1648" i="1"/>
  <c r="J1658" i="1"/>
  <c r="N1654" i="1"/>
  <c r="R1650" i="1"/>
  <c r="V1646" i="1"/>
  <c r="O1653" i="1"/>
  <c r="K1657" i="1"/>
  <c r="S1649" i="1"/>
  <c r="K1063" i="1"/>
  <c r="O1059" i="1"/>
  <c r="S1055" i="1"/>
  <c r="J1064" i="1"/>
  <c r="N1060" i="1"/>
  <c r="R1056" i="1"/>
  <c r="V1052" i="1"/>
  <c r="H1066" i="1"/>
  <c r="M1061" i="1"/>
  <c r="P1058" i="1"/>
  <c r="U1053" i="1"/>
  <c r="Q1057" i="1"/>
  <c r="L1062" i="1"/>
  <c r="I1065" i="1"/>
  <c r="T1054" i="1"/>
  <c r="K322" i="1"/>
  <c r="O318" i="1"/>
  <c r="S314" i="1"/>
  <c r="H325" i="1"/>
  <c r="I324" i="1"/>
  <c r="N319" i="1"/>
  <c r="R315" i="1"/>
  <c r="V311" i="1"/>
  <c r="J323" i="1"/>
  <c r="M320" i="1"/>
  <c r="Q316" i="1"/>
  <c r="U312" i="1"/>
  <c r="L321" i="1"/>
  <c r="P317" i="1"/>
  <c r="T313" i="1"/>
  <c r="H662" i="1"/>
  <c r="L658" i="1"/>
  <c r="P654" i="1"/>
  <c r="T650" i="1"/>
  <c r="K659" i="1"/>
  <c r="O655" i="1"/>
  <c r="S651" i="1"/>
  <c r="Q653" i="1"/>
  <c r="V648" i="1"/>
  <c r="M657" i="1"/>
  <c r="R652" i="1"/>
  <c r="I661" i="1"/>
  <c r="U649" i="1"/>
  <c r="J660" i="1"/>
  <c r="N656" i="1"/>
  <c r="I1172" i="1"/>
  <c r="M1168" i="1"/>
  <c r="Q1164" i="1"/>
  <c r="U1160" i="1"/>
  <c r="H1173" i="1"/>
  <c r="L1169" i="1"/>
  <c r="P1165" i="1"/>
  <c r="K1170" i="1"/>
  <c r="O1166" i="1"/>
  <c r="S1162" i="1"/>
  <c r="J1171" i="1"/>
  <c r="N1167" i="1"/>
  <c r="R1163" i="1"/>
  <c r="V1159" i="1"/>
  <c r="T1161" i="1"/>
  <c r="K963" i="1"/>
  <c r="O959" i="1"/>
  <c r="S955" i="1"/>
  <c r="J964" i="1"/>
  <c r="N960" i="1"/>
  <c r="R956" i="1"/>
  <c r="V952" i="1"/>
  <c r="I965" i="1"/>
  <c r="M961" i="1"/>
  <c r="Q957" i="1"/>
  <c r="U953" i="1"/>
  <c r="H966" i="1"/>
  <c r="L962" i="1"/>
  <c r="P958" i="1"/>
  <c r="T954" i="1"/>
  <c r="H466" i="1"/>
  <c r="L462" i="1"/>
  <c r="K463" i="1"/>
  <c r="O459" i="1"/>
  <c r="J464" i="1"/>
  <c r="R456" i="1"/>
  <c r="V452" i="1"/>
  <c r="Q457" i="1"/>
  <c r="U453" i="1"/>
  <c r="M461" i="1"/>
  <c r="P458" i="1"/>
  <c r="N460" i="1"/>
  <c r="S455" i="1"/>
  <c r="I465" i="1"/>
  <c r="T454" i="1"/>
  <c r="I1506" i="1"/>
  <c r="M1502" i="1"/>
  <c r="Q1498" i="1"/>
  <c r="U1494" i="1"/>
  <c r="H1507" i="1"/>
  <c r="L1503" i="1"/>
  <c r="P1499" i="1"/>
  <c r="T1495" i="1"/>
  <c r="J1505" i="1"/>
  <c r="N1501" i="1"/>
  <c r="R1497" i="1"/>
  <c r="V1493" i="1"/>
  <c r="O1500" i="1"/>
  <c r="S1496" i="1"/>
  <c r="K1504" i="1"/>
  <c r="I538" i="1"/>
  <c r="M534" i="1"/>
  <c r="Q530" i="1"/>
  <c r="U526" i="1"/>
  <c r="H539" i="1"/>
  <c r="L535" i="1"/>
  <c r="P531" i="1"/>
  <c r="T527" i="1"/>
  <c r="K536" i="1"/>
  <c r="O532" i="1"/>
  <c r="S528" i="1"/>
  <c r="J537" i="1"/>
  <c r="N533" i="1"/>
  <c r="R529" i="1"/>
  <c r="V525" i="1"/>
  <c r="K884" i="1"/>
  <c r="J885" i="1"/>
  <c r="M882" i="1"/>
  <c r="N881" i="1"/>
  <c r="Q878" i="1"/>
  <c r="T875" i="1"/>
  <c r="I886" i="1"/>
  <c r="L883" i="1"/>
  <c r="O880" i="1"/>
  <c r="R877" i="1"/>
  <c r="U874" i="1"/>
  <c r="P879" i="1"/>
  <c r="V873" i="1"/>
  <c r="H887" i="1"/>
  <c r="S876" i="1"/>
  <c r="G187" i="1"/>
  <c r="H186" i="1"/>
  <c r="L182" i="1"/>
  <c r="O179" i="1"/>
  <c r="V172" i="1"/>
  <c r="P178" i="1"/>
  <c r="S175" i="1"/>
  <c r="I185" i="1"/>
  <c r="Q177" i="1"/>
  <c r="T174" i="1"/>
  <c r="J184" i="1"/>
  <c r="K183" i="1"/>
  <c r="U173" i="1"/>
  <c r="N180" i="1"/>
  <c r="R176" i="1"/>
  <c r="M181" i="1"/>
  <c r="I1668" i="1"/>
  <c r="M1664" i="1"/>
  <c r="Q1660" i="1"/>
  <c r="U1656" i="1"/>
  <c r="H1669" i="1"/>
  <c r="L1665" i="1"/>
  <c r="P1661" i="1"/>
  <c r="T1657" i="1"/>
  <c r="O1662" i="1"/>
  <c r="R1659" i="1"/>
  <c r="K1666" i="1"/>
  <c r="N1663" i="1"/>
  <c r="J1667" i="1"/>
  <c r="S1658" i="1"/>
  <c r="V1655" i="1"/>
  <c r="H1252" i="1"/>
  <c r="L1248" i="1"/>
  <c r="P1244" i="1"/>
  <c r="T1240" i="1"/>
  <c r="K1249" i="1"/>
  <c r="O1245" i="1"/>
  <c r="S1241" i="1"/>
  <c r="J1250" i="1"/>
  <c r="N1246" i="1"/>
  <c r="R1242" i="1"/>
  <c r="V1238" i="1"/>
  <c r="I1251" i="1"/>
  <c r="M1247" i="1"/>
  <c r="Q1243" i="1"/>
  <c r="U1239" i="1"/>
  <c r="I622" i="1"/>
  <c r="M618" i="1"/>
  <c r="Q614" i="1"/>
  <c r="U610" i="1"/>
  <c r="H623" i="1"/>
  <c r="L619" i="1"/>
  <c r="P615" i="1"/>
  <c r="T611" i="1"/>
  <c r="K620" i="1"/>
  <c r="O616" i="1"/>
  <c r="S612" i="1"/>
  <c r="J621" i="1"/>
  <c r="N617" i="1"/>
  <c r="R613" i="1"/>
  <c r="V609" i="1"/>
  <c r="I1539" i="1"/>
  <c r="M1535" i="1"/>
  <c r="Q1531" i="1"/>
  <c r="U1527" i="1"/>
  <c r="H1540" i="1"/>
  <c r="L1536" i="1"/>
  <c r="P1532" i="1"/>
  <c r="T1528" i="1"/>
  <c r="J1538" i="1"/>
  <c r="N1534" i="1"/>
  <c r="R1530" i="1"/>
  <c r="V1526" i="1"/>
  <c r="K1537" i="1"/>
  <c r="S1529" i="1"/>
  <c r="O1533" i="1"/>
  <c r="I880" i="1"/>
  <c r="Q872" i="1"/>
  <c r="U868" i="1"/>
  <c r="M876" i="1"/>
  <c r="J879" i="1"/>
  <c r="P873" i="1"/>
  <c r="T869" i="1"/>
  <c r="L877" i="1"/>
  <c r="N875" i="1"/>
  <c r="R871" i="1"/>
  <c r="V867" i="1"/>
  <c r="O874" i="1"/>
  <c r="H881" i="1"/>
  <c r="S870" i="1"/>
  <c r="K878" i="1"/>
  <c r="J727" i="1"/>
  <c r="N723" i="1"/>
  <c r="R719" i="1"/>
  <c r="V715" i="1"/>
  <c r="I728" i="1"/>
  <c r="M724" i="1"/>
  <c r="Q720" i="1"/>
  <c r="U716" i="1"/>
  <c r="H729" i="1"/>
  <c r="L725" i="1"/>
  <c r="P721" i="1"/>
  <c r="T717" i="1"/>
  <c r="K726" i="1"/>
  <c r="O722" i="1"/>
  <c r="S718" i="1"/>
  <c r="J1054" i="1"/>
  <c r="N1050" i="1"/>
  <c r="R1046" i="1"/>
  <c r="V1042" i="1"/>
  <c r="I1055" i="1"/>
  <c r="M1051" i="1"/>
  <c r="Q1047" i="1"/>
  <c r="U1043" i="1"/>
  <c r="H1056" i="1"/>
  <c r="K1053" i="1"/>
  <c r="P1048" i="1"/>
  <c r="S1045" i="1"/>
  <c r="L1052" i="1"/>
  <c r="T1044" i="1"/>
  <c r="O1049" i="1"/>
  <c r="J282" i="1"/>
  <c r="N278" i="1"/>
  <c r="R274" i="1"/>
  <c r="V270" i="1"/>
  <c r="I283" i="1"/>
  <c r="M279" i="1"/>
  <c r="Q275" i="1"/>
  <c r="U271" i="1"/>
  <c r="K281" i="1"/>
  <c r="P276" i="1"/>
  <c r="L280" i="1"/>
  <c r="S273" i="1"/>
  <c r="H284" i="1"/>
  <c r="T272" i="1"/>
  <c r="O277" i="1"/>
  <c r="J331" i="1"/>
  <c r="N327" i="1"/>
  <c r="R323" i="1"/>
  <c r="S322" i="1"/>
  <c r="K330" i="1"/>
  <c r="L329" i="1"/>
  <c r="M328" i="1"/>
  <c r="V319" i="1"/>
  <c r="O326" i="1"/>
  <c r="U320" i="1"/>
  <c r="T321" i="1"/>
  <c r="H333" i="1"/>
  <c r="P325" i="1"/>
  <c r="Q324" i="1"/>
  <c r="I332" i="1"/>
  <c r="J42" i="1"/>
  <c r="L40" i="1"/>
  <c r="O37" i="1"/>
  <c r="S33" i="1"/>
  <c r="K41" i="1"/>
  <c r="H44" i="1"/>
  <c r="N38" i="1"/>
  <c r="R34" i="1"/>
  <c r="V30" i="1"/>
  <c r="P36" i="1"/>
  <c r="T32" i="1"/>
  <c r="I43" i="1"/>
  <c r="M39" i="1"/>
  <c r="Q35" i="1"/>
  <c r="U31" i="1"/>
  <c r="J540" i="1"/>
  <c r="N536" i="1"/>
  <c r="R532" i="1"/>
  <c r="V528" i="1"/>
  <c r="I541" i="1"/>
  <c r="M537" i="1"/>
  <c r="Q533" i="1"/>
  <c r="U529" i="1"/>
  <c r="K539" i="1"/>
  <c r="P534" i="1"/>
  <c r="L538" i="1"/>
  <c r="S531" i="1"/>
  <c r="T530" i="1"/>
  <c r="H542" i="1"/>
  <c r="O535" i="1"/>
  <c r="I95" i="1"/>
  <c r="M91" i="1"/>
  <c r="Q87" i="1"/>
  <c r="U83" i="1"/>
  <c r="H96" i="1"/>
  <c r="L92" i="1"/>
  <c r="P88" i="1"/>
  <c r="T84" i="1"/>
  <c r="K93" i="1"/>
  <c r="O89" i="1"/>
  <c r="S85" i="1"/>
  <c r="J94" i="1"/>
  <c r="V82" i="1"/>
  <c r="N90" i="1"/>
  <c r="R86" i="1"/>
  <c r="I1723" i="1"/>
  <c r="M1719" i="1"/>
  <c r="Q1715" i="1"/>
  <c r="U1711" i="1"/>
  <c r="H1724" i="1"/>
  <c r="L1720" i="1"/>
  <c r="P1716" i="1"/>
  <c r="T1712" i="1"/>
  <c r="K1721" i="1"/>
  <c r="O1717" i="1"/>
  <c r="S1713" i="1"/>
  <c r="V1710" i="1"/>
  <c r="R1714" i="1"/>
  <c r="J1722" i="1"/>
  <c r="N1718" i="1"/>
  <c r="I1544" i="1"/>
  <c r="K1542" i="1"/>
  <c r="N1539" i="1"/>
  <c r="R1535" i="1"/>
  <c r="V1531" i="1"/>
  <c r="J1543" i="1"/>
  <c r="L1541" i="1"/>
  <c r="P1537" i="1"/>
  <c r="T1533" i="1"/>
  <c r="H1545" i="1"/>
  <c r="M1540" i="1"/>
  <c r="O1538" i="1"/>
  <c r="U1532" i="1"/>
  <c r="Q1536" i="1"/>
  <c r="S1534" i="1"/>
  <c r="K1214" i="1"/>
  <c r="O1210" i="1"/>
  <c r="S1206" i="1"/>
  <c r="J1215" i="1"/>
  <c r="N1211" i="1"/>
  <c r="R1207" i="1"/>
  <c r="V1203" i="1"/>
  <c r="I1216" i="1"/>
  <c r="M1212" i="1"/>
  <c r="Q1208" i="1"/>
  <c r="U1204" i="1"/>
  <c r="H1217" i="1"/>
  <c r="L1213" i="1"/>
  <c r="P1209" i="1"/>
  <c r="T1205" i="1"/>
  <c r="I914" i="1"/>
  <c r="M910" i="1"/>
  <c r="Q906" i="1"/>
  <c r="U902" i="1"/>
  <c r="H915" i="1"/>
  <c r="L911" i="1"/>
  <c r="P907" i="1"/>
  <c r="T903" i="1"/>
  <c r="N909" i="1"/>
  <c r="S904" i="1"/>
  <c r="J913" i="1"/>
  <c r="O908" i="1"/>
  <c r="R905" i="1"/>
  <c r="V901" i="1"/>
  <c r="K912" i="1"/>
  <c r="H569" i="1"/>
  <c r="L565" i="1"/>
  <c r="P561" i="1"/>
  <c r="T557" i="1"/>
  <c r="K566" i="1"/>
  <c r="O562" i="1"/>
  <c r="S558" i="1"/>
  <c r="J567" i="1"/>
  <c r="N563" i="1"/>
  <c r="R559" i="1"/>
  <c r="V555" i="1"/>
  <c r="I568" i="1"/>
  <c r="M564" i="1"/>
  <c r="Q560" i="1"/>
  <c r="U556" i="1"/>
  <c r="J218" i="1"/>
  <c r="N214" i="1"/>
  <c r="R210" i="1"/>
  <c r="V206" i="1"/>
  <c r="I219" i="1"/>
  <c r="M215" i="1"/>
  <c r="Q211" i="1"/>
  <c r="U207" i="1"/>
  <c r="L216" i="1"/>
  <c r="O213" i="1"/>
  <c r="T208" i="1"/>
  <c r="S209" i="1"/>
  <c r="H220" i="1"/>
  <c r="K217" i="1"/>
  <c r="P212" i="1"/>
  <c r="J1005" i="1"/>
  <c r="N1001" i="1"/>
  <c r="H1007" i="1"/>
  <c r="K1004" i="1"/>
  <c r="O1000" i="1"/>
  <c r="S996" i="1"/>
  <c r="R997" i="1"/>
  <c r="V993" i="1"/>
  <c r="Q998" i="1"/>
  <c r="I1006" i="1"/>
  <c r="L1003" i="1"/>
  <c r="U994" i="1"/>
  <c r="T995" i="1"/>
  <c r="M1002" i="1"/>
  <c r="P999" i="1"/>
  <c r="I1483" i="1"/>
  <c r="M1479" i="1"/>
  <c r="Q1475" i="1"/>
  <c r="U1471" i="1"/>
  <c r="H1484" i="1"/>
  <c r="L1480" i="1"/>
  <c r="P1476" i="1"/>
  <c r="T1472" i="1"/>
  <c r="R1474" i="1"/>
  <c r="S1473" i="1"/>
  <c r="J1482" i="1"/>
  <c r="O1477" i="1"/>
  <c r="K1481" i="1"/>
  <c r="N1478" i="1"/>
  <c r="V1470" i="1"/>
  <c r="J1134" i="1"/>
  <c r="N1130" i="1"/>
  <c r="R1126" i="1"/>
  <c r="V1122" i="1"/>
  <c r="I1135" i="1"/>
  <c r="M1131" i="1"/>
  <c r="Q1127" i="1"/>
  <c r="U1123" i="1"/>
  <c r="L1132" i="1"/>
  <c r="S1125" i="1"/>
  <c r="H1136" i="1"/>
  <c r="O1129" i="1"/>
  <c r="K1133" i="1"/>
  <c r="P1128" i="1"/>
  <c r="T1124" i="1"/>
  <c r="I833" i="1"/>
  <c r="M829" i="1"/>
  <c r="Q825" i="1"/>
  <c r="U821" i="1"/>
  <c r="H834" i="1"/>
  <c r="L830" i="1"/>
  <c r="N828" i="1"/>
  <c r="K831" i="1"/>
  <c r="O827" i="1"/>
  <c r="P826" i="1"/>
  <c r="R824" i="1"/>
  <c r="S823" i="1"/>
  <c r="T822" i="1"/>
  <c r="J832" i="1"/>
  <c r="V820" i="1"/>
  <c r="I475" i="1"/>
  <c r="M471" i="1"/>
  <c r="Q467" i="1"/>
  <c r="U463" i="1"/>
  <c r="H476" i="1"/>
  <c r="L472" i="1"/>
  <c r="P468" i="1"/>
  <c r="T464" i="1"/>
  <c r="R466" i="1"/>
  <c r="N470" i="1"/>
  <c r="S465" i="1"/>
  <c r="J474" i="1"/>
  <c r="O469" i="1"/>
  <c r="K473" i="1"/>
  <c r="V462" i="1"/>
  <c r="J864" i="1"/>
  <c r="N860" i="1"/>
  <c r="R856" i="1"/>
  <c r="V852" i="1"/>
  <c r="I865" i="1"/>
  <c r="M861" i="1"/>
  <c r="Q857" i="1"/>
  <c r="U853" i="1"/>
  <c r="K863" i="1"/>
  <c r="S855" i="1"/>
  <c r="L862" i="1"/>
  <c r="O859" i="1"/>
  <c r="H866" i="1"/>
  <c r="P858" i="1"/>
  <c r="T854" i="1"/>
  <c r="H365" i="1"/>
  <c r="L361" i="1"/>
  <c r="P357" i="1"/>
  <c r="T353" i="1"/>
  <c r="K362" i="1"/>
  <c r="O358" i="1"/>
  <c r="S354" i="1"/>
  <c r="J363" i="1"/>
  <c r="N359" i="1"/>
  <c r="R355" i="1"/>
  <c r="V351" i="1"/>
  <c r="M360" i="1"/>
  <c r="U352" i="1"/>
  <c r="I364" i="1"/>
  <c r="Q356" i="1"/>
  <c r="K1326" i="1"/>
  <c r="O1322" i="1"/>
  <c r="S1318" i="1"/>
  <c r="J1327" i="1"/>
  <c r="N1323" i="1"/>
  <c r="R1319" i="1"/>
  <c r="V1315" i="1"/>
  <c r="H1329" i="1"/>
  <c r="M1324" i="1"/>
  <c r="T1317" i="1"/>
  <c r="I1328" i="1"/>
  <c r="P1321" i="1"/>
  <c r="L1325" i="1"/>
  <c r="U1316" i="1"/>
  <c r="Q1320" i="1"/>
  <c r="H1020" i="1"/>
  <c r="L1016" i="1"/>
  <c r="P1012" i="1"/>
  <c r="T1008" i="1"/>
  <c r="K1017" i="1"/>
  <c r="O1013" i="1"/>
  <c r="S1009" i="1"/>
  <c r="I1019" i="1"/>
  <c r="N1014" i="1"/>
  <c r="Q1011" i="1"/>
  <c r="V1006" i="1"/>
  <c r="U1007" i="1"/>
  <c r="J1018" i="1"/>
  <c r="M1015" i="1"/>
  <c r="R1010" i="1"/>
  <c r="H701" i="1"/>
  <c r="L697" i="1"/>
  <c r="P693" i="1"/>
  <c r="T689" i="1"/>
  <c r="K698" i="1"/>
  <c r="O694" i="1"/>
  <c r="S690" i="1"/>
  <c r="J699" i="1"/>
  <c r="N695" i="1"/>
  <c r="R691" i="1"/>
  <c r="V687" i="1"/>
  <c r="I700" i="1"/>
  <c r="M696" i="1"/>
  <c r="Q692" i="1"/>
  <c r="U688" i="1"/>
  <c r="K336" i="1"/>
  <c r="I338" i="1"/>
  <c r="M334" i="1"/>
  <c r="Q330" i="1"/>
  <c r="U326" i="1"/>
  <c r="H339" i="1"/>
  <c r="V325" i="1"/>
  <c r="L335" i="1"/>
  <c r="N333" i="1"/>
  <c r="J337" i="1"/>
  <c r="O332" i="1"/>
  <c r="P331" i="1"/>
  <c r="R329" i="1"/>
  <c r="T327" i="1"/>
  <c r="S328" i="1"/>
  <c r="H1599" i="1"/>
  <c r="L1595" i="1"/>
  <c r="P1591" i="1"/>
  <c r="T1587" i="1"/>
  <c r="Q1590" i="1"/>
  <c r="I1598" i="1"/>
  <c r="J1597" i="1"/>
  <c r="K1596" i="1"/>
  <c r="U1586" i="1"/>
  <c r="N1593" i="1"/>
  <c r="O1592" i="1"/>
  <c r="S1588" i="1"/>
  <c r="V1585" i="1"/>
  <c r="M1594" i="1"/>
  <c r="R1589" i="1"/>
  <c r="K275" i="1"/>
  <c r="O271" i="1"/>
  <c r="S267" i="1"/>
  <c r="J276" i="1"/>
  <c r="N272" i="1"/>
  <c r="R268" i="1"/>
  <c r="V264" i="1"/>
  <c r="P270" i="1"/>
  <c r="U265" i="1"/>
  <c r="L274" i="1"/>
  <c r="Q269" i="1"/>
  <c r="H278" i="1"/>
  <c r="M273" i="1"/>
  <c r="T266" i="1"/>
  <c r="I277" i="1"/>
  <c r="H1323" i="1"/>
  <c r="L1319" i="1"/>
  <c r="P1315" i="1"/>
  <c r="T1311" i="1"/>
  <c r="K1320" i="1"/>
  <c r="O1316" i="1"/>
  <c r="S1312" i="1"/>
  <c r="M1318" i="1"/>
  <c r="R1313" i="1"/>
  <c r="I1322" i="1"/>
  <c r="N1317" i="1"/>
  <c r="U1310" i="1"/>
  <c r="Q1314" i="1"/>
  <c r="V1309" i="1"/>
  <c r="J1321" i="1"/>
  <c r="H976" i="1"/>
  <c r="L972" i="1"/>
  <c r="P968" i="1"/>
  <c r="T964" i="1"/>
  <c r="K973" i="1"/>
  <c r="O969" i="1"/>
  <c r="S965" i="1"/>
  <c r="J974" i="1"/>
  <c r="N970" i="1"/>
  <c r="R966" i="1"/>
  <c r="V962" i="1"/>
  <c r="I975" i="1"/>
  <c r="M971" i="1"/>
  <c r="Q967" i="1"/>
  <c r="U963" i="1"/>
  <c r="K649" i="1"/>
  <c r="O645" i="1"/>
  <c r="S641" i="1"/>
  <c r="J650" i="1"/>
  <c r="N646" i="1"/>
  <c r="R642" i="1"/>
  <c r="V638" i="1"/>
  <c r="T640" i="1"/>
  <c r="I651" i="1"/>
  <c r="P644" i="1"/>
  <c r="U639" i="1"/>
  <c r="L648" i="1"/>
  <c r="H652" i="1"/>
  <c r="M647" i="1"/>
  <c r="Q643" i="1"/>
  <c r="K291" i="1"/>
  <c r="O287" i="1"/>
  <c r="S283" i="1"/>
  <c r="J292" i="1"/>
  <c r="N288" i="1"/>
  <c r="R284" i="1"/>
  <c r="V280" i="1"/>
  <c r="H294" i="1"/>
  <c r="M289" i="1"/>
  <c r="T282" i="1"/>
  <c r="I293" i="1"/>
  <c r="P286" i="1"/>
  <c r="U281" i="1"/>
  <c r="L290" i="1"/>
  <c r="Q285" i="1"/>
  <c r="H1228" i="1"/>
  <c r="I1227" i="1"/>
  <c r="L1224" i="1"/>
  <c r="P1220" i="1"/>
  <c r="T1216" i="1"/>
  <c r="K1225" i="1"/>
  <c r="O1221" i="1"/>
  <c r="S1217" i="1"/>
  <c r="J1226" i="1"/>
  <c r="N1222" i="1"/>
  <c r="U1215" i="1"/>
  <c r="Q1219" i="1"/>
  <c r="M1223" i="1"/>
  <c r="R1218" i="1"/>
  <c r="V1214" i="1"/>
  <c r="H505" i="1"/>
  <c r="L501" i="1"/>
  <c r="P497" i="1"/>
  <c r="T493" i="1"/>
  <c r="K502" i="1"/>
  <c r="O498" i="1"/>
  <c r="S494" i="1"/>
  <c r="J503" i="1"/>
  <c r="N499" i="1"/>
  <c r="R495" i="1"/>
  <c r="V491" i="1"/>
  <c r="I504" i="1"/>
  <c r="M500" i="1"/>
  <c r="Q496" i="1"/>
  <c r="U492" i="1"/>
  <c r="J1348" i="1"/>
  <c r="N1344" i="1"/>
  <c r="R1340" i="1"/>
  <c r="V1336" i="1"/>
  <c r="I1349" i="1"/>
  <c r="M1345" i="1"/>
  <c r="Q1341" i="1"/>
  <c r="U1337" i="1"/>
  <c r="H1350" i="1"/>
  <c r="L1346" i="1"/>
  <c r="P1342" i="1"/>
  <c r="T1338" i="1"/>
  <c r="K1347" i="1"/>
  <c r="O1343" i="1"/>
  <c r="S1339" i="1"/>
  <c r="I1037" i="1"/>
  <c r="M1033" i="1"/>
  <c r="Q1029" i="1"/>
  <c r="U1025" i="1"/>
  <c r="H1038" i="1"/>
  <c r="L1034" i="1"/>
  <c r="P1030" i="1"/>
  <c r="T1026" i="1"/>
  <c r="J1036" i="1"/>
  <c r="O1031" i="1"/>
  <c r="R1028" i="1"/>
  <c r="V1024" i="1"/>
  <c r="K1035" i="1"/>
  <c r="S1027" i="1"/>
  <c r="N1032" i="1"/>
  <c r="K720" i="1"/>
  <c r="O716" i="1"/>
  <c r="S712" i="1"/>
  <c r="J721" i="1"/>
  <c r="N717" i="1"/>
  <c r="R713" i="1"/>
  <c r="V709" i="1"/>
  <c r="I722" i="1"/>
  <c r="M718" i="1"/>
  <c r="Q714" i="1"/>
  <c r="U710" i="1"/>
  <c r="H723" i="1"/>
  <c r="L719" i="1"/>
  <c r="P715" i="1"/>
  <c r="T711" i="1"/>
  <c r="K315" i="1"/>
  <c r="O311" i="1"/>
  <c r="S307" i="1"/>
  <c r="J316" i="1"/>
  <c r="N312" i="1"/>
  <c r="R308" i="1"/>
  <c r="V304" i="1"/>
  <c r="T306" i="1"/>
  <c r="I317" i="1"/>
  <c r="P310" i="1"/>
  <c r="U305" i="1"/>
  <c r="L314" i="1"/>
  <c r="Q309" i="1"/>
  <c r="H318" i="1"/>
  <c r="M313" i="1"/>
  <c r="I327" i="1"/>
  <c r="M323" i="1"/>
  <c r="H328" i="1"/>
  <c r="L324" i="1"/>
  <c r="P320" i="1"/>
  <c r="T316" i="1"/>
  <c r="O321" i="1"/>
  <c r="S317" i="1"/>
  <c r="Q319" i="1"/>
  <c r="V314" i="1"/>
  <c r="R318" i="1"/>
  <c r="J326" i="1"/>
  <c r="N322" i="1"/>
  <c r="K325" i="1"/>
  <c r="U315" i="1"/>
  <c r="K1342" i="1"/>
  <c r="O1338" i="1"/>
  <c r="S1334" i="1"/>
  <c r="J1343" i="1"/>
  <c r="N1339" i="1"/>
  <c r="R1335" i="1"/>
  <c r="V1331" i="1"/>
  <c r="P1337" i="1"/>
  <c r="U1332" i="1"/>
  <c r="L1341" i="1"/>
  <c r="Q1336" i="1"/>
  <c r="H1345" i="1"/>
  <c r="T1333" i="1"/>
  <c r="I1344" i="1"/>
  <c r="M1340" i="1"/>
  <c r="J1030" i="1"/>
  <c r="N1026" i="1"/>
  <c r="R1022" i="1"/>
  <c r="V1018" i="1"/>
  <c r="I1031" i="1"/>
  <c r="M1027" i="1"/>
  <c r="Q1023" i="1"/>
  <c r="U1019" i="1"/>
  <c r="P1024" i="1"/>
  <c r="S1021" i="1"/>
  <c r="L1028" i="1"/>
  <c r="O1025" i="1"/>
  <c r="T1020" i="1"/>
  <c r="K1029" i="1"/>
  <c r="H1032" i="1"/>
  <c r="H718" i="1"/>
  <c r="L714" i="1"/>
  <c r="P710" i="1"/>
  <c r="T706" i="1"/>
  <c r="K715" i="1"/>
  <c r="O711" i="1"/>
  <c r="S707" i="1"/>
  <c r="M713" i="1"/>
  <c r="R708" i="1"/>
  <c r="I717" i="1"/>
  <c r="N712" i="1"/>
  <c r="U705" i="1"/>
  <c r="Q709" i="1"/>
  <c r="V704" i="1"/>
  <c r="J716" i="1"/>
  <c r="K352" i="1"/>
  <c r="O348" i="1"/>
  <c r="S344" i="1"/>
  <c r="J353" i="1"/>
  <c r="N349" i="1"/>
  <c r="R345" i="1"/>
  <c r="V341" i="1"/>
  <c r="I354" i="1"/>
  <c r="M350" i="1"/>
  <c r="Q346" i="1"/>
  <c r="U342" i="1"/>
  <c r="P347" i="1"/>
  <c r="L351" i="1"/>
  <c r="T343" i="1"/>
  <c r="H355" i="1"/>
  <c r="J1085" i="1"/>
  <c r="N1081" i="1"/>
  <c r="R1077" i="1"/>
  <c r="V1073" i="1"/>
  <c r="H1087" i="1"/>
  <c r="L1083" i="1"/>
  <c r="P1079" i="1"/>
  <c r="T1075" i="1"/>
  <c r="K1084" i="1"/>
  <c r="O1080" i="1"/>
  <c r="S1076" i="1"/>
  <c r="Q1078" i="1"/>
  <c r="M1082" i="1"/>
  <c r="U1074" i="1"/>
  <c r="I1086" i="1"/>
  <c r="G88" i="1"/>
  <c r="I86" i="1"/>
  <c r="M82" i="1"/>
  <c r="Q78" i="1"/>
  <c r="U74" i="1"/>
  <c r="H87" i="1"/>
  <c r="L83" i="1"/>
  <c r="P79" i="1"/>
  <c r="K84" i="1"/>
  <c r="O80" i="1"/>
  <c r="S76" i="1"/>
  <c r="N81" i="1"/>
  <c r="J85" i="1"/>
  <c r="V73" i="1"/>
  <c r="T75" i="1"/>
  <c r="R77" i="1"/>
  <c r="G138" i="1"/>
  <c r="J135" i="1"/>
  <c r="N131" i="1"/>
  <c r="R127" i="1"/>
  <c r="V123" i="1"/>
  <c r="I136" i="1"/>
  <c r="M132" i="1"/>
  <c r="Q128" i="1"/>
  <c r="U124" i="1"/>
  <c r="H137" i="1"/>
  <c r="L133" i="1"/>
  <c r="P129" i="1"/>
  <c r="T125" i="1"/>
  <c r="K134" i="1"/>
  <c r="S126" i="1"/>
  <c r="O130" i="1"/>
  <c r="G63" i="1"/>
  <c r="K59" i="1"/>
  <c r="O55" i="1"/>
  <c r="S51" i="1"/>
  <c r="J60" i="1"/>
  <c r="N56" i="1"/>
  <c r="R52" i="1"/>
  <c r="U49" i="1"/>
  <c r="I61" i="1"/>
  <c r="L58" i="1"/>
  <c r="T50" i="1"/>
  <c r="H62" i="1"/>
  <c r="V48" i="1"/>
  <c r="Q53" i="1"/>
  <c r="P54" i="1"/>
  <c r="M57" i="1"/>
  <c r="K17" i="1"/>
  <c r="O13" i="1"/>
  <c r="S9" i="1"/>
  <c r="L16" i="1"/>
  <c r="P12" i="1"/>
  <c r="J18" i="1"/>
  <c r="N14" i="1"/>
  <c r="R10" i="1"/>
  <c r="V6" i="1"/>
  <c r="T8" i="1"/>
  <c r="I19" i="1"/>
  <c r="M15" i="1"/>
  <c r="Q11" i="1"/>
  <c r="U7" i="1"/>
  <c r="H20" i="1"/>
  <c r="I847" i="1"/>
  <c r="M843" i="1"/>
  <c r="Q839" i="1"/>
  <c r="U835" i="1"/>
  <c r="J846" i="1"/>
  <c r="T836" i="1"/>
  <c r="H848" i="1"/>
  <c r="K845" i="1"/>
  <c r="N842" i="1"/>
  <c r="L844" i="1"/>
  <c r="P840" i="1"/>
  <c r="R838" i="1"/>
  <c r="V834" i="1"/>
  <c r="S837" i="1"/>
  <c r="O841" i="1"/>
  <c r="H389" i="1"/>
  <c r="L385" i="1"/>
  <c r="P381" i="1"/>
  <c r="T377" i="1"/>
  <c r="K386" i="1"/>
  <c r="O382" i="1"/>
  <c r="S378" i="1"/>
  <c r="J387" i="1"/>
  <c r="N383" i="1"/>
  <c r="R379" i="1"/>
  <c r="V375" i="1"/>
  <c r="M384" i="1"/>
  <c r="U376" i="1"/>
  <c r="I388" i="1"/>
  <c r="Q380" i="1"/>
  <c r="K242" i="1"/>
  <c r="O238" i="1"/>
  <c r="S234" i="1"/>
  <c r="J243" i="1"/>
  <c r="N239" i="1"/>
  <c r="R235" i="1"/>
  <c r="V231" i="1"/>
  <c r="H245" i="1"/>
  <c r="L241" i="1"/>
  <c r="P237" i="1"/>
  <c r="T233" i="1"/>
  <c r="M240" i="1"/>
  <c r="U232" i="1"/>
  <c r="I244" i="1"/>
  <c r="Q236" i="1"/>
  <c r="I1397" i="1"/>
  <c r="M1393" i="1"/>
  <c r="Q1389" i="1"/>
  <c r="U1385" i="1"/>
  <c r="H1398" i="1"/>
  <c r="L1394" i="1"/>
  <c r="P1390" i="1"/>
  <c r="T1386" i="1"/>
  <c r="S1387" i="1"/>
  <c r="K1395" i="1"/>
  <c r="N1392" i="1"/>
  <c r="R1388" i="1"/>
  <c r="J1396" i="1"/>
  <c r="O1391" i="1"/>
  <c r="V1384" i="1"/>
  <c r="H630" i="1"/>
  <c r="L626" i="1"/>
  <c r="P622" i="1"/>
  <c r="T618" i="1"/>
  <c r="K627" i="1"/>
  <c r="O623" i="1"/>
  <c r="S619" i="1"/>
  <c r="Q621" i="1"/>
  <c r="V616" i="1"/>
  <c r="M625" i="1"/>
  <c r="R620" i="1"/>
  <c r="I629" i="1"/>
  <c r="U617" i="1"/>
  <c r="J628" i="1"/>
  <c r="N624" i="1"/>
  <c r="K624" i="1"/>
  <c r="O620" i="1"/>
  <c r="S616" i="1"/>
  <c r="J625" i="1"/>
  <c r="N621" i="1"/>
  <c r="R617" i="1"/>
  <c r="V613" i="1"/>
  <c r="I626" i="1"/>
  <c r="M622" i="1"/>
  <c r="Q618" i="1"/>
  <c r="U614" i="1"/>
  <c r="H627" i="1"/>
  <c r="L623" i="1"/>
  <c r="P619" i="1"/>
  <c r="T615" i="1"/>
  <c r="J1377" i="1"/>
  <c r="N1373" i="1"/>
  <c r="R1369" i="1"/>
  <c r="V1365" i="1"/>
  <c r="I1378" i="1"/>
  <c r="M1374" i="1"/>
  <c r="Q1370" i="1"/>
  <c r="U1366" i="1"/>
  <c r="H1379" i="1"/>
  <c r="P1371" i="1"/>
  <c r="O1372" i="1"/>
  <c r="L1375" i="1"/>
  <c r="T1367" i="1"/>
  <c r="S1368" i="1"/>
  <c r="K1376" i="1"/>
  <c r="J688" i="1"/>
  <c r="N684" i="1"/>
  <c r="R680" i="1"/>
  <c r="V676" i="1"/>
  <c r="I689" i="1"/>
  <c r="M685" i="1"/>
  <c r="Q681" i="1"/>
  <c r="U677" i="1"/>
  <c r="O683" i="1"/>
  <c r="T678" i="1"/>
  <c r="K687" i="1"/>
  <c r="P682" i="1"/>
  <c r="S679" i="1"/>
  <c r="H690" i="1"/>
  <c r="L686" i="1"/>
  <c r="I1331" i="1"/>
  <c r="M1327" i="1"/>
  <c r="Q1323" i="1"/>
  <c r="U1319" i="1"/>
  <c r="H1332" i="1"/>
  <c r="L1328" i="1"/>
  <c r="P1324" i="1"/>
  <c r="T1320" i="1"/>
  <c r="K1329" i="1"/>
  <c r="O1325" i="1"/>
  <c r="S1321" i="1"/>
  <c r="J1330" i="1"/>
  <c r="N1326" i="1"/>
  <c r="R1322" i="1"/>
  <c r="V1318" i="1"/>
  <c r="H1479" i="1"/>
  <c r="L1475" i="1"/>
  <c r="P1471" i="1"/>
  <c r="T1467" i="1"/>
  <c r="I1478" i="1"/>
  <c r="S1468" i="1"/>
  <c r="J1477" i="1"/>
  <c r="U1466" i="1"/>
  <c r="K1476" i="1"/>
  <c r="V1465" i="1"/>
  <c r="Q1470" i="1"/>
  <c r="R1469" i="1"/>
  <c r="M1474" i="1"/>
  <c r="O1472" i="1"/>
  <c r="N1473" i="1"/>
  <c r="J872" i="1"/>
  <c r="N868" i="1"/>
  <c r="R864" i="1"/>
  <c r="V860" i="1"/>
  <c r="I873" i="1"/>
  <c r="M869" i="1"/>
  <c r="Q865" i="1"/>
  <c r="U861" i="1"/>
  <c r="O867" i="1"/>
  <c r="H874" i="1"/>
  <c r="K871" i="1"/>
  <c r="P866" i="1"/>
  <c r="S863" i="1"/>
  <c r="L870" i="1"/>
  <c r="T862" i="1"/>
  <c r="I1475" i="1"/>
  <c r="M1471" i="1"/>
  <c r="Q1467" i="1"/>
  <c r="U1463" i="1"/>
  <c r="H1476" i="1"/>
  <c r="L1472" i="1"/>
  <c r="P1468" i="1"/>
  <c r="T1464" i="1"/>
  <c r="N1470" i="1"/>
  <c r="O1469" i="1"/>
  <c r="K1473" i="1"/>
  <c r="V1462" i="1"/>
  <c r="J1474" i="1"/>
  <c r="R1466" i="1"/>
  <c r="S1465" i="1"/>
  <c r="I898" i="1"/>
  <c r="M894" i="1"/>
  <c r="Q890" i="1"/>
  <c r="U886" i="1"/>
  <c r="H899" i="1"/>
  <c r="L895" i="1"/>
  <c r="P891" i="1"/>
  <c r="K896" i="1"/>
  <c r="T887" i="1"/>
  <c r="R889" i="1"/>
  <c r="O892" i="1"/>
  <c r="S888" i="1"/>
  <c r="N893" i="1"/>
  <c r="J897" i="1"/>
  <c r="V885" i="1"/>
  <c r="H1187" i="1"/>
  <c r="L1183" i="1"/>
  <c r="P1179" i="1"/>
  <c r="T1175" i="1"/>
  <c r="K1184" i="1"/>
  <c r="O1180" i="1"/>
  <c r="S1176" i="1"/>
  <c r="J1185" i="1"/>
  <c r="N1181" i="1"/>
  <c r="R1177" i="1"/>
  <c r="V1173" i="1"/>
  <c r="I1186" i="1"/>
  <c r="M1182" i="1"/>
  <c r="Q1178" i="1"/>
  <c r="U1174" i="1"/>
  <c r="K1500" i="1"/>
  <c r="O1496" i="1"/>
  <c r="S1492" i="1"/>
  <c r="J1501" i="1"/>
  <c r="N1497" i="1"/>
  <c r="R1493" i="1"/>
  <c r="V1489" i="1"/>
  <c r="H1503" i="1"/>
  <c r="L1499" i="1"/>
  <c r="P1495" i="1"/>
  <c r="T1491" i="1"/>
  <c r="Q1494" i="1"/>
  <c r="U1490" i="1"/>
  <c r="I1502" i="1"/>
  <c r="M1498" i="1"/>
  <c r="I1437" i="1"/>
  <c r="M1433" i="1"/>
  <c r="Q1429" i="1"/>
  <c r="U1425" i="1"/>
  <c r="J1436" i="1"/>
  <c r="N1432" i="1"/>
  <c r="R1428" i="1"/>
  <c r="V1424" i="1"/>
  <c r="K1435" i="1"/>
  <c r="S1427" i="1"/>
  <c r="H1438" i="1"/>
  <c r="P1430" i="1"/>
  <c r="O1431" i="1"/>
  <c r="T1426" i="1"/>
  <c r="L1434" i="1"/>
  <c r="G199" i="1"/>
  <c r="K195" i="1"/>
  <c r="O191" i="1"/>
  <c r="S187" i="1"/>
  <c r="J196" i="1"/>
  <c r="N192" i="1"/>
  <c r="R188" i="1"/>
  <c r="V184" i="1"/>
  <c r="I197" i="1"/>
  <c r="Q189" i="1"/>
  <c r="H198" i="1"/>
  <c r="P190" i="1"/>
  <c r="M193" i="1"/>
  <c r="U185" i="1"/>
  <c r="T186" i="1"/>
  <c r="L194" i="1"/>
  <c r="K641" i="1"/>
  <c r="O637" i="1"/>
  <c r="S633" i="1"/>
  <c r="J642" i="1"/>
  <c r="N638" i="1"/>
  <c r="R634" i="1"/>
  <c r="V630" i="1"/>
  <c r="P636" i="1"/>
  <c r="U631" i="1"/>
  <c r="L640" i="1"/>
  <c r="Q635" i="1"/>
  <c r="H644" i="1"/>
  <c r="T632" i="1"/>
  <c r="I643" i="1"/>
  <c r="M639" i="1"/>
  <c r="J1582" i="1"/>
  <c r="N1578" i="1"/>
  <c r="R1574" i="1"/>
  <c r="I1583" i="1"/>
  <c r="M1579" i="1"/>
  <c r="K1581" i="1"/>
  <c r="L1580" i="1"/>
  <c r="O1577" i="1"/>
  <c r="P1576" i="1"/>
  <c r="S1573" i="1"/>
  <c r="U1571" i="1"/>
  <c r="H1584" i="1"/>
  <c r="T1572" i="1"/>
  <c r="Q1575" i="1"/>
  <c r="V1570" i="1"/>
  <c r="J947" i="1"/>
  <c r="N943" i="1"/>
  <c r="R939" i="1"/>
  <c r="V935" i="1"/>
  <c r="I948" i="1"/>
  <c r="M944" i="1"/>
  <c r="Q940" i="1"/>
  <c r="U936" i="1"/>
  <c r="L945" i="1"/>
  <c r="S938" i="1"/>
  <c r="H949" i="1"/>
  <c r="P941" i="1"/>
  <c r="K946" i="1"/>
  <c r="T937" i="1"/>
  <c r="O942" i="1"/>
  <c r="K1151" i="1"/>
  <c r="O1147" i="1"/>
  <c r="S1143" i="1"/>
  <c r="H1154" i="1"/>
  <c r="J1152" i="1"/>
  <c r="N1148" i="1"/>
  <c r="R1144" i="1"/>
  <c r="V1140" i="1"/>
  <c r="I1153" i="1"/>
  <c r="M1149" i="1"/>
  <c r="T1142" i="1"/>
  <c r="P1146" i="1"/>
  <c r="L1150" i="1"/>
  <c r="Q1145" i="1"/>
  <c r="U1141" i="1"/>
  <c r="I1213" i="1"/>
  <c r="M1209" i="1"/>
  <c r="Q1205" i="1"/>
  <c r="U1201" i="1"/>
  <c r="H1214" i="1"/>
  <c r="L1210" i="1"/>
  <c r="P1206" i="1"/>
  <c r="T1202" i="1"/>
  <c r="J1212" i="1"/>
  <c r="O1207" i="1"/>
  <c r="V1200" i="1"/>
  <c r="K1211" i="1"/>
  <c r="R1204" i="1"/>
  <c r="N1208" i="1"/>
  <c r="S1203" i="1"/>
  <c r="J1601" i="1"/>
  <c r="N1597" i="1"/>
  <c r="R1593" i="1"/>
  <c r="V1589" i="1"/>
  <c r="P1595" i="1"/>
  <c r="Q1594" i="1"/>
  <c r="K1600" i="1"/>
  <c r="L1599" i="1"/>
  <c r="M1598" i="1"/>
  <c r="I1602" i="1"/>
  <c r="U1590" i="1"/>
  <c r="H1603" i="1"/>
  <c r="S1592" i="1"/>
  <c r="T1591" i="1"/>
  <c r="O1596" i="1"/>
  <c r="J1366" i="1"/>
  <c r="N1362" i="1"/>
  <c r="R1358" i="1"/>
  <c r="I1367" i="1"/>
  <c r="L1364" i="1"/>
  <c r="O1361" i="1"/>
  <c r="K1365" i="1"/>
  <c r="P1360" i="1"/>
  <c r="S1357" i="1"/>
  <c r="V1354" i="1"/>
  <c r="M1363" i="1"/>
  <c r="H1368" i="1"/>
  <c r="T1356" i="1"/>
  <c r="Q1359" i="1"/>
  <c r="U1355" i="1"/>
  <c r="J376" i="1"/>
  <c r="N372" i="1"/>
  <c r="R368" i="1"/>
  <c r="V364" i="1"/>
  <c r="I377" i="1"/>
  <c r="M373" i="1"/>
  <c r="Q369" i="1"/>
  <c r="U365" i="1"/>
  <c r="S367" i="1"/>
  <c r="L374" i="1"/>
  <c r="O371" i="1"/>
  <c r="T366" i="1"/>
  <c r="K375" i="1"/>
  <c r="H378" i="1"/>
  <c r="P370" i="1"/>
  <c r="K1391" i="1"/>
  <c r="O1387" i="1"/>
  <c r="S1383" i="1"/>
  <c r="J1392" i="1"/>
  <c r="N1388" i="1"/>
  <c r="R1384" i="1"/>
  <c r="V1380" i="1"/>
  <c r="H1394" i="1"/>
  <c r="Q1385" i="1"/>
  <c r="P1386" i="1"/>
  <c r="M1389" i="1"/>
  <c r="U1381" i="1"/>
  <c r="T1382" i="1"/>
  <c r="L1390" i="1"/>
  <c r="I1393" i="1"/>
  <c r="P20" i="1"/>
  <c r="T16" i="1"/>
  <c r="K25" i="1"/>
  <c r="O21" i="1"/>
  <c r="S17" i="1"/>
  <c r="H28" i="1"/>
  <c r="J26" i="1"/>
  <c r="N22" i="1"/>
  <c r="R18" i="1"/>
  <c r="V14" i="1"/>
  <c r="L24" i="1"/>
  <c r="I27" i="1"/>
  <c r="M23" i="1"/>
  <c r="Q19" i="1"/>
  <c r="U15" i="1"/>
  <c r="H56" i="1"/>
  <c r="L52" i="1"/>
  <c r="P48" i="1"/>
  <c r="T44" i="1"/>
  <c r="M51" i="1"/>
  <c r="V42" i="1"/>
  <c r="J54" i="1"/>
  <c r="S45" i="1"/>
  <c r="Q47" i="1"/>
  <c r="K53" i="1"/>
  <c r="N50" i="1"/>
  <c r="U43" i="1"/>
  <c r="O49" i="1"/>
  <c r="R46" i="1"/>
  <c r="I55" i="1"/>
  <c r="J1699" i="1"/>
  <c r="N1695" i="1"/>
  <c r="R1691" i="1"/>
  <c r="V1687" i="1"/>
  <c r="I1700" i="1"/>
  <c r="M1696" i="1"/>
  <c r="Q1692" i="1"/>
  <c r="U1688" i="1"/>
  <c r="H1701" i="1"/>
  <c r="L1697" i="1"/>
  <c r="P1693" i="1"/>
  <c r="T1689" i="1"/>
  <c r="K1698" i="1"/>
  <c r="O1694" i="1"/>
  <c r="S1690" i="1"/>
  <c r="I1675" i="1"/>
  <c r="M1671" i="1"/>
  <c r="Q1667" i="1"/>
  <c r="U1663" i="1"/>
  <c r="H1676" i="1"/>
  <c r="L1672" i="1"/>
  <c r="P1668" i="1"/>
  <c r="T1664" i="1"/>
  <c r="J1674" i="1"/>
  <c r="N1670" i="1"/>
  <c r="R1666" i="1"/>
  <c r="V1662" i="1"/>
  <c r="O1669" i="1"/>
  <c r="K1673" i="1"/>
  <c r="S1665" i="1"/>
  <c r="K1493" i="1"/>
  <c r="O1489" i="1"/>
  <c r="S1485" i="1"/>
  <c r="J1494" i="1"/>
  <c r="N1490" i="1"/>
  <c r="R1486" i="1"/>
  <c r="V1482" i="1"/>
  <c r="Q1487" i="1"/>
  <c r="T1484" i="1"/>
  <c r="H1496" i="1"/>
  <c r="U1483" i="1"/>
  <c r="I1495" i="1"/>
  <c r="L1492" i="1"/>
  <c r="P1488" i="1"/>
  <c r="M1491" i="1"/>
  <c r="K1174" i="1"/>
  <c r="O1170" i="1"/>
  <c r="S1166" i="1"/>
  <c r="J1175" i="1"/>
  <c r="N1171" i="1"/>
  <c r="R1167" i="1"/>
  <c r="I1176" i="1"/>
  <c r="M1172" i="1"/>
  <c r="Q1168" i="1"/>
  <c r="U1164" i="1"/>
  <c r="H1177" i="1"/>
  <c r="L1173" i="1"/>
  <c r="P1169" i="1"/>
  <c r="T1165" i="1"/>
  <c r="V1163" i="1"/>
  <c r="J882" i="1"/>
  <c r="N878" i="1"/>
  <c r="I883" i="1"/>
  <c r="H884" i="1"/>
  <c r="K881" i="1"/>
  <c r="O877" i="1"/>
  <c r="M879" i="1"/>
  <c r="P876" i="1"/>
  <c r="S873" i="1"/>
  <c r="R874" i="1"/>
  <c r="V870" i="1"/>
  <c r="Q875" i="1"/>
  <c r="T872" i="1"/>
  <c r="L880" i="1"/>
  <c r="U871" i="1"/>
  <c r="I523" i="1"/>
  <c r="M519" i="1"/>
  <c r="Q515" i="1"/>
  <c r="U511" i="1"/>
  <c r="H524" i="1"/>
  <c r="L520" i="1"/>
  <c r="P516" i="1"/>
  <c r="T512" i="1"/>
  <c r="J522" i="1"/>
  <c r="O517" i="1"/>
  <c r="V510" i="1"/>
  <c r="K521" i="1"/>
  <c r="R514" i="1"/>
  <c r="S513" i="1"/>
  <c r="N518" i="1"/>
  <c r="K1469" i="1"/>
  <c r="O1465" i="1"/>
  <c r="S1461" i="1"/>
  <c r="J1470" i="1"/>
  <c r="N1466" i="1"/>
  <c r="R1462" i="1"/>
  <c r="V1458" i="1"/>
  <c r="Q1463" i="1"/>
  <c r="H1472" i="1"/>
  <c r="I1471" i="1"/>
  <c r="T1460" i="1"/>
  <c r="P1464" i="1"/>
  <c r="M1467" i="1"/>
  <c r="U1459" i="1"/>
  <c r="L1468" i="1"/>
  <c r="H863" i="1"/>
  <c r="L859" i="1"/>
  <c r="P855" i="1"/>
  <c r="K860" i="1"/>
  <c r="O856" i="1"/>
  <c r="I862" i="1"/>
  <c r="M858" i="1"/>
  <c r="Q854" i="1"/>
  <c r="U850" i="1"/>
  <c r="N857" i="1"/>
  <c r="S852" i="1"/>
  <c r="V849" i="1"/>
  <c r="T851" i="1"/>
  <c r="J861" i="1"/>
  <c r="R853" i="1"/>
  <c r="M1448" i="1"/>
  <c r="Q1444" i="1"/>
  <c r="U1440" i="1"/>
  <c r="L1449" i="1"/>
  <c r="J1451" i="1"/>
  <c r="N1447" i="1"/>
  <c r="R1443" i="1"/>
  <c r="V1439" i="1"/>
  <c r="K1450" i="1"/>
  <c r="S1442" i="1"/>
  <c r="P1445" i="1"/>
  <c r="H1453" i="1"/>
  <c r="O1446" i="1"/>
  <c r="T1441" i="1"/>
  <c r="I1452" i="1"/>
  <c r="K1095" i="1"/>
  <c r="O1091" i="1"/>
  <c r="S1087" i="1"/>
  <c r="J1096" i="1"/>
  <c r="N1092" i="1"/>
  <c r="R1088" i="1"/>
  <c r="V1084" i="1"/>
  <c r="L1094" i="1"/>
  <c r="U1085" i="1"/>
  <c r="Q1089" i="1"/>
  <c r="H1098" i="1"/>
  <c r="M1093" i="1"/>
  <c r="T1086" i="1"/>
  <c r="P1090" i="1"/>
  <c r="I1097" i="1"/>
  <c r="H792" i="1"/>
  <c r="L788" i="1"/>
  <c r="P784" i="1"/>
  <c r="T780" i="1"/>
  <c r="K789" i="1"/>
  <c r="N786" i="1"/>
  <c r="U779" i="1"/>
  <c r="O785" i="1"/>
  <c r="R782" i="1"/>
  <c r="S781" i="1"/>
  <c r="V778" i="1"/>
  <c r="M787" i="1"/>
  <c r="J790" i="1"/>
  <c r="I791" i="1"/>
  <c r="Q783" i="1"/>
  <c r="J431" i="1"/>
  <c r="N427" i="1"/>
  <c r="R423" i="1"/>
  <c r="V419" i="1"/>
  <c r="I432" i="1"/>
  <c r="M428" i="1"/>
  <c r="Q424" i="1"/>
  <c r="U420" i="1"/>
  <c r="H433" i="1"/>
  <c r="L429" i="1"/>
  <c r="P425" i="1"/>
  <c r="T421" i="1"/>
  <c r="K430" i="1"/>
  <c r="S422" i="1"/>
  <c r="O426" i="1"/>
  <c r="H460" i="1"/>
  <c r="K457" i="1"/>
  <c r="O453" i="1"/>
  <c r="S449" i="1"/>
  <c r="J458" i="1"/>
  <c r="N454" i="1"/>
  <c r="R450" i="1"/>
  <c r="V446" i="1"/>
  <c r="T448" i="1"/>
  <c r="M455" i="1"/>
  <c r="P452" i="1"/>
  <c r="U447" i="1"/>
  <c r="L456" i="1"/>
  <c r="Q451" i="1"/>
  <c r="I459" i="1"/>
  <c r="I1611" i="1"/>
  <c r="M1607" i="1"/>
  <c r="H1612" i="1"/>
  <c r="L1608" i="1"/>
  <c r="P1604" i="1"/>
  <c r="J1610" i="1"/>
  <c r="K1609" i="1"/>
  <c r="O1605" i="1"/>
  <c r="T1600" i="1"/>
  <c r="S1601" i="1"/>
  <c r="N1606" i="1"/>
  <c r="Q1603" i="1"/>
  <c r="R1602" i="1"/>
  <c r="U1599" i="1"/>
  <c r="V1598" i="1"/>
  <c r="J1287" i="1"/>
  <c r="N1283" i="1"/>
  <c r="R1279" i="1"/>
  <c r="V1275" i="1"/>
  <c r="I1288" i="1"/>
  <c r="M1284" i="1"/>
  <c r="Q1280" i="1"/>
  <c r="U1276" i="1"/>
  <c r="O1282" i="1"/>
  <c r="T1277" i="1"/>
  <c r="K1286" i="1"/>
  <c r="P1281" i="1"/>
  <c r="S1278" i="1"/>
  <c r="H1289" i="1"/>
  <c r="L1285" i="1"/>
  <c r="J979" i="1"/>
  <c r="N975" i="1"/>
  <c r="R971" i="1"/>
  <c r="V967" i="1"/>
  <c r="I980" i="1"/>
  <c r="M976" i="1"/>
  <c r="Q972" i="1"/>
  <c r="U968" i="1"/>
  <c r="L977" i="1"/>
  <c r="S970" i="1"/>
  <c r="H981" i="1"/>
  <c r="P973" i="1"/>
  <c r="K978" i="1"/>
  <c r="O974" i="1"/>
  <c r="T969" i="1"/>
  <c r="J655" i="1"/>
  <c r="N651" i="1"/>
  <c r="R647" i="1"/>
  <c r="V643" i="1"/>
  <c r="I656" i="1"/>
  <c r="M652" i="1"/>
  <c r="Q648" i="1"/>
  <c r="U644" i="1"/>
  <c r="H657" i="1"/>
  <c r="L653" i="1"/>
  <c r="P649" i="1"/>
  <c r="T645" i="1"/>
  <c r="K654" i="1"/>
  <c r="O650" i="1"/>
  <c r="S646" i="1"/>
  <c r="I296" i="1"/>
  <c r="M292" i="1"/>
  <c r="Q288" i="1"/>
  <c r="U284" i="1"/>
  <c r="H297" i="1"/>
  <c r="L293" i="1"/>
  <c r="P289" i="1"/>
  <c r="T285" i="1"/>
  <c r="K294" i="1"/>
  <c r="O290" i="1"/>
  <c r="S286" i="1"/>
  <c r="J295" i="1"/>
  <c r="N291" i="1"/>
  <c r="R287" i="1"/>
  <c r="V283" i="1"/>
  <c r="H1435" i="1"/>
  <c r="L1431" i="1"/>
  <c r="P1427" i="1"/>
  <c r="T1423" i="1"/>
  <c r="I1434" i="1"/>
  <c r="M1430" i="1"/>
  <c r="Q1426" i="1"/>
  <c r="U1422" i="1"/>
  <c r="J1433" i="1"/>
  <c r="R1425" i="1"/>
  <c r="O1428" i="1"/>
  <c r="N1429" i="1"/>
  <c r="K1432" i="1"/>
  <c r="S1424" i="1"/>
  <c r="V1421" i="1"/>
  <c r="K1606" i="1"/>
  <c r="H1609" i="1"/>
  <c r="I1608" i="1"/>
  <c r="L1605" i="1"/>
  <c r="Q1600" i="1"/>
  <c r="U1596" i="1"/>
  <c r="J1607" i="1"/>
  <c r="M1604" i="1"/>
  <c r="N1603" i="1"/>
  <c r="R1599" i="1"/>
  <c r="V1595" i="1"/>
  <c r="P1601" i="1"/>
  <c r="O1602" i="1"/>
  <c r="T1597" i="1"/>
  <c r="S1598" i="1"/>
  <c r="H1285" i="1"/>
  <c r="L1281" i="1"/>
  <c r="P1277" i="1"/>
  <c r="T1273" i="1"/>
  <c r="K1282" i="1"/>
  <c r="O1278" i="1"/>
  <c r="S1274" i="1"/>
  <c r="M1280" i="1"/>
  <c r="R1275" i="1"/>
  <c r="I1284" i="1"/>
  <c r="N1279" i="1"/>
  <c r="U1272" i="1"/>
  <c r="Q1276" i="1"/>
  <c r="V1271" i="1"/>
  <c r="J1283" i="1"/>
  <c r="K932" i="1"/>
  <c r="O928" i="1"/>
  <c r="S924" i="1"/>
  <c r="J933" i="1"/>
  <c r="N929" i="1"/>
  <c r="R925" i="1"/>
  <c r="V921" i="1"/>
  <c r="H935" i="1"/>
  <c r="M930" i="1"/>
  <c r="T923" i="1"/>
  <c r="I934" i="1"/>
  <c r="Q926" i="1"/>
  <c r="U922" i="1"/>
  <c r="P927" i="1"/>
  <c r="L931" i="1"/>
  <c r="J608" i="1"/>
  <c r="N604" i="1"/>
  <c r="I609" i="1"/>
  <c r="M605" i="1"/>
  <c r="Q601" i="1"/>
  <c r="U597" i="1"/>
  <c r="L606" i="1"/>
  <c r="T598" i="1"/>
  <c r="H610" i="1"/>
  <c r="V596" i="1"/>
  <c r="O603" i="1"/>
  <c r="S599" i="1"/>
  <c r="K607" i="1"/>
  <c r="P602" i="1"/>
  <c r="R600" i="1"/>
  <c r="H240" i="1"/>
  <c r="L236" i="1"/>
  <c r="P232" i="1"/>
  <c r="T228" i="1"/>
  <c r="K237" i="1"/>
  <c r="O233" i="1"/>
  <c r="S229" i="1"/>
  <c r="I239" i="1"/>
  <c r="N234" i="1"/>
  <c r="Q231" i="1"/>
  <c r="V226" i="1"/>
  <c r="J238" i="1"/>
  <c r="M235" i="1"/>
  <c r="R230" i="1"/>
  <c r="U227" i="1"/>
  <c r="K1079" i="1"/>
  <c r="O1075" i="1"/>
  <c r="S1071" i="1"/>
  <c r="J1080" i="1"/>
  <c r="N1076" i="1"/>
  <c r="R1072" i="1"/>
  <c r="V1068" i="1"/>
  <c r="M1077" i="1"/>
  <c r="P1074" i="1"/>
  <c r="U1069" i="1"/>
  <c r="I1081" i="1"/>
  <c r="L1078" i="1"/>
  <c r="H1082" i="1"/>
  <c r="Q1073" i="1"/>
  <c r="T1070" i="1"/>
  <c r="K1637" i="1"/>
  <c r="J1638" i="1"/>
  <c r="H1640" i="1"/>
  <c r="O1633" i="1"/>
  <c r="S1629" i="1"/>
  <c r="N1634" i="1"/>
  <c r="R1630" i="1"/>
  <c r="V1626" i="1"/>
  <c r="I1639" i="1"/>
  <c r="M1635" i="1"/>
  <c r="Q1631" i="1"/>
  <c r="U1627" i="1"/>
  <c r="P1632" i="1"/>
  <c r="T1628" i="1"/>
  <c r="L1636" i="1"/>
  <c r="H1314" i="1"/>
  <c r="L1310" i="1"/>
  <c r="P1306" i="1"/>
  <c r="T1302" i="1"/>
  <c r="K1311" i="1"/>
  <c r="O1307" i="1"/>
  <c r="J1312" i="1"/>
  <c r="N1308" i="1"/>
  <c r="R1304" i="1"/>
  <c r="I1313" i="1"/>
  <c r="M1309" i="1"/>
  <c r="Q1305" i="1"/>
  <c r="U1301" i="1"/>
  <c r="S1303" i="1"/>
  <c r="V1300" i="1"/>
  <c r="H1001" i="1"/>
  <c r="I1000" i="1"/>
  <c r="L997" i="1"/>
  <c r="P993" i="1"/>
  <c r="T989" i="1"/>
  <c r="K998" i="1"/>
  <c r="O994" i="1"/>
  <c r="S990" i="1"/>
  <c r="Q992" i="1"/>
  <c r="V987" i="1"/>
  <c r="M996" i="1"/>
  <c r="R991" i="1"/>
  <c r="J999" i="1"/>
  <c r="N995" i="1"/>
  <c r="U988" i="1"/>
  <c r="I678" i="1"/>
  <c r="M674" i="1"/>
  <c r="Q670" i="1"/>
  <c r="U666" i="1"/>
  <c r="H679" i="1"/>
  <c r="L675" i="1"/>
  <c r="P671" i="1"/>
  <c r="T667" i="1"/>
  <c r="K676" i="1"/>
  <c r="O672" i="1"/>
  <c r="S668" i="1"/>
  <c r="J677" i="1"/>
  <c r="N673" i="1"/>
  <c r="R669" i="1"/>
  <c r="V665" i="1"/>
  <c r="H271" i="1"/>
  <c r="L267" i="1"/>
  <c r="P263" i="1"/>
  <c r="T259" i="1"/>
  <c r="K268" i="1"/>
  <c r="O264" i="1"/>
  <c r="S260" i="1"/>
  <c r="J269" i="1"/>
  <c r="N265" i="1"/>
  <c r="R261" i="1"/>
  <c r="V257" i="1"/>
  <c r="I270" i="1"/>
  <c r="M266" i="1"/>
  <c r="Q262" i="1"/>
  <c r="U258" i="1"/>
  <c r="K1630" i="1"/>
  <c r="O1626" i="1"/>
  <c r="S1622" i="1"/>
  <c r="J1631" i="1"/>
  <c r="N1627" i="1"/>
  <c r="R1623" i="1"/>
  <c r="V1619" i="1"/>
  <c r="I1632" i="1"/>
  <c r="P1625" i="1"/>
  <c r="U1620" i="1"/>
  <c r="L1629" i="1"/>
  <c r="Q1624" i="1"/>
  <c r="M1628" i="1"/>
  <c r="H1633" i="1"/>
  <c r="T1621" i="1"/>
  <c r="H1303" i="1"/>
  <c r="O1296" i="1"/>
  <c r="Q1294" i="1"/>
  <c r="U1290" i="1"/>
  <c r="I1302" i="1"/>
  <c r="L1299" i="1"/>
  <c r="T1291" i="1"/>
  <c r="J1301" i="1"/>
  <c r="M1298" i="1"/>
  <c r="P1295" i="1"/>
  <c r="N1297" i="1"/>
  <c r="S1292" i="1"/>
  <c r="K1300" i="1"/>
  <c r="V1289" i="1"/>
  <c r="R1293" i="1"/>
  <c r="J994" i="1"/>
  <c r="N990" i="1"/>
  <c r="R986" i="1"/>
  <c r="V982" i="1"/>
  <c r="I995" i="1"/>
  <c r="M991" i="1"/>
  <c r="Q987" i="1"/>
  <c r="U983" i="1"/>
  <c r="H996" i="1"/>
  <c r="L992" i="1"/>
  <c r="P988" i="1"/>
  <c r="T984" i="1"/>
  <c r="K993" i="1"/>
  <c r="O989" i="1"/>
  <c r="S985" i="1"/>
  <c r="K672" i="1"/>
  <c r="O668" i="1"/>
  <c r="S664" i="1"/>
  <c r="J673" i="1"/>
  <c r="N669" i="1"/>
  <c r="R665" i="1"/>
  <c r="V661" i="1"/>
  <c r="I674" i="1"/>
  <c r="M670" i="1"/>
  <c r="Q666" i="1"/>
  <c r="U662" i="1"/>
  <c r="H675" i="1"/>
  <c r="L671" i="1"/>
  <c r="P667" i="1"/>
  <c r="T663" i="1"/>
  <c r="H312" i="1"/>
  <c r="L308" i="1"/>
  <c r="P304" i="1"/>
  <c r="T300" i="1"/>
  <c r="K309" i="1"/>
  <c r="O305" i="1"/>
  <c r="S301" i="1"/>
  <c r="I311" i="1"/>
  <c r="N306" i="1"/>
  <c r="U299" i="1"/>
  <c r="J310" i="1"/>
  <c r="Q303" i="1"/>
  <c r="V298" i="1"/>
  <c r="M307" i="1"/>
  <c r="R302" i="1"/>
  <c r="J1317" i="1"/>
  <c r="N1313" i="1"/>
  <c r="R1309" i="1"/>
  <c r="V1305" i="1"/>
  <c r="I1318" i="1"/>
  <c r="M1314" i="1"/>
  <c r="Q1310" i="1"/>
  <c r="K1316" i="1"/>
  <c r="P1311" i="1"/>
  <c r="L1315" i="1"/>
  <c r="S1308" i="1"/>
  <c r="U1306" i="1"/>
  <c r="O1312" i="1"/>
  <c r="T1307" i="1"/>
  <c r="H1319" i="1"/>
  <c r="G194" i="1"/>
  <c r="I192" i="1"/>
  <c r="M188" i="1"/>
  <c r="Q184" i="1"/>
  <c r="U180" i="1"/>
  <c r="J191" i="1"/>
  <c r="N187" i="1"/>
  <c r="R183" i="1"/>
  <c r="V179" i="1"/>
  <c r="O186" i="1"/>
  <c r="S182" i="1"/>
  <c r="T181" i="1"/>
  <c r="L189" i="1"/>
  <c r="K190" i="1"/>
  <c r="P185" i="1"/>
  <c r="H193" i="1"/>
  <c r="G81" i="1"/>
  <c r="I79" i="1"/>
  <c r="H80" i="1"/>
  <c r="L76" i="1"/>
  <c r="P72" i="1"/>
  <c r="T68" i="1"/>
  <c r="K77" i="1"/>
  <c r="O73" i="1"/>
  <c r="S69" i="1"/>
  <c r="V66" i="1"/>
  <c r="M75" i="1"/>
  <c r="R70" i="1"/>
  <c r="Q71" i="1"/>
  <c r="N74" i="1"/>
  <c r="U67" i="1"/>
  <c r="J78" i="1"/>
  <c r="I1085" i="1"/>
  <c r="M1081" i="1"/>
  <c r="Q1077" i="1"/>
  <c r="U1073" i="1"/>
  <c r="H1086" i="1"/>
  <c r="L1082" i="1"/>
  <c r="P1078" i="1"/>
  <c r="T1074" i="1"/>
  <c r="S1075" i="1"/>
  <c r="V1072" i="1"/>
  <c r="J1084" i="1"/>
  <c r="O1079" i="1"/>
  <c r="R1076" i="1"/>
  <c r="N1080" i="1"/>
  <c r="K1083" i="1"/>
  <c r="G130" i="1"/>
  <c r="J127" i="1"/>
  <c r="N123" i="1"/>
  <c r="R119" i="1"/>
  <c r="V115" i="1"/>
  <c r="I128" i="1"/>
  <c r="M124" i="1"/>
  <c r="Q120" i="1"/>
  <c r="U116" i="1"/>
  <c r="H129" i="1"/>
  <c r="L125" i="1"/>
  <c r="P121" i="1"/>
  <c r="T117" i="1"/>
  <c r="S118" i="1"/>
  <c r="K126" i="1"/>
  <c r="O122" i="1"/>
  <c r="G176" i="1"/>
  <c r="H175" i="1"/>
  <c r="L171" i="1"/>
  <c r="P167" i="1"/>
  <c r="T163" i="1"/>
  <c r="I174" i="1"/>
  <c r="M170" i="1"/>
  <c r="Q166" i="1"/>
  <c r="U162" i="1"/>
  <c r="K172" i="1"/>
  <c r="N169" i="1"/>
  <c r="O168" i="1"/>
  <c r="R165" i="1"/>
  <c r="S164" i="1"/>
  <c r="V161" i="1"/>
  <c r="J173" i="1"/>
  <c r="K51" i="1"/>
  <c r="O47" i="1"/>
  <c r="S43" i="1"/>
  <c r="T42" i="1"/>
  <c r="N48" i="1"/>
  <c r="Q45" i="1"/>
  <c r="J52" i="1"/>
  <c r="M49" i="1"/>
  <c r="H54" i="1"/>
  <c r="P46" i="1"/>
  <c r="R44" i="1"/>
  <c r="U41" i="1"/>
  <c r="L50" i="1"/>
  <c r="I53" i="1"/>
  <c r="V40" i="1"/>
  <c r="G1673" i="1"/>
  <c r="G1674" i="1" s="1"/>
  <c r="G314" i="1"/>
  <c r="G330" i="1"/>
  <c r="G497" i="1"/>
  <c r="G350" i="1"/>
  <c r="G864" i="1"/>
  <c r="G1541" i="1"/>
  <c r="G1373" i="1"/>
  <c r="G1215" i="1"/>
  <c r="G210" i="1"/>
  <c r="G461" i="1"/>
  <c r="G430" i="1"/>
  <c r="G1274" i="1"/>
  <c r="G641" i="1"/>
  <c r="G1530" i="1"/>
  <c r="G1362" i="1"/>
  <c r="G1200" i="1"/>
  <c r="G1017" i="1"/>
  <c r="G872" i="1"/>
  <c r="G698" i="1"/>
  <c r="G509" i="1"/>
  <c r="G1121" i="1"/>
  <c r="G1395" i="1"/>
  <c r="G773" i="1"/>
  <c r="G1359" i="1"/>
  <c r="G1554" i="1"/>
  <c r="G1390" i="1"/>
  <c r="G1226" i="1"/>
  <c r="G1079" i="1"/>
  <c r="G926" i="1"/>
  <c r="G769" i="1"/>
  <c r="G592" i="1"/>
  <c r="G777" i="1"/>
  <c r="G1264" i="1"/>
  <c r="G1108" i="1"/>
  <c r="G955" i="1"/>
  <c r="G809" i="1"/>
  <c r="G628" i="1"/>
  <c r="G1497" i="1"/>
  <c r="G1341" i="1"/>
  <c r="G1178" i="1"/>
  <c r="G1028" i="1"/>
  <c r="G885" i="1"/>
  <c r="G711" i="1"/>
  <c r="G525" i="1"/>
  <c r="G1012" i="1"/>
  <c r="G1470" i="1"/>
  <c r="G1099" i="1"/>
  <c r="G946" i="1"/>
  <c r="G793" i="1"/>
  <c r="G620" i="1"/>
  <c r="G434" i="1"/>
  <c r="G253" i="1"/>
  <c r="G1513" i="1"/>
  <c r="G896" i="1"/>
  <c r="G1573" i="1"/>
  <c r="G1412" i="1"/>
  <c r="G1242" i="1"/>
  <c r="G1093" i="1"/>
  <c r="G942" i="1"/>
  <c r="G789" i="1"/>
  <c r="G617" i="1"/>
  <c r="G246" i="1"/>
  <c r="G1234" i="1"/>
  <c r="G295" i="1"/>
  <c r="G450" i="1"/>
  <c r="G233" i="1"/>
  <c r="G1634" i="1"/>
  <c r="G1460" i="1"/>
  <c r="G1304" i="1"/>
  <c r="G491" i="1"/>
  <c r="G972" i="1"/>
  <c r="G396" i="1"/>
  <c r="G1008" i="1"/>
  <c r="G326" i="1"/>
  <c r="G1577" i="1"/>
  <c r="G1416" i="1"/>
  <c r="G1245" i="1"/>
  <c r="G867" i="1"/>
  <c r="G366" i="1"/>
  <c r="G285" i="1"/>
  <c r="G1436" i="1"/>
  <c r="G819" i="1"/>
  <c r="G1569" i="1"/>
  <c r="G1405" i="1"/>
  <c r="G1238" i="1"/>
  <c r="G1053" i="1"/>
  <c r="G903" i="1"/>
  <c r="G742" i="1"/>
  <c r="G557" i="1"/>
  <c r="G241" i="1"/>
  <c r="G1399" i="1"/>
  <c r="G1559" i="1"/>
  <c r="G930" i="1"/>
  <c r="G1595" i="1"/>
  <c r="G1429" i="1"/>
  <c r="G1268" i="1"/>
  <c r="G1112" i="1"/>
  <c r="G960" i="1"/>
  <c r="G815" i="1"/>
  <c r="G631" i="1"/>
  <c r="G933" i="1"/>
  <c r="G1145" i="1"/>
  <c r="G997" i="1"/>
  <c r="G855" i="1"/>
  <c r="G676" i="1"/>
  <c r="G1320" i="1"/>
  <c r="G221" i="1"/>
  <c r="G735" i="1"/>
  <c r="G1546" i="1"/>
  <c r="G1380" i="1"/>
  <c r="G1218" i="1"/>
  <c r="G1067" i="1"/>
  <c r="G916" i="1"/>
  <c r="G759" i="1"/>
  <c r="G570" i="1"/>
  <c r="G1197" i="1"/>
  <c r="G1650" i="1"/>
  <c r="G1137" i="1"/>
  <c r="G988" i="1"/>
  <c r="G835" i="1"/>
  <c r="G663" i="1"/>
  <c r="G477" i="1"/>
  <c r="G302" i="1"/>
  <c r="G1043" i="1"/>
  <c r="G1613" i="1"/>
  <c r="G1450" i="1"/>
  <c r="G1290" i="1"/>
  <c r="G1132" i="1"/>
  <c r="G982" i="1"/>
  <c r="G832" i="1"/>
  <c r="G658" i="1"/>
  <c r="G472" i="1"/>
  <c r="G298" i="1"/>
  <c r="G204" i="1"/>
  <c r="G1565" i="1"/>
  <c r="G334" i="1"/>
  <c r="G414" i="1"/>
  <c r="G319" i="1"/>
  <c r="G272" i="1"/>
  <c r="G1504" i="1"/>
  <c r="G1346" i="1"/>
  <c r="G530" i="1"/>
  <c r="G356" i="1"/>
  <c r="G1160" i="1"/>
  <c r="G418" i="1"/>
  <c r="G645" i="1"/>
  <c r="G1155" i="1"/>
  <c r="G501" i="1"/>
  <c r="G1620" i="1"/>
  <c r="G1454" i="1"/>
  <c r="G1293" i="1"/>
  <c r="G1600" i="1"/>
  <c r="G967" i="1"/>
  <c r="G279" i="1"/>
  <c r="G1610" i="1"/>
  <c r="G1443" i="1"/>
  <c r="G1286" i="1"/>
  <c r="G1126" i="1"/>
  <c r="G936" i="1"/>
  <c r="G783" i="1"/>
  <c r="G611" i="1"/>
  <c r="G424" i="1"/>
  <c r="G605" i="1"/>
  <c r="G1083" i="1"/>
  <c r="G506" i="1"/>
  <c r="G1641" i="1"/>
  <c r="G1465" i="1"/>
  <c r="G1315" i="1"/>
  <c r="G1152" i="1"/>
  <c r="G1002" i="1"/>
  <c r="G858" i="1"/>
  <c r="G680" i="1"/>
  <c r="G1279" i="1"/>
  <c r="G1183" i="1"/>
  <c r="G1033" i="1"/>
  <c r="G888" i="1"/>
  <c r="G719" i="1"/>
  <c r="G402" i="1"/>
  <c r="G1088" i="1"/>
  <c r="G543" i="1"/>
  <c r="G150" i="1"/>
  <c r="G1585" i="1"/>
  <c r="G1419" i="1"/>
  <c r="G1253" i="1"/>
  <c r="G1104" i="1"/>
  <c r="G950" i="1"/>
  <c r="G803" i="1"/>
  <c r="G624" i="1"/>
  <c r="G438" i="1"/>
  <c r="G1473" i="1"/>
  <c r="G1025" i="1"/>
  <c r="G882" i="1"/>
  <c r="G706" i="1"/>
  <c r="G521" i="1"/>
  <c r="G345" i="1"/>
  <c r="G1192" i="1"/>
  <c r="G1480" i="1"/>
  <c r="G1330" i="1"/>
  <c r="G1174" i="1"/>
  <c r="G1021" i="1"/>
  <c r="G875" i="1"/>
  <c r="G702" i="1"/>
  <c r="G513" i="1"/>
  <c r="G340" i="1"/>
  <c r="G369" i="1"/>
  <c r="G361" i="1"/>
  <c r="G550" i="1"/>
  <c r="G1550" i="1"/>
  <c r="G1385" i="1"/>
  <c r="G229" i="1"/>
  <c r="G1439" i="1"/>
  <c r="G111" i="1"/>
  <c r="G309" i="1"/>
  <c r="G686" i="1"/>
  <c r="G1485" i="1"/>
  <c r="G1333" i="1"/>
  <c r="G379" i="1"/>
  <c r="G1117" i="1"/>
  <c r="G455" i="1"/>
  <c r="G1477" i="1"/>
  <c r="G1324" i="1"/>
  <c r="G1167" i="1"/>
  <c r="G977" i="1"/>
  <c r="G827" i="1"/>
  <c r="G653" i="1"/>
  <c r="G467" i="1"/>
  <c r="G900" i="1"/>
  <c r="G1229" i="1"/>
  <c r="G598" i="1"/>
  <c r="G823" i="1"/>
  <c r="G1508" i="1"/>
  <c r="G1351" i="1"/>
  <c r="G1188" i="1"/>
  <c r="G1039" i="1"/>
  <c r="G892" i="1"/>
  <c r="G724" i="1"/>
  <c r="G540" i="1"/>
  <c r="G1518" i="1"/>
  <c r="G1221" i="1"/>
  <c r="G1073" i="1"/>
  <c r="G919" i="1"/>
  <c r="G764" i="1"/>
  <c r="G577" i="1"/>
  <c r="G97" i="1"/>
  <c r="G237" i="1"/>
  <c r="G1626" i="1"/>
  <c r="G1457" i="1"/>
  <c r="G1298" i="1"/>
  <c r="G1141" i="1"/>
  <c r="G993" i="1"/>
  <c r="G849" i="1"/>
  <c r="G671" i="1"/>
  <c r="G485" i="1"/>
  <c r="G691" i="1"/>
  <c r="G1064" i="1"/>
  <c r="G910" i="1"/>
  <c r="G753" i="1"/>
  <c r="G566" i="1"/>
  <c r="G390" i="1"/>
  <c r="G1604" i="1"/>
  <c r="G1356" i="1"/>
  <c r="G730" i="1"/>
  <c r="G1535" i="1"/>
  <c r="G1369" i="1"/>
  <c r="G1206" i="1"/>
  <c r="G1057" i="1"/>
  <c r="G907" i="1"/>
  <c r="G748" i="1"/>
  <c r="G561" i="1"/>
  <c r="G1049" i="1"/>
  <c r="G407" i="1"/>
  <c r="G1591" i="1"/>
  <c r="G1423" i="1"/>
  <c r="G445" i="1"/>
  <c r="G265" i="1"/>
  <c r="G1713" i="1"/>
  <c r="G1690" i="1"/>
  <c r="G1709" i="1"/>
  <c r="G1682" i="1"/>
  <c r="G1702" i="1"/>
  <c r="G1725" i="1"/>
  <c r="G1720" i="1"/>
  <c r="G1694" i="1"/>
  <c r="G1661" i="1"/>
  <c r="G1670" i="1"/>
  <c r="G1667" i="1"/>
  <c r="G1656" i="1"/>
  <c r="G1677" i="1"/>
  <c r="I3" i="1"/>
  <c r="O3" i="1"/>
  <c r="M3" i="1"/>
  <c r="S3" i="1"/>
  <c r="I257" i="1" l="1"/>
  <c r="M253" i="1"/>
  <c r="Q249" i="1"/>
  <c r="U245" i="1"/>
  <c r="H258" i="1"/>
  <c r="L254" i="1"/>
  <c r="P250" i="1"/>
  <c r="T246" i="1"/>
  <c r="V244" i="1"/>
  <c r="K255" i="1"/>
  <c r="R248" i="1"/>
  <c r="N252" i="1"/>
  <c r="S247" i="1"/>
  <c r="J256" i="1"/>
  <c r="O251" i="1"/>
  <c r="H1674" i="1"/>
  <c r="L1670" i="1"/>
  <c r="P1666" i="1"/>
  <c r="T1662" i="1"/>
  <c r="K1671" i="1"/>
  <c r="O1667" i="1"/>
  <c r="S1663" i="1"/>
  <c r="I1673" i="1"/>
  <c r="M1669" i="1"/>
  <c r="Q1665" i="1"/>
  <c r="U1661" i="1"/>
  <c r="V1660" i="1"/>
  <c r="J1672" i="1"/>
  <c r="R1664" i="1"/>
  <c r="N1668" i="1"/>
  <c r="K1717" i="1"/>
  <c r="O1713" i="1"/>
  <c r="S1709" i="1"/>
  <c r="J1718" i="1"/>
  <c r="N1714" i="1"/>
  <c r="R1710" i="1"/>
  <c r="V1706" i="1"/>
  <c r="I1719" i="1"/>
  <c r="M1715" i="1"/>
  <c r="Q1711" i="1"/>
  <c r="U1707" i="1"/>
  <c r="T1708" i="1"/>
  <c r="P1712" i="1"/>
  <c r="L1716" i="1"/>
  <c r="H1720" i="1"/>
  <c r="J564" i="1"/>
  <c r="N560" i="1"/>
  <c r="R556" i="1"/>
  <c r="V552" i="1"/>
  <c r="I565" i="1"/>
  <c r="M561" i="1"/>
  <c r="Q557" i="1"/>
  <c r="U553" i="1"/>
  <c r="L562" i="1"/>
  <c r="S555" i="1"/>
  <c r="H566" i="1"/>
  <c r="O559" i="1"/>
  <c r="K563" i="1"/>
  <c r="T554" i="1"/>
  <c r="P558" i="1"/>
  <c r="I1116" i="1"/>
  <c r="M1112" i="1"/>
  <c r="Q1108" i="1"/>
  <c r="U1104" i="1"/>
  <c r="H1117" i="1"/>
  <c r="L1113" i="1"/>
  <c r="P1109" i="1"/>
  <c r="T1105" i="1"/>
  <c r="K1114" i="1"/>
  <c r="O1110" i="1"/>
  <c r="S1106" i="1"/>
  <c r="J1115" i="1"/>
  <c r="N1111" i="1"/>
  <c r="R1107" i="1"/>
  <c r="V1103" i="1"/>
  <c r="K800" i="1"/>
  <c r="O796" i="1"/>
  <c r="S792" i="1"/>
  <c r="V789" i="1"/>
  <c r="M798" i="1"/>
  <c r="P795" i="1"/>
  <c r="J801" i="1"/>
  <c r="N797" i="1"/>
  <c r="H803" i="1"/>
  <c r="U790" i="1"/>
  <c r="I802" i="1"/>
  <c r="R793" i="1"/>
  <c r="T791" i="1"/>
  <c r="L799" i="1"/>
  <c r="Q794" i="1"/>
  <c r="J499" i="1"/>
  <c r="N495" i="1"/>
  <c r="R491" i="1"/>
  <c r="V487" i="1"/>
  <c r="I500" i="1"/>
  <c r="M496" i="1"/>
  <c r="Q492" i="1"/>
  <c r="U488" i="1"/>
  <c r="H501" i="1"/>
  <c r="L497" i="1"/>
  <c r="P493" i="1"/>
  <c r="T489" i="1"/>
  <c r="K498" i="1"/>
  <c r="O494" i="1"/>
  <c r="S490" i="1"/>
  <c r="H1043" i="1"/>
  <c r="L1039" i="1"/>
  <c r="P1035" i="1"/>
  <c r="T1031" i="1"/>
  <c r="J1041" i="1"/>
  <c r="N1037" i="1"/>
  <c r="R1033" i="1"/>
  <c r="V1029" i="1"/>
  <c r="I1042" i="1"/>
  <c r="M1038" i="1"/>
  <c r="Q1034" i="1"/>
  <c r="U1030" i="1"/>
  <c r="K1040" i="1"/>
  <c r="S1032" i="1"/>
  <c r="O1036" i="1"/>
  <c r="I1404" i="1"/>
  <c r="M1400" i="1"/>
  <c r="Q1396" i="1"/>
  <c r="U1392" i="1"/>
  <c r="K1402" i="1"/>
  <c r="O1398" i="1"/>
  <c r="S1394" i="1"/>
  <c r="J1403" i="1"/>
  <c r="N1399" i="1"/>
  <c r="R1395" i="1"/>
  <c r="V1391" i="1"/>
  <c r="T1393" i="1"/>
  <c r="P1397" i="1"/>
  <c r="H1405" i="1"/>
  <c r="L1401" i="1"/>
  <c r="J807" i="1"/>
  <c r="N803" i="1"/>
  <c r="R799" i="1"/>
  <c r="V795" i="1"/>
  <c r="Q800" i="1"/>
  <c r="H809" i="1"/>
  <c r="K806" i="1"/>
  <c r="U796" i="1"/>
  <c r="I808" i="1"/>
  <c r="P801" i="1"/>
  <c r="S798" i="1"/>
  <c r="L805" i="1"/>
  <c r="T797" i="1"/>
  <c r="M804" i="1"/>
  <c r="O802" i="1"/>
  <c r="J1723" i="1"/>
  <c r="N1719" i="1"/>
  <c r="R1715" i="1"/>
  <c r="V1711" i="1"/>
  <c r="I1724" i="1"/>
  <c r="M1720" i="1"/>
  <c r="Q1716" i="1"/>
  <c r="U1712" i="1"/>
  <c r="H1725" i="1"/>
  <c r="L1721" i="1"/>
  <c r="P1717" i="1"/>
  <c r="T1713" i="1"/>
  <c r="K1722" i="1"/>
  <c r="O1718" i="1"/>
  <c r="S1714" i="1"/>
  <c r="J1421" i="1"/>
  <c r="N1417" i="1"/>
  <c r="R1413" i="1"/>
  <c r="V1409" i="1"/>
  <c r="K1420" i="1"/>
  <c r="O1416" i="1"/>
  <c r="S1412" i="1"/>
  <c r="L1419" i="1"/>
  <c r="M1418" i="1"/>
  <c r="P1415" i="1"/>
  <c r="Q1414" i="1"/>
  <c r="H1423" i="1"/>
  <c r="I1422" i="1"/>
  <c r="T1411" i="1"/>
  <c r="U1410" i="1"/>
  <c r="I1205" i="1"/>
  <c r="M1201" i="1"/>
  <c r="Q1197" i="1"/>
  <c r="U1193" i="1"/>
  <c r="H1206" i="1"/>
  <c r="L1202" i="1"/>
  <c r="P1198" i="1"/>
  <c r="T1194" i="1"/>
  <c r="V1192" i="1"/>
  <c r="K1203" i="1"/>
  <c r="R1196" i="1"/>
  <c r="N1200" i="1"/>
  <c r="J1204" i="1"/>
  <c r="O1199" i="1"/>
  <c r="S1195" i="1"/>
  <c r="K750" i="1"/>
  <c r="O746" i="1"/>
  <c r="S742" i="1"/>
  <c r="J751" i="1"/>
  <c r="N747" i="1"/>
  <c r="R743" i="1"/>
  <c r="V739" i="1"/>
  <c r="I752" i="1"/>
  <c r="M748" i="1"/>
  <c r="Q744" i="1"/>
  <c r="P745" i="1"/>
  <c r="T741" i="1"/>
  <c r="U740" i="1"/>
  <c r="L749" i="1"/>
  <c r="H753" i="1"/>
  <c r="I1140" i="1"/>
  <c r="M1136" i="1"/>
  <c r="Q1132" i="1"/>
  <c r="U1128" i="1"/>
  <c r="H1141" i="1"/>
  <c r="L1137" i="1"/>
  <c r="P1133" i="1"/>
  <c r="T1129" i="1"/>
  <c r="K1138" i="1"/>
  <c r="O1134" i="1"/>
  <c r="S1130" i="1"/>
  <c r="J1139" i="1"/>
  <c r="N1135" i="1"/>
  <c r="R1131" i="1"/>
  <c r="V1127" i="1"/>
  <c r="K916" i="1"/>
  <c r="O912" i="1"/>
  <c r="S908" i="1"/>
  <c r="J917" i="1"/>
  <c r="N913" i="1"/>
  <c r="R909" i="1"/>
  <c r="V905" i="1"/>
  <c r="P911" i="1"/>
  <c r="U906" i="1"/>
  <c r="L915" i="1"/>
  <c r="Q910" i="1"/>
  <c r="I918" i="1"/>
  <c r="M914" i="1"/>
  <c r="H919" i="1"/>
  <c r="T907" i="1"/>
  <c r="H1188" i="1"/>
  <c r="L1184" i="1"/>
  <c r="P1180" i="1"/>
  <c r="T1176" i="1"/>
  <c r="K1185" i="1"/>
  <c r="O1181" i="1"/>
  <c r="S1177" i="1"/>
  <c r="U1175" i="1"/>
  <c r="J1186" i="1"/>
  <c r="Q1179" i="1"/>
  <c r="V1174" i="1"/>
  <c r="M1183" i="1"/>
  <c r="I1187" i="1"/>
  <c r="N1182" i="1"/>
  <c r="R1178" i="1"/>
  <c r="H653" i="1"/>
  <c r="L649" i="1"/>
  <c r="P645" i="1"/>
  <c r="T641" i="1"/>
  <c r="K650" i="1"/>
  <c r="O646" i="1"/>
  <c r="S642" i="1"/>
  <c r="J651" i="1"/>
  <c r="N647" i="1"/>
  <c r="R643" i="1"/>
  <c r="V639" i="1"/>
  <c r="I652" i="1"/>
  <c r="M648" i="1"/>
  <c r="Q644" i="1"/>
  <c r="U640" i="1"/>
  <c r="K376" i="1"/>
  <c r="O372" i="1"/>
  <c r="S368" i="1"/>
  <c r="J377" i="1"/>
  <c r="N373" i="1"/>
  <c r="R369" i="1"/>
  <c r="V365" i="1"/>
  <c r="I378" i="1"/>
  <c r="M374" i="1"/>
  <c r="Q370" i="1"/>
  <c r="U366" i="1"/>
  <c r="H379" i="1"/>
  <c r="P371" i="1"/>
  <c r="T367" i="1"/>
  <c r="L375" i="1"/>
  <c r="K226" i="1"/>
  <c r="O222" i="1"/>
  <c r="S218" i="1"/>
  <c r="J227" i="1"/>
  <c r="N223" i="1"/>
  <c r="R219" i="1"/>
  <c r="V215" i="1"/>
  <c r="H229" i="1"/>
  <c r="L225" i="1"/>
  <c r="P221" i="1"/>
  <c r="T217" i="1"/>
  <c r="M224" i="1"/>
  <c r="U216" i="1"/>
  <c r="I228" i="1"/>
  <c r="Q220" i="1"/>
  <c r="H702" i="1"/>
  <c r="L698" i="1"/>
  <c r="P694" i="1"/>
  <c r="T690" i="1"/>
  <c r="K699" i="1"/>
  <c r="O695" i="1"/>
  <c r="S691" i="1"/>
  <c r="U689" i="1"/>
  <c r="J700" i="1"/>
  <c r="Q693" i="1"/>
  <c r="V688" i="1"/>
  <c r="M697" i="1"/>
  <c r="I701" i="1"/>
  <c r="N696" i="1"/>
  <c r="R692" i="1"/>
  <c r="H521" i="1"/>
  <c r="L517" i="1"/>
  <c r="P513" i="1"/>
  <c r="T509" i="1"/>
  <c r="K518" i="1"/>
  <c r="O514" i="1"/>
  <c r="S510" i="1"/>
  <c r="J519" i="1"/>
  <c r="N515" i="1"/>
  <c r="R511" i="1"/>
  <c r="V507" i="1"/>
  <c r="I520" i="1"/>
  <c r="M516" i="1"/>
  <c r="Q512" i="1"/>
  <c r="U508" i="1"/>
  <c r="K947" i="1"/>
  <c r="O943" i="1"/>
  <c r="S939" i="1"/>
  <c r="J948" i="1"/>
  <c r="N944" i="1"/>
  <c r="R940" i="1"/>
  <c r="V936" i="1"/>
  <c r="I949" i="1"/>
  <c r="M945" i="1"/>
  <c r="Q941" i="1"/>
  <c r="U937" i="1"/>
  <c r="H950" i="1"/>
  <c r="L946" i="1"/>
  <c r="P942" i="1"/>
  <c r="T938" i="1"/>
  <c r="J1086" i="1"/>
  <c r="N1082" i="1"/>
  <c r="R1078" i="1"/>
  <c r="V1074" i="1"/>
  <c r="I1087" i="1"/>
  <c r="M1083" i="1"/>
  <c r="Q1079" i="1"/>
  <c r="U1075" i="1"/>
  <c r="L1084" i="1"/>
  <c r="O1081" i="1"/>
  <c r="T1076" i="1"/>
  <c r="K1085" i="1"/>
  <c r="P1080" i="1"/>
  <c r="S1077" i="1"/>
  <c r="H1088" i="1"/>
  <c r="J856" i="1"/>
  <c r="N852" i="1"/>
  <c r="R848" i="1"/>
  <c r="V844" i="1"/>
  <c r="I857" i="1"/>
  <c r="Q849" i="1"/>
  <c r="T846" i="1"/>
  <c r="H858" i="1"/>
  <c r="K855" i="1"/>
  <c r="U845" i="1"/>
  <c r="P850" i="1"/>
  <c r="L854" i="1"/>
  <c r="M853" i="1"/>
  <c r="O851" i="1"/>
  <c r="S847" i="1"/>
  <c r="H605" i="1"/>
  <c r="L601" i="1"/>
  <c r="K602" i="1"/>
  <c r="J603" i="1"/>
  <c r="N599" i="1"/>
  <c r="I604" i="1"/>
  <c r="M600" i="1"/>
  <c r="Q596" i="1"/>
  <c r="V591" i="1"/>
  <c r="R595" i="1"/>
  <c r="U592" i="1"/>
  <c r="S594" i="1"/>
  <c r="T593" i="1"/>
  <c r="P597" i="1"/>
  <c r="O598" i="1"/>
  <c r="H1610" i="1"/>
  <c r="L1606" i="1"/>
  <c r="K1607" i="1"/>
  <c r="O1603" i="1"/>
  <c r="S1599" i="1"/>
  <c r="I1609" i="1"/>
  <c r="J1608" i="1"/>
  <c r="M1605" i="1"/>
  <c r="R1600" i="1"/>
  <c r="V1596" i="1"/>
  <c r="P1602" i="1"/>
  <c r="Q1601" i="1"/>
  <c r="N1604" i="1"/>
  <c r="T1598" i="1"/>
  <c r="U1597" i="1"/>
  <c r="H1155" i="1"/>
  <c r="I1154" i="1"/>
  <c r="L1151" i="1"/>
  <c r="P1147" i="1"/>
  <c r="T1143" i="1"/>
  <c r="K1152" i="1"/>
  <c r="O1148" i="1"/>
  <c r="S1144" i="1"/>
  <c r="N1149" i="1"/>
  <c r="R1145" i="1"/>
  <c r="V1141" i="1"/>
  <c r="M1150" i="1"/>
  <c r="Q1146" i="1"/>
  <c r="U1142" i="1"/>
  <c r="J1153" i="1"/>
  <c r="H272" i="1"/>
  <c r="L268" i="1"/>
  <c r="P264" i="1"/>
  <c r="T260" i="1"/>
  <c r="K269" i="1"/>
  <c r="O265" i="1"/>
  <c r="S261" i="1"/>
  <c r="U259" i="1"/>
  <c r="J270" i="1"/>
  <c r="Q263" i="1"/>
  <c r="V258" i="1"/>
  <c r="M267" i="1"/>
  <c r="R262" i="1"/>
  <c r="N266" i="1"/>
  <c r="I271" i="1"/>
  <c r="J656" i="1"/>
  <c r="N652" i="1"/>
  <c r="R648" i="1"/>
  <c r="V644" i="1"/>
  <c r="I657" i="1"/>
  <c r="M653" i="1"/>
  <c r="Q649" i="1"/>
  <c r="U645" i="1"/>
  <c r="O651" i="1"/>
  <c r="T646" i="1"/>
  <c r="K655" i="1"/>
  <c r="P650" i="1"/>
  <c r="S647" i="1"/>
  <c r="L654" i="1"/>
  <c r="H658" i="1"/>
  <c r="K299" i="1"/>
  <c r="O295" i="1"/>
  <c r="S291" i="1"/>
  <c r="J300" i="1"/>
  <c r="N296" i="1"/>
  <c r="R292" i="1"/>
  <c r="V288" i="1"/>
  <c r="L298" i="1"/>
  <c r="Q293" i="1"/>
  <c r="H302" i="1"/>
  <c r="M297" i="1"/>
  <c r="T290" i="1"/>
  <c r="I301" i="1"/>
  <c r="U289" i="1"/>
  <c r="P294" i="1"/>
  <c r="H570" i="1"/>
  <c r="L566" i="1"/>
  <c r="P562" i="1"/>
  <c r="T558" i="1"/>
  <c r="K567" i="1"/>
  <c r="O563" i="1"/>
  <c r="S559" i="1"/>
  <c r="I569" i="1"/>
  <c r="N564" i="1"/>
  <c r="U557" i="1"/>
  <c r="J568" i="1"/>
  <c r="Q561" i="1"/>
  <c r="V556" i="1"/>
  <c r="R560" i="1"/>
  <c r="M565" i="1"/>
  <c r="K218" i="1"/>
  <c r="O214" i="1"/>
  <c r="S210" i="1"/>
  <c r="J219" i="1"/>
  <c r="N215" i="1"/>
  <c r="H221" i="1"/>
  <c r="L217" i="1"/>
  <c r="P213" i="1"/>
  <c r="T209" i="1"/>
  <c r="U208" i="1"/>
  <c r="I220" i="1"/>
  <c r="R211" i="1"/>
  <c r="Q212" i="1"/>
  <c r="V207" i="1"/>
  <c r="M216" i="1"/>
  <c r="I814" i="1"/>
  <c r="M810" i="1"/>
  <c r="Q806" i="1"/>
  <c r="U802" i="1"/>
  <c r="L811" i="1"/>
  <c r="S804" i="1"/>
  <c r="V801" i="1"/>
  <c r="P807" i="1"/>
  <c r="T803" i="1"/>
  <c r="K812" i="1"/>
  <c r="N809" i="1"/>
  <c r="J813" i="1"/>
  <c r="R805" i="1"/>
  <c r="H815" i="1"/>
  <c r="O808" i="1"/>
  <c r="J1397" i="1"/>
  <c r="N1393" i="1"/>
  <c r="H1399" i="1"/>
  <c r="L1395" i="1"/>
  <c r="P1391" i="1"/>
  <c r="T1387" i="1"/>
  <c r="K1396" i="1"/>
  <c r="O1392" i="1"/>
  <c r="S1388" i="1"/>
  <c r="I1398" i="1"/>
  <c r="R1389" i="1"/>
  <c r="Q1390" i="1"/>
  <c r="M1394" i="1"/>
  <c r="V1385" i="1"/>
  <c r="U1386" i="1"/>
  <c r="I1568" i="1"/>
  <c r="M1564" i="1"/>
  <c r="Q1560" i="1"/>
  <c r="U1556" i="1"/>
  <c r="H1569" i="1"/>
  <c r="L1565" i="1"/>
  <c r="P1561" i="1"/>
  <c r="T1557" i="1"/>
  <c r="J1567" i="1"/>
  <c r="N1563" i="1"/>
  <c r="R1559" i="1"/>
  <c r="V1555" i="1"/>
  <c r="K1566" i="1"/>
  <c r="S1558" i="1"/>
  <c r="O1562" i="1"/>
  <c r="I1576" i="1"/>
  <c r="M1572" i="1"/>
  <c r="Q1568" i="1"/>
  <c r="U1564" i="1"/>
  <c r="J1575" i="1"/>
  <c r="L1573" i="1"/>
  <c r="P1569" i="1"/>
  <c r="T1565" i="1"/>
  <c r="N1571" i="1"/>
  <c r="R1567" i="1"/>
  <c r="V1563" i="1"/>
  <c r="H1577" i="1"/>
  <c r="O1570" i="1"/>
  <c r="K1574" i="1"/>
  <c r="S1566" i="1"/>
  <c r="H1634" i="1"/>
  <c r="L1630" i="1"/>
  <c r="P1626" i="1"/>
  <c r="T1622" i="1"/>
  <c r="K1631" i="1"/>
  <c r="O1627" i="1"/>
  <c r="S1623" i="1"/>
  <c r="J1632" i="1"/>
  <c r="N1628" i="1"/>
  <c r="R1624" i="1"/>
  <c r="V1620" i="1"/>
  <c r="I1633" i="1"/>
  <c r="M1629" i="1"/>
  <c r="Q1625" i="1"/>
  <c r="U1621" i="1"/>
  <c r="K939" i="1"/>
  <c r="O935" i="1"/>
  <c r="S931" i="1"/>
  <c r="J940" i="1"/>
  <c r="N936" i="1"/>
  <c r="R932" i="1"/>
  <c r="V928" i="1"/>
  <c r="I941" i="1"/>
  <c r="M937" i="1"/>
  <c r="Q933" i="1"/>
  <c r="U929" i="1"/>
  <c r="H942" i="1"/>
  <c r="L938" i="1"/>
  <c r="P934" i="1"/>
  <c r="T930" i="1"/>
  <c r="J432" i="1"/>
  <c r="N428" i="1"/>
  <c r="R424" i="1"/>
  <c r="V420" i="1"/>
  <c r="I433" i="1"/>
  <c r="M429" i="1"/>
  <c r="Q425" i="1"/>
  <c r="U421" i="1"/>
  <c r="O427" i="1"/>
  <c r="T422" i="1"/>
  <c r="H434" i="1"/>
  <c r="K431" i="1"/>
  <c r="P426" i="1"/>
  <c r="L430" i="1"/>
  <c r="S423" i="1"/>
  <c r="I710" i="1"/>
  <c r="M706" i="1"/>
  <c r="Q702" i="1"/>
  <c r="U698" i="1"/>
  <c r="H711" i="1"/>
  <c r="L707" i="1"/>
  <c r="P703" i="1"/>
  <c r="T699" i="1"/>
  <c r="K708" i="1"/>
  <c r="O704" i="1"/>
  <c r="S700" i="1"/>
  <c r="J709" i="1"/>
  <c r="N705" i="1"/>
  <c r="R701" i="1"/>
  <c r="V697" i="1"/>
  <c r="I954" i="1"/>
  <c r="M950" i="1"/>
  <c r="Q946" i="1"/>
  <c r="U942" i="1"/>
  <c r="H955" i="1"/>
  <c r="L951" i="1"/>
  <c r="P947" i="1"/>
  <c r="T943" i="1"/>
  <c r="R945" i="1"/>
  <c r="N949" i="1"/>
  <c r="S944" i="1"/>
  <c r="K952" i="1"/>
  <c r="O948" i="1"/>
  <c r="J953" i="1"/>
  <c r="V941" i="1"/>
  <c r="H1226" i="1"/>
  <c r="K1223" i="1"/>
  <c r="O1219" i="1"/>
  <c r="S1215" i="1"/>
  <c r="J1224" i="1"/>
  <c r="N1220" i="1"/>
  <c r="R1216" i="1"/>
  <c r="V1212" i="1"/>
  <c r="P1218" i="1"/>
  <c r="U1213" i="1"/>
  <c r="L1222" i="1"/>
  <c r="Q1217" i="1"/>
  <c r="T1214" i="1"/>
  <c r="I1225" i="1"/>
  <c r="M1221" i="1"/>
  <c r="J696" i="1"/>
  <c r="N692" i="1"/>
  <c r="R688" i="1"/>
  <c r="V684" i="1"/>
  <c r="I697" i="1"/>
  <c r="M693" i="1"/>
  <c r="Q689" i="1"/>
  <c r="U685" i="1"/>
  <c r="S687" i="1"/>
  <c r="H698" i="1"/>
  <c r="O691" i="1"/>
  <c r="T686" i="1"/>
  <c r="K695" i="1"/>
  <c r="L694" i="1"/>
  <c r="P690" i="1"/>
  <c r="H430" i="1"/>
  <c r="L426" i="1"/>
  <c r="P422" i="1"/>
  <c r="T418" i="1"/>
  <c r="K427" i="1"/>
  <c r="O423" i="1"/>
  <c r="S419" i="1"/>
  <c r="N424" i="1"/>
  <c r="Q421" i="1"/>
  <c r="V416" i="1"/>
  <c r="J428" i="1"/>
  <c r="M425" i="1"/>
  <c r="U417" i="1"/>
  <c r="I429" i="1"/>
  <c r="R420" i="1"/>
  <c r="H497" i="1"/>
  <c r="L493" i="1"/>
  <c r="P489" i="1"/>
  <c r="T485" i="1"/>
  <c r="K494" i="1"/>
  <c r="O490" i="1"/>
  <c r="S486" i="1"/>
  <c r="J495" i="1"/>
  <c r="N491" i="1"/>
  <c r="R487" i="1"/>
  <c r="V483" i="1"/>
  <c r="I496" i="1"/>
  <c r="M492" i="1"/>
  <c r="Q488" i="1"/>
  <c r="U484" i="1"/>
  <c r="K1054" i="1"/>
  <c r="O1050" i="1"/>
  <c r="S1046" i="1"/>
  <c r="I1056" i="1"/>
  <c r="M1052" i="1"/>
  <c r="Q1048" i="1"/>
  <c r="U1044" i="1"/>
  <c r="H1057" i="1"/>
  <c r="L1053" i="1"/>
  <c r="P1049" i="1"/>
  <c r="T1045" i="1"/>
  <c r="N1051" i="1"/>
  <c r="V1043" i="1"/>
  <c r="R1047" i="1"/>
  <c r="J1055" i="1"/>
  <c r="I466" i="1"/>
  <c r="M462" i="1"/>
  <c r="H467" i="1"/>
  <c r="L463" i="1"/>
  <c r="K464" i="1"/>
  <c r="O460" i="1"/>
  <c r="J465" i="1"/>
  <c r="N461" i="1"/>
  <c r="S456" i="1"/>
  <c r="R457" i="1"/>
  <c r="V453" i="1"/>
  <c r="Q458" i="1"/>
  <c r="U454" i="1"/>
  <c r="T455" i="1"/>
  <c r="P459" i="1"/>
  <c r="J343" i="1"/>
  <c r="N339" i="1"/>
  <c r="R335" i="1"/>
  <c r="I344" i="1"/>
  <c r="M340" i="1"/>
  <c r="H345" i="1"/>
  <c r="L341" i="1"/>
  <c r="P337" i="1"/>
  <c r="T333" i="1"/>
  <c r="Q336" i="1"/>
  <c r="U332" i="1"/>
  <c r="V331" i="1"/>
  <c r="O338" i="1"/>
  <c r="S334" i="1"/>
  <c r="K342" i="1"/>
  <c r="K1501" i="1"/>
  <c r="O1497" i="1"/>
  <c r="S1493" i="1"/>
  <c r="J1502" i="1"/>
  <c r="N1498" i="1"/>
  <c r="R1494" i="1"/>
  <c r="V1490" i="1"/>
  <c r="U1491" i="1"/>
  <c r="I1503" i="1"/>
  <c r="L1500" i="1"/>
  <c r="M1499" i="1"/>
  <c r="P1496" i="1"/>
  <c r="T1492" i="1"/>
  <c r="H1504" i="1"/>
  <c r="Q1495" i="1"/>
  <c r="I734" i="1"/>
  <c r="M730" i="1"/>
  <c r="Q726" i="1"/>
  <c r="U722" i="1"/>
  <c r="H735" i="1"/>
  <c r="L731" i="1"/>
  <c r="P727" i="1"/>
  <c r="T723" i="1"/>
  <c r="K732" i="1"/>
  <c r="O728" i="1"/>
  <c r="S724" i="1"/>
  <c r="J733" i="1"/>
  <c r="N729" i="1"/>
  <c r="R725" i="1"/>
  <c r="V721" i="1"/>
  <c r="H789" i="1"/>
  <c r="L785" i="1"/>
  <c r="P781" i="1"/>
  <c r="T777" i="1"/>
  <c r="N783" i="1"/>
  <c r="Q780" i="1"/>
  <c r="K786" i="1"/>
  <c r="O782" i="1"/>
  <c r="I788" i="1"/>
  <c r="S778" i="1"/>
  <c r="U776" i="1"/>
  <c r="M784" i="1"/>
  <c r="R779" i="1"/>
  <c r="V775" i="1"/>
  <c r="J787" i="1"/>
  <c r="J1077" i="1"/>
  <c r="N1073" i="1"/>
  <c r="R1069" i="1"/>
  <c r="V1065" i="1"/>
  <c r="H1079" i="1"/>
  <c r="L1075" i="1"/>
  <c r="P1071" i="1"/>
  <c r="T1067" i="1"/>
  <c r="K1076" i="1"/>
  <c r="O1072" i="1"/>
  <c r="S1068" i="1"/>
  <c r="M1074" i="1"/>
  <c r="U1066" i="1"/>
  <c r="I1078" i="1"/>
  <c r="Q1070" i="1"/>
  <c r="H1591" i="1"/>
  <c r="L1587" i="1"/>
  <c r="P1583" i="1"/>
  <c r="T1579" i="1"/>
  <c r="M1586" i="1"/>
  <c r="Q1582" i="1"/>
  <c r="J1589" i="1"/>
  <c r="K1588" i="1"/>
  <c r="U1578" i="1"/>
  <c r="V1577" i="1"/>
  <c r="R1581" i="1"/>
  <c r="I1590" i="1"/>
  <c r="N1585" i="1"/>
  <c r="S1580" i="1"/>
  <c r="O1584" i="1"/>
  <c r="J1349" i="1"/>
  <c r="N1345" i="1"/>
  <c r="R1341" i="1"/>
  <c r="V1337" i="1"/>
  <c r="I1350" i="1"/>
  <c r="M1346" i="1"/>
  <c r="Q1342" i="1"/>
  <c r="U1338" i="1"/>
  <c r="K1348" i="1"/>
  <c r="P1343" i="1"/>
  <c r="L1347" i="1"/>
  <c r="S1340" i="1"/>
  <c r="O1344" i="1"/>
  <c r="H1351" i="1"/>
  <c r="T1339" i="1"/>
  <c r="I1384" i="1"/>
  <c r="M1380" i="1"/>
  <c r="Q1376" i="1"/>
  <c r="U1372" i="1"/>
  <c r="H1385" i="1"/>
  <c r="L1381" i="1"/>
  <c r="P1377" i="1"/>
  <c r="T1373" i="1"/>
  <c r="K1382" i="1"/>
  <c r="S1374" i="1"/>
  <c r="J1383" i="1"/>
  <c r="R1375" i="1"/>
  <c r="O1378" i="1"/>
  <c r="N1379" i="1"/>
  <c r="V1371" i="1"/>
  <c r="I423" i="1"/>
  <c r="M419" i="1"/>
  <c r="Q415" i="1"/>
  <c r="U411" i="1"/>
  <c r="H424" i="1"/>
  <c r="L420" i="1"/>
  <c r="P416" i="1"/>
  <c r="T412" i="1"/>
  <c r="R414" i="1"/>
  <c r="K421" i="1"/>
  <c r="N418" i="1"/>
  <c r="S413" i="1"/>
  <c r="J422" i="1"/>
  <c r="O417" i="1"/>
  <c r="V410" i="1"/>
  <c r="H319" i="1"/>
  <c r="L315" i="1"/>
  <c r="P311" i="1"/>
  <c r="T307" i="1"/>
  <c r="K316" i="1"/>
  <c r="O312" i="1"/>
  <c r="S308" i="1"/>
  <c r="J317" i="1"/>
  <c r="N313" i="1"/>
  <c r="R309" i="1"/>
  <c r="V305" i="1"/>
  <c r="I318" i="1"/>
  <c r="M314" i="1"/>
  <c r="Q310" i="1"/>
  <c r="U306" i="1"/>
  <c r="K1317" i="1"/>
  <c r="O1313" i="1"/>
  <c r="S1309" i="1"/>
  <c r="J1318" i="1"/>
  <c r="N1314" i="1"/>
  <c r="R1310" i="1"/>
  <c r="V1306" i="1"/>
  <c r="I1319" i="1"/>
  <c r="M1315" i="1"/>
  <c r="Q1311" i="1"/>
  <c r="U1307" i="1"/>
  <c r="H1320" i="1"/>
  <c r="L1316" i="1"/>
  <c r="P1312" i="1"/>
  <c r="T1308" i="1"/>
  <c r="H326" i="1"/>
  <c r="K323" i="1"/>
  <c r="I325" i="1"/>
  <c r="J324" i="1"/>
  <c r="O319" i="1"/>
  <c r="S315" i="1"/>
  <c r="N320" i="1"/>
  <c r="R316" i="1"/>
  <c r="V312" i="1"/>
  <c r="M321" i="1"/>
  <c r="T314" i="1"/>
  <c r="P318" i="1"/>
  <c r="U313" i="1"/>
  <c r="Q317" i="1"/>
  <c r="L322" i="1"/>
  <c r="K617" i="1"/>
  <c r="O613" i="1"/>
  <c r="S609" i="1"/>
  <c r="J618" i="1"/>
  <c r="N614" i="1"/>
  <c r="R610" i="1"/>
  <c r="V606" i="1"/>
  <c r="T608" i="1"/>
  <c r="I619" i="1"/>
  <c r="P612" i="1"/>
  <c r="U607" i="1"/>
  <c r="L616" i="1"/>
  <c r="H620" i="1"/>
  <c r="Q611" i="1"/>
  <c r="M615" i="1"/>
  <c r="I871" i="1"/>
  <c r="M867" i="1"/>
  <c r="Q863" i="1"/>
  <c r="U859" i="1"/>
  <c r="H872" i="1"/>
  <c r="L868" i="1"/>
  <c r="P864" i="1"/>
  <c r="T860" i="1"/>
  <c r="V858" i="1"/>
  <c r="J870" i="1"/>
  <c r="O865" i="1"/>
  <c r="R862" i="1"/>
  <c r="K869" i="1"/>
  <c r="S861" i="1"/>
  <c r="N866" i="1"/>
  <c r="K1653" i="1"/>
  <c r="O1649" i="1"/>
  <c r="S1645" i="1"/>
  <c r="J1654" i="1"/>
  <c r="N1650" i="1"/>
  <c r="R1646" i="1"/>
  <c r="V1642" i="1"/>
  <c r="H1656" i="1"/>
  <c r="L1652" i="1"/>
  <c r="P1648" i="1"/>
  <c r="T1644" i="1"/>
  <c r="U1643" i="1"/>
  <c r="I1655" i="1"/>
  <c r="Q1647" i="1"/>
  <c r="M1651" i="1"/>
  <c r="J1062" i="1"/>
  <c r="N1058" i="1"/>
  <c r="R1054" i="1"/>
  <c r="V1050" i="1"/>
  <c r="I1063" i="1"/>
  <c r="M1059" i="1"/>
  <c r="Q1055" i="1"/>
  <c r="U1051" i="1"/>
  <c r="L1060" i="1"/>
  <c r="O1057" i="1"/>
  <c r="T1052" i="1"/>
  <c r="H1064" i="1"/>
  <c r="K1061" i="1"/>
  <c r="P1056" i="1"/>
  <c r="S1053" i="1"/>
  <c r="I1507" i="1"/>
  <c r="M1503" i="1"/>
  <c r="Q1499" i="1"/>
  <c r="U1495" i="1"/>
  <c r="H1508" i="1"/>
  <c r="L1504" i="1"/>
  <c r="P1500" i="1"/>
  <c r="T1496" i="1"/>
  <c r="S1497" i="1"/>
  <c r="V1494" i="1"/>
  <c r="J1506" i="1"/>
  <c r="K1505" i="1"/>
  <c r="N1502" i="1"/>
  <c r="R1498" i="1"/>
  <c r="O1501" i="1"/>
  <c r="H977" i="1"/>
  <c r="L973" i="1"/>
  <c r="P969" i="1"/>
  <c r="T965" i="1"/>
  <c r="K974" i="1"/>
  <c r="O970" i="1"/>
  <c r="S966" i="1"/>
  <c r="U964" i="1"/>
  <c r="J975" i="1"/>
  <c r="Q968" i="1"/>
  <c r="V963" i="1"/>
  <c r="N971" i="1"/>
  <c r="R967" i="1"/>
  <c r="M972" i="1"/>
  <c r="I976" i="1"/>
  <c r="K1482" i="1"/>
  <c r="O1478" i="1"/>
  <c r="S1474" i="1"/>
  <c r="I1484" i="1"/>
  <c r="T1473" i="1"/>
  <c r="J1483" i="1"/>
  <c r="U1472" i="1"/>
  <c r="L1481" i="1"/>
  <c r="V1471" i="1"/>
  <c r="Q1476" i="1"/>
  <c r="H1485" i="1"/>
  <c r="R1475" i="1"/>
  <c r="M1480" i="1"/>
  <c r="P1477" i="1"/>
  <c r="N1479" i="1"/>
  <c r="I1549" i="1"/>
  <c r="K1547" i="1"/>
  <c r="R1540" i="1"/>
  <c r="V1536" i="1"/>
  <c r="Q1541" i="1"/>
  <c r="U1537" i="1"/>
  <c r="H1550" i="1"/>
  <c r="P1542" i="1"/>
  <c r="S1539" i="1"/>
  <c r="J1548" i="1"/>
  <c r="T1538" i="1"/>
  <c r="L1546" i="1"/>
  <c r="N1544" i="1"/>
  <c r="M1545" i="1"/>
  <c r="O1543" i="1"/>
  <c r="I1020" i="1"/>
  <c r="M1016" i="1"/>
  <c r="Q1012" i="1"/>
  <c r="U1008" i="1"/>
  <c r="K1018" i="1"/>
  <c r="O1014" i="1"/>
  <c r="S1010" i="1"/>
  <c r="J1019" i="1"/>
  <c r="N1015" i="1"/>
  <c r="R1011" i="1"/>
  <c r="V1007" i="1"/>
  <c r="L1017" i="1"/>
  <c r="T1009" i="1"/>
  <c r="P1013" i="1"/>
  <c r="H1021" i="1"/>
  <c r="I881" i="1"/>
  <c r="M877" i="1"/>
  <c r="J880" i="1"/>
  <c r="N876" i="1"/>
  <c r="R872" i="1"/>
  <c r="V868" i="1"/>
  <c r="H882" i="1"/>
  <c r="K879" i="1"/>
  <c r="Q873" i="1"/>
  <c r="U869" i="1"/>
  <c r="S871" i="1"/>
  <c r="O875" i="1"/>
  <c r="T870" i="1"/>
  <c r="L878" i="1"/>
  <c r="P874" i="1"/>
  <c r="H1253" i="1"/>
  <c r="L1249" i="1"/>
  <c r="P1245" i="1"/>
  <c r="T1241" i="1"/>
  <c r="K1250" i="1"/>
  <c r="O1246" i="1"/>
  <c r="S1242" i="1"/>
  <c r="M1248" i="1"/>
  <c r="R1243" i="1"/>
  <c r="I1252" i="1"/>
  <c r="N1247" i="1"/>
  <c r="U1240" i="1"/>
  <c r="Q1244" i="1"/>
  <c r="J1251" i="1"/>
  <c r="V1239" i="1"/>
  <c r="I718" i="1"/>
  <c r="M714" i="1"/>
  <c r="Q710" i="1"/>
  <c r="U706" i="1"/>
  <c r="H719" i="1"/>
  <c r="L715" i="1"/>
  <c r="P711" i="1"/>
  <c r="T707" i="1"/>
  <c r="K716" i="1"/>
  <c r="O712" i="1"/>
  <c r="S708" i="1"/>
  <c r="J717" i="1"/>
  <c r="N713" i="1"/>
  <c r="R709" i="1"/>
  <c r="V705" i="1"/>
  <c r="J1150" i="1"/>
  <c r="N1146" i="1"/>
  <c r="R1142" i="1"/>
  <c r="V1138" i="1"/>
  <c r="I1151" i="1"/>
  <c r="M1147" i="1"/>
  <c r="Q1143" i="1"/>
  <c r="U1139" i="1"/>
  <c r="O1145" i="1"/>
  <c r="T1140" i="1"/>
  <c r="K1149" i="1"/>
  <c r="P1144" i="1"/>
  <c r="S1141" i="1"/>
  <c r="L1148" i="1"/>
  <c r="H1152" i="1"/>
  <c r="K608" i="1"/>
  <c r="O604" i="1"/>
  <c r="S600" i="1"/>
  <c r="J609" i="1"/>
  <c r="N605" i="1"/>
  <c r="R601" i="1"/>
  <c r="I610" i="1"/>
  <c r="M606" i="1"/>
  <c r="Q602" i="1"/>
  <c r="U598" i="1"/>
  <c r="H611" i="1"/>
  <c r="L607" i="1"/>
  <c r="P603" i="1"/>
  <c r="T599" i="1"/>
  <c r="V597" i="1"/>
  <c r="K964" i="1"/>
  <c r="O960" i="1"/>
  <c r="S956" i="1"/>
  <c r="J965" i="1"/>
  <c r="N961" i="1"/>
  <c r="R957" i="1"/>
  <c r="V953" i="1"/>
  <c r="H967" i="1"/>
  <c r="M962" i="1"/>
  <c r="T955" i="1"/>
  <c r="I966" i="1"/>
  <c r="Q958" i="1"/>
  <c r="L963" i="1"/>
  <c r="U954" i="1"/>
  <c r="P959" i="1"/>
  <c r="J416" i="1"/>
  <c r="N412" i="1"/>
  <c r="R408" i="1"/>
  <c r="V404" i="1"/>
  <c r="I417" i="1"/>
  <c r="M413" i="1"/>
  <c r="Q409" i="1"/>
  <c r="U405" i="1"/>
  <c r="L414" i="1"/>
  <c r="O411" i="1"/>
  <c r="T406" i="1"/>
  <c r="H418" i="1"/>
  <c r="P410" i="1"/>
  <c r="S407" i="1"/>
  <c r="K415" i="1"/>
  <c r="H414" i="1"/>
  <c r="L410" i="1"/>
  <c r="P406" i="1"/>
  <c r="T402" i="1"/>
  <c r="K411" i="1"/>
  <c r="O407" i="1"/>
  <c r="S403" i="1"/>
  <c r="U401" i="1"/>
  <c r="I413" i="1"/>
  <c r="N408" i="1"/>
  <c r="Q405" i="1"/>
  <c r="V400" i="1"/>
  <c r="M409" i="1"/>
  <c r="J412" i="1"/>
  <c r="R404" i="1"/>
  <c r="K979" i="1"/>
  <c r="O975" i="1"/>
  <c r="S971" i="1"/>
  <c r="J980" i="1"/>
  <c r="N976" i="1"/>
  <c r="R972" i="1"/>
  <c r="V968" i="1"/>
  <c r="I981" i="1"/>
  <c r="M977" i="1"/>
  <c r="Q973" i="1"/>
  <c r="U969" i="1"/>
  <c r="H982" i="1"/>
  <c r="L978" i="1"/>
  <c r="P974" i="1"/>
  <c r="T970" i="1"/>
  <c r="I662" i="1"/>
  <c r="M658" i="1"/>
  <c r="Q654" i="1"/>
  <c r="U650" i="1"/>
  <c r="H663" i="1"/>
  <c r="L659" i="1"/>
  <c r="P655" i="1"/>
  <c r="T651" i="1"/>
  <c r="K660" i="1"/>
  <c r="O656" i="1"/>
  <c r="S652" i="1"/>
  <c r="J661" i="1"/>
  <c r="N657" i="1"/>
  <c r="R653" i="1"/>
  <c r="V649" i="1"/>
  <c r="J914" i="1"/>
  <c r="N910" i="1"/>
  <c r="R906" i="1"/>
  <c r="V902" i="1"/>
  <c r="I915" i="1"/>
  <c r="M911" i="1"/>
  <c r="Q907" i="1"/>
  <c r="U903" i="1"/>
  <c r="H916" i="1"/>
  <c r="L912" i="1"/>
  <c r="P908" i="1"/>
  <c r="T904" i="1"/>
  <c r="K913" i="1"/>
  <c r="O909" i="1"/>
  <c r="S905" i="1"/>
  <c r="K673" i="1"/>
  <c r="O669" i="1"/>
  <c r="S665" i="1"/>
  <c r="J674" i="1"/>
  <c r="N670" i="1"/>
  <c r="R666" i="1"/>
  <c r="V662" i="1"/>
  <c r="P668" i="1"/>
  <c r="U663" i="1"/>
  <c r="L672" i="1"/>
  <c r="Q667" i="1"/>
  <c r="H676" i="1"/>
  <c r="T664" i="1"/>
  <c r="M671" i="1"/>
  <c r="I675" i="1"/>
  <c r="J1110" i="1"/>
  <c r="N1106" i="1"/>
  <c r="R1102" i="1"/>
  <c r="V1098" i="1"/>
  <c r="I1111" i="1"/>
  <c r="M1107" i="1"/>
  <c r="Q1103" i="1"/>
  <c r="U1099" i="1"/>
  <c r="K1109" i="1"/>
  <c r="P1104" i="1"/>
  <c r="L1108" i="1"/>
  <c r="S1101" i="1"/>
  <c r="O1105" i="1"/>
  <c r="H1112" i="1"/>
  <c r="T1100" i="1"/>
  <c r="J555" i="1"/>
  <c r="N551" i="1"/>
  <c r="R547" i="1"/>
  <c r="V543" i="1"/>
  <c r="I556" i="1"/>
  <c r="M552" i="1"/>
  <c r="Q548" i="1"/>
  <c r="U544" i="1"/>
  <c r="H557" i="1"/>
  <c r="L553" i="1"/>
  <c r="P549" i="1"/>
  <c r="T545" i="1"/>
  <c r="K554" i="1"/>
  <c r="O550" i="1"/>
  <c r="S546" i="1"/>
  <c r="H1436" i="1"/>
  <c r="L1432" i="1"/>
  <c r="P1428" i="1"/>
  <c r="T1424" i="1"/>
  <c r="I1435" i="1"/>
  <c r="M1431" i="1"/>
  <c r="Q1427" i="1"/>
  <c r="U1423" i="1"/>
  <c r="J1434" i="1"/>
  <c r="R1426" i="1"/>
  <c r="O1429" i="1"/>
  <c r="N1430" i="1"/>
  <c r="V1422" i="1"/>
  <c r="S1425" i="1"/>
  <c r="K1433" i="1"/>
  <c r="I1007" i="1"/>
  <c r="T996" i="1"/>
  <c r="O1001" i="1"/>
  <c r="L1004" i="1"/>
  <c r="S997" i="1"/>
  <c r="J1006" i="1"/>
  <c r="M1003" i="1"/>
  <c r="P1000" i="1"/>
  <c r="R998" i="1"/>
  <c r="V994" i="1"/>
  <c r="H1008" i="1"/>
  <c r="N1002" i="1"/>
  <c r="Q999" i="1"/>
  <c r="U995" i="1"/>
  <c r="K1005" i="1"/>
  <c r="J448" i="1"/>
  <c r="N444" i="1"/>
  <c r="R440" i="1"/>
  <c r="V436" i="1"/>
  <c r="I449" i="1"/>
  <c r="M445" i="1"/>
  <c r="Q441" i="1"/>
  <c r="U437" i="1"/>
  <c r="H450" i="1"/>
  <c r="K447" i="1"/>
  <c r="P442" i="1"/>
  <c r="S439" i="1"/>
  <c r="O443" i="1"/>
  <c r="L446" i="1"/>
  <c r="T438" i="1"/>
  <c r="K1239" i="1"/>
  <c r="O1235" i="1"/>
  <c r="S1231" i="1"/>
  <c r="J1240" i="1"/>
  <c r="N1236" i="1"/>
  <c r="I1241" i="1"/>
  <c r="M1237" i="1"/>
  <c r="Q1233" i="1"/>
  <c r="H1242" i="1"/>
  <c r="L1238" i="1"/>
  <c r="P1234" i="1"/>
  <c r="T1230" i="1"/>
  <c r="U1229" i="1"/>
  <c r="V1228" i="1"/>
  <c r="R1232" i="1"/>
  <c r="J791" i="1"/>
  <c r="N787" i="1"/>
  <c r="R783" i="1"/>
  <c r="V779" i="1"/>
  <c r="I792" i="1"/>
  <c r="P785" i="1"/>
  <c r="S782" i="1"/>
  <c r="M788" i="1"/>
  <c r="Q784" i="1"/>
  <c r="H793" i="1"/>
  <c r="K790" i="1"/>
  <c r="U780" i="1"/>
  <c r="O786" i="1"/>
  <c r="L789" i="1"/>
  <c r="T781" i="1"/>
  <c r="H1028" i="1"/>
  <c r="L1024" i="1"/>
  <c r="P1020" i="1"/>
  <c r="T1016" i="1"/>
  <c r="K1025" i="1"/>
  <c r="O1021" i="1"/>
  <c r="S1017" i="1"/>
  <c r="J1026" i="1"/>
  <c r="M1023" i="1"/>
  <c r="R1018" i="1"/>
  <c r="U1015" i="1"/>
  <c r="I1027" i="1"/>
  <c r="N1022" i="1"/>
  <c r="Q1019" i="1"/>
  <c r="V1014" i="1"/>
  <c r="J1262" i="1"/>
  <c r="N1258" i="1"/>
  <c r="R1254" i="1"/>
  <c r="V1250" i="1"/>
  <c r="I1263" i="1"/>
  <c r="M1259" i="1"/>
  <c r="Q1255" i="1"/>
  <c r="U1251" i="1"/>
  <c r="H1264" i="1"/>
  <c r="L1260" i="1"/>
  <c r="P1256" i="1"/>
  <c r="T1252" i="1"/>
  <c r="K1261" i="1"/>
  <c r="O1257" i="1"/>
  <c r="S1253" i="1"/>
  <c r="H1554" i="1"/>
  <c r="K1551" i="1"/>
  <c r="L1550" i="1"/>
  <c r="R1544" i="1"/>
  <c r="T1542" i="1"/>
  <c r="J1552" i="1"/>
  <c r="S1543" i="1"/>
  <c r="U1541" i="1"/>
  <c r="P1546" i="1"/>
  <c r="M1549" i="1"/>
  <c r="I1553" i="1"/>
  <c r="N1548" i="1"/>
  <c r="O1547" i="1"/>
  <c r="V1540" i="1"/>
  <c r="Q1545" i="1"/>
  <c r="K1014" i="1"/>
  <c r="O1010" i="1"/>
  <c r="S1006" i="1"/>
  <c r="I1016" i="1"/>
  <c r="M1012" i="1"/>
  <c r="Q1008" i="1"/>
  <c r="H1017" i="1"/>
  <c r="L1013" i="1"/>
  <c r="P1009" i="1"/>
  <c r="T1005" i="1"/>
  <c r="R1007" i="1"/>
  <c r="N1011" i="1"/>
  <c r="U1004" i="1"/>
  <c r="J1015" i="1"/>
  <c r="V1003" i="1"/>
  <c r="I209" i="1"/>
  <c r="M205" i="1"/>
  <c r="Q201" i="1"/>
  <c r="U197" i="1"/>
  <c r="H210" i="1"/>
  <c r="L206" i="1"/>
  <c r="P202" i="1"/>
  <c r="T198" i="1"/>
  <c r="O203" i="1"/>
  <c r="N204" i="1"/>
  <c r="V196" i="1"/>
  <c r="K207" i="1"/>
  <c r="S199" i="1"/>
  <c r="J208" i="1"/>
  <c r="R200" i="1"/>
  <c r="I313" i="1"/>
  <c r="M309" i="1"/>
  <c r="Q305" i="1"/>
  <c r="U301" i="1"/>
  <c r="H314" i="1"/>
  <c r="L310" i="1"/>
  <c r="P306" i="1"/>
  <c r="T302" i="1"/>
  <c r="R304" i="1"/>
  <c r="N308" i="1"/>
  <c r="S303" i="1"/>
  <c r="J312" i="1"/>
  <c r="O307" i="1"/>
  <c r="V300" i="1"/>
  <c r="K311" i="1"/>
  <c r="G82" i="1"/>
  <c r="J79" i="1"/>
  <c r="N75" i="1"/>
  <c r="R71" i="1"/>
  <c r="V67" i="1"/>
  <c r="I80" i="1"/>
  <c r="H81" i="1"/>
  <c r="L77" i="1"/>
  <c r="P73" i="1"/>
  <c r="T69" i="1"/>
  <c r="M76" i="1"/>
  <c r="U68" i="1"/>
  <c r="S70" i="1"/>
  <c r="K78" i="1"/>
  <c r="Q72" i="1"/>
  <c r="O74" i="1"/>
  <c r="G195" i="1"/>
  <c r="I193" i="1"/>
  <c r="M189" i="1"/>
  <c r="Q185" i="1"/>
  <c r="H194" i="1"/>
  <c r="L190" i="1"/>
  <c r="P186" i="1"/>
  <c r="T182" i="1"/>
  <c r="S183" i="1"/>
  <c r="O187" i="1"/>
  <c r="U181" i="1"/>
  <c r="N188" i="1"/>
  <c r="V180" i="1"/>
  <c r="K191" i="1"/>
  <c r="J192" i="1"/>
  <c r="R184" i="1"/>
  <c r="G64" i="1"/>
  <c r="I62" i="1"/>
  <c r="M58" i="1"/>
  <c r="Q54" i="1"/>
  <c r="U50" i="1"/>
  <c r="K60" i="1"/>
  <c r="L59" i="1"/>
  <c r="S52" i="1"/>
  <c r="V49" i="1"/>
  <c r="O56" i="1"/>
  <c r="J61" i="1"/>
  <c r="P55" i="1"/>
  <c r="T51" i="1"/>
  <c r="H63" i="1"/>
  <c r="N57" i="1"/>
  <c r="R53" i="1"/>
  <c r="G139" i="1"/>
  <c r="J136" i="1"/>
  <c r="N132" i="1"/>
  <c r="R128" i="1"/>
  <c r="V124" i="1"/>
  <c r="I137" i="1"/>
  <c r="M133" i="1"/>
  <c r="Q129" i="1"/>
  <c r="U125" i="1"/>
  <c r="H138" i="1"/>
  <c r="L134" i="1"/>
  <c r="P130" i="1"/>
  <c r="T126" i="1"/>
  <c r="S127" i="1"/>
  <c r="O131" i="1"/>
  <c r="K135" i="1"/>
  <c r="G89" i="1"/>
  <c r="I87" i="1"/>
  <c r="M83" i="1"/>
  <c r="Q79" i="1"/>
  <c r="H88" i="1"/>
  <c r="L84" i="1"/>
  <c r="P80" i="1"/>
  <c r="T76" i="1"/>
  <c r="K85" i="1"/>
  <c r="O81" i="1"/>
  <c r="S77" i="1"/>
  <c r="R78" i="1"/>
  <c r="V74" i="1"/>
  <c r="U75" i="1"/>
  <c r="N82" i="1"/>
  <c r="J86" i="1"/>
  <c r="G183" i="1"/>
  <c r="J180" i="1"/>
  <c r="H182" i="1"/>
  <c r="T170" i="1"/>
  <c r="I181" i="1"/>
  <c r="N176" i="1"/>
  <c r="Q173" i="1"/>
  <c r="K179" i="1"/>
  <c r="O175" i="1"/>
  <c r="R172" i="1"/>
  <c r="U169" i="1"/>
  <c r="L178" i="1"/>
  <c r="S171" i="1"/>
  <c r="V168" i="1"/>
  <c r="M177" i="1"/>
  <c r="P174" i="1"/>
  <c r="I143" i="1"/>
  <c r="M139" i="1"/>
  <c r="Q135" i="1"/>
  <c r="U131" i="1"/>
  <c r="H144" i="1"/>
  <c r="L140" i="1"/>
  <c r="P136" i="1"/>
  <c r="T132" i="1"/>
  <c r="K141" i="1"/>
  <c r="O137" i="1"/>
  <c r="S133" i="1"/>
  <c r="R134" i="1"/>
  <c r="N138" i="1"/>
  <c r="J142" i="1"/>
  <c r="V130" i="1"/>
  <c r="G145" i="1"/>
  <c r="G52" i="1"/>
  <c r="K48" i="1"/>
  <c r="O44" i="1"/>
  <c r="M46" i="1"/>
  <c r="P43" i="1"/>
  <c r="S40" i="1"/>
  <c r="L47" i="1"/>
  <c r="J49" i="1"/>
  <c r="T39" i="1"/>
  <c r="Q42" i="1"/>
  <c r="V37" i="1"/>
  <c r="W37" i="1" s="1"/>
  <c r="N45" i="1"/>
  <c r="H51" i="1"/>
  <c r="U38" i="1"/>
  <c r="R41" i="1"/>
  <c r="I50" i="1"/>
  <c r="H993" i="1"/>
  <c r="L989" i="1"/>
  <c r="P985" i="1"/>
  <c r="T981" i="1"/>
  <c r="K990" i="1"/>
  <c r="O986" i="1"/>
  <c r="S982" i="1"/>
  <c r="M988" i="1"/>
  <c r="R983" i="1"/>
  <c r="I992" i="1"/>
  <c r="N987" i="1"/>
  <c r="V979" i="1"/>
  <c r="J991" i="1"/>
  <c r="Q984" i="1"/>
  <c r="U980" i="1"/>
  <c r="H513" i="1"/>
  <c r="L509" i="1"/>
  <c r="P505" i="1"/>
  <c r="T501" i="1"/>
  <c r="K510" i="1"/>
  <c r="O506" i="1"/>
  <c r="S502" i="1"/>
  <c r="J511" i="1"/>
  <c r="N507" i="1"/>
  <c r="R503" i="1"/>
  <c r="V499" i="1"/>
  <c r="I512" i="1"/>
  <c r="M508" i="1"/>
  <c r="Q504" i="1"/>
  <c r="U500" i="1"/>
  <c r="H1443" i="1"/>
  <c r="L1439" i="1"/>
  <c r="P1435" i="1"/>
  <c r="T1431" i="1"/>
  <c r="I1442" i="1"/>
  <c r="M1438" i="1"/>
  <c r="Q1434" i="1"/>
  <c r="U1430" i="1"/>
  <c r="N1437" i="1"/>
  <c r="V1429" i="1"/>
  <c r="K1440" i="1"/>
  <c r="S1432" i="1"/>
  <c r="J1441" i="1"/>
  <c r="R1433" i="1"/>
  <c r="O1436" i="1"/>
  <c r="I1196" i="1"/>
  <c r="M1192" i="1"/>
  <c r="Q1188" i="1"/>
  <c r="U1184" i="1"/>
  <c r="H1197" i="1"/>
  <c r="L1193" i="1"/>
  <c r="P1189" i="1"/>
  <c r="T1185" i="1"/>
  <c r="K1194" i="1"/>
  <c r="O1190" i="1"/>
  <c r="S1186" i="1"/>
  <c r="J1195" i="1"/>
  <c r="N1191" i="1"/>
  <c r="R1187" i="1"/>
  <c r="V1183" i="1"/>
  <c r="J1414" i="1"/>
  <c r="N1410" i="1"/>
  <c r="P1408" i="1"/>
  <c r="K1413" i="1"/>
  <c r="V1402" i="1"/>
  <c r="R1406" i="1"/>
  <c r="U1403" i="1"/>
  <c r="O1409" i="1"/>
  <c r="H1416" i="1"/>
  <c r="L1412" i="1"/>
  <c r="I1415" i="1"/>
  <c r="S1405" i="1"/>
  <c r="T1404" i="1"/>
  <c r="M1411" i="1"/>
  <c r="Q1407" i="1"/>
  <c r="J523" i="1"/>
  <c r="N519" i="1"/>
  <c r="R515" i="1"/>
  <c r="V511" i="1"/>
  <c r="I524" i="1"/>
  <c r="M520" i="1"/>
  <c r="Q516" i="1"/>
  <c r="U512" i="1"/>
  <c r="H525" i="1"/>
  <c r="L521" i="1"/>
  <c r="P517" i="1"/>
  <c r="T513" i="1"/>
  <c r="K522" i="1"/>
  <c r="O518" i="1"/>
  <c r="S514" i="1"/>
  <c r="H350" i="1"/>
  <c r="L346" i="1"/>
  <c r="P342" i="1"/>
  <c r="T338" i="1"/>
  <c r="K347" i="1"/>
  <c r="O343" i="1"/>
  <c r="S339" i="1"/>
  <c r="U337" i="1"/>
  <c r="I349" i="1"/>
  <c r="N344" i="1"/>
  <c r="Q341" i="1"/>
  <c r="M345" i="1"/>
  <c r="J348" i="1"/>
  <c r="V336" i="1"/>
  <c r="R340" i="1"/>
  <c r="J1700" i="1"/>
  <c r="N1696" i="1"/>
  <c r="R1692" i="1"/>
  <c r="V1688" i="1"/>
  <c r="I1701" i="1"/>
  <c r="M1697" i="1"/>
  <c r="Q1693" i="1"/>
  <c r="U1689" i="1"/>
  <c r="H1702" i="1"/>
  <c r="L1698" i="1"/>
  <c r="P1694" i="1"/>
  <c r="T1690" i="1"/>
  <c r="K1699" i="1"/>
  <c r="S1691" i="1"/>
  <c r="O1695" i="1"/>
  <c r="K907" i="1"/>
  <c r="O903" i="1"/>
  <c r="S899" i="1"/>
  <c r="J908" i="1"/>
  <c r="N904" i="1"/>
  <c r="R900" i="1"/>
  <c r="V896" i="1"/>
  <c r="I909" i="1"/>
  <c r="M905" i="1"/>
  <c r="Q901" i="1"/>
  <c r="U897" i="1"/>
  <c r="H910" i="1"/>
  <c r="L906" i="1"/>
  <c r="P902" i="1"/>
  <c r="T898" i="1"/>
  <c r="K824" i="1"/>
  <c r="O820" i="1"/>
  <c r="S816" i="1"/>
  <c r="I826" i="1"/>
  <c r="M822" i="1"/>
  <c r="Q818" i="1"/>
  <c r="U814" i="1"/>
  <c r="J825" i="1"/>
  <c r="L823" i="1"/>
  <c r="V813" i="1"/>
  <c r="P819" i="1"/>
  <c r="R817" i="1"/>
  <c r="N821" i="1"/>
  <c r="H827" i="1"/>
  <c r="T815" i="1"/>
  <c r="J704" i="1"/>
  <c r="N700" i="1"/>
  <c r="R696" i="1"/>
  <c r="V692" i="1"/>
  <c r="I705" i="1"/>
  <c r="M701" i="1"/>
  <c r="Q697" i="1"/>
  <c r="U693" i="1"/>
  <c r="L702" i="1"/>
  <c r="S695" i="1"/>
  <c r="H706" i="1"/>
  <c r="O699" i="1"/>
  <c r="K703" i="1"/>
  <c r="P698" i="1"/>
  <c r="T694" i="1"/>
  <c r="J1000" i="1"/>
  <c r="M997" i="1"/>
  <c r="Q993" i="1"/>
  <c r="U989" i="1"/>
  <c r="L998" i="1"/>
  <c r="P994" i="1"/>
  <c r="T990" i="1"/>
  <c r="H1002" i="1"/>
  <c r="K999" i="1"/>
  <c r="O995" i="1"/>
  <c r="S991" i="1"/>
  <c r="I1001" i="1"/>
  <c r="N996" i="1"/>
  <c r="R992" i="1"/>
  <c r="V988" i="1"/>
  <c r="H645" i="1"/>
  <c r="L641" i="1"/>
  <c r="P637" i="1"/>
  <c r="T633" i="1"/>
  <c r="K642" i="1"/>
  <c r="O638" i="1"/>
  <c r="S634" i="1"/>
  <c r="J643" i="1"/>
  <c r="N639" i="1"/>
  <c r="R635" i="1"/>
  <c r="V631" i="1"/>
  <c r="I644" i="1"/>
  <c r="M640" i="1"/>
  <c r="Q636" i="1"/>
  <c r="U632" i="1"/>
  <c r="J757" i="1"/>
  <c r="N753" i="1"/>
  <c r="R749" i="1"/>
  <c r="V745" i="1"/>
  <c r="I758" i="1"/>
  <c r="M754" i="1"/>
  <c r="Q750" i="1"/>
  <c r="U746" i="1"/>
  <c r="H759" i="1"/>
  <c r="L755" i="1"/>
  <c r="P751" i="1"/>
  <c r="T747" i="1"/>
  <c r="O752" i="1"/>
  <c r="S748" i="1"/>
  <c r="K756" i="1"/>
  <c r="I240" i="1"/>
  <c r="M236" i="1"/>
  <c r="Q232" i="1"/>
  <c r="U228" i="1"/>
  <c r="H241" i="1"/>
  <c r="L237" i="1"/>
  <c r="P233" i="1"/>
  <c r="T229" i="1"/>
  <c r="J239" i="1"/>
  <c r="N235" i="1"/>
  <c r="R231" i="1"/>
  <c r="V227" i="1"/>
  <c r="O234" i="1"/>
  <c r="K238" i="1"/>
  <c r="S230" i="1"/>
  <c r="I1092" i="1"/>
  <c r="M1088" i="1"/>
  <c r="Q1084" i="1"/>
  <c r="U1080" i="1"/>
  <c r="H1093" i="1"/>
  <c r="L1089" i="1"/>
  <c r="K1090" i="1"/>
  <c r="O1086" i="1"/>
  <c r="S1082" i="1"/>
  <c r="J1091" i="1"/>
  <c r="N1087" i="1"/>
  <c r="R1083" i="1"/>
  <c r="V1079" i="1"/>
  <c r="P1085" i="1"/>
  <c r="T1081" i="1"/>
  <c r="I1389" i="1"/>
  <c r="M1385" i="1"/>
  <c r="Q1381" i="1"/>
  <c r="U1377" i="1"/>
  <c r="H1390" i="1"/>
  <c r="L1386" i="1"/>
  <c r="P1382" i="1"/>
  <c r="T1378" i="1"/>
  <c r="O1383" i="1"/>
  <c r="N1384" i="1"/>
  <c r="V1376" i="1"/>
  <c r="K1387" i="1"/>
  <c r="S1379" i="1"/>
  <c r="J1388" i="1"/>
  <c r="R1380" i="1"/>
  <c r="G160" i="1"/>
  <c r="I158" i="1"/>
  <c r="M154" i="1"/>
  <c r="Q150" i="1"/>
  <c r="U146" i="1"/>
  <c r="H159" i="1"/>
  <c r="L155" i="1"/>
  <c r="P151" i="1"/>
  <c r="T147" i="1"/>
  <c r="K156" i="1"/>
  <c r="O152" i="1"/>
  <c r="S148" i="1"/>
  <c r="N153" i="1"/>
  <c r="R149" i="1"/>
  <c r="J157" i="1"/>
  <c r="V145" i="1"/>
  <c r="I1534" i="1"/>
  <c r="M1530" i="1"/>
  <c r="Q1526" i="1"/>
  <c r="K1532" i="1"/>
  <c r="O1528" i="1"/>
  <c r="S1524" i="1"/>
  <c r="J1533" i="1"/>
  <c r="P1527" i="1"/>
  <c r="R1525" i="1"/>
  <c r="V1521" i="1"/>
  <c r="L1531" i="1"/>
  <c r="H1535" i="1"/>
  <c r="T1523" i="1"/>
  <c r="U1522" i="1"/>
  <c r="N1529" i="1"/>
  <c r="J728" i="1"/>
  <c r="N724" i="1"/>
  <c r="R720" i="1"/>
  <c r="V716" i="1"/>
  <c r="I729" i="1"/>
  <c r="M725" i="1"/>
  <c r="Q721" i="1"/>
  <c r="U717" i="1"/>
  <c r="S719" i="1"/>
  <c r="H730" i="1"/>
  <c r="O723" i="1"/>
  <c r="T718" i="1"/>
  <c r="K727" i="1"/>
  <c r="P722" i="1"/>
  <c r="L726" i="1"/>
  <c r="I822" i="1"/>
  <c r="M818" i="1"/>
  <c r="Q814" i="1"/>
  <c r="U810" i="1"/>
  <c r="K820" i="1"/>
  <c r="O816" i="1"/>
  <c r="N817" i="1"/>
  <c r="P815" i="1"/>
  <c r="T811" i="1"/>
  <c r="H823" i="1"/>
  <c r="J821" i="1"/>
  <c r="R813" i="1"/>
  <c r="L819" i="1"/>
  <c r="S812" i="1"/>
  <c r="V809" i="1"/>
  <c r="I1173" i="1"/>
  <c r="M1169" i="1"/>
  <c r="Q1165" i="1"/>
  <c r="U1161" i="1"/>
  <c r="H1174" i="1"/>
  <c r="L1170" i="1"/>
  <c r="P1166" i="1"/>
  <c r="T1162" i="1"/>
  <c r="K1171" i="1"/>
  <c r="S1163" i="1"/>
  <c r="R1164" i="1"/>
  <c r="N1168" i="1"/>
  <c r="J1172" i="1"/>
  <c r="V1160" i="1"/>
  <c r="O1167" i="1"/>
  <c r="H888" i="1"/>
  <c r="L884" i="1"/>
  <c r="P880" i="1"/>
  <c r="T876" i="1"/>
  <c r="K885" i="1"/>
  <c r="J886" i="1"/>
  <c r="N882" i="1"/>
  <c r="I887" i="1"/>
  <c r="M883" i="1"/>
  <c r="Q879" i="1"/>
  <c r="U875" i="1"/>
  <c r="O881" i="1"/>
  <c r="R878" i="1"/>
  <c r="S877" i="1"/>
  <c r="V874" i="1"/>
  <c r="H1315" i="1"/>
  <c r="L1311" i="1"/>
  <c r="P1307" i="1"/>
  <c r="K1312" i="1"/>
  <c r="O1308" i="1"/>
  <c r="I1314" i="1"/>
  <c r="T1303" i="1"/>
  <c r="N1309" i="1"/>
  <c r="S1304" i="1"/>
  <c r="U1302" i="1"/>
  <c r="J1313" i="1"/>
  <c r="R1305" i="1"/>
  <c r="V1301" i="1"/>
  <c r="M1310" i="1"/>
  <c r="Q1306" i="1"/>
  <c r="J1598" i="1"/>
  <c r="N1594" i="1"/>
  <c r="R1590" i="1"/>
  <c r="V1586" i="1"/>
  <c r="I1599" i="1"/>
  <c r="M1595" i="1"/>
  <c r="Q1591" i="1"/>
  <c r="U1587" i="1"/>
  <c r="S1589" i="1"/>
  <c r="T1588" i="1"/>
  <c r="K1597" i="1"/>
  <c r="L1596" i="1"/>
  <c r="H1600" i="1"/>
  <c r="P1592" i="1"/>
  <c r="O1593" i="1"/>
  <c r="H334" i="1"/>
  <c r="L330" i="1"/>
  <c r="P326" i="1"/>
  <c r="T322" i="1"/>
  <c r="K331" i="1"/>
  <c r="O327" i="1"/>
  <c r="S323" i="1"/>
  <c r="M329" i="1"/>
  <c r="N328" i="1"/>
  <c r="V320" i="1"/>
  <c r="Q325" i="1"/>
  <c r="R324" i="1"/>
  <c r="I333" i="1"/>
  <c r="J332" i="1"/>
  <c r="U321" i="1"/>
  <c r="H1132" i="1"/>
  <c r="L1128" i="1"/>
  <c r="P1124" i="1"/>
  <c r="T1120" i="1"/>
  <c r="K1129" i="1"/>
  <c r="O1125" i="1"/>
  <c r="S1121" i="1"/>
  <c r="U1119" i="1"/>
  <c r="J1130" i="1"/>
  <c r="Q1123" i="1"/>
  <c r="V1118" i="1"/>
  <c r="M1127" i="1"/>
  <c r="I1131" i="1"/>
  <c r="R1122" i="1"/>
  <c r="N1126" i="1"/>
  <c r="H835" i="1"/>
  <c r="K832" i="1"/>
  <c r="O828" i="1"/>
  <c r="S824" i="1"/>
  <c r="I834" i="1"/>
  <c r="M830" i="1"/>
  <c r="Q826" i="1"/>
  <c r="U822" i="1"/>
  <c r="N829" i="1"/>
  <c r="L831" i="1"/>
  <c r="P827" i="1"/>
  <c r="J833" i="1"/>
  <c r="T823" i="1"/>
  <c r="V821" i="1"/>
  <c r="R825" i="1"/>
  <c r="H1067" i="1"/>
  <c r="L1063" i="1"/>
  <c r="P1059" i="1"/>
  <c r="T1055" i="1"/>
  <c r="J1065" i="1"/>
  <c r="N1061" i="1"/>
  <c r="R1057" i="1"/>
  <c r="V1053" i="1"/>
  <c r="I1066" i="1"/>
  <c r="M1062" i="1"/>
  <c r="Q1058" i="1"/>
  <c r="U1054" i="1"/>
  <c r="K1064" i="1"/>
  <c r="S1056" i="1"/>
  <c r="O1060" i="1"/>
  <c r="H855" i="1"/>
  <c r="I854" i="1"/>
  <c r="M850" i="1"/>
  <c r="Q846" i="1"/>
  <c r="U842" i="1"/>
  <c r="L851" i="1"/>
  <c r="O848" i="1"/>
  <c r="R845" i="1"/>
  <c r="P847" i="1"/>
  <c r="S844" i="1"/>
  <c r="V841" i="1"/>
  <c r="J853" i="1"/>
  <c r="T843" i="1"/>
  <c r="K852" i="1"/>
  <c r="N849" i="1"/>
  <c r="H1268" i="1"/>
  <c r="L1264" i="1"/>
  <c r="P1260" i="1"/>
  <c r="T1256" i="1"/>
  <c r="K1265" i="1"/>
  <c r="O1261" i="1"/>
  <c r="S1257" i="1"/>
  <c r="J1266" i="1"/>
  <c r="N1262" i="1"/>
  <c r="R1258" i="1"/>
  <c r="V1254" i="1"/>
  <c r="I1267" i="1"/>
  <c r="M1263" i="1"/>
  <c r="Q1259" i="1"/>
  <c r="U1255" i="1"/>
  <c r="K739" i="1"/>
  <c r="H742" i="1"/>
  <c r="L738" i="1"/>
  <c r="P734" i="1"/>
  <c r="T730" i="1"/>
  <c r="I741" i="1"/>
  <c r="J740" i="1"/>
  <c r="O735" i="1"/>
  <c r="S731" i="1"/>
  <c r="N736" i="1"/>
  <c r="U729" i="1"/>
  <c r="Q733" i="1"/>
  <c r="M737" i="1"/>
  <c r="R732" i="1"/>
  <c r="V728" i="1"/>
  <c r="K282" i="1"/>
  <c r="O278" i="1"/>
  <c r="S274" i="1"/>
  <c r="J283" i="1"/>
  <c r="N279" i="1"/>
  <c r="R275" i="1"/>
  <c r="V271" i="1"/>
  <c r="I284" i="1"/>
  <c r="M280" i="1"/>
  <c r="Q276" i="1"/>
  <c r="U272" i="1"/>
  <c r="H285" i="1"/>
  <c r="L281" i="1"/>
  <c r="P277" i="1"/>
  <c r="T273" i="1"/>
  <c r="K393" i="1"/>
  <c r="O389" i="1"/>
  <c r="S385" i="1"/>
  <c r="J394" i="1"/>
  <c r="N390" i="1"/>
  <c r="R386" i="1"/>
  <c r="V382" i="1"/>
  <c r="T384" i="1"/>
  <c r="H396" i="1"/>
  <c r="M391" i="1"/>
  <c r="P388" i="1"/>
  <c r="U383" i="1"/>
  <c r="L392" i="1"/>
  <c r="I395" i="1"/>
  <c r="Q387" i="1"/>
  <c r="H295" i="1"/>
  <c r="L291" i="1"/>
  <c r="P287" i="1"/>
  <c r="T283" i="1"/>
  <c r="K292" i="1"/>
  <c r="O288" i="1"/>
  <c r="S284" i="1"/>
  <c r="J293" i="1"/>
  <c r="N289" i="1"/>
  <c r="R285" i="1"/>
  <c r="V281" i="1"/>
  <c r="I294" i="1"/>
  <c r="M290" i="1"/>
  <c r="Q286" i="1"/>
  <c r="U282" i="1"/>
  <c r="H1412" i="1"/>
  <c r="K1409" i="1"/>
  <c r="N1406" i="1"/>
  <c r="T1400" i="1"/>
  <c r="S1401" i="1"/>
  <c r="P1404" i="1"/>
  <c r="I1411" i="1"/>
  <c r="M1407" i="1"/>
  <c r="J1410" i="1"/>
  <c r="Q1403" i="1"/>
  <c r="V1398" i="1"/>
  <c r="R1402" i="1"/>
  <c r="U1399" i="1"/>
  <c r="O1405" i="1"/>
  <c r="L1408" i="1"/>
  <c r="I945" i="1"/>
  <c r="M941" i="1"/>
  <c r="Q937" i="1"/>
  <c r="U933" i="1"/>
  <c r="H946" i="1"/>
  <c r="L942" i="1"/>
  <c r="P938" i="1"/>
  <c r="T934" i="1"/>
  <c r="K943" i="1"/>
  <c r="O939" i="1"/>
  <c r="S935" i="1"/>
  <c r="J944" i="1"/>
  <c r="N940" i="1"/>
  <c r="R936" i="1"/>
  <c r="V932" i="1"/>
  <c r="K1175" i="1"/>
  <c r="O1171" i="1"/>
  <c r="S1167" i="1"/>
  <c r="J1176" i="1"/>
  <c r="N1172" i="1"/>
  <c r="R1168" i="1"/>
  <c r="H1178" i="1"/>
  <c r="M1173" i="1"/>
  <c r="V1164" i="1"/>
  <c r="T1166" i="1"/>
  <c r="I1177" i="1"/>
  <c r="P1170" i="1"/>
  <c r="L1174" i="1"/>
  <c r="Q1169" i="1"/>
  <c r="U1165" i="1"/>
  <c r="K774" i="1"/>
  <c r="O770" i="1"/>
  <c r="S766" i="1"/>
  <c r="H777" i="1"/>
  <c r="J775" i="1"/>
  <c r="N771" i="1"/>
  <c r="R767" i="1"/>
  <c r="V763" i="1"/>
  <c r="I776" i="1"/>
  <c r="M772" i="1"/>
  <c r="Q768" i="1"/>
  <c r="U764" i="1"/>
  <c r="P769" i="1"/>
  <c r="T765" i="1"/>
  <c r="L773" i="1"/>
  <c r="H1359" i="1"/>
  <c r="L1355" i="1"/>
  <c r="J1357" i="1"/>
  <c r="N1353" i="1"/>
  <c r="R1349" i="1"/>
  <c r="V1345" i="1"/>
  <c r="K1356" i="1"/>
  <c r="M1354" i="1"/>
  <c r="Q1350" i="1"/>
  <c r="U1346" i="1"/>
  <c r="I1358" i="1"/>
  <c r="O1352" i="1"/>
  <c r="T1347" i="1"/>
  <c r="P1351" i="1"/>
  <c r="S1348" i="1"/>
  <c r="J1198" i="1"/>
  <c r="N1194" i="1"/>
  <c r="R1190" i="1"/>
  <c r="V1186" i="1"/>
  <c r="I1199" i="1"/>
  <c r="M1195" i="1"/>
  <c r="Q1191" i="1"/>
  <c r="U1187" i="1"/>
  <c r="K1197" i="1"/>
  <c r="P1192" i="1"/>
  <c r="L1196" i="1"/>
  <c r="S1189" i="1"/>
  <c r="O1193" i="1"/>
  <c r="H1200" i="1"/>
  <c r="T1188" i="1"/>
  <c r="J1213" i="1"/>
  <c r="N1209" i="1"/>
  <c r="R1205" i="1"/>
  <c r="V1201" i="1"/>
  <c r="I1214" i="1"/>
  <c r="M1210" i="1"/>
  <c r="Q1206" i="1"/>
  <c r="U1202" i="1"/>
  <c r="H1215" i="1"/>
  <c r="L1211" i="1"/>
  <c r="P1207" i="1"/>
  <c r="T1203" i="1"/>
  <c r="K1212" i="1"/>
  <c r="O1208" i="1"/>
  <c r="S1204" i="1"/>
  <c r="G177" i="1"/>
  <c r="I175" i="1"/>
  <c r="P168" i="1"/>
  <c r="S165" i="1"/>
  <c r="V162" i="1"/>
  <c r="M171" i="1"/>
  <c r="J174" i="1"/>
  <c r="T164" i="1"/>
  <c r="Q167" i="1"/>
  <c r="H176" i="1"/>
  <c r="K173" i="1"/>
  <c r="N170" i="1"/>
  <c r="U163" i="1"/>
  <c r="L172" i="1"/>
  <c r="O169" i="1"/>
  <c r="R166" i="1"/>
  <c r="G131" i="1"/>
  <c r="J128" i="1"/>
  <c r="N124" i="1"/>
  <c r="R120" i="1"/>
  <c r="V116" i="1"/>
  <c r="I129" i="1"/>
  <c r="M125" i="1"/>
  <c r="Q121" i="1"/>
  <c r="U117" i="1"/>
  <c r="H130" i="1"/>
  <c r="L126" i="1"/>
  <c r="P122" i="1"/>
  <c r="T118" i="1"/>
  <c r="S119" i="1"/>
  <c r="O123" i="1"/>
  <c r="K127" i="1"/>
  <c r="G200" i="1"/>
  <c r="H199" i="1"/>
  <c r="L195" i="1"/>
  <c r="P191" i="1"/>
  <c r="T187" i="1"/>
  <c r="I198" i="1"/>
  <c r="M194" i="1"/>
  <c r="Q190" i="1"/>
  <c r="U186" i="1"/>
  <c r="J197" i="1"/>
  <c r="R189" i="1"/>
  <c r="O192" i="1"/>
  <c r="N193" i="1"/>
  <c r="V185" i="1"/>
  <c r="K196" i="1"/>
  <c r="S188" i="1"/>
  <c r="G188" i="1"/>
  <c r="J185" i="1"/>
  <c r="N181" i="1"/>
  <c r="R177" i="1"/>
  <c r="V173" i="1"/>
  <c r="K184" i="1"/>
  <c r="O180" i="1"/>
  <c r="S176" i="1"/>
  <c r="Q178" i="1"/>
  <c r="T175" i="1"/>
  <c r="U174" i="1"/>
  <c r="I186" i="1"/>
  <c r="H187" i="1"/>
  <c r="L183" i="1"/>
  <c r="M182" i="1"/>
  <c r="P179" i="1"/>
  <c r="J1037" i="1"/>
  <c r="N1033" i="1"/>
  <c r="R1029" i="1"/>
  <c r="V1025" i="1"/>
  <c r="H1039" i="1"/>
  <c r="L1035" i="1"/>
  <c r="P1031" i="1"/>
  <c r="T1027" i="1"/>
  <c r="K1036" i="1"/>
  <c r="O1032" i="1"/>
  <c r="S1028" i="1"/>
  <c r="M1034" i="1"/>
  <c r="U1026" i="1"/>
  <c r="Q1030" i="1"/>
  <c r="I1038" i="1"/>
  <c r="H1083" i="1"/>
  <c r="L1079" i="1"/>
  <c r="P1075" i="1"/>
  <c r="T1071" i="1"/>
  <c r="J1081" i="1"/>
  <c r="N1077" i="1"/>
  <c r="R1073" i="1"/>
  <c r="V1069" i="1"/>
  <c r="I1082" i="1"/>
  <c r="M1078" i="1"/>
  <c r="Q1074" i="1"/>
  <c r="U1070" i="1"/>
  <c r="K1080" i="1"/>
  <c r="S1072" i="1"/>
  <c r="O1076" i="1"/>
  <c r="I630" i="1"/>
  <c r="M626" i="1"/>
  <c r="Q622" i="1"/>
  <c r="U618" i="1"/>
  <c r="H631" i="1"/>
  <c r="L627" i="1"/>
  <c r="P623" i="1"/>
  <c r="T619" i="1"/>
  <c r="K628" i="1"/>
  <c r="O624" i="1"/>
  <c r="S620" i="1"/>
  <c r="J629" i="1"/>
  <c r="N625" i="1"/>
  <c r="R621" i="1"/>
  <c r="V617" i="1"/>
  <c r="J507" i="1"/>
  <c r="N503" i="1"/>
  <c r="R499" i="1"/>
  <c r="V495" i="1"/>
  <c r="I508" i="1"/>
  <c r="M504" i="1"/>
  <c r="Q500" i="1"/>
  <c r="U496" i="1"/>
  <c r="H509" i="1"/>
  <c r="L505" i="1"/>
  <c r="P501" i="1"/>
  <c r="T497" i="1"/>
  <c r="K506" i="1"/>
  <c r="O502" i="1"/>
  <c r="S498" i="1"/>
  <c r="H1298" i="1"/>
  <c r="I1297" i="1"/>
  <c r="K1295" i="1"/>
  <c r="O1291" i="1"/>
  <c r="S1287" i="1"/>
  <c r="N1292" i="1"/>
  <c r="R1288" i="1"/>
  <c r="V1284" i="1"/>
  <c r="M1293" i="1"/>
  <c r="Q1289" i="1"/>
  <c r="U1285" i="1"/>
  <c r="L1294" i="1"/>
  <c r="P1290" i="1"/>
  <c r="T1286" i="1"/>
  <c r="J1296" i="1"/>
  <c r="J873" i="1"/>
  <c r="N869" i="1"/>
  <c r="R865" i="1"/>
  <c r="V861" i="1"/>
  <c r="I874" i="1"/>
  <c r="M870" i="1"/>
  <c r="Q866" i="1"/>
  <c r="U862" i="1"/>
  <c r="K872" i="1"/>
  <c r="O868" i="1"/>
  <c r="S864" i="1"/>
  <c r="L871" i="1"/>
  <c r="T863" i="1"/>
  <c r="H875" i="1"/>
  <c r="P867" i="1"/>
  <c r="H279" i="1"/>
  <c r="L275" i="1"/>
  <c r="P271" i="1"/>
  <c r="T267" i="1"/>
  <c r="K276" i="1"/>
  <c r="O272" i="1"/>
  <c r="S268" i="1"/>
  <c r="J277" i="1"/>
  <c r="N273" i="1"/>
  <c r="R269" i="1"/>
  <c r="V265" i="1"/>
  <c r="I278" i="1"/>
  <c r="M274" i="1"/>
  <c r="Q270" i="1"/>
  <c r="U266" i="1"/>
  <c r="H960" i="1"/>
  <c r="L956" i="1"/>
  <c r="P952" i="1"/>
  <c r="T948" i="1"/>
  <c r="K957" i="1"/>
  <c r="O953" i="1"/>
  <c r="S949" i="1"/>
  <c r="J958" i="1"/>
  <c r="N954" i="1"/>
  <c r="R950" i="1"/>
  <c r="V946" i="1"/>
  <c r="I959" i="1"/>
  <c r="M955" i="1"/>
  <c r="Q951" i="1"/>
  <c r="U947" i="1"/>
  <c r="J883" i="1"/>
  <c r="H885" i="1"/>
  <c r="K882" i="1"/>
  <c r="S874" i="1"/>
  <c r="O878" i="1"/>
  <c r="L881" i="1"/>
  <c r="R875" i="1"/>
  <c r="V871" i="1"/>
  <c r="N879" i="1"/>
  <c r="Q876" i="1"/>
  <c r="T873" i="1"/>
  <c r="P877" i="1"/>
  <c r="U872" i="1"/>
  <c r="I884" i="1"/>
  <c r="M880" i="1"/>
  <c r="J328" i="1"/>
  <c r="N324" i="1"/>
  <c r="I329" i="1"/>
  <c r="M325" i="1"/>
  <c r="O323" i="1"/>
  <c r="Q321" i="1"/>
  <c r="U317" i="1"/>
  <c r="H330" i="1"/>
  <c r="P322" i="1"/>
  <c r="T318" i="1"/>
  <c r="K327" i="1"/>
  <c r="V316" i="1"/>
  <c r="L326" i="1"/>
  <c r="R320" i="1"/>
  <c r="S319" i="1"/>
  <c r="I406" i="1"/>
  <c r="M402" i="1"/>
  <c r="Q398" i="1"/>
  <c r="U394" i="1"/>
  <c r="H407" i="1"/>
  <c r="L403" i="1"/>
  <c r="P399" i="1"/>
  <c r="T395" i="1"/>
  <c r="K404" i="1"/>
  <c r="O400" i="1"/>
  <c r="S396" i="1"/>
  <c r="N401" i="1"/>
  <c r="V393" i="1"/>
  <c r="J405" i="1"/>
  <c r="R397" i="1"/>
  <c r="I1456" i="1"/>
  <c r="M1452" i="1"/>
  <c r="K1454" i="1"/>
  <c r="O1450" i="1"/>
  <c r="S1446" i="1"/>
  <c r="L1453" i="1"/>
  <c r="R1447" i="1"/>
  <c r="H1457" i="1"/>
  <c r="P1449" i="1"/>
  <c r="T1445" i="1"/>
  <c r="J1455" i="1"/>
  <c r="U1444" i="1"/>
  <c r="N1451" i="1"/>
  <c r="Q1448" i="1"/>
  <c r="V1443" i="1"/>
  <c r="H1667" i="1"/>
  <c r="L1663" i="1"/>
  <c r="P1659" i="1"/>
  <c r="T1655" i="1"/>
  <c r="K1664" i="1"/>
  <c r="O1660" i="1"/>
  <c r="S1656" i="1"/>
  <c r="V1653" i="1"/>
  <c r="J1665" i="1"/>
  <c r="M1662" i="1"/>
  <c r="R1657" i="1"/>
  <c r="U1654" i="1"/>
  <c r="I1666" i="1"/>
  <c r="N1661" i="1"/>
  <c r="Q1658" i="1"/>
  <c r="K1046" i="1"/>
  <c r="O1042" i="1"/>
  <c r="S1038" i="1"/>
  <c r="I1048" i="1"/>
  <c r="M1044" i="1"/>
  <c r="Q1040" i="1"/>
  <c r="U1036" i="1"/>
  <c r="H1049" i="1"/>
  <c r="L1045" i="1"/>
  <c r="P1041" i="1"/>
  <c r="T1037" i="1"/>
  <c r="V1035" i="1"/>
  <c r="J1047" i="1"/>
  <c r="R1039" i="1"/>
  <c r="N1043" i="1"/>
  <c r="H1626" i="1"/>
  <c r="L1622" i="1"/>
  <c r="P1618" i="1"/>
  <c r="T1614" i="1"/>
  <c r="K1623" i="1"/>
  <c r="O1619" i="1"/>
  <c r="S1615" i="1"/>
  <c r="J1624" i="1"/>
  <c r="N1620" i="1"/>
  <c r="R1616" i="1"/>
  <c r="I1625" i="1"/>
  <c r="M1621" i="1"/>
  <c r="Q1617" i="1"/>
  <c r="U1613" i="1"/>
  <c r="V1612" i="1"/>
  <c r="J1165" i="1"/>
  <c r="N1161" i="1"/>
  <c r="R1157" i="1"/>
  <c r="V1153" i="1"/>
  <c r="I1166" i="1"/>
  <c r="H1167" i="1"/>
  <c r="L1163" i="1"/>
  <c r="P1159" i="1"/>
  <c r="T1155" i="1"/>
  <c r="K1164" i="1"/>
  <c r="O1160" i="1"/>
  <c r="S1156" i="1"/>
  <c r="M1162" i="1"/>
  <c r="U1154" i="1"/>
  <c r="Q1158" i="1"/>
  <c r="J548" i="1"/>
  <c r="N544" i="1"/>
  <c r="R540" i="1"/>
  <c r="V536" i="1"/>
  <c r="I549" i="1"/>
  <c r="M545" i="1"/>
  <c r="Q541" i="1"/>
  <c r="U537" i="1"/>
  <c r="O543" i="1"/>
  <c r="T538" i="1"/>
  <c r="K547" i="1"/>
  <c r="P542" i="1"/>
  <c r="S539" i="1"/>
  <c r="H550" i="1"/>
  <c r="L546" i="1"/>
  <c r="H1419" i="1"/>
  <c r="L1415" i="1"/>
  <c r="P1411" i="1"/>
  <c r="T1407" i="1"/>
  <c r="I1418" i="1"/>
  <c r="M1414" i="1"/>
  <c r="Q1410" i="1"/>
  <c r="U1406" i="1"/>
  <c r="R1409" i="1"/>
  <c r="J1417" i="1"/>
  <c r="K1416" i="1"/>
  <c r="S1408" i="1"/>
  <c r="V1405" i="1"/>
  <c r="N1413" i="1"/>
  <c r="O1412" i="1"/>
  <c r="J1158" i="1"/>
  <c r="N1154" i="1"/>
  <c r="M1155" i="1"/>
  <c r="L1156" i="1"/>
  <c r="O1153" i="1"/>
  <c r="R1150" i="1"/>
  <c r="V1146" i="1"/>
  <c r="K1157" i="1"/>
  <c r="Q1151" i="1"/>
  <c r="U1147" i="1"/>
  <c r="I1159" i="1"/>
  <c r="S1149" i="1"/>
  <c r="T1148" i="1"/>
  <c r="P1152" i="1"/>
  <c r="H1160" i="1"/>
  <c r="J1668" i="1"/>
  <c r="N1664" i="1"/>
  <c r="R1660" i="1"/>
  <c r="V1656" i="1"/>
  <c r="I1669" i="1"/>
  <c r="M1665" i="1"/>
  <c r="Q1661" i="1"/>
  <c r="U1657" i="1"/>
  <c r="K1667" i="1"/>
  <c r="O1663" i="1"/>
  <c r="S1659" i="1"/>
  <c r="L1666" i="1"/>
  <c r="T1658" i="1"/>
  <c r="H1670" i="1"/>
  <c r="P1662" i="1"/>
  <c r="H561" i="1"/>
  <c r="L557" i="1"/>
  <c r="P553" i="1"/>
  <c r="T549" i="1"/>
  <c r="K558" i="1"/>
  <c r="O554" i="1"/>
  <c r="S550" i="1"/>
  <c r="J559" i="1"/>
  <c r="N555" i="1"/>
  <c r="R551" i="1"/>
  <c r="V547" i="1"/>
  <c r="I560" i="1"/>
  <c r="M556" i="1"/>
  <c r="Q552" i="1"/>
  <c r="U548" i="1"/>
  <c r="K234" i="1"/>
  <c r="O230" i="1"/>
  <c r="S226" i="1"/>
  <c r="J235" i="1"/>
  <c r="N231" i="1"/>
  <c r="R227" i="1"/>
  <c r="V223" i="1"/>
  <c r="H237" i="1"/>
  <c r="L233" i="1"/>
  <c r="P229" i="1"/>
  <c r="T225" i="1"/>
  <c r="I236" i="1"/>
  <c r="Q228" i="1"/>
  <c r="M232" i="1"/>
  <c r="U224" i="1"/>
  <c r="K595" i="1"/>
  <c r="H598" i="1"/>
  <c r="I597" i="1"/>
  <c r="L594" i="1"/>
  <c r="N592" i="1"/>
  <c r="R588" i="1"/>
  <c r="V584" i="1"/>
  <c r="M593" i="1"/>
  <c r="Q589" i="1"/>
  <c r="U585" i="1"/>
  <c r="J596" i="1"/>
  <c r="S587" i="1"/>
  <c r="O591" i="1"/>
  <c r="P590" i="1"/>
  <c r="T586" i="1"/>
  <c r="K306" i="1"/>
  <c r="O302" i="1"/>
  <c r="S298" i="1"/>
  <c r="J307" i="1"/>
  <c r="N303" i="1"/>
  <c r="R299" i="1"/>
  <c r="V295" i="1"/>
  <c r="I308" i="1"/>
  <c r="M304" i="1"/>
  <c r="Q300" i="1"/>
  <c r="U296" i="1"/>
  <c r="H309" i="1"/>
  <c r="L305" i="1"/>
  <c r="P301" i="1"/>
  <c r="T297" i="1"/>
  <c r="H1330" i="1"/>
  <c r="L1326" i="1"/>
  <c r="P1322" i="1"/>
  <c r="T1318" i="1"/>
  <c r="K1327" i="1"/>
  <c r="O1323" i="1"/>
  <c r="S1319" i="1"/>
  <c r="J1328" i="1"/>
  <c r="N1324" i="1"/>
  <c r="R1320" i="1"/>
  <c r="V1316" i="1"/>
  <c r="I1329" i="1"/>
  <c r="M1325" i="1"/>
  <c r="Q1321" i="1"/>
  <c r="U1317" i="1"/>
  <c r="I1584" i="1"/>
  <c r="M1580" i="1"/>
  <c r="Q1576" i="1"/>
  <c r="U1572" i="1"/>
  <c r="O1578" i="1"/>
  <c r="P1577" i="1"/>
  <c r="T1573" i="1"/>
  <c r="J1583" i="1"/>
  <c r="V1571" i="1"/>
  <c r="K1582" i="1"/>
  <c r="L1581" i="1"/>
  <c r="S1574" i="1"/>
  <c r="N1579" i="1"/>
  <c r="R1575" i="1"/>
  <c r="H1585" i="1"/>
  <c r="H936" i="1"/>
  <c r="L932" i="1"/>
  <c r="P928" i="1"/>
  <c r="T924" i="1"/>
  <c r="K933" i="1"/>
  <c r="O929" i="1"/>
  <c r="S925" i="1"/>
  <c r="J934" i="1"/>
  <c r="N930" i="1"/>
  <c r="R926" i="1"/>
  <c r="V922" i="1"/>
  <c r="I935" i="1"/>
  <c r="M931" i="1"/>
  <c r="Q927" i="1"/>
  <c r="U923" i="1"/>
  <c r="K353" i="1"/>
  <c r="O349" i="1"/>
  <c r="S345" i="1"/>
  <c r="J354" i="1"/>
  <c r="N350" i="1"/>
  <c r="R346" i="1"/>
  <c r="V342" i="1"/>
  <c r="Q347" i="1"/>
  <c r="T344" i="1"/>
  <c r="H356" i="1"/>
  <c r="M351" i="1"/>
  <c r="P348" i="1"/>
  <c r="I355" i="1"/>
  <c r="U343" i="1"/>
  <c r="L352" i="1"/>
  <c r="J986" i="1"/>
  <c r="N982" i="1"/>
  <c r="R978" i="1"/>
  <c r="V974" i="1"/>
  <c r="I987" i="1"/>
  <c r="M983" i="1"/>
  <c r="Q979" i="1"/>
  <c r="U975" i="1"/>
  <c r="H988" i="1"/>
  <c r="L984" i="1"/>
  <c r="P980" i="1"/>
  <c r="T976" i="1"/>
  <c r="K985" i="1"/>
  <c r="O981" i="1"/>
  <c r="S977" i="1"/>
  <c r="J995" i="1"/>
  <c r="N991" i="1"/>
  <c r="R987" i="1"/>
  <c r="V983" i="1"/>
  <c r="I996" i="1"/>
  <c r="M992" i="1"/>
  <c r="Q988" i="1"/>
  <c r="U984" i="1"/>
  <c r="O990" i="1"/>
  <c r="T985" i="1"/>
  <c r="K994" i="1"/>
  <c r="P989" i="1"/>
  <c r="H997" i="1"/>
  <c r="L993" i="1"/>
  <c r="S986" i="1"/>
  <c r="H366" i="1"/>
  <c r="L362" i="1"/>
  <c r="P358" i="1"/>
  <c r="T354" i="1"/>
  <c r="K363" i="1"/>
  <c r="O359" i="1"/>
  <c r="S355" i="1"/>
  <c r="N360" i="1"/>
  <c r="Q357" i="1"/>
  <c r="V352" i="1"/>
  <c r="J364" i="1"/>
  <c r="M361" i="1"/>
  <c r="U353" i="1"/>
  <c r="I365" i="1"/>
  <c r="R356" i="1"/>
  <c r="K1570" i="1"/>
  <c r="O1566" i="1"/>
  <c r="S1562" i="1"/>
  <c r="J1571" i="1"/>
  <c r="N1567" i="1"/>
  <c r="R1563" i="1"/>
  <c r="V1559" i="1"/>
  <c r="H1573" i="1"/>
  <c r="L1569" i="1"/>
  <c r="P1565" i="1"/>
  <c r="T1561" i="1"/>
  <c r="M1568" i="1"/>
  <c r="U1560" i="1"/>
  <c r="I1572" i="1"/>
  <c r="Q1564" i="1"/>
  <c r="K589" i="1"/>
  <c r="O585" i="1"/>
  <c r="S581" i="1"/>
  <c r="J590" i="1"/>
  <c r="N586" i="1"/>
  <c r="R582" i="1"/>
  <c r="V578" i="1"/>
  <c r="L588" i="1"/>
  <c r="Q583" i="1"/>
  <c r="H592" i="1"/>
  <c r="M587" i="1"/>
  <c r="T580" i="1"/>
  <c r="I591" i="1"/>
  <c r="U579" i="1"/>
  <c r="P584" i="1"/>
  <c r="K1370" i="1"/>
  <c r="O1366" i="1"/>
  <c r="S1362" i="1"/>
  <c r="J1371" i="1"/>
  <c r="N1367" i="1"/>
  <c r="V1359" i="1"/>
  <c r="M1368" i="1"/>
  <c r="L1369" i="1"/>
  <c r="T1361" i="1"/>
  <c r="I1372" i="1"/>
  <c r="Q1364" i="1"/>
  <c r="P1365" i="1"/>
  <c r="H1373" i="1"/>
  <c r="R1363" i="1"/>
  <c r="U1360" i="1"/>
  <c r="G60" i="1"/>
  <c r="K56" i="1"/>
  <c r="O52" i="1"/>
  <c r="S48" i="1"/>
  <c r="Q50" i="1"/>
  <c r="T47" i="1"/>
  <c r="N53" i="1"/>
  <c r="H59" i="1"/>
  <c r="U46" i="1"/>
  <c r="M54" i="1"/>
  <c r="R49" i="1"/>
  <c r="P51" i="1"/>
  <c r="J57" i="1"/>
  <c r="I58" i="1"/>
  <c r="L55" i="1"/>
  <c r="V45" i="1"/>
  <c r="G164" i="1"/>
  <c r="J161" i="1"/>
  <c r="H163" i="1"/>
  <c r="K160" i="1"/>
  <c r="O156" i="1"/>
  <c r="S152" i="1"/>
  <c r="I162" i="1"/>
  <c r="N157" i="1"/>
  <c r="R153" i="1"/>
  <c r="V149" i="1"/>
  <c r="M158" i="1"/>
  <c r="Q154" i="1"/>
  <c r="U150" i="1"/>
  <c r="P155" i="1"/>
  <c r="L159" i="1"/>
  <c r="T151" i="1"/>
  <c r="G169" i="1"/>
  <c r="L164" i="1"/>
  <c r="O161" i="1"/>
  <c r="Q159" i="1"/>
  <c r="U155" i="1"/>
  <c r="I167" i="1"/>
  <c r="P160" i="1"/>
  <c r="T156" i="1"/>
  <c r="M163" i="1"/>
  <c r="J166" i="1"/>
  <c r="S157" i="1"/>
  <c r="H168" i="1"/>
  <c r="K165" i="1"/>
  <c r="N162" i="1"/>
  <c r="V154" i="1"/>
  <c r="R158" i="1"/>
  <c r="G124" i="1"/>
  <c r="K120" i="1"/>
  <c r="O116" i="1"/>
  <c r="S112" i="1"/>
  <c r="J121" i="1"/>
  <c r="N117" i="1"/>
  <c r="R113" i="1"/>
  <c r="V109" i="1"/>
  <c r="I122" i="1"/>
  <c r="M118" i="1"/>
  <c r="Q114" i="1"/>
  <c r="U110" i="1"/>
  <c r="L119" i="1"/>
  <c r="H123" i="1"/>
  <c r="T111" i="1"/>
  <c r="P115" i="1"/>
  <c r="H445" i="1"/>
  <c r="L441" i="1"/>
  <c r="P437" i="1"/>
  <c r="T433" i="1"/>
  <c r="K442" i="1"/>
  <c r="O438" i="1"/>
  <c r="S434" i="1"/>
  <c r="J443" i="1"/>
  <c r="N439" i="1"/>
  <c r="R435" i="1"/>
  <c r="V431" i="1"/>
  <c r="U432" i="1"/>
  <c r="I444" i="1"/>
  <c r="Q436" i="1"/>
  <c r="M440" i="1"/>
  <c r="H764" i="1"/>
  <c r="L760" i="1"/>
  <c r="P756" i="1"/>
  <c r="T752" i="1"/>
  <c r="J762" i="1"/>
  <c r="N758" i="1"/>
  <c r="R754" i="1"/>
  <c r="V750" i="1"/>
  <c r="K761" i="1"/>
  <c r="Q755" i="1"/>
  <c r="S753" i="1"/>
  <c r="M759" i="1"/>
  <c r="O757" i="1"/>
  <c r="U751" i="1"/>
  <c r="I763" i="1"/>
  <c r="J1437" i="1"/>
  <c r="N1433" i="1"/>
  <c r="R1429" i="1"/>
  <c r="V1425" i="1"/>
  <c r="K1436" i="1"/>
  <c r="O1432" i="1"/>
  <c r="S1428" i="1"/>
  <c r="L1435" i="1"/>
  <c r="T1427" i="1"/>
  <c r="I1438" i="1"/>
  <c r="Q1430" i="1"/>
  <c r="H1439" i="1"/>
  <c r="P1431" i="1"/>
  <c r="M1434" i="1"/>
  <c r="U1426" i="1"/>
  <c r="I679" i="1"/>
  <c r="M675" i="1"/>
  <c r="Q671" i="1"/>
  <c r="U667" i="1"/>
  <c r="H680" i="1"/>
  <c r="L676" i="1"/>
  <c r="P672" i="1"/>
  <c r="T668" i="1"/>
  <c r="R670" i="1"/>
  <c r="N674" i="1"/>
  <c r="S669" i="1"/>
  <c r="J678" i="1"/>
  <c r="V666" i="1"/>
  <c r="K677" i="1"/>
  <c r="O673" i="1"/>
  <c r="K469" i="1"/>
  <c r="O465" i="1"/>
  <c r="S461" i="1"/>
  <c r="J470" i="1"/>
  <c r="N466" i="1"/>
  <c r="R462" i="1"/>
  <c r="P464" i="1"/>
  <c r="L468" i="1"/>
  <c r="Q463" i="1"/>
  <c r="U459" i="1"/>
  <c r="H472" i="1"/>
  <c r="T460" i="1"/>
  <c r="I471" i="1"/>
  <c r="M467" i="1"/>
  <c r="V458" i="1"/>
  <c r="H1559" i="1"/>
  <c r="L1555" i="1"/>
  <c r="P1551" i="1"/>
  <c r="T1547" i="1"/>
  <c r="K1556" i="1"/>
  <c r="O1552" i="1"/>
  <c r="I1558" i="1"/>
  <c r="M1554" i="1"/>
  <c r="Q1550" i="1"/>
  <c r="R1549" i="1"/>
  <c r="N1553" i="1"/>
  <c r="V1545" i="1"/>
  <c r="U1546" i="1"/>
  <c r="S1548" i="1"/>
  <c r="J1557" i="1"/>
  <c r="K250" i="1"/>
  <c r="O246" i="1"/>
  <c r="S242" i="1"/>
  <c r="J251" i="1"/>
  <c r="N247" i="1"/>
  <c r="R243" i="1"/>
  <c r="V239" i="1"/>
  <c r="I252" i="1"/>
  <c r="M248" i="1"/>
  <c r="Q244" i="1"/>
  <c r="H253" i="1"/>
  <c r="L249" i="1"/>
  <c r="P245" i="1"/>
  <c r="T241" i="1"/>
  <c r="U240" i="1"/>
  <c r="K1271" i="1"/>
  <c r="O1267" i="1"/>
  <c r="S1263" i="1"/>
  <c r="J1272" i="1"/>
  <c r="N1268" i="1"/>
  <c r="R1264" i="1"/>
  <c r="V1260" i="1"/>
  <c r="I1273" i="1"/>
  <c r="M1269" i="1"/>
  <c r="Q1265" i="1"/>
  <c r="U1261" i="1"/>
  <c r="H1274" i="1"/>
  <c r="L1270" i="1"/>
  <c r="P1266" i="1"/>
  <c r="T1262" i="1"/>
  <c r="I1368" i="1"/>
  <c r="M1364" i="1"/>
  <c r="Q1360" i="1"/>
  <c r="U1356" i="1"/>
  <c r="H1369" i="1"/>
  <c r="L1365" i="1"/>
  <c r="T1357" i="1"/>
  <c r="K1366" i="1"/>
  <c r="N1363" i="1"/>
  <c r="J1367" i="1"/>
  <c r="R1359" i="1"/>
  <c r="V1355" i="1"/>
  <c r="O1362" i="1"/>
  <c r="P1361" i="1"/>
  <c r="S1358" i="1"/>
  <c r="I1332" i="1"/>
  <c r="M1328" i="1"/>
  <c r="Q1324" i="1"/>
  <c r="U1320" i="1"/>
  <c r="H1333" i="1"/>
  <c r="L1329" i="1"/>
  <c r="P1325" i="1"/>
  <c r="T1321" i="1"/>
  <c r="J1331" i="1"/>
  <c r="O1326" i="1"/>
  <c r="V1319" i="1"/>
  <c r="K1330" i="1"/>
  <c r="R1323" i="1"/>
  <c r="N1327" i="1"/>
  <c r="S1322" i="1"/>
  <c r="J400" i="1"/>
  <c r="N396" i="1"/>
  <c r="R392" i="1"/>
  <c r="V388" i="1"/>
  <c r="I401" i="1"/>
  <c r="M397" i="1"/>
  <c r="Q393" i="1"/>
  <c r="U389" i="1"/>
  <c r="P394" i="1"/>
  <c r="S391" i="1"/>
  <c r="L398" i="1"/>
  <c r="O395" i="1"/>
  <c r="H402" i="1"/>
  <c r="K399" i="1"/>
  <c r="T390" i="1"/>
  <c r="H832" i="1"/>
  <c r="L828" i="1"/>
  <c r="P824" i="1"/>
  <c r="T820" i="1"/>
  <c r="K829" i="1"/>
  <c r="U819" i="1"/>
  <c r="J830" i="1"/>
  <c r="V818" i="1"/>
  <c r="N826" i="1"/>
  <c r="O825" i="1"/>
  <c r="I831" i="1"/>
  <c r="S821" i="1"/>
  <c r="Q823" i="1"/>
  <c r="M827" i="1"/>
  <c r="R822" i="1"/>
  <c r="K816" i="1"/>
  <c r="O812" i="1"/>
  <c r="S808" i="1"/>
  <c r="I818" i="1"/>
  <c r="N813" i="1"/>
  <c r="H819" i="1"/>
  <c r="U806" i="1"/>
  <c r="R809" i="1"/>
  <c r="L815" i="1"/>
  <c r="V805" i="1"/>
  <c r="M814" i="1"/>
  <c r="P811" i="1"/>
  <c r="T807" i="1"/>
  <c r="J817" i="1"/>
  <c r="Q810" i="1"/>
  <c r="H1108" i="1"/>
  <c r="L1104" i="1"/>
  <c r="P1100" i="1"/>
  <c r="T1096" i="1"/>
  <c r="K1105" i="1"/>
  <c r="O1101" i="1"/>
  <c r="S1097" i="1"/>
  <c r="I1107" i="1"/>
  <c r="N1102" i="1"/>
  <c r="U1095" i="1"/>
  <c r="J1106" i="1"/>
  <c r="Q1099" i="1"/>
  <c r="M1103" i="1"/>
  <c r="V1094" i="1"/>
  <c r="R1098" i="1"/>
  <c r="I256" i="1"/>
  <c r="M252" i="1"/>
  <c r="Q248" i="1"/>
  <c r="U244" i="1"/>
  <c r="H257" i="1"/>
  <c r="L253" i="1"/>
  <c r="P249" i="1"/>
  <c r="T245" i="1"/>
  <c r="K254" i="1"/>
  <c r="O250" i="1"/>
  <c r="S246" i="1"/>
  <c r="J255" i="1"/>
  <c r="N251" i="1"/>
  <c r="R247" i="1"/>
  <c r="V243" i="1"/>
  <c r="G70" i="1"/>
  <c r="H69" i="1"/>
  <c r="L65" i="1"/>
  <c r="P61" i="1"/>
  <c r="T57" i="1"/>
  <c r="J67" i="1"/>
  <c r="N63" i="1"/>
  <c r="R59" i="1"/>
  <c r="O62" i="1"/>
  <c r="M64" i="1"/>
  <c r="U56" i="1"/>
  <c r="K66" i="1"/>
  <c r="V55" i="1"/>
  <c r="I68" i="1"/>
  <c r="Q60" i="1"/>
  <c r="S58" i="1"/>
  <c r="H1682" i="1"/>
  <c r="L1678" i="1"/>
  <c r="K1679" i="1"/>
  <c r="J1680" i="1"/>
  <c r="P1674" i="1"/>
  <c r="T1670" i="1"/>
  <c r="M1677" i="1"/>
  <c r="I1681" i="1"/>
  <c r="O1675" i="1"/>
  <c r="S1671" i="1"/>
  <c r="Q1673" i="1"/>
  <c r="U1669" i="1"/>
  <c r="N1676" i="1"/>
  <c r="V1668" i="1"/>
  <c r="R1672" i="1"/>
  <c r="I1220" i="1"/>
  <c r="M1216" i="1"/>
  <c r="Q1212" i="1"/>
  <c r="U1208" i="1"/>
  <c r="H1221" i="1"/>
  <c r="L1217" i="1"/>
  <c r="P1213" i="1"/>
  <c r="T1209" i="1"/>
  <c r="K1218" i="1"/>
  <c r="O1214" i="1"/>
  <c r="S1210" i="1"/>
  <c r="J1219" i="1"/>
  <c r="N1215" i="1"/>
  <c r="R1211" i="1"/>
  <c r="V1207" i="1"/>
  <c r="J1707" i="1"/>
  <c r="N1703" i="1"/>
  <c r="R1699" i="1"/>
  <c r="V1695" i="1"/>
  <c r="I1708" i="1"/>
  <c r="M1704" i="1"/>
  <c r="Q1700" i="1"/>
  <c r="U1696" i="1"/>
  <c r="H1709" i="1"/>
  <c r="L1705" i="1"/>
  <c r="P1701" i="1"/>
  <c r="T1697" i="1"/>
  <c r="K1706" i="1"/>
  <c r="O1702" i="1"/>
  <c r="S1698" i="1"/>
  <c r="K688" i="1"/>
  <c r="O684" i="1"/>
  <c r="S680" i="1"/>
  <c r="J689" i="1"/>
  <c r="N685" i="1"/>
  <c r="R681" i="1"/>
  <c r="V677" i="1"/>
  <c r="I690" i="1"/>
  <c r="M686" i="1"/>
  <c r="Q682" i="1"/>
  <c r="U678" i="1"/>
  <c r="H691" i="1"/>
  <c r="L687" i="1"/>
  <c r="P683" i="1"/>
  <c r="T679" i="1"/>
  <c r="J1516" i="1"/>
  <c r="N1512" i="1"/>
  <c r="R1508" i="1"/>
  <c r="V1504" i="1"/>
  <c r="I1517" i="1"/>
  <c r="M1513" i="1"/>
  <c r="Q1509" i="1"/>
  <c r="U1505" i="1"/>
  <c r="P1510" i="1"/>
  <c r="S1507" i="1"/>
  <c r="H1518" i="1"/>
  <c r="K1515" i="1"/>
  <c r="O1511" i="1"/>
  <c r="L1514" i="1"/>
  <c r="T1506" i="1"/>
  <c r="H686" i="1"/>
  <c r="L682" i="1"/>
  <c r="P678" i="1"/>
  <c r="T674" i="1"/>
  <c r="K683" i="1"/>
  <c r="O679" i="1"/>
  <c r="S675" i="1"/>
  <c r="M681" i="1"/>
  <c r="R676" i="1"/>
  <c r="I685" i="1"/>
  <c r="N680" i="1"/>
  <c r="U673" i="1"/>
  <c r="Q677" i="1"/>
  <c r="V672" i="1"/>
  <c r="J684" i="1"/>
  <c r="K1022" i="1"/>
  <c r="O1018" i="1"/>
  <c r="S1014" i="1"/>
  <c r="I1024" i="1"/>
  <c r="M1020" i="1"/>
  <c r="Q1016" i="1"/>
  <c r="U1012" i="1"/>
  <c r="H1025" i="1"/>
  <c r="L1021" i="1"/>
  <c r="P1017" i="1"/>
  <c r="T1013" i="1"/>
  <c r="V1011" i="1"/>
  <c r="J1023" i="1"/>
  <c r="R1015" i="1"/>
  <c r="N1019" i="1"/>
  <c r="I782" i="1"/>
  <c r="M778" i="1"/>
  <c r="L779" i="1"/>
  <c r="R773" i="1"/>
  <c r="V769" i="1"/>
  <c r="Q774" i="1"/>
  <c r="U770" i="1"/>
  <c r="P775" i="1"/>
  <c r="T771" i="1"/>
  <c r="K780" i="1"/>
  <c r="N777" i="1"/>
  <c r="H783" i="1"/>
  <c r="J781" i="1"/>
  <c r="S772" i="1"/>
  <c r="O776" i="1"/>
  <c r="H1690" i="1"/>
  <c r="L1686" i="1"/>
  <c r="P1682" i="1"/>
  <c r="T1678" i="1"/>
  <c r="K1687" i="1"/>
  <c r="O1683" i="1"/>
  <c r="S1679" i="1"/>
  <c r="J1688" i="1"/>
  <c r="N1684" i="1"/>
  <c r="R1680" i="1"/>
  <c r="U1677" i="1"/>
  <c r="Q1681" i="1"/>
  <c r="M1685" i="1"/>
  <c r="V1676" i="1"/>
  <c r="I1689" i="1"/>
  <c r="H1356" i="1"/>
  <c r="I1355" i="1"/>
  <c r="M1351" i="1"/>
  <c r="Q1347" i="1"/>
  <c r="U1343" i="1"/>
  <c r="L1352" i="1"/>
  <c r="P1348" i="1"/>
  <c r="T1344" i="1"/>
  <c r="K1353" i="1"/>
  <c r="O1349" i="1"/>
  <c r="S1345" i="1"/>
  <c r="J1354" i="1"/>
  <c r="N1350" i="1"/>
  <c r="R1346" i="1"/>
  <c r="V1342" i="1"/>
  <c r="J483" i="1"/>
  <c r="N479" i="1"/>
  <c r="R475" i="1"/>
  <c r="V471" i="1"/>
  <c r="I484" i="1"/>
  <c r="M480" i="1"/>
  <c r="Q476" i="1"/>
  <c r="U472" i="1"/>
  <c r="H485" i="1"/>
  <c r="L481" i="1"/>
  <c r="P477" i="1"/>
  <c r="T473" i="1"/>
  <c r="K482" i="1"/>
  <c r="O478" i="1"/>
  <c r="S474" i="1"/>
  <c r="I539" i="1"/>
  <c r="M535" i="1"/>
  <c r="Q531" i="1"/>
  <c r="U527" i="1"/>
  <c r="H540" i="1"/>
  <c r="L536" i="1"/>
  <c r="P532" i="1"/>
  <c r="T528" i="1"/>
  <c r="R530" i="1"/>
  <c r="N534" i="1"/>
  <c r="S529" i="1"/>
  <c r="J538" i="1"/>
  <c r="O533" i="1"/>
  <c r="V526" i="1"/>
  <c r="K537" i="1"/>
  <c r="I1323" i="1"/>
  <c r="M1319" i="1"/>
  <c r="Q1315" i="1"/>
  <c r="U1311" i="1"/>
  <c r="H1324" i="1"/>
  <c r="L1320" i="1"/>
  <c r="P1316" i="1"/>
  <c r="T1312" i="1"/>
  <c r="K1321" i="1"/>
  <c r="O1317" i="1"/>
  <c r="S1313" i="1"/>
  <c r="J1322" i="1"/>
  <c r="N1318" i="1"/>
  <c r="R1314" i="1"/>
  <c r="V1310" i="1"/>
  <c r="J359" i="1"/>
  <c r="N355" i="1"/>
  <c r="R351" i="1"/>
  <c r="V347" i="1"/>
  <c r="I360" i="1"/>
  <c r="M356" i="1"/>
  <c r="Q352" i="1"/>
  <c r="U348" i="1"/>
  <c r="H361" i="1"/>
  <c r="L357" i="1"/>
  <c r="P353" i="1"/>
  <c r="T349" i="1"/>
  <c r="O354" i="1"/>
  <c r="S350" i="1"/>
  <c r="K358" i="1"/>
  <c r="I1472" i="1"/>
  <c r="M1468" i="1"/>
  <c r="Q1464" i="1"/>
  <c r="U1460" i="1"/>
  <c r="H1473" i="1"/>
  <c r="S1462" i="1"/>
  <c r="J1471" i="1"/>
  <c r="T1461" i="1"/>
  <c r="K1470" i="1"/>
  <c r="V1459" i="1"/>
  <c r="P1465" i="1"/>
  <c r="R1463" i="1"/>
  <c r="N1467" i="1"/>
  <c r="L1469" i="1"/>
  <c r="O1466" i="1"/>
  <c r="K1030" i="1"/>
  <c r="O1026" i="1"/>
  <c r="S1022" i="1"/>
  <c r="I1032" i="1"/>
  <c r="M1028" i="1"/>
  <c r="Q1024" i="1"/>
  <c r="U1020" i="1"/>
  <c r="H1033" i="1"/>
  <c r="L1029" i="1"/>
  <c r="P1025" i="1"/>
  <c r="T1021" i="1"/>
  <c r="N1027" i="1"/>
  <c r="V1019" i="1"/>
  <c r="J1031" i="1"/>
  <c r="R1023" i="1"/>
  <c r="I1464" i="1"/>
  <c r="M1460" i="1"/>
  <c r="Q1456" i="1"/>
  <c r="U1452" i="1"/>
  <c r="O1458" i="1"/>
  <c r="P1457" i="1"/>
  <c r="R1455" i="1"/>
  <c r="L1461" i="1"/>
  <c r="N1459" i="1"/>
  <c r="J1463" i="1"/>
  <c r="V1451" i="1"/>
  <c r="H1465" i="1"/>
  <c r="T1453" i="1"/>
  <c r="K1462" i="1"/>
  <c r="S1454" i="1"/>
  <c r="H1293" i="1"/>
  <c r="L1289" i="1"/>
  <c r="P1285" i="1"/>
  <c r="T1281" i="1"/>
  <c r="K1290" i="1"/>
  <c r="O1286" i="1"/>
  <c r="S1282" i="1"/>
  <c r="Q1284" i="1"/>
  <c r="V1279" i="1"/>
  <c r="M1288" i="1"/>
  <c r="R1283" i="1"/>
  <c r="I1292" i="1"/>
  <c r="U1280" i="1"/>
  <c r="N1287" i="1"/>
  <c r="J1291" i="1"/>
  <c r="K1562" i="1"/>
  <c r="O1558" i="1"/>
  <c r="S1554" i="1"/>
  <c r="J1563" i="1"/>
  <c r="N1559" i="1"/>
  <c r="R1555" i="1"/>
  <c r="V1551" i="1"/>
  <c r="H1565" i="1"/>
  <c r="L1561" i="1"/>
  <c r="P1557" i="1"/>
  <c r="I1564" i="1"/>
  <c r="Q1556" i="1"/>
  <c r="T1553" i="1"/>
  <c r="U1552" i="1"/>
  <c r="M1560" i="1"/>
  <c r="K1287" i="1"/>
  <c r="O1283" i="1"/>
  <c r="S1279" i="1"/>
  <c r="J1288" i="1"/>
  <c r="N1284" i="1"/>
  <c r="R1280" i="1"/>
  <c r="V1276" i="1"/>
  <c r="I1289" i="1"/>
  <c r="M1285" i="1"/>
  <c r="Q1281" i="1"/>
  <c r="U1277" i="1"/>
  <c r="H1290" i="1"/>
  <c r="L1286" i="1"/>
  <c r="P1282" i="1"/>
  <c r="T1278" i="1"/>
  <c r="K1215" i="1"/>
  <c r="O1211" i="1"/>
  <c r="S1207" i="1"/>
  <c r="J1216" i="1"/>
  <c r="N1212" i="1"/>
  <c r="R1208" i="1"/>
  <c r="V1204" i="1"/>
  <c r="L1214" i="1"/>
  <c r="Q1209" i="1"/>
  <c r="H1218" i="1"/>
  <c r="M1213" i="1"/>
  <c r="T1206" i="1"/>
  <c r="P1210" i="1"/>
  <c r="I1217" i="1"/>
  <c r="U1205" i="1"/>
  <c r="I1428" i="1"/>
  <c r="M1424" i="1"/>
  <c r="Q1420" i="1"/>
  <c r="U1416" i="1"/>
  <c r="J1427" i="1"/>
  <c r="N1423" i="1"/>
  <c r="R1419" i="1"/>
  <c r="V1415" i="1"/>
  <c r="L1425" i="1"/>
  <c r="O1422" i="1"/>
  <c r="P1421" i="1"/>
  <c r="K1426" i="1"/>
  <c r="S1418" i="1"/>
  <c r="T1417" i="1"/>
  <c r="H1429" i="1"/>
  <c r="K900" i="1"/>
  <c r="O896" i="1"/>
  <c r="S892" i="1"/>
  <c r="J901" i="1"/>
  <c r="N897" i="1"/>
  <c r="R893" i="1"/>
  <c r="V889" i="1"/>
  <c r="H903" i="1"/>
  <c r="M898" i="1"/>
  <c r="T891" i="1"/>
  <c r="I902" i="1"/>
  <c r="Q894" i="1"/>
  <c r="L899" i="1"/>
  <c r="U890" i="1"/>
  <c r="P895" i="1"/>
  <c r="J970" i="1"/>
  <c r="N966" i="1"/>
  <c r="R962" i="1"/>
  <c r="V958" i="1"/>
  <c r="I971" i="1"/>
  <c r="M967" i="1"/>
  <c r="Q963" i="1"/>
  <c r="U959" i="1"/>
  <c r="H972" i="1"/>
  <c r="L968" i="1"/>
  <c r="P964" i="1"/>
  <c r="T960" i="1"/>
  <c r="K969" i="1"/>
  <c r="O965" i="1"/>
  <c r="S961" i="1"/>
  <c r="K1231" i="1"/>
  <c r="O1227" i="1"/>
  <c r="I1233" i="1"/>
  <c r="H1234" i="1"/>
  <c r="L1230" i="1"/>
  <c r="P1226" i="1"/>
  <c r="S1223" i="1"/>
  <c r="J1232" i="1"/>
  <c r="M1229" i="1"/>
  <c r="R1224" i="1"/>
  <c r="V1220" i="1"/>
  <c r="N1228" i="1"/>
  <c r="T1222" i="1"/>
  <c r="U1221" i="1"/>
  <c r="Q1225" i="1"/>
  <c r="H1099" i="1"/>
  <c r="L1095" i="1"/>
  <c r="P1091" i="1"/>
  <c r="T1087" i="1"/>
  <c r="K1096" i="1"/>
  <c r="O1092" i="1"/>
  <c r="S1088" i="1"/>
  <c r="J1097" i="1"/>
  <c r="N1093" i="1"/>
  <c r="R1089" i="1"/>
  <c r="V1085" i="1"/>
  <c r="I1098" i="1"/>
  <c r="M1094" i="1"/>
  <c r="Q1090" i="1"/>
  <c r="U1086" i="1"/>
  <c r="I1340" i="1"/>
  <c r="M1336" i="1"/>
  <c r="Q1332" i="1"/>
  <c r="U1328" i="1"/>
  <c r="H1341" i="1"/>
  <c r="L1337" i="1"/>
  <c r="P1333" i="1"/>
  <c r="T1329" i="1"/>
  <c r="N1335" i="1"/>
  <c r="S1330" i="1"/>
  <c r="J1339" i="1"/>
  <c r="O1334" i="1"/>
  <c r="V1327" i="1"/>
  <c r="R1331" i="1"/>
  <c r="K1338" i="1"/>
  <c r="I772" i="1"/>
  <c r="M768" i="1"/>
  <c r="Q764" i="1"/>
  <c r="U760" i="1"/>
  <c r="H773" i="1"/>
  <c r="L769" i="1"/>
  <c r="P765" i="1"/>
  <c r="T761" i="1"/>
  <c r="K770" i="1"/>
  <c r="O766" i="1"/>
  <c r="S762" i="1"/>
  <c r="V759" i="1"/>
  <c r="J771" i="1"/>
  <c r="R763" i="1"/>
  <c r="N767" i="1"/>
  <c r="K1359" i="1"/>
  <c r="O1355" i="1"/>
  <c r="P1354" i="1"/>
  <c r="T1350" i="1"/>
  <c r="N1356" i="1"/>
  <c r="H1362" i="1"/>
  <c r="S1351" i="1"/>
  <c r="I1361" i="1"/>
  <c r="L1358" i="1"/>
  <c r="R1352" i="1"/>
  <c r="V1348" i="1"/>
  <c r="M1357" i="1"/>
  <c r="Q1353" i="1"/>
  <c r="U1349" i="1"/>
  <c r="J1360" i="1"/>
  <c r="K1670" i="1"/>
  <c r="O1666" i="1"/>
  <c r="S1662" i="1"/>
  <c r="J1671" i="1"/>
  <c r="N1667" i="1"/>
  <c r="R1663" i="1"/>
  <c r="V1659" i="1"/>
  <c r="U1660" i="1"/>
  <c r="I1672" i="1"/>
  <c r="L1669" i="1"/>
  <c r="Q1664" i="1"/>
  <c r="T1661" i="1"/>
  <c r="M1668" i="1"/>
  <c r="H1673" i="1"/>
  <c r="P1665" i="1"/>
  <c r="I1660" i="1"/>
  <c r="M1656" i="1"/>
  <c r="Q1652" i="1"/>
  <c r="U1648" i="1"/>
  <c r="H1661" i="1"/>
  <c r="L1657" i="1"/>
  <c r="P1653" i="1"/>
  <c r="T1649" i="1"/>
  <c r="K1658" i="1"/>
  <c r="N1655" i="1"/>
  <c r="S1650" i="1"/>
  <c r="V1647" i="1"/>
  <c r="J1659" i="1"/>
  <c r="R1651" i="1"/>
  <c r="O1654" i="1"/>
  <c r="H1713" i="1"/>
  <c r="L1709" i="1"/>
  <c r="P1705" i="1"/>
  <c r="T1701" i="1"/>
  <c r="K1710" i="1"/>
  <c r="O1706" i="1"/>
  <c r="S1702" i="1"/>
  <c r="J1711" i="1"/>
  <c r="N1707" i="1"/>
  <c r="R1703" i="1"/>
  <c r="V1699" i="1"/>
  <c r="I1712" i="1"/>
  <c r="M1708" i="1"/>
  <c r="Q1704" i="1"/>
  <c r="U1700" i="1"/>
  <c r="J746" i="1"/>
  <c r="N742" i="1"/>
  <c r="I747" i="1"/>
  <c r="Q739" i="1"/>
  <c r="H748" i="1"/>
  <c r="S737" i="1"/>
  <c r="R738" i="1"/>
  <c r="V734" i="1"/>
  <c r="K745" i="1"/>
  <c r="O741" i="1"/>
  <c r="T736" i="1"/>
  <c r="L744" i="1"/>
  <c r="U735" i="1"/>
  <c r="P740" i="1"/>
  <c r="M743" i="1"/>
  <c r="H1604" i="1"/>
  <c r="L1600" i="1"/>
  <c r="P1596" i="1"/>
  <c r="T1592" i="1"/>
  <c r="K1601" i="1"/>
  <c r="O1597" i="1"/>
  <c r="S1593" i="1"/>
  <c r="J1602" i="1"/>
  <c r="M1599" i="1"/>
  <c r="N1598" i="1"/>
  <c r="R1594" i="1"/>
  <c r="Q1595" i="1"/>
  <c r="V1590" i="1"/>
  <c r="U1591" i="1"/>
  <c r="I1603" i="1"/>
  <c r="I670" i="1"/>
  <c r="M666" i="1"/>
  <c r="Q662" i="1"/>
  <c r="U658" i="1"/>
  <c r="H671" i="1"/>
  <c r="L667" i="1"/>
  <c r="P663" i="1"/>
  <c r="T659" i="1"/>
  <c r="K668" i="1"/>
  <c r="O664" i="1"/>
  <c r="S660" i="1"/>
  <c r="J669" i="1"/>
  <c r="N665" i="1"/>
  <c r="R661" i="1"/>
  <c r="V657" i="1"/>
  <c r="J95" i="1"/>
  <c r="N91" i="1"/>
  <c r="R87" i="1"/>
  <c r="V83" i="1"/>
  <c r="I96" i="1"/>
  <c r="M92" i="1"/>
  <c r="Q88" i="1"/>
  <c r="U84" i="1"/>
  <c r="H97" i="1"/>
  <c r="L93" i="1"/>
  <c r="P89" i="1"/>
  <c r="T85" i="1"/>
  <c r="K94" i="1"/>
  <c r="S86" i="1"/>
  <c r="O90" i="1"/>
  <c r="K721" i="1"/>
  <c r="O717" i="1"/>
  <c r="S713" i="1"/>
  <c r="J722" i="1"/>
  <c r="N718" i="1"/>
  <c r="R714" i="1"/>
  <c r="V710" i="1"/>
  <c r="H724" i="1"/>
  <c r="M719" i="1"/>
  <c r="T712" i="1"/>
  <c r="I723" i="1"/>
  <c r="P716" i="1"/>
  <c r="L720" i="1"/>
  <c r="Q715" i="1"/>
  <c r="U711" i="1"/>
  <c r="I1228" i="1"/>
  <c r="M1224" i="1"/>
  <c r="Q1220" i="1"/>
  <c r="U1216" i="1"/>
  <c r="L1225" i="1"/>
  <c r="P1221" i="1"/>
  <c r="T1217" i="1"/>
  <c r="J1227" i="1"/>
  <c r="O1222" i="1"/>
  <c r="S1218" i="1"/>
  <c r="N1223" i="1"/>
  <c r="R1219" i="1"/>
  <c r="V1215" i="1"/>
  <c r="H1229" i="1"/>
  <c r="K1226" i="1"/>
  <c r="K1474" i="1"/>
  <c r="O1470" i="1"/>
  <c r="S1466" i="1"/>
  <c r="P1469" i="1"/>
  <c r="Q1468" i="1"/>
  <c r="H1477" i="1"/>
  <c r="R1467" i="1"/>
  <c r="M1472" i="1"/>
  <c r="N1471" i="1"/>
  <c r="I1476" i="1"/>
  <c r="U1464" i="1"/>
  <c r="L1473" i="1"/>
  <c r="J1475" i="1"/>
  <c r="T1465" i="1"/>
  <c r="V1463" i="1"/>
  <c r="I110" i="1"/>
  <c r="M106" i="1"/>
  <c r="Q102" i="1"/>
  <c r="U98" i="1"/>
  <c r="H111" i="1"/>
  <c r="L107" i="1"/>
  <c r="P103" i="1"/>
  <c r="T99" i="1"/>
  <c r="K108" i="1"/>
  <c r="O104" i="1"/>
  <c r="S100" i="1"/>
  <c r="V97" i="1"/>
  <c r="R101" i="1"/>
  <c r="J109" i="1"/>
  <c r="N105" i="1"/>
  <c r="J367" i="1"/>
  <c r="N363" i="1"/>
  <c r="R359" i="1"/>
  <c r="V355" i="1"/>
  <c r="I368" i="1"/>
  <c r="M364" i="1"/>
  <c r="Q360" i="1"/>
  <c r="U356" i="1"/>
  <c r="H369" i="1"/>
  <c r="L365" i="1"/>
  <c r="P361" i="1"/>
  <c r="T357" i="1"/>
  <c r="K366" i="1"/>
  <c r="S358" i="1"/>
  <c r="O362" i="1"/>
  <c r="K1477" i="1"/>
  <c r="O1473" i="1"/>
  <c r="S1469" i="1"/>
  <c r="J1478" i="1"/>
  <c r="N1474" i="1"/>
  <c r="R1470" i="1"/>
  <c r="V1466" i="1"/>
  <c r="U1467" i="1"/>
  <c r="L1476" i="1"/>
  <c r="M1475" i="1"/>
  <c r="H1480" i="1"/>
  <c r="I1479" i="1"/>
  <c r="T1468" i="1"/>
  <c r="Q1471" i="1"/>
  <c r="P1472" i="1"/>
  <c r="H438" i="1"/>
  <c r="L434" i="1"/>
  <c r="P430" i="1"/>
  <c r="T426" i="1"/>
  <c r="K435" i="1"/>
  <c r="O431" i="1"/>
  <c r="S427" i="1"/>
  <c r="R428" i="1"/>
  <c r="U425" i="1"/>
  <c r="I437" i="1"/>
  <c r="N432" i="1"/>
  <c r="Q429" i="1"/>
  <c r="J436" i="1"/>
  <c r="M433" i="1"/>
  <c r="V424" i="1"/>
  <c r="H150" i="1"/>
  <c r="L146" i="1"/>
  <c r="P142" i="1"/>
  <c r="T138" i="1"/>
  <c r="K147" i="1"/>
  <c r="O143" i="1"/>
  <c r="S139" i="1"/>
  <c r="J148" i="1"/>
  <c r="N144" i="1"/>
  <c r="R140" i="1"/>
  <c r="V136" i="1"/>
  <c r="M145" i="1"/>
  <c r="I149" i="1"/>
  <c r="U137" i="1"/>
  <c r="Q141" i="1"/>
  <c r="J1181" i="1"/>
  <c r="N1177" i="1"/>
  <c r="R1173" i="1"/>
  <c r="V1169" i="1"/>
  <c r="I1182" i="1"/>
  <c r="M1178" i="1"/>
  <c r="Q1174" i="1"/>
  <c r="U1170" i="1"/>
  <c r="H1183" i="1"/>
  <c r="L1179" i="1"/>
  <c r="P1175" i="1"/>
  <c r="T1171" i="1"/>
  <c r="K1180" i="1"/>
  <c r="O1176" i="1"/>
  <c r="S1172" i="1"/>
  <c r="K1638" i="1"/>
  <c r="J1639" i="1"/>
  <c r="H1641" i="1"/>
  <c r="O1634" i="1"/>
  <c r="S1630" i="1"/>
  <c r="N1635" i="1"/>
  <c r="R1631" i="1"/>
  <c r="V1627" i="1"/>
  <c r="I1640" i="1"/>
  <c r="M1636" i="1"/>
  <c r="T1629" i="1"/>
  <c r="P1633" i="1"/>
  <c r="U1628" i="1"/>
  <c r="Q1632" i="1"/>
  <c r="L1637" i="1"/>
  <c r="I1125" i="1"/>
  <c r="M1121" i="1"/>
  <c r="Q1117" i="1"/>
  <c r="U1113" i="1"/>
  <c r="H1126" i="1"/>
  <c r="L1122" i="1"/>
  <c r="P1118" i="1"/>
  <c r="T1114" i="1"/>
  <c r="J1124" i="1"/>
  <c r="O1119" i="1"/>
  <c r="V1112" i="1"/>
  <c r="K1123" i="1"/>
  <c r="R1116" i="1"/>
  <c r="N1120" i="1"/>
  <c r="S1115" i="1"/>
  <c r="J1452" i="1"/>
  <c r="I1453" i="1"/>
  <c r="M1449" i="1"/>
  <c r="Q1445" i="1"/>
  <c r="U1441" i="1"/>
  <c r="H1454" i="1"/>
  <c r="N1448" i="1"/>
  <c r="R1444" i="1"/>
  <c r="V1440" i="1"/>
  <c r="O1447" i="1"/>
  <c r="S1443" i="1"/>
  <c r="K1451" i="1"/>
  <c r="P1446" i="1"/>
  <c r="T1442" i="1"/>
  <c r="L1450" i="1"/>
  <c r="H530" i="1"/>
  <c r="L526" i="1"/>
  <c r="P522" i="1"/>
  <c r="T518" i="1"/>
  <c r="K527" i="1"/>
  <c r="O523" i="1"/>
  <c r="S519" i="1"/>
  <c r="U517" i="1"/>
  <c r="J528" i="1"/>
  <c r="Q521" i="1"/>
  <c r="V516" i="1"/>
  <c r="M525" i="1"/>
  <c r="I529" i="1"/>
  <c r="R520" i="1"/>
  <c r="N524" i="1"/>
  <c r="J202" i="1"/>
  <c r="N198" i="1"/>
  <c r="R194" i="1"/>
  <c r="V190" i="1"/>
  <c r="I203" i="1"/>
  <c r="M199" i="1"/>
  <c r="Q195" i="1"/>
  <c r="U191" i="1"/>
  <c r="L200" i="1"/>
  <c r="T192" i="1"/>
  <c r="K201" i="1"/>
  <c r="S193" i="1"/>
  <c r="H204" i="1"/>
  <c r="P196" i="1"/>
  <c r="O197" i="1"/>
  <c r="K1447" i="1"/>
  <c r="O1443" i="1"/>
  <c r="S1439" i="1"/>
  <c r="H1450" i="1"/>
  <c r="L1446" i="1"/>
  <c r="P1442" i="1"/>
  <c r="T1438" i="1"/>
  <c r="Q1441" i="1"/>
  <c r="J1448" i="1"/>
  <c r="N1444" i="1"/>
  <c r="V1436" i="1"/>
  <c r="M1445" i="1"/>
  <c r="U1437" i="1"/>
  <c r="R1440" i="1"/>
  <c r="I1449" i="1"/>
  <c r="K1134" i="1"/>
  <c r="O1130" i="1"/>
  <c r="S1126" i="1"/>
  <c r="J1135" i="1"/>
  <c r="N1131" i="1"/>
  <c r="R1127" i="1"/>
  <c r="V1123" i="1"/>
  <c r="I1136" i="1"/>
  <c r="M1132" i="1"/>
  <c r="Q1128" i="1"/>
  <c r="U1124" i="1"/>
  <c r="H1137" i="1"/>
  <c r="L1133" i="1"/>
  <c r="P1129" i="1"/>
  <c r="T1125" i="1"/>
  <c r="H1380" i="1"/>
  <c r="L1376" i="1"/>
  <c r="P1372" i="1"/>
  <c r="T1368" i="1"/>
  <c r="K1377" i="1"/>
  <c r="O1373" i="1"/>
  <c r="S1369" i="1"/>
  <c r="J1378" i="1"/>
  <c r="R1370" i="1"/>
  <c r="I1379" i="1"/>
  <c r="Q1371" i="1"/>
  <c r="N1374" i="1"/>
  <c r="V1366" i="1"/>
  <c r="M1375" i="1"/>
  <c r="U1367" i="1"/>
  <c r="K1142" i="1"/>
  <c r="O1138" i="1"/>
  <c r="S1134" i="1"/>
  <c r="J1143" i="1"/>
  <c r="N1139" i="1"/>
  <c r="R1135" i="1"/>
  <c r="V1131" i="1"/>
  <c r="I1144" i="1"/>
  <c r="M1140" i="1"/>
  <c r="Q1136" i="1"/>
  <c r="U1132" i="1"/>
  <c r="H1145" i="1"/>
  <c r="L1141" i="1"/>
  <c r="P1137" i="1"/>
  <c r="T1133" i="1"/>
  <c r="J1593" i="1"/>
  <c r="N1589" i="1"/>
  <c r="R1585" i="1"/>
  <c r="V1581" i="1"/>
  <c r="T1583" i="1"/>
  <c r="U1582" i="1"/>
  <c r="L1591" i="1"/>
  <c r="M1590" i="1"/>
  <c r="H1595" i="1"/>
  <c r="I1594" i="1"/>
  <c r="S1584" i="1"/>
  <c r="O1588" i="1"/>
  <c r="K1592" i="1"/>
  <c r="Q1586" i="1"/>
  <c r="P1587" i="1"/>
  <c r="I1052" i="1"/>
  <c r="M1048" i="1"/>
  <c r="Q1044" i="1"/>
  <c r="U1040" i="1"/>
  <c r="K1050" i="1"/>
  <c r="O1046" i="1"/>
  <c r="S1042" i="1"/>
  <c r="J1051" i="1"/>
  <c r="N1047" i="1"/>
  <c r="R1043" i="1"/>
  <c r="V1039" i="1"/>
  <c r="T1041" i="1"/>
  <c r="H1053" i="1"/>
  <c r="P1045" i="1"/>
  <c r="L1049" i="1"/>
  <c r="J865" i="1"/>
  <c r="N861" i="1"/>
  <c r="R857" i="1"/>
  <c r="I866" i="1"/>
  <c r="M862" i="1"/>
  <c r="Q858" i="1"/>
  <c r="U854" i="1"/>
  <c r="K864" i="1"/>
  <c r="O860" i="1"/>
  <c r="S856" i="1"/>
  <c r="H867" i="1"/>
  <c r="P859" i="1"/>
  <c r="V853" i="1"/>
  <c r="L863" i="1"/>
  <c r="T855" i="1"/>
  <c r="I490" i="1"/>
  <c r="M486" i="1"/>
  <c r="Q482" i="1"/>
  <c r="U478" i="1"/>
  <c r="H491" i="1"/>
  <c r="L487" i="1"/>
  <c r="P483" i="1"/>
  <c r="T479" i="1"/>
  <c r="K488" i="1"/>
  <c r="O484" i="1"/>
  <c r="S480" i="1"/>
  <c r="J489" i="1"/>
  <c r="N485" i="1"/>
  <c r="R481" i="1"/>
  <c r="V477" i="1"/>
  <c r="K243" i="1"/>
  <c r="O239" i="1"/>
  <c r="S235" i="1"/>
  <c r="J244" i="1"/>
  <c r="N240" i="1"/>
  <c r="R236" i="1"/>
  <c r="V232" i="1"/>
  <c r="Q237" i="1"/>
  <c r="T234" i="1"/>
  <c r="M241" i="1"/>
  <c r="P238" i="1"/>
  <c r="H246" i="1"/>
  <c r="U233" i="1"/>
  <c r="I245" i="1"/>
  <c r="L242" i="1"/>
  <c r="H896" i="1"/>
  <c r="L892" i="1"/>
  <c r="P888" i="1"/>
  <c r="T884" i="1"/>
  <c r="K893" i="1"/>
  <c r="O889" i="1"/>
  <c r="S885" i="1"/>
  <c r="J894" i="1"/>
  <c r="N890" i="1"/>
  <c r="R886" i="1"/>
  <c r="V882" i="1"/>
  <c r="I895" i="1"/>
  <c r="M891" i="1"/>
  <c r="Q887" i="1"/>
  <c r="U883" i="1"/>
  <c r="J1468" i="1"/>
  <c r="N1464" i="1"/>
  <c r="R1460" i="1"/>
  <c r="V1456" i="1"/>
  <c r="I1469" i="1"/>
  <c r="M1465" i="1"/>
  <c r="Q1461" i="1"/>
  <c r="U1457" i="1"/>
  <c r="O1463" i="1"/>
  <c r="P1462" i="1"/>
  <c r="K1467" i="1"/>
  <c r="L1466" i="1"/>
  <c r="H1470" i="1"/>
  <c r="T1458" i="1"/>
  <c r="S1459" i="1"/>
  <c r="H1497" i="1"/>
  <c r="L1493" i="1"/>
  <c r="P1489" i="1"/>
  <c r="K1494" i="1"/>
  <c r="O1490" i="1"/>
  <c r="I1496" i="1"/>
  <c r="M1492" i="1"/>
  <c r="Q1488" i="1"/>
  <c r="U1484" i="1"/>
  <c r="R1487" i="1"/>
  <c r="T1485" i="1"/>
  <c r="V1483" i="1"/>
  <c r="J1495" i="1"/>
  <c r="S1486" i="1"/>
  <c r="N1491" i="1"/>
  <c r="K766" i="1"/>
  <c r="O762" i="1"/>
  <c r="S758" i="1"/>
  <c r="J767" i="1"/>
  <c r="N763" i="1"/>
  <c r="R759" i="1"/>
  <c r="V755" i="1"/>
  <c r="I768" i="1"/>
  <c r="M764" i="1"/>
  <c r="Q760" i="1"/>
  <c r="U756" i="1"/>
  <c r="L765" i="1"/>
  <c r="T757" i="1"/>
  <c r="P761" i="1"/>
  <c r="H769" i="1"/>
  <c r="H1395" i="1"/>
  <c r="L1391" i="1"/>
  <c r="J1393" i="1"/>
  <c r="N1389" i="1"/>
  <c r="R1385" i="1"/>
  <c r="V1381" i="1"/>
  <c r="I1394" i="1"/>
  <c r="M1390" i="1"/>
  <c r="Q1386" i="1"/>
  <c r="U1382" i="1"/>
  <c r="K1392" i="1"/>
  <c r="P1387" i="1"/>
  <c r="O1388" i="1"/>
  <c r="T1383" i="1"/>
  <c r="S1384" i="1"/>
  <c r="H1530" i="1"/>
  <c r="L1526" i="1"/>
  <c r="K1527" i="1"/>
  <c r="I1529" i="1"/>
  <c r="P1522" i="1"/>
  <c r="T1518" i="1"/>
  <c r="O1523" i="1"/>
  <c r="S1519" i="1"/>
  <c r="J1528" i="1"/>
  <c r="N1524" i="1"/>
  <c r="Q1521" i="1"/>
  <c r="M1525" i="1"/>
  <c r="R1520" i="1"/>
  <c r="U1517" i="1"/>
  <c r="V1516" i="1"/>
  <c r="H1541" i="1"/>
  <c r="L1537" i="1"/>
  <c r="P1533" i="1"/>
  <c r="T1529" i="1"/>
  <c r="J1539" i="1"/>
  <c r="N1535" i="1"/>
  <c r="R1531" i="1"/>
  <c r="V1527" i="1"/>
  <c r="U1528" i="1"/>
  <c r="I1540" i="1"/>
  <c r="O1534" i="1"/>
  <c r="Q1532" i="1"/>
  <c r="M1536" i="1"/>
  <c r="S1530" i="1"/>
  <c r="K1538" i="1"/>
  <c r="I1459" i="1"/>
  <c r="M1455" i="1"/>
  <c r="H1460" i="1"/>
  <c r="L1456" i="1"/>
  <c r="P1452" i="1"/>
  <c r="Q1451" i="1"/>
  <c r="T1448" i="1"/>
  <c r="N1454" i="1"/>
  <c r="O1453" i="1"/>
  <c r="U1447" i="1"/>
  <c r="J1458" i="1"/>
  <c r="S1449" i="1"/>
  <c r="V1446" i="1"/>
  <c r="K1457" i="1"/>
  <c r="R1450" i="1"/>
  <c r="H1677" i="1"/>
  <c r="I1676" i="1"/>
  <c r="M1672" i="1"/>
  <c r="Q1668" i="1"/>
  <c r="U1664" i="1"/>
  <c r="L1673" i="1"/>
  <c r="P1669" i="1"/>
  <c r="T1665" i="1"/>
  <c r="S1666" i="1"/>
  <c r="V1663" i="1"/>
  <c r="J1675" i="1"/>
  <c r="O1670" i="1"/>
  <c r="R1667" i="1"/>
  <c r="K1674" i="1"/>
  <c r="N1671" i="1"/>
  <c r="K1070" i="1"/>
  <c r="O1066" i="1"/>
  <c r="S1062" i="1"/>
  <c r="I1072" i="1"/>
  <c r="M1068" i="1"/>
  <c r="Q1064" i="1"/>
  <c r="U1060" i="1"/>
  <c r="H1073" i="1"/>
  <c r="L1069" i="1"/>
  <c r="P1065" i="1"/>
  <c r="T1061" i="1"/>
  <c r="N1067" i="1"/>
  <c r="V1059" i="1"/>
  <c r="J1071" i="1"/>
  <c r="R1063" i="1"/>
  <c r="J1102" i="1"/>
  <c r="N1098" i="1"/>
  <c r="R1094" i="1"/>
  <c r="V1090" i="1"/>
  <c r="I1103" i="1"/>
  <c r="M1099" i="1"/>
  <c r="Q1095" i="1"/>
  <c r="U1091" i="1"/>
  <c r="L1100" i="1"/>
  <c r="S1093" i="1"/>
  <c r="H1104" i="1"/>
  <c r="O1097" i="1"/>
  <c r="K1101" i="1"/>
  <c r="P1096" i="1"/>
  <c r="T1092" i="1"/>
  <c r="J475" i="1"/>
  <c r="N471" i="1"/>
  <c r="R467" i="1"/>
  <c r="V463" i="1"/>
  <c r="I476" i="1"/>
  <c r="M472" i="1"/>
  <c r="Q468" i="1"/>
  <c r="U464" i="1"/>
  <c r="H477" i="1"/>
  <c r="L473" i="1"/>
  <c r="P469" i="1"/>
  <c r="T465" i="1"/>
  <c r="K474" i="1"/>
  <c r="O470" i="1"/>
  <c r="S466" i="1"/>
  <c r="I232" i="1"/>
  <c r="M228" i="1"/>
  <c r="Q224" i="1"/>
  <c r="U220" i="1"/>
  <c r="H233" i="1"/>
  <c r="L229" i="1"/>
  <c r="P225" i="1"/>
  <c r="T221" i="1"/>
  <c r="J231" i="1"/>
  <c r="N227" i="1"/>
  <c r="R223" i="1"/>
  <c r="V219" i="1"/>
  <c r="K230" i="1"/>
  <c r="S222" i="1"/>
  <c r="O226" i="1"/>
  <c r="I460" i="1"/>
  <c r="H461" i="1"/>
  <c r="L457" i="1"/>
  <c r="P453" i="1"/>
  <c r="T449" i="1"/>
  <c r="K458" i="1"/>
  <c r="O454" i="1"/>
  <c r="S450" i="1"/>
  <c r="J459" i="1"/>
  <c r="N455" i="1"/>
  <c r="R451" i="1"/>
  <c r="V447" i="1"/>
  <c r="Q452" i="1"/>
  <c r="M456" i="1"/>
  <c r="U448" i="1"/>
  <c r="J1692" i="1"/>
  <c r="N1688" i="1"/>
  <c r="R1684" i="1"/>
  <c r="V1680" i="1"/>
  <c r="I1693" i="1"/>
  <c r="M1689" i="1"/>
  <c r="Q1685" i="1"/>
  <c r="U1681" i="1"/>
  <c r="H1694" i="1"/>
  <c r="L1690" i="1"/>
  <c r="P1686" i="1"/>
  <c r="T1682" i="1"/>
  <c r="O1687" i="1"/>
  <c r="S1683" i="1"/>
  <c r="K1691" i="1"/>
  <c r="I264" i="1"/>
  <c r="M260" i="1"/>
  <c r="Q256" i="1"/>
  <c r="U252" i="1"/>
  <c r="H265" i="1"/>
  <c r="L261" i="1"/>
  <c r="P257" i="1"/>
  <c r="T253" i="1"/>
  <c r="K262" i="1"/>
  <c r="O258" i="1"/>
  <c r="S254" i="1"/>
  <c r="J263" i="1"/>
  <c r="N259" i="1"/>
  <c r="R255" i="1"/>
  <c r="V251" i="1"/>
  <c r="I906" i="1"/>
  <c r="M902" i="1"/>
  <c r="Q898" i="1"/>
  <c r="U894" i="1"/>
  <c r="H907" i="1"/>
  <c r="L903" i="1"/>
  <c r="P899" i="1"/>
  <c r="T895" i="1"/>
  <c r="J905" i="1"/>
  <c r="O900" i="1"/>
  <c r="V893" i="1"/>
  <c r="K904" i="1"/>
  <c r="S896" i="1"/>
  <c r="R897" i="1"/>
  <c r="N901" i="1"/>
  <c r="H390" i="1"/>
  <c r="L386" i="1"/>
  <c r="P382" i="1"/>
  <c r="T378" i="1"/>
  <c r="K387" i="1"/>
  <c r="O383" i="1"/>
  <c r="S379" i="1"/>
  <c r="I389" i="1"/>
  <c r="N384" i="1"/>
  <c r="Q381" i="1"/>
  <c r="V376" i="1"/>
  <c r="J388" i="1"/>
  <c r="R380" i="1"/>
  <c r="U377" i="1"/>
  <c r="M385" i="1"/>
  <c r="J847" i="1"/>
  <c r="N843" i="1"/>
  <c r="R839" i="1"/>
  <c r="V835" i="1"/>
  <c r="Q840" i="1"/>
  <c r="T837" i="1"/>
  <c r="H849" i="1"/>
  <c r="K846" i="1"/>
  <c r="I848" i="1"/>
  <c r="L845" i="1"/>
  <c r="O842" i="1"/>
  <c r="M844" i="1"/>
  <c r="S838" i="1"/>
  <c r="U836" i="1"/>
  <c r="P841" i="1"/>
  <c r="H577" i="1"/>
  <c r="L573" i="1"/>
  <c r="P569" i="1"/>
  <c r="T565" i="1"/>
  <c r="K574" i="1"/>
  <c r="O570" i="1"/>
  <c r="S566" i="1"/>
  <c r="J575" i="1"/>
  <c r="N571" i="1"/>
  <c r="R567" i="1"/>
  <c r="V563" i="1"/>
  <c r="I576" i="1"/>
  <c r="M572" i="1"/>
  <c r="Q568" i="1"/>
  <c r="U564" i="1"/>
  <c r="J890" i="1"/>
  <c r="N886" i="1"/>
  <c r="R882" i="1"/>
  <c r="V878" i="1"/>
  <c r="I891" i="1"/>
  <c r="M887" i="1"/>
  <c r="Q883" i="1"/>
  <c r="H892" i="1"/>
  <c r="L888" i="1"/>
  <c r="P884" i="1"/>
  <c r="K889" i="1"/>
  <c r="O885" i="1"/>
  <c r="S881" i="1"/>
  <c r="T880" i="1"/>
  <c r="U879" i="1"/>
  <c r="J898" i="1"/>
  <c r="N894" i="1"/>
  <c r="R890" i="1"/>
  <c r="V886" i="1"/>
  <c r="I899" i="1"/>
  <c r="M895" i="1"/>
  <c r="Q891" i="1"/>
  <c r="U887" i="1"/>
  <c r="H900" i="1"/>
  <c r="L896" i="1"/>
  <c r="P892" i="1"/>
  <c r="T888" i="1"/>
  <c r="K897" i="1"/>
  <c r="O893" i="1"/>
  <c r="S889" i="1"/>
  <c r="I454" i="1"/>
  <c r="M450" i="1"/>
  <c r="Q446" i="1"/>
  <c r="U442" i="1"/>
  <c r="H455" i="1"/>
  <c r="L451" i="1"/>
  <c r="P447" i="1"/>
  <c r="T443" i="1"/>
  <c r="K452" i="1"/>
  <c r="O448" i="1"/>
  <c r="S444" i="1"/>
  <c r="R445" i="1"/>
  <c r="N449" i="1"/>
  <c r="V441" i="1"/>
  <c r="J453" i="1"/>
  <c r="K337" i="1"/>
  <c r="O333" i="1"/>
  <c r="S329" i="1"/>
  <c r="J338" i="1"/>
  <c r="N334" i="1"/>
  <c r="R330" i="1"/>
  <c r="V326" i="1"/>
  <c r="I339" i="1"/>
  <c r="M335" i="1"/>
  <c r="L336" i="1"/>
  <c r="P332" i="1"/>
  <c r="Q331" i="1"/>
  <c r="H340" i="1"/>
  <c r="T328" i="1"/>
  <c r="U327" i="1"/>
  <c r="J1190" i="1"/>
  <c r="N1186" i="1"/>
  <c r="R1182" i="1"/>
  <c r="V1178" i="1"/>
  <c r="I1191" i="1"/>
  <c r="M1187" i="1"/>
  <c r="Q1183" i="1"/>
  <c r="U1179" i="1"/>
  <c r="L1188" i="1"/>
  <c r="S1181" i="1"/>
  <c r="H1192" i="1"/>
  <c r="O1185" i="1"/>
  <c r="K1189" i="1"/>
  <c r="P1184" i="1"/>
  <c r="T1180" i="1"/>
  <c r="I623" i="1"/>
  <c r="M619" i="1"/>
  <c r="Q615" i="1"/>
  <c r="U611" i="1"/>
  <c r="H624" i="1"/>
  <c r="L620" i="1"/>
  <c r="P616" i="1"/>
  <c r="T612" i="1"/>
  <c r="V610" i="1"/>
  <c r="K621" i="1"/>
  <c r="R614" i="1"/>
  <c r="N618" i="1"/>
  <c r="J622" i="1"/>
  <c r="O617" i="1"/>
  <c r="S613" i="1"/>
  <c r="K540" i="1"/>
  <c r="O536" i="1"/>
  <c r="S532" i="1"/>
  <c r="J541" i="1"/>
  <c r="N537" i="1"/>
  <c r="R533" i="1"/>
  <c r="V529" i="1"/>
  <c r="I542" i="1"/>
  <c r="M538" i="1"/>
  <c r="Q534" i="1"/>
  <c r="U530" i="1"/>
  <c r="H543" i="1"/>
  <c r="L539" i="1"/>
  <c r="P535" i="1"/>
  <c r="T531" i="1"/>
  <c r="I1278" i="1"/>
  <c r="M1274" i="1"/>
  <c r="Q1270" i="1"/>
  <c r="U1266" i="1"/>
  <c r="H1279" i="1"/>
  <c r="L1275" i="1"/>
  <c r="P1271" i="1"/>
  <c r="T1267" i="1"/>
  <c r="R1269" i="1"/>
  <c r="N1273" i="1"/>
  <c r="S1268" i="1"/>
  <c r="J1277" i="1"/>
  <c r="V1265" i="1"/>
  <c r="K1276" i="1"/>
  <c r="O1272" i="1"/>
  <c r="H506" i="1"/>
  <c r="L502" i="1"/>
  <c r="P498" i="1"/>
  <c r="T494" i="1"/>
  <c r="K503" i="1"/>
  <c r="O499" i="1"/>
  <c r="S495" i="1"/>
  <c r="I505" i="1"/>
  <c r="N500" i="1"/>
  <c r="U493" i="1"/>
  <c r="J504" i="1"/>
  <c r="Q497" i="1"/>
  <c r="V492" i="1"/>
  <c r="R496" i="1"/>
  <c r="M501" i="1"/>
  <c r="I1285" i="1"/>
  <c r="M1281" i="1"/>
  <c r="Q1277" i="1"/>
  <c r="U1273" i="1"/>
  <c r="H1286" i="1"/>
  <c r="L1282" i="1"/>
  <c r="P1278" i="1"/>
  <c r="T1274" i="1"/>
  <c r="K1283" i="1"/>
  <c r="O1279" i="1"/>
  <c r="S1275" i="1"/>
  <c r="J1284" i="1"/>
  <c r="N1280" i="1"/>
  <c r="R1276" i="1"/>
  <c r="V1272" i="1"/>
  <c r="I1619" i="1"/>
  <c r="M1615" i="1"/>
  <c r="Q1611" i="1"/>
  <c r="U1607" i="1"/>
  <c r="H1620" i="1"/>
  <c r="L1616" i="1"/>
  <c r="P1612" i="1"/>
  <c r="T1608" i="1"/>
  <c r="K1617" i="1"/>
  <c r="J1618" i="1"/>
  <c r="N1614" i="1"/>
  <c r="R1610" i="1"/>
  <c r="O1613" i="1"/>
  <c r="V1606" i="1"/>
  <c r="S1609" i="1"/>
  <c r="H1346" i="1"/>
  <c r="L1342" i="1"/>
  <c r="P1338" i="1"/>
  <c r="T1334" i="1"/>
  <c r="K1343" i="1"/>
  <c r="O1339" i="1"/>
  <c r="S1335" i="1"/>
  <c r="J1344" i="1"/>
  <c r="N1340" i="1"/>
  <c r="R1336" i="1"/>
  <c r="V1332" i="1"/>
  <c r="I1345" i="1"/>
  <c r="M1341" i="1"/>
  <c r="Q1337" i="1"/>
  <c r="U1333" i="1"/>
  <c r="I297" i="1"/>
  <c r="M293" i="1"/>
  <c r="Q289" i="1"/>
  <c r="U285" i="1"/>
  <c r="H298" i="1"/>
  <c r="L294" i="1"/>
  <c r="P290" i="1"/>
  <c r="T286" i="1"/>
  <c r="J296" i="1"/>
  <c r="O291" i="1"/>
  <c r="V284" i="1"/>
  <c r="K295" i="1"/>
  <c r="R288" i="1"/>
  <c r="S287" i="1"/>
  <c r="N292" i="1"/>
  <c r="I1612" i="1"/>
  <c r="H1613" i="1"/>
  <c r="L1609" i="1"/>
  <c r="M1608" i="1"/>
  <c r="K1610" i="1"/>
  <c r="Q1604" i="1"/>
  <c r="N1607" i="1"/>
  <c r="S1602" i="1"/>
  <c r="J1611" i="1"/>
  <c r="O1606" i="1"/>
  <c r="R1603" i="1"/>
  <c r="U1600" i="1"/>
  <c r="V1599" i="1"/>
  <c r="T1601" i="1"/>
  <c r="P1605" i="1"/>
  <c r="H1650" i="1"/>
  <c r="L1646" i="1"/>
  <c r="P1642" i="1"/>
  <c r="T1638" i="1"/>
  <c r="K1647" i="1"/>
  <c r="O1643" i="1"/>
  <c r="S1639" i="1"/>
  <c r="I1649" i="1"/>
  <c r="M1645" i="1"/>
  <c r="Q1641" i="1"/>
  <c r="U1637" i="1"/>
  <c r="J1648" i="1"/>
  <c r="V1636" i="1"/>
  <c r="R1640" i="1"/>
  <c r="N1644" i="1"/>
  <c r="H1546" i="1"/>
  <c r="P1538" i="1"/>
  <c r="T1534" i="1"/>
  <c r="O1539" i="1"/>
  <c r="S1535" i="1"/>
  <c r="M1541" i="1"/>
  <c r="Q1537" i="1"/>
  <c r="U1533" i="1"/>
  <c r="K1543" i="1"/>
  <c r="V1532" i="1"/>
  <c r="L1542" i="1"/>
  <c r="I1545" i="1"/>
  <c r="R1536" i="1"/>
  <c r="J1544" i="1"/>
  <c r="N1540" i="1"/>
  <c r="J931" i="1"/>
  <c r="N927" i="1"/>
  <c r="R923" i="1"/>
  <c r="V919" i="1"/>
  <c r="I932" i="1"/>
  <c r="M928" i="1"/>
  <c r="Q924" i="1"/>
  <c r="U920" i="1"/>
  <c r="O926" i="1"/>
  <c r="T921" i="1"/>
  <c r="K930" i="1"/>
  <c r="P925" i="1"/>
  <c r="H933" i="1"/>
  <c r="S922" i="1"/>
  <c r="L929" i="1"/>
  <c r="I929" i="1"/>
  <c r="M925" i="1"/>
  <c r="Q921" i="1"/>
  <c r="U917" i="1"/>
  <c r="H930" i="1"/>
  <c r="L926" i="1"/>
  <c r="P922" i="1"/>
  <c r="T918" i="1"/>
  <c r="K927" i="1"/>
  <c r="O923" i="1"/>
  <c r="S919" i="1"/>
  <c r="J928" i="1"/>
  <c r="N924" i="1"/>
  <c r="R920" i="1"/>
  <c r="V916" i="1"/>
  <c r="I1237" i="1"/>
  <c r="M1233" i="1"/>
  <c r="Q1229" i="1"/>
  <c r="H1238" i="1"/>
  <c r="K1235" i="1"/>
  <c r="J1236" i="1"/>
  <c r="N1232" i="1"/>
  <c r="R1228" i="1"/>
  <c r="U1225" i="1"/>
  <c r="O1231" i="1"/>
  <c r="P1230" i="1"/>
  <c r="S1227" i="1"/>
  <c r="L1234" i="1"/>
  <c r="T1226" i="1"/>
  <c r="V1224" i="1"/>
  <c r="H1245" i="1"/>
  <c r="L1241" i="1"/>
  <c r="P1237" i="1"/>
  <c r="K1242" i="1"/>
  <c r="O1238" i="1"/>
  <c r="I1244" i="1"/>
  <c r="N1239" i="1"/>
  <c r="S1234" i="1"/>
  <c r="T1233" i="1"/>
  <c r="J1243" i="1"/>
  <c r="R1235" i="1"/>
  <c r="U1232" i="1"/>
  <c r="M1240" i="1"/>
  <c r="Q1236" i="1"/>
  <c r="V1231" i="1"/>
  <c r="K1301" i="1"/>
  <c r="O1297" i="1"/>
  <c r="I1303" i="1"/>
  <c r="H1304" i="1"/>
  <c r="L1300" i="1"/>
  <c r="P1296" i="1"/>
  <c r="R1294" i="1"/>
  <c r="V1290" i="1"/>
  <c r="J1302" i="1"/>
  <c r="M1299" i="1"/>
  <c r="U1291" i="1"/>
  <c r="N1298" i="1"/>
  <c r="Q1295" i="1"/>
  <c r="T1292" i="1"/>
  <c r="S1293" i="1"/>
  <c r="J615" i="1"/>
  <c r="N611" i="1"/>
  <c r="R607" i="1"/>
  <c r="V603" i="1"/>
  <c r="I616" i="1"/>
  <c r="M612" i="1"/>
  <c r="Q608" i="1"/>
  <c r="U604" i="1"/>
  <c r="H617" i="1"/>
  <c r="L613" i="1"/>
  <c r="P609" i="1"/>
  <c r="T605" i="1"/>
  <c r="K614" i="1"/>
  <c r="O610" i="1"/>
  <c r="S606" i="1"/>
  <c r="H1513" i="1"/>
  <c r="L1509" i="1"/>
  <c r="P1505" i="1"/>
  <c r="T1501" i="1"/>
  <c r="K1510" i="1"/>
  <c r="O1506" i="1"/>
  <c r="S1502" i="1"/>
  <c r="I1512" i="1"/>
  <c r="M1508" i="1"/>
  <c r="Q1504" i="1"/>
  <c r="U1500" i="1"/>
  <c r="N1507" i="1"/>
  <c r="R1503" i="1"/>
  <c r="V1499" i="1"/>
  <c r="J1511" i="1"/>
  <c r="H1012" i="1"/>
  <c r="L1008" i="1"/>
  <c r="K1009" i="1"/>
  <c r="T1000" i="1"/>
  <c r="V998" i="1"/>
  <c r="Q1003" i="1"/>
  <c r="J1010" i="1"/>
  <c r="M1007" i="1"/>
  <c r="N1006" i="1"/>
  <c r="U999" i="1"/>
  <c r="O1005" i="1"/>
  <c r="R1002" i="1"/>
  <c r="P1004" i="1"/>
  <c r="S1001" i="1"/>
  <c r="I1011" i="1"/>
  <c r="K625" i="1"/>
  <c r="O621" i="1"/>
  <c r="S617" i="1"/>
  <c r="J626" i="1"/>
  <c r="N622" i="1"/>
  <c r="R618" i="1"/>
  <c r="V614" i="1"/>
  <c r="H628" i="1"/>
  <c r="M623" i="1"/>
  <c r="T616" i="1"/>
  <c r="I627" i="1"/>
  <c r="P620" i="1"/>
  <c r="L624" i="1"/>
  <c r="Q619" i="1"/>
  <c r="U615" i="1"/>
  <c r="K923" i="1"/>
  <c r="O919" i="1"/>
  <c r="S915" i="1"/>
  <c r="J924" i="1"/>
  <c r="N920" i="1"/>
  <c r="R916" i="1"/>
  <c r="V912" i="1"/>
  <c r="I925" i="1"/>
  <c r="M921" i="1"/>
  <c r="Q917" i="1"/>
  <c r="U913" i="1"/>
  <c r="H926" i="1"/>
  <c r="L922" i="1"/>
  <c r="P918" i="1"/>
  <c r="T914" i="1"/>
  <c r="K1118" i="1"/>
  <c r="O1114" i="1"/>
  <c r="S1110" i="1"/>
  <c r="J1119" i="1"/>
  <c r="N1115" i="1"/>
  <c r="R1111" i="1"/>
  <c r="V1107" i="1"/>
  <c r="I1120" i="1"/>
  <c r="M1116" i="1"/>
  <c r="Q1112" i="1"/>
  <c r="U1108" i="1"/>
  <c r="H1121" i="1"/>
  <c r="L1117" i="1"/>
  <c r="P1113" i="1"/>
  <c r="T1109" i="1"/>
  <c r="J639" i="1"/>
  <c r="N635" i="1"/>
  <c r="R631" i="1"/>
  <c r="V627" i="1"/>
  <c r="I640" i="1"/>
  <c r="M636" i="1"/>
  <c r="Q632" i="1"/>
  <c r="U628" i="1"/>
  <c r="H641" i="1"/>
  <c r="L637" i="1"/>
  <c r="P633" i="1"/>
  <c r="T629" i="1"/>
  <c r="K638" i="1"/>
  <c r="O634" i="1"/>
  <c r="S630" i="1"/>
  <c r="I863" i="1"/>
  <c r="M859" i="1"/>
  <c r="Q855" i="1"/>
  <c r="U851" i="1"/>
  <c r="H864" i="1"/>
  <c r="L860" i="1"/>
  <c r="P856" i="1"/>
  <c r="R854" i="1"/>
  <c r="K861" i="1"/>
  <c r="N858" i="1"/>
  <c r="S853" i="1"/>
  <c r="V850" i="1"/>
  <c r="J862" i="1"/>
  <c r="O857" i="1"/>
  <c r="T852" i="1"/>
  <c r="G108" i="1"/>
  <c r="K104" i="1"/>
  <c r="O100" i="1"/>
  <c r="S96" i="1"/>
  <c r="J105" i="1"/>
  <c r="N101" i="1"/>
  <c r="R97" i="1"/>
  <c r="V93" i="1"/>
  <c r="I106" i="1"/>
  <c r="M102" i="1"/>
  <c r="Q98" i="1"/>
  <c r="U94" i="1"/>
  <c r="H107" i="1"/>
  <c r="T95" i="1"/>
  <c r="P99" i="1"/>
  <c r="L103" i="1"/>
  <c r="G119" i="1"/>
  <c r="H118" i="1"/>
  <c r="L114" i="1"/>
  <c r="P110" i="1"/>
  <c r="T106" i="1"/>
  <c r="K115" i="1"/>
  <c r="O111" i="1"/>
  <c r="S107" i="1"/>
  <c r="J116" i="1"/>
  <c r="N112" i="1"/>
  <c r="R108" i="1"/>
  <c r="V104" i="1"/>
  <c r="M113" i="1"/>
  <c r="I117" i="1"/>
  <c r="U105" i="1"/>
  <c r="Q109" i="1"/>
  <c r="H78" i="1"/>
  <c r="K75" i="1"/>
  <c r="O71" i="1"/>
  <c r="S67" i="1"/>
  <c r="J76" i="1"/>
  <c r="N72" i="1"/>
  <c r="R68" i="1"/>
  <c r="V64" i="1"/>
  <c r="T66" i="1"/>
  <c r="I77" i="1"/>
  <c r="Q69" i="1"/>
  <c r="P70" i="1"/>
  <c r="U65" i="1"/>
  <c r="L74" i="1"/>
  <c r="M73" i="1"/>
  <c r="W13" i="1"/>
  <c r="G672" i="1"/>
  <c r="G1299" i="1"/>
  <c r="G266" i="1"/>
  <c r="G408" i="1"/>
  <c r="G1536" i="1"/>
  <c r="G391" i="1"/>
  <c r="G850" i="1"/>
  <c r="G1089" i="1"/>
  <c r="G1034" i="1"/>
  <c r="G859" i="1"/>
  <c r="G1466" i="1"/>
  <c r="G606" i="1"/>
  <c r="G937" i="1"/>
  <c r="G1294" i="1"/>
  <c r="G1156" i="1"/>
  <c r="G273" i="1"/>
  <c r="G1566" i="1"/>
  <c r="G659" i="1"/>
  <c r="G303" i="1"/>
  <c r="G989" i="1"/>
  <c r="G571" i="1"/>
  <c r="G889" i="1"/>
  <c r="G681" i="1"/>
  <c r="G1316" i="1"/>
  <c r="G1074" i="1"/>
  <c r="G725" i="1"/>
  <c r="G1352" i="1"/>
  <c r="G1230" i="1"/>
  <c r="G828" i="1"/>
  <c r="G1334" i="1"/>
  <c r="G112" i="1"/>
  <c r="G1440" i="1"/>
  <c r="G551" i="1"/>
  <c r="G514" i="1"/>
  <c r="G346" i="1"/>
  <c r="G804" i="1"/>
  <c r="G1420" i="1"/>
  <c r="G531" i="1"/>
  <c r="G222" i="1"/>
  <c r="G998" i="1"/>
  <c r="G816" i="1"/>
  <c r="G1430" i="1"/>
  <c r="G1400" i="1"/>
  <c r="G904" i="1"/>
  <c r="G1570" i="1"/>
  <c r="G1578" i="1"/>
  <c r="G492" i="1"/>
  <c r="G234" i="1"/>
  <c r="G247" i="1"/>
  <c r="G1094" i="1"/>
  <c r="G897" i="1"/>
  <c r="G621" i="1"/>
  <c r="G1498" i="1"/>
  <c r="G1109" i="1"/>
  <c r="G770" i="1"/>
  <c r="G1391" i="1"/>
  <c r="G1396" i="1"/>
  <c r="G1531" i="1"/>
  <c r="G462" i="1"/>
  <c r="G1542" i="1"/>
  <c r="G315" i="1"/>
  <c r="G1370" i="1"/>
  <c r="G98" i="1"/>
  <c r="G1601" i="1"/>
  <c r="G502" i="1"/>
  <c r="G920" i="1"/>
  <c r="G1189" i="1"/>
  <c r="G599" i="1"/>
  <c r="G654" i="1"/>
  <c r="G1325" i="1"/>
  <c r="G380" i="1"/>
  <c r="G310" i="1"/>
  <c r="G1551" i="1"/>
  <c r="G341" i="1"/>
  <c r="G1022" i="1"/>
  <c r="G1193" i="1"/>
  <c r="G625" i="1"/>
  <c r="G1254" i="1"/>
  <c r="G544" i="1"/>
  <c r="G357" i="1"/>
  <c r="G632" i="1"/>
  <c r="G1269" i="1"/>
  <c r="G1560" i="1"/>
  <c r="G743" i="1"/>
  <c r="G1406" i="1"/>
  <c r="G286" i="1"/>
  <c r="G397" i="1"/>
  <c r="G1635" i="1"/>
  <c r="G1235" i="1"/>
  <c r="G943" i="1"/>
  <c r="G1574" i="1"/>
  <c r="G435" i="1"/>
  <c r="G1100" i="1"/>
  <c r="G712" i="1"/>
  <c r="G1342" i="1"/>
  <c r="G956" i="1"/>
  <c r="G593" i="1"/>
  <c r="G774" i="1"/>
  <c r="G699" i="1"/>
  <c r="G1363" i="1"/>
  <c r="G431" i="1"/>
  <c r="G1374" i="1"/>
  <c r="G331" i="1"/>
  <c r="G749" i="1"/>
  <c r="G1084" i="1"/>
  <c r="G784" i="1"/>
  <c r="G1444" i="1"/>
  <c r="G1068" i="1"/>
  <c r="W29" i="1"/>
  <c r="G1424" i="1"/>
  <c r="G562" i="1"/>
  <c r="G1207" i="1"/>
  <c r="G754" i="1"/>
  <c r="G486" i="1"/>
  <c r="G1142" i="1"/>
  <c r="G238" i="1"/>
  <c r="G720" i="1"/>
  <c r="G1280" i="1"/>
  <c r="G612" i="1"/>
  <c r="G1287" i="1"/>
  <c r="G968" i="1"/>
  <c r="G1621" i="1"/>
  <c r="G646" i="1"/>
  <c r="G415" i="1"/>
  <c r="G299" i="1"/>
  <c r="G983" i="1"/>
  <c r="G1614" i="1"/>
  <c r="G664" i="1"/>
  <c r="G1651" i="1"/>
  <c r="G1547" i="1"/>
  <c r="G765" i="1"/>
  <c r="G1519" i="1"/>
  <c r="G1040" i="1"/>
  <c r="G824" i="1"/>
  <c r="G468" i="1"/>
  <c r="G1168" i="1"/>
  <c r="G1118" i="1"/>
  <c r="G687" i="1"/>
  <c r="G1386" i="1"/>
  <c r="G370" i="1"/>
  <c r="G876" i="1"/>
  <c r="G1481" i="1"/>
  <c r="G707" i="1"/>
  <c r="G439" i="1"/>
  <c r="G1105" i="1"/>
  <c r="G151" i="1"/>
  <c r="G1161" i="1"/>
  <c r="G1505" i="1"/>
  <c r="G677" i="1"/>
  <c r="G1113" i="1"/>
  <c r="G558" i="1"/>
  <c r="G1239" i="1"/>
  <c r="G1246" i="1"/>
  <c r="G1009" i="1"/>
  <c r="G1461" i="1"/>
  <c r="G790" i="1"/>
  <c r="G1413" i="1"/>
  <c r="G254" i="1"/>
  <c r="G947" i="1"/>
  <c r="G526" i="1"/>
  <c r="G1179" i="1"/>
  <c r="G810" i="1"/>
  <c r="G778" i="1"/>
  <c r="G1080" i="1"/>
  <c r="G510" i="1"/>
  <c r="G1201" i="1"/>
  <c r="G1275" i="1"/>
  <c r="G351" i="1"/>
  <c r="G498" i="1"/>
  <c r="G1592" i="1"/>
  <c r="G1605" i="1"/>
  <c r="G911" i="1"/>
  <c r="G473" i="1"/>
  <c r="G1133" i="1"/>
  <c r="G1044" i="1"/>
  <c r="G836" i="1"/>
  <c r="G446" i="1"/>
  <c r="G1050" i="1"/>
  <c r="G1058" i="1"/>
  <c r="G731" i="1"/>
  <c r="G567" i="1"/>
  <c r="G692" i="1"/>
  <c r="G994" i="1"/>
  <c r="G1627" i="1"/>
  <c r="G403" i="1"/>
  <c r="G1184" i="1"/>
  <c r="G1003" i="1"/>
  <c r="G1642" i="1"/>
  <c r="G425" i="1"/>
  <c r="G1127" i="1"/>
  <c r="G280" i="1"/>
  <c r="G320" i="1"/>
  <c r="G205" i="1"/>
  <c r="G1451" i="1"/>
  <c r="G478" i="1"/>
  <c r="G1138" i="1"/>
  <c r="G760" i="1"/>
  <c r="G1381" i="1"/>
  <c r="G973" i="1"/>
  <c r="G335" i="1"/>
  <c r="G736" i="1"/>
  <c r="G578" i="1"/>
  <c r="G1222" i="1"/>
  <c r="G893" i="1"/>
  <c r="G1509" i="1"/>
  <c r="G978" i="1"/>
  <c r="G456" i="1"/>
  <c r="G1486" i="1"/>
  <c r="G230" i="1"/>
  <c r="G362" i="1"/>
  <c r="G703" i="1"/>
  <c r="G522" i="1"/>
  <c r="G1474" i="1"/>
  <c r="G951" i="1"/>
  <c r="G1586" i="1"/>
  <c r="G419" i="1"/>
  <c r="G1347" i="1"/>
  <c r="G1321" i="1"/>
  <c r="G1146" i="1"/>
  <c r="G961" i="1"/>
  <c r="G1596" i="1"/>
  <c r="G242" i="1"/>
  <c r="G1054" i="1"/>
  <c r="G820" i="1"/>
  <c r="G868" i="1"/>
  <c r="G1305" i="1"/>
  <c r="G451" i="1"/>
  <c r="G1514" i="1"/>
  <c r="G794" i="1"/>
  <c r="G1013" i="1"/>
  <c r="G1029" i="1"/>
  <c r="G1265" i="1"/>
  <c r="G927" i="1"/>
  <c r="G1555" i="1"/>
  <c r="G1122" i="1"/>
  <c r="G1018" i="1"/>
  <c r="G642" i="1"/>
  <c r="G211" i="1"/>
  <c r="G259" i="1"/>
  <c r="W35" i="1"/>
  <c r="W33" i="1"/>
  <c r="W27" i="1"/>
  <c r="W25" i="1"/>
  <c r="G1691" i="1"/>
  <c r="W7" i="1"/>
  <c r="G1710" i="1"/>
  <c r="W19" i="1"/>
  <c r="G1683" i="1"/>
  <c r="W21" i="1"/>
  <c r="G1678" i="1"/>
  <c r="W11" i="1"/>
  <c r="W31" i="1"/>
  <c r="G1703" i="1"/>
  <c r="G1726" i="1"/>
  <c r="W23" i="1"/>
  <c r="G1721" i="1"/>
  <c r="W15" i="1"/>
  <c r="W5" i="1"/>
  <c r="W9" i="1"/>
  <c r="G1657" i="1"/>
  <c r="G1662" i="1"/>
  <c r="G1695" i="1"/>
  <c r="G1714" i="1"/>
  <c r="W14" i="1"/>
  <c r="W3" i="1"/>
  <c r="W4" i="1"/>
  <c r="W12" i="1"/>
  <c r="W10" i="1"/>
  <c r="W6" i="1"/>
  <c r="W8" i="1"/>
  <c r="W16" i="1"/>
  <c r="W18" i="1"/>
  <c r="W17" i="1"/>
  <c r="W26" i="1"/>
  <c r="W30" i="1"/>
  <c r="W34" i="1"/>
  <c r="W36" i="1"/>
  <c r="W24" i="1"/>
  <c r="W20" i="1"/>
  <c r="W22" i="1"/>
  <c r="W32" i="1"/>
  <c r="W28" i="1"/>
  <c r="J1553" i="1" l="1"/>
  <c r="N1549" i="1"/>
  <c r="R1545" i="1"/>
  <c r="V1541" i="1"/>
  <c r="I1554" i="1"/>
  <c r="M1550" i="1"/>
  <c r="O1548" i="1"/>
  <c r="Q1546" i="1"/>
  <c r="L1551" i="1"/>
  <c r="S1544" i="1"/>
  <c r="U1542" i="1"/>
  <c r="P1547" i="1"/>
  <c r="T1543" i="1"/>
  <c r="K1552" i="1"/>
  <c r="H1555" i="1"/>
  <c r="H578" i="1"/>
  <c r="L574" i="1"/>
  <c r="P570" i="1"/>
  <c r="T566" i="1"/>
  <c r="K575" i="1"/>
  <c r="O571" i="1"/>
  <c r="S567" i="1"/>
  <c r="M573" i="1"/>
  <c r="R568" i="1"/>
  <c r="I577" i="1"/>
  <c r="N572" i="1"/>
  <c r="U565" i="1"/>
  <c r="V564" i="1"/>
  <c r="Q569" i="1"/>
  <c r="J576" i="1"/>
  <c r="K1047" i="1"/>
  <c r="O1043" i="1"/>
  <c r="S1039" i="1"/>
  <c r="J1048" i="1"/>
  <c r="N1044" i="1"/>
  <c r="R1040" i="1"/>
  <c r="V1036" i="1"/>
  <c r="Q1041" i="1"/>
  <c r="T1038" i="1"/>
  <c r="H1050" i="1"/>
  <c r="M1045" i="1"/>
  <c r="P1042" i="1"/>
  <c r="U1037" i="1"/>
  <c r="L1046" i="1"/>
  <c r="I1049" i="1"/>
  <c r="I150" i="1"/>
  <c r="M146" i="1"/>
  <c r="Q142" i="1"/>
  <c r="U138" i="1"/>
  <c r="H151" i="1"/>
  <c r="L147" i="1"/>
  <c r="P143" i="1"/>
  <c r="T139" i="1"/>
  <c r="K148" i="1"/>
  <c r="O144" i="1"/>
  <c r="S140" i="1"/>
  <c r="J149" i="1"/>
  <c r="V137" i="1"/>
  <c r="N145" i="1"/>
  <c r="R141" i="1"/>
  <c r="H1444" i="1"/>
  <c r="L1440" i="1"/>
  <c r="P1436" i="1"/>
  <c r="T1432" i="1"/>
  <c r="I1443" i="1"/>
  <c r="M1439" i="1"/>
  <c r="Q1435" i="1"/>
  <c r="U1431" i="1"/>
  <c r="N1438" i="1"/>
  <c r="V1430" i="1"/>
  <c r="K1441" i="1"/>
  <c r="S1433" i="1"/>
  <c r="J1442" i="1"/>
  <c r="R1434" i="1"/>
  <c r="O1437" i="1"/>
  <c r="I1188" i="1"/>
  <c r="M1184" i="1"/>
  <c r="Q1180" i="1"/>
  <c r="U1176" i="1"/>
  <c r="H1189" i="1"/>
  <c r="L1185" i="1"/>
  <c r="P1181" i="1"/>
  <c r="T1177" i="1"/>
  <c r="K1186" i="1"/>
  <c r="O1182" i="1"/>
  <c r="S1178" i="1"/>
  <c r="J1187" i="1"/>
  <c r="N1183" i="1"/>
  <c r="R1179" i="1"/>
  <c r="V1175" i="1"/>
  <c r="J987" i="1"/>
  <c r="N983" i="1"/>
  <c r="R979" i="1"/>
  <c r="V975" i="1"/>
  <c r="I988" i="1"/>
  <c r="M984" i="1"/>
  <c r="Q980" i="1"/>
  <c r="U976" i="1"/>
  <c r="K986" i="1"/>
  <c r="P981" i="1"/>
  <c r="L985" i="1"/>
  <c r="T977" i="1"/>
  <c r="S978" i="1"/>
  <c r="H989" i="1"/>
  <c r="O982" i="1"/>
  <c r="G165" i="1"/>
  <c r="J162" i="1"/>
  <c r="O157" i="1"/>
  <c r="S153" i="1"/>
  <c r="N158" i="1"/>
  <c r="R154" i="1"/>
  <c r="V150" i="1"/>
  <c r="K161" i="1"/>
  <c r="H164" i="1"/>
  <c r="M159" i="1"/>
  <c r="Q155" i="1"/>
  <c r="U151" i="1"/>
  <c r="I163" i="1"/>
  <c r="L160" i="1"/>
  <c r="T152" i="1"/>
  <c r="P156" i="1"/>
  <c r="K924" i="1"/>
  <c r="O920" i="1"/>
  <c r="S916" i="1"/>
  <c r="J925" i="1"/>
  <c r="N921" i="1"/>
  <c r="R917" i="1"/>
  <c r="V913" i="1"/>
  <c r="T915" i="1"/>
  <c r="I926" i="1"/>
  <c r="P919" i="1"/>
  <c r="U914" i="1"/>
  <c r="M922" i="1"/>
  <c r="H927" i="1"/>
  <c r="L923" i="1"/>
  <c r="Q918" i="1"/>
  <c r="K865" i="1"/>
  <c r="O861" i="1"/>
  <c r="S857" i="1"/>
  <c r="J866" i="1"/>
  <c r="N862" i="1"/>
  <c r="R858" i="1"/>
  <c r="V854" i="1"/>
  <c r="U855" i="1"/>
  <c r="I867" i="1"/>
  <c r="L864" i="1"/>
  <c r="Q859" i="1"/>
  <c r="T856" i="1"/>
  <c r="H868" i="1"/>
  <c r="P860" i="1"/>
  <c r="M863" i="1"/>
  <c r="H1347" i="1"/>
  <c r="L1343" i="1"/>
  <c r="P1339" i="1"/>
  <c r="T1335" i="1"/>
  <c r="K1344" i="1"/>
  <c r="O1340" i="1"/>
  <c r="S1336" i="1"/>
  <c r="I1346" i="1"/>
  <c r="N1341" i="1"/>
  <c r="U1334" i="1"/>
  <c r="J1345" i="1"/>
  <c r="Q1338" i="1"/>
  <c r="M1342" i="1"/>
  <c r="V1333" i="1"/>
  <c r="R1337" i="1"/>
  <c r="K227" i="1"/>
  <c r="O223" i="1"/>
  <c r="S219" i="1"/>
  <c r="J228" i="1"/>
  <c r="N224" i="1"/>
  <c r="R220" i="1"/>
  <c r="V216" i="1"/>
  <c r="I229" i="1"/>
  <c r="L226" i="1"/>
  <c r="Q221" i="1"/>
  <c r="T218" i="1"/>
  <c r="H230" i="1"/>
  <c r="M225" i="1"/>
  <c r="P222" i="1"/>
  <c r="U217" i="1"/>
  <c r="I735" i="1"/>
  <c r="M731" i="1"/>
  <c r="Q727" i="1"/>
  <c r="U723" i="1"/>
  <c r="H736" i="1"/>
  <c r="L732" i="1"/>
  <c r="P728" i="1"/>
  <c r="T724" i="1"/>
  <c r="N730" i="1"/>
  <c r="S725" i="1"/>
  <c r="J734" i="1"/>
  <c r="O729" i="1"/>
  <c r="V722" i="1"/>
  <c r="R726" i="1"/>
  <c r="K733" i="1"/>
  <c r="K202" i="1"/>
  <c r="O198" i="1"/>
  <c r="S194" i="1"/>
  <c r="H205" i="1"/>
  <c r="L201" i="1"/>
  <c r="P197" i="1"/>
  <c r="T193" i="1"/>
  <c r="M200" i="1"/>
  <c r="U192" i="1"/>
  <c r="J203" i="1"/>
  <c r="R195" i="1"/>
  <c r="I204" i="1"/>
  <c r="Q196" i="1"/>
  <c r="V191" i="1"/>
  <c r="N199" i="1"/>
  <c r="K400" i="1"/>
  <c r="O396" i="1"/>
  <c r="S392" i="1"/>
  <c r="J401" i="1"/>
  <c r="N397" i="1"/>
  <c r="R393" i="1"/>
  <c r="V389" i="1"/>
  <c r="I402" i="1"/>
  <c r="M398" i="1"/>
  <c r="Q394" i="1"/>
  <c r="U390" i="1"/>
  <c r="T391" i="1"/>
  <c r="H403" i="1"/>
  <c r="P395" i="1"/>
  <c r="L399" i="1"/>
  <c r="H446" i="1"/>
  <c r="L442" i="1"/>
  <c r="P438" i="1"/>
  <c r="T434" i="1"/>
  <c r="K443" i="1"/>
  <c r="O439" i="1"/>
  <c r="S435" i="1"/>
  <c r="V432" i="1"/>
  <c r="J444" i="1"/>
  <c r="M441" i="1"/>
  <c r="R436" i="1"/>
  <c r="U433" i="1"/>
  <c r="N440" i="1"/>
  <c r="I445" i="1"/>
  <c r="Q437" i="1"/>
  <c r="H498" i="1"/>
  <c r="L494" i="1"/>
  <c r="P490" i="1"/>
  <c r="T486" i="1"/>
  <c r="K495" i="1"/>
  <c r="O491" i="1"/>
  <c r="S487" i="1"/>
  <c r="U485" i="1"/>
  <c r="J496" i="1"/>
  <c r="Q489" i="1"/>
  <c r="V484" i="1"/>
  <c r="M493" i="1"/>
  <c r="R488" i="1"/>
  <c r="N492" i="1"/>
  <c r="I497" i="1"/>
  <c r="H1179" i="1"/>
  <c r="L1175" i="1"/>
  <c r="P1171" i="1"/>
  <c r="T1167" i="1"/>
  <c r="K1176" i="1"/>
  <c r="O1172" i="1"/>
  <c r="S1168" i="1"/>
  <c r="J1177" i="1"/>
  <c r="N1173" i="1"/>
  <c r="R1169" i="1"/>
  <c r="V1165" i="1"/>
  <c r="I1178" i="1"/>
  <c r="M1174" i="1"/>
  <c r="Q1170" i="1"/>
  <c r="U1166" i="1"/>
  <c r="I1245" i="1"/>
  <c r="M1241" i="1"/>
  <c r="Q1237" i="1"/>
  <c r="U1233" i="1"/>
  <c r="H1246" i="1"/>
  <c r="L1242" i="1"/>
  <c r="P1238" i="1"/>
  <c r="T1234" i="1"/>
  <c r="K1243" i="1"/>
  <c r="O1239" i="1"/>
  <c r="S1235" i="1"/>
  <c r="J1244" i="1"/>
  <c r="N1240" i="1"/>
  <c r="R1236" i="1"/>
  <c r="V1232" i="1"/>
  <c r="K1102" i="1"/>
  <c r="O1098" i="1"/>
  <c r="S1094" i="1"/>
  <c r="J1103" i="1"/>
  <c r="N1099" i="1"/>
  <c r="R1095" i="1"/>
  <c r="V1091" i="1"/>
  <c r="I1104" i="1"/>
  <c r="M1100" i="1"/>
  <c r="Q1096" i="1"/>
  <c r="U1092" i="1"/>
  <c r="H1105" i="1"/>
  <c r="L1101" i="1"/>
  <c r="P1097" i="1"/>
  <c r="T1093" i="1"/>
  <c r="I686" i="1"/>
  <c r="M682" i="1"/>
  <c r="Q678" i="1"/>
  <c r="U674" i="1"/>
  <c r="H687" i="1"/>
  <c r="L683" i="1"/>
  <c r="P679" i="1"/>
  <c r="T675" i="1"/>
  <c r="K684" i="1"/>
  <c r="O680" i="1"/>
  <c r="S676" i="1"/>
  <c r="J685" i="1"/>
  <c r="N681" i="1"/>
  <c r="R677" i="1"/>
  <c r="V673" i="1"/>
  <c r="J1545" i="1"/>
  <c r="K1544" i="1"/>
  <c r="M1542" i="1"/>
  <c r="H1547" i="1"/>
  <c r="O1540" i="1"/>
  <c r="S1536" i="1"/>
  <c r="I1546" i="1"/>
  <c r="Q1538" i="1"/>
  <c r="U1534" i="1"/>
  <c r="L1543" i="1"/>
  <c r="T1535" i="1"/>
  <c r="N1541" i="1"/>
  <c r="P1539" i="1"/>
  <c r="R1537" i="1"/>
  <c r="V1533" i="1"/>
  <c r="I1620" i="1"/>
  <c r="M1616" i="1"/>
  <c r="Q1612" i="1"/>
  <c r="U1608" i="1"/>
  <c r="H1621" i="1"/>
  <c r="L1617" i="1"/>
  <c r="P1613" i="1"/>
  <c r="T1609" i="1"/>
  <c r="S1610" i="1"/>
  <c r="J1619" i="1"/>
  <c r="O1614" i="1"/>
  <c r="R1611" i="1"/>
  <c r="K1618" i="1"/>
  <c r="V1607" i="1"/>
  <c r="N1615" i="1"/>
  <c r="J484" i="1"/>
  <c r="N480" i="1"/>
  <c r="R476" i="1"/>
  <c r="V472" i="1"/>
  <c r="I485" i="1"/>
  <c r="M481" i="1"/>
  <c r="Q477" i="1"/>
  <c r="U473" i="1"/>
  <c r="O479" i="1"/>
  <c r="T474" i="1"/>
  <c r="K483" i="1"/>
  <c r="P478" i="1"/>
  <c r="L482" i="1"/>
  <c r="S475" i="1"/>
  <c r="H486" i="1"/>
  <c r="H784" i="1"/>
  <c r="L780" i="1"/>
  <c r="P776" i="1"/>
  <c r="J782" i="1"/>
  <c r="R774" i="1"/>
  <c r="V770" i="1"/>
  <c r="K781" i="1"/>
  <c r="N778" i="1"/>
  <c r="O777" i="1"/>
  <c r="I783" i="1"/>
  <c r="T772" i="1"/>
  <c r="M779" i="1"/>
  <c r="Q775" i="1"/>
  <c r="S773" i="1"/>
  <c r="U771" i="1"/>
  <c r="I773" i="1"/>
  <c r="M769" i="1"/>
  <c r="Q765" i="1"/>
  <c r="U761" i="1"/>
  <c r="K771" i="1"/>
  <c r="O767" i="1"/>
  <c r="S763" i="1"/>
  <c r="T762" i="1"/>
  <c r="H774" i="1"/>
  <c r="N768" i="1"/>
  <c r="P766" i="1"/>
  <c r="V760" i="1"/>
  <c r="J772" i="1"/>
  <c r="L770" i="1"/>
  <c r="R764" i="1"/>
  <c r="K940" i="1"/>
  <c r="O936" i="1"/>
  <c r="S932" i="1"/>
  <c r="J941" i="1"/>
  <c r="N937" i="1"/>
  <c r="R933" i="1"/>
  <c r="V929" i="1"/>
  <c r="L939" i="1"/>
  <c r="Q934" i="1"/>
  <c r="H943" i="1"/>
  <c r="M938" i="1"/>
  <c r="U930" i="1"/>
  <c r="T931" i="1"/>
  <c r="I942" i="1"/>
  <c r="P935" i="1"/>
  <c r="H1269" i="1"/>
  <c r="L1265" i="1"/>
  <c r="P1261" i="1"/>
  <c r="T1257" i="1"/>
  <c r="K1266" i="1"/>
  <c r="O1262" i="1"/>
  <c r="S1258" i="1"/>
  <c r="U1256" i="1"/>
  <c r="J1267" i="1"/>
  <c r="Q1260" i="1"/>
  <c r="V1255" i="1"/>
  <c r="M1264" i="1"/>
  <c r="I1268" i="1"/>
  <c r="N1263" i="1"/>
  <c r="R1259" i="1"/>
  <c r="H341" i="1"/>
  <c r="L337" i="1"/>
  <c r="K338" i="1"/>
  <c r="J339" i="1"/>
  <c r="N335" i="1"/>
  <c r="R331" i="1"/>
  <c r="V327" i="1"/>
  <c r="O334" i="1"/>
  <c r="M336" i="1"/>
  <c r="P333" i="1"/>
  <c r="Q332" i="1"/>
  <c r="I340" i="1"/>
  <c r="S330" i="1"/>
  <c r="T329" i="1"/>
  <c r="U328" i="1"/>
  <c r="H920" i="1"/>
  <c r="L916" i="1"/>
  <c r="P912" i="1"/>
  <c r="T908" i="1"/>
  <c r="K917" i="1"/>
  <c r="O913" i="1"/>
  <c r="S909" i="1"/>
  <c r="J918" i="1"/>
  <c r="N914" i="1"/>
  <c r="R910" i="1"/>
  <c r="V906" i="1"/>
  <c r="I919" i="1"/>
  <c r="M915" i="1"/>
  <c r="Q911" i="1"/>
  <c r="U907" i="1"/>
  <c r="K1528" i="1"/>
  <c r="I1530" i="1"/>
  <c r="M1526" i="1"/>
  <c r="Q1522" i="1"/>
  <c r="U1518" i="1"/>
  <c r="L1527" i="1"/>
  <c r="P1523" i="1"/>
  <c r="T1519" i="1"/>
  <c r="R1521" i="1"/>
  <c r="V1517" i="1"/>
  <c r="O1524" i="1"/>
  <c r="H1531" i="1"/>
  <c r="N1525" i="1"/>
  <c r="S1520" i="1"/>
  <c r="J1529" i="1"/>
  <c r="I1093" i="1"/>
  <c r="M1089" i="1"/>
  <c r="Q1085" i="1"/>
  <c r="U1081" i="1"/>
  <c r="H1094" i="1"/>
  <c r="L1090" i="1"/>
  <c r="P1086" i="1"/>
  <c r="T1082" i="1"/>
  <c r="J1092" i="1"/>
  <c r="O1087" i="1"/>
  <c r="K1091" i="1"/>
  <c r="S1083" i="1"/>
  <c r="V1080" i="1"/>
  <c r="N1088" i="1"/>
  <c r="R1084" i="1"/>
  <c r="I1429" i="1"/>
  <c r="M1425" i="1"/>
  <c r="Q1421" i="1"/>
  <c r="U1417" i="1"/>
  <c r="J1428" i="1"/>
  <c r="N1424" i="1"/>
  <c r="O1423" i="1"/>
  <c r="P1422" i="1"/>
  <c r="L1426" i="1"/>
  <c r="R1420" i="1"/>
  <c r="S1419" i="1"/>
  <c r="T1418" i="1"/>
  <c r="K1427" i="1"/>
  <c r="V1416" i="1"/>
  <c r="H1430" i="1"/>
  <c r="J344" i="1"/>
  <c r="N340" i="1"/>
  <c r="R336" i="1"/>
  <c r="V332" i="1"/>
  <c r="I345" i="1"/>
  <c r="M341" i="1"/>
  <c r="Q337" i="1"/>
  <c r="U333" i="1"/>
  <c r="H346" i="1"/>
  <c r="K343" i="1"/>
  <c r="P338" i="1"/>
  <c r="L342" i="1"/>
  <c r="O339" i="1"/>
  <c r="S335" i="1"/>
  <c r="T334" i="1"/>
  <c r="K1349" i="1"/>
  <c r="O1345" i="1"/>
  <c r="S1341" i="1"/>
  <c r="J1350" i="1"/>
  <c r="N1346" i="1"/>
  <c r="R1342" i="1"/>
  <c r="V1338" i="1"/>
  <c r="I1351" i="1"/>
  <c r="M1347" i="1"/>
  <c r="Q1343" i="1"/>
  <c r="U1339" i="1"/>
  <c r="H1352" i="1"/>
  <c r="L1348" i="1"/>
  <c r="P1344" i="1"/>
  <c r="T1340" i="1"/>
  <c r="H303" i="1"/>
  <c r="L299" i="1"/>
  <c r="P295" i="1"/>
  <c r="T291" i="1"/>
  <c r="K300" i="1"/>
  <c r="O296" i="1"/>
  <c r="S292" i="1"/>
  <c r="J301" i="1"/>
  <c r="N297" i="1"/>
  <c r="R293" i="1"/>
  <c r="V289" i="1"/>
  <c r="I302" i="1"/>
  <c r="M298" i="1"/>
  <c r="Q294" i="1"/>
  <c r="U290" i="1"/>
  <c r="H1466" i="1"/>
  <c r="L1462" i="1"/>
  <c r="P1458" i="1"/>
  <c r="T1454" i="1"/>
  <c r="K1463" i="1"/>
  <c r="O1459" i="1"/>
  <c r="S1455" i="1"/>
  <c r="Q1457" i="1"/>
  <c r="R1456" i="1"/>
  <c r="I1465" i="1"/>
  <c r="N1460" i="1"/>
  <c r="U1453" i="1"/>
  <c r="J1464" i="1"/>
  <c r="V1452" i="1"/>
  <c r="M1461" i="1"/>
  <c r="I265" i="1"/>
  <c r="M261" i="1"/>
  <c r="Q257" i="1"/>
  <c r="U253" i="1"/>
  <c r="H266" i="1"/>
  <c r="L262" i="1"/>
  <c r="P258" i="1"/>
  <c r="T254" i="1"/>
  <c r="J264" i="1"/>
  <c r="O259" i="1"/>
  <c r="V252" i="1"/>
  <c r="K263" i="1"/>
  <c r="R256" i="1"/>
  <c r="S255" i="1"/>
  <c r="N260" i="1"/>
  <c r="K1302" i="1"/>
  <c r="N1299" i="1"/>
  <c r="Q1296" i="1"/>
  <c r="V1291" i="1"/>
  <c r="O1298" i="1"/>
  <c r="R1295" i="1"/>
  <c r="L1301" i="1"/>
  <c r="U1292" i="1"/>
  <c r="I1304" i="1"/>
  <c r="M1300" i="1"/>
  <c r="P1297" i="1"/>
  <c r="J1303" i="1"/>
  <c r="S1294" i="1"/>
  <c r="H1305" i="1"/>
  <c r="T1293" i="1"/>
  <c r="K1006" i="1"/>
  <c r="O1002" i="1"/>
  <c r="I1008" i="1"/>
  <c r="H1009" i="1"/>
  <c r="L1005" i="1"/>
  <c r="P1001" i="1"/>
  <c r="M1004" i="1"/>
  <c r="T997" i="1"/>
  <c r="J1007" i="1"/>
  <c r="N1003" i="1"/>
  <c r="Q1000" i="1"/>
  <c r="S998" i="1"/>
  <c r="U996" i="1"/>
  <c r="V995" i="1"/>
  <c r="R999" i="1"/>
  <c r="J460" i="1"/>
  <c r="I461" i="1"/>
  <c r="H462" i="1"/>
  <c r="L458" i="1"/>
  <c r="P454" i="1"/>
  <c r="T450" i="1"/>
  <c r="K459" i="1"/>
  <c r="O455" i="1"/>
  <c r="S451" i="1"/>
  <c r="M457" i="1"/>
  <c r="R452" i="1"/>
  <c r="U449" i="1"/>
  <c r="N456" i="1"/>
  <c r="V448" i="1"/>
  <c r="Q453" i="1"/>
  <c r="K332" i="1"/>
  <c r="O328" i="1"/>
  <c r="S324" i="1"/>
  <c r="M330" i="1"/>
  <c r="N329" i="1"/>
  <c r="P327" i="1"/>
  <c r="Q326" i="1"/>
  <c r="R325" i="1"/>
  <c r="H335" i="1"/>
  <c r="V321" i="1"/>
  <c r="L331" i="1"/>
  <c r="I334" i="1"/>
  <c r="T323" i="1"/>
  <c r="J333" i="1"/>
  <c r="U322" i="1"/>
  <c r="J524" i="1"/>
  <c r="N520" i="1"/>
  <c r="R516" i="1"/>
  <c r="V512" i="1"/>
  <c r="I525" i="1"/>
  <c r="M521" i="1"/>
  <c r="Q517" i="1"/>
  <c r="U513" i="1"/>
  <c r="S515" i="1"/>
  <c r="H526" i="1"/>
  <c r="O519" i="1"/>
  <c r="T514" i="1"/>
  <c r="K523" i="1"/>
  <c r="L522" i="1"/>
  <c r="P518" i="1"/>
  <c r="H593" i="1"/>
  <c r="L589" i="1"/>
  <c r="P585" i="1"/>
  <c r="T581" i="1"/>
  <c r="K590" i="1"/>
  <c r="O586" i="1"/>
  <c r="S582" i="1"/>
  <c r="J591" i="1"/>
  <c r="N587" i="1"/>
  <c r="R583" i="1"/>
  <c r="V579" i="1"/>
  <c r="I592" i="1"/>
  <c r="M588" i="1"/>
  <c r="Q584" i="1"/>
  <c r="U580" i="1"/>
  <c r="H247" i="1"/>
  <c r="L243" i="1"/>
  <c r="P239" i="1"/>
  <c r="T235" i="1"/>
  <c r="K244" i="1"/>
  <c r="O240" i="1"/>
  <c r="S236" i="1"/>
  <c r="J245" i="1"/>
  <c r="I246" i="1"/>
  <c r="M242" i="1"/>
  <c r="Q238" i="1"/>
  <c r="U234" i="1"/>
  <c r="N241" i="1"/>
  <c r="V233" i="1"/>
  <c r="R237" i="1"/>
  <c r="I1028" i="1"/>
  <c r="M1024" i="1"/>
  <c r="Q1020" i="1"/>
  <c r="U1016" i="1"/>
  <c r="K1026" i="1"/>
  <c r="O1022" i="1"/>
  <c r="S1018" i="1"/>
  <c r="J1027" i="1"/>
  <c r="N1023" i="1"/>
  <c r="R1019" i="1"/>
  <c r="V1015" i="1"/>
  <c r="H1029" i="1"/>
  <c r="P1021" i="1"/>
  <c r="T1017" i="1"/>
  <c r="L1025" i="1"/>
  <c r="K1272" i="1"/>
  <c r="O1268" i="1"/>
  <c r="S1264" i="1"/>
  <c r="J1273" i="1"/>
  <c r="N1269" i="1"/>
  <c r="R1265" i="1"/>
  <c r="V1261" i="1"/>
  <c r="P1267" i="1"/>
  <c r="U1262" i="1"/>
  <c r="L1271" i="1"/>
  <c r="Q1266" i="1"/>
  <c r="H1275" i="1"/>
  <c r="T1263" i="1"/>
  <c r="M1270" i="1"/>
  <c r="I1274" i="1"/>
  <c r="I1286" i="1"/>
  <c r="M1282" i="1"/>
  <c r="Q1278" i="1"/>
  <c r="U1274" i="1"/>
  <c r="H1287" i="1"/>
  <c r="L1283" i="1"/>
  <c r="P1279" i="1"/>
  <c r="T1275" i="1"/>
  <c r="V1273" i="1"/>
  <c r="K1284" i="1"/>
  <c r="R1277" i="1"/>
  <c r="N1281" i="1"/>
  <c r="J1285" i="1"/>
  <c r="O1280" i="1"/>
  <c r="S1276" i="1"/>
  <c r="H1635" i="1"/>
  <c r="L1631" i="1"/>
  <c r="P1627" i="1"/>
  <c r="T1623" i="1"/>
  <c r="K1632" i="1"/>
  <c r="O1628" i="1"/>
  <c r="S1624" i="1"/>
  <c r="R1625" i="1"/>
  <c r="I1634" i="1"/>
  <c r="N1629" i="1"/>
  <c r="U1622" i="1"/>
  <c r="J1633" i="1"/>
  <c r="V1621" i="1"/>
  <c r="M1630" i="1"/>
  <c r="Q1626" i="1"/>
  <c r="H1391" i="1"/>
  <c r="L1387" i="1"/>
  <c r="P1383" i="1"/>
  <c r="T1379" i="1"/>
  <c r="K1388" i="1"/>
  <c r="O1384" i="1"/>
  <c r="S1380" i="1"/>
  <c r="N1385" i="1"/>
  <c r="V1377" i="1"/>
  <c r="M1386" i="1"/>
  <c r="U1378" i="1"/>
  <c r="J1389" i="1"/>
  <c r="R1381" i="1"/>
  <c r="Q1382" i="1"/>
  <c r="I1390" i="1"/>
  <c r="K548" i="1"/>
  <c r="O544" i="1"/>
  <c r="S540" i="1"/>
  <c r="J549" i="1"/>
  <c r="N545" i="1"/>
  <c r="R541" i="1"/>
  <c r="V537" i="1"/>
  <c r="I550" i="1"/>
  <c r="M546" i="1"/>
  <c r="Q542" i="1"/>
  <c r="U538" i="1"/>
  <c r="H551" i="1"/>
  <c r="L547" i="1"/>
  <c r="P543" i="1"/>
  <c r="T539" i="1"/>
  <c r="I671" i="1"/>
  <c r="M667" i="1"/>
  <c r="Q663" i="1"/>
  <c r="U659" i="1"/>
  <c r="H672" i="1"/>
  <c r="L668" i="1"/>
  <c r="P664" i="1"/>
  <c r="T660" i="1"/>
  <c r="N666" i="1"/>
  <c r="S661" i="1"/>
  <c r="J670" i="1"/>
  <c r="O665" i="1"/>
  <c r="V658" i="1"/>
  <c r="R662" i="1"/>
  <c r="K669" i="1"/>
  <c r="H1451" i="1"/>
  <c r="L1447" i="1"/>
  <c r="P1443" i="1"/>
  <c r="T1439" i="1"/>
  <c r="K1448" i="1"/>
  <c r="I1450" i="1"/>
  <c r="M1446" i="1"/>
  <c r="Q1442" i="1"/>
  <c r="U1438" i="1"/>
  <c r="R1441" i="1"/>
  <c r="O1444" i="1"/>
  <c r="N1445" i="1"/>
  <c r="V1437" i="1"/>
  <c r="J1449" i="1"/>
  <c r="S1440" i="1"/>
  <c r="I809" i="1"/>
  <c r="M805" i="1"/>
  <c r="Q801" i="1"/>
  <c r="U797" i="1"/>
  <c r="L806" i="1"/>
  <c r="O803" i="1"/>
  <c r="V796" i="1"/>
  <c r="P802" i="1"/>
  <c r="S799" i="1"/>
  <c r="T798" i="1"/>
  <c r="N804" i="1"/>
  <c r="K807" i="1"/>
  <c r="H810" i="1"/>
  <c r="J808" i="1"/>
  <c r="R800" i="1"/>
  <c r="I1141" i="1"/>
  <c r="M1137" i="1"/>
  <c r="Q1133" i="1"/>
  <c r="U1129" i="1"/>
  <c r="H1142" i="1"/>
  <c r="L1138" i="1"/>
  <c r="P1134" i="1"/>
  <c r="T1130" i="1"/>
  <c r="R1132" i="1"/>
  <c r="N1136" i="1"/>
  <c r="S1131" i="1"/>
  <c r="J1140" i="1"/>
  <c r="V1128" i="1"/>
  <c r="K1139" i="1"/>
  <c r="O1135" i="1"/>
  <c r="K1557" i="1"/>
  <c r="O1553" i="1"/>
  <c r="S1549" i="1"/>
  <c r="U1547" i="1"/>
  <c r="M1555" i="1"/>
  <c r="P1552" i="1"/>
  <c r="L1556" i="1"/>
  <c r="T1548" i="1"/>
  <c r="I1559" i="1"/>
  <c r="R1550" i="1"/>
  <c r="H1560" i="1"/>
  <c r="Q1551" i="1"/>
  <c r="V1546" i="1"/>
  <c r="J1558" i="1"/>
  <c r="N1554" i="1"/>
  <c r="H897" i="1"/>
  <c r="L893" i="1"/>
  <c r="P889" i="1"/>
  <c r="T885" i="1"/>
  <c r="K894" i="1"/>
  <c r="O890" i="1"/>
  <c r="M892" i="1"/>
  <c r="I896" i="1"/>
  <c r="R887" i="1"/>
  <c r="U884" i="1"/>
  <c r="N891" i="1"/>
  <c r="S886" i="1"/>
  <c r="V883" i="1"/>
  <c r="Q888" i="1"/>
  <c r="J895" i="1"/>
  <c r="H606" i="1"/>
  <c r="L602" i="1"/>
  <c r="K603" i="1"/>
  <c r="O599" i="1"/>
  <c r="S595" i="1"/>
  <c r="N600" i="1"/>
  <c r="J604" i="1"/>
  <c r="V592" i="1"/>
  <c r="T594" i="1"/>
  <c r="M601" i="1"/>
  <c r="P598" i="1"/>
  <c r="Q597" i="1"/>
  <c r="I605" i="1"/>
  <c r="R596" i="1"/>
  <c r="U593" i="1"/>
  <c r="G125" i="1"/>
  <c r="K121" i="1"/>
  <c r="O117" i="1"/>
  <c r="S113" i="1"/>
  <c r="J122" i="1"/>
  <c r="N118" i="1"/>
  <c r="R114" i="1"/>
  <c r="V110" i="1"/>
  <c r="I123" i="1"/>
  <c r="M119" i="1"/>
  <c r="Q115" i="1"/>
  <c r="U111" i="1"/>
  <c r="H124" i="1"/>
  <c r="T112" i="1"/>
  <c r="L120" i="1"/>
  <c r="P116" i="1"/>
  <c r="J58" i="1"/>
  <c r="N54" i="1"/>
  <c r="R50" i="1"/>
  <c r="V46" i="1"/>
  <c r="O53" i="1"/>
  <c r="I59" i="1"/>
  <c r="L56" i="1"/>
  <c r="H60" i="1"/>
  <c r="S49" i="1"/>
  <c r="M55" i="1"/>
  <c r="P52" i="1"/>
  <c r="Q51" i="1"/>
  <c r="T48" i="1"/>
  <c r="K57" i="1"/>
  <c r="U47" i="1"/>
  <c r="H1721" i="1"/>
  <c r="L1717" i="1"/>
  <c r="P1713" i="1"/>
  <c r="T1709" i="1"/>
  <c r="K1718" i="1"/>
  <c r="O1714" i="1"/>
  <c r="S1710" i="1"/>
  <c r="J1719" i="1"/>
  <c r="N1715" i="1"/>
  <c r="R1711" i="1"/>
  <c r="V1707" i="1"/>
  <c r="I1720" i="1"/>
  <c r="M1716" i="1"/>
  <c r="Q1712" i="1"/>
  <c r="U1708" i="1"/>
  <c r="J818" i="1"/>
  <c r="N814" i="1"/>
  <c r="R810" i="1"/>
  <c r="V806" i="1"/>
  <c r="H820" i="1"/>
  <c r="I819" i="1"/>
  <c r="S809" i="1"/>
  <c r="K817" i="1"/>
  <c r="P812" i="1"/>
  <c r="Q811" i="1"/>
  <c r="T808" i="1"/>
  <c r="M815" i="1"/>
  <c r="O813" i="1"/>
  <c r="L816" i="1"/>
  <c r="U807" i="1"/>
  <c r="J834" i="1"/>
  <c r="N830" i="1"/>
  <c r="R826" i="1"/>
  <c r="V822" i="1"/>
  <c r="H836" i="1"/>
  <c r="M831" i="1"/>
  <c r="P828" i="1"/>
  <c r="Q827" i="1"/>
  <c r="L832" i="1"/>
  <c r="S825" i="1"/>
  <c r="U823" i="1"/>
  <c r="K833" i="1"/>
  <c r="I835" i="1"/>
  <c r="T824" i="1"/>
  <c r="O829" i="1"/>
  <c r="I1117" i="1"/>
  <c r="M1113" i="1"/>
  <c r="Q1109" i="1"/>
  <c r="U1105" i="1"/>
  <c r="H1118" i="1"/>
  <c r="L1114" i="1"/>
  <c r="P1110" i="1"/>
  <c r="T1106" i="1"/>
  <c r="V1104" i="1"/>
  <c r="K1115" i="1"/>
  <c r="R1108" i="1"/>
  <c r="N1112" i="1"/>
  <c r="J1116" i="1"/>
  <c r="O1111" i="1"/>
  <c r="S1107" i="1"/>
  <c r="H968" i="1"/>
  <c r="L964" i="1"/>
  <c r="P960" i="1"/>
  <c r="T956" i="1"/>
  <c r="K965" i="1"/>
  <c r="O961" i="1"/>
  <c r="S957" i="1"/>
  <c r="J966" i="1"/>
  <c r="N962" i="1"/>
  <c r="R958" i="1"/>
  <c r="V954" i="1"/>
  <c r="I967" i="1"/>
  <c r="M963" i="1"/>
  <c r="Q959" i="1"/>
  <c r="U955" i="1"/>
  <c r="H1235" i="1"/>
  <c r="I1234" i="1"/>
  <c r="T1223" i="1"/>
  <c r="J1233" i="1"/>
  <c r="K1232" i="1"/>
  <c r="N1229" i="1"/>
  <c r="Q1226" i="1"/>
  <c r="S1224" i="1"/>
  <c r="O1228" i="1"/>
  <c r="L1231" i="1"/>
  <c r="R1225" i="1"/>
  <c r="V1221" i="1"/>
  <c r="P1227" i="1"/>
  <c r="U1222" i="1"/>
  <c r="M1230" i="1"/>
  <c r="H1396" i="1"/>
  <c r="L1392" i="1"/>
  <c r="P1388" i="1"/>
  <c r="T1384" i="1"/>
  <c r="K1393" i="1"/>
  <c r="O1389" i="1"/>
  <c r="S1385" i="1"/>
  <c r="R1386" i="1"/>
  <c r="Q1387" i="1"/>
  <c r="I1395" i="1"/>
  <c r="N1390" i="1"/>
  <c r="V1382" i="1"/>
  <c r="M1391" i="1"/>
  <c r="J1394" i="1"/>
  <c r="U1383" i="1"/>
  <c r="H514" i="1"/>
  <c r="L510" i="1"/>
  <c r="P506" i="1"/>
  <c r="T502" i="1"/>
  <c r="K511" i="1"/>
  <c r="O507" i="1"/>
  <c r="S503" i="1"/>
  <c r="M509" i="1"/>
  <c r="R504" i="1"/>
  <c r="I513" i="1"/>
  <c r="N508" i="1"/>
  <c r="U501" i="1"/>
  <c r="V500" i="1"/>
  <c r="Q505" i="1"/>
  <c r="J512" i="1"/>
  <c r="J857" i="1"/>
  <c r="I858" i="1"/>
  <c r="M854" i="1"/>
  <c r="K856" i="1"/>
  <c r="O852" i="1"/>
  <c r="S848" i="1"/>
  <c r="N853" i="1"/>
  <c r="Q850" i="1"/>
  <c r="T847" i="1"/>
  <c r="R849" i="1"/>
  <c r="U846" i="1"/>
  <c r="L855" i="1"/>
  <c r="V845" i="1"/>
  <c r="P851" i="1"/>
  <c r="H859" i="1"/>
  <c r="I1053" i="1"/>
  <c r="M1049" i="1"/>
  <c r="Q1045" i="1"/>
  <c r="U1041" i="1"/>
  <c r="H1054" i="1"/>
  <c r="L1050" i="1"/>
  <c r="P1046" i="1"/>
  <c r="T1042" i="1"/>
  <c r="O1047" i="1"/>
  <c r="R1044" i="1"/>
  <c r="K1051" i="1"/>
  <c r="N1048" i="1"/>
  <c r="J1052" i="1"/>
  <c r="V1040" i="1"/>
  <c r="S1043" i="1"/>
  <c r="H280" i="1"/>
  <c r="L276" i="1"/>
  <c r="P272" i="1"/>
  <c r="T268" i="1"/>
  <c r="K277" i="1"/>
  <c r="O273" i="1"/>
  <c r="S269" i="1"/>
  <c r="I279" i="1"/>
  <c r="N274" i="1"/>
  <c r="U267" i="1"/>
  <c r="J278" i="1"/>
  <c r="Q271" i="1"/>
  <c r="V266" i="1"/>
  <c r="M275" i="1"/>
  <c r="R270" i="1"/>
  <c r="J556" i="1"/>
  <c r="N552" i="1"/>
  <c r="R548" i="1"/>
  <c r="V544" i="1"/>
  <c r="I557" i="1"/>
  <c r="M553" i="1"/>
  <c r="Q549" i="1"/>
  <c r="U545" i="1"/>
  <c r="S547" i="1"/>
  <c r="H558" i="1"/>
  <c r="O551" i="1"/>
  <c r="T546" i="1"/>
  <c r="K555" i="1"/>
  <c r="P550" i="1"/>
  <c r="L554" i="1"/>
  <c r="I663" i="1"/>
  <c r="M659" i="1"/>
  <c r="Q655" i="1"/>
  <c r="U651" i="1"/>
  <c r="H664" i="1"/>
  <c r="L660" i="1"/>
  <c r="P656" i="1"/>
  <c r="T652" i="1"/>
  <c r="J662" i="1"/>
  <c r="O657" i="1"/>
  <c r="V650" i="1"/>
  <c r="K661" i="1"/>
  <c r="R654" i="1"/>
  <c r="N658" i="1"/>
  <c r="S653" i="1"/>
  <c r="J1205" i="1"/>
  <c r="N1201" i="1"/>
  <c r="R1197" i="1"/>
  <c r="V1193" i="1"/>
  <c r="I1206" i="1"/>
  <c r="M1202" i="1"/>
  <c r="Q1198" i="1"/>
  <c r="U1194" i="1"/>
  <c r="H1207" i="1"/>
  <c r="L1203" i="1"/>
  <c r="P1199" i="1"/>
  <c r="T1195" i="1"/>
  <c r="K1204" i="1"/>
  <c r="O1200" i="1"/>
  <c r="S1196" i="1"/>
  <c r="I748" i="1"/>
  <c r="M744" i="1"/>
  <c r="Q740" i="1"/>
  <c r="H749" i="1"/>
  <c r="L745" i="1"/>
  <c r="P741" i="1"/>
  <c r="K746" i="1"/>
  <c r="T737" i="1"/>
  <c r="S738" i="1"/>
  <c r="N743" i="1"/>
  <c r="V735" i="1"/>
  <c r="U736" i="1"/>
  <c r="J747" i="1"/>
  <c r="R739" i="1"/>
  <c r="O742" i="1"/>
  <c r="K307" i="1"/>
  <c r="O303" i="1"/>
  <c r="S299" i="1"/>
  <c r="J308" i="1"/>
  <c r="N304" i="1"/>
  <c r="R300" i="1"/>
  <c r="V296" i="1"/>
  <c r="P302" i="1"/>
  <c r="U297" i="1"/>
  <c r="L306" i="1"/>
  <c r="Q301" i="1"/>
  <c r="H310" i="1"/>
  <c r="M305" i="1"/>
  <c r="I309" i="1"/>
  <c r="T298" i="1"/>
  <c r="I233" i="1"/>
  <c r="M229" i="1"/>
  <c r="Q225" i="1"/>
  <c r="U221" i="1"/>
  <c r="H234" i="1"/>
  <c r="L230" i="1"/>
  <c r="P226" i="1"/>
  <c r="T222" i="1"/>
  <c r="O227" i="1"/>
  <c r="R224" i="1"/>
  <c r="K231" i="1"/>
  <c r="N228" i="1"/>
  <c r="S223" i="1"/>
  <c r="V220" i="1"/>
  <c r="J232" i="1"/>
  <c r="K995" i="1"/>
  <c r="O991" i="1"/>
  <c r="S987" i="1"/>
  <c r="J996" i="1"/>
  <c r="N992" i="1"/>
  <c r="R988" i="1"/>
  <c r="V984" i="1"/>
  <c r="I997" i="1"/>
  <c r="M993" i="1"/>
  <c r="Q989" i="1"/>
  <c r="U985" i="1"/>
  <c r="H998" i="1"/>
  <c r="L994" i="1"/>
  <c r="P990" i="1"/>
  <c r="T986" i="1"/>
  <c r="K1071" i="1"/>
  <c r="O1067" i="1"/>
  <c r="S1063" i="1"/>
  <c r="J1072" i="1"/>
  <c r="N1068" i="1"/>
  <c r="R1064" i="1"/>
  <c r="V1060" i="1"/>
  <c r="I1073" i="1"/>
  <c r="L1070" i="1"/>
  <c r="Q1065" i="1"/>
  <c r="T1062" i="1"/>
  <c r="H1074" i="1"/>
  <c r="M1069" i="1"/>
  <c r="U1061" i="1"/>
  <c r="P1066" i="1"/>
  <c r="J1564" i="1"/>
  <c r="N1560" i="1"/>
  <c r="R1556" i="1"/>
  <c r="V1552" i="1"/>
  <c r="H1566" i="1"/>
  <c r="P1558" i="1"/>
  <c r="O1559" i="1"/>
  <c r="L1562" i="1"/>
  <c r="T1554" i="1"/>
  <c r="K1563" i="1"/>
  <c r="S1555" i="1"/>
  <c r="I1565" i="1"/>
  <c r="U1553" i="1"/>
  <c r="Q1557" i="1"/>
  <c r="M1561" i="1"/>
  <c r="K1031" i="1"/>
  <c r="O1027" i="1"/>
  <c r="S1023" i="1"/>
  <c r="J1032" i="1"/>
  <c r="N1028" i="1"/>
  <c r="R1024" i="1"/>
  <c r="V1020" i="1"/>
  <c r="U1021" i="1"/>
  <c r="I1033" i="1"/>
  <c r="L1030" i="1"/>
  <c r="Q1025" i="1"/>
  <c r="T1022" i="1"/>
  <c r="H1034" i="1"/>
  <c r="M1029" i="1"/>
  <c r="P1026" i="1"/>
  <c r="G120" i="1"/>
  <c r="I118" i="1"/>
  <c r="M114" i="1"/>
  <c r="Q110" i="1"/>
  <c r="U106" i="1"/>
  <c r="H119" i="1"/>
  <c r="L115" i="1"/>
  <c r="P111" i="1"/>
  <c r="T107" i="1"/>
  <c r="K116" i="1"/>
  <c r="O112" i="1"/>
  <c r="S108" i="1"/>
  <c r="N113" i="1"/>
  <c r="J117" i="1"/>
  <c r="V105" i="1"/>
  <c r="R109" i="1"/>
  <c r="K105" i="1"/>
  <c r="O101" i="1"/>
  <c r="S97" i="1"/>
  <c r="J106" i="1"/>
  <c r="N102" i="1"/>
  <c r="R98" i="1"/>
  <c r="V94" i="1"/>
  <c r="I107" i="1"/>
  <c r="M103" i="1"/>
  <c r="Q99" i="1"/>
  <c r="U95" i="1"/>
  <c r="P100" i="1"/>
  <c r="T96" i="1"/>
  <c r="L104" i="1"/>
  <c r="H108" i="1"/>
  <c r="K1692" i="1"/>
  <c r="O1688" i="1"/>
  <c r="S1684" i="1"/>
  <c r="J1693" i="1"/>
  <c r="N1689" i="1"/>
  <c r="R1685" i="1"/>
  <c r="V1681" i="1"/>
  <c r="I1694" i="1"/>
  <c r="M1690" i="1"/>
  <c r="Q1686" i="1"/>
  <c r="U1682" i="1"/>
  <c r="H1695" i="1"/>
  <c r="L1691" i="1"/>
  <c r="P1687" i="1"/>
  <c r="T1683" i="1"/>
  <c r="J1724" i="1"/>
  <c r="N1720" i="1"/>
  <c r="R1716" i="1"/>
  <c r="V1712" i="1"/>
  <c r="I1725" i="1"/>
  <c r="M1721" i="1"/>
  <c r="Q1717" i="1"/>
  <c r="U1713" i="1"/>
  <c r="H1726" i="1"/>
  <c r="L1722" i="1"/>
  <c r="P1718" i="1"/>
  <c r="T1714" i="1"/>
  <c r="S1715" i="1"/>
  <c r="O1719" i="1"/>
  <c r="K1723" i="1"/>
  <c r="J1708" i="1"/>
  <c r="N1704" i="1"/>
  <c r="R1700" i="1"/>
  <c r="V1696" i="1"/>
  <c r="I1709" i="1"/>
  <c r="M1705" i="1"/>
  <c r="Q1701" i="1"/>
  <c r="U1697" i="1"/>
  <c r="H1710" i="1"/>
  <c r="L1706" i="1"/>
  <c r="P1702" i="1"/>
  <c r="T1698" i="1"/>
  <c r="O1703" i="1"/>
  <c r="K1707" i="1"/>
  <c r="S1699" i="1"/>
  <c r="J209" i="1"/>
  <c r="N205" i="1"/>
  <c r="R201" i="1"/>
  <c r="V197" i="1"/>
  <c r="K208" i="1"/>
  <c r="O204" i="1"/>
  <c r="S200" i="1"/>
  <c r="H211" i="1"/>
  <c r="P203" i="1"/>
  <c r="M206" i="1"/>
  <c r="U198" i="1"/>
  <c r="L207" i="1"/>
  <c r="T199" i="1"/>
  <c r="Q202" i="1"/>
  <c r="I210" i="1"/>
  <c r="I1012" i="1"/>
  <c r="M1008" i="1"/>
  <c r="Q1004" i="1"/>
  <c r="U1000" i="1"/>
  <c r="K1010" i="1"/>
  <c r="J1011" i="1"/>
  <c r="N1007" i="1"/>
  <c r="R1003" i="1"/>
  <c r="V999" i="1"/>
  <c r="O1006" i="1"/>
  <c r="H1013" i="1"/>
  <c r="P1005" i="1"/>
  <c r="S1002" i="1"/>
  <c r="T1001" i="1"/>
  <c r="L1009" i="1"/>
  <c r="I241" i="1"/>
  <c r="M237" i="1"/>
  <c r="Q233" i="1"/>
  <c r="U229" i="1"/>
  <c r="H242" i="1"/>
  <c r="L238" i="1"/>
  <c r="P234" i="1"/>
  <c r="T230" i="1"/>
  <c r="S231" i="1"/>
  <c r="V228" i="1"/>
  <c r="J240" i="1"/>
  <c r="O235" i="1"/>
  <c r="R232" i="1"/>
  <c r="N236" i="1"/>
  <c r="K239" i="1"/>
  <c r="K948" i="1"/>
  <c r="O944" i="1"/>
  <c r="S940" i="1"/>
  <c r="J949" i="1"/>
  <c r="N945" i="1"/>
  <c r="R941" i="1"/>
  <c r="V937" i="1"/>
  <c r="P943" i="1"/>
  <c r="U938" i="1"/>
  <c r="L947" i="1"/>
  <c r="Q942" i="1"/>
  <c r="I950" i="1"/>
  <c r="H951" i="1"/>
  <c r="T939" i="1"/>
  <c r="M946" i="1"/>
  <c r="I977" i="1"/>
  <c r="M973" i="1"/>
  <c r="Q969" i="1"/>
  <c r="U965" i="1"/>
  <c r="H978" i="1"/>
  <c r="L974" i="1"/>
  <c r="P970" i="1"/>
  <c r="T966" i="1"/>
  <c r="K975" i="1"/>
  <c r="O971" i="1"/>
  <c r="S967" i="1"/>
  <c r="J976" i="1"/>
  <c r="N972" i="1"/>
  <c r="R968" i="1"/>
  <c r="V964" i="1"/>
  <c r="K1378" i="1"/>
  <c r="O1374" i="1"/>
  <c r="S1370" i="1"/>
  <c r="J1379" i="1"/>
  <c r="N1375" i="1"/>
  <c r="R1371" i="1"/>
  <c r="V1367" i="1"/>
  <c r="I1380" i="1"/>
  <c r="Q1372" i="1"/>
  <c r="H1381" i="1"/>
  <c r="P1373" i="1"/>
  <c r="M1376" i="1"/>
  <c r="U1368" i="1"/>
  <c r="T1369" i="1"/>
  <c r="L1377" i="1"/>
  <c r="J1125" i="1"/>
  <c r="N1121" i="1"/>
  <c r="R1117" i="1"/>
  <c r="V1113" i="1"/>
  <c r="I1126" i="1"/>
  <c r="M1122" i="1"/>
  <c r="Q1118" i="1"/>
  <c r="U1114" i="1"/>
  <c r="H1127" i="1"/>
  <c r="L1123" i="1"/>
  <c r="P1119" i="1"/>
  <c r="T1115" i="1"/>
  <c r="K1124" i="1"/>
  <c r="O1120" i="1"/>
  <c r="S1116" i="1"/>
  <c r="K689" i="1"/>
  <c r="O685" i="1"/>
  <c r="S681" i="1"/>
  <c r="J690" i="1"/>
  <c r="N686" i="1"/>
  <c r="R682" i="1"/>
  <c r="V678" i="1"/>
  <c r="H692" i="1"/>
  <c r="M687" i="1"/>
  <c r="T680" i="1"/>
  <c r="I691" i="1"/>
  <c r="P684" i="1"/>
  <c r="L688" i="1"/>
  <c r="U679" i="1"/>
  <c r="Q683" i="1"/>
  <c r="I1132" i="1"/>
  <c r="M1128" i="1"/>
  <c r="Q1124" i="1"/>
  <c r="U1120" i="1"/>
  <c r="H1133" i="1"/>
  <c r="L1129" i="1"/>
  <c r="P1125" i="1"/>
  <c r="T1121" i="1"/>
  <c r="K1130" i="1"/>
  <c r="O1126" i="1"/>
  <c r="S1122" i="1"/>
  <c r="J1131" i="1"/>
  <c r="N1127" i="1"/>
  <c r="R1123" i="1"/>
  <c r="V1119" i="1"/>
  <c r="K1198" i="1"/>
  <c r="O1194" i="1"/>
  <c r="S1190" i="1"/>
  <c r="J1199" i="1"/>
  <c r="N1195" i="1"/>
  <c r="R1191" i="1"/>
  <c r="V1187" i="1"/>
  <c r="I1200" i="1"/>
  <c r="M1196" i="1"/>
  <c r="Q1192" i="1"/>
  <c r="U1188" i="1"/>
  <c r="H1201" i="1"/>
  <c r="L1197" i="1"/>
  <c r="P1193" i="1"/>
  <c r="T1189" i="1"/>
  <c r="K251" i="1"/>
  <c r="O247" i="1"/>
  <c r="S243" i="1"/>
  <c r="J252" i="1"/>
  <c r="N248" i="1"/>
  <c r="R244" i="1"/>
  <c r="V240" i="1"/>
  <c r="U241" i="1"/>
  <c r="I253" i="1"/>
  <c r="P246" i="1"/>
  <c r="T242" i="1"/>
  <c r="L250" i="1"/>
  <c r="Q245" i="1"/>
  <c r="M249" i="1"/>
  <c r="H254" i="1"/>
  <c r="K1110" i="1"/>
  <c r="O1106" i="1"/>
  <c r="S1102" i="1"/>
  <c r="J1111" i="1"/>
  <c r="N1107" i="1"/>
  <c r="R1103" i="1"/>
  <c r="V1099" i="1"/>
  <c r="I1112" i="1"/>
  <c r="M1108" i="1"/>
  <c r="Q1104" i="1"/>
  <c r="U1100" i="1"/>
  <c r="H1113" i="1"/>
  <c r="L1109" i="1"/>
  <c r="P1105" i="1"/>
  <c r="T1101" i="1"/>
  <c r="I1480" i="1"/>
  <c r="M1476" i="1"/>
  <c r="Q1472" i="1"/>
  <c r="U1468" i="1"/>
  <c r="L1477" i="1"/>
  <c r="N1475" i="1"/>
  <c r="O1474" i="1"/>
  <c r="J1479" i="1"/>
  <c r="T1469" i="1"/>
  <c r="K1478" i="1"/>
  <c r="V1467" i="1"/>
  <c r="H1481" i="1"/>
  <c r="R1471" i="1"/>
  <c r="P1473" i="1"/>
  <c r="S1470" i="1"/>
  <c r="I467" i="1"/>
  <c r="M463" i="1"/>
  <c r="H468" i="1"/>
  <c r="L464" i="1"/>
  <c r="P460" i="1"/>
  <c r="N462" i="1"/>
  <c r="S457" i="1"/>
  <c r="J466" i="1"/>
  <c r="O461" i="1"/>
  <c r="R458" i="1"/>
  <c r="V454" i="1"/>
  <c r="K465" i="1"/>
  <c r="Q459" i="1"/>
  <c r="T456" i="1"/>
  <c r="U455" i="1"/>
  <c r="J1612" i="1"/>
  <c r="N1608" i="1"/>
  <c r="R1604" i="1"/>
  <c r="I1613" i="1"/>
  <c r="M1609" i="1"/>
  <c r="Q1605" i="1"/>
  <c r="K1611" i="1"/>
  <c r="U1601" i="1"/>
  <c r="L1610" i="1"/>
  <c r="O1607" i="1"/>
  <c r="T1602" i="1"/>
  <c r="P1606" i="1"/>
  <c r="S1603" i="1"/>
  <c r="V1600" i="1"/>
  <c r="H1614" i="1"/>
  <c r="K609" i="1"/>
  <c r="O605" i="1"/>
  <c r="S601" i="1"/>
  <c r="J610" i="1"/>
  <c r="N606" i="1"/>
  <c r="R602" i="1"/>
  <c r="V598" i="1"/>
  <c r="P604" i="1"/>
  <c r="L608" i="1"/>
  <c r="Q603" i="1"/>
  <c r="U599" i="1"/>
  <c r="H612" i="1"/>
  <c r="T600" i="1"/>
  <c r="I611" i="1"/>
  <c r="M607" i="1"/>
  <c r="H562" i="1"/>
  <c r="L558" i="1"/>
  <c r="P554" i="1"/>
  <c r="T550" i="1"/>
  <c r="K559" i="1"/>
  <c r="O555" i="1"/>
  <c r="S551" i="1"/>
  <c r="U549" i="1"/>
  <c r="J560" i="1"/>
  <c r="Q553" i="1"/>
  <c r="V548" i="1"/>
  <c r="M557" i="1"/>
  <c r="N556" i="1"/>
  <c r="I561" i="1"/>
  <c r="R552" i="1"/>
  <c r="I330" i="1"/>
  <c r="M326" i="1"/>
  <c r="R321" i="1"/>
  <c r="V317" i="1"/>
  <c r="H331" i="1"/>
  <c r="Q322" i="1"/>
  <c r="U318" i="1"/>
  <c r="J329" i="1"/>
  <c r="K328" i="1"/>
  <c r="L327" i="1"/>
  <c r="T319" i="1"/>
  <c r="N325" i="1"/>
  <c r="S320" i="1"/>
  <c r="O324" i="1"/>
  <c r="P323" i="1"/>
  <c r="J1340" i="1"/>
  <c r="N1336" i="1"/>
  <c r="R1332" i="1"/>
  <c r="V1328" i="1"/>
  <c r="I1341" i="1"/>
  <c r="M1337" i="1"/>
  <c r="Q1333" i="1"/>
  <c r="U1329" i="1"/>
  <c r="H1342" i="1"/>
  <c r="L1338" i="1"/>
  <c r="P1334" i="1"/>
  <c r="T1330" i="1"/>
  <c r="K1339" i="1"/>
  <c r="O1335" i="1"/>
  <c r="S1331" i="1"/>
  <c r="H397" i="1"/>
  <c r="L393" i="1"/>
  <c r="P389" i="1"/>
  <c r="T385" i="1"/>
  <c r="K394" i="1"/>
  <c r="O390" i="1"/>
  <c r="S386" i="1"/>
  <c r="J395" i="1"/>
  <c r="N391" i="1"/>
  <c r="R387" i="1"/>
  <c r="V383" i="1"/>
  <c r="I396" i="1"/>
  <c r="Q388" i="1"/>
  <c r="U384" i="1"/>
  <c r="M392" i="1"/>
  <c r="K541" i="1"/>
  <c r="O537" i="1"/>
  <c r="S533" i="1"/>
  <c r="J542" i="1"/>
  <c r="N538" i="1"/>
  <c r="R534" i="1"/>
  <c r="V530" i="1"/>
  <c r="T532" i="1"/>
  <c r="I543" i="1"/>
  <c r="P536" i="1"/>
  <c r="U531" i="1"/>
  <c r="L540" i="1"/>
  <c r="M539" i="1"/>
  <c r="H544" i="1"/>
  <c r="Q535" i="1"/>
  <c r="K377" i="1"/>
  <c r="O373" i="1"/>
  <c r="S369" i="1"/>
  <c r="J378" i="1"/>
  <c r="N374" i="1"/>
  <c r="R370" i="1"/>
  <c r="V366" i="1"/>
  <c r="L376" i="1"/>
  <c r="Q371" i="1"/>
  <c r="T368" i="1"/>
  <c r="H380" i="1"/>
  <c r="M375" i="1"/>
  <c r="U367" i="1"/>
  <c r="I379" i="1"/>
  <c r="P372" i="1"/>
  <c r="J96" i="1"/>
  <c r="N92" i="1"/>
  <c r="R88" i="1"/>
  <c r="V84" i="1"/>
  <c r="I97" i="1"/>
  <c r="M93" i="1"/>
  <c r="Q89" i="1"/>
  <c r="U85" i="1"/>
  <c r="H98" i="1"/>
  <c r="L94" i="1"/>
  <c r="P90" i="1"/>
  <c r="T86" i="1"/>
  <c r="S87" i="1"/>
  <c r="O91" i="1"/>
  <c r="K95" i="1"/>
  <c r="K767" i="1"/>
  <c r="O763" i="1"/>
  <c r="S759" i="1"/>
  <c r="I769" i="1"/>
  <c r="M765" i="1"/>
  <c r="Q761" i="1"/>
  <c r="U757" i="1"/>
  <c r="H770" i="1"/>
  <c r="V756" i="1"/>
  <c r="J768" i="1"/>
  <c r="P762" i="1"/>
  <c r="R760" i="1"/>
  <c r="L766" i="1"/>
  <c r="N764" i="1"/>
  <c r="T758" i="1"/>
  <c r="I491" i="1"/>
  <c r="M487" i="1"/>
  <c r="Q483" i="1"/>
  <c r="U479" i="1"/>
  <c r="H492" i="1"/>
  <c r="L488" i="1"/>
  <c r="P484" i="1"/>
  <c r="T480" i="1"/>
  <c r="J490" i="1"/>
  <c r="O485" i="1"/>
  <c r="V478" i="1"/>
  <c r="K489" i="1"/>
  <c r="R482" i="1"/>
  <c r="S481" i="1"/>
  <c r="N486" i="1"/>
  <c r="K219" i="1"/>
  <c r="O215" i="1"/>
  <c r="S211" i="1"/>
  <c r="J220" i="1"/>
  <c r="N216" i="1"/>
  <c r="R212" i="1"/>
  <c r="V208" i="1"/>
  <c r="H222" i="1"/>
  <c r="U209" i="1"/>
  <c r="M217" i="1"/>
  <c r="P214" i="1"/>
  <c r="T210" i="1"/>
  <c r="I221" i="1"/>
  <c r="L218" i="1"/>
  <c r="Q213" i="1"/>
  <c r="J1438" i="1"/>
  <c r="N1434" i="1"/>
  <c r="R1430" i="1"/>
  <c r="V1426" i="1"/>
  <c r="K1437" i="1"/>
  <c r="O1433" i="1"/>
  <c r="S1429" i="1"/>
  <c r="L1436" i="1"/>
  <c r="T1428" i="1"/>
  <c r="I1439" i="1"/>
  <c r="Q1431" i="1"/>
  <c r="H1440" i="1"/>
  <c r="P1432" i="1"/>
  <c r="U1427" i="1"/>
  <c r="M1435" i="1"/>
  <c r="I1315" i="1"/>
  <c r="M1311" i="1"/>
  <c r="Q1307" i="1"/>
  <c r="U1303" i="1"/>
  <c r="H1316" i="1"/>
  <c r="L1312" i="1"/>
  <c r="P1308" i="1"/>
  <c r="K1313" i="1"/>
  <c r="O1309" i="1"/>
  <c r="S1305" i="1"/>
  <c r="J1314" i="1"/>
  <c r="N1310" i="1"/>
  <c r="R1306" i="1"/>
  <c r="V1302" i="1"/>
  <c r="T1304" i="1"/>
  <c r="I272" i="1"/>
  <c r="M268" i="1"/>
  <c r="Q264" i="1"/>
  <c r="U260" i="1"/>
  <c r="H273" i="1"/>
  <c r="L269" i="1"/>
  <c r="P265" i="1"/>
  <c r="T261" i="1"/>
  <c r="K270" i="1"/>
  <c r="O266" i="1"/>
  <c r="S262" i="1"/>
  <c r="J271" i="1"/>
  <c r="N267" i="1"/>
  <c r="R263" i="1"/>
  <c r="V259" i="1"/>
  <c r="K1086" i="1"/>
  <c r="O1082" i="1"/>
  <c r="S1078" i="1"/>
  <c r="J1087" i="1"/>
  <c r="I1088" i="1"/>
  <c r="M1084" i="1"/>
  <c r="Q1080" i="1"/>
  <c r="U1076" i="1"/>
  <c r="H1089" i="1"/>
  <c r="L1085" i="1"/>
  <c r="P1081" i="1"/>
  <c r="T1077" i="1"/>
  <c r="V1075" i="1"/>
  <c r="R1079" i="1"/>
  <c r="N1083" i="1"/>
  <c r="J360" i="1"/>
  <c r="N356" i="1"/>
  <c r="R352" i="1"/>
  <c r="V348" i="1"/>
  <c r="I361" i="1"/>
  <c r="M357" i="1"/>
  <c r="Q353" i="1"/>
  <c r="U349" i="1"/>
  <c r="K359" i="1"/>
  <c r="P354" i="1"/>
  <c r="S351" i="1"/>
  <c r="L358" i="1"/>
  <c r="T350" i="1"/>
  <c r="H362" i="1"/>
  <c r="O355" i="1"/>
  <c r="H646" i="1"/>
  <c r="L642" i="1"/>
  <c r="P638" i="1"/>
  <c r="T634" i="1"/>
  <c r="K643" i="1"/>
  <c r="O639" i="1"/>
  <c r="S635" i="1"/>
  <c r="I645" i="1"/>
  <c r="N640" i="1"/>
  <c r="U633" i="1"/>
  <c r="J644" i="1"/>
  <c r="Q637" i="1"/>
  <c r="M641" i="1"/>
  <c r="R636" i="1"/>
  <c r="V632" i="1"/>
  <c r="J1398" i="1"/>
  <c r="N1394" i="1"/>
  <c r="R1390" i="1"/>
  <c r="V1386" i="1"/>
  <c r="I1399" i="1"/>
  <c r="M1395" i="1"/>
  <c r="Q1391" i="1"/>
  <c r="U1387" i="1"/>
  <c r="P1392" i="1"/>
  <c r="T1388" i="1"/>
  <c r="S1389" i="1"/>
  <c r="L1396" i="1"/>
  <c r="O1393" i="1"/>
  <c r="H1400" i="1"/>
  <c r="K1397" i="1"/>
  <c r="J1484" i="1"/>
  <c r="N1480" i="1"/>
  <c r="R1476" i="1"/>
  <c r="V1472" i="1"/>
  <c r="I1485" i="1"/>
  <c r="M1481" i="1"/>
  <c r="Q1477" i="1"/>
  <c r="U1473" i="1"/>
  <c r="K1483" i="1"/>
  <c r="L1482" i="1"/>
  <c r="H1486" i="1"/>
  <c r="S1475" i="1"/>
  <c r="T1474" i="1"/>
  <c r="P1478" i="1"/>
  <c r="O1479" i="1"/>
  <c r="I438" i="1"/>
  <c r="M434" i="1"/>
  <c r="Q430" i="1"/>
  <c r="U426" i="1"/>
  <c r="H439" i="1"/>
  <c r="L435" i="1"/>
  <c r="P431" i="1"/>
  <c r="T427" i="1"/>
  <c r="K436" i="1"/>
  <c r="O432" i="1"/>
  <c r="S428" i="1"/>
  <c r="V425" i="1"/>
  <c r="J437" i="1"/>
  <c r="R429" i="1"/>
  <c r="N433" i="1"/>
  <c r="I631" i="1"/>
  <c r="M627" i="1"/>
  <c r="Q623" i="1"/>
  <c r="U619" i="1"/>
  <c r="H632" i="1"/>
  <c r="L628" i="1"/>
  <c r="P624" i="1"/>
  <c r="T620" i="1"/>
  <c r="J630" i="1"/>
  <c r="O625" i="1"/>
  <c r="V618" i="1"/>
  <c r="K629" i="1"/>
  <c r="R622" i="1"/>
  <c r="N626" i="1"/>
  <c r="S621" i="1"/>
  <c r="K656" i="1"/>
  <c r="O652" i="1"/>
  <c r="S648" i="1"/>
  <c r="J657" i="1"/>
  <c r="N653" i="1"/>
  <c r="R649" i="1"/>
  <c r="V645" i="1"/>
  <c r="I658" i="1"/>
  <c r="M654" i="1"/>
  <c r="Q650" i="1"/>
  <c r="U646" i="1"/>
  <c r="H659" i="1"/>
  <c r="L655" i="1"/>
  <c r="P651" i="1"/>
  <c r="T647" i="1"/>
  <c r="H1714" i="1"/>
  <c r="L1710" i="1"/>
  <c r="P1706" i="1"/>
  <c r="T1702" i="1"/>
  <c r="K1711" i="1"/>
  <c r="O1707" i="1"/>
  <c r="S1703" i="1"/>
  <c r="J1712" i="1"/>
  <c r="N1708" i="1"/>
  <c r="R1704" i="1"/>
  <c r="V1700" i="1"/>
  <c r="U1701" i="1"/>
  <c r="I1713" i="1"/>
  <c r="M1709" i="1"/>
  <c r="Q1705" i="1"/>
  <c r="K1583" i="1"/>
  <c r="O1579" i="1"/>
  <c r="S1575" i="1"/>
  <c r="J1584" i="1"/>
  <c r="N1580" i="1"/>
  <c r="R1576" i="1"/>
  <c r="H1586" i="1"/>
  <c r="I1585" i="1"/>
  <c r="L1582" i="1"/>
  <c r="M1581" i="1"/>
  <c r="T1574" i="1"/>
  <c r="V1572" i="1"/>
  <c r="P1578" i="1"/>
  <c r="Q1577" i="1"/>
  <c r="U1573" i="1"/>
  <c r="H1044" i="1"/>
  <c r="L1040" i="1"/>
  <c r="P1036" i="1"/>
  <c r="T1032" i="1"/>
  <c r="K1041" i="1"/>
  <c r="O1037" i="1"/>
  <c r="S1033" i="1"/>
  <c r="R1034" i="1"/>
  <c r="U1031" i="1"/>
  <c r="I1043" i="1"/>
  <c r="N1038" i="1"/>
  <c r="Q1035" i="1"/>
  <c r="J1042" i="1"/>
  <c r="M1039" i="1"/>
  <c r="V1030" i="1"/>
  <c r="J954" i="1"/>
  <c r="N950" i="1"/>
  <c r="R946" i="1"/>
  <c r="V942" i="1"/>
  <c r="I955" i="1"/>
  <c r="M951" i="1"/>
  <c r="Q947" i="1"/>
  <c r="U943" i="1"/>
  <c r="H956" i="1"/>
  <c r="L952" i="1"/>
  <c r="P948" i="1"/>
  <c r="T944" i="1"/>
  <c r="K953" i="1"/>
  <c r="O949" i="1"/>
  <c r="S945" i="1"/>
  <c r="I793" i="1"/>
  <c r="M789" i="1"/>
  <c r="Q785" i="1"/>
  <c r="U781" i="1"/>
  <c r="T782" i="1"/>
  <c r="N788" i="1"/>
  <c r="H794" i="1"/>
  <c r="K791" i="1"/>
  <c r="L790" i="1"/>
  <c r="O787" i="1"/>
  <c r="V780" i="1"/>
  <c r="P786" i="1"/>
  <c r="R784" i="1"/>
  <c r="J792" i="1"/>
  <c r="S783" i="1"/>
  <c r="H1474" i="1"/>
  <c r="L1470" i="1"/>
  <c r="P1466" i="1"/>
  <c r="T1462" i="1"/>
  <c r="K1471" i="1"/>
  <c r="O1467" i="1"/>
  <c r="S1463" i="1"/>
  <c r="J1472" i="1"/>
  <c r="U1461" i="1"/>
  <c r="V1460" i="1"/>
  <c r="M1469" i="1"/>
  <c r="R1464" i="1"/>
  <c r="I1473" i="1"/>
  <c r="Q1465" i="1"/>
  <c r="N1468" i="1"/>
  <c r="J758" i="1"/>
  <c r="N754" i="1"/>
  <c r="H760" i="1"/>
  <c r="L756" i="1"/>
  <c r="P752" i="1"/>
  <c r="T748" i="1"/>
  <c r="K757" i="1"/>
  <c r="V746" i="1"/>
  <c r="M755" i="1"/>
  <c r="U747" i="1"/>
  <c r="S749" i="1"/>
  <c r="I759" i="1"/>
  <c r="O753" i="1"/>
  <c r="Q751" i="1"/>
  <c r="R750" i="1"/>
  <c r="K564" i="1"/>
  <c r="O560" i="1"/>
  <c r="S556" i="1"/>
  <c r="J565" i="1"/>
  <c r="N561" i="1"/>
  <c r="R557" i="1"/>
  <c r="V553" i="1"/>
  <c r="I566" i="1"/>
  <c r="M562" i="1"/>
  <c r="Q558" i="1"/>
  <c r="U554" i="1"/>
  <c r="H567" i="1"/>
  <c r="L563" i="1"/>
  <c r="P559" i="1"/>
  <c r="T555" i="1"/>
  <c r="H473" i="1"/>
  <c r="L469" i="1"/>
  <c r="P465" i="1"/>
  <c r="T461" i="1"/>
  <c r="K470" i="1"/>
  <c r="O466" i="1"/>
  <c r="S462" i="1"/>
  <c r="J471" i="1"/>
  <c r="N467" i="1"/>
  <c r="R463" i="1"/>
  <c r="I472" i="1"/>
  <c r="M468" i="1"/>
  <c r="Q464" i="1"/>
  <c r="U460" i="1"/>
  <c r="V459" i="1"/>
  <c r="J508" i="1"/>
  <c r="N504" i="1"/>
  <c r="R500" i="1"/>
  <c r="V496" i="1"/>
  <c r="I509" i="1"/>
  <c r="M505" i="1"/>
  <c r="Q501" i="1"/>
  <c r="U497" i="1"/>
  <c r="K507" i="1"/>
  <c r="P502" i="1"/>
  <c r="L506" i="1"/>
  <c r="S499" i="1"/>
  <c r="H510" i="1"/>
  <c r="T498" i="1"/>
  <c r="O503" i="1"/>
  <c r="I1412" i="1"/>
  <c r="M1408" i="1"/>
  <c r="Q1404" i="1"/>
  <c r="J1411" i="1"/>
  <c r="N1407" i="1"/>
  <c r="R1403" i="1"/>
  <c r="U1400" i="1"/>
  <c r="P1405" i="1"/>
  <c r="S1402" i="1"/>
  <c r="K1410" i="1"/>
  <c r="V1399" i="1"/>
  <c r="H1413" i="1"/>
  <c r="L1409" i="1"/>
  <c r="O1406" i="1"/>
  <c r="T1401" i="1"/>
  <c r="K873" i="1"/>
  <c r="O869" i="1"/>
  <c r="S865" i="1"/>
  <c r="J874" i="1"/>
  <c r="N870" i="1"/>
  <c r="R866" i="1"/>
  <c r="V862" i="1"/>
  <c r="H876" i="1"/>
  <c r="M871" i="1"/>
  <c r="P868" i="1"/>
  <c r="U863" i="1"/>
  <c r="I875" i="1"/>
  <c r="L872" i="1"/>
  <c r="Q867" i="1"/>
  <c r="T864" i="1"/>
  <c r="H824" i="1"/>
  <c r="L820" i="1"/>
  <c r="P816" i="1"/>
  <c r="T812" i="1"/>
  <c r="Q815" i="1"/>
  <c r="U811" i="1"/>
  <c r="R814" i="1"/>
  <c r="J822" i="1"/>
  <c r="K821" i="1"/>
  <c r="S813" i="1"/>
  <c r="V810" i="1"/>
  <c r="O817" i="1"/>
  <c r="M819" i="1"/>
  <c r="N818" i="1"/>
  <c r="I823" i="1"/>
  <c r="K980" i="1"/>
  <c r="O976" i="1"/>
  <c r="S972" i="1"/>
  <c r="J981" i="1"/>
  <c r="N977" i="1"/>
  <c r="R973" i="1"/>
  <c r="V969" i="1"/>
  <c r="P975" i="1"/>
  <c r="U970" i="1"/>
  <c r="L979" i="1"/>
  <c r="Q974" i="1"/>
  <c r="I982" i="1"/>
  <c r="M978" i="1"/>
  <c r="H983" i="1"/>
  <c r="T971" i="1"/>
  <c r="J1278" i="1"/>
  <c r="N1274" i="1"/>
  <c r="R1270" i="1"/>
  <c r="V1266" i="1"/>
  <c r="I1279" i="1"/>
  <c r="M1275" i="1"/>
  <c r="Q1271" i="1"/>
  <c r="U1267" i="1"/>
  <c r="H1280" i="1"/>
  <c r="L1276" i="1"/>
  <c r="P1272" i="1"/>
  <c r="T1268" i="1"/>
  <c r="K1277" i="1"/>
  <c r="O1273" i="1"/>
  <c r="S1269" i="1"/>
  <c r="J1422" i="1"/>
  <c r="N1418" i="1"/>
  <c r="R1414" i="1"/>
  <c r="V1410" i="1"/>
  <c r="O1417" i="1"/>
  <c r="I1423" i="1"/>
  <c r="S1413" i="1"/>
  <c r="H1424" i="1"/>
  <c r="T1412" i="1"/>
  <c r="U1411" i="1"/>
  <c r="K1421" i="1"/>
  <c r="P1416" i="1"/>
  <c r="L1420" i="1"/>
  <c r="M1419" i="1"/>
  <c r="Q1415" i="1"/>
  <c r="I1373" i="1"/>
  <c r="M1369" i="1"/>
  <c r="Q1365" i="1"/>
  <c r="U1361" i="1"/>
  <c r="H1374" i="1"/>
  <c r="L1370" i="1"/>
  <c r="P1366" i="1"/>
  <c r="O1367" i="1"/>
  <c r="N1368" i="1"/>
  <c r="T1362" i="1"/>
  <c r="K1371" i="1"/>
  <c r="S1363" i="1"/>
  <c r="V1360" i="1"/>
  <c r="R1364" i="1"/>
  <c r="J1372" i="1"/>
  <c r="I711" i="1"/>
  <c r="M707" i="1"/>
  <c r="Q703" i="1"/>
  <c r="U699" i="1"/>
  <c r="H712" i="1"/>
  <c r="L708" i="1"/>
  <c r="P704" i="1"/>
  <c r="T700" i="1"/>
  <c r="R702" i="1"/>
  <c r="N706" i="1"/>
  <c r="S701" i="1"/>
  <c r="J710" i="1"/>
  <c r="V698" i="1"/>
  <c r="O705" i="1"/>
  <c r="K709" i="1"/>
  <c r="K283" i="1"/>
  <c r="O279" i="1"/>
  <c r="S275" i="1"/>
  <c r="J284" i="1"/>
  <c r="N280" i="1"/>
  <c r="R276" i="1"/>
  <c r="V272" i="1"/>
  <c r="T274" i="1"/>
  <c r="I285" i="1"/>
  <c r="P278" i="1"/>
  <c r="U273" i="1"/>
  <c r="L282" i="1"/>
  <c r="Q277" i="1"/>
  <c r="M281" i="1"/>
  <c r="H286" i="1"/>
  <c r="I1253" i="1"/>
  <c r="M1249" i="1"/>
  <c r="Q1245" i="1"/>
  <c r="U1241" i="1"/>
  <c r="H1254" i="1"/>
  <c r="L1250" i="1"/>
  <c r="P1246" i="1"/>
  <c r="T1242" i="1"/>
  <c r="K1251" i="1"/>
  <c r="O1247" i="1"/>
  <c r="S1243" i="1"/>
  <c r="J1252" i="1"/>
  <c r="N1248" i="1"/>
  <c r="R1244" i="1"/>
  <c r="V1240" i="1"/>
  <c r="I1324" i="1"/>
  <c r="M1320" i="1"/>
  <c r="Q1316" i="1"/>
  <c r="U1312" i="1"/>
  <c r="H1325" i="1"/>
  <c r="L1321" i="1"/>
  <c r="P1317" i="1"/>
  <c r="T1313" i="1"/>
  <c r="V1311" i="1"/>
  <c r="K1322" i="1"/>
  <c r="R1315" i="1"/>
  <c r="N1319" i="1"/>
  <c r="J1323" i="1"/>
  <c r="O1318" i="1"/>
  <c r="S1314" i="1"/>
  <c r="K1367" i="1"/>
  <c r="O1363" i="1"/>
  <c r="S1359" i="1"/>
  <c r="J1368" i="1"/>
  <c r="N1364" i="1"/>
  <c r="M1365" i="1"/>
  <c r="U1357" i="1"/>
  <c r="L1366" i="1"/>
  <c r="R1360" i="1"/>
  <c r="V1356" i="1"/>
  <c r="I1369" i="1"/>
  <c r="P1362" i="1"/>
  <c r="Q1361" i="1"/>
  <c r="T1358" i="1"/>
  <c r="H1370" i="1"/>
  <c r="I1108" i="1"/>
  <c r="M1104" i="1"/>
  <c r="Q1100" i="1"/>
  <c r="U1096" i="1"/>
  <c r="H1109" i="1"/>
  <c r="L1105" i="1"/>
  <c r="P1101" i="1"/>
  <c r="T1097" i="1"/>
  <c r="K1106" i="1"/>
  <c r="O1102" i="1"/>
  <c r="S1098" i="1"/>
  <c r="J1107" i="1"/>
  <c r="N1103" i="1"/>
  <c r="R1099" i="1"/>
  <c r="V1095" i="1"/>
  <c r="K1575" i="1"/>
  <c r="J1576" i="1"/>
  <c r="P1570" i="1"/>
  <c r="T1566" i="1"/>
  <c r="H1578" i="1"/>
  <c r="I1577" i="1"/>
  <c r="N1572" i="1"/>
  <c r="M1573" i="1"/>
  <c r="V1564" i="1"/>
  <c r="L1574" i="1"/>
  <c r="O1571" i="1"/>
  <c r="U1565" i="1"/>
  <c r="R1568" i="1"/>
  <c r="Q1569" i="1"/>
  <c r="S1567" i="1"/>
  <c r="I530" i="1"/>
  <c r="M526" i="1"/>
  <c r="Q522" i="1"/>
  <c r="U518" i="1"/>
  <c r="H531" i="1"/>
  <c r="L527" i="1"/>
  <c r="P523" i="1"/>
  <c r="T519" i="1"/>
  <c r="K528" i="1"/>
  <c r="O524" i="1"/>
  <c r="S520" i="1"/>
  <c r="J529" i="1"/>
  <c r="N525" i="1"/>
  <c r="R521" i="1"/>
  <c r="V517" i="1"/>
  <c r="I111" i="1"/>
  <c r="M107" i="1"/>
  <c r="Q103" i="1"/>
  <c r="U99" i="1"/>
  <c r="H112" i="1"/>
  <c r="L108" i="1"/>
  <c r="P104" i="1"/>
  <c r="T100" i="1"/>
  <c r="K109" i="1"/>
  <c r="O105" i="1"/>
  <c r="S101" i="1"/>
  <c r="R102" i="1"/>
  <c r="N106" i="1"/>
  <c r="J110" i="1"/>
  <c r="V98" i="1"/>
  <c r="J679" i="1"/>
  <c r="N675" i="1"/>
  <c r="R671" i="1"/>
  <c r="V667" i="1"/>
  <c r="I680" i="1"/>
  <c r="M676" i="1"/>
  <c r="Q672" i="1"/>
  <c r="U668" i="1"/>
  <c r="H681" i="1"/>
  <c r="L677" i="1"/>
  <c r="P673" i="1"/>
  <c r="T669" i="1"/>
  <c r="K678" i="1"/>
  <c r="O674" i="1"/>
  <c r="S670" i="1"/>
  <c r="H1156" i="1"/>
  <c r="L1152" i="1"/>
  <c r="P1148" i="1"/>
  <c r="T1144" i="1"/>
  <c r="I1155" i="1"/>
  <c r="J1154" i="1"/>
  <c r="O1149" i="1"/>
  <c r="S1145" i="1"/>
  <c r="K1153" i="1"/>
  <c r="Q1147" i="1"/>
  <c r="V1142" i="1"/>
  <c r="M1151" i="1"/>
  <c r="R1146" i="1"/>
  <c r="U1143" i="1"/>
  <c r="N1150" i="1"/>
  <c r="J848" i="1"/>
  <c r="N844" i="1"/>
  <c r="R840" i="1"/>
  <c r="V836" i="1"/>
  <c r="M845" i="1"/>
  <c r="P842" i="1"/>
  <c r="S839" i="1"/>
  <c r="Q841" i="1"/>
  <c r="T838" i="1"/>
  <c r="H850" i="1"/>
  <c r="L846" i="1"/>
  <c r="O843" i="1"/>
  <c r="U837" i="1"/>
  <c r="K847" i="1"/>
  <c r="I849" i="1"/>
  <c r="J50" i="1"/>
  <c r="N46" i="1"/>
  <c r="R42" i="1"/>
  <c r="W42" i="1" s="1"/>
  <c r="K49" i="1"/>
  <c r="H52" i="1"/>
  <c r="O45" i="1"/>
  <c r="T40" i="1"/>
  <c r="I51" i="1"/>
  <c r="L48" i="1"/>
  <c r="V38" i="1"/>
  <c r="W38" i="1" s="1"/>
  <c r="S41" i="1"/>
  <c r="W41" i="1" s="1"/>
  <c r="M47" i="1"/>
  <c r="P44" i="1"/>
  <c r="W44" i="1" s="1"/>
  <c r="U39" i="1"/>
  <c r="Q43" i="1"/>
  <c r="G184" i="1"/>
  <c r="H183" i="1"/>
  <c r="L179" i="1"/>
  <c r="P175" i="1"/>
  <c r="T171" i="1"/>
  <c r="I182" i="1"/>
  <c r="M178" i="1"/>
  <c r="Q174" i="1"/>
  <c r="U170" i="1"/>
  <c r="J181" i="1"/>
  <c r="O176" i="1"/>
  <c r="R173" i="1"/>
  <c r="K180" i="1"/>
  <c r="S172" i="1"/>
  <c r="V169" i="1"/>
  <c r="N177" i="1"/>
  <c r="G90" i="1"/>
  <c r="J87" i="1"/>
  <c r="N83" i="1"/>
  <c r="R79" i="1"/>
  <c r="V75" i="1"/>
  <c r="I88" i="1"/>
  <c r="M84" i="1"/>
  <c r="Q80" i="1"/>
  <c r="H89" i="1"/>
  <c r="L85" i="1"/>
  <c r="P81" i="1"/>
  <c r="T77" i="1"/>
  <c r="S78" i="1"/>
  <c r="O82" i="1"/>
  <c r="U76" i="1"/>
  <c r="K86" i="1"/>
  <c r="G140" i="1"/>
  <c r="K136" i="1"/>
  <c r="O132" i="1"/>
  <c r="S128" i="1"/>
  <c r="J137" i="1"/>
  <c r="N133" i="1"/>
  <c r="R129" i="1"/>
  <c r="V125" i="1"/>
  <c r="I138" i="1"/>
  <c r="M134" i="1"/>
  <c r="Q130" i="1"/>
  <c r="U126" i="1"/>
  <c r="T127" i="1"/>
  <c r="P131" i="1"/>
  <c r="H139" i="1"/>
  <c r="L135" i="1"/>
  <c r="G65" i="1"/>
  <c r="H64" i="1"/>
  <c r="L60" i="1"/>
  <c r="P56" i="1"/>
  <c r="T52" i="1"/>
  <c r="K61" i="1"/>
  <c r="Q55" i="1"/>
  <c r="N58" i="1"/>
  <c r="M59" i="1"/>
  <c r="J62" i="1"/>
  <c r="U51" i="1"/>
  <c r="I63" i="1"/>
  <c r="O57" i="1"/>
  <c r="R54" i="1"/>
  <c r="S53" i="1"/>
  <c r="V50" i="1"/>
  <c r="G196" i="1"/>
  <c r="J193" i="1"/>
  <c r="N189" i="1"/>
  <c r="R185" i="1"/>
  <c r="V181" i="1"/>
  <c r="K192" i="1"/>
  <c r="O188" i="1"/>
  <c r="S184" i="1"/>
  <c r="H195" i="1"/>
  <c r="P187" i="1"/>
  <c r="U182" i="1"/>
  <c r="M190" i="1"/>
  <c r="L191" i="1"/>
  <c r="T183" i="1"/>
  <c r="Q186" i="1"/>
  <c r="I194" i="1"/>
  <c r="G83" i="1"/>
  <c r="J80" i="1"/>
  <c r="I81" i="1"/>
  <c r="M77" i="1"/>
  <c r="Q73" i="1"/>
  <c r="U69" i="1"/>
  <c r="H82" i="1"/>
  <c r="L78" i="1"/>
  <c r="P74" i="1"/>
  <c r="T70" i="1"/>
  <c r="K79" i="1"/>
  <c r="O75" i="1"/>
  <c r="V68" i="1"/>
  <c r="N76" i="1"/>
  <c r="S71" i="1"/>
  <c r="R72" i="1"/>
  <c r="I1677" i="1"/>
  <c r="H1678" i="1"/>
  <c r="J1676" i="1"/>
  <c r="N1672" i="1"/>
  <c r="R1668" i="1"/>
  <c r="V1664" i="1"/>
  <c r="M1673" i="1"/>
  <c r="Q1669" i="1"/>
  <c r="U1665" i="1"/>
  <c r="K1675" i="1"/>
  <c r="O1671" i="1"/>
  <c r="S1667" i="1"/>
  <c r="P1670" i="1"/>
  <c r="L1674" i="1"/>
  <c r="T1666" i="1"/>
  <c r="K1318" i="1"/>
  <c r="O1314" i="1"/>
  <c r="S1310" i="1"/>
  <c r="J1319" i="1"/>
  <c r="N1315" i="1"/>
  <c r="R1311" i="1"/>
  <c r="V1307" i="1"/>
  <c r="T1309" i="1"/>
  <c r="I1320" i="1"/>
  <c r="P1313" i="1"/>
  <c r="U1308" i="1"/>
  <c r="L1317" i="1"/>
  <c r="H1321" i="1"/>
  <c r="M1316" i="1"/>
  <c r="Q1312" i="1"/>
  <c r="J1182" i="1"/>
  <c r="N1178" i="1"/>
  <c r="R1174" i="1"/>
  <c r="V1170" i="1"/>
  <c r="I1183" i="1"/>
  <c r="M1179" i="1"/>
  <c r="Q1175" i="1"/>
  <c r="U1171" i="1"/>
  <c r="S1173" i="1"/>
  <c r="H1184" i="1"/>
  <c r="O1177" i="1"/>
  <c r="T1172" i="1"/>
  <c r="K1181" i="1"/>
  <c r="P1176" i="1"/>
  <c r="L1180" i="1"/>
  <c r="J1590" i="1"/>
  <c r="N1586" i="1"/>
  <c r="R1582" i="1"/>
  <c r="V1578" i="1"/>
  <c r="I1591" i="1"/>
  <c r="M1587" i="1"/>
  <c r="Q1583" i="1"/>
  <c r="U1579" i="1"/>
  <c r="O1585" i="1"/>
  <c r="P1584" i="1"/>
  <c r="H1592" i="1"/>
  <c r="S1581" i="1"/>
  <c r="T1580" i="1"/>
  <c r="K1589" i="1"/>
  <c r="L1588" i="1"/>
  <c r="I764" i="1"/>
  <c r="M760" i="1"/>
  <c r="Q756" i="1"/>
  <c r="U752" i="1"/>
  <c r="H765" i="1"/>
  <c r="L761" i="1"/>
  <c r="P757" i="1"/>
  <c r="T753" i="1"/>
  <c r="K762" i="1"/>
  <c r="O758" i="1"/>
  <c r="S754" i="1"/>
  <c r="R755" i="1"/>
  <c r="N759" i="1"/>
  <c r="J763" i="1"/>
  <c r="V751" i="1"/>
  <c r="J1572" i="1"/>
  <c r="N1568" i="1"/>
  <c r="R1564" i="1"/>
  <c r="V1560" i="1"/>
  <c r="H1574" i="1"/>
  <c r="I1573" i="1"/>
  <c r="L1570" i="1"/>
  <c r="T1562" i="1"/>
  <c r="S1563" i="1"/>
  <c r="P1566" i="1"/>
  <c r="O1567" i="1"/>
  <c r="K1571" i="1"/>
  <c r="Q1565" i="1"/>
  <c r="U1561" i="1"/>
  <c r="M1569" i="1"/>
  <c r="J802" i="1"/>
  <c r="N798" i="1"/>
  <c r="R794" i="1"/>
  <c r="V790" i="1"/>
  <c r="Q795" i="1"/>
  <c r="T792" i="1"/>
  <c r="K801" i="1"/>
  <c r="H804" i="1"/>
  <c r="U791" i="1"/>
  <c r="I803" i="1"/>
  <c r="L800" i="1"/>
  <c r="S793" i="1"/>
  <c r="M799" i="1"/>
  <c r="O797" i="1"/>
  <c r="P796" i="1"/>
  <c r="I1682" i="1"/>
  <c r="M1678" i="1"/>
  <c r="H1683" i="1"/>
  <c r="L1679" i="1"/>
  <c r="K1680" i="1"/>
  <c r="O1676" i="1"/>
  <c r="J1681" i="1"/>
  <c r="N1677" i="1"/>
  <c r="P1675" i="1"/>
  <c r="T1671" i="1"/>
  <c r="S1672" i="1"/>
  <c r="R1673" i="1"/>
  <c r="U1670" i="1"/>
  <c r="Q1674" i="1"/>
  <c r="V1669" i="1"/>
  <c r="K416" i="1"/>
  <c r="O412" i="1"/>
  <c r="S408" i="1"/>
  <c r="J417" i="1"/>
  <c r="N413" i="1"/>
  <c r="R409" i="1"/>
  <c r="V405" i="1"/>
  <c r="I418" i="1"/>
  <c r="M414" i="1"/>
  <c r="Q410" i="1"/>
  <c r="U406" i="1"/>
  <c r="P411" i="1"/>
  <c r="L415" i="1"/>
  <c r="T407" i="1"/>
  <c r="H419" i="1"/>
  <c r="H320" i="1"/>
  <c r="L316" i="1"/>
  <c r="P312" i="1"/>
  <c r="T308" i="1"/>
  <c r="K317" i="1"/>
  <c r="O313" i="1"/>
  <c r="S309" i="1"/>
  <c r="M315" i="1"/>
  <c r="R310" i="1"/>
  <c r="I319" i="1"/>
  <c r="N314" i="1"/>
  <c r="U307" i="1"/>
  <c r="J318" i="1"/>
  <c r="V306" i="1"/>
  <c r="Q311" i="1"/>
  <c r="I1238" i="1"/>
  <c r="H1239" i="1"/>
  <c r="K1236" i="1"/>
  <c r="V1225" i="1"/>
  <c r="P1231" i="1"/>
  <c r="S1228" i="1"/>
  <c r="J1237" i="1"/>
  <c r="Q1230" i="1"/>
  <c r="T1227" i="1"/>
  <c r="L1235" i="1"/>
  <c r="N1233" i="1"/>
  <c r="R1229" i="1"/>
  <c r="U1226" i="1"/>
  <c r="O1232" i="1"/>
  <c r="M1234" i="1"/>
  <c r="K751" i="1"/>
  <c r="I753" i="1"/>
  <c r="M749" i="1"/>
  <c r="Q745" i="1"/>
  <c r="U741" i="1"/>
  <c r="L750" i="1"/>
  <c r="S743" i="1"/>
  <c r="H754" i="1"/>
  <c r="R744" i="1"/>
  <c r="T742" i="1"/>
  <c r="V740" i="1"/>
  <c r="J752" i="1"/>
  <c r="P746" i="1"/>
  <c r="N748" i="1"/>
  <c r="O747" i="1"/>
  <c r="J500" i="1"/>
  <c r="N496" i="1"/>
  <c r="R492" i="1"/>
  <c r="V488" i="1"/>
  <c r="I501" i="1"/>
  <c r="M497" i="1"/>
  <c r="Q493" i="1"/>
  <c r="U489" i="1"/>
  <c r="L498" i="1"/>
  <c r="S491" i="1"/>
  <c r="H502" i="1"/>
  <c r="O495" i="1"/>
  <c r="P494" i="1"/>
  <c r="K499" i="1"/>
  <c r="T490" i="1"/>
  <c r="H725" i="1"/>
  <c r="L721" i="1"/>
  <c r="P717" i="1"/>
  <c r="T713" i="1"/>
  <c r="K722" i="1"/>
  <c r="O718" i="1"/>
  <c r="S714" i="1"/>
  <c r="J723" i="1"/>
  <c r="N719" i="1"/>
  <c r="R715" i="1"/>
  <c r="V711" i="1"/>
  <c r="I724" i="1"/>
  <c r="M720" i="1"/>
  <c r="Q716" i="1"/>
  <c r="U712" i="1"/>
  <c r="J257" i="1"/>
  <c r="N253" i="1"/>
  <c r="R249" i="1"/>
  <c r="V245" i="1"/>
  <c r="I258" i="1"/>
  <c r="M254" i="1"/>
  <c r="Q250" i="1"/>
  <c r="U246" i="1"/>
  <c r="H259" i="1"/>
  <c r="L255" i="1"/>
  <c r="P251" i="1"/>
  <c r="T247" i="1"/>
  <c r="K256" i="1"/>
  <c r="O252" i="1"/>
  <c r="S248" i="1"/>
  <c r="J971" i="1"/>
  <c r="N967" i="1"/>
  <c r="R963" i="1"/>
  <c r="V959" i="1"/>
  <c r="I972" i="1"/>
  <c r="M968" i="1"/>
  <c r="Q964" i="1"/>
  <c r="U960" i="1"/>
  <c r="S962" i="1"/>
  <c r="H973" i="1"/>
  <c r="O966" i="1"/>
  <c r="T961" i="1"/>
  <c r="L969" i="1"/>
  <c r="P965" i="1"/>
  <c r="K970" i="1"/>
  <c r="I946" i="1"/>
  <c r="M942" i="1"/>
  <c r="Q938" i="1"/>
  <c r="U934" i="1"/>
  <c r="H947" i="1"/>
  <c r="L943" i="1"/>
  <c r="P939" i="1"/>
  <c r="T935" i="1"/>
  <c r="N941" i="1"/>
  <c r="S936" i="1"/>
  <c r="J945" i="1"/>
  <c r="O940" i="1"/>
  <c r="V933" i="1"/>
  <c r="K944" i="1"/>
  <c r="R937" i="1"/>
  <c r="J1166" i="1"/>
  <c r="N1162" i="1"/>
  <c r="R1158" i="1"/>
  <c r="V1154" i="1"/>
  <c r="I1167" i="1"/>
  <c r="K1165" i="1"/>
  <c r="Q1159" i="1"/>
  <c r="P1160" i="1"/>
  <c r="O1161" i="1"/>
  <c r="M1163" i="1"/>
  <c r="U1155" i="1"/>
  <c r="S1157" i="1"/>
  <c r="H1168" i="1"/>
  <c r="T1156" i="1"/>
  <c r="L1164" i="1"/>
  <c r="H357" i="1"/>
  <c r="L353" i="1"/>
  <c r="P349" i="1"/>
  <c r="T345" i="1"/>
  <c r="K354" i="1"/>
  <c r="O350" i="1"/>
  <c r="S346" i="1"/>
  <c r="J355" i="1"/>
  <c r="N351" i="1"/>
  <c r="R347" i="1"/>
  <c r="V343" i="1"/>
  <c r="U344" i="1"/>
  <c r="I356" i="1"/>
  <c r="Q348" i="1"/>
  <c r="M352" i="1"/>
  <c r="J1660" i="1"/>
  <c r="N1656" i="1"/>
  <c r="R1652" i="1"/>
  <c r="V1648" i="1"/>
  <c r="I1661" i="1"/>
  <c r="M1657" i="1"/>
  <c r="Q1653" i="1"/>
  <c r="U1649" i="1"/>
  <c r="K1659" i="1"/>
  <c r="O1655" i="1"/>
  <c r="S1651" i="1"/>
  <c r="T1650" i="1"/>
  <c r="H1662" i="1"/>
  <c r="P1654" i="1"/>
  <c r="L1658" i="1"/>
  <c r="K1700" i="1"/>
  <c r="O1696" i="1"/>
  <c r="S1692" i="1"/>
  <c r="J1701" i="1"/>
  <c r="N1697" i="1"/>
  <c r="R1693" i="1"/>
  <c r="V1689" i="1"/>
  <c r="I1702" i="1"/>
  <c r="M1698" i="1"/>
  <c r="Q1694" i="1"/>
  <c r="U1690" i="1"/>
  <c r="H1703" i="1"/>
  <c r="L1699" i="1"/>
  <c r="P1695" i="1"/>
  <c r="T1691" i="1"/>
  <c r="J640" i="1"/>
  <c r="N636" i="1"/>
  <c r="R632" i="1"/>
  <c r="V628" i="1"/>
  <c r="I641" i="1"/>
  <c r="M637" i="1"/>
  <c r="Q633" i="1"/>
  <c r="U629" i="1"/>
  <c r="L638" i="1"/>
  <c r="S631" i="1"/>
  <c r="H642" i="1"/>
  <c r="O635" i="1"/>
  <c r="K639" i="1"/>
  <c r="P634" i="1"/>
  <c r="T630" i="1"/>
  <c r="H1596" i="1"/>
  <c r="L1592" i="1"/>
  <c r="P1588" i="1"/>
  <c r="T1584" i="1"/>
  <c r="K1593" i="1"/>
  <c r="O1589" i="1"/>
  <c r="S1585" i="1"/>
  <c r="I1595" i="1"/>
  <c r="J1594" i="1"/>
  <c r="U1583" i="1"/>
  <c r="V1582" i="1"/>
  <c r="Q1587" i="1"/>
  <c r="M1591" i="1"/>
  <c r="R1586" i="1"/>
  <c r="N1590" i="1"/>
  <c r="J1507" i="1"/>
  <c r="N1503" i="1"/>
  <c r="R1499" i="1"/>
  <c r="V1495" i="1"/>
  <c r="I1508" i="1"/>
  <c r="M1504" i="1"/>
  <c r="Q1500" i="1"/>
  <c r="U1496" i="1"/>
  <c r="K1506" i="1"/>
  <c r="O1502" i="1"/>
  <c r="S1498" i="1"/>
  <c r="H1509" i="1"/>
  <c r="P1501" i="1"/>
  <c r="T1497" i="1"/>
  <c r="L1505" i="1"/>
  <c r="J423" i="1"/>
  <c r="N419" i="1"/>
  <c r="R415" i="1"/>
  <c r="V411" i="1"/>
  <c r="I424" i="1"/>
  <c r="M420" i="1"/>
  <c r="Q416" i="1"/>
  <c r="U412" i="1"/>
  <c r="H425" i="1"/>
  <c r="L421" i="1"/>
  <c r="P417" i="1"/>
  <c r="T413" i="1"/>
  <c r="O418" i="1"/>
  <c r="K422" i="1"/>
  <c r="S414" i="1"/>
  <c r="H677" i="1"/>
  <c r="L673" i="1"/>
  <c r="P669" i="1"/>
  <c r="T665" i="1"/>
  <c r="K674" i="1"/>
  <c r="O670" i="1"/>
  <c r="S666" i="1"/>
  <c r="J675" i="1"/>
  <c r="N671" i="1"/>
  <c r="R667" i="1"/>
  <c r="V663" i="1"/>
  <c r="I676" i="1"/>
  <c r="M672" i="1"/>
  <c r="Q668" i="1"/>
  <c r="U664" i="1"/>
  <c r="K1654" i="1"/>
  <c r="O1650" i="1"/>
  <c r="S1646" i="1"/>
  <c r="J1655" i="1"/>
  <c r="N1651" i="1"/>
  <c r="R1647" i="1"/>
  <c r="V1643" i="1"/>
  <c r="M1652" i="1"/>
  <c r="P1649" i="1"/>
  <c r="U1644" i="1"/>
  <c r="I1656" i="1"/>
  <c r="L1653" i="1"/>
  <c r="Q1648" i="1"/>
  <c r="T1645" i="1"/>
  <c r="H1657" i="1"/>
  <c r="I1690" i="1"/>
  <c r="M1686" i="1"/>
  <c r="Q1682" i="1"/>
  <c r="U1678" i="1"/>
  <c r="H1691" i="1"/>
  <c r="L1687" i="1"/>
  <c r="P1683" i="1"/>
  <c r="T1679" i="1"/>
  <c r="K1688" i="1"/>
  <c r="O1684" i="1"/>
  <c r="S1680" i="1"/>
  <c r="J1689" i="1"/>
  <c r="N1685" i="1"/>
  <c r="R1681" i="1"/>
  <c r="V1677" i="1"/>
  <c r="K1015" i="1"/>
  <c r="O1011" i="1"/>
  <c r="S1007" i="1"/>
  <c r="J1016" i="1"/>
  <c r="N1012" i="1"/>
  <c r="R1008" i="1"/>
  <c r="M1013" i="1"/>
  <c r="P1010" i="1"/>
  <c r="U1005" i="1"/>
  <c r="V1004" i="1"/>
  <c r="I1017" i="1"/>
  <c r="L1014" i="1"/>
  <c r="H1018" i="1"/>
  <c r="T1006" i="1"/>
  <c r="Q1009" i="1"/>
  <c r="H1514" i="1"/>
  <c r="L1510" i="1"/>
  <c r="P1506" i="1"/>
  <c r="T1502" i="1"/>
  <c r="K1511" i="1"/>
  <c r="O1507" i="1"/>
  <c r="S1503" i="1"/>
  <c r="R1504" i="1"/>
  <c r="U1501" i="1"/>
  <c r="I1513" i="1"/>
  <c r="V1500" i="1"/>
  <c r="J1512" i="1"/>
  <c r="M1509" i="1"/>
  <c r="Q1505" i="1"/>
  <c r="N1508" i="1"/>
  <c r="H961" i="1"/>
  <c r="L957" i="1"/>
  <c r="P953" i="1"/>
  <c r="T949" i="1"/>
  <c r="K958" i="1"/>
  <c r="O954" i="1"/>
  <c r="S950" i="1"/>
  <c r="M956" i="1"/>
  <c r="R951" i="1"/>
  <c r="I960" i="1"/>
  <c r="N955" i="1"/>
  <c r="V947" i="1"/>
  <c r="U948" i="1"/>
  <c r="J959" i="1"/>
  <c r="Q952" i="1"/>
  <c r="H522" i="1"/>
  <c r="L518" i="1"/>
  <c r="P514" i="1"/>
  <c r="T510" i="1"/>
  <c r="K519" i="1"/>
  <c r="O515" i="1"/>
  <c r="S511" i="1"/>
  <c r="Q513" i="1"/>
  <c r="V508" i="1"/>
  <c r="M517" i="1"/>
  <c r="R512" i="1"/>
  <c r="I521" i="1"/>
  <c r="N516" i="1"/>
  <c r="U509" i="1"/>
  <c r="J520" i="1"/>
  <c r="J891" i="1"/>
  <c r="N887" i="1"/>
  <c r="R883" i="1"/>
  <c r="I892" i="1"/>
  <c r="M888" i="1"/>
  <c r="K890" i="1"/>
  <c r="O886" i="1"/>
  <c r="V879" i="1"/>
  <c r="L889" i="1"/>
  <c r="Q884" i="1"/>
  <c r="U880" i="1"/>
  <c r="H893" i="1"/>
  <c r="S882" i="1"/>
  <c r="P885" i="1"/>
  <c r="T881" i="1"/>
  <c r="K1135" i="1"/>
  <c r="O1131" i="1"/>
  <c r="S1127" i="1"/>
  <c r="J1136" i="1"/>
  <c r="N1132" i="1"/>
  <c r="R1128" i="1"/>
  <c r="V1124" i="1"/>
  <c r="P1130" i="1"/>
  <c r="U1125" i="1"/>
  <c r="L1134" i="1"/>
  <c r="Q1129" i="1"/>
  <c r="H1138" i="1"/>
  <c r="T1126" i="1"/>
  <c r="I1137" i="1"/>
  <c r="M1133" i="1"/>
  <c r="H1642" i="1"/>
  <c r="L1638" i="1"/>
  <c r="K1639" i="1"/>
  <c r="I1641" i="1"/>
  <c r="P1634" i="1"/>
  <c r="T1630" i="1"/>
  <c r="O1635" i="1"/>
  <c r="S1631" i="1"/>
  <c r="R1632" i="1"/>
  <c r="V1628" i="1"/>
  <c r="M1637" i="1"/>
  <c r="Q1633" i="1"/>
  <c r="U1629" i="1"/>
  <c r="N1636" i="1"/>
  <c r="J1640" i="1"/>
  <c r="K728" i="1"/>
  <c r="O724" i="1"/>
  <c r="S720" i="1"/>
  <c r="J729" i="1"/>
  <c r="N725" i="1"/>
  <c r="R721" i="1"/>
  <c r="V717" i="1"/>
  <c r="I730" i="1"/>
  <c r="M726" i="1"/>
  <c r="Q722" i="1"/>
  <c r="U718" i="1"/>
  <c r="H731" i="1"/>
  <c r="L727" i="1"/>
  <c r="P723" i="1"/>
  <c r="T719" i="1"/>
  <c r="K908" i="1"/>
  <c r="O904" i="1"/>
  <c r="S900" i="1"/>
  <c r="J909" i="1"/>
  <c r="N905" i="1"/>
  <c r="R901" i="1"/>
  <c r="V897" i="1"/>
  <c r="L907" i="1"/>
  <c r="Q902" i="1"/>
  <c r="H911" i="1"/>
  <c r="M906" i="1"/>
  <c r="U898" i="1"/>
  <c r="T899" i="1"/>
  <c r="I910" i="1"/>
  <c r="P903" i="1"/>
  <c r="J1078" i="1"/>
  <c r="N1074" i="1"/>
  <c r="R1070" i="1"/>
  <c r="V1066" i="1"/>
  <c r="I1079" i="1"/>
  <c r="M1075" i="1"/>
  <c r="Q1071" i="1"/>
  <c r="U1067" i="1"/>
  <c r="T1068" i="1"/>
  <c r="H1080" i="1"/>
  <c r="K1077" i="1"/>
  <c r="P1072" i="1"/>
  <c r="S1069" i="1"/>
  <c r="L1076" i="1"/>
  <c r="O1073" i="1"/>
  <c r="K787" i="1"/>
  <c r="O783" i="1"/>
  <c r="S779" i="1"/>
  <c r="R780" i="1"/>
  <c r="U777" i="1"/>
  <c r="L786" i="1"/>
  <c r="I789" i="1"/>
  <c r="V776" i="1"/>
  <c r="J788" i="1"/>
  <c r="M785" i="1"/>
  <c r="T778" i="1"/>
  <c r="N784" i="1"/>
  <c r="P782" i="1"/>
  <c r="H790" i="1"/>
  <c r="Q781" i="1"/>
  <c r="H1505" i="1"/>
  <c r="L1501" i="1"/>
  <c r="P1497" i="1"/>
  <c r="T1493" i="1"/>
  <c r="K1502" i="1"/>
  <c r="O1498" i="1"/>
  <c r="S1494" i="1"/>
  <c r="I1504" i="1"/>
  <c r="M1500" i="1"/>
  <c r="Q1496" i="1"/>
  <c r="U1492" i="1"/>
  <c r="V1491" i="1"/>
  <c r="J1503" i="1"/>
  <c r="N1499" i="1"/>
  <c r="R1495" i="1"/>
  <c r="J368" i="1"/>
  <c r="N364" i="1"/>
  <c r="R360" i="1"/>
  <c r="V356" i="1"/>
  <c r="I369" i="1"/>
  <c r="M365" i="1"/>
  <c r="Q361" i="1"/>
  <c r="U357" i="1"/>
  <c r="O363" i="1"/>
  <c r="T358" i="1"/>
  <c r="H370" i="1"/>
  <c r="K367" i="1"/>
  <c r="P362" i="1"/>
  <c r="L366" i="1"/>
  <c r="S359" i="1"/>
  <c r="J1038" i="1"/>
  <c r="N1034" i="1"/>
  <c r="R1030" i="1"/>
  <c r="V1026" i="1"/>
  <c r="I1039" i="1"/>
  <c r="M1035" i="1"/>
  <c r="Q1031" i="1"/>
  <c r="U1027" i="1"/>
  <c r="T1028" i="1"/>
  <c r="H1040" i="1"/>
  <c r="K1037" i="1"/>
  <c r="P1032" i="1"/>
  <c r="S1029" i="1"/>
  <c r="L1036" i="1"/>
  <c r="O1033" i="1"/>
  <c r="J297" i="1"/>
  <c r="N293" i="1"/>
  <c r="R289" i="1"/>
  <c r="V285" i="1"/>
  <c r="I298" i="1"/>
  <c r="M294" i="1"/>
  <c r="Q290" i="1"/>
  <c r="U286" i="1"/>
  <c r="H299" i="1"/>
  <c r="L295" i="1"/>
  <c r="P291" i="1"/>
  <c r="T287" i="1"/>
  <c r="K296" i="1"/>
  <c r="O292" i="1"/>
  <c r="S288" i="1"/>
  <c r="I719" i="1"/>
  <c r="M715" i="1"/>
  <c r="Q711" i="1"/>
  <c r="U707" i="1"/>
  <c r="H720" i="1"/>
  <c r="L716" i="1"/>
  <c r="P712" i="1"/>
  <c r="T708" i="1"/>
  <c r="V706" i="1"/>
  <c r="K717" i="1"/>
  <c r="R710" i="1"/>
  <c r="N714" i="1"/>
  <c r="J718" i="1"/>
  <c r="O713" i="1"/>
  <c r="S709" i="1"/>
  <c r="I430" i="1"/>
  <c r="M426" i="1"/>
  <c r="Q422" i="1"/>
  <c r="U418" i="1"/>
  <c r="H431" i="1"/>
  <c r="L427" i="1"/>
  <c r="P423" i="1"/>
  <c r="T419" i="1"/>
  <c r="K428" i="1"/>
  <c r="O424" i="1"/>
  <c r="S420" i="1"/>
  <c r="R421" i="1"/>
  <c r="N425" i="1"/>
  <c r="J429" i="1"/>
  <c r="V417" i="1"/>
  <c r="H1100" i="1"/>
  <c r="L1096" i="1"/>
  <c r="P1092" i="1"/>
  <c r="T1088" i="1"/>
  <c r="K1097" i="1"/>
  <c r="O1093" i="1"/>
  <c r="S1089" i="1"/>
  <c r="U1087" i="1"/>
  <c r="J1098" i="1"/>
  <c r="Q1091" i="1"/>
  <c r="V1086" i="1"/>
  <c r="M1095" i="1"/>
  <c r="I1099" i="1"/>
  <c r="N1094" i="1"/>
  <c r="R1090" i="1"/>
  <c r="J1404" i="1"/>
  <c r="M1401" i="1"/>
  <c r="Q1397" i="1"/>
  <c r="U1393" i="1"/>
  <c r="L1402" i="1"/>
  <c r="P1398" i="1"/>
  <c r="T1394" i="1"/>
  <c r="H1406" i="1"/>
  <c r="I1405" i="1"/>
  <c r="O1399" i="1"/>
  <c r="R1396" i="1"/>
  <c r="K1403" i="1"/>
  <c r="N1400" i="1"/>
  <c r="S1395" i="1"/>
  <c r="V1392" i="1"/>
  <c r="J623" i="1"/>
  <c r="N619" i="1"/>
  <c r="R615" i="1"/>
  <c r="V611" i="1"/>
  <c r="I624" i="1"/>
  <c r="M620" i="1"/>
  <c r="Q616" i="1"/>
  <c r="U612" i="1"/>
  <c r="H625" i="1"/>
  <c r="L621" i="1"/>
  <c r="P617" i="1"/>
  <c r="T613" i="1"/>
  <c r="K622" i="1"/>
  <c r="O618" i="1"/>
  <c r="S614" i="1"/>
  <c r="H654" i="1"/>
  <c r="L650" i="1"/>
  <c r="P646" i="1"/>
  <c r="T642" i="1"/>
  <c r="K651" i="1"/>
  <c r="O647" i="1"/>
  <c r="S643" i="1"/>
  <c r="M649" i="1"/>
  <c r="R644" i="1"/>
  <c r="I653" i="1"/>
  <c r="N648" i="1"/>
  <c r="U641" i="1"/>
  <c r="Q645" i="1"/>
  <c r="J652" i="1"/>
  <c r="V640" i="1"/>
  <c r="J313" i="1"/>
  <c r="N309" i="1"/>
  <c r="R305" i="1"/>
  <c r="V301" i="1"/>
  <c r="I314" i="1"/>
  <c r="M310" i="1"/>
  <c r="Q306" i="1"/>
  <c r="U302" i="1"/>
  <c r="H315" i="1"/>
  <c r="L311" i="1"/>
  <c r="P307" i="1"/>
  <c r="T303" i="1"/>
  <c r="K312" i="1"/>
  <c r="O308" i="1"/>
  <c r="S304" i="1"/>
  <c r="H1498" i="1"/>
  <c r="L1494" i="1"/>
  <c r="P1490" i="1"/>
  <c r="T1486" i="1"/>
  <c r="K1495" i="1"/>
  <c r="O1491" i="1"/>
  <c r="S1487" i="1"/>
  <c r="V1484" i="1"/>
  <c r="J1496" i="1"/>
  <c r="M1493" i="1"/>
  <c r="N1492" i="1"/>
  <c r="Q1489" i="1"/>
  <c r="U1485" i="1"/>
  <c r="R1488" i="1"/>
  <c r="I1497" i="1"/>
  <c r="H1570" i="1"/>
  <c r="L1566" i="1"/>
  <c r="P1562" i="1"/>
  <c r="T1558" i="1"/>
  <c r="J1568" i="1"/>
  <c r="R1560" i="1"/>
  <c r="I1569" i="1"/>
  <c r="Q1561" i="1"/>
  <c r="N1564" i="1"/>
  <c r="V1556" i="1"/>
  <c r="M1565" i="1"/>
  <c r="U1557" i="1"/>
  <c r="S1559" i="1"/>
  <c r="K1567" i="1"/>
  <c r="O1563" i="1"/>
  <c r="J1332" i="1"/>
  <c r="N1328" i="1"/>
  <c r="R1324" i="1"/>
  <c r="V1320" i="1"/>
  <c r="I1333" i="1"/>
  <c r="M1329" i="1"/>
  <c r="Q1325" i="1"/>
  <c r="U1321" i="1"/>
  <c r="H1334" i="1"/>
  <c r="L1330" i="1"/>
  <c r="P1326" i="1"/>
  <c r="T1322" i="1"/>
  <c r="K1331" i="1"/>
  <c r="O1327" i="1"/>
  <c r="S1323" i="1"/>
  <c r="H889" i="1"/>
  <c r="L885" i="1"/>
  <c r="I888" i="1"/>
  <c r="V875" i="1"/>
  <c r="T877" i="1"/>
  <c r="K886" i="1"/>
  <c r="N883" i="1"/>
  <c r="Q880" i="1"/>
  <c r="O882" i="1"/>
  <c r="P881" i="1"/>
  <c r="S878" i="1"/>
  <c r="R879" i="1"/>
  <c r="M884" i="1"/>
  <c r="J887" i="1"/>
  <c r="U876" i="1"/>
  <c r="I1293" i="1"/>
  <c r="M1289" i="1"/>
  <c r="Q1285" i="1"/>
  <c r="U1281" i="1"/>
  <c r="H1294" i="1"/>
  <c r="L1290" i="1"/>
  <c r="P1286" i="1"/>
  <c r="T1282" i="1"/>
  <c r="K1291" i="1"/>
  <c r="O1287" i="1"/>
  <c r="S1283" i="1"/>
  <c r="J1292" i="1"/>
  <c r="N1288" i="1"/>
  <c r="R1284" i="1"/>
  <c r="V1280" i="1"/>
  <c r="I390" i="1"/>
  <c r="M386" i="1"/>
  <c r="Q382" i="1"/>
  <c r="U378" i="1"/>
  <c r="H391" i="1"/>
  <c r="L387" i="1"/>
  <c r="P383" i="1"/>
  <c r="T379" i="1"/>
  <c r="K388" i="1"/>
  <c r="O384" i="1"/>
  <c r="S380" i="1"/>
  <c r="R381" i="1"/>
  <c r="N385" i="1"/>
  <c r="V377" i="1"/>
  <c r="J389" i="1"/>
  <c r="G189" i="1"/>
  <c r="J186" i="1"/>
  <c r="I187" i="1"/>
  <c r="M183" i="1"/>
  <c r="Q179" i="1"/>
  <c r="V174" i="1"/>
  <c r="K185" i="1"/>
  <c r="S177" i="1"/>
  <c r="L184" i="1"/>
  <c r="N182" i="1"/>
  <c r="H188" i="1"/>
  <c r="O181" i="1"/>
  <c r="T176" i="1"/>
  <c r="P180" i="1"/>
  <c r="R178" i="1"/>
  <c r="U175" i="1"/>
  <c r="G201" i="1"/>
  <c r="H200" i="1"/>
  <c r="L196" i="1"/>
  <c r="P192" i="1"/>
  <c r="T188" i="1"/>
  <c r="K197" i="1"/>
  <c r="O193" i="1"/>
  <c r="S189" i="1"/>
  <c r="J198" i="1"/>
  <c r="R190" i="1"/>
  <c r="I199" i="1"/>
  <c r="Q191" i="1"/>
  <c r="N194" i="1"/>
  <c r="V186" i="1"/>
  <c r="M195" i="1"/>
  <c r="U187" i="1"/>
  <c r="G132" i="1"/>
  <c r="K128" i="1"/>
  <c r="O124" i="1"/>
  <c r="S120" i="1"/>
  <c r="J129" i="1"/>
  <c r="N125" i="1"/>
  <c r="R121" i="1"/>
  <c r="V117" i="1"/>
  <c r="I130" i="1"/>
  <c r="M126" i="1"/>
  <c r="Q122" i="1"/>
  <c r="U118" i="1"/>
  <c r="T119" i="1"/>
  <c r="P123" i="1"/>
  <c r="L127" i="1"/>
  <c r="H131" i="1"/>
  <c r="G178" i="1"/>
  <c r="I176" i="1"/>
  <c r="M172" i="1"/>
  <c r="Q168" i="1"/>
  <c r="U164" i="1"/>
  <c r="J175" i="1"/>
  <c r="N171" i="1"/>
  <c r="R167" i="1"/>
  <c r="V163" i="1"/>
  <c r="T165" i="1"/>
  <c r="H177" i="1"/>
  <c r="K174" i="1"/>
  <c r="L173" i="1"/>
  <c r="O170" i="1"/>
  <c r="P169" i="1"/>
  <c r="S166" i="1"/>
  <c r="I159" i="1"/>
  <c r="M155" i="1"/>
  <c r="Q151" i="1"/>
  <c r="U147" i="1"/>
  <c r="H160" i="1"/>
  <c r="L156" i="1"/>
  <c r="P152" i="1"/>
  <c r="T148" i="1"/>
  <c r="K157" i="1"/>
  <c r="O153" i="1"/>
  <c r="S149" i="1"/>
  <c r="J158" i="1"/>
  <c r="V146" i="1"/>
  <c r="R150" i="1"/>
  <c r="N154" i="1"/>
  <c r="J143" i="1"/>
  <c r="N139" i="1"/>
  <c r="R135" i="1"/>
  <c r="V131" i="1"/>
  <c r="I144" i="1"/>
  <c r="M140" i="1"/>
  <c r="Q136" i="1"/>
  <c r="U132" i="1"/>
  <c r="H145" i="1"/>
  <c r="L141" i="1"/>
  <c r="P137" i="1"/>
  <c r="T133" i="1"/>
  <c r="S134" i="1"/>
  <c r="O138" i="1"/>
  <c r="K142" i="1"/>
  <c r="G146" i="1"/>
  <c r="K696" i="1"/>
  <c r="O692" i="1"/>
  <c r="S688" i="1"/>
  <c r="J697" i="1"/>
  <c r="N693" i="1"/>
  <c r="R689" i="1"/>
  <c r="V685" i="1"/>
  <c r="I698" i="1"/>
  <c r="M694" i="1"/>
  <c r="Q690" i="1"/>
  <c r="U686" i="1"/>
  <c r="H699" i="1"/>
  <c r="L695" i="1"/>
  <c r="P691" i="1"/>
  <c r="T687" i="1"/>
  <c r="I1021" i="1"/>
  <c r="M1017" i="1"/>
  <c r="Q1013" i="1"/>
  <c r="U1009" i="1"/>
  <c r="H1022" i="1"/>
  <c r="L1018" i="1"/>
  <c r="P1014" i="1"/>
  <c r="T1010" i="1"/>
  <c r="S1011" i="1"/>
  <c r="V1008" i="1"/>
  <c r="J1020" i="1"/>
  <c r="O1015" i="1"/>
  <c r="R1012" i="1"/>
  <c r="K1019" i="1"/>
  <c r="N1016" i="1"/>
  <c r="I1229" i="1"/>
  <c r="J1228" i="1"/>
  <c r="M1225" i="1"/>
  <c r="Q1221" i="1"/>
  <c r="U1217" i="1"/>
  <c r="H1230" i="1"/>
  <c r="K1227" i="1"/>
  <c r="P1222" i="1"/>
  <c r="T1218" i="1"/>
  <c r="L1226" i="1"/>
  <c r="R1220" i="1"/>
  <c r="N1224" i="1"/>
  <c r="S1219" i="1"/>
  <c r="V1216" i="1"/>
  <c r="O1223" i="1"/>
  <c r="I407" i="1"/>
  <c r="M403" i="1"/>
  <c r="Q399" i="1"/>
  <c r="U395" i="1"/>
  <c r="H408" i="1"/>
  <c r="L404" i="1"/>
  <c r="P400" i="1"/>
  <c r="T396" i="1"/>
  <c r="J406" i="1"/>
  <c r="O401" i="1"/>
  <c r="R398" i="1"/>
  <c r="K405" i="1"/>
  <c r="S397" i="1"/>
  <c r="V394" i="1"/>
  <c r="N402" i="1"/>
  <c r="G170" i="1"/>
  <c r="I168" i="1"/>
  <c r="M164" i="1"/>
  <c r="Q160" i="1"/>
  <c r="J167" i="1"/>
  <c r="N163" i="1"/>
  <c r="P161" i="1"/>
  <c r="R159" i="1"/>
  <c r="V155" i="1"/>
  <c r="U156" i="1"/>
  <c r="H169" i="1"/>
  <c r="K166" i="1"/>
  <c r="T157" i="1"/>
  <c r="L165" i="1"/>
  <c r="O162" i="1"/>
  <c r="S158" i="1"/>
  <c r="J1263" i="1"/>
  <c r="N1259" i="1"/>
  <c r="R1255" i="1"/>
  <c r="V1251" i="1"/>
  <c r="I1264" i="1"/>
  <c r="M1260" i="1"/>
  <c r="Q1256" i="1"/>
  <c r="U1252" i="1"/>
  <c r="S1254" i="1"/>
  <c r="H1265" i="1"/>
  <c r="O1258" i="1"/>
  <c r="T1253" i="1"/>
  <c r="K1262" i="1"/>
  <c r="L1261" i="1"/>
  <c r="P1257" i="1"/>
  <c r="H1627" i="1"/>
  <c r="L1623" i="1"/>
  <c r="P1619" i="1"/>
  <c r="T1615" i="1"/>
  <c r="K1624" i="1"/>
  <c r="O1620" i="1"/>
  <c r="S1616" i="1"/>
  <c r="N1621" i="1"/>
  <c r="U1614" i="1"/>
  <c r="J1625" i="1"/>
  <c r="Q1618" i="1"/>
  <c r="R1617" i="1"/>
  <c r="V1613" i="1"/>
  <c r="I1626" i="1"/>
  <c r="M1622" i="1"/>
  <c r="I350" i="1"/>
  <c r="M346" i="1"/>
  <c r="Q342" i="1"/>
  <c r="U338" i="1"/>
  <c r="H351" i="1"/>
  <c r="L347" i="1"/>
  <c r="P343" i="1"/>
  <c r="T339" i="1"/>
  <c r="K348" i="1"/>
  <c r="O344" i="1"/>
  <c r="S340" i="1"/>
  <c r="J349" i="1"/>
  <c r="R341" i="1"/>
  <c r="V337" i="1"/>
  <c r="N345" i="1"/>
  <c r="H1651" i="1"/>
  <c r="L1647" i="1"/>
  <c r="P1643" i="1"/>
  <c r="T1639" i="1"/>
  <c r="K1648" i="1"/>
  <c r="O1644" i="1"/>
  <c r="S1640" i="1"/>
  <c r="N1645" i="1"/>
  <c r="Q1642" i="1"/>
  <c r="V1637" i="1"/>
  <c r="J1649" i="1"/>
  <c r="M1646" i="1"/>
  <c r="I1650" i="1"/>
  <c r="R1641" i="1"/>
  <c r="U1638" i="1"/>
  <c r="H1084" i="1"/>
  <c r="L1080" i="1"/>
  <c r="P1076" i="1"/>
  <c r="T1072" i="1"/>
  <c r="K1081" i="1"/>
  <c r="O1077" i="1"/>
  <c r="S1073" i="1"/>
  <c r="I1083" i="1"/>
  <c r="N1078" i="1"/>
  <c r="Q1075" i="1"/>
  <c r="V1070" i="1"/>
  <c r="R1074" i="1"/>
  <c r="M1079" i="1"/>
  <c r="U1071" i="1"/>
  <c r="J1082" i="1"/>
  <c r="H1551" i="1"/>
  <c r="L1547" i="1"/>
  <c r="P1543" i="1"/>
  <c r="N1545" i="1"/>
  <c r="K1548" i="1"/>
  <c r="U1538" i="1"/>
  <c r="J1549" i="1"/>
  <c r="S1540" i="1"/>
  <c r="I1550" i="1"/>
  <c r="R1541" i="1"/>
  <c r="M1546" i="1"/>
  <c r="O1544" i="1"/>
  <c r="T1539" i="1"/>
  <c r="Q1542" i="1"/>
  <c r="V1537" i="1"/>
  <c r="H816" i="1"/>
  <c r="L812" i="1"/>
  <c r="P808" i="1"/>
  <c r="T804" i="1"/>
  <c r="J814" i="1"/>
  <c r="Q807" i="1"/>
  <c r="K813" i="1"/>
  <c r="N810" i="1"/>
  <c r="O809" i="1"/>
  <c r="R806" i="1"/>
  <c r="S805" i="1"/>
  <c r="U803" i="1"/>
  <c r="I815" i="1"/>
  <c r="M811" i="1"/>
  <c r="V802" i="1"/>
  <c r="O1292" i="1"/>
  <c r="S1288" i="1"/>
  <c r="J1297" i="1"/>
  <c r="N1293" i="1"/>
  <c r="R1289" i="1"/>
  <c r="V1285" i="1"/>
  <c r="H1299" i="1"/>
  <c r="K1296" i="1"/>
  <c r="I1298" i="1"/>
  <c r="L1295" i="1"/>
  <c r="Q1290" i="1"/>
  <c r="M1294" i="1"/>
  <c r="T1287" i="1"/>
  <c r="P1291" i="1"/>
  <c r="U1286" i="1"/>
  <c r="I455" i="1"/>
  <c r="M451" i="1"/>
  <c r="Q447" i="1"/>
  <c r="U443" i="1"/>
  <c r="H456" i="1"/>
  <c r="L452" i="1"/>
  <c r="P448" i="1"/>
  <c r="T444" i="1"/>
  <c r="S445" i="1"/>
  <c r="V442" i="1"/>
  <c r="J454" i="1"/>
  <c r="O449" i="1"/>
  <c r="R446" i="1"/>
  <c r="K453" i="1"/>
  <c r="N450" i="1"/>
  <c r="I993" i="1"/>
  <c r="M989" i="1"/>
  <c r="Q985" i="1"/>
  <c r="U981" i="1"/>
  <c r="H994" i="1"/>
  <c r="L990" i="1"/>
  <c r="P986" i="1"/>
  <c r="T982" i="1"/>
  <c r="K991" i="1"/>
  <c r="O987" i="1"/>
  <c r="S983" i="1"/>
  <c r="J992" i="1"/>
  <c r="N988" i="1"/>
  <c r="R984" i="1"/>
  <c r="V980" i="1"/>
  <c r="K704" i="1"/>
  <c r="O700" i="1"/>
  <c r="S696" i="1"/>
  <c r="J705" i="1"/>
  <c r="N701" i="1"/>
  <c r="R697" i="1"/>
  <c r="V693" i="1"/>
  <c r="I706" i="1"/>
  <c r="M702" i="1"/>
  <c r="Q698" i="1"/>
  <c r="U694" i="1"/>
  <c r="H707" i="1"/>
  <c r="L703" i="1"/>
  <c r="P699" i="1"/>
  <c r="T695" i="1"/>
  <c r="I1600" i="1"/>
  <c r="M1596" i="1"/>
  <c r="Q1592" i="1"/>
  <c r="U1588" i="1"/>
  <c r="J1599" i="1"/>
  <c r="N1595" i="1"/>
  <c r="H1601" i="1"/>
  <c r="R1591" i="1"/>
  <c r="S1590" i="1"/>
  <c r="T1589" i="1"/>
  <c r="V1587" i="1"/>
  <c r="O1594" i="1"/>
  <c r="K1598" i="1"/>
  <c r="P1593" i="1"/>
  <c r="L1597" i="1"/>
  <c r="K1119" i="1"/>
  <c r="O1115" i="1"/>
  <c r="S1111" i="1"/>
  <c r="J1120" i="1"/>
  <c r="N1116" i="1"/>
  <c r="R1112" i="1"/>
  <c r="V1108" i="1"/>
  <c r="H1122" i="1"/>
  <c r="M1117" i="1"/>
  <c r="T1110" i="1"/>
  <c r="I1121" i="1"/>
  <c r="P1114" i="1"/>
  <c r="L1118" i="1"/>
  <c r="Q1113" i="1"/>
  <c r="U1109" i="1"/>
  <c r="K448" i="1"/>
  <c r="O444" i="1"/>
  <c r="S440" i="1"/>
  <c r="J449" i="1"/>
  <c r="N445" i="1"/>
  <c r="R441" i="1"/>
  <c r="V437" i="1"/>
  <c r="I450" i="1"/>
  <c r="M446" i="1"/>
  <c r="Q442" i="1"/>
  <c r="U438" i="1"/>
  <c r="L447" i="1"/>
  <c r="T439" i="1"/>
  <c r="H451" i="1"/>
  <c r="P443" i="1"/>
  <c r="K1143" i="1"/>
  <c r="O1139" i="1"/>
  <c r="S1135" i="1"/>
  <c r="J1144" i="1"/>
  <c r="N1140" i="1"/>
  <c r="R1136" i="1"/>
  <c r="V1132" i="1"/>
  <c r="T1134" i="1"/>
  <c r="I1145" i="1"/>
  <c r="P1138" i="1"/>
  <c r="U1133" i="1"/>
  <c r="L1142" i="1"/>
  <c r="H1146" i="1"/>
  <c r="Q1137" i="1"/>
  <c r="M1141" i="1"/>
  <c r="I702" i="1"/>
  <c r="M698" i="1"/>
  <c r="Q694" i="1"/>
  <c r="U690" i="1"/>
  <c r="H703" i="1"/>
  <c r="L699" i="1"/>
  <c r="P695" i="1"/>
  <c r="T691" i="1"/>
  <c r="K700" i="1"/>
  <c r="O696" i="1"/>
  <c r="S692" i="1"/>
  <c r="J701" i="1"/>
  <c r="N697" i="1"/>
  <c r="R693" i="1"/>
  <c r="V689" i="1"/>
  <c r="I1221" i="1"/>
  <c r="M1217" i="1"/>
  <c r="Q1213" i="1"/>
  <c r="U1209" i="1"/>
  <c r="H1222" i="1"/>
  <c r="L1218" i="1"/>
  <c r="P1214" i="1"/>
  <c r="T1210" i="1"/>
  <c r="N1216" i="1"/>
  <c r="S1211" i="1"/>
  <c r="J1220" i="1"/>
  <c r="O1215" i="1"/>
  <c r="V1208" i="1"/>
  <c r="R1212" i="1"/>
  <c r="K1219" i="1"/>
  <c r="J476" i="1"/>
  <c r="N472" i="1"/>
  <c r="R468" i="1"/>
  <c r="V464" i="1"/>
  <c r="I477" i="1"/>
  <c r="M473" i="1"/>
  <c r="Q469" i="1"/>
  <c r="U465" i="1"/>
  <c r="K475" i="1"/>
  <c r="P470" i="1"/>
  <c r="L474" i="1"/>
  <c r="S467" i="1"/>
  <c r="T466" i="1"/>
  <c r="O471" i="1"/>
  <c r="H478" i="1"/>
  <c r="H1003" i="1"/>
  <c r="I1002" i="1"/>
  <c r="M998" i="1"/>
  <c r="Q994" i="1"/>
  <c r="U990" i="1"/>
  <c r="L999" i="1"/>
  <c r="P995" i="1"/>
  <c r="T991" i="1"/>
  <c r="J1001" i="1"/>
  <c r="O996" i="1"/>
  <c r="V989" i="1"/>
  <c r="S992" i="1"/>
  <c r="N997" i="1"/>
  <c r="K1000" i="1"/>
  <c r="R993" i="1"/>
  <c r="K1055" i="1"/>
  <c r="O1051" i="1"/>
  <c r="S1047" i="1"/>
  <c r="J1056" i="1"/>
  <c r="N1052" i="1"/>
  <c r="R1048" i="1"/>
  <c r="V1044" i="1"/>
  <c r="U1045" i="1"/>
  <c r="I1057" i="1"/>
  <c r="L1054" i="1"/>
  <c r="Q1049" i="1"/>
  <c r="T1046" i="1"/>
  <c r="M1053" i="1"/>
  <c r="H1058" i="1"/>
  <c r="P1050" i="1"/>
  <c r="I1604" i="1"/>
  <c r="K1602" i="1"/>
  <c r="O1598" i="1"/>
  <c r="S1594" i="1"/>
  <c r="H1605" i="1"/>
  <c r="J1603" i="1"/>
  <c r="Q1596" i="1"/>
  <c r="R1595" i="1"/>
  <c r="T1593" i="1"/>
  <c r="U1592" i="1"/>
  <c r="V1591" i="1"/>
  <c r="P1597" i="1"/>
  <c r="N1599" i="1"/>
  <c r="L1601" i="1"/>
  <c r="M1600" i="1"/>
  <c r="I777" i="1"/>
  <c r="K775" i="1"/>
  <c r="O771" i="1"/>
  <c r="S767" i="1"/>
  <c r="M773" i="1"/>
  <c r="Q769" i="1"/>
  <c r="U765" i="1"/>
  <c r="L774" i="1"/>
  <c r="N772" i="1"/>
  <c r="T766" i="1"/>
  <c r="V764" i="1"/>
  <c r="H778" i="1"/>
  <c r="J776" i="1"/>
  <c r="P770" i="1"/>
  <c r="R768" i="1"/>
  <c r="K1458" i="1"/>
  <c r="O1454" i="1"/>
  <c r="H1461" i="1"/>
  <c r="R1451" i="1"/>
  <c r="U1448" i="1"/>
  <c r="I1460" i="1"/>
  <c r="J1459" i="1"/>
  <c r="T1449" i="1"/>
  <c r="P1453" i="1"/>
  <c r="V1447" i="1"/>
  <c r="Q1452" i="1"/>
  <c r="M1456" i="1"/>
  <c r="L1457" i="1"/>
  <c r="N1455" i="1"/>
  <c r="S1450" i="1"/>
  <c r="K1158" i="1"/>
  <c r="O1154" i="1"/>
  <c r="I1160" i="1"/>
  <c r="M1156" i="1"/>
  <c r="H1161" i="1"/>
  <c r="L1157" i="1"/>
  <c r="P1153" i="1"/>
  <c r="S1150" i="1"/>
  <c r="R1151" i="1"/>
  <c r="V1147" i="1"/>
  <c r="J1159" i="1"/>
  <c r="Q1152" i="1"/>
  <c r="U1148" i="1"/>
  <c r="T1149" i="1"/>
  <c r="N1155" i="1"/>
  <c r="K1383" i="1"/>
  <c r="O1379" i="1"/>
  <c r="S1375" i="1"/>
  <c r="J1384" i="1"/>
  <c r="N1380" i="1"/>
  <c r="R1376" i="1"/>
  <c r="V1372" i="1"/>
  <c r="M1381" i="1"/>
  <c r="U1373" i="1"/>
  <c r="L1382" i="1"/>
  <c r="T1374" i="1"/>
  <c r="I1385" i="1"/>
  <c r="Q1377" i="1"/>
  <c r="P1378" i="1"/>
  <c r="H1386" i="1"/>
  <c r="K1516" i="1"/>
  <c r="O1512" i="1"/>
  <c r="S1508" i="1"/>
  <c r="J1517" i="1"/>
  <c r="N1513" i="1"/>
  <c r="R1509" i="1"/>
  <c r="V1505" i="1"/>
  <c r="H1519" i="1"/>
  <c r="L1515" i="1"/>
  <c r="P1511" i="1"/>
  <c r="T1507" i="1"/>
  <c r="M1514" i="1"/>
  <c r="Q1510" i="1"/>
  <c r="U1506" i="1"/>
  <c r="I1518" i="1"/>
  <c r="I414" i="1"/>
  <c r="M410" i="1"/>
  <c r="Q406" i="1"/>
  <c r="U402" i="1"/>
  <c r="H415" i="1"/>
  <c r="L411" i="1"/>
  <c r="P407" i="1"/>
  <c r="T403" i="1"/>
  <c r="K412" i="1"/>
  <c r="O408" i="1"/>
  <c r="S404" i="1"/>
  <c r="J413" i="1"/>
  <c r="R405" i="1"/>
  <c r="V401" i="1"/>
  <c r="N409" i="1"/>
  <c r="K235" i="1"/>
  <c r="O231" i="1"/>
  <c r="S227" i="1"/>
  <c r="J236" i="1"/>
  <c r="N232" i="1"/>
  <c r="R228" i="1"/>
  <c r="V224" i="1"/>
  <c r="M233" i="1"/>
  <c r="P230" i="1"/>
  <c r="U225" i="1"/>
  <c r="I237" i="1"/>
  <c r="L234" i="1"/>
  <c r="Q229" i="1"/>
  <c r="T226" i="1"/>
  <c r="H238" i="1"/>
  <c r="H1068" i="1"/>
  <c r="L1064" i="1"/>
  <c r="P1060" i="1"/>
  <c r="T1056" i="1"/>
  <c r="K1065" i="1"/>
  <c r="O1061" i="1"/>
  <c r="S1057" i="1"/>
  <c r="R1058" i="1"/>
  <c r="U1055" i="1"/>
  <c r="I1067" i="1"/>
  <c r="N1062" i="1"/>
  <c r="Q1059" i="1"/>
  <c r="V1054" i="1"/>
  <c r="M1063" i="1"/>
  <c r="J1066" i="1"/>
  <c r="J1361" i="1"/>
  <c r="N1357" i="1"/>
  <c r="O1356" i="1"/>
  <c r="I1362" i="1"/>
  <c r="L1359" i="1"/>
  <c r="T1351" i="1"/>
  <c r="M1358" i="1"/>
  <c r="P1355" i="1"/>
  <c r="S1352" i="1"/>
  <c r="K1360" i="1"/>
  <c r="H1363" i="1"/>
  <c r="Q1354" i="1"/>
  <c r="V1349" i="1"/>
  <c r="R1353" i="1"/>
  <c r="U1350" i="1"/>
  <c r="K432" i="1"/>
  <c r="O428" i="1"/>
  <c r="S424" i="1"/>
  <c r="J433" i="1"/>
  <c r="N429" i="1"/>
  <c r="R425" i="1"/>
  <c r="V421" i="1"/>
  <c r="I434" i="1"/>
  <c r="M430" i="1"/>
  <c r="Q426" i="1"/>
  <c r="U422" i="1"/>
  <c r="L431" i="1"/>
  <c r="T423" i="1"/>
  <c r="H435" i="1"/>
  <c r="P427" i="1"/>
  <c r="J741" i="1"/>
  <c r="I742" i="1"/>
  <c r="H743" i="1"/>
  <c r="M738" i="1"/>
  <c r="Q734" i="1"/>
  <c r="U730" i="1"/>
  <c r="K740" i="1"/>
  <c r="P735" i="1"/>
  <c r="T731" i="1"/>
  <c r="L739" i="1"/>
  <c r="O736" i="1"/>
  <c r="S732" i="1"/>
  <c r="N737" i="1"/>
  <c r="R733" i="1"/>
  <c r="V729" i="1"/>
  <c r="K1190" i="1"/>
  <c r="O1186" i="1"/>
  <c r="S1182" i="1"/>
  <c r="J1191" i="1"/>
  <c r="N1187" i="1"/>
  <c r="R1183" i="1"/>
  <c r="V1179" i="1"/>
  <c r="I1192" i="1"/>
  <c r="M1188" i="1"/>
  <c r="Q1184" i="1"/>
  <c r="U1180" i="1"/>
  <c r="H1193" i="1"/>
  <c r="L1189" i="1"/>
  <c r="P1185" i="1"/>
  <c r="T1181" i="1"/>
  <c r="J597" i="1"/>
  <c r="N593" i="1"/>
  <c r="I598" i="1"/>
  <c r="M594" i="1"/>
  <c r="O592" i="1"/>
  <c r="S588" i="1"/>
  <c r="H599" i="1"/>
  <c r="R589" i="1"/>
  <c r="V585" i="1"/>
  <c r="K596" i="1"/>
  <c r="Q590" i="1"/>
  <c r="U586" i="1"/>
  <c r="L595" i="1"/>
  <c r="P591" i="1"/>
  <c r="T587" i="1"/>
  <c r="J1540" i="1"/>
  <c r="N1536" i="1"/>
  <c r="R1532" i="1"/>
  <c r="V1528" i="1"/>
  <c r="I1541" i="1"/>
  <c r="M1537" i="1"/>
  <c r="Q1533" i="1"/>
  <c r="U1529" i="1"/>
  <c r="K1539" i="1"/>
  <c r="O1535" i="1"/>
  <c r="S1531" i="1"/>
  <c r="P1534" i="1"/>
  <c r="L1538" i="1"/>
  <c r="H1542" i="1"/>
  <c r="T1530" i="1"/>
  <c r="H621" i="1"/>
  <c r="L617" i="1"/>
  <c r="P613" i="1"/>
  <c r="T609" i="1"/>
  <c r="K618" i="1"/>
  <c r="O614" i="1"/>
  <c r="S610" i="1"/>
  <c r="J619" i="1"/>
  <c r="N615" i="1"/>
  <c r="R611" i="1"/>
  <c r="V607" i="1"/>
  <c r="I620" i="1"/>
  <c r="M616" i="1"/>
  <c r="Q612" i="1"/>
  <c r="U608" i="1"/>
  <c r="H904" i="1"/>
  <c r="L900" i="1"/>
  <c r="P896" i="1"/>
  <c r="T892" i="1"/>
  <c r="K901" i="1"/>
  <c r="O897" i="1"/>
  <c r="S893" i="1"/>
  <c r="J902" i="1"/>
  <c r="N898" i="1"/>
  <c r="R894" i="1"/>
  <c r="V890" i="1"/>
  <c r="I903" i="1"/>
  <c r="M899" i="1"/>
  <c r="Q895" i="1"/>
  <c r="U891" i="1"/>
  <c r="H1420" i="1"/>
  <c r="L1416" i="1"/>
  <c r="P1412" i="1"/>
  <c r="Q1411" i="1"/>
  <c r="R1410" i="1"/>
  <c r="I1419" i="1"/>
  <c r="J1418" i="1"/>
  <c r="K1417" i="1"/>
  <c r="T1408" i="1"/>
  <c r="M1415" i="1"/>
  <c r="N1414" i="1"/>
  <c r="O1413" i="1"/>
  <c r="S1409" i="1"/>
  <c r="V1406" i="1"/>
  <c r="U1407" i="1"/>
  <c r="J826" i="1"/>
  <c r="N822" i="1"/>
  <c r="R818" i="1"/>
  <c r="V814" i="1"/>
  <c r="L824" i="1"/>
  <c r="M823" i="1"/>
  <c r="O821" i="1"/>
  <c r="H828" i="1"/>
  <c r="I827" i="1"/>
  <c r="S817" i="1"/>
  <c r="Q819" i="1"/>
  <c r="T816" i="1"/>
  <c r="K825" i="1"/>
  <c r="P820" i="1"/>
  <c r="U815" i="1"/>
  <c r="I570" i="1"/>
  <c r="M566" i="1"/>
  <c r="Q562" i="1"/>
  <c r="U558" i="1"/>
  <c r="H571" i="1"/>
  <c r="L567" i="1"/>
  <c r="P563" i="1"/>
  <c r="T559" i="1"/>
  <c r="K568" i="1"/>
  <c r="O564" i="1"/>
  <c r="S560" i="1"/>
  <c r="J569" i="1"/>
  <c r="N565" i="1"/>
  <c r="R561" i="1"/>
  <c r="V557" i="1"/>
  <c r="H937" i="1"/>
  <c r="L933" i="1"/>
  <c r="P929" i="1"/>
  <c r="T925" i="1"/>
  <c r="K934" i="1"/>
  <c r="O930" i="1"/>
  <c r="S926" i="1"/>
  <c r="Q928" i="1"/>
  <c r="V923" i="1"/>
  <c r="M932" i="1"/>
  <c r="R927" i="1"/>
  <c r="J935" i="1"/>
  <c r="N931" i="1"/>
  <c r="I936" i="1"/>
  <c r="U924" i="1"/>
  <c r="K1533" i="1"/>
  <c r="O1529" i="1"/>
  <c r="S1525" i="1"/>
  <c r="J1534" i="1"/>
  <c r="N1530" i="1"/>
  <c r="R1526" i="1"/>
  <c r="H1536" i="1"/>
  <c r="L1532" i="1"/>
  <c r="P1528" i="1"/>
  <c r="M1531" i="1"/>
  <c r="T1524" i="1"/>
  <c r="V1522" i="1"/>
  <c r="I1535" i="1"/>
  <c r="Q1527" i="1"/>
  <c r="U1523" i="1"/>
  <c r="G71" i="1"/>
  <c r="K67" i="1"/>
  <c r="O63" i="1"/>
  <c r="S59" i="1"/>
  <c r="J68" i="1"/>
  <c r="N64" i="1"/>
  <c r="R60" i="1"/>
  <c r="V56" i="1"/>
  <c r="M65" i="1"/>
  <c r="L66" i="1"/>
  <c r="I69" i="1"/>
  <c r="Q61" i="1"/>
  <c r="T58" i="1"/>
  <c r="H70" i="1"/>
  <c r="P62" i="1"/>
  <c r="U57" i="1"/>
  <c r="G1556" i="1"/>
  <c r="G243" i="1"/>
  <c r="G1348" i="1"/>
  <c r="G1223" i="1"/>
  <c r="G1004" i="1"/>
  <c r="G693" i="1"/>
  <c r="G1134" i="1"/>
  <c r="G779" i="1"/>
  <c r="G1162" i="1"/>
  <c r="G708" i="1"/>
  <c r="G1387" i="1"/>
  <c r="G1169" i="1"/>
  <c r="G766" i="1"/>
  <c r="G665" i="1"/>
  <c r="G1281" i="1"/>
  <c r="G487" i="1"/>
  <c r="G287" i="1"/>
  <c r="G1270" i="1"/>
  <c r="G655" i="1"/>
  <c r="G1095" i="1"/>
  <c r="G1579" i="1"/>
  <c r="G347" i="1"/>
  <c r="G726" i="1"/>
  <c r="G304" i="1"/>
  <c r="G860" i="1"/>
  <c r="G1537" i="1"/>
  <c r="G1030" i="1"/>
  <c r="G363" i="1"/>
  <c r="G979" i="1"/>
  <c r="G737" i="1"/>
  <c r="G761" i="1"/>
  <c r="G1276" i="1"/>
  <c r="G1247" i="1"/>
  <c r="G1208" i="1"/>
  <c r="G1069" i="1"/>
  <c r="G750" i="1"/>
  <c r="G1343" i="1"/>
  <c r="G358" i="1"/>
  <c r="G1532" i="1"/>
  <c r="G1401" i="1"/>
  <c r="G532" i="1"/>
  <c r="G552" i="1"/>
  <c r="G267" i="1"/>
  <c r="G1123" i="1"/>
  <c r="G952" i="1"/>
  <c r="G1643" i="1"/>
  <c r="G1059" i="1"/>
  <c r="G1045" i="1"/>
  <c r="G527" i="1"/>
  <c r="G440" i="1"/>
  <c r="G371" i="1"/>
  <c r="G1520" i="1"/>
  <c r="G969" i="1"/>
  <c r="G1375" i="1"/>
  <c r="G1561" i="1"/>
  <c r="G342" i="1"/>
  <c r="G1326" i="1"/>
  <c r="G503" i="1"/>
  <c r="G1392" i="1"/>
  <c r="G493" i="1"/>
  <c r="G1353" i="1"/>
  <c r="G990" i="1"/>
  <c r="G1467" i="1"/>
  <c r="G392" i="1"/>
  <c r="G260" i="1"/>
  <c r="G1515" i="1"/>
  <c r="G452" i="1"/>
  <c r="G1306" i="1"/>
  <c r="G457" i="1"/>
  <c r="G1382" i="1"/>
  <c r="G426" i="1"/>
  <c r="G1652" i="1"/>
  <c r="G957" i="1"/>
  <c r="G398" i="1"/>
  <c r="G463" i="1"/>
  <c r="G223" i="1"/>
  <c r="G515" i="1"/>
  <c r="G1335" i="1"/>
  <c r="G682" i="1"/>
  <c r="G660" i="1"/>
  <c r="G1295" i="1"/>
  <c r="G409" i="1"/>
  <c r="G962" i="1"/>
  <c r="G1147" i="1"/>
  <c r="G1587" i="1"/>
  <c r="G1510" i="1"/>
  <c r="G321" i="1"/>
  <c r="G404" i="1"/>
  <c r="G1628" i="1"/>
  <c r="G732" i="1"/>
  <c r="G837" i="1"/>
  <c r="G912" i="1"/>
  <c r="G1606" i="1"/>
  <c r="G1180" i="1"/>
  <c r="G877" i="1"/>
  <c r="G688" i="1"/>
  <c r="G984" i="1"/>
  <c r="G1622" i="1"/>
  <c r="G744" i="1"/>
  <c r="G381" i="1"/>
  <c r="G1499" i="1"/>
  <c r="G1231" i="1"/>
  <c r="G572" i="1"/>
  <c r="G607" i="1"/>
  <c r="G1090" i="1"/>
  <c r="G795" i="1"/>
  <c r="G1487" i="1"/>
  <c r="G974" i="1"/>
  <c r="G479" i="1"/>
  <c r="G1128" i="1"/>
  <c r="G1462" i="1"/>
  <c r="G1425" i="1"/>
  <c r="G785" i="1"/>
  <c r="G594" i="1"/>
  <c r="G1101" i="1"/>
  <c r="G1636" i="1"/>
  <c r="G1255" i="1"/>
  <c r="G1543" i="1"/>
  <c r="G999" i="1"/>
  <c r="G805" i="1"/>
  <c r="G113" i="1"/>
  <c r="G1157" i="1"/>
  <c r="G212" i="1"/>
  <c r="G869" i="1"/>
  <c r="G1597" i="1"/>
  <c r="G420" i="1"/>
  <c r="G579" i="1"/>
  <c r="G206" i="1"/>
  <c r="G1185" i="1"/>
  <c r="G447" i="1"/>
  <c r="G474" i="1"/>
  <c r="G352" i="1"/>
  <c r="G811" i="1"/>
  <c r="G152" i="1"/>
  <c r="G1482" i="1"/>
  <c r="G469" i="1"/>
  <c r="G1615" i="1"/>
  <c r="G647" i="1"/>
  <c r="G613" i="1"/>
  <c r="G721" i="1"/>
  <c r="G755" i="1"/>
  <c r="G1364" i="1"/>
  <c r="G1407" i="1"/>
  <c r="G633" i="1"/>
  <c r="G1194" i="1"/>
  <c r="G600" i="1"/>
  <c r="G99" i="1"/>
  <c r="G248" i="1"/>
  <c r="G829" i="1"/>
  <c r="G1075" i="1"/>
  <c r="G938" i="1"/>
  <c r="G1035" i="1"/>
  <c r="G1014" i="1"/>
  <c r="G336" i="1"/>
  <c r="G281" i="1"/>
  <c r="G1202" i="1"/>
  <c r="G1114" i="1"/>
  <c r="G563" i="1"/>
  <c r="G1445" i="1"/>
  <c r="G713" i="1"/>
  <c r="G545" i="1"/>
  <c r="G921" i="1"/>
  <c r="G316" i="1"/>
  <c r="G1431" i="1"/>
  <c r="G274" i="1"/>
  <c r="G851" i="1"/>
  <c r="G1300" i="1"/>
  <c r="G673" i="1"/>
  <c r="G1658" i="1"/>
  <c r="G1679" i="1"/>
  <c r="G1684" i="1"/>
  <c r="G1663" i="1"/>
  <c r="G1696" i="1"/>
  <c r="G1722" i="1"/>
  <c r="G1727" i="1"/>
  <c r="G1704" i="1"/>
  <c r="G1715" i="1"/>
  <c r="W45" i="1"/>
  <c r="W43" i="1"/>
  <c r="W39" i="1"/>
  <c r="W40" i="1"/>
  <c r="W618" i="1" l="1"/>
  <c r="W1015" i="1"/>
  <c r="W1232" i="1"/>
  <c r="W894" i="1"/>
  <c r="W890" i="1"/>
  <c r="H248" i="1"/>
  <c r="L244" i="1"/>
  <c r="P240" i="1"/>
  <c r="T236" i="1"/>
  <c r="K245" i="1"/>
  <c r="O241" i="1"/>
  <c r="S237" i="1"/>
  <c r="I247" i="1"/>
  <c r="M243" i="1"/>
  <c r="R238" i="1"/>
  <c r="U235" i="1"/>
  <c r="J246" i="1"/>
  <c r="N242" i="1"/>
  <c r="Q239" i="1"/>
  <c r="V234" i="1"/>
  <c r="H381" i="1"/>
  <c r="L377" i="1"/>
  <c r="P373" i="1"/>
  <c r="T369" i="1"/>
  <c r="K378" i="1"/>
  <c r="O374" i="1"/>
  <c r="S370" i="1"/>
  <c r="J379" i="1"/>
  <c r="N375" i="1"/>
  <c r="R371" i="1"/>
  <c r="V367" i="1"/>
  <c r="U368" i="1"/>
  <c r="I380" i="1"/>
  <c r="Q372" i="1"/>
  <c r="M376" i="1"/>
  <c r="H1306" i="1"/>
  <c r="L1302" i="1"/>
  <c r="P1298" i="1"/>
  <c r="J1304" i="1"/>
  <c r="I1305" i="1"/>
  <c r="M1301" i="1"/>
  <c r="Q1297" i="1"/>
  <c r="S1295" i="1"/>
  <c r="V1292" i="1"/>
  <c r="U1293" i="1"/>
  <c r="K1303" i="1"/>
  <c r="T1294" i="1"/>
  <c r="N1300" i="1"/>
  <c r="O1299" i="1"/>
  <c r="R1296" i="1"/>
  <c r="J1577" i="1"/>
  <c r="N1573" i="1"/>
  <c r="R1569" i="1"/>
  <c r="V1565" i="1"/>
  <c r="Q1570" i="1"/>
  <c r="U1566" i="1"/>
  <c r="M1574" i="1"/>
  <c r="O1572" i="1"/>
  <c r="S1568" i="1"/>
  <c r="K1576" i="1"/>
  <c r="H1579" i="1"/>
  <c r="P1571" i="1"/>
  <c r="L1575" i="1"/>
  <c r="T1567" i="1"/>
  <c r="I1578" i="1"/>
  <c r="G126" i="1"/>
  <c r="H125" i="1"/>
  <c r="L121" i="1"/>
  <c r="P117" i="1"/>
  <c r="T113" i="1"/>
  <c r="K122" i="1"/>
  <c r="O118" i="1"/>
  <c r="S114" i="1"/>
  <c r="J123" i="1"/>
  <c r="N119" i="1"/>
  <c r="R115" i="1"/>
  <c r="V111" i="1"/>
  <c r="U112" i="1"/>
  <c r="I124" i="1"/>
  <c r="Q116" i="1"/>
  <c r="M120" i="1"/>
  <c r="K1676" i="1"/>
  <c r="J1677" i="1"/>
  <c r="I1678" i="1"/>
  <c r="H1679" i="1"/>
  <c r="N1673" i="1"/>
  <c r="R1669" i="1"/>
  <c r="V1665" i="1"/>
  <c r="W1665" i="1" s="1"/>
  <c r="M1674" i="1"/>
  <c r="Q1670" i="1"/>
  <c r="U1666" i="1"/>
  <c r="L1675" i="1"/>
  <c r="O1672" i="1"/>
  <c r="T1667" i="1"/>
  <c r="W1667" i="1" s="1"/>
  <c r="S1668" i="1"/>
  <c r="W1668" i="1" s="1"/>
  <c r="P1671" i="1"/>
  <c r="J314" i="1"/>
  <c r="N310" i="1"/>
  <c r="R306" i="1"/>
  <c r="V302" i="1"/>
  <c r="I315" i="1"/>
  <c r="M311" i="1"/>
  <c r="Q307" i="1"/>
  <c r="U303" i="1"/>
  <c r="K313" i="1"/>
  <c r="P308" i="1"/>
  <c r="L312" i="1"/>
  <c r="S305" i="1"/>
  <c r="H316" i="1"/>
  <c r="O309" i="1"/>
  <c r="T304" i="1"/>
  <c r="I280" i="1"/>
  <c r="M276" i="1"/>
  <c r="Q272" i="1"/>
  <c r="U268" i="1"/>
  <c r="H281" i="1"/>
  <c r="L277" i="1"/>
  <c r="P273" i="1"/>
  <c r="T269" i="1"/>
  <c r="K278" i="1"/>
  <c r="O274" i="1"/>
  <c r="S270" i="1"/>
  <c r="J279" i="1"/>
  <c r="N275" i="1"/>
  <c r="R271" i="1"/>
  <c r="V267" i="1"/>
  <c r="K96" i="1"/>
  <c r="O92" i="1"/>
  <c r="S88" i="1"/>
  <c r="J97" i="1"/>
  <c r="N93" i="1"/>
  <c r="R89" i="1"/>
  <c r="V85" i="1"/>
  <c r="I98" i="1"/>
  <c r="M94" i="1"/>
  <c r="Q90" i="1"/>
  <c r="U86" i="1"/>
  <c r="P91" i="1"/>
  <c r="T87" i="1"/>
  <c r="L95" i="1"/>
  <c r="H99" i="1"/>
  <c r="H613" i="1"/>
  <c r="L609" i="1"/>
  <c r="P605" i="1"/>
  <c r="T601" i="1"/>
  <c r="K610" i="1"/>
  <c r="O606" i="1"/>
  <c r="S602" i="1"/>
  <c r="J611" i="1"/>
  <c r="N607" i="1"/>
  <c r="R603" i="1"/>
  <c r="V599" i="1"/>
  <c r="I612" i="1"/>
  <c r="M608" i="1"/>
  <c r="Q604" i="1"/>
  <c r="U600" i="1"/>
  <c r="H474" i="1"/>
  <c r="L470" i="1"/>
  <c r="P466" i="1"/>
  <c r="T462" i="1"/>
  <c r="K471" i="1"/>
  <c r="O467" i="1"/>
  <c r="S463" i="1"/>
  <c r="I473" i="1"/>
  <c r="N468" i="1"/>
  <c r="U461" i="1"/>
  <c r="J472" i="1"/>
  <c r="Q465" i="1"/>
  <c r="R464" i="1"/>
  <c r="M469" i="1"/>
  <c r="V460" i="1"/>
  <c r="J210" i="1"/>
  <c r="N206" i="1"/>
  <c r="R202" i="1"/>
  <c r="V198" i="1"/>
  <c r="I211" i="1"/>
  <c r="M207" i="1"/>
  <c r="Q203" i="1"/>
  <c r="U199" i="1"/>
  <c r="H212" i="1"/>
  <c r="P204" i="1"/>
  <c r="O205" i="1"/>
  <c r="L208" i="1"/>
  <c r="T200" i="1"/>
  <c r="K209" i="1"/>
  <c r="S201" i="1"/>
  <c r="I1100" i="1"/>
  <c r="M1096" i="1"/>
  <c r="Q1092" i="1"/>
  <c r="U1088" i="1"/>
  <c r="H1101" i="1"/>
  <c r="L1097" i="1"/>
  <c r="W1097" i="1" s="1"/>
  <c r="P1093" i="1"/>
  <c r="T1089" i="1"/>
  <c r="K1098" i="1"/>
  <c r="O1094" i="1"/>
  <c r="S1090" i="1"/>
  <c r="J1099" i="1"/>
  <c r="W1099" i="1" s="1"/>
  <c r="N1095" i="1"/>
  <c r="R1091" i="1"/>
  <c r="V1087" i="1"/>
  <c r="H1487" i="1"/>
  <c r="L1483" i="1"/>
  <c r="P1479" i="1"/>
  <c r="T1475" i="1"/>
  <c r="M1482" i="1"/>
  <c r="N1481" i="1"/>
  <c r="O1480" i="1"/>
  <c r="J1485" i="1"/>
  <c r="U1474" i="1"/>
  <c r="K1484" i="1"/>
  <c r="V1473" i="1"/>
  <c r="I1486" i="1"/>
  <c r="Q1478" i="1"/>
  <c r="S1476" i="1"/>
  <c r="R1477" i="1"/>
  <c r="H744" i="1"/>
  <c r="L740" i="1"/>
  <c r="J742" i="1"/>
  <c r="K741" i="1"/>
  <c r="Q735" i="1"/>
  <c r="U731" i="1"/>
  <c r="M739" i="1"/>
  <c r="P736" i="1"/>
  <c r="T732" i="1"/>
  <c r="R734" i="1"/>
  <c r="N738" i="1"/>
  <c r="S733" i="1"/>
  <c r="I743" i="1"/>
  <c r="V730" i="1"/>
  <c r="O737" i="1"/>
  <c r="H837" i="1"/>
  <c r="L833" i="1"/>
  <c r="P829" i="1"/>
  <c r="T825" i="1"/>
  <c r="I836" i="1"/>
  <c r="N831" i="1"/>
  <c r="R827" i="1"/>
  <c r="V823" i="1"/>
  <c r="O830" i="1"/>
  <c r="M832" i="1"/>
  <c r="S826" i="1"/>
  <c r="U824" i="1"/>
  <c r="K834" i="1"/>
  <c r="J835" i="1"/>
  <c r="Q828" i="1"/>
  <c r="I961" i="1"/>
  <c r="M957" i="1"/>
  <c r="Q953" i="1"/>
  <c r="U949" i="1"/>
  <c r="H962" i="1"/>
  <c r="L958" i="1"/>
  <c r="P954" i="1"/>
  <c r="T950" i="1"/>
  <c r="K959" i="1"/>
  <c r="O955" i="1"/>
  <c r="S951" i="1"/>
  <c r="J960" i="1"/>
  <c r="N956" i="1"/>
  <c r="R952" i="1"/>
  <c r="V948" i="1"/>
  <c r="K460" i="1"/>
  <c r="J461" i="1"/>
  <c r="I462" i="1"/>
  <c r="H463" i="1"/>
  <c r="L459" i="1"/>
  <c r="M458" i="1"/>
  <c r="Q454" i="1"/>
  <c r="U450" i="1"/>
  <c r="P455" i="1"/>
  <c r="T451" i="1"/>
  <c r="O456" i="1"/>
  <c r="S452" i="1"/>
  <c r="V449" i="1"/>
  <c r="R453" i="1"/>
  <c r="N457" i="1"/>
  <c r="K449" i="1"/>
  <c r="O445" i="1"/>
  <c r="S441" i="1"/>
  <c r="J450" i="1"/>
  <c r="N446" i="1"/>
  <c r="R442" i="1"/>
  <c r="V438" i="1"/>
  <c r="P444" i="1"/>
  <c r="U439" i="1"/>
  <c r="I451" i="1"/>
  <c r="L448" i="1"/>
  <c r="Q443" i="1"/>
  <c r="H452" i="1"/>
  <c r="M447" i="1"/>
  <c r="T440" i="1"/>
  <c r="K1517" i="1"/>
  <c r="O1513" i="1"/>
  <c r="S1509" i="1"/>
  <c r="J1518" i="1"/>
  <c r="N1514" i="1"/>
  <c r="R1510" i="1"/>
  <c r="V1506" i="1"/>
  <c r="I1519" i="1"/>
  <c r="L1516" i="1"/>
  <c r="Q1511" i="1"/>
  <c r="T1508" i="1"/>
  <c r="U1507" i="1"/>
  <c r="M1515" i="1"/>
  <c r="H1520" i="1"/>
  <c r="P1512" i="1"/>
  <c r="H1123" i="1"/>
  <c r="L1119" i="1"/>
  <c r="P1115" i="1"/>
  <c r="T1111" i="1"/>
  <c r="K1120" i="1"/>
  <c r="O1116" i="1"/>
  <c r="S1112" i="1"/>
  <c r="J1121" i="1"/>
  <c r="N1117" i="1"/>
  <c r="R1113" i="1"/>
  <c r="V1109" i="1"/>
  <c r="I1122" i="1"/>
  <c r="M1118" i="1"/>
  <c r="Q1114" i="1"/>
  <c r="U1110" i="1"/>
  <c r="K747" i="1"/>
  <c r="O743" i="1"/>
  <c r="S739" i="1"/>
  <c r="J748" i="1"/>
  <c r="I749" i="1"/>
  <c r="T738" i="1"/>
  <c r="H750" i="1"/>
  <c r="N744" i="1"/>
  <c r="P742" i="1"/>
  <c r="L746" i="1"/>
  <c r="R740" i="1"/>
  <c r="M745" i="1"/>
  <c r="Q741" i="1"/>
  <c r="U737" i="1"/>
  <c r="V736" i="1"/>
  <c r="K360" i="1"/>
  <c r="O356" i="1"/>
  <c r="S352" i="1"/>
  <c r="J361" i="1"/>
  <c r="N357" i="1"/>
  <c r="R353" i="1"/>
  <c r="V349" i="1"/>
  <c r="I362" i="1"/>
  <c r="M358" i="1"/>
  <c r="Q354" i="1"/>
  <c r="U350" i="1"/>
  <c r="T351" i="1"/>
  <c r="H363" i="1"/>
  <c r="P355" i="1"/>
  <c r="L359" i="1"/>
  <c r="J1093" i="1"/>
  <c r="N1089" i="1"/>
  <c r="R1085" i="1"/>
  <c r="V1081" i="1"/>
  <c r="I1094" i="1"/>
  <c r="M1090" i="1"/>
  <c r="Q1086" i="1"/>
  <c r="H1095" i="1"/>
  <c r="L1091" i="1"/>
  <c r="P1087" i="1"/>
  <c r="T1083" i="1"/>
  <c r="K1092" i="1"/>
  <c r="O1088" i="1"/>
  <c r="S1084" i="1"/>
  <c r="U1082" i="1"/>
  <c r="K1166" i="1"/>
  <c r="O1162" i="1"/>
  <c r="S1158" i="1"/>
  <c r="J1167" i="1"/>
  <c r="I1168" i="1"/>
  <c r="M1164" i="1"/>
  <c r="Q1160" i="1"/>
  <c r="U1156" i="1"/>
  <c r="H1169" i="1"/>
  <c r="L1165" i="1"/>
  <c r="P1161" i="1"/>
  <c r="T1157" i="1"/>
  <c r="N1163" i="1"/>
  <c r="V1155" i="1"/>
  <c r="R1159" i="1"/>
  <c r="J1221" i="1"/>
  <c r="N1217" i="1"/>
  <c r="R1213" i="1"/>
  <c r="W1213" i="1" s="1"/>
  <c r="V1209" i="1"/>
  <c r="I1222" i="1"/>
  <c r="M1218" i="1"/>
  <c r="Q1214" i="1"/>
  <c r="W1214" i="1" s="1"/>
  <c r="U1210" i="1"/>
  <c r="H1223" i="1"/>
  <c r="L1219" i="1"/>
  <c r="P1215" i="1"/>
  <c r="W1215" i="1" s="1"/>
  <c r="T1211" i="1"/>
  <c r="K1220" i="1"/>
  <c r="O1216" i="1"/>
  <c r="S1212" i="1"/>
  <c r="I1683" i="1"/>
  <c r="M1679" i="1"/>
  <c r="H1684" i="1"/>
  <c r="L1680" i="1"/>
  <c r="P1676" i="1"/>
  <c r="K1681" i="1"/>
  <c r="O1677" i="1"/>
  <c r="J1682" i="1"/>
  <c r="Q1675" i="1"/>
  <c r="U1671" i="1"/>
  <c r="T1672" i="1"/>
  <c r="R1674" i="1"/>
  <c r="V1670" i="1"/>
  <c r="N1678" i="1"/>
  <c r="S1673" i="1"/>
  <c r="I351" i="1"/>
  <c r="M347" i="1"/>
  <c r="Q343" i="1"/>
  <c r="U339" i="1"/>
  <c r="H352" i="1"/>
  <c r="L348" i="1"/>
  <c r="P344" i="1"/>
  <c r="T340" i="1"/>
  <c r="N346" i="1"/>
  <c r="S341" i="1"/>
  <c r="V338" i="1"/>
  <c r="J350" i="1"/>
  <c r="O345" i="1"/>
  <c r="K349" i="1"/>
  <c r="R342" i="1"/>
  <c r="H912" i="1"/>
  <c r="L908" i="1"/>
  <c r="P904" i="1"/>
  <c r="T900" i="1"/>
  <c r="K909" i="1"/>
  <c r="O905" i="1"/>
  <c r="S901" i="1"/>
  <c r="J910" i="1"/>
  <c r="N906" i="1"/>
  <c r="R902" i="1"/>
  <c r="V898" i="1"/>
  <c r="I911" i="1"/>
  <c r="M907" i="1"/>
  <c r="Q903" i="1"/>
  <c r="U899" i="1"/>
  <c r="J491" i="1"/>
  <c r="N487" i="1"/>
  <c r="R483" i="1"/>
  <c r="V479" i="1"/>
  <c r="I492" i="1"/>
  <c r="M488" i="1"/>
  <c r="Q484" i="1"/>
  <c r="U480" i="1"/>
  <c r="H493" i="1"/>
  <c r="L489" i="1"/>
  <c r="P485" i="1"/>
  <c r="T481" i="1"/>
  <c r="K490" i="1"/>
  <c r="O486" i="1"/>
  <c r="S482" i="1"/>
  <c r="I765" i="1"/>
  <c r="M761" i="1"/>
  <c r="Q757" i="1"/>
  <c r="U753" i="1"/>
  <c r="K763" i="1"/>
  <c r="O759" i="1"/>
  <c r="S755" i="1"/>
  <c r="P758" i="1"/>
  <c r="V752" i="1"/>
  <c r="J764" i="1"/>
  <c r="L762" i="1"/>
  <c r="R756" i="1"/>
  <c r="H766" i="1"/>
  <c r="N760" i="1"/>
  <c r="T754" i="1"/>
  <c r="H921" i="1"/>
  <c r="L917" i="1"/>
  <c r="P913" i="1"/>
  <c r="T909" i="1"/>
  <c r="K918" i="1"/>
  <c r="O914" i="1"/>
  <c r="S910" i="1"/>
  <c r="I920" i="1"/>
  <c r="N915" i="1"/>
  <c r="U908" i="1"/>
  <c r="J919" i="1"/>
  <c r="R911" i="1"/>
  <c r="M916" i="1"/>
  <c r="V907" i="1"/>
  <c r="Q912" i="1"/>
  <c r="I646" i="1"/>
  <c r="M642" i="1"/>
  <c r="Q638" i="1"/>
  <c r="U634" i="1"/>
  <c r="H647" i="1"/>
  <c r="L643" i="1"/>
  <c r="P639" i="1"/>
  <c r="T635" i="1"/>
  <c r="K644" i="1"/>
  <c r="O640" i="1"/>
  <c r="S636" i="1"/>
  <c r="J645" i="1"/>
  <c r="N641" i="1"/>
  <c r="R637" i="1"/>
  <c r="V633" i="1"/>
  <c r="K792" i="1"/>
  <c r="O788" i="1"/>
  <c r="S784" i="1"/>
  <c r="R785" i="1"/>
  <c r="I794" i="1"/>
  <c r="L791" i="1"/>
  <c r="V781" i="1"/>
  <c r="J793" i="1"/>
  <c r="Q786" i="1"/>
  <c r="T783" i="1"/>
  <c r="M790" i="1"/>
  <c r="U782" i="1"/>
  <c r="H795" i="1"/>
  <c r="P787" i="1"/>
  <c r="N789" i="1"/>
  <c r="J407" i="1"/>
  <c r="N403" i="1"/>
  <c r="R399" i="1"/>
  <c r="V395" i="1"/>
  <c r="I408" i="1"/>
  <c r="M404" i="1"/>
  <c r="Q400" i="1"/>
  <c r="U396" i="1"/>
  <c r="H409" i="1"/>
  <c r="L405" i="1"/>
  <c r="P401" i="1"/>
  <c r="T397" i="1"/>
  <c r="S398" i="1"/>
  <c r="O402" i="1"/>
  <c r="K406" i="1"/>
  <c r="J265" i="1"/>
  <c r="N261" i="1"/>
  <c r="R257" i="1"/>
  <c r="V253" i="1"/>
  <c r="I266" i="1"/>
  <c r="M262" i="1"/>
  <c r="Q258" i="1"/>
  <c r="U254" i="1"/>
  <c r="H267" i="1"/>
  <c r="L263" i="1"/>
  <c r="P259" i="1"/>
  <c r="T255" i="1"/>
  <c r="K264" i="1"/>
  <c r="O260" i="1"/>
  <c r="S256" i="1"/>
  <c r="J1385" i="1"/>
  <c r="N1381" i="1"/>
  <c r="R1377" i="1"/>
  <c r="V1373" i="1"/>
  <c r="I1386" i="1"/>
  <c r="M1382" i="1"/>
  <c r="Q1378" i="1"/>
  <c r="U1374" i="1"/>
  <c r="L1383" i="1"/>
  <c r="T1375" i="1"/>
  <c r="K1384" i="1"/>
  <c r="S1376" i="1"/>
  <c r="H1387" i="1"/>
  <c r="P1379" i="1"/>
  <c r="O1380" i="1"/>
  <c r="K1701" i="1"/>
  <c r="O1697" i="1"/>
  <c r="S1693" i="1"/>
  <c r="J1702" i="1"/>
  <c r="N1698" i="1"/>
  <c r="R1694" i="1"/>
  <c r="V1690" i="1"/>
  <c r="I1703" i="1"/>
  <c r="M1699" i="1"/>
  <c r="Q1695" i="1"/>
  <c r="U1691" i="1"/>
  <c r="L1700" i="1"/>
  <c r="P1696" i="1"/>
  <c r="H1704" i="1"/>
  <c r="T1692" i="1"/>
  <c r="J671" i="1"/>
  <c r="N667" i="1"/>
  <c r="R663" i="1"/>
  <c r="V659" i="1"/>
  <c r="I672" i="1"/>
  <c r="M668" i="1"/>
  <c r="Q664" i="1"/>
  <c r="U660" i="1"/>
  <c r="H673" i="1"/>
  <c r="L669" i="1"/>
  <c r="P665" i="1"/>
  <c r="T661" i="1"/>
  <c r="K670" i="1"/>
  <c r="O666" i="1"/>
  <c r="S662" i="1"/>
  <c r="H545" i="1"/>
  <c r="L541" i="1"/>
  <c r="P537" i="1"/>
  <c r="T533" i="1"/>
  <c r="K542" i="1"/>
  <c r="O538" i="1"/>
  <c r="S534" i="1"/>
  <c r="J543" i="1"/>
  <c r="N539" i="1"/>
  <c r="R535" i="1"/>
  <c r="V531" i="1"/>
  <c r="I544" i="1"/>
  <c r="M540" i="1"/>
  <c r="Q536" i="1"/>
  <c r="U532" i="1"/>
  <c r="I1013" i="1"/>
  <c r="W1013" i="1" s="1"/>
  <c r="M1009" i="1"/>
  <c r="W1009" i="1" s="1"/>
  <c r="H1014" i="1"/>
  <c r="W1014" i="1" s="1"/>
  <c r="L1010" i="1"/>
  <c r="W1010" i="1" s="1"/>
  <c r="P1006" i="1"/>
  <c r="S1003" i="1"/>
  <c r="O1007" i="1"/>
  <c r="Q1005" i="1"/>
  <c r="T1002" i="1"/>
  <c r="K1011" i="1"/>
  <c r="W1011" i="1" s="1"/>
  <c r="N1008" i="1"/>
  <c r="W1008" i="1" s="1"/>
  <c r="U1001" i="1"/>
  <c r="J1012" i="1"/>
  <c r="V1000" i="1"/>
  <c r="R1004" i="1"/>
  <c r="K1191" i="1"/>
  <c r="O1187" i="1"/>
  <c r="S1183" i="1"/>
  <c r="J1192" i="1"/>
  <c r="N1188" i="1"/>
  <c r="R1184" i="1"/>
  <c r="V1180" i="1"/>
  <c r="P1186" i="1"/>
  <c r="U1181" i="1"/>
  <c r="L1190" i="1"/>
  <c r="Q1185" i="1"/>
  <c r="H1194" i="1"/>
  <c r="T1182" i="1"/>
  <c r="I1193" i="1"/>
  <c r="M1189" i="1"/>
  <c r="J1613" i="1"/>
  <c r="N1609" i="1"/>
  <c r="I1614" i="1"/>
  <c r="M1610" i="1"/>
  <c r="H1615" i="1"/>
  <c r="K1612" i="1"/>
  <c r="O1608" i="1"/>
  <c r="Q1606" i="1"/>
  <c r="T1603" i="1"/>
  <c r="P1607" i="1"/>
  <c r="S1604" i="1"/>
  <c r="U1602" i="1"/>
  <c r="V1601" i="1"/>
  <c r="L1611" i="1"/>
  <c r="R1605" i="1"/>
  <c r="K1182" i="1"/>
  <c r="O1178" i="1"/>
  <c r="S1174" i="1"/>
  <c r="J1183" i="1"/>
  <c r="N1179" i="1"/>
  <c r="R1175" i="1"/>
  <c r="V1171" i="1"/>
  <c r="I1184" i="1"/>
  <c r="M1180" i="1"/>
  <c r="Q1176" i="1"/>
  <c r="U1172" i="1"/>
  <c r="H1185" i="1"/>
  <c r="L1181" i="1"/>
  <c r="P1177" i="1"/>
  <c r="T1173" i="1"/>
  <c r="J111" i="1"/>
  <c r="N107" i="1"/>
  <c r="R103" i="1"/>
  <c r="V99" i="1"/>
  <c r="I112" i="1"/>
  <c r="M108" i="1"/>
  <c r="Q104" i="1"/>
  <c r="U100" i="1"/>
  <c r="H113" i="1"/>
  <c r="L109" i="1"/>
  <c r="P105" i="1"/>
  <c r="T101" i="1"/>
  <c r="O106" i="1"/>
  <c r="K110" i="1"/>
  <c r="S102" i="1"/>
  <c r="J783" i="1"/>
  <c r="N779" i="1"/>
  <c r="S774" i="1"/>
  <c r="L781" i="1"/>
  <c r="O778" i="1"/>
  <c r="I784" i="1"/>
  <c r="R775" i="1"/>
  <c r="V771" i="1"/>
  <c r="M780" i="1"/>
  <c r="U772" i="1"/>
  <c r="H785" i="1"/>
  <c r="T773" i="1"/>
  <c r="Q776" i="1"/>
  <c r="K782" i="1"/>
  <c r="P777" i="1"/>
  <c r="K1087" i="1"/>
  <c r="O1083" i="1"/>
  <c r="S1079" i="1"/>
  <c r="J1088" i="1"/>
  <c r="N1084" i="1"/>
  <c r="R1080" i="1"/>
  <c r="V1076" i="1"/>
  <c r="H1090" i="1"/>
  <c r="Q1081" i="1"/>
  <c r="T1078" i="1"/>
  <c r="I1089" i="1"/>
  <c r="M1085" i="1"/>
  <c r="P1082" i="1"/>
  <c r="L1086" i="1"/>
  <c r="U1077" i="1"/>
  <c r="H984" i="1"/>
  <c r="L980" i="1"/>
  <c r="P976" i="1"/>
  <c r="T972" i="1"/>
  <c r="K981" i="1"/>
  <c r="O977" i="1"/>
  <c r="S973" i="1"/>
  <c r="J982" i="1"/>
  <c r="N978" i="1"/>
  <c r="R974" i="1"/>
  <c r="V970" i="1"/>
  <c r="I983" i="1"/>
  <c r="M979" i="1"/>
  <c r="Q975" i="1"/>
  <c r="U971" i="1"/>
  <c r="I1627" i="1"/>
  <c r="M1623" i="1"/>
  <c r="Q1619" i="1"/>
  <c r="U1615" i="1"/>
  <c r="H1628" i="1"/>
  <c r="L1624" i="1"/>
  <c r="P1620" i="1"/>
  <c r="T1616" i="1"/>
  <c r="K1625" i="1"/>
  <c r="O1621" i="1"/>
  <c r="S1617" i="1"/>
  <c r="J1626" i="1"/>
  <c r="N1622" i="1"/>
  <c r="R1618" i="1"/>
  <c r="V1614" i="1"/>
  <c r="I1294" i="1"/>
  <c r="M1290" i="1"/>
  <c r="Q1286" i="1"/>
  <c r="U1282" i="1"/>
  <c r="H1295" i="1"/>
  <c r="L1291" i="1"/>
  <c r="P1287" i="1"/>
  <c r="T1283" i="1"/>
  <c r="J1293" i="1"/>
  <c r="O1288" i="1"/>
  <c r="V1281" i="1"/>
  <c r="K1292" i="1"/>
  <c r="R1285" i="1"/>
  <c r="N1289" i="1"/>
  <c r="S1284" i="1"/>
  <c r="W1284" i="1" s="1"/>
  <c r="J955" i="1"/>
  <c r="N951" i="1"/>
  <c r="R947" i="1"/>
  <c r="V943" i="1"/>
  <c r="I956" i="1"/>
  <c r="M952" i="1"/>
  <c r="Q948" i="1"/>
  <c r="U944" i="1"/>
  <c r="K954" i="1"/>
  <c r="P949" i="1"/>
  <c r="L953" i="1"/>
  <c r="T945" i="1"/>
  <c r="H957" i="1"/>
  <c r="O950" i="1"/>
  <c r="S946" i="1"/>
  <c r="J258" i="1"/>
  <c r="N254" i="1"/>
  <c r="R250" i="1"/>
  <c r="V246" i="1"/>
  <c r="I259" i="1"/>
  <c r="M255" i="1"/>
  <c r="Q251" i="1"/>
  <c r="U247" i="1"/>
  <c r="O253" i="1"/>
  <c r="T248" i="1"/>
  <c r="K257" i="1"/>
  <c r="P252" i="1"/>
  <c r="L256" i="1"/>
  <c r="S249" i="1"/>
  <c r="H260" i="1"/>
  <c r="K500" i="1"/>
  <c r="O496" i="1"/>
  <c r="W496" i="1" s="1"/>
  <c r="S492" i="1"/>
  <c r="J501" i="1"/>
  <c r="N497" i="1"/>
  <c r="W497" i="1" s="1"/>
  <c r="R493" i="1"/>
  <c r="V489" i="1"/>
  <c r="I502" i="1"/>
  <c r="M498" i="1"/>
  <c r="Q494" i="1"/>
  <c r="U490" i="1"/>
  <c r="H503" i="1"/>
  <c r="L499" i="1"/>
  <c r="W499" i="1" s="1"/>
  <c r="P495" i="1"/>
  <c r="W495" i="1" s="1"/>
  <c r="T491" i="1"/>
  <c r="I439" i="1"/>
  <c r="M435" i="1"/>
  <c r="Q431" i="1"/>
  <c r="U427" i="1"/>
  <c r="H440" i="1"/>
  <c r="L436" i="1"/>
  <c r="P432" i="1"/>
  <c r="T428" i="1"/>
  <c r="K437" i="1"/>
  <c r="N434" i="1"/>
  <c r="S429" i="1"/>
  <c r="V426" i="1"/>
  <c r="J438" i="1"/>
  <c r="R430" i="1"/>
  <c r="O433" i="1"/>
  <c r="K549" i="1"/>
  <c r="O545" i="1"/>
  <c r="S541" i="1"/>
  <c r="J550" i="1"/>
  <c r="N546" i="1"/>
  <c r="R542" i="1"/>
  <c r="V538" i="1"/>
  <c r="H552" i="1"/>
  <c r="M547" i="1"/>
  <c r="T540" i="1"/>
  <c r="I551" i="1"/>
  <c r="P544" i="1"/>
  <c r="U539" i="1"/>
  <c r="Q543" i="1"/>
  <c r="L548" i="1"/>
  <c r="J1206" i="1"/>
  <c r="N1202" i="1"/>
  <c r="R1198" i="1"/>
  <c r="V1194" i="1"/>
  <c r="I1207" i="1"/>
  <c r="M1203" i="1"/>
  <c r="Q1199" i="1"/>
  <c r="U1195" i="1"/>
  <c r="O1201" i="1"/>
  <c r="T1196" i="1"/>
  <c r="K1205" i="1"/>
  <c r="P1200" i="1"/>
  <c r="S1197" i="1"/>
  <c r="H1208" i="1"/>
  <c r="L1204" i="1"/>
  <c r="J1535" i="1"/>
  <c r="N1531" i="1"/>
  <c r="R1527" i="1"/>
  <c r="H1537" i="1"/>
  <c r="L1533" i="1"/>
  <c r="P1529" i="1"/>
  <c r="T1525" i="1"/>
  <c r="I1536" i="1"/>
  <c r="U1524" i="1"/>
  <c r="K1534" i="1"/>
  <c r="Q1528" i="1"/>
  <c r="M1532" i="1"/>
  <c r="O1530" i="1"/>
  <c r="S1526" i="1"/>
  <c r="V1523" i="1"/>
  <c r="I1269" i="1"/>
  <c r="M1265" i="1"/>
  <c r="Q1261" i="1"/>
  <c r="U1257" i="1"/>
  <c r="H1270" i="1"/>
  <c r="L1266" i="1"/>
  <c r="P1262" i="1"/>
  <c r="T1258" i="1"/>
  <c r="K1267" i="1"/>
  <c r="O1263" i="1"/>
  <c r="S1259" i="1"/>
  <c r="J1268" i="1"/>
  <c r="N1264" i="1"/>
  <c r="R1260" i="1"/>
  <c r="V1256" i="1"/>
  <c r="K705" i="1"/>
  <c r="O701" i="1"/>
  <c r="S697" i="1"/>
  <c r="J706" i="1"/>
  <c r="N702" i="1"/>
  <c r="R698" i="1"/>
  <c r="V694" i="1"/>
  <c r="P700" i="1"/>
  <c r="U695" i="1"/>
  <c r="L704" i="1"/>
  <c r="Q699" i="1"/>
  <c r="H708" i="1"/>
  <c r="T696" i="1"/>
  <c r="W696" i="1" s="1"/>
  <c r="I707" i="1"/>
  <c r="M703" i="1"/>
  <c r="J241" i="1"/>
  <c r="N237" i="1"/>
  <c r="R233" i="1"/>
  <c r="V229" i="1"/>
  <c r="W229" i="1" s="1"/>
  <c r="I242" i="1"/>
  <c r="M238" i="1"/>
  <c r="Q234" i="1"/>
  <c r="U230" i="1"/>
  <c r="W230" i="1" s="1"/>
  <c r="K240" i="1"/>
  <c r="O236" i="1"/>
  <c r="S232" i="1"/>
  <c r="T231" i="1"/>
  <c r="W231" i="1" s="1"/>
  <c r="H243" i="1"/>
  <c r="P235" i="1"/>
  <c r="L239" i="1"/>
  <c r="J1429" i="1"/>
  <c r="N1425" i="1"/>
  <c r="R1421" i="1"/>
  <c r="V1417" i="1"/>
  <c r="K1428" i="1"/>
  <c r="O1424" i="1"/>
  <c r="S1420" i="1"/>
  <c r="H1431" i="1"/>
  <c r="P1423" i="1"/>
  <c r="Q1422" i="1"/>
  <c r="M1426" i="1"/>
  <c r="T1419" i="1"/>
  <c r="U1418" i="1"/>
  <c r="L1427" i="1"/>
  <c r="I1430" i="1"/>
  <c r="K971" i="1"/>
  <c r="O967" i="1"/>
  <c r="S963" i="1"/>
  <c r="J972" i="1"/>
  <c r="N968" i="1"/>
  <c r="R964" i="1"/>
  <c r="V960" i="1"/>
  <c r="I973" i="1"/>
  <c r="M969" i="1"/>
  <c r="Q965" i="1"/>
  <c r="U961" i="1"/>
  <c r="H974" i="1"/>
  <c r="L970" i="1"/>
  <c r="P966" i="1"/>
  <c r="T962" i="1"/>
  <c r="H223" i="1"/>
  <c r="L219" i="1"/>
  <c r="P215" i="1"/>
  <c r="T211" i="1"/>
  <c r="K220" i="1"/>
  <c r="O216" i="1"/>
  <c r="S212" i="1"/>
  <c r="I222" i="1"/>
  <c r="M218" i="1"/>
  <c r="Q214" i="1"/>
  <c r="U210" i="1"/>
  <c r="V209" i="1"/>
  <c r="N217" i="1"/>
  <c r="J221" i="1"/>
  <c r="R213" i="1"/>
  <c r="J1341" i="1"/>
  <c r="N1337" i="1"/>
  <c r="R1333" i="1"/>
  <c r="V1329" i="1"/>
  <c r="I1342" i="1"/>
  <c r="M1338" i="1"/>
  <c r="Q1334" i="1"/>
  <c r="U1330" i="1"/>
  <c r="L1339" i="1"/>
  <c r="S1332" i="1"/>
  <c r="H1343" i="1"/>
  <c r="O1336" i="1"/>
  <c r="K1340" i="1"/>
  <c r="P1335" i="1"/>
  <c r="T1331" i="1"/>
  <c r="N998" i="1"/>
  <c r="R994" i="1"/>
  <c r="V990" i="1"/>
  <c r="J1002" i="1"/>
  <c r="M999" i="1"/>
  <c r="Q995" i="1"/>
  <c r="U991" i="1"/>
  <c r="H1004" i="1"/>
  <c r="K1001" i="1"/>
  <c r="P996" i="1"/>
  <c r="T992" i="1"/>
  <c r="L1000" i="1"/>
  <c r="O997" i="1"/>
  <c r="S993" i="1"/>
  <c r="I1003" i="1"/>
  <c r="I1714" i="1"/>
  <c r="M1710" i="1"/>
  <c r="Q1706" i="1"/>
  <c r="U1702" i="1"/>
  <c r="H1715" i="1"/>
  <c r="L1711" i="1"/>
  <c r="P1707" i="1"/>
  <c r="T1703" i="1"/>
  <c r="K1712" i="1"/>
  <c r="O1708" i="1"/>
  <c r="S1704" i="1"/>
  <c r="J1713" i="1"/>
  <c r="N1709" i="1"/>
  <c r="R1705" i="1"/>
  <c r="V1701" i="1"/>
  <c r="I1156" i="1"/>
  <c r="J1155" i="1"/>
  <c r="M1152" i="1"/>
  <c r="Q1148" i="1"/>
  <c r="U1144" i="1"/>
  <c r="K1154" i="1"/>
  <c r="P1149" i="1"/>
  <c r="T1145" i="1"/>
  <c r="H1157" i="1"/>
  <c r="L1153" i="1"/>
  <c r="O1150" i="1"/>
  <c r="S1146" i="1"/>
  <c r="N1151" i="1"/>
  <c r="R1147" i="1"/>
  <c r="V1143" i="1"/>
  <c r="I1514" i="1"/>
  <c r="M1510" i="1"/>
  <c r="Q1506" i="1"/>
  <c r="U1502" i="1"/>
  <c r="H1515" i="1"/>
  <c r="L1511" i="1"/>
  <c r="P1507" i="1"/>
  <c r="T1503" i="1"/>
  <c r="J1513" i="1"/>
  <c r="N1509" i="1"/>
  <c r="R1505" i="1"/>
  <c r="V1501" i="1"/>
  <c r="S1504" i="1"/>
  <c r="K1512" i="1"/>
  <c r="O1508" i="1"/>
  <c r="I1029" i="1"/>
  <c r="M1025" i="1"/>
  <c r="Q1021" i="1"/>
  <c r="U1017" i="1"/>
  <c r="W1017" i="1" s="1"/>
  <c r="H1030" i="1"/>
  <c r="L1026" i="1"/>
  <c r="P1022" i="1"/>
  <c r="T1018" i="1"/>
  <c r="W1018" i="1" s="1"/>
  <c r="K1027" i="1"/>
  <c r="N1024" i="1"/>
  <c r="S1019" i="1"/>
  <c r="V1016" i="1"/>
  <c r="W1016" i="1" s="1"/>
  <c r="O1023" i="1"/>
  <c r="J1028" i="1"/>
  <c r="R1020" i="1"/>
  <c r="K1724" i="1"/>
  <c r="W1724" i="1" s="1"/>
  <c r="O1720" i="1"/>
  <c r="S1716" i="1"/>
  <c r="J1725" i="1"/>
  <c r="N1721" i="1"/>
  <c r="R1717" i="1"/>
  <c r="V1713" i="1"/>
  <c r="I1726" i="1"/>
  <c r="W1726" i="1" s="1"/>
  <c r="M1722" i="1"/>
  <c r="Q1718" i="1"/>
  <c r="U1714" i="1"/>
  <c r="H1727" i="1"/>
  <c r="L1723" i="1"/>
  <c r="W1723" i="1" s="1"/>
  <c r="P1719" i="1"/>
  <c r="T1715" i="1"/>
  <c r="I1299" i="1"/>
  <c r="J1298" i="1"/>
  <c r="P1292" i="1"/>
  <c r="T1288" i="1"/>
  <c r="H1300" i="1"/>
  <c r="K1297" i="1"/>
  <c r="O1293" i="1"/>
  <c r="S1289" i="1"/>
  <c r="L1296" i="1"/>
  <c r="N1294" i="1"/>
  <c r="R1290" i="1"/>
  <c r="V1286" i="1"/>
  <c r="M1295" i="1"/>
  <c r="Q1291" i="1"/>
  <c r="U1287" i="1"/>
  <c r="J711" i="1"/>
  <c r="N707" i="1"/>
  <c r="R703" i="1"/>
  <c r="V699" i="1"/>
  <c r="I712" i="1"/>
  <c r="M708" i="1"/>
  <c r="Q704" i="1"/>
  <c r="U700" i="1"/>
  <c r="H713" i="1"/>
  <c r="L709" i="1"/>
  <c r="P705" i="1"/>
  <c r="T701" i="1"/>
  <c r="K710" i="1"/>
  <c r="O706" i="1"/>
  <c r="S702" i="1"/>
  <c r="H1035" i="1"/>
  <c r="L1031" i="1"/>
  <c r="P1027" i="1"/>
  <c r="T1023" i="1"/>
  <c r="J1033" i="1"/>
  <c r="N1029" i="1"/>
  <c r="R1025" i="1"/>
  <c r="V1021" i="1"/>
  <c r="I1034" i="1"/>
  <c r="M1030" i="1"/>
  <c r="Q1026" i="1"/>
  <c r="U1022" i="1"/>
  <c r="S1024" i="1"/>
  <c r="O1028" i="1"/>
  <c r="K1032" i="1"/>
  <c r="J631" i="1"/>
  <c r="N627" i="1"/>
  <c r="R623" i="1"/>
  <c r="V619" i="1"/>
  <c r="I632" i="1"/>
  <c r="M628" i="1"/>
  <c r="Q624" i="1"/>
  <c r="U620" i="1"/>
  <c r="H633" i="1"/>
  <c r="L629" i="1"/>
  <c r="P625" i="1"/>
  <c r="T621" i="1"/>
  <c r="K630" i="1"/>
  <c r="O626" i="1"/>
  <c r="S622" i="1"/>
  <c r="J467" i="1"/>
  <c r="N463" i="1"/>
  <c r="I468" i="1"/>
  <c r="M464" i="1"/>
  <c r="Q460" i="1"/>
  <c r="H469" i="1"/>
  <c r="L465" i="1"/>
  <c r="P461" i="1"/>
  <c r="K466" i="1"/>
  <c r="O462" i="1"/>
  <c r="T457" i="1"/>
  <c r="S458" i="1"/>
  <c r="V455" i="1"/>
  <c r="R459" i="1"/>
  <c r="U456" i="1"/>
  <c r="K203" i="1"/>
  <c r="O199" i="1"/>
  <c r="S195" i="1"/>
  <c r="J204" i="1"/>
  <c r="N200" i="1"/>
  <c r="R196" i="1"/>
  <c r="V192" i="1"/>
  <c r="M201" i="1"/>
  <c r="U193" i="1"/>
  <c r="L202" i="1"/>
  <c r="T194" i="1"/>
  <c r="I205" i="1"/>
  <c r="Q197" i="1"/>
  <c r="P198" i="1"/>
  <c r="H206" i="1"/>
  <c r="H805" i="1"/>
  <c r="L801" i="1"/>
  <c r="P797" i="1"/>
  <c r="T793" i="1"/>
  <c r="O798" i="1"/>
  <c r="I804" i="1"/>
  <c r="V791" i="1"/>
  <c r="S794" i="1"/>
  <c r="N799" i="1"/>
  <c r="Q796" i="1"/>
  <c r="J803" i="1"/>
  <c r="R795" i="1"/>
  <c r="K802" i="1"/>
  <c r="M800" i="1"/>
  <c r="U792" i="1"/>
  <c r="K1422" i="1"/>
  <c r="O1418" i="1"/>
  <c r="S1414" i="1"/>
  <c r="H1425" i="1"/>
  <c r="L1421" i="1"/>
  <c r="P1417" i="1"/>
  <c r="T1413" i="1"/>
  <c r="Q1416" i="1"/>
  <c r="R1415" i="1"/>
  <c r="J1423" i="1"/>
  <c r="I1424" i="1"/>
  <c r="U1412" i="1"/>
  <c r="V1411" i="1"/>
  <c r="M1420" i="1"/>
  <c r="N1419" i="1"/>
  <c r="I606" i="1"/>
  <c r="M602" i="1"/>
  <c r="Q598" i="1"/>
  <c r="H607" i="1"/>
  <c r="L603" i="1"/>
  <c r="P599" i="1"/>
  <c r="K604" i="1"/>
  <c r="O600" i="1"/>
  <c r="J605" i="1"/>
  <c r="N601" i="1"/>
  <c r="R597" i="1"/>
  <c r="V593" i="1"/>
  <c r="T595" i="1"/>
  <c r="U594" i="1"/>
  <c r="S596" i="1"/>
  <c r="I687" i="1"/>
  <c r="M683" i="1"/>
  <c r="Q679" i="1"/>
  <c r="U675" i="1"/>
  <c r="H688" i="1"/>
  <c r="L684" i="1"/>
  <c r="P680" i="1"/>
  <c r="T676" i="1"/>
  <c r="V674" i="1"/>
  <c r="K685" i="1"/>
  <c r="R678" i="1"/>
  <c r="N682" i="1"/>
  <c r="J686" i="1"/>
  <c r="O681" i="1"/>
  <c r="S677" i="1"/>
  <c r="K401" i="1"/>
  <c r="O397" i="1"/>
  <c r="S393" i="1"/>
  <c r="J402" i="1"/>
  <c r="N398" i="1"/>
  <c r="R394" i="1"/>
  <c r="V390" i="1"/>
  <c r="I403" i="1"/>
  <c r="L400" i="1"/>
  <c r="Q395" i="1"/>
  <c r="T392" i="1"/>
  <c r="H404" i="1"/>
  <c r="P396" i="1"/>
  <c r="M399" i="1"/>
  <c r="U391" i="1"/>
  <c r="K657" i="1"/>
  <c r="O653" i="1"/>
  <c r="S649" i="1"/>
  <c r="J658" i="1"/>
  <c r="N654" i="1"/>
  <c r="R650" i="1"/>
  <c r="V646" i="1"/>
  <c r="H660" i="1"/>
  <c r="M655" i="1"/>
  <c r="T648" i="1"/>
  <c r="I659" i="1"/>
  <c r="P652" i="1"/>
  <c r="L656" i="1"/>
  <c r="Q651" i="1"/>
  <c r="U647" i="1"/>
  <c r="I1651" i="1"/>
  <c r="M1647" i="1"/>
  <c r="Q1643" i="1"/>
  <c r="U1639" i="1"/>
  <c r="H1652" i="1"/>
  <c r="L1648" i="1"/>
  <c r="P1644" i="1"/>
  <c r="T1640" i="1"/>
  <c r="J1650" i="1"/>
  <c r="N1646" i="1"/>
  <c r="R1642" i="1"/>
  <c r="V1638" i="1"/>
  <c r="K1649" i="1"/>
  <c r="S1641" i="1"/>
  <c r="O1645" i="1"/>
  <c r="I391" i="1"/>
  <c r="M387" i="1"/>
  <c r="Q383" i="1"/>
  <c r="U379" i="1"/>
  <c r="H392" i="1"/>
  <c r="L388" i="1"/>
  <c r="P384" i="1"/>
  <c r="T380" i="1"/>
  <c r="S381" i="1"/>
  <c r="V378" i="1"/>
  <c r="J390" i="1"/>
  <c r="O385" i="1"/>
  <c r="R382" i="1"/>
  <c r="K389" i="1"/>
  <c r="N386" i="1"/>
  <c r="J1324" i="1"/>
  <c r="N1320" i="1"/>
  <c r="R1316" i="1"/>
  <c r="V1312" i="1"/>
  <c r="I1325" i="1"/>
  <c r="M1321" i="1"/>
  <c r="Q1317" i="1"/>
  <c r="U1313" i="1"/>
  <c r="H1326" i="1"/>
  <c r="L1322" i="1"/>
  <c r="P1318" i="1"/>
  <c r="T1314" i="1"/>
  <c r="K1323" i="1"/>
  <c r="O1319" i="1"/>
  <c r="S1315" i="1"/>
  <c r="K524" i="1"/>
  <c r="O520" i="1"/>
  <c r="S516" i="1"/>
  <c r="J525" i="1"/>
  <c r="N521" i="1"/>
  <c r="R517" i="1"/>
  <c r="V513" i="1"/>
  <c r="I526" i="1"/>
  <c r="M522" i="1"/>
  <c r="Q518" i="1"/>
  <c r="U514" i="1"/>
  <c r="H527" i="1"/>
  <c r="L523" i="1"/>
  <c r="P519" i="1"/>
  <c r="T515" i="1"/>
  <c r="I531" i="1"/>
  <c r="M527" i="1"/>
  <c r="Q523" i="1"/>
  <c r="U519" i="1"/>
  <c r="H532" i="1"/>
  <c r="L528" i="1"/>
  <c r="P524" i="1"/>
  <c r="T520" i="1"/>
  <c r="N526" i="1"/>
  <c r="S521" i="1"/>
  <c r="J530" i="1"/>
  <c r="O525" i="1"/>
  <c r="V518" i="1"/>
  <c r="R522" i="1"/>
  <c r="K529" i="1"/>
  <c r="I1246" i="1"/>
  <c r="M1242" i="1"/>
  <c r="Q1238" i="1"/>
  <c r="H1247" i="1"/>
  <c r="L1243" i="1"/>
  <c r="P1239" i="1"/>
  <c r="R1237" i="1"/>
  <c r="U1234" i="1"/>
  <c r="V1233" i="1"/>
  <c r="N1241" i="1"/>
  <c r="T1235" i="1"/>
  <c r="J1245" i="1"/>
  <c r="S1236" i="1"/>
  <c r="K1244" i="1"/>
  <c r="O1240" i="1"/>
  <c r="K857" i="1"/>
  <c r="O853" i="1"/>
  <c r="S849" i="1"/>
  <c r="J858" i="1"/>
  <c r="N854" i="1"/>
  <c r="H860" i="1"/>
  <c r="M855" i="1"/>
  <c r="P852" i="1"/>
  <c r="Q851" i="1"/>
  <c r="T848" i="1"/>
  <c r="L856" i="1"/>
  <c r="U847" i="1"/>
  <c r="I859" i="1"/>
  <c r="V846" i="1"/>
  <c r="R850" i="1"/>
  <c r="H287" i="1"/>
  <c r="L283" i="1"/>
  <c r="P279" i="1"/>
  <c r="T275" i="1"/>
  <c r="K284" i="1"/>
  <c r="O280" i="1"/>
  <c r="S276" i="1"/>
  <c r="J285" i="1"/>
  <c r="N281" i="1"/>
  <c r="R277" i="1"/>
  <c r="V273" i="1"/>
  <c r="I286" i="1"/>
  <c r="M282" i="1"/>
  <c r="Q278" i="1"/>
  <c r="U274" i="1"/>
  <c r="K1159" i="1"/>
  <c r="O1155" i="1"/>
  <c r="N1156" i="1"/>
  <c r="Q1153" i="1"/>
  <c r="M1157" i="1"/>
  <c r="S1151" i="1"/>
  <c r="L1158" i="1"/>
  <c r="R1152" i="1"/>
  <c r="V1148" i="1"/>
  <c r="J1160" i="1"/>
  <c r="H1162" i="1"/>
  <c r="P1154" i="1"/>
  <c r="I1161" i="1"/>
  <c r="T1150" i="1"/>
  <c r="U1149" i="1"/>
  <c r="I1555" i="1"/>
  <c r="T1544" i="1"/>
  <c r="V1542" i="1"/>
  <c r="J1554" i="1"/>
  <c r="Q1547" i="1"/>
  <c r="M1551" i="1"/>
  <c r="P1548" i="1"/>
  <c r="R1546" i="1"/>
  <c r="O1549" i="1"/>
  <c r="H1556" i="1"/>
  <c r="K1553" i="1"/>
  <c r="L1552" i="1"/>
  <c r="N1550" i="1"/>
  <c r="U1543" i="1"/>
  <c r="S1545" i="1"/>
  <c r="G72" i="1"/>
  <c r="I70" i="1"/>
  <c r="M66" i="1"/>
  <c r="Q62" i="1"/>
  <c r="U58" i="1"/>
  <c r="K68" i="1"/>
  <c r="O64" i="1"/>
  <c r="S60" i="1"/>
  <c r="H71" i="1"/>
  <c r="P63" i="1"/>
  <c r="V57" i="1"/>
  <c r="N65" i="1"/>
  <c r="L67" i="1"/>
  <c r="T59" i="1"/>
  <c r="J69" i="1"/>
  <c r="R61" i="1"/>
  <c r="J719" i="1"/>
  <c r="N715" i="1"/>
  <c r="R711" i="1"/>
  <c r="V707" i="1"/>
  <c r="I720" i="1"/>
  <c r="M716" i="1"/>
  <c r="Q712" i="1"/>
  <c r="U708" i="1"/>
  <c r="H721" i="1"/>
  <c r="L717" i="1"/>
  <c r="P713" i="1"/>
  <c r="T709" i="1"/>
  <c r="K718" i="1"/>
  <c r="O714" i="1"/>
  <c r="S710" i="1"/>
  <c r="H952" i="1"/>
  <c r="L948" i="1"/>
  <c r="P944" i="1"/>
  <c r="W944" i="1" s="1"/>
  <c r="T940" i="1"/>
  <c r="K949" i="1"/>
  <c r="O945" i="1"/>
  <c r="S941" i="1"/>
  <c r="W941" i="1" s="1"/>
  <c r="J950" i="1"/>
  <c r="N946" i="1"/>
  <c r="R942" i="1"/>
  <c r="W942" i="1" s="1"/>
  <c r="V938" i="1"/>
  <c r="I951" i="1"/>
  <c r="M947" i="1"/>
  <c r="Q943" i="1"/>
  <c r="U939" i="1"/>
  <c r="I446" i="1"/>
  <c r="M442" i="1"/>
  <c r="Q438" i="1"/>
  <c r="U434" i="1"/>
  <c r="H447" i="1"/>
  <c r="L443" i="1"/>
  <c r="P439" i="1"/>
  <c r="T435" i="1"/>
  <c r="K444" i="1"/>
  <c r="O440" i="1"/>
  <c r="S436" i="1"/>
  <c r="N441" i="1"/>
  <c r="V433" i="1"/>
  <c r="J445" i="1"/>
  <c r="R437" i="1"/>
  <c r="H398" i="1"/>
  <c r="L394" i="1"/>
  <c r="P390" i="1"/>
  <c r="T386" i="1"/>
  <c r="K395" i="1"/>
  <c r="O391" i="1"/>
  <c r="S387" i="1"/>
  <c r="M393" i="1"/>
  <c r="R388" i="1"/>
  <c r="U385" i="1"/>
  <c r="I397" i="1"/>
  <c r="N392" i="1"/>
  <c r="V384" i="1"/>
  <c r="J396" i="1"/>
  <c r="Q389" i="1"/>
  <c r="I654" i="1"/>
  <c r="M650" i="1"/>
  <c r="Q646" i="1"/>
  <c r="U642" i="1"/>
  <c r="H655" i="1"/>
  <c r="L651" i="1"/>
  <c r="P647" i="1"/>
  <c r="T643" i="1"/>
  <c r="K652" i="1"/>
  <c r="O648" i="1"/>
  <c r="S644" i="1"/>
  <c r="J653" i="1"/>
  <c r="N649" i="1"/>
  <c r="R645" i="1"/>
  <c r="V641" i="1"/>
  <c r="G171" i="1"/>
  <c r="N164" i="1"/>
  <c r="H170" i="1"/>
  <c r="K167" i="1"/>
  <c r="V156" i="1"/>
  <c r="R160" i="1"/>
  <c r="I169" i="1"/>
  <c r="L166" i="1"/>
  <c r="O163" i="1"/>
  <c r="U157" i="1"/>
  <c r="M165" i="1"/>
  <c r="P162" i="1"/>
  <c r="T158" i="1"/>
  <c r="J168" i="1"/>
  <c r="S159" i="1"/>
  <c r="Q161" i="1"/>
  <c r="H1722" i="1"/>
  <c r="L1718" i="1"/>
  <c r="W1718" i="1" s="1"/>
  <c r="P1714" i="1"/>
  <c r="T1710" i="1"/>
  <c r="K1719" i="1"/>
  <c r="O1715" i="1"/>
  <c r="S1711" i="1"/>
  <c r="J1720" i="1"/>
  <c r="N1716" i="1"/>
  <c r="R1712" i="1"/>
  <c r="V1708" i="1"/>
  <c r="M1717" i="1"/>
  <c r="U1709" i="1"/>
  <c r="I1721" i="1"/>
  <c r="Q1713" i="1"/>
  <c r="K848" i="1"/>
  <c r="O844" i="1"/>
  <c r="S840" i="1"/>
  <c r="J849" i="1"/>
  <c r="M846" i="1"/>
  <c r="P843" i="1"/>
  <c r="N845" i="1"/>
  <c r="Q842" i="1"/>
  <c r="T839" i="1"/>
  <c r="H851" i="1"/>
  <c r="R841" i="1"/>
  <c r="U838" i="1"/>
  <c r="I850" i="1"/>
  <c r="L847" i="1"/>
  <c r="V837" i="1"/>
  <c r="I1444" i="1"/>
  <c r="M1440" i="1"/>
  <c r="Q1436" i="1"/>
  <c r="U1432" i="1"/>
  <c r="J1443" i="1"/>
  <c r="N1439" i="1"/>
  <c r="R1435" i="1"/>
  <c r="V1431" i="1"/>
  <c r="O1438" i="1"/>
  <c r="L1441" i="1"/>
  <c r="T1433" i="1"/>
  <c r="K1442" i="1"/>
  <c r="S1434" i="1"/>
  <c r="H1445" i="1"/>
  <c r="P1437" i="1"/>
  <c r="I937" i="1"/>
  <c r="M933" i="1"/>
  <c r="Q929" i="1"/>
  <c r="U925" i="1"/>
  <c r="H938" i="1"/>
  <c r="L934" i="1"/>
  <c r="P930" i="1"/>
  <c r="T926" i="1"/>
  <c r="K935" i="1"/>
  <c r="O931" i="1"/>
  <c r="S927" i="1"/>
  <c r="J936" i="1"/>
  <c r="N932" i="1"/>
  <c r="R928" i="1"/>
  <c r="V924" i="1"/>
  <c r="W924" i="1" s="1"/>
  <c r="J1405" i="1"/>
  <c r="K1404" i="1"/>
  <c r="N1401" i="1"/>
  <c r="R1397" i="1"/>
  <c r="V1393" i="1"/>
  <c r="H1407" i="1"/>
  <c r="I1406" i="1"/>
  <c r="L1403" i="1"/>
  <c r="P1399" i="1"/>
  <c r="T1395" i="1"/>
  <c r="O1400" i="1"/>
  <c r="S1396" i="1"/>
  <c r="M1402" i="1"/>
  <c r="U1394" i="1"/>
  <c r="Q1398" i="1"/>
  <c r="H1482" i="1"/>
  <c r="L1478" i="1"/>
  <c r="P1474" i="1"/>
  <c r="T1470" i="1"/>
  <c r="W1470" i="1" s="1"/>
  <c r="K1479" i="1"/>
  <c r="O1475" i="1"/>
  <c r="S1471" i="1"/>
  <c r="W1471" i="1" s="1"/>
  <c r="N1476" i="1"/>
  <c r="Q1473" i="1"/>
  <c r="V1468" i="1"/>
  <c r="W1468" i="1" s="1"/>
  <c r="M1477" i="1"/>
  <c r="I1481" i="1"/>
  <c r="U1469" i="1"/>
  <c r="J1480" i="1"/>
  <c r="R1472" i="1"/>
  <c r="I578" i="1"/>
  <c r="M574" i="1"/>
  <c r="Q570" i="1"/>
  <c r="U566" i="1"/>
  <c r="H579" i="1"/>
  <c r="L575" i="1"/>
  <c r="P571" i="1"/>
  <c r="T567" i="1"/>
  <c r="K576" i="1"/>
  <c r="O572" i="1"/>
  <c r="S568" i="1"/>
  <c r="J577" i="1"/>
  <c r="N573" i="1"/>
  <c r="R569" i="1"/>
  <c r="V565" i="1"/>
  <c r="K996" i="1"/>
  <c r="O992" i="1"/>
  <c r="S988" i="1"/>
  <c r="J997" i="1"/>
  <c r="N993" i="1"/>
  <c r="R989" i="1"/>
  <c r="V985" i="1"/>
  <c r="H999" i="1"/>
  <c r="M994" i="1"/>
  <c r="T987" i="1"/>
  <c r="I998" i="1"/>
  <c r="Q990" i="1"/>
  <c r="L995" i="1"/>
  <c r="P991" i="1"/>
  <c r="U986" i="1"/>
  <c r="J1460" i="1"/>
  <c r="N1456" i="1"/>
  <c r="R1452" i="1"/>
  <c r="W1452" i="1" s="1"/>
  <c r="I1461" i="1"/>
  <c r="M1457" i="1"/>
  <c r="Q1453" i="1"/>
  <c r="K1459" i="1"/>
  <c r="U1449" i="1"/>
  <c r="L1458" i="1"/>
  <c r="H1462" i="1"/>
  <c r="W1462" i="1" s="1"/>
  <c r="S1451" i="1"/>
  <c r="V1448" i="1"/>
  <c r="W1448" i="1" s="1"/>
  <c r="O1455" i="1"/>
  <c r="T1450" i="1"/>
  <c r="P1454" i="1"/>
  <c r="I571" i="1"/>
  <c r="M567" i="1"/>
  <c r="Q563" i="1"/>
  <c r="U559" i="1"/>
  <c r="H572" i="1"/>
  <c r="L568" i="1"/>
  <c r="P564" i="1"/>
  <c r="T560" i="1"/>
  <c r="R562" i="1"/>
  <c r="N566" i="1"/>
  <c r="S561" i="1"/>
  <c r="J570" i="1"/>
  <c r="K569" i="1"/>
  <c r="O565" i="1"/>
  <c r="V558" i="1"/>
  <c r="K874" i="1"/>
  <c r="O870" i="1"/>
  <c r="S866" i="1"/>
  <c r="H877" i="1"/>
  <c r="J875" i="1"/>
  <c r="N871" i="1"/>
  <c r="R867" i="1"/>
  <c r="V863" i="1"/>
  <c r="L873" i="1"/>
  <c r="P869" i="1"/>
  <c r="T865" i="1"/>
  <c r="I876" i="1"/>
  <c r="Q868" i="1"/>
  <c r="M872" i="1"/>
  <c r="U864" i="1"/>
  <c r="I320" i="1"/>
  <c r="M316" i="1"/>
  <c r="Q312" i="1"/>
  <c r="U308" i="1"/>
  <c r="H321" i="1"/>
  <c r="L317" i="1"/>
  <c r="P313" i="1"/>
  <c r="T309" i="1"/>
  <c r="K318" i="1"/>
  <c r="O314" i="1"/>
  <c r="S310" i="1"/>
  <c r="J319" i="1"/>
  <c r="N315" i="1"/>
  <c r="R311" i="1"/>
  <c r="V307" i="1"/>
  <c r="J680" i="1"/>
  <c r="N676" i="1"/>
  <c r="R672" i="1"/>
  <c r="V668" i="1"/>
  <c r="I681" i="1"/>
  <c r="M677" i="1"/>
  <c r="Q673" i="1"/>
  <c r="U669" i="1"/>
  <c r="K679" i="1"/>
  <c r="P674" i="1"/>
  <c r="L678" i="1"/>
  <c r="S671" i="1"/>
  <c r="O675" i="1"/>
  <c r="T670" i="1"/>
  <c r="H682" i="1"/>
  <c r="J424" i="1"/>
  <c r="N420" i="1"/>
  <c r="R416" i="1"/>
  <c r="V412" i="1"/>
  <c r="I425" i="1"/>
  <c r="M421" i="1"/>
  <c r="Q417" i="1"/>
  <c r="U413" i="1"/>
  <c r="K423" i="1"/>
  <c r="P418" i="1"/>
  <c r="S415" i="1"/>
  <c r="L422" i="1"/>
  <c r="T414" i="1"/>
  <c r="H426" i="1"/>
  <c r="O419" i="1"/>
  <c r="J1465" i="1"/>
  <c r="W1465" i="1" s="1"/>
  <c r="N1461" i="1"/>
  <c r="R1457" i="1"/>
  <c r="V1453" i="1"/>
  <c r="H1467" i="1"/>
  <c r="W1467" i="1" s="1"/>
  <c r="S1456" i="1"/>
  <c r="I1466" i="1"/>
  <c r="W1466" i="1" s="1"/>
  <c r="T1455" i="1"/>
  <c r="K1464" i="1"/>
  <c r="W1464" i="1" s="1"/>
  <c r="U1454" i="1"/>
  <c r="P1459" i="1"/>
  <c r="Q1458" i="1"/>
  <c r="O1460" i="1"/>
  <c r="M1462" i="1"/>
  <c r="L1463" i="1"/>
  <c r="W1463" i="1" s="1"/>
  <c r="H342" i="1"/>
  <c r="L338" i="1"/>
  <c r="P334" i="1"/>
  <c r="T330" i="1"/>
  <c r="K339" i="1"/>
  <c r="O335" i="1"/>
  <c r="S331" i="1"/>
  <c r="N336" i="1"/>
  <c r="Q333" i="1"/>
  <c r="R332" i="1"/>
  <c r="J340" i="1"/>
  <c r="M337" i="1"/>
  <c r="U329" i="1"/>
  <c r="V328" i="1"/>
  <c r="I341" i="1"/>
  <c r="I1044" i="1"/>
  <c r="M1040" i="1"/>
  <c r="Q1036" i="1"/>
  <c r="U1032" i="1"/>
  <c r="K1042" i="1"/>
  <c r="O1038" i="1"/>
  <c r="S1034" i="1"/>
  <c r="J1043" i="1"/>
  <c r="N1039" i="1"/>
  <c r="R1035" i="1"/>
  <c r="V1031" i="1"/>
  <c r="P1037" i="1"/>
  <c r="L1041" i="1"/>
  <c r="H1045" i="1"/>
  <c r="T1033" i="1"/>
  <c r="K1398" i="1"/>
  <c r="O1394" i="1"/>
  <c r="S1390" i="1"/>
  <c r="I1400" i="1"/>
  <c r="M1396" i="1"/>
  <c r="Q1392" i="1"/>
  <c r="U1388" i="1"/>
  <c r="H1401" i="1"/>
  <c r="L1397" i="1"/>
  <c r="P1393" i="1"/>
  <c r="T1389" i="1"/>
  <c r="N1395" i="1"/>
  <c r="J1399" i="1"/>
  <c r="V1387" i="1"/>
  <c r="R1391" i="1"/>
  <c r="H1276" i="1"/>
  <c r="L1272" i="1"/>
  <c r="P1268" i="1"/>
  <c r="T1264" i="1"/>
  <c r="K1273" i="1"/>
  <c r="O1269" i="1"/>
  <c r="S1265" i="1"/>
  <c r="J1274" i="1"/>
  <c r="N1270" i="1"/>
  <c r="R1266" i="1"/>
  <c r="V1262" i="1"/>
  <c r="I1275" i="1"/>
  <c r="M1271" i="1"/>
  <c r="Q1267" i="1"/>
  <c r="U1263" i="1"/>
  <c r="H304" i="1"/>
  <c r="L300" i="1"/>
  <c r="P296" i="1"/>
  <c r="T292" i="1"/>
  <c r="K301" i="1"/>
  <c r="O297" i="1"/>
  <c r="S293" i="1"/>
  <c r="U291" i="1"/>
  <c r="J302" i="1"/>
  <c r="Q295" i="1"/>
  <c r="V290" i="1"/>
  <c r="M299" i="1"/>
  <c r="R294" i="1"/>
  <c r="N298" i="1"/>
  <c r="I303" i="1"/>
  <c r="K484" i="1"/>
  <c r="O480" i="1"/>
  <c r="S476" i="1"/>
  <c r="J485" i="1"/>
  <c r="N481" i="1"/>
  <c r="R477" i="1"/>
  <c r="V473" i="1"/>
  <c r="I486" i="1"/>
  <c r="M482" i="1"/>
  <c r="Q478" i="1"/>
  <c r="U474" i="1"/>
  <c r="H487" i="1"/>
  <c r="L483" i="1"/>
  <c r="P479" i="1"/>
  <c r="T475" i="1"/>
  <c r="K776" i="1"/>
  <c r="J777" i="1"/>
  <c r="L775" i="1"/>
  <c r="P771" i="1"/>
  <c r="T767" i="1"/>
  <c r="O772" i="1"/>
  <c r="S768" i="1"/>
  <c r="N773" i="1"/>
  <c r="R769" i="1"/>
  <c r="V765" i="1"/>
  <c r="I778" i="1"/>
  <c r="H779" i="1"/>
  <c r="U766" i="1"/>
  <c r="Q770" i="1"/>
  <c r="M774" i="1"/>
  <c r="G179" i="1"/>
  <c r="R168" i="1"/>
  <c r="I177" i="1"/>
  <c r="L174" i="1"/>
  <c r="O171" i="1"/>
  <c r="V164" i="1"/>
  <c r="M173" i="1"/>
  <c r="P170" i="1"/>
  <c r="S167" i="1"/>
  <c r="J176" i="1"/>
  <c r="Q169" i="1"/>
  <c r="T166" i="1"/>
  <c r="U165" i="1"/>
  <c r="N172" i="1"/>
  <c r="H178" i="1"/>
  <c r="K175" i="1"/>
  <c r="G133" i="1"/>
  <c r="K129" i="1"/>
  <c r="O125" i="1"/>
  <c r="S121" i="1"/>
  <c r="J130" i="1"/>
  <c r="N126" i="1"/>
  <c r="R122" i="1"/>
  <c r="V118" i="1"/>
  <c r="I131" i="1"/>
  <c r="M127" i="1"/>
  <c r="Q123" i="1"/>
  <c r="U119" i="1"/>
  <c r="L128" i="1"/>
  <c r="P124" i="1"/>
  <c r="H132" i="1"/>
  <c r="T120" i="1"/>
  <c r="I200" i="1"/>
  <c r="M196" i="1"/>
  <c r="Q192" i="1"/>
  <c r="U188" i="1"/>
  <c r="J199" i="1"/>
  <c r="N195" i="1"/>
  <c r="R191" i="1"/>
  <c r="V187" i="1"/>
  <c r="K198" i="1"/>
  <c r="S190" i="1"/>
  <c r="H201" i="1"/>
  <c r="P193" i="1"/>
  <c r="O194" i="1"/>
  <c r="T189" i="1"/>
  <c r="L197" i="1"/>
  <c r="G190" i="1"/>
  <c r="K186" i="1"/>
  <c r="O182" i="1"/>
  <c r="S178" i="1"/>
  <c r="H189" i="1"/>
  <c r="L185" i="1"/>
  <c r="P181" i="1"/>
  <c r="T177" i="1"/>
  <c r="M184" i="1"/>
  <c r="J187" i="1"/>
  <c r="N183" i="1"/>
  <c r="I188" i="1"/>
  <c r="U176" i="1"/>
  <c r="Q180" i="1"/>
  <c r="R179" i="1"/>
  <c r="V175" i="1"/>
  <c r="G84" i="1"/>
  <c r="K80" i="1"/>
  <c r="O76" i="1"/>
  <c r="S72" i="1"/>
  <c r="J81" i="1"/>
  <c r="I82" i="1"/>
  <c r="M78" i="1"/>
  <c r="Q74" i="1"/>
  <c r="U70" i="1"/>
  <c r="N77" i="1"/>
  <c r="V69" i="1"/>
  <c r="H83" i="1"/>
  <c r="T71" i="1"/>
  <c r="L79" i="1"/>
  <c r="R73" i="1"/>
  <c r="P75" i="1"/>
  <c r="J194" i="1"/>
  <c r="N190" i="1"/>
  <c r="R186" i="1"/>
  <c r="I195" i="1"/>
  <c r="M191" i="1"/>
  <c r="Q187" i="1"/>
  <c r="U183" i="1"/>
  <c r="H196" i="1"/>
  <c r="P188" i="1"/>
  <c r="O189" i="1"/>
  <c r="L192" i="1"/>
  <c r="V182" i="1"/>
  <c r="S185" i="1"/>
  <c r="K193" i="1"/>
  <c r="T184" i="1"/>
  <c r="G66" i="1"/>
  <c r="J63" i="1"/>
  <c r="N59" i="1"/>
  <c r="R55" i="1"/>
  <c r="V51" i="1"/>
  <c r="H65" i="1"/>
  <c r="L61" i="1"/>
  <c r="M60" i="1"/>
  <c r="O58" i="1"/>
  <c r="U52" i="1"/>
  <c r="K62" i="1"/>
  <c r="P57" i="1"/>
  <c r="S54" i="1"/>
  <c r="I64" i="1"/>
  <c r="T53" i="1"/>
  <c r="Q56" i="1"/>
  <c r="G141" i="1"/>
  <c r="K137" i="1"/>
  <c r="O133" i="1"/>
  <c r="S129" i="1"/>
  <c r="J138" i="1"/>
  <c r="N134" i="1"/>
  <c r="R130" i="1"/>
  <c r="V126" i="1"/>
  <c r="I139" i="1"/>
  <c r="M135" i="1"/>
  <c r="Q131" i="1"/>
  <c r="U127" i="1"/>
  <c r="P132" i="1"/>
  <c r="L136" i="1"/>
  <c r="H140" i="1"/>
  <c r="T128" i="1"/>
  <c r="G91" i="1"/>
  <c r="J88" i="1"/>
  <c r="N84" i="1"/>
  <c r="R80" i="1"/>
  <c r="I89" i="1"/>
  <c r="M85" i="1"/>
  <c r="Q81" i="1"/>
  <c r="U77" i="1"/>
  <c r="H90" i="1"/>
  <c r="L86" i="1"/>
  <c r="P82" i="1"/>
  <c r="T78" i="1"/>
  <c r="O83" i="1"/>
  <c r="K87" i="1"/>
  <c r="V76" i="1"/>
  <c r="S79" i="1"/>
  <c r="K181" i="1"/>
  <c r="L180" i="1"/>
  <c r="M179" i="1"/>
  <c r="T172" i="1"/>
  <c r="Q175" i="1"/>
  <c r="N178" i="1"/>
  <c r="U171" i="1"/>
  <c r="H184" i="1"/>
  <c r="O177" i="1"/>
  <c r="R174" i="1"/>
  <c r="I183" i="1"/>
  <c r="P176" i="1"/>
  <c r="S173" i="1"/>
  <c r="V170" i="1"/>
  <c r="J182" i="1"/>
  <c r="K1199" i="1"/>
  <c r="O1195" i="1"/>
  <c r="S1191" i="1"/>
  <c r="J1200" i="1"/>
  <c r="N1196" i="1"/>
  <c r="R1192" i="1"/>
  <c r="V1188" i="1"/>
  <c r="T1190" i="1"/>
  <c r="I1201" i="1"/>
  <c r="P1194" i="1"/>
  <c r="U1189" i="1"/>
  <c r="L1198" i="1"/>
  <c r="H1202" i="1"/>
  <c r="Q1193" i="1"/>
  <c r="M1197" i="1"/>
  <c r="I1635" i="1"/>
  <c r="M1631" i="1"/>
  <c r="Q1627" i="1"/>
  <c r="U1623" i="1"/>
  <c r="H1636" i="1"/>
  <c r="L1632" i="1"/>
  <c r="P1628" i="1"/>
  <c r="T1624" i="1"/>
  <c r="K1633" i="1"/>
  <c r="O1629" i="1"/>
  <c r="S1625" i="1"/>
  <c r="J1634" i="1"/>
  <c r="N1630" i="1"/>
  <c r="R1626" i="1"/>
  <c r="V1622" i="1"/>
  <c r="H1147" i="1"/>
  <c r="L1143" i="1"/>
  <c r="P1139" i="1"/>
  <c r="T1135" i="1"/>
  <c r="K1144" i="1"/>
  <c r="O1140" i="1"/>
  <c r="S1136" i="1"/>
  <c r="J1145" i="1"/>
  <c r="N1141" i="1"/>
  <c r="R1137" i="1"/>
  <c r="V1133" i="1"/>
  <c r="I1146" i="1"/>
  <c r="M1142" i="1"/>
  <c r="Q1138" i="1"/>
  <c r="U1134" i="1"/>
  <c r="I978" i="1"/>
  <c r="M974" i="1"/>
  <c r="Q970" i="1"/>
  <c r="U966" i="1"/>
  <c r="H979" i="1"/>
  <c r="L975" i="1"/>
  <c r="P971" i="1"/>
  <c r="T967" i="1"/>
  <c r="N973" i="1"/>
  <c r="S968" i="1"/>
  <c r="J977" i="1"/>
  <c r="O972" i="1"/>
  <c r="V965" i="1"/>
  <c r="K976" i="1"/>
  <c r="R969" i="1"/>
  <c r="H1658" i="1"/>
  <c r="L1654" i="1"/>
  <c r="P1650" i="1"/>
  <c r="T1646" i="1"/>
  <c r="K1655" i="1"/>
  <c r="O1651" i="1"/>
  <c r="S1647" i="1"/>
  <c r="I1657" i="1"/>
  <c r="M1653" i="1"/>
  <c r="Q1649" i="1"/>
  <c r="U1645" i="1"/>
  <c r="N1652" i="1"/>
  <c r="V1644" i="1"/>
  <c r="J1656" i="1"/>
  <c r="R1648" i="1"/>
  <c r="H600" i="1"/>
  <c r="L596" i="1"/>
  <c r="I599" i="1"/>
  <c r="K597" i="1"/>
  <c r="S589" i="1"/>
  <c r="O593" i="1"/>
  <c r="R590" i="1"/>
  <c r="V586" i="1"/>
  <c r="J598" i="1"/>
  <c r="P592" i="1"/>
  <c r="U587" i="1"/>
  <c r="N594" i="1"/>
  <c r="Q591" i="1"/>
  <c r="M595" i="1"/>
  <c r="T588" i="1"/>
  <c r="L590" i="1"/>
  <c r="P586" i="1"/>
  <c r="T582" i="1"/>
  <c r="K591" i="1"/>
  <c r="O587" i="1"/>
  <c r="S583" i="1"/>
  <c r="H594" i="1"/>
  <c r="U581" i="1"/>
  <c r="J592" i="1"/>
  <c r="Q585" i="1"/>
  <c r="V580" i="1"/>
  <c r="M589" i="1"/>
  <c r="R584" i="1"/>
  <c r="I593" i="1"/>
  <c r="N588" i="1"/>
  <c r="K729" i="1"/>
  <c r="O725" i="1"/>
  <c r="S721" i="1"/>
  <c r="J730" i="1"/>
  <c r="N726" i="1"/>
  <c r="R722" i="1"/>
  <c r="V718" i="1"/>
  <c r="L728" i="1"/>
  <c r="Q723" i="1"/>
  <c r="H732" i="1"/>
  <c r="M727" i="1"/>
  <c r="T720" i="1"/>
  <c r="P724" i="1"/>
  <c r="I731" i="1"/>
  <c r="U719" i="1"/>
  <c r="J1390" i="1"/>
  <c r="N1386" i="1"/>
  <c r="R1382" i="1"/>
  <c r="V1378" i="1"/>
  <c r="I1391" i="1"/>
  <c r="M1387" i="1"/>
  <c r="Q1383" i="1"/>
  <c r="U1379" i="1"/>
  <c r="P1384" i="1"/>
  <c r="O1385" i="1"/>
  <c r="H1392" i="1"/>
  <c r="L1388" i="1"/>
  <c r="T1380" i="1"/>
  <c r="S1381" i="1"/>
  <c r="K1389" i="1"/>
  <c r="I1068" i="1"/>
  <c r="M1064" i="1"/>
  <c r="Q1060" i="1"/>
  <c r="U1056" i="1"/>
  <c r="K1066" i="1"/>
  <c r="O1062" i="1"/>
  <c r="S1058" i="1"/>
  <c r="J1067" i="1"/>
  <c r="N1063" i="1"/>
  <c r="R1059" i="1"/>
  <c r="V1055" i="1"/>
  <c r="P1061" i="1"/>
  <c r="L1065" i="1"/>
  <c r="T1057" i="1"/>
  <c r="H1069" i="1"/>
  <c r="I1347" i="1"/>
  <c r="M1343" i="1"/>
  <c r="Q1339" i="1"/>
  <c r="U1335" i="1"/>
  <c r="H1348" i="1"/>
  <c r="L1344" i="1"/>
  <c r="P1340" i="1"/>
  <c r="T1336" i="1"/>
  <c r="K1345" i="1"/>
  <c r="O1341" i="1"/>
  <c r="S1337" i="1"/>
  <c r="J1346" i="1"/>
  <c r="N1342" i="1"/>
  <c r="R1338" i="1"/>
  <c r="V1334" i="1"/>
  <c r="K1693" i="1"/>
  <c r="O1689" i="1"/>
  <c r="S1685" i="1"/>
  <c r="J1694" i="1"/>
  <c r="N1690" i="1"/>
  <c r="R1686" i="1"/>
  <c r="V1682" i="1"/>
  <c r="I1695" i="1"/>
  <c r="M1691" i="1"/>
  <c r="Q1687" i="1"/>
  <c r="U1683" i="1"/>
  <c r="T1684" i="1"/>
  <c r="H1696" i="1"/>
  <c r="P1688" i="1"/>
  <c r="L1692" i="1"/>
  <c r="I273" i="1"/>
  <c r="M269" i="1"/>
  <c r="Q265" i="1"/>
  <c r="U261" i="1"/>
  <c r="H274" i="1"/>
  <c r="L270" i="1"/>
  <c r="P266" i="1"/>
  <c r="T262" i="1"/>
  <c r="N268" i="1"/>
  <c r="S263" i="1"/>
  <c r="J272" i="1"/>
  <c r="O267" i="1"/>
  <c r="V260" i="1"/>
  <c r="K271" i="1"/>
  <c r="R264" i="1"/>
  <c r="I562" i="1"/>
  <c r="M558" i="1"/>
  <c r="Q554" i="1"/>
  <c r="U550" i="1"/>
  <c r="H563" i="1"/>
  <c r="L559" i="1"/>
  <c r="P555" i="1"/>
  <c r="W555" i="1" s="1"/>
  <c r="T551" i="1"/>
  <c r="K560" i="1"/>
  <c r="O556" i="1"/>
  <c r="S552" i="1"/>
  <c r="J561" i="1"/>
  <c r="N557" i="1"/>
  <c r="R553" i="1"/>
  <c r="V549" i="1"/>
  <c r="H1075" i="1"/>
  <c r="L1071" i="1"/>
  <c r="P1067" i="1"/>
  <c r="T1063" i="1"/>
  <c r="J1073" i="1"/>
  <c r="N1069" i="1"/>
  <c r="R1065" i="1"/>
  <c r="V1061" i="1"/>
  <c r="I1074" i="1"/>
  <c r="M1070" i="1"/>
  <c r="Q1066" i="1"/>
  <c r="U1062" i="1"/>
  <c r="O1068" i="1"/>
  <c r="S1064" i="1"/>
  <c r="K1072" i="1"/>
  <c r="H1364" i="1"/>
  <c r="L1360" i="1"/>
  <c r="P1356" i="1"/>
  <c r="J1362" i="1"/>
  <c r="M1359" i="1"/>
  <c r="U1351" i="1"/>
  <c r="N1358" i="1"/>
  <c r="Q1355" i="1"/>
  <c r="T1352" i="1"/>
  <c r="K1361" i="1"/>
  <c r="S1353" i="1"/>
  <c r="I1363" i="1"/>
  <c r="R1354" i="1"/>
  <c r="V1350" i="1"/>
  <c r="O1357" i="1"/>
  <c r="I151" i="1"/>
  <c r="M147" i="1"/>
  <c r="Q143" i="1"/>
  <c r="U139" i="1"/>
  <c r="H152" i="1"/>
  <c r="L148" i="1"/>
  <c r="P144" i="1"/>
  <c r="T140" i="1"/>
  <c r="K149" i="1"/>
  <c r="O145" i="1"/>
  <c r="S141" i="1"/>
  <c r="V138" i="1"/>
  <c r="R142" i="1"/>
  <c r="N146" i="1"/>
  <c r="J150" i="1"/>
  <c r="K417" i="1"/>
  <c r="O413" i="1"/>
  <c r="S409" i="1"/>
  <c r="J418" i="1"/>
  <c r="N414" i="1"/>
  <c r="R410" i="1"/>
  <c r="V406" i="1"/>
  <c r="Q411" i="1"/>
  <c r="T408" i="1"/>
  <c r="H420" i="1"/>
  <c r="M415" i="1"/>
  <c r="P412" i="1"/>
  <c r="I419" i="1"/>
  <c r="L416" i="1"/>
  <c r="U407" i="1"/>
  <c r="H1543" i="1"/>
  <c r="M1538" i="1"/>
  <c r="Q1534" i="1"/>
  <c r="U1530" i="1"/>
  <c r="K1540" i="1"/>
  <c r="O1536" i="1"/>
  <c r="S1532" i="1"/>
  <c r="N1537" i="1"/>
  <c r="T1531" i="1"/>
  <c r="V1529" i="1"/>
  <c r="J1541" i="1"/>
  <c r="W1541" i="1" s="1"/>
  <c r="P1535" i="1"/>
  <c r="I1542" i="1"/>
  <c r="L1539" i="1"/>
  <c r="W1539" i="1" s="1"/>
  <c r="R1533" i="1"/>
  <c r="J1126" i="1"/>
  <c r="N1122" i="1"/>
  <c r="R1118" i="1"/>
  <c r="V1114" i="1"/>
  <c r="I1127" i="1"/>
  <c r="M1123" i="1"/>
  <c r="Q1119" i="1"/>
  <c r="U1115" i="1"/>
  <c r="S1117" i="1"/>
  <c r="H1128" i="1"/>
  <c r="O1121" i="1"/>
  <c r="T1116" i="1"/>
  <c r="K1125" i="1"/>
  <c r="P1120" i="1"/>
  <c r="L1124" i="1"/>
  <c r="N1225" i="1"/>
  <c r="W1225" i="1" s="1"/>
  <c r="R1221" i="1"/>
  <c r="V1217" i="1"/>
  <c r="I1230" i="1"/>
  <c r="W1230" i="1" s="1"/>
  <c r="L1227" i="1"/>
  <c r="Q1222" i="1"/>
  <c r="U1218" i="1"/>
  <c r="M1226" i="1"/>
  <c r="W1226" i="1" s="1"/>
  <c r="J1229" i="1"/>
  <c r="W1229" i="1" s="1"/>
  <c r="P1223" i="1"/>
  <c r="T1219" i="1"/>
  <c r="O1224" i="1"/>
  <c r="W1224" i="1" s="1"/>
  <c r="S1220" i="1"/>
  <c r="H1231" i="1"/>
  <c r="K1228" i="1"/>
  <c r="W1228" i="1" s="1"/>
  <c r="H1180" i="1"/>
  <c r="L1176" i="1"/>
  <c r="P1172" i="1"/>
  <c r="T1168" i="1"/>
  <c r="K1177" i="1"/>
  <c r="O1173" i="1"/>
  <c r="S1169" i="1"/>
  <c r="Q1171" i="1"/>
  <c r="V1166" i="1"/>
  <c r="M1175" i="1"/>
  <c r="R1170" i="1"/>
  <c r="I1179" i="1"/>
  <c r="U1167" i="1"/>
  <c r="J1178" i="1"/>
  <c r="N1174" i="1"/>
  <c r="J1508" i="1"/>
  <c r="N1504" i="1"/>
  <c r="R1500" i="1"/>
  <c r="V1496" i="1"/>
  <c r="I1509" i="1"/>
  <c r="M1505" i="1"/>
  <c r="Q1501" i="1"/>
  <c r="U1497" i="1"/>
  <c r="L1506" i="1"/>
  <c r="O1503" i="1"/>
  <c r="T1498" i="1"/>
  <c r="K1507" i="1"/>
  <c r="S1499" i="1"/>
  <c r="H1510" i="1"/>
  <c r="P1502" i="1"/>
  <c r="J1333" i="1"/>
  <c r="N1329" i="1"/>
  <c r="R1325" i="1"/>
  <c r="V1321" i="1"/>
  <c r="I1334" i="1"/>
  <c r="M1330" i="1"/>
  <c r="Q1326" i="1"/>
  <c r="U1322" i="1"/>
  <c r="S1324" i="1"/>
  <c r="H1335" i="1"/>
  <c r="O1328" i="1"/>
  <c r="T1323" i="1"/>
  <c r="K1332" i="1"/>
  <c r="L1331" i="1"/>
  <c r="P1327" i="1"/>
  <c r="I1381" i="1"/>
  <c r="M1377" i="1"/>
  <c r="Q1373" i="1"/>
  <c r="U1369" i="1"/>
  <c r="H1382" i="1"/>
  <c r="L1378" i="1"/>
  <c r="P1374" i="1"/>
  <c r="T1370" i="1"/>
  <c r="K1379" i="1"/>
  <c r="S1371" i="1"/>
  <c r="J1380" i="1"/>
  <c r="R1372" i="1"/>
  <c r="O1375" i="1"/>
  <c r="V1368" i="1"/>
  <c r="N1376" i="1"/>
  <c r="K987" i="1"/>
  <c r="O983" i="1"/>
  <c r="S979" i="1"/>
  <c r="J988" i="1"/>
  <c r="N984" i="1"/>
  <c r="R980" i="1"/>
  <c r="V976" i="1"/>
  <c r="I989" i="1"/>
  <c r="M985" i="1"/>
  <c r="Q981" i="1"/>
  <c r="U977" i="1"/>
  <c r="H990" i="1"/>
  <c r="L986" i="1"/>
  <c r="P982" i="1"/>
  <c r="T978" i="1"/>
  <c r="I1560" i="1"/>
  <c r="M1556" i="1"/>
  <c r="Q1552" i="1"/>
  <c r="U1548" i="1"/>
  <c r="H1561" i="1"/>
  <c r="L1557" i="1"/>
  <c r="P1553" i="1"/>
  <c r="T1549" i="1"/>
  <c r="J1559" i="1"/>
  <c r="N1555" i="1"/>
  <c r="O1554" i="1"/>
  <c r="R1551" i="1"/>
  <c r="V1547" i="1"/>
  <c r="K1558" i="1"/>
  <c r="S1550" i="1"/>
  <c r="H1059" i="1"/>
  <c r="L1055" i="1"/>
  <c r="P1051" i="1"/>
  <c r="T1047" i="1"/>
  <c r="J1057" i="1"/>
  <c r="N1053" i="1"/>
  <c r="R1049" i="1"/>
  <c r="V1045" i="1"/>
  <c r="I1058" i="1"/>
  <c r="M1054" i="1"/>
  <c r="Q1050" i="1"/>
  <c r="U1046" i="1"/>
  <c r="S1048" i="1"/>
  <c r="O1052" i="1"/>
  <c r="K1056" i="1"/>
  <c r="I1531" i="1"/>
  <c r="M1527" i="1"/>
  <c r="H1532" i="1"/>
  <c r="L1528" i="1"/>
  <c r="P1524" i="1"/>
  <c r="J1530" i="1"/>
  <c r="N1526" i="1"/>
  <c r="Q1523" i="1"/>
  <c r="U1519" i="1"/>
  <c r="O1525" i="1"/>
  <c r="T1520" i="1"/>
  <c r="K1529" i="1"/>
  <c r="S1521" i="1"/>
  <c r="V1518" i="1"/>
  <c r="R1522" i="1"/>
  <c r="K758" i="1"/>
  <c r="O754" i="1"/>
  <c r="S750" i="1"/>
  <c r="J759" i="1"/>
  <c r="N755" i="1"/>
  <c r="R751" i="1"/>
  <c r="V747" i="1"/>
  <c r="I760" i="1"/>
  <c r="M756" i="1"/>
  <c r="Q752" i="1"/>
  <c r="U748" i="1"/>
  <c r="H761" i="1"/>
  <c r="T749" i="1"/>
  <c r="P753" i="1"/>
  <c r="L757" i="1"/>
  <c r="H726" i="1"/>
  <c r="L722" i="1"/>
  <c r="P718" i="1"/>
  <c r="T714" i="1"/>
  <c r="K723" i="1"/>
  <c r="O719" i="1"/>
  <c r="S715" i="1"/>
  <c r="Q717" i="1"/>
  <c r="V712" i="1"/>
  <c r="M721" i="1"/>
  <c r="R716" i="1"/>
  <c r="I725" i="1"/>
  <c r="U713" i="1"/>
  <c r="J724" i="1"/>
  <c r="N720" i="1"/>
  <c r="J1279" i="1"/>
  <c r="N1275" i="1"/>
  <c r="R1271" i="1"/>
  <c r="V1267" i="1"/>
  <c r="I1280" i="1"/>
  <c r="M1276" i="1"/>
  <c r="Q1272" i="1"/>
  <c r="U1268" i="1"/>
  <c r="K1278" i="1"/>
  <c r="P1273" i="1"/>
  <c r="L1277" i="1"/>
  <c r="S1270" i="1"/>
  <c r="O1274" i="1"/>
  <c r="T1269" i="1"/>
  <c r="H1281" i="1"/>
  <c r="I1133" i="1"/>
  <c r="M1129" i="1"/>
  <c r="Q1125" i="1"/>
  <c r="U1121" i="1"/>
  <c r="H1134" i="1"/>
  <c r="L1130" i="1"/>
  <c r="W1130" i="1" s="1"/>
  <c r="P1126" i="1"/>
  <c r="T1122" i="1"/>
  <c r="N1128" i="1"/>
  <c r="S1123" i="1"/>
  <c r="J1132" i="1"/>
  <c r="O1127" i="1"/>
  <c r="V1120" i="1"/>
  <c r="R1124" i="1"/>
  <c r="K1131" i="1"/>
  <c r="I119" i="1"/>
  <c r="M115" i="1"/>
  <c r="Q111" i="1"/>
  <c r="U107" i="1"/>
  <c r="H120" i="1"/>
  <c r="L116" i="1"/>
  <c r="P112" i="1"/>
  <c r="T108" i="1"/>
  <c r="K117" i="1"/>
  <c r="O113" i="1"/>
  <c r="S109" i="1"/>
  <c r="V106" i="1"/>
  <c r="R110" i="1"/>
  <c r="J118" i="1"/>
  <c r="N114" i="1"/>
  <c r="K162" i="1"/>
  <c r="H165" i="1"/>
  <c r="L161" i="1"/>
  <c r="P157" i="1"/>
  <c r="T153" i="1"/>
  <c r="O158" i="1"/>
  <c r="S154" i="1"/>
  <c r="I164" i="1"/>
  <c r="N159" i="1"/>
  <c r="R155" i="1"/>
  <c r="V151" i="1"/>
  <c r="M160" i="1"/>
  <c r="U152" i="1"/>
  <c r="J163" i="1"/>
  <c r="Q156" i="1"/>
  <c r="K866" i="1"/>
  <c r="O862" i="1"/>
  <c r="S858" i="1"/>
  <c r="J867" i="1"/>
  <c r="N863" i="1"/>
  <c r="R859" i="1"/>
  <c r="V855" i="1"/>
  <c r="H869" i="1"/>
  <c r="L865" i="1"/>
  <c r="P861" i="1"/>
  <c r="T857" i="1"/>
  <c r="U856" i="1"/>
  <c r="I868" i="1"/>
  <c r="M864" i="1"/>
  <c r="Q860" i="1"/>
  <c r="H969" i="1"/>
  <c r="L965" i="1"/>
  <c r="P961" i="1"/>
  <c r="T957" i="1"/>
  <c r="K966" i="1"/>
  <c r="O962" i="1"/>
  <c r="S958" i="1"/>
  <c r="Q960" i="1"/>
  <c r="V955" i="1"/>
  <c r="M964" i="1"/>
  <c r="R959" i="1"/>
  <c r="J967" i="1"/>
  <c r="I968" i="1"/>
  <c r="U956" i="1"/>
  <c r="N963" i="1"/>
  <c r="I335" i="1"/>
  <c r="M331" i="1"/>
  <c r="Q327" i="1"/>
  <c r="U323" i="1"/>
  <c r="H336" i="1"/>
  <c r="L332" i="1"/>
  <c r="P328" i="1"/>
  <c r="T324" i="1"/>
  <c r="R326" i="1"/>
  <c r="S325" i="1"/>
  <c r="J334" i="1"/>
  <c r="K333" i="1"/>
  <c r="V322" i="1"/>
  <c r="N330" i="1"/>
  <c r="O329" i="1"/>
  <c r="J1620" i="1"/>
  <c r="N1616" i="1"/>
  <c r="R1612" i="1"/>
  <c r="V1608" i="1"/>
  <c r="I1621" i="1"/>
  <c r="M1617" i="1"/>
  <c r="Q1613" i="1"/>
  <c r="U1609" i="1"/>
  <c r="H1622" i="1"/>
  <c r="L1618" i="1"/>
  <c r="K1619" i="1"/>
  <c r="O1615" i="1"/>
  <c r="S1611" i="1"/>
  <c r="P1614" i="1"/>
  <c r="T1610" i="1"/>
  <c r="K368" i="1"/>
  <c r="O364" i="1"/>
  <c r="S360" i="1"/>
  <c r="J369" i="1"/>
  <c r="N365" i="1"/>
  <c r="R361" i="1"/>
  <c r="V357" i="1"/>
  <c r="I370" i="1"/>
  <c r="M366" i="1"/>
  <c r="Q362" i="1"/>
  <c r="U358" i="1"/>
  <c r="L367" i="1"/>
  <c r="T359" i="1"/>
  <c r="H371" i="1"/>
  <c r="P363" i="1"/>
  <c r="J1661" i="1"/>
  <c r="N1657" i="1"/>
  <c r="R1653" i="1"/>
  <c r="V1649" i="1"/>
  <c r="I1662" i="1"/>
  <c r="M1658" i="1"/>
  <c r="Q1654" i="1"/>
  <c r="U1650" i="1"/>
  <c r="L1659" i="1"/>
  <c r="O1656" i="1"/>
  <c r="T1651" i="1"/>
  <c r="S1652" i="1"/>
  <c r="H1663" i="1"/>
  <c r="K1660" i="1"/>
  <c r="P1655" i="1"/>
  <c r="K1111" i="1"/>
  <c r="O1107" i="1"/>
  <c r="S1103" i="1"/>
  <c r="J1112" i="1"/>
  <c r="N1108" i="1"/>
  <c r="R1104" i="1"/>
  <c r="W1104" i="1" s="1"/>
  <c r="V1100" i="1"/>
  <c r="T1102" i="1"/>
  <c r="W1102" i="1" s="1"/>
  <c r="I1113" i="1"/>
  <c r="P1106" i="1"/>
  <c r="U1101" i="1"/>
  <c r="L1110" i="1"/>
  <c r="H1114" i="1"/>
  <c r="Q1105" i="1"/>
  <c r="W1105" i="1" s="1"/>
  <c r="M1109" i="1"/>
  <c r="H829" i="1"/>
  <c r="L825" i="1"/>
  <c r="P821" i="1"/>
  <c r="W821" i="1" s="1"/>
  <c r="T817" i="1"/>
  <c r="W817" i="1" s="1"/>
  <c r="J827" i="1"/>
  <c r="N823" i="1"/>
  <c r="R819" i="1"/>
  <c r="W819" i="1" s="1"/>
  <c r="V815" i="1"/>
  <c r="W815" i="1" s="1"/>
  <c r="O822" i="1"/>
  <c r="Q820" i="1"/>
  <c r="W820" i="1" s="1"/>
  <c r="I828" i="1"/>
  <c r="S818" i="1"/>
  <c r="W818" i="1" s="1"/>
  <c r="U816" i="1"/>
  <c r="W816" i="1" s="1"/>
  <c r="M824" i="1"/>
  <c r="K826" i="1"/>
  <c r="H755" i="1"/>
  <c r="L751" i="1"/>
  <c r="P747" i="1"/>
  <c r="T743" i="1"/>
  <c r="K752" i="1"/>
  <c r="O748" i="1"/>
  <c r="S744" i="1"/>
  <c r="J753" i="1"/>
  <c r="N749" i="1"/>
  <c r="R745" i="1"/>
  <c r="I754" i="1"/>
  <c r="U742" i="1"/>
  <c r="V741" i="1"/>
  <c r="Q746" i="1"/>
  <c r="M750" i="1"/>
  <c r="K808" i="1"/>
  <c r="O804" i="1"/>
  <c r="S800" i="1"/>
  <c r="J809" i="1"/>
  <c r="Q802" i="1"/>
  <c r="T799" i="1"/>
  <c r="N805" i="1"/>
  <c r="R801" i="1"/>
  <c r="I810" i="1"/>
  <c r="L807" i="1"/>
  <c r="V797" i="1"/>
  <c r="H811" i="1"/>
  <c r="P803" i="1"/>
  <c r="M806" i="1"/>
  <c r="U798" i="1"/>
  <c r="K1594" i="1"/>
  <c r="O1590" i="1"/>
  <c r="S1586" i="1"/>
  <c r="M1592" i="1"/>
  <c r="N1591" i="1"/>
  <c r="P1589" i="1"/>
  <c r="W1589" i="1" s="1"/>
  <c r="Q1588" i="1"/>
  <c r="R1587" i="1"/>
  <c r="U1584" i="1"/>
  <c r="V1583" i="1"/>
  <c r="L1593" i="1"/>
  <c r="H1597" i="1"/>
  <c r="T1585" i="1"/>
  <c r="I1596" i="1"/>
  <c r="J1595" i="1"/>
  <c r="I1254" i="1"/>
  <c r="M1250" i="1"/>
  <c r="Q1246" i="1"/>
  <c r="U1242" i="1"/>
  <c r="H1255" i="1"/>
  <c r="L1251" i="1"/>
  <c r="P1247" i="1"/>
  <c r="T1243" i="1"/>
  <c r="V1241" i="1"/>
  <c r="K1252" i="1"/>
  <c r="R1245" i="1"/>
  <c r="N1249" i="1"/>
  <c r="J1253" i="1"/>
  <c r="S1244" i="1"/>
  <c r="O1248" i="1"/>
  <c r="K476" i="1"/>
  <c r="O472" i="1"/>
  <c r="S468" i="1"/>
  <c r="J477" i="1"/>
  <c r="N473" i="1"/>
  <c r="R469" i="1"/>
  <c r="V465" i="1"/>
  <c r="I478" i="1"/>
  <c r="M474" i="1"/>
  <c r="Q470" i="1"/>
  <c r="U466" i="1"/>
  <c r="H479" i="1"/>
  <c r="L475" i="1"/>
  <c r="P471" i="1"/>
  <c r="T467" i="1"/>
  <c r="I1498" i="1"/>
  <c r="M1494" i="1"/>
  <c r="Q1490" i="1"/>
  <c r="H1499" i="1"/>
  <c r="L1495" i="1"/>
  <c r="P1491" i="1"/>
  <c r="T1487" i="1"/>
  <c r="J1497" i="1"/>
  <c r="N1493" i="1"/>
  <c r="R1489" i="1"/>
  <c r="V1485" i="1"/>
  <c r="K1496" i="1"/>
  <c r="S1488" i="1"/>
  <c r="U1486" i="1"/>
  <c r="O1492" i="1"/>
  <c r="J1604" i="1"/>
  <c r="I1605" i="1"/>
  <c r="M1601" i="1"/>
  <c r="Q1597" i="1"/>
  <c r="U1593" i="1"/>
  <c r="H1606" i="1"/>
  <c r="L1602" i="1"/>
  <c r="P1598" i="1"/>
  <c r="T1594" i="1"/>
  <c r="V1592" i="1"/>
  <c r="K1603" i="1"/>
  <c r="R1596" i="1"/>
  <c r="S1595" i="1"/>
  <c r="N1600" i="1"/>
  <c r="O1599" i="1"/>
  <c r="J1585" i="1"/>
  <c r="N1581" i="1"/>
  <c r="R1577" i="1"/>
  <c r="P1579" i="1"/>
  <c r="Q1578" i="1"/>
  <c r="V1573" i="1"/>
  <c r="H1587" i="1"/>
  <c r="I1586" i="1"/>
  <c r="S1576" i="1"/>
  <c r="T1575" i="1"/>
  <c r="O1580" i="1"/>
  <c r="L1583" i="1"/>
  <c r="M1582" i="1"/>
  <c r="K1584" i="1"/>
  <c r="U1574" i="1"/>
  <c r="I514" i="1"/>
  <c r="M510" i="1"/>
  <c r="Q506" i="1"/>
  <c r="U502" i="1"/>
  <c r="H515" i="1"/>
  <c r="L511" i="1"/>
  <c r="P507" i="1"/>
  <c r="T503" i="1"/>
  <c r="K512" i="1"/>
  <c r="O508" i="1"/>
  <c r="S504" i="1"/>
  <c r="J513" i="1"/>
  <c r="N509" i="1"/>
  <c r="R505" i="1"/>
  <c r="V501" i="1"/>
  <c r="J455" i="1"/>
  <c r="N451" i="1"/>
  <c r="R447" i="1"/>
  <c r="V443" i="1"/>
  <c r="I456" i="1"/>
  <c r="M452" i="1"/>
  <c r="Q448" i="1"/>
  <c r="U444" i="1"/>
  <c r="H457" i="1"/>
  <c r="L453" i="1"/>
  <c r="P449" i="1"/>
  <c r="T445" i="1"/>
  <c r="K454" i="1"/>
  <c r="S446" i="1"/>
  <c r="O450" i="1"/>
  <c r="K1350" i="1"/>
  <c r="O1346" i="1"/>
  <c r="S1342" i="1"/>
  <c r="J1351" i="1"/>
  <c r="N1347" i="1"/>
  <c r="R1343" i="1"/>
  <c r="V1339" i="1"/>
  <c r="T1341" i="1"/>
  <c r="I1352" i="1"/>
  <c r="P1345" i="1"/>
  <c r="U1340" i="1"/>
  <c r="L1349" i="1"/>
  <c r="W1349" i="1" s="1"/>
  <c r="H1353" i="1"/>
  <c r="M1348" i="1"/>
  <c r="Q1344" i="1"/>
  <c r="H1375" i="1"/>
  <c r="L1371" i="1"/>
  <c r="P1367" i="1"/>
  <c r="T1363" i="1"/>
  <c r="K1372" i="1"/>
  <c r="O1368" i="1"/>
  <c r="S1364" i="1"/>
  <c r="U1362" i="1"/>
  <c r="N1369" i="1"/>
  <c r="M1370" i="1"/>
  <c r="V1361" i="1"/>
  <c r="J1373" i="1"/>
  <c r="R1365" i="1"/>
  <c r="Q1366" i="1"/>
  <c r="I1374" i="1"/>
  <c r="H1643" i="1"/>
  <c r="L1639" i="1"/>
  <c r="K1640" i="1"/>
  <c r="O1636" i="1"/>
  <c r="J1641" i="1"/>
  <c r="M1638" i="1"/>
  <c r="P1635" i="1"/>
  <c r="T1631" i="1"/>
  <c r="I1642" i="1"/>
  <c r="S1632" i="1"/>
  <c r="V1629" i="1"/>
  <c r="R1633" i="1"/>
  <c r="N1637" i="1"/>
  <c r="Q1634" i="1"/>
  <c r="U1630" i="1"/>
  <c r="H358" i="1"/>
  <c r="L354" i="1"/>
  <c r="P350" i="1"/>
  <c r="T346" i="1"/>
  <c r="K355" i="1"/>
  <c r="O351" i="1"/>
  <c r="S347" i="1"/>
  <c r="J356" i="1"/>
  <c r="M353" i="1"/>
  <c r="R348" i="1"/>
  <c r="U345" i="1"/>
  <c r="I357" i="1"/>
  <c r="Q349" i="1"/>
  <c r="V344" i="1"/>
  <c r="N352" i="1"/>
  <c r="J735" i="1"/>
  <c r="N731" i="1"/>
  <c r="R727" i="1"/>
  <c r="V723" i="1"/>
  <c r="I736" i="1"/>
  <c r="M732" i="1"/>
  <c r="Q728" i="1"/>
  <c r="U724" i="1"/>
  <c r="H737" i="1"/>
  <c r="L733" i="1"/>
  <c r="P729" i="1"/>
  <c r="T725" i="1"/>
  <c r="K734" i="1"/>
  <c r="O730" i="1"/>
  <c r="S726" i="1"/>
  <c r="K344" i="1"/>
  <c r="O340" i="1"/>
  <c r="S336" i="1"/>
  <c r="J345" i="1"/>
  <c r="N341" i="1"/>
  <c r="R337" i="1"/>
  <c r="I346" i="1"/>
  <c r="M342" i="1"/>
  <c r="Q338" i="1"/>
  <c r="U334" i="1"/>
  <c r="L343" i="1"/>
  <c r="H347" i="1"/>
  <c r="P339" i="1"/>
  <c r="T335" i="1"/>
  <c r="V333" i="1"/>
  <c r="J663" i="1"/>
  <c r="N659" i="1"/>
  <c r="R655" i="1"/>
  <c r="V651" i="1"/>
  <c r="I664" i="1"/>
  <c r="M660" i="1"/>
  <c r="Q656" i="1"/>
  <c r="U652" i="1"/>
  <c r="H665" i="1"/>
  <c r="L661" i="1"/>
  <c r="P657" i="1"/>
  <c r="T653" i="1"/>
  <c r="K662" i="1"/>
  <c r="O658" i="1"/>
  <c r="S654" i="1"/>
  <c r="H693" i="1"/>
  <c r="L689" i="1"/>
  <c r="P685" i="1"/>
  <c r="T681" i="1"/>
  <c r="K690" i="1"/>
  <c r="O686" i="1"/>
  <c r="S682" i="1"/>
  <c r="J691" i="1"/>
  <c r="N687" i="1"/>
  <c r="R683" i="1"/>
  <c r="V679" i="1"/>
  <c r="I692" i="1"/>
  <c r="M688" i="1"/>
  <c r="Q684" i="1"/>
  <c r="U680" i="1"/>
  <c r="J144" i="1"/>
  <c r="N140" i="1"/>
  <c r="R136" i="1"/>
  <c r="V132" i="1"/>
  <c r="I145" i="1"/>
  <c r="M141" i="1"/>
  <c r="Q137" i="1"/>
  <c r="U133" i="1"/>
  <c r="H146" i="1"/>
  <c r="L142" i="1"/>
  <c r="P138" i="1"/>
  <c r="T134" i="1"/>
  <c r="K143" i="1"/>
  <c r="S135" i="1"/>
  <c r="O139" i="1"/>
  <c r="G147" i="1"/>
  <c r="W880" i="1"/>
  <c r="W813" i="1"/>
  <c r="G714" i="1"/>
  <c r="G1203" i="1"/>
  <c r="G601" i="1"/>
  <c r="G421" i="1"/>
  <c r="G786" i="1"/>
  <c r="G878" i="1"/>
  <c r="G458" i="1"/>
  <c r="G1271" i="1"/>
  <c r="G1301" i="1"/>
  <c r="G337" i="1"/>
  <c r="G634" i="1"/>
  <c r="G153" i="1"/>
  <c r="G114" i="1"/>
  <c r="G1256" i="1"/>
  <c r="G1637" i="1"/>
  <c r="G1488" i="1"/>
  <c r="G573" i="1"/>
  <c r="G838" i="1"/>
  <c r="G516" i="1"/>
  <c r="G261" i="1"/>
  <c r="G1046" i="1"/>
  <c r="G268" i="1"/>
  <c r="G553" i="1"/>
  <c r="G1538" i="1"/>
  <c r="G488" i="1"/>
  <c r="G1282" i="1"/>
  <c r="G694" i="1"/>
  <c r="W1103" i="1"/>
  <c r="G100" i="1"/>
  <c r="G353" i="1"/>
  <c r="G595" i="1"/>
  <c r="G985" i="1"/>
  <c r="G464" i="1"/>
  <c r="G1562" i="1"/>
  <c r="G1432" i="1"/>
  <c r="G1076" i="1"/>
  <c r="W1186" i="1"/>
  <c r="G756" i="1"/>
  <c r="G1616" i="1"/>
  <c r="G608" i="1"/>
  <c r="G913" i="1"/>
  <c r="G322" i="1"/>
  <c r="G410" i="1"/>
  <c r="G1336" i="1"/>
  <c r="G1521" i="1"/>
  <c r="G1644" i="1"/>
  <c r="G1248" i="1"/>
  <c r="G727" i="1"/>
  <c r="G666" i="1"/>
  <c r="G1163" i="1"/>
  <c r="G780" i="1"/>
  <c r="G812" i="1"/>
  <c r="G382" i="1"/>
  <c r="G1623" i="1"/>
  <c r="G441" i="1"/>
  <c r="G275" i="1"/>
  <c r="G546" i="1"/>
  <c r="G939" i="1"/>
  <c r="G1365" i="1"/>
  <c r="G648" i="1"/>
  <c r="G580" i="1"/>
  <c r="G480" i="1"/>
  <c r="G1607" i="1"/>
  <c r="G963" i="1"/>
  <c r="G683" i="1"/>
  <c r="G399" i="1"/>
  <c r="G1376" i="1"/>
  <c r="G1209" i="1"/>
  <c r="G305" i="1"/>
  <c r="G1096" i="1"/>
  <c r="G1446" i="1"/>
  <c r="G282" i="1"/>
  <c r="G213" i="1"/>
  <c r="G1426" i="1"/>
  <c r="G1327" i="1"/>
  <c r="G372" i="1"/>
  <c r="W940" i="1"/>
  <c r="G288" i="1"/>
  <c r="G852" i="1"/>
  <c r="G922" i="1"/>
  <c r="G1036" i="1"/>
  <c r="G249" i="1"/>
  <c r="G1408" i="1"/>
  <c r="G614" i="1"/>
  <c r="G207" i="1"/>
  <c r="G806" i="1"/>
  <c r="G1129" i="1"/>
  <c r="G796" i="1"/>
  <c r="G1500" i="1"/>
  <c r="G745" i="1"/>
  <c r="G1629" i="1"/>
  <c r="G1588" i="1"/>
  <c r="G1148" i="1"/>
  <c r="G224" i="1"/>
  <c r="G1653" i="1"/>
  <c r="G427" i="1"/>
  <c r="G1307" i="1"/>
  <c r="G393" i="1"/>
  <c r="G494" i="1"/>
  <c r="G1060" i="1"/>
  <c r="G533" i="1"/>
  <c r="G1402" i="1"/>
  <c r="G1070" i="1"/>
  <c r="G738" i="1"/>
  <c r="G861" i="1"/>
  <c r="G1580" i="1"/>
  <c r="G1170" i="1"/>
  <c r="G1005" i="1"/>
  <c r="W227" i="1"/>
  <c r="W615" i="1"/>
  <c r="W898" i="1"/>
  <c r="W49" i="1"/>
  <c r="G1685" i="1"/>
  <c r="W883" i="1"/>
  <c r="G1716" i="1"/>
  <c r="G1664" i="1"/>
  <c r="W862" i="1"/>
  <c r="W47" i="1"/>
  <c r="W1563" i="1"/>
  <c r="W1410" i="1"/>
  <c r="G1705" i="1"/>
  <c r="W886" i="1"/>
  <c r="G1697" i="1"/>
  <c r="W884" i="1"/>
  <c r="W892" i="1"/>
  <c r="W1544" i="1"/>
  <c r="W1106" i="1"/>
  <c r="W1019" i="1"/>
  <c r="W1184" i="1"/>
  <c r="W1227" i="1"/>
  <c r="W1006" i="1"/>
  <c r="W1007" i="1"/>
  <c r="W1012" i="1"/>
  <c r="W1725" i="1"/>
  <c r="W1727" i="1"/>
  <c r="W1216" i="1"/>
  <c r="W762" i="1"/>
  <c r="W1666" i="1"/>
  <c r="W881" i="1"/>
  <c r="W616" i="1"/>
  <c r="W882" i="1"/>
  <c r="W888" i="1"/>
  <c r="W887" i="1"/>
  <c r="W48" i="1"/>
  <c r="W893" i="1"/>
  <c r="W46" i="1"/>
  <c r="W895" i="1"/>
  <c r="W814" i="1"/>
  <c r="W1449" i="1"/>
  <c r="W1450" i="1"/>
  <c r="W891" i="1"/>
  <c r="W498" i="1"/>
  <c r="W889" i="1"/>
  <c r="W1469" i="1"/>
  <c r="W228" i="1"/>
  <c r="W885" i="1"/>
  <c r="W1098" i="1"/>
  <c r="W1458" i="1" l="1"/>
  <c r="W1181" i="1"/>
  <c r="W760" i="1"/>
  <c r="W1111" i="1"/>
  <c r="W1460" i="1"/>
  <c r="W1219" i="1"/>
  <c r="W1346" i="1"/>
  <c r="W1185" i="1"/>
  <c r="W1183" i="1"/>
  <c r="W945" i="1"/>
  <c r="W1502" i="1"/>
  <c r="W1101" i="1"/>
  <c r="W1100" i="1"/>
  <c r="W465" i="1"/>
  <c r="W1461" i="1"/>
  <c r="W1110" i="1"/>
  <c r="W651" i="1"/>
  <c r="W1455" i="1"/>
  <c r="W1220" i="1"/>
  <c r="W354" i="1"/>
  <c r="W1506" i="1"/>
  <c r="H1060" i="1"/>
  <c r="L1056" i="1"/>
  <c r="P1052" i="1"/>
  <c r="T1048" i="1"/>
  <c r="K1057" i="1"/>
  <c r="O1053" i="1"/>
  <c r="S1049" i="1"/>
  <c r="N1054" i="1"/>
  <c r="Q1051" i="1"/>
  <c r="V1046" i="1"/>
  <c r="J1058" i="1"/>
  <c r="M1055" i="1"/>
  <c r="R1050" i="1"/>
  <c r="U1047" i="1"/>
  <c r="I1059" i="1"/>
  <c r="H288" i="1"/>
  <c r="L284" i="1"/>
  <c r="P280" i="1"/>
  <c r="T276" i="1"/>
  <c r="K285" i="1"/>
  <c r="O281" i="1"/>
  <c r="S277" i="1"/>
  <c r="M283" i="1"/>
  <c r="R278" i="1"/>
  <c r="I287" i="1"/>
  <c r="N282" i="1"/>
  <c r="U275" i="1"/>
  <c r="J286" i="1"/>
  <c r="V274" i="1"/>
  <c r="Q279" i="1"/>
  <c r="H546" i="1"/>
  <c r="L542" i="1"/>
  <c r="P538" i="1"/>
  <c r="T534" i="1"/>
  <c r="K543" i="1"/>
  <c r="O539" i="1"/>
  <c r="S535" i="1"/>
  <c r="M541" i="1"/>
  <c r="R536" i="1"/>
  <c r="I545" i="1"/>
  <c r="N540" i="1"/>
  <c r="U533" i="1"/>
  <c r="J544" i="1"/>
  <c r="V532" i="1"/>
  <c r="Q537" i="1"/>
  <c r="H756" i="1"/>
  <c r="W756" i="1" s="1"/>
  <c r="L752" i="1"/>
  <c r="W752" i="1" s="1"/>
  <c r="J754" i="1"/>
  <c r="W754" i="1" s="1"/>
  <c r="N750" i="1"/>
  <c r="W750" i="1" s="1"/>
  <c r="R746" i="1"/>
  <c r="W746" i="1" s="1"/>
  <c r="V742" i="1"/>
  <c r="U743" i="1"/>
  <c r="M751" i="1"/>
  <c r="W751" i="1" s="1"/>
  <c r="T744" i="1"/>
  <c r="S745" i="1"/>
  <c r="I755" i="1"/>
  <c r="W755" i="1" s="1"/>
  <c r="Q747" i="1"/>
  <c r="K753" i="1"/>
  <c r="W753" i="1" s="1"/>
  <c r="O749" i="1"/>
  <c r="W749" i="1" s="1"/>
  <c r="P748" i="1"/>
  <c r="W748" i="1" s="1"/>
  <c r="I1300" i="1"/>
  <c r="L1297" i="1"/>
  <c r="P1293" i="1"/>
  <c r="T1289" i="1"/>
  <c r="W1289" i="1" s="1"/>
  <c r="M1296" i="1"/>
  <c r="J1299" i="1"/>
  <c r="O1294" i="1"/>
  <c r="S1290" i="1"/>
  <c r="H1301" i="1"/>
  <c r="K1298" i="1"/>
  <c r="U1288" i="1"/>
  <c r="W1288" i="1" s="1"/>
  <c r="Q1292" i="1"/>
  <c r="V1287" i="1"/>
  <c r="W1287" i="1" s="1"/>
  <c r="N1295" i="1"/>
  <c r="R1291" i="1"/>
  <c r="W1291" i="1" s="1"/>
  <c r="K1167" i="1"/>
  <c r="O1163" i="1"/>
  <c r="S1159" i="1"/>
  <c r="J1168" i="1"/>
  <c r="R1160" i="1"/>
  <c r="I1169" i="1"/>
  <c r="Q1161" i="1"/>
  <c r="P1162" i="1"/>
  <c r="L1166" i="1"/>
  <c r="N1164" i="1"/>
  <c r="V1156" i="1"/>
  <c r="H1170" i="1"/>
  <c r="T1158" i="1"/>
  <c r="U1157" i="1"/>
  <c r="M1165" i="1"/>
  <c r="J492" i="1"/>
  <c r="W492" i="1" s="1"/>
  <c r="N488" i="1"/>
  <c r="R484" i="1"/>
  <c r="V480" i="1"/>
  <c r="I493" i="1"/>
  <c r="W493" i="1" s="1"/>
  <c r="M489" i="1"/>
  <c r="W489" i="1" s="1"/>
  <c r="Q485" i="1"/>
  <c r="U481" i="1"/>
  <c r="S483" i="1"/>
  <c r="H494" i="1"/>
  <c r="W494" i="1" s="1"/>
  <c r="O487" i="1"/>
  <c r="T482" i="1"/>
  <c r="K491" i="1"/>
  <c r="W491" i="1" s="1"/>
  <c r="P486" i="1"/>
  <c r="L490" i="1"/>
  <c r="W490" i="1" s="1"/>
  <c r="I1628" i="1"/>
  <c r="M1624" i="1"/>
  <c r="Q1620" i="1"/>
  <c r="U1616" i="1"/>
  <c r="H1629" i="1"/>
  <c r="L1625" i="1"/>
  <c r="P1621" i="1"/>
  <c r="T1617" i="1"/>
  <c r="N1623" i="1"/>
  <c r="S1618" i="1"/>
  <c r="J1627" i="1"/>
  <c r="O1622" i="1"/>
  <c r="K1626" i="1"/>
  <c r="R1619" i="1"/>
  <c r="V1615" i="1"/>
  <c r="H614" i="1"/>
  <c r="W614" i="1" s="1"/>
  <c r="L610" i="1"/>
  <c r="W610" i="1" s="1"/>
  <c r="P606" i="1"/>
  <c r="T602" i="1"/>
  <c r="K611" i="1"/>
  <c r="W611" i="1" s="1"/>
  <c r="O607" i="1"/>
  <c r="S603" i="1"/>
  <c r="I613" i="1"/>
  <c r="W613" i="1" s="1"/>
  <c r="N608" i="1"/>
  <c r="U601" i="1"/>
  <c r="J612" i="1"/>
  <c r="W612" i="1" s="1"/>
  <c r="Q605" i="1"/>
  <c r="M609" i="1"/>
  <c r="W609" i="1" s="1"/>
  <c r="R604" i="1"/>
  <c r="V600" i="1"/>
  <c r="I304" i="1"/>
  <c r="M300" i="1"/>
  <c r="Q296" i="1"/>
  <c r="U292" i="1"/>
  <c r="H305" i="1"/>
  <c r="L301" i="1"/>
  <c r="P297" i="1"/>
  <c r="T293" i="1"/>
  <c r="K302" i="1"/>
  <c r="O298" i="1"/>
  <c r="S294" i="1"/>
  <c r="J303" i="1"/>
  <c r="N299" i="1"/>
  <c r="R295" i="1"/>
  <c r="V291" i="1"/>
  <c r="L1603" i="1"/>
  <c r="P1599" i="1"/>
  <c r="T1595" i="1"/>
  <c r="W1595" i="1" s="1"/>
  <c r="U1594" i="1"/>
  <c r="W1594" i="1" s="1"/>
  <c r="I1606" i="1"/>
  <c r="M1602" i="1"/>
  <c r="N1601" i="1"/>
  <c r="O1600" i="1"/>
  <c r="R1597" i="1"/>
  <c r="W1597" i="1" s="1"/>
  <c r="S1596" i="1"/>
  <c r="W1596" i="1" s="1"/>
  <c r="J1605" i="1"/>
  <c r="K1604" i="1"/>
  <c r="V1593" i="1"/>
  <c r="W1593" i="1" s="1"/>
  <c r="H1607" i="1"/>
  <c r="Q1598" i="1"/>
  <c r="W1598" i="1" s="1"/>
  <c r="J273" i="1"/>
  <c r="N269" i="1"/>
  <c r="R265" i="1"/>
  <c r="V261" i="1"/>
  <c r="I274" i="1"/>
  <c r="M270" i="1"/>
  <c r="Q266" i="1"/>
  <c r="U262" i="1"/>
  <c r="H275" i="1"/>
  <c r="L271" i="1"/>
  <c r="P267" i="1"/>
  <c r="T263" i="1"/>
  <c r="K272" i="1"/>
  <c r="O268" i="1"/>
  <c r="S264" i="1"/>
  <c r="J778" i="1"/>
  <c r="H780" i="1"/>
  <c r="P772" i="1"/>
  <c r="T768" i="1"/>
  <c r="W768" i="1" s="1"/>
  <c r="I779" i="1"/>
  <c r="L776" i="1"/>
  <c r="N774" i="1"/>
  <c r="R770" i="1"/>
  <c r="V766" i="1"/>
  <c r="W766" i="1" s="1"/>
  <c r="K777" i="1"/>
  <c r="S769" i="1"/>
  <c r="M775" i="1"/>
  <c r="O773" i="1"/>
  <c r="U767" i="1"/>
  <c r="W767" i="1" s="1"/>
  <c r="Q771" i="1"/>
  <c r="W771" i="1" s="1"/>
  <c r="K1333" i="1"/>
  <c r="O1329" i="1"/>
  <c r="S1325" i="1"/>
  <c r="J1334" i="1"/>
  <c r="N1330" i="1"/>
  <c r="R1326" i="1"/>
  <c r="V1322" i="1"/>
  <c r="I1335" i="1"/>
  <c r="M1331" i="1"/>
  <c r="Q1327" i="1"/>
  <c r="U1323" i="1"/>
  <c r="H1336" i="1"/>
  <c r="L1332" i="1"/>
  <c r="P1328" i="1"/>
  <c r="T1324" i="1"/>
  <c r="K97" i="1"/>
  <c r="O93" i="1"/>
  <c r="S89" i="1"/>
  <c r="J98" i="1"/>
  <c r="N94" i="1"/>
  <c r="R90" i="1"/>
  <c r="V86" i="1"/>
  <c r="I99" i="1"/>
  <c r="M95" i="1"/>
  <c r="Q91" i="1"/>
  <c r="U87" i="1"/>
  <c r="L96" i="1"/>
  <c r="H100" i="1"/>
  <c r="T88" i="1"/>
  <c r="P92" i="1"/>
  <c r="H553" i="1"/>
  <c r="L549" i="1"/>
  <c r="P545" i="1"/>
  <c r="T541" i="1"/>
  <c r="K550" i="1"/>
  <c r="O546" i="1"/>
  <c r="S542" i="1"/>
  <c r="J551" i="1"/>
  <c r="N547" i="1"/>
  <c r="R543" i="1"/>
  <c r="V539" i="1"/>
  <c r="I552" i="1"/>
  <c r="M548" i="1"/>
  <c r="Q544" i="1"/>
  <c r="U540" i="1"/>
  <c r="H1637" i="1"/>
  <c r="I1636" i="1"/>
  <c r="M1632" i="1"/>
  <c r="Q1628" i="1"/>
  <c r="U1624" i="1"/>
  <c r="L1633" i="1"/>
  <c r="P1629" i="1"/>
  <c r="T1625" i="1"/>
  <c r="K1634" i="1"/>
  <c r="R1627" i="1"/>
  <c r="N1631" i="1"/>
  <c r="S1626" i="1"/>
  <c r="O1630" i="1"/>
  <c r="V1623" i="1"/>
  <c r="J1635" i="1"/>
  <c r="I1270" i="1"/>
  <c r="M1266" i="1"/>
  <c r="W1266" i="1" s="1"/>
  <c r="Q1262" i="1"/>
  <c r="W1262" i="1" s="1"/>
  <c r="U1258" i="1"/>
  <c r="H1271" i="1"/>
  <c r="L1267" i="1"/>
  <c r="P1263" i="1"/>
  <c r="W1263" i="1" s="1"/>
  <c r="T1259" i="1"/>
  <c r="N1265" i="1"/>
  <c r="S1260" i="1"/>
  <c r="J1269" i="1"/>
  <c r="O1264" i="1"/>
  <c r="W1264" i="1" s="1"/>
  <c r="V1257" i="1"/>
  <c r="R1261" i="1"/>
  <c r="K1268" i="1"/>
  <c r="H72" i="1"/>
  <c r="L68" i="1"/>
  <c r="P64" i="1"/>
  <c r="T60" i="1"/>
  <c r="K69" i="1"/>
  <c r="O65" i="1"/>
  <c r="S61" i="1"/>
  <c r="J70" i="1"/>
  <c r="R62" i="1"/>
  <c r="N66" i="1"/>
  <c r="Q63" i="1"/>
  <c r="M67" i="1"/>
  <c r="U59" i="1"/>
  <c r="V58" i="1"/>
  <c r="I71" i="1"/>
  <c r="G73" i="1"/>
  <c r="K1485" i="1"/>
  <c r="O1481" i="1"/>
  <c r="S1477" i="1"/>
  <c r="J1486" i="1"/>
  <c r="N1482" i="1"/>
  <c r="R1478" i="1"/>
  <c r="V1474" i="1"/>
  <c r="P1480" i="1"/>
  <c r="Q1479" i="1"/>
  <c r="L1484" i="1"/>
  <c r="H1488" i="1"/>
  <c r="M1483" i="1"/>
  <c r="T1476" i="1"/>
  <c r="I1487" i="1"/>
  <c r="U1475" i="1"/>
  <c r="H1580" i="1"/>
  <c r="L1576" i="1"/>
  <c r="K1577" i="1"/>
  <c r="M1575" i="1"/>
  <c r="N1574" i="1"/>
  <c r="Q1571" i="1"/>
  <c r="U1567" i="1"/>
  <c r="O1573" i="1"/>
  <c r="V1566" i="1"/>
  <c r="S1569" i="1"/>
  <c r="R1570" i="1"/>
  <c r="I1579" i="1"/>
  <c r="P1572" i="1"/>
  <c r="J1578" i="1"/>
  <c r="T1568" i="1"/>
  <c r="J599" i="1"/>
  <c r="I600" i="1"/>
  <c r="H601" i="1"/>
  <c r="L597" i="1"/>
  <c r="K598" i="1"/>
  <c r="O594" i="1"/>
  <c r="T589" i="1"/>
  <c r="P593" i="1"/>
  <c r="M596" i="1"/>
  <c r="S590" i="1"/>
  <c r="N595" i="1"/>
  <c r="R591" i="1"/>
  <c r="V587" i="1"/>
  <c r="Q592" i="1"/>
  <c r="U588" i="1"/>
  <c r="K858" i="1"/>
  <c r="O854" i="1"/>
  <c r="J859" i="1"/>
  <c r="N855" i="1"/>
  <c r="H861" i="1"/>
  <c r="L857" i="1"/>
  <c r="P853" i="1"/>
  <c r="W853" i="1" s="1"/>
  <c r="T849" i="1"/>
  <c r="Q852" i="1"/>
  <c r="R851" i="1"/>
  <c r="U848" i="1"/>
  <c r="V847" i="1"/>
  <c r="M856" i="1"/>
  <c r="W856" i="1" s="1"/>
  <c r="I860" i="1"/>
  <c r="S850" i="1"/>
  <c r="H1307" i="1"/>
  <c r="T1295" i="1"/>
  <c r="I1306" i="1"/>
  <c r="Q1298" i="1"/>
  <c r="N1301" i="1"/>
  <c r="V1293" i="1"/>
  <c r="O1300" i="1"/>
  <c r="R1297" i="1"/>
  <c r="J1305" i="1"/>
  <c r="P1299" i="1"/>
  <c r="S1296" i="1"/>
  <c r="L1303" i="1"/>
  <c r="U1294" i="1"/>
  <c r="M1302" i="1"/>
  <c r="K1304" i="1"/>
  <c r="I1499" i="1"/>
  <c r="M1495" i="1"/>
  <c r="Q1491" i="1"/>
  <c r="U1487" i="1"/>
  <c r="H1500" i="1"/>
  <c r="L1496" i="1"/>
  <c r="P1492" i="1"/>
  <c r="T1488" i="1"/>
  <c r="O1493" i="1"/>
  <c r="R1490" i="1"/>
  <c r="J1498" i="1"/>
  <c r="N1494" i="1"/>
  <c r="V1486" i="1"/>
  <c r="K1497" i="1"/>
  <c r="S1489" i="1"/>
  <c r="I248" i="1"/>
  <c r="M244" i="1"/>
  <c r="Q240" i="1"/>
  <c r="U236" i="1"/>
  <c r="H249" i="1"/>
  <c r="L245" i="1"/>
  <c r="P241" i="1"/>
  <c r="T237" i="1"/>
  <c r="K246" i="1"/>
  <c r="J247" i="1"/>
  <c r="N243" i="1"/>
  <c r="R239" i="1"/>
  <c r="V235" i="1"/>
  <c r="W235" i="1" s="1"/>
  <c r="S238" i="1"/>
  <c r="O242" i="1"/>
  <c r="J1325" i="1"/>
  <c r="N1321" i="1"/>
  <c r="R1317" i="1"/>
  <c r="W1317" i="1" s="1"/>
  <c r="V1313" i="1"/>
  <c r="W1313" i="1" s="1"/>
  <c r="I1326" i="1"/>
  <c r="M1322" i="1"/>
  <c r="Q1318" i="1"/>
  <c r="W1318" i="1" s="1"/>
  <c r="U1314" i="1"/>
  <c r="W1314" i="1" s="1"/>
  <c r="O1320" i="1"/>
  <c r="T1315" i="1"/>
  <c r="W1315" i="1" s="1"/>
  <c r="K1324" i="1"/>
  <c r="P1319" i="1"/>
  <c r="S1316" i="1"/>
  <c r="W1316" i="1" s="1"/>
  <c r="H1327" i="1"/>
  <c r="L1323" i="1"/>
  <c r="J1374" i="1"/>
  <c r="N1370" i="1"/>
  <c r="R1366" i="1"/>
  <c r="V1362" i="1"/>
  <c r="I1375" i="1"/>
  <c r="M1371" i="1"/>
  <c r="Q1367" i="1"/>
  <c r="H1376" i="1"/>
  <c r="P1368" i="1"/>
  <c r="O1369" i="1"/>
  <c r="L1372" i="1"/>
  <c r="T1364" i="1"/>
  <c r="S1365" i="1"/>
  <c r="K1373" i="1"/>
  <c r="U1363" i="1"/>
  <c r="I579" i="1"/>
  <c r="M575" i="1"/>
  <c r="Q571" i="1"/>
  <c r="U567" i="1"/>
  <c r="H580" i="1"/>
  <c r="L576" i="1"/>
  <c r="P572" i="1"/>
  <c r="T568" i="1"/>
  <c r="V566" i="1"/>
  <c r="K577" i="1"/>
  <c r="R570" i="1"/>
  <c r="N574" i="1"/>
  <c r="O573" i="1"/>
  <c r="J578" i="1"/>
  <c r="S569" i="1"/>
  <c r="J1621" i="1"/>
  <c r="N1617" i="1"/>
  <c r="R1613" i="1"/>
  <c r="V1609" i="1"/>
  <c r="I1622" i="1"/>
  <c r="M1618" i="1"/>
  <c r="Q1614" i="1"/>
  <c r="U1610" i="1"/>
  <c r="L1619" i="1"/>
  <c r="H1623" i="1"/>
  <c r="T1611" i="1"/>
  <c r="O1616" i="1"/>
  <c r="P1615" i="1"/>
  <c r="K1620" i="1"/>
  <c r="S1612" i="1"/>
  <c r="J664" i="1"/>
  <c r="N660" i="1"/>
  <c r="R656" i="1"/>
  <c r="V652" i="1"/>
  <c r="I665" i="1"/>
  <c r="M661" i="1"/>
  <c r="Q657" i="1"/>
  <c r="U653" i="1"/>
  <c r="S655" i="1"/>
  <c r="H666" i="1"/>
  <c r="O659" i="1"/>
  <c r="T654" i="1"/>
  <c r="K663" i="1"/>
  <c r="L662" i="1"/>
  <c r="P658" i="1"/>
  <c r="I321" i="1"/>
  <c r="M317" i="1"/>
  <c r="Q313" i="1"/>
  <c r="U309" i="1"/>
  <c r="H322" i="1"/>
  <c r="L318" i="1"/>
  <c r="P314" i="1"/>
  <c r="T310" i="1"/>
  <c r="V308" i="1"/>
  <c r="K319" i="1"/>
  <c r="R312" i="1"/>
  <c r="N316" i="1"/>
  <c r="S311" i="1"/>
  <c r="O315" i="1"/>
  <c r="J320" i="1"/>
  <c r="J1430" i="1"/>
  <c r="N1426" i="1"/>
  <c r="R1422" i="1"/>
  <c r="V1418" i="1"/>
  <c r="K1429" i="1"/>
  <c r="O1425" i="1"/>
  <c r="H1432" i="1"/>
  <c r="P1424" i="1"/>
  <c r="S1421" i="1"/>
  <c r="T1420" i="1"/>
  <c r="U1419" i="1"/>
  <c r="M1427" i="1"/>
  <c r="L1428" i="1"/>
  <c r="Q1423" i="1"/>
  <c r="I1431" i="1"/>
  <c r="I1045" i="1"/>
  <c r="M1041" i="1"/>
  <c r="W1041" i="1" s="1"/>
  <c r="Q1037" i="1"/>
  <c r="W1037" i="1" s="1"/>
  <c r="U1033" i="1"/>
  <c r="H1046" i="1"/>
  <c r="L1042" i="1"/>
  <c r="W1042" i="1" s="1"/>
  <c r="P1038" i="1"/>
  <c r="T1034" i="1"/>
  <c r="K1043" i="1"/>
  <c r="N1040" i="1"/>
  <c r="W1040" i="1" s="1"/>
  <c r="S1035" i="1"/>
  <c r="V1032" i="1"/>
  <c r="J1044" i="1"/>
  <c r="O1039" i="1"/>
  <c r="W1039" i="1" s="1"/>
  <c r="R1036" i="1"/>
  <c r="J112" i="1"/>
  <c r="N108" i="1"/>
  <c r="R104" i="1"/>
  <c r="V100" i="1"/>
  <c r="I113" i="1"/>
  <c r="M109" i="1"/>
  <c r="Q105" i="1"/>
  <c r="U101" i="1"/>
  <c r="H114" i="1"/>
  <c r="L110" i="1"/>
  <c r="P106" i="1"/>
  <c r="T102" i="1"/>
  <c r="K111" i="1"/>
  <c r="S103" i="1"/>
  <c r="O107" i="1"/>
  <c r="H1203" i="1"/>
  <c r="L1199" i="1"/>
  <c r="P1195" i="1"/>
  <c r="T1191" i="1"/>
  <c r="W1191" i="1" s="1"/>
  <c r="K1200" i="1"/>
  <c r="O1196" i="1"/>
  <c r="S1192" i="1"/>
  <c r="J1201" i="1"/>
  <c r="N1197" i="1"/>
  <c r="R1193" i="1"/>
  <c r="V1189" i="1"/>
  <c r="W1189" i="1" s="1"/>
  <c r="I1202" i="1"/>
  <c r="M1198" i="1"/>
  <c r="Q1194" i="1"/>
  <c r="U1190" i="1"/>
  <c r="W1190" i="1" s="1"/>
  <c r="I1004" i="1"/>
  <c r="W1004" i="1" s="1"/>
  <c r="M1000" i="1"/>
  <c r="W1000" i="1" s="1"/>
  <c r="J1003" i="1"/>
  <c r="W1003" i="1" s="1"/>
  <c r="H1005" i="1"/>
  <c r="W1005" i="1" s="1"/>
  <c r="K1002" i="1"/>
  <c r="W1002" i="1" s="1"/>
  <c r="N999" i="1"/>
  <c r="R995" i="1"/>
  <c r="W995" i="1" s="1"/>
  <c r="V991" i="1"/>
  <c r="W991" i="1" s="1"/>
  <c r="L1001" i="1"/>
  <c r="W1001" i="1" s="1"/>
  <c r="Q996" i="1"/>
  <c r="W996" i="1" s="1"/>
  <c r="U992" i="1"/>
  <c r="W992" i="1" s="1"/>
  <c r="S994" i="1"/>
  <c r="W994" i="1" s="1"/>
  <c r="O998" i="1"/>
  <c r="W998" i="1" s="1"/>
  <c r="T993" i="1"/>
  <c r="W993" i="1" s="1"/>
  <c r="P997" i="1"/>
  <c r="W997" i="1" s="1"/>
  <c r="H207" i="1"/>
  <c r="L203" i="1"/>
  <c r="P199" i="1"/>
  <c r="T195" i="1"/>
  <c r="W195" i="1" s="1"/>
  <c r="I206" i="1"/>
  <c r="M202" i="1"/>
  <c r="Q198" i="1"/>
  <c r="U194" i="1"/>
  <c r="W194" i="1" s="1"/>
  <c r="N201" i="1"/>
  <c r="V193" i="1"/>
  <c r="W193" i="1" s="1"/>
  <c r="K204" i="1"/>
  <c r="S196" i="1"/>
  <c r="J205" i="1"/>
  <c r="R197" i="1"/>
  <c r="W197" i="1" s="1"/>
  <c r="O200" i="1"/>
  <c r="I962" i="1"/>
  <c r="M958" i="1"/>
  <c r="Q954" i="1"/>
  <c r="U950" i="1"/>
  <c r="H963" i="1"/>
  <c r="L959" i="1"/>
  <c r="P955" i="1"/>
  <c r="T951" i="1"/>
  <c r="V949" i="1"/>
  <c r="K960" i="1"/>
  <c r="R953" i="1"/>
  <c r="O956" i="1"/>
  <c r="J961" i="1"/>
  <c r="N957" i="1"/>
  <c r="S952" i="1"/>
  <c r="J351" i="1"/>
  <c r="W351" i="1" s="1"/>
  <c r="N347" i="1"/>
  <c r="W347" i="1" s="1"/>
  <c r="R343" i="1"/>
  <c r="W343" i="1" s="1"/>
  <c r="V339" i="1"/>
  <c r="W339" i="1" s="1"/>
  <c r="I352" i="1"/>
  <c r="W352" i="1" s="1"/>
  <c r="M348" i="1"/>
  <c r="W348" i="1" s="1"/>
  <c r="Q344" i="1"/>
  <c r="W344" i="1" s="1"/>
  <c r="U340" i="1"/>
  <c r="W340" i="1" s="1"/>
  <c r="H353" i="1"/>
  <c r="W353" i="1" s="1"/>
  <c r="L349" i="1"/>
  <c r="W349" i="1" s="1"/>
  <c r="P345" i="1"/>
  <c r="W345" i="1" s="1"/>
  <c r="T341" i="1"/>
  <c r="W341" i="1" s="1"/>
  <c r="K350" i="1"/>
  <c r="W350" i="1" s="1"/>
  <c r="S342" i="1"/>
  <c r="W342" i="1" s="1"/>
  <c r="O346" i="1"/>
  <c r="W346" i="1" s="1"/>
  <c r="J1683" i="1"/>
  <c r="N1679" i="1"/>
  <c r="I1684" i="1"/>
  <c r="M1680" i="1"/>
  <c r="Q1676" i="1"/>
  <c r="H1685" i="1"/>
  <c r="L1681" i="1"/>
  <c r="P1677" i="1"/>
  <c r="K1682" i="1"/>
  <c r="O1678" i="1"/>
  <c r="U1672" i="1"/>
  <c r="T1673" i="1"/>
  <c r="S1674" i="1"/>
  <c r="V1671" i="1"/>
  <c r="W1671" i="1" s="1"/>
  <c r="R1675" i="1"/>
  <c r="I1407" i="1"/>
  <c r="L1404" i="1"/>
  <c r="N1402" i="1"/>
  <c r="R1398" i="1"/>
  <c r="V1394" i="1"/>
  <c r="M1403" i="1"/>
  <c r="Q1399" i="1"/>
  <c r="U1395" i="1"/>
  <c r="K1405" i="1"/>
  <c r="H1408" i="1"/>
  <c r="T1396" i="1"/>
  <c r="J1406" i="1"/>
  <c r="P1400" i="1"/>
  <c r="S1397" i="1"/>
  <c r="O1401" i="1"/>
  <c r="K1206" i="1"/>
  <c r="O1202" i="1"/>
  <c r="S1198" i="1"/>
  <c r="J1207" i="1"/>
  <c r="N1203" i="1"/>
  <c r="R1199" i="1"/>
  <c r="V1195" i="1"/>
  <c r="I1208" i="1"/>
  <c r="M1204" i="1"/>
  <c r="Q1200" i="1"/>
  <c r="U1196" i="1"/>
  <c r="H1209" i="1"/>
  <c r="L1205" i="1"/>
  <c r="P1201" i="1"/>
  <c r="T1197" i="1"/>
  <c r="J439" i="1"/>
  <c r="N435" i="1"/>
  <c r="R431" i="1"/>
  <c r="V427" i="1"/>
  <c r="I440" i="1"/>
  <c r="M436" i="1"/>
  <c r="Q432" i="1"/>
  <c r="U428" i="1"/>
  <c r="H441" i="1"/>
  <c r="L437" i="1"/>
  <c r="P433" i="1"/>
  <c r="T429" i="1"/>
  <c r="O434" i="1"/>
  <c r="K438" i="1"/>
  <c r="S430" i="1"/>
  <c r="J408" i="1"/>
  <c r="N404" i="1"/>
  <c r="R400" i="1"/>
  <c r="V396" i="1"/>
  <c r="I409" i="1"/>
  <c r="M405" i="1"/>
  <c r="Q401" i="1"/>
  <c r="U397" i="1"/>
  <c r="T398" i="1"/>
  <c r="H410" i="1"/>
  <c r="K407" i="1"/>
  <c r="P402" i="1"/>
  <c r="S399" i="1"/>
  <c r="L406" i="1"/>
  <c r="O403" i="1"/>
  <c r="J266" i="1"/>
  <c r="N262" i="1"/>
  <c r="R258" i="1"/>
  <c r="V254" i="1"/>
  <c r="I267" i="1"/>
  <c r="M263" i="1"/>
  <c r="Q259" i="1"/>
  <c r="U255" i="1"/>
  <c r="S257" i="1"/>
  <c r="H268" i="1"/>
  <c r="O261" i="1"/>
  <c r="T256" i="1"/>
  <c r="K265" i="1"/>
  <c r="P260" i="1"/>
  <c r="L264" i="1"/>
  <c r="H1697" i="1"/>
  <c r="L1693" i="1"/>
  <c r="P1689" i="1"/>
  <c r="T1685" i="1"/>
  <c r="K1694" i="1"/>
  <c r="O1690" i="1"/>
  <c r="S1686" i="1"/>
  <c r="J1695" i="1"/>
  <c r="N1691" i="1"/>
  <c r="R1687" i="1"/>
  <c r="V1683" i="1"/>
  <c r="I1696" i="1"/>
  <c r="M1692" i="1"/>
  <c r="Q1688" i="1"/>
  <c r="U1684" i="1"/>
  <c r="J736" i="1"/>
  <c r="N732" i="1"/>
  <c r="R728" i="1"/>
  <c r="V724" i="1"/>
  <c r="I737" i="1"/>
  <c r="M733" i="1"/>
  <c r="Q729" i="1"/>
  <c r="U725" i="1"/>
  <c r="L734" i="1"/>
  <c r="S727" i="1"/>
  <c r="H738" i="1"/>
  <c r="O731" i="1"/>
  <c r="K735" i="1"/>
  <c r="P730" i="1"/>
  <c r="T726" i="1"/>
  <c r="K424" i="1"/>
  <c r="O420" i="1"/>
  <c r="S416" i="1"/>
  <c r="J425" i="1"/>
  <c r="N421" i="1"/>
  <c r="R417" i="1"/>
  <c r="V413" i="1"/>
  <c r="I426" i="1"/>
  <c r="M422" i="1"/>
  <c r="W422" i="1" s="1"/>
  <c r="Q418" i="1"/>
  <c r="U414" i="1"/>
  <c r="T415" i="1"/>
  <c r="H427" i="1"/>
  <c r="P419" i="1"/>
  <c r="L423" i="1"/>
  <c r="W423" i="1" s="1"/>
  <c r="H1036" i="1"/>
  <c r="L1032" i="1"/>
  <c r="P1028" i="1"/>
  <c r="W1028" i="1" s="1"/>
  <c r="T1024" i="1"/>
  <c r="W1024" i="1" s="1"/>
  <c r="K1033" i="1"/>
  <c r="O1029" i="1"/>
  <c r="S1025" i="1"/>
  <c r="W1025" i="1" s="1"/>
  <c r="N1030" i="1"/>
  <c r="Q1027" i="1"/>
  <c r="W1027" i="1" s="1"/>
  <c r="V1022" i="1"/>
  <c r="W1022" i="1" s="1"/>
  <c r="J1034" i="1"/>
  <c r="M1031" i="1"/>
  <c r="W1031" i="1" s="1"/>
  <c r="I1035" i="1"/>
  <c r="U1023" i="1"/>
  <c r="W1023" i="1" s="1"/>
  <c r="R1026" i="1"/>
  <c r="W1026" i="1" s="1"/>
  <c r="K1423" i="1"/>
  <c r="O1419" i="1"/>
  <c r="S1415" i="1"/>
  <c r="H1426" i="1"/>
  <c r="Q1417" i="1"/>
  <c r="W1417" i="1" s="1"/>
  <c r="R1416" i="1"/>
  <c r="J1424" i="1"/>
  <c r="U1413" i="1"/>
  <c r="W1413" i="1" s="1"/>
  <c r="V1412" i="1"/>
  <c r="W1412" i="1" s="1"/>
  <c r="L1422" i="1"/>
  <c r="I1425" i="1"/>
  <c r="M1421" i="1"/>
  <c r="N1420" i="1"/>
  <c r="P1418" i="1"/>
  <c r="T1414" i="1"/>
  <c r="W1414" i="1" s="1"/>
  <c r="I647" i="1"/>
  <c r="M643" i="1"/>
  <c r="Q639" i="1"/>
  <c r="U635" i="1"/>
  <c r="H648" i="1"/>
  <c r="L644" i="1"/>
  <c r="P640" i="1"/>
  <c r="T636" i="1"/>
  <c r="R638" i="1"/>
  <c r="N642" i="1"/>
  <c r="S637" i="1"/>
  <c r="J646" i="1"/>
  <c r="V634" i="1"/>
  <c r="K645" i="1"/>
  <c r="O641" i="1"/>
  <c r="H382" i="1"/>
  <c r="L378" i="1"/>
  <c r="P374" i="1"/>
  <c r="T370" i="1"/>
  <c r="K379" i="1"/>
  <c r="O375" i="1"/>
  <c r="S371" i="1"/>
  <c r="V368" i="1"/>
  <c r="J380" i="1"/>
  <c r="M377" i="1"/>
  <c r="R372" i="1"/>
  <c r="U369" i="1"/>
  <c r="N376" i="1"/>
  <c r="Q373" i="1"/>
  <c r="I381" i="1"/>
  <c r="I726" i="1"/>
  <c r="M722" i="1"/>
  <c r="W722" i="1" s="1"/>
  <c r="Q718" i="1"/>
  <c r="W718" i="1" s="1"/>
  <c r="U714" i="1"/>
  <c r="H727" i="1"/>
  <c r="L723" i="1"/>
  <c r="P719" i="1"/>
  <c r="W719" i="1" s="1"/>
  <c r="T715" i="1"/>
  <c r="K724" i="1"/>
  <c r="O720" i="1"/>
  <c r="W720" i="1" s="1"/>
  <c r="S716" i="1"/>
  <c r="J725" i="1"/>
  <c r="N721" i="1"/>
  <c r="R717" i="1"/>
  <c r="W717" i="1" s="1"/>
  <c r="V713" i="1"/>
  <c r="H913" i="1"/>
  <c r="L909" i="1"/>
  <c r="P905" i="1"/>
  <c r="W905" i="1" s="1"/>
  <c r="T901" i="1"/>
  <c r="K910" i="1"/>
  <c r="O906" i="1"/>
  <c r="S902" i="1"/>
  <c r="W902" i="1" s="1"/>
  <c r="U900" i="1"/>
  <c r="W900" i="1" s="1"/>
  <c r="J911" i="1"/>
  <c r="Q904" i="1"/>
  <c r="W904" i="1" s="1"/>
  <c r="V899" i="1"/>
  <c r="W899" i="1" s="1"/>
  <c r="N907" i="1"/>
  <c r="I912" i="1"/>
  <c r="R903" i="1"/>
  <c r="W903" i="1" s="1"/>
  <c r="M908" i="1"/>
  <c r="H1562" i="1"/>
  <c r="W1562" i="1" s="1"/>
  <c r="L1558" i="1"/>
  <c r="W1558" i="1" s="1"/>
  <c r="P1554" i="1"/>
  <c r="W1554" i="1" s="1"/>
  <c r="Q1553" i="1"/>
  <c r="W1553" i="1" s="1"/>
  <c r="N1556" i="1"/>
  <c r="W1556" i="1" s="1"/>
  <c r="S1551" i="1"/>
  <c r="W1551" i="1" s="1"/>
  <c r="V1548" i="1"/>
  <c r="W1548" i="1" s="1"/>
  <c r="M1557" i="1"/>
  <c r="W1557" i="1" s="1"/>
  <c r="J1560" i="1"/>
  <c r="W1560" i="1" s="1"/>
  <c r="I1561" i="1"/>
  <c r="W1561" i="1" s="1"/>
  <c r="U1549" i="1"/>
  <c r="W1549" i="1" s="1"/>
  <c r="K1559" i="1"/>
  <c r="W1559" i="1" s="1"/>
  <c r="R1552" i="1"/>
  <c r="W1552" i="1" s="1"/>
  <c r="T1550" i="1"/>
  <c r="W1550" i="1" s="1"/>
  <c r="O1555" i="1"/>
  <c r="W1555" i="1" s="1"/>
  <c r="H694" i="1"/>
  <c r="L690" i="1"/>
  <c r="P686" i="1"/>
  <c r="T682" i="1"/>
  <c r="K691" i="1"/>
  <c r="O687" i="1"/>
  <c r="S683" i="1"/>
  <c r="Q685" i="1"/>
  <c r="V680" i="1"/>
  <c r="M689" i="1"/>
  <c r="R684" i="1"/>
  <c r="I693" i="1"/>
  <c r="U681" i="1"/>
  <c r="N688" i="1"/>
  <c r="J692" i="1"/>
  <c r="K258" i="1"/>
  <c r="O254" i="1"/>
  <c r="S250" i="1"/>
  <c r="J259" i="1"/>
  <c r="N255" i="1"/>
  <c r="R251" i="1"/>
  <c r="V247" i="1"/>
  <c r="I260" i="1"/>
  <c r="M256" i="1"/>
  <c r="Q252" i="1"/>
  <c r="U248" i="1"/>
  <c r="H261" i="1"/>
  <c r="L257" i="1"/>
  <c r="P253" i="1"/>
  <c r="T249" i="1"/>
  <c r="J151" i="1"/>
  <c r="N147" i="1"/>
  <c r="R143" i="1"/>
  <c r="V139" i="1"/>
  <c r="I152" i="1"/>
  <c r="M148" i="1"/>
  <c r="Q144" i="1"/>
  <c r="U140" i="1"/>
  <c r="H153" i="1"/>
  <c r="L149" i="1"/>
  <c r="P145" i="1"/>
  <c r="T141" i="1"/>
  <c r="S142" i="1"/>
  <c r="O146" i="1"/>
  <c r="K150" i="1"/>
  <c r="J456" i="1"/>
  <c r="N452" i="1"/>
  <c r="R448" i="1"/>
  <c r="W448" i="1" s="1"/>
  <c r="V444" i="1"/>
  <c r="W444" i="1" s="1"/>
  <c r="I457" i="1"/>
  <c r="M453" i="1"/>
  <c r="Q449" i="1"/>
  <c r="U445" i="1"/>
  <c r="W445" i="1" s="1"/>
  <c r="L454" i="1"/>
  <c r="O451" i="1"/>
  <c r="T446" i="1"/>
  <c r="W446" i="1" s="1"/>
  <c r="H458" i="1"/>
  <c r="K455" i="1"/>
  <c r="S447" i="1"/>
  <c r="P450" i="1"/>
  <c r="J712" i="1"/>
  <c r="N708" i="1"/>
  <c r="R704" i="1"/>
  <c r="V700" i="1"/>
  <c r="W700" i="1" s="1"/>
  <c r="I713" i="1"/>
  <c r="M709" i="1"/>
  <c r="Q705" i="1"/>
  <c r="U701" i="1"/>
  <c r="K711" i="1"/>
  <c r="P706" i="1"/>
  <c r="L710" i="1"/>
  <c r="S703" i="1"/>
  <c r="O707" i="1"/>
  <c r="H714" i="1"/>
  <c r="T702" i="1"/>
  <c r="G134" i="1"/>
  <c r="H133" i="1"/>
  <c r="L129" i="1"/>
  <c r="P125" i="1"/>
  <c r="T121" i="1"/>
  <c r="K130" i="1"/>
  <c r="O126" i="1"/>
  <c r="S122" i="1"/>
  <c r="J131" i="1"/>
  <c r="N127" i="1"/>
  <c r="R123" i="1"/>
  <c r="V119" i="1"/>
  <c r="M128" i="1"/>
  <c r="I132" i="1"/>
  <c r="U120" i="1"/>
  <c r="Q124" i="1"/>
  <c r="J177" i="1"/>
  <c r="N173" i="1"/>
  <c r="R169" i="1"/>
  <c r="V165" i="1"/>
  <c r="K176" i="1"/>
  <c r="O172" i="1"/>
  <c r="S168" i="1"/>
  <c r="M174" i="1"/>
  <c r="W174" i="1" s="1"/>
  <c r="P171" i="1"/>
  <c r="Q170" i="1"/>
  <c r="T167" i="1"/>
  <c r="H179" i="1"/>
  <c r="U166" i="1"/>
  <c r="I178" i="1"/>
  <c r="L175" i="1"/>
  <c r="K742" i="1"/>
  <c r="J743" i="1"/>
  <c r="N739" i="1"/>
  <c r="I744" i="1"/>
  <c r="L741" i="1"/>
  <c r="R735" i="1"/>
  <c r="V731" i="1"/>
  <c r="M740" i="1"/>
  <c r="W740" i="1" s="1"/>
  <c r="Q736" i="1"/>
  <c r="U732" i="1"/>
  <c r="P737" i="1"/>
  <c r="T733" i="1"/>
  <c r="O738" i="1"/>
  <c r="S734" i="1"/>
  <c r="H745" i="1"/>
  <c r="K477" i="1"/>
  <c r="O473" i="1"/>
  <c r="S469" i="1"/>
  <c r="J478" i="1"/>
  <c r="N474" i="1"/>
  <c r="R470" i="1"/>
  <c r="V466" i="1"/>
  <c r="T468" i="1"/>
  <c r="I479" i="1"/>
  <c r="P472" i="1"/>
  <c r="U467" i="1"/>
  <c r="L476" i="1"/>
  <c r="Q471" i="1"/>
  <c r="M475" i="1"/>
  <c r="H480" i="1"/>
  <c r="H1076" i="1"/>
  <c r="W1076" i="1" s="1"/>
  <c r="L1072" i="1"/>
  <c r="W1072" i="1" s="1"/>
  <c r="P1068" i="1"/>
  <c r="T1064" i="1"/>
  <c r="K1073" i="1"/>
  <c r="W1073" i="1" s="1"/>
  <c r="O1069" i="1"/>
  <c r="S1065" i="1"/>
  <c r="V1062" i="1"/>
  <c r="J1074" i="1"/>
  <c r="W1074" i="1" s="1"/>
  <c r="M1071" i="1"/>
  <c r="W1071" i="1" s="1"/>
  <c r="R1066" i="1"/>
  <c r="U1063" i="1"/>
  <c r="N1070" i="1"/>
  <c r="W1070" i="1" s="1"/>
  <c r="I1075" i="1"/>
  <c r="W1075" i="1" s="1"/>
  <c r="Q1067" i="1"/>
  <c r="G127" i="1"/>
  <c r="H126" i="1"/>
  <c r="L122" i="1"/>
  <c r="P118" i="1"/>
  <c r="T114" i="1"/>
  <c r="K123" i="1"/>
  <c r="O119" i="1"/>
  <c r="S115" i="1"/>
  <c r="J124" i="1"/>
  <c r="N120" i="1"/>
  <c r="R116" i="1"/>
  <c r="V112" i="1"/>
  <c r="Q117" i="1"/>
  <c r="M121" i="1"/>
  <c r="I125" i="1"/>
  <c r="U113" i="1"/>
  <c r="I1069" i="1"/>
  <c r="M1065" i="1"/>
  <c r="Q1061" i="1"/>
  <c r="U1057" i="1"/>
  <c r="H1070" i="1"/>
  <c r="L1066" i="1"/>
  <c r="P1062" i="1"/>
  <c r="T1058" i="1"/>
  <c r="K1067" i="1"/>
  <c r="N1064" i="1"/>
  <c r="S1059" i="1"/>
  <c r="V1056" i="1"/>
  <c r="J1068" i="1"/>
  <c r="O1063" i="1"/>
  <c r="R1060" i="1"/>
  <c r="I1652" i="1"/>
  <c r="M1648" i="1"/>
  <c r="W1648" i="1" s="1"/>
  <c r="Q1644" i="1"/>
  <c r="U1640" i="1"/>
  <c r="H1653" i="1"/>
  <c r="L1649" i="1"/>
  <c r="P1645" i="1"/>
  <c r="T1641" i="1"/>
  <c r="J1651" i="1"/>
  <c r="O1646" i="1"/>
  <c r="R1643" i="1"/>
  <c r="N1647" i="1"/>
  <c r="V1639" i="1"/>
  <c r="K1650" i="1"/>
  <c r="S1642" i="1"/>
  <c r="J794" i="1"/>
  <c r="N790" i="1"/>
  <c r="R786" i="1"/>
  <c r="V782" i="1"/>
  <c r="M791" i="1"/>
  <c r="P788" i="1"/>
  <c r="Q787" i="1"/>
  <c r="T784" i="1"/>
  <c r="H796" i="1"/>
  <c r="U783" i="1"/>
  <c r="O789" i="1"/>
  <c r="L792" i="1"/>
  <c r="K793" i="1"/>
  <c r="S785" i="1"/>
  <c r="I795" i="1"/>
  <c r="I921" i="1"/>
  <c r="M917" i="1"/>
  <c r="Q913" i="1"/>
  <c r="U909" i="1"/>
  <c r="H922" i="1"/>
  <c r="L918" i="1"/>
  <c r="P914" i="1"/>
  <c r="T910" i="1"/>
  <c r="K919" i="1"/>
  <c r="O915" i="1"/>
  <c r="S911" i="1"/>
  <c r="J920" i="1"/>
  <c r="N916" i="1"/>
  <c r="R912" i="1"/>
  <c r="V908" i="1"/>
  <c r="K210" i="1"/>
  <c r="O206" i="1"/>
  <c r="S202" i="1"/>
  <c r="H213" i="1"/>
  <c r="L209" i="1"/>
  <c r="P205" i="1"/>
  <c r="T201" i="1"/>
  <c r="I212" i="1"/>
  <c r="Q204" i="1"/>
  <c r="N207" i="1"/>
  <c r="V199" i="1"/>
  <c r="M208" i="1"/>
  <c r="U200" i="1"/>
  <c r="R203" i="1"/>
  <c r="J211" i="1"/>
  <c r="K1362" i="1"/>
  <c r="O1358" i="1"/>
  <c r="R1355" i="1"/>
  <c r="U1352" i="1"/>
  <c r="L1361" i="1"/>
  <c r="H1365" i="1"/>
  <c r="I1364" i="1"/>
  <c r="T1353" i="1"/>
  <c r="P1357" i="1"/>
  <c r="N1359" i="1"/>
  <c r="Q1356" i="1"/>
  <c r="V1351" i="1"/>
  <c r="J1363" i="1"/>
  <c r="M1360" i="1"/>
  <c r="S1354" i="1"/>
  <c r="I607" i="1"/>
  <c r="M603" i="1"/>
  <c r="H608" i="1"/>
  <c r="L604" i="1"/>
  <c r="P600" i="1"/>
  <c r="T596" i="1"/>
  <c r="N602" i="1"/>
  <c r="V594" i="1"/>
  <c r="J606" i="1"/>
  <c r="W606" i="1" s="1"/>
  <c r="O601" i="1"/>
  <c r="R598" i="1"/>
  <c r="S597" i="1"/>
  <c r="U595" i="1"/>
  <c r="K605" i="1"/>
  <c r="Q599" i="1"/>
  <c r="K461" i="1"/>
  <c r="W461" i="1" s="1"/>
  <c r="J462" i="1"/>
  <c r="W462" i="1" s="1"/>
  <c r="L460" i="1"/>
  <c r="W460" i="1" s="1"/>
  <c r="Q455" i="1"/>
  <c r="U451" i="1"/>
  <c r="H464" i="1"/>
  <c r="M459" i="1"/>
  <c r="W459" i="1" s="1"/>
  <c r="P456" i="1"/>
  <c r="T452" i="1"/>
  <c r="N458" i="1"/>
  <c r="S453" i="1"/>
  <c r="I463" i="1"/>
  <c r="V450" i="1"/>
  <c r="O457" i="1"/>
  <c r="R454" i="1"/>
  <c r="K1279" i="1"/>
  <c r="O1275" i="1"/>
  <c r="S1271" i="1"/>
  <c r="J1280" i="1"/>
  <c r="N1276" i="1"/>
  <c r="R1272" i="1"/>
  <c r="V1268" i="1"/>
  <c r="I1281" i="1"/>
  <c r="M1277" i="1"/>
  <c r="Q1273" i="1"/>
  <c r="U1269" i="1"/>
  <c r="H1282" i="1"/>
  <c r="L1278" i="1"/>
  <c r="P1274" i="1"/>
  <c r="T1270" i="1"/>
  <c r="I515" i="1"/>
  <c r="M511" i="1"/>
  <c r="Q507" i="1"/>
  <c r="U503" i="1"/>
  <c r="H516" i="1"/>
  <c r="L512" i="1"/>
  <c r="P508" i="1"/>
  <c r="T504" i="1"/>
  <c r="V502" i="1"/>
  <c r="K513" i="1"/>
  <c r="R506" i="1"/>
  <c r="N510" i="1"/>
  <c r="S505" i="1"/>
  <c r="O509" i="1"/>
  <c r="J514" i="1"/>
  <c r="J632" i="1"/>
  <c r="N628" i="1"/>
  <c r="R624" i="1"/>
  <c r="V620" i="1"/>
  <c r="I633" i="1"/>
  <c r="M629" i="1"/>
  <c r="Q625" i="1"/>
  <c r="U621" i="1"/>
  <c r="S623" i="1"/>
  <c r="H634" i="1"/>
  <c r="O627" i="1"/>
  <c r="T622" i="1"/>
  <c r="K631" i="1"/>
  <c r="L630" i="1"/>
  <c r="P626" i="1"/>
  <c r="K144" i="1"/>
  <c r="O140" i="1"/>
  <c r="S136" i="1"/>
  <c r="J145" i="1"/>
  <c r="N141" i="1"/>
  <c r="R137" i="1"/>
  <c r="V133" i="1"/>
  <c r="I146" i="1"/>
  <c r="M142" i="1"/>
  <c r="Q138" i="1"/>
  <c r="U134" i="1"/>
  <c r="H147" i="1"/>
  <c r="T135" i="1"/>
  <c r="P139" i="1"/>
  <c r="L143" i="1"/>
  <c r="G85" i="1"/>
  <c r="K81" i="1"/>
  <c r="J82" i="1"/>
  <c r="N78" i="1"/>
  <c r="R74" i="1"/>
  <c r="V70" i="1"/>
  <c r="I83" i="1"/>
  <c r="M79" i="1"/>
  <c r="Q75" i="1"/>
  <c r="U71" i="1"/>
  <c r="H84" i="1"/>
  <c r="T72" i="1"/>
  <c r="S73" i="1"/>
  <c r="L80" i="1"/>
  <c r="P76" i="1"/>
  <c r="O77" i="1"/>
  <c r="G191" i="1"/>
  <c r="K187" i="1"/>
  <c r="J188" i="1"/>
  <c r="N184" i="1"/>
  <c r="R180" i="1"/>
  <c r="M185" i="1"/>
  <c r="U177" i="1"/>
  <c r="L186" i="1"/>
  <c r="O183" i="1"/>
  <c r="P182" i="1"/>
  <c r="V176" i="1"/>
  <c r="Q181" i="1"/>
  <c r="I189" i="1"/>
  <c r="S179" i="1"/>
  <c r="H190" i="1"/>
  <c r="T178" i="1"/>
  <c r="J391" i="1"/>
  <c r="N387" i="1"/>
  <c r="R383" i="1"/>
  <c r="V379" i="1"/>
  <c r="I392" i="1"/>
  <c r="M388" i="1"/>
  <c r="Q384" i="1"/>
  <c r="U380" i="1"/>
  <c r="H393" i="1"/>
  <c r="L389" i="1"/>
  <c r="P385" i="1"/>
  <c r="T381" i="1"/>
  <c r="K390" i="1"/>
  <c r="S382" i="1"/>
  <c r="O386" i="1"/>
  <c r="K369" i="1"/>
  <c r="O365" i="1"/>
  <c r="S361" i="1"/>
  <c r="J370" i="1"/>
  <c r="N366" i="1"/>
  <c r="R362" i="1"/>
  <c r="V358" i="1"/>
  <c r="H372" i="1"/>
  <c r="M367" i="1"/>
  <c r="P364" i="1"/>
  <c r="U359" i="1"/>
  <c r="I371" i="1"/>
  <c r="Q363" i="1"/>
  <c r="T360" i="1"/>
  <c r="L368" i="1"/>
  <c r="H1163" i="1"/>
  <c r="L1159" i="1"/>
  <c r="P1155" i="1"/>
  <c r="J1161" i="1"/>
  <c r="N1157" i="1"/>
  <c r="I1162" i="1"/>
  <c r="M1158" i="1"/>
  <c r="Q1154" i="1"/>
  <c r="T1151" i="1"/>
  <c r="S1152" i="1"/>
  <c r="K1160" i="1"/>
  <c r="V1149" i="1"/>
  <c r="U1150" i="1"/>
  <c r="R1153" i="1"/>
  <c r="O1156" i="1"/>
  <c r="J1254" i="1"/>
  <c r="N1250" i="1"/>
  <c r="R1246" i="1"/>
  <c r="V1242" i="1"/>
  <c r="I1255" i="1"/>
  <c r="M1251" i="1"/>
  <c r="Q1247" i="1"/>
  <c r="U1243" i="1"/>
  <c r="H1256" i="1"/>
  <c r="L1252" i="1"/>
  <c r="P1248" i="1"/>
  <c r="T1244" i="1"/>
  <c r="K1253" i="1"/>
  <c r="O1249" i="1"/>
  <c r="S1245" i="1"/>
  <c r="H1705" i="1"/>
  <c r="L1701" i="1"/>
  <c r="P1697" i="1"/>
  <c r="T1693" i="1"/>
  <c r="K1702" i="1"/>
  <c r="O1698" i="1"/>
  <c r="S1694" i="1"/>
  <c r="J1703" i="1"/>
  <c r="N1699" i="1"/>
  <c r="R1695" i="1"/>
  <c r="V1691" i="1"/>
  <c r="I1704" i="1"/>
  <c r="M1700" i="1"/>
  <c r="Q1696" i="1"/>
  <c r="U1692" i="1"/>
  <c r="K1661" i="1"/>
  <c r="W1661" i="1" s="1"/>
  <c r="O1657" i="1"/>
  <c r="W1657" i="1" s="1"/>
  <c r="S1653" i="1"/>
  <c r="J1662" i="1"/>
  <c r="W1662" i="1" s="1"/>
  <c r="N1658" i="1"/>
  <c r="W1658" i="1" s="1"/>
  <c r="R1654" i="1"/>
  <c r="W1654" i="1" s="1"/>
  <c r="V1650" i="1"/>
  <c r="W1650" i="1" s="1"/>
  <c r="H1664" i="1"/>
  <c r="W1664" i="1" s="1"/>
  <c r="L1660" i="1"/>
  <c r="W1660" i="1" s="1"/>
  <c r="P1656" i="1"/>
  <c r="W1656" i="1" s="1"/>
  <c r="T1652" i="1"/>
  <c r="M1659" i="1"/>
  <c r="W1659" i="1" s="1"/>
  <c r="U1651" i="1"/>
  <c r="I1663" i="1"/>
  <c r="W1663" i="1" s="1"/>
  <c r="Q1655" i="1"/>
  <c r="W1655" i="1" s="1"/>
  <c r="K1399" i="1"/>
  <c r="O1395" i="1"/>
  <c r="S1391" i="1"/>
  <c r="J1400" i="1"/>
  <c r="N1396" i="1"/>
  <c r="R1392" i="1"/>
  <c r="V1388" i="1"/>
  <c r="W1388" i="1" s="1"/>
  <c r="I1401" i="1"/>
  <c r="L1398" i="1"/>
  <c r="U1389" i="1"/>
  <c r="W1389" i="1" s="1"/>
  <c r="Q1393" i="1"/>
  <c r="W1393" i="1" s="1"/>
  <c r="T1390" i="1"/>
  <c r="W1390" i="1" s="1"/>
  <c r="H1402" i="1"/>
  <c r="M1397" i="1"/>
  <c r="P1394" i="1"/>
  <c r="H224" i="1"/>
  <c r="L220" i="1"/>
  <c r="P216" i="1"/>
  <c r="T212" i="1"/>
  <c r="K221" i="1"/>
  <c r="O217" i="1"/>
  <c r="S213" i="1"/>
  <c r="R214" i="1"/>
  <c r="V210" i="1"/>
  <c r="I223" i="1"/>
  <c r="U211" i="1"/>
  <c r="N218" i="1"/>
  <c r="Q215" i="1"/>
  <c r="M219" i="1"/>
  <c r="J222" i="1"/>
  <c r="K1126" i="1"/>
  <c r="O1122" i="1"/>
  <c r="S1118" i="1"/>
  <c r="J1127" i="1"/>
  <c r="N1123" i="1"/>
  <c r="R1119" i="1"/>
  <c r="W1119" i="1" s="1"/>
  <c r="V1115" i="1"/>
  <c r="W1115" i="1" s="1"/>
  <c r="I1128" i="1"/>
  <c r="M1124" i="1"/>
  <c r="Q1120" i="1"/>
  <c r="U1116" i="1"/>
  <c r="H1129" i="1"/>
  <c r="L1125" i="1"/>
  <c r="P1121" i="1"/>
  <c r="T1117" i="1"/>
  <c r="K849" i="1"/>
  <c r="O845" i="1"/>
  <c r="S841" i="1"/>
  <c r="I851" i="1"/>
  <c r="L848" i="1"/>
  <c r="V838" i="1"/>
  <c r="J850" i="1"/>
  <c r="M847" i="1"/>
  <c r="P844" i="1"/>
  <c r="N846" i="1"/>
  <c r="R842" i="1"/>
  <c r="T840" i="1"/>
  <c r="H852" i="1"/>
  <c r="Q843" i="1"/>
  <c r="U839" i="1"/>
  <c r="I281" i="1"/>
  <c r="M277" i="1"/>
  <c r="Q273" i="1"/>
  <c r="U269" i="1"/>
  <c r="H282" i="1"/>
  <c r="L278" i="1"/>
  <c r="P274" i="1"/>
  <c r="T270" i="1"/>
  <c r="R272" i="1"/>
  <c r="N276" i="1"/>
  <c r="S271" i="1"/>
  <c r="J280" i="1"/>
  <c r="O275" i="1"/>
  <c r="K279" i="1"/>
  <c r="V268" i="1"/>
  <c r="I398" i="1"/>
  <c r="M394" i="1"/>
  <c r="W394" i="1" s="1"/>
  <c r="Q390" i="1"/>
  <c r="U386" i="1"/>
  <c r="H399" i="1"/>
  <c r="L395" i="1"/>
  <c r="P391" i="1"/>
  <c r="T387" i="1"/>
  <c r="K396" i="1"/>
  <c r="O392" i="1"/>
  <c r="S388" i="1"/>
  <c r="V385" i="1"/>
  <c r="J397" i="1"/>
  <c r="R389" i="1"/>
  <c r="N393" i="1"/>
  <c r="J810" i="1"/>
  <c r="W810" i="1" s="1"/>
  <c r="N806" i="1"/>
  <c r="R802" i="1"/>
  <c r="V798" i="1"/>
  <c r="H812" i="1"/>
  <c r="W812" i="1" s="1"/>
  <c r="U799" i="1"/>
  <c r="O805" i="1"/>
  <c r="I811" i="1"/>
  <c r="W811" i="1" s="1"/>
  <c r="L808" i="1"/>
  <c r="W808" i="1" s="1"/>
  <c r="M807" i="1"/>
  <c r="W807" i="1" s="1"/>
  <c r="P804" i="1"/>
  <c r="Q803" i="1"/>
  <c r="S801" i="1"/>
  <c r="K809" i="1"/>
  <c r="W809" i="1" s="1"/>
  <c r="T800" i="1"/>
  <c r="J1246" i="1"/>
  <c r="N1242" i="1"/>
  <c r="R1238" i="1"/>
  <c r="V1234" i="1"/>
  <c r="I1247" i="1"/>
  <c r="M1243" i="1"/>
  <c r="Q1239" i="1"/>
  <c r="U1235" i="1"/>
  <c r="H1248" i="1"/>
  <c r="L1244" i="1"/>
  <c r="P1240" i="1"/>
  <c r="T1236" i="1"/>
  <c r="K1245" i="1"/>
  <c r="O1241" i="1"/>
  <c r="S1237" i="1"/>
  <c r="H985" i="1"/>
  <c r="W985" i="1" s="1"/>
  <c r="L981" i="1"/>
  <c r="W981" i="1" s="1"/>
  <c r="P977" i="1"/>
  <c r="W977" i="1" s="1"/>
  <c r="T973" i="1"/>
  <c r="W973" i="1" s="1"/>
  <c r="K982" i="1"/>
  <c r="W982" i="1" s="1"/>
  <c r="O978" i="1"/>
  <c r="W978" i="1" s="1"/>
  <c r="S974" i="1"/>
  <c r="W974" i="1" s="1"/>
  <c r="I984" i="1"/>
  <c r="W984" i="1" s="1"/>
  <c r="N979" i="1"/>
  <c r="W979" i="1" s="1"/>
  <c r="U972" i="1"/>
  <c r="W972" i="1" s="1"/>
  <c r="J983" i="1"/>
  <c r="W983" i="1" s="1"/>
  <c r="R975" i="1"/>
  <c r="W975" i="1" s="1"/>
  <c r="M980" i="1"/>
  <c r="W980" i="1" s="1"/>
  <c r="V971" i="1"/>
  <c r="W971" i="1" s="1"/>
  <c r="Q976" i="1"/>
  <c r="W976" i="1" s="1"/>
  <c r="K485" i="1"/>
  <c r="O481" i="1"/>
  <c r="S477" i="1"/>
  <c r="J486" i="1"/>
  <c r="N482" i="1"/>
  <c r="R478" i="1"/>
  <c r="V474" i="1"/>
  <c r="H488" i="1"/>
  <c r="M483" i="1"/>
  <c r="T476" i="1"/>
  <c r="I487" i="1"/>
  <c r="P480" i="1"/>
  <c r="U475" i="1"/>
  <c r="Q479" i="1"/>
  <c r="L484" i="1"/>
  <c r="H838" i="1"/>
  <c r="J836" i="1"/>
  <c r="O831" i="1"/>
  <c r="S827" i="1"/>
  <c r="K835" i="1"/>
  <c r="N832" i="1"/>
  <c r="T826" i="1"/>
  <c r="U825" i="1"/>
  <c r="V824" i="1"/>
  <c r="M833" i="1"/>
  <c r="L834" i="1"/>
  <c r="R828" i="1"/>
  <c r="I837" i="1"/>
  <c r="P830" i="1"/>
  <c r="Q829" i="1"/>
  <c r="H878" i="1"/>
  <c r="L874" i="1"/>
  <c r="P870" i="1"/>
  <c r="T866" i="1"/>
  <c r="I877" i="1"/>
  <c r="K875" i="1"/>
  <c r="O871" i="1"/>
  <c r="S867" i="1"/>
  <c r="R868" i="1"/>
  <c r="N872" i="1"/>
  <c r="Q869" i="1"/>
  <c r="V864" i="1"/>
  <c r="U865" i="1"/>
  <c r="J876" i="1"/>
  <c r="M873" i="1"/>
  <c r="G92" i="1"/>
  <c r="K88" i="1"/>
  <c r="O84" i="1"/>
  <c r="S80" i="1"/>
  <c r="J89" i="1"/>
  <c r="N85" i="1"/>
  <c r="R81" i="1"/>
  <c r="V77" i="1"/>
  <c r="I90" i="1"/>
  <c r="M86" i="1"/>
  <c r="Q82" i="1"/>
  <c r="U78" i="1"/>
  <c r="L87" i="1"/>
  <c r="H91" i="1"/>
  <c r="P83" i="1"/>
  <c r="T79" i="1"/>
  <c r="H141" i="1"/>
  <c r="L137" i="1"/>
  <c r="P133" i="1"/>
  <c r="T129" i="1"/>
  <c r="K138" i="1"/>
  <c r="O134" i="1"/>
  <c r="S130" i="1"/>
  <c r="J139" i="1"/>
  <c r="N135" i="1"/>
  <c r="R131" i="1"/>
  <c r="V127" i="1"/>
  <c r="M136" i="1"/>
  <c r="I140" i="1"/>
  <c r="Q132" i="1"/>
  <c r="U128" i="1"/>
  <c r="I65" i="1"/>
  <c r="M61" i="1"/>
  <c r="Q57" i="1"/>
  <c r="W57" i="1" s="1"/>
  <c r="U53" i="1"/>
  <c r="W53" i="1" s="1"/>
  <c r="H66" i="1"/>
  <c r="L62" i="1"/>
  <c r="P58" i="1"/>
  <c r="T54" i="1"/>
  <c r="W54" i="1" s="1"/>
  <c r="V52" i="1"/>
  <c r="W52" i="1" s="1"/>
  <c r="S55" i="1"/>
  <c r="W55" i="1" s="1"/>
  <c r="K63" i="1"/>
  <c r="O59" i="1"/>
  <c r="J64" i="1"/>
  <c r="N60" i="1"/>
  <c r="R56" i="1"/>
  <c r="G172" i="1"/>
  <c r="J169" i="1"/>
  <c r="N165" i="1"/>
  <c r="R161" i="1"/>
  <c r="K168" i="1"/>
  <c r="O164" i="1"/>
  <c r="S160" i="1"/>
  <c r="I170" i="1"/>
  <c r="L167" i="1"/>
  <c r="M166" i="1"/>
  <c r="P163" i="1"/>
  <c r="V157" i="1"/>
  <c r="W157" i="1" s="1"/>
  <c r="Q162" i="1"/>
  <c r="U158" i="1"/>
  <c r="H171" i="1"/>
  <c r="T159" i="1"/>
  <c r="H1588" i="1"/>
  <c r="W1588" i="1" s="1"/>
  <c r="L1584" i="1"/>
  <c r="W1584" i="1" s="1"/>
  <c r="P1580" i="1"/>
  <c r="T1576" i="1"/>
  <c r="K1585" i="1"/>
  <c r="O1581" i="1"/>
  <c r="S1577" i="1"/>
  <c r="U1575" i="1"/>
  <c r="Q1579" i="1"/>
  <c r="R1578" i="1"/>
  <c r="J1586" i="1"/>
  <c r="W1586" i="1" s="1"/>
  <c r="V1574" i="1"/>
  <c r="M1583" i="1"/>
  <c r="W1583" i="1" s="1"/>
  <c r="I1587" i="1"/>
  <c r="W1587" i="1" s="1"/>
  <c r="N1582" i="1"/>
  <c r="J1094" i="1"/>
  <c r="W1094" i="1" s="1"/>
  <c r="N1090" i="1"/>
  <c r="R1086" i="1"/>
  <c r="V1082" i="1"/>
  <c r="I1095" i="1"/>
  <c r="W1095" i="1" s="1"/>
  <c r="M1091" i="1"/>
  <c r="W1091" i="1" s="1"/>
  <c r="Q1087" i="1"/>
  <c r="U1083" i="1"/>
  <c r="H1096" i="1"/>
  <c r="W1096" i="1" s="1"/>
  <c r="S1085" i="1"/>
  <c r="O1089" i="1"/>
  <c r="W1089" i="1" s="1"/>
  <c r="K1093" i="1"/>
  <c r="W1093" i="1" s="1"/>
  <c r="T1084" i="1"/>
  <c r="W1084" i="1" s="1"/>
  <c r="P1088" i="1"/>
  <c r="L1092" i="1"/>
  <c r="W1092" i="1" s="1"/>
  <c r="H1521" i="1"/>
  <c r="L1517" i="1"/>
  <c r="P1513" i="1"/>
  <c r="T1509" i="1"/>
  <c r="K1518" i="1"/>
  <c r="O1514" i="1"/>
  <c r="S1510" i="1"/>
  <c r="I1520" i="1"/>
  <c r="M1516" i="1"/>
  <c r="Q1512" i="1"/>
  <c r="U1508" i="1"/>
  <c r="R1511" i="1"/>
  <c r="V1507" i="1"/>
  <c r="J1519" i="1"/>
  <c r="N1515" i="1"/>
  <c r="H421" i="1"/>
  <c r="W421" i="1" s="1"/>
  <c r="L417" i="1"/>
  <c r="P413" i="1"/>
  <c r="W413" i="1" s="1"/>
  <c r="T409" i="1"/>
  <c r="K418" i="1"/>
  <c r="O414" i="1"/>
  <c r="S410" i="1"/>
  <c r="J419" i="1"/>
  <c r="N415" i="1"/>
  <c r="R411" i="1"/>
  <c r="V407" i="1"/>
  <c r="U408" i="1"/>
  <c r="I420" i="1"/>
  <c r="Q412" i="1"/>
  <c r="W412" i="1" s="1"/>
  <c r="M416" i="1"/>
  <c r="I1715" i="1"/>
  <c r="M1711" i="1"/>
  <c r="Q1707" i="1"/>
  <c r="U1703" i="1"/>
  <c r="H1716" i="1"/>
  <c r="L1712" i="1"/>
  <c r="P1708" i="1"/>
  <c r="T1704" i="1"/>
  <c r="K1713" i="1"/>
  <c r="O1709" i="1"/>
  <c r="S1705" i="1"/>
  <c r="V1702" i="1"/>
  <c r="R1706" i="1"/>
  <c r="N1710" i="1"/>
  <c r="J1714" i="1"/>
  <c r="J531" i="1"/>
  <c r="N527" i="1"/>
  <c r="R523" i="1"/>
  <c r="V519" i="1"/>
  <c r="W519" i="1" s="1"/>
  <c r="I532" i="1"/>
  <c r="M528" i="1"/>
  <c r="Q524" i="1"/>
  <c r="U520" i="1"/>
  <c r="H533" i="1"/>
  <c r="L529" i="1"/>
  <c r="P525" i="1"/>
  <c r="T521" i="1"/>
  <c r="K530" i="1"/>
  <c r="O526" i="1"/>
  <c r="S522" i="1"/>
  <c r="H1148" i="1"/>
  <c r="L1144" i="1"/>
  <c r="P1140" i="1"/>
  <c r="T1136" i="1"/>
  <c r="K1145" i="1"/>
  <c r="O1141" i="1"/>
  <c r="S1137" i="1"/>
  <c r="M1143" i="1"/>
  <c r="R1138" i="1"/>
  <c r="I1147" i="1"/>
  <c r="N1142" i="1"/>
  <c r="U1135" i="1"/>
  <c r="Q1139" i="1"/>
  <c r="J1146" i="1"/>
  <c r="V1134" i="1"/>
  <c r="K803" i="1"/>
  <c r="O799" i="1"/>
  <c r="S795" i="1"/>
  <c r="J804" i="1"/>
  <c r="M801" i="1"/>
  <c r="T794" i="1"/>
  <c r="N800" i="1"/>
  <c r="Q797" i="1"/>
  <c r="R796" i="1"/>
  <c r="U793" i="1"/>
  <c r="L802" i="1"/>
  <c r="I805" i="1"/>
  <c r="V792" i="1"/>
  <c r="H806" i="1"/>
  <c r="P798" i="1"/>
  <c r="I1445" i="1"/>
  <c r="M1441" i="1"/>
  <c r="Q1437" i="1"/>
  <c r="U1433" i="1"/>
  <c r="J1444" i="1"/>
  <c r="N1440" i="1"/>
  <c r="R1436" i="1"/>
  <c r="V1432" i="1"/>
  <c r="O1439" i="1"/>
  <c r="L1442" i="1"/>
  <c r="T1434" i="1"/>
  <c r="K1443" i="1"/>
  <c r="S1435" i="1"/>
  <c r="P1438" i="1"/>
  <c r="H1446" i="1"/>
  <c r="K680" i="1"/>
  <c r="O676" i="1"/>
  <c r="W676" i="1" s="1"/>
  <c r="S672" i="1"/>
  <c r="W672" i="1" s="1"/>
  <c r="J681" i="1"/>
  <c r="N677" i="1"/>
  <c r="R673" i="1"/>
  <c r="W673" i="1" s="1"/>
  <c r="V669" i="1"/>
  <c r="W669" i="1" s="1"/>
  <c r="I682" i="1"/>
  <c r="M678" i="1"/>
  <c r="W678" i="1" s="1"/>
  <c r="Q674" i="1"/>
  <c r="W674" i="1" s="1"/>
  <c r="U670" i="1"/>
  <c r="W670" i="1" s="1"/>
  <c r="H683" i="1"/>
  <c r="L679" i="1"/>
  <c r="P675" i="1"/>
  <c r="W675" i="1" s="1"/>
  <c r="T671" i="1"/>
  <c r="W671" i="1" s="1"/>
  <c r="I938" i="1"/>
  <c r="W938" i="1" s="1"/>
  <c r="M934" i="1"/>
  <c r="W934" i="1" s="1"/>
  <c r="Q930" i="1"/>
  <c r="W930" i="1" s="1"/>
  <c r="U926" i="1"/>
  <c r="W926" i="1" s="1"/>
  <c r="H939" i="1"/>
  <c r="W939" i="1" s="1"/>
  <c r="L935" i="1"/>
  <c r="W935" i="1" s="1"/>
  <c r="P931" i="1"/>
  <c r="W931" i="1" s="1"/>
  <c r="T927" i="1"/>
  <c r="W927" i="1" s="1"/>
  <c r="J937" i="1"/>
  <c r="W937" i="1" s="1"/>
  <c r="O932" i="1"/>
  <c r="W932" i="1" s="1"/>
  <c r="V925" i="1"/>
  <c r="W925" i="1" s="1"/>
  <c r="K936" i="1"/>
  <c r="W936" i="1" s="1"/>
  <c r="S928" i="1"/>
  <c r="W928" i="1" s="1"/>
  <c r="N933" i="1"/>
  <c r="W933" i="1" s="1"/>
  <c r="R929" i="1"/>
  <c r="W929" i="1" s="1"/>
  <c r="I1643" i="1"/>
  <c r="M1639" i="1"/>
  <c r="H1644" i="1"/>
  <c r="L1640" i="1"/>
  <c r="P1636" i="1"/>
  <c r="J1642" i="1"/>
  <c r="N1638" i="1"/>
  <c r="Q1635" i="1"/>
  <c r="U1631" i="1"/>
  <c r="T1632" i="1"/>
  <c r="O1637" i="1"/>
  <c r="S1633" i="1"/>
  <c r="R1634" i="1"/>
  <c r="V1630" i="1"/>
  <c r="K1641" i="1"/>
  <c r="K1613" i="1"/>
  <c r="O1609" i="1"/>
  <c r="S1605" i="1"/>
  <c r="J1614" i="1"/>
  <c r="N1610" i="1"/>
  <c r="R1606" i="1"/>
  <c r="I1615" i="1"/>
  <c r="H1616" i="1"/>
  <c r="L1612" i="1"/>
  <c r="Q1607" i="1"/>
  <c r="T1604" i="1"/>
  <c r="V1602" i="1"/>
  <c r="U1603" i="1"/>
  <c r="M1611" i="1"/>
  <c r="P1608" i="1"/>
  <c r="H595" i="1"/>
  <c r="M590" i="1"/>
  <c r="Q586" i="1"/>
  <c r="U582" i="1"/>
  <c r="L591" i="1"/>
  <c r="P587" i="1"/>
  <c r="T583" i="1"/>
  <c r="I594" i="1"/>
  <c r="K592" i="1"/>
  <c r="O588" i="1"/>
  <c r="S584" i="1"/>
  <c r="J593" i="1"/>
  <c r="N589" i="1"/>
  <c r="R585" i="1"/>
  <c r="V581" i="1"/>
  <c r="H1538" i="1"/>
  <c r="W1538" i="1" s="1"/>
  <c r="L1534" i="1"/>
  <c r="W1534" i="1" s="1"/>
  <c r="P1530" i="1"/>
  <c r="W1530" i="1" s="1"/>
  <c r="T1526" i="1"/>
  <c r="K1535" i="1"/>
  <c r="W1535" i="1" s="1"/>
  <c r="O1531" i="1"/>
  <c r="W1531" i="1" s="1"/>
  <c r="S1527" i="1"/>
  <c r="I1537" i="1"/>
  <c r="W1537" i="1" s="1"/>
  <c r="M1533" i="1"/>
  <c r="W1533" i="1" s="1"/>
  <c r="Q1529" i="1"/>
  <c r="W1529" i="1" s="1"/>
  <c r="U1525" i="1"/>
  <c r="V1524" i="1"/>
  <c r="R1528" i="1"/>
  <c r="W1528" i="1" s="1"/>
  <c r="J1536" i="1"/>
  <c r="W1536" i="1" s="1"/>
  <c r="N1532" i="1"/>
  <c r="W1532" i="1" s="1"/>
  <c r="J571" i="1"/>
  <c r="N567" i="1"/>
  <c r="R563" i="1"/>
  <c r="V559" i="1"/>
  <c r="W559" i="1" s="1"/>
  <c r="I572" i="1"/>
  <c r="M568" i="1"/>
  <c r="Q564" i="1"/>
  <c r="U560" i="1"/>
  <c r="H573" i="1"/>
  <c r="L569" i="1"/>
  <c r="P565" i="1"/>
  <c r="T561" i="1"/>
  <c r="K570" i="1"/>
  <c r="O566" i="1"/>
  <c r="S562" i="1"/>
  <c r="J335" i="1"/>
  <c r="W335" i="1" s="1"/>
  <c r="H337" i="1"/>
  <c r="W337" i="1" s="1"/>
  <c r="L333" i="1"/>
  <c r="W333" i="1" s="1"/>
  <c r="P329" i="1"/>
  <c r="W329" i="1" s="1"/>
  <c r="T325" i="1"/>
  <c r="W325" i="1" s="1"/>
  <c r="Q328" i="1"/>
  <c r="W328" i="1" s="1"/>
  <c r="R327" i="1"/>
  <c r="W327" i="1" s="1"/>
  <c r="S326" i="1"/>
  <c r="W326" i="1" s="1"/>
  <c r="K334" i="1"/>
  <c r="W334" i="1" s="1"/>
  <c r="U324" i="1"/>
  <c r="W324" i="1" s="1"/>
  <c r="I336" i="1"/>
  <c r="W336" i="1" s="1"/>
  <c r="V323" i="1"/>
  <c r="N331" i="1"/>
  <c r="W331" i="1" s="1"/>
  <c r="O330" i="1"/>
  <c r="W330" i="1" s="1"/>
  <c r="M332" i="1"/>
  <c r="W332" i="1" s="1"/>
  <c r="I785" i="1"/>
  <c r="M781" i="1"/>
  <c r="W781" i="1" s="1"/>
  <c r="Q777" i="1"/>
  <c r="P778" i="1"/>
  <c r="J784" i="1"/>
  <c r="S775" i="1"/>
  <c r="H786" i="1"/>
  <c r="K783" i="1"/>
  <c r="R776" i="1"/>
  <c r="U773" i="1"/>
  <c r="L782" i="1"/>
  <c r="N780" i="1"/>
  <c r="O779" i="1"/>
  <c r="V772" i="1"/>
  <c r="T774" i="1"/>
  <c r="W1223" i="1"/>
  <c r="G739" i="1"/>
  <c r="G481" i="1"/>
  <c r="G323" i="1"/>
  <c r="G1433" i="1"/>
  <c r="G534" i="1"/>
  <c r="G1630" i="1"/>
  <c r="G250" i="1"/>
  <c r="G1210" i="1"/>
  <c r="G649" i="1"/>
  <c r="G276" i="1"/>
  <c r="G442" i="1"/>
  <c r="G667" i="1"/>
  <c r="G1617" i="1"/>
  <c r="G101" i="1"/>
  <c r="G1283" i="1"/>
  <c r="G517" i="1"/>
  <c r="G839" i="1"/>
  <c r="G115" i="1"/>
  <c r="G1581" i="1"/>
  <c r="G1501" i="1"/>
  <c r="G383" i="1"/>
  <c r="G1249" i="1"/>
  <c r="W986" i="1"/>
  <c r="G411" i="1"/>
  <c r="G879" i="1"/>
  <c r="G715" i="1"/>
  <c r="G1308" i="1"/>
  <c r="G1149" i="1"/>
  <c r="G1409" i="1"/>
  <c r="G1447" i="1"/>
  <c r="G964" i="1"/>
  <c r="G581" i="1"/>
  <c r="G547" i="1"/>
  <c r="G262" i="1"/>
  <c r="G1257" i="1"/>
  <c r="G1171" i="1"/>
  <c r="G1164" i="1"/>
  <c r="G1522" i="1"/>
  <c r="G1337" i="1"/>
  <c r="G695" i="1"/>
  <c r="G154" i="1"/>
  <c r="G797" i="1"/>
  <c r="G923" i="1"/>
  <c r="G214" i="1"/>
  <c r="G269" i="1"/>
  <c r="G1489" i="1"/>
  <c r="G1638" i="1"/>
  <c r="G225" i="1"/>
  <c r="G289" i="1"/>
  <c r="G373" i="1"/>
  <c r="G306" i="1"/>
  <c r="G1645" i="1"/>
  <c r="W901" i="1"/>
  <c r="G602" i="1"/>
  <c r="G1061" i="1"/>
  <c r="G1377" i="1"/>
  <c r="G1366" i="1"/>
  <c r="G554" i="1"/>
  <c r="G574" i="1"/>
  <c r="G635" i="1"/>
  <c r="W1347" i="1"/>
  <c r="W1172" i="1"/>
  <c r="W192" i="1"/>
  <c r="W1344" i="1"/>
  <c r="W307" i="1"/>
  <c r="W338" i="1"/>
  <c r="W1175" i="1"/>
  <c r="W1384" i="1"/>
  <c r="W1383" i="1"/>
  <c r="W1339" i="1"/>
  <c r="G1698" i="1"/>
  <c r="G1717" i="1"/>
  <c r="W757" i="1"/>
  <c r="G1686" i="1"/>
  <c r="G1706" i="1"/>
  <c r="W948" i="1"/>
  <c r="W443" i="1"/>
  <c r="W970" i="1"/>
  <c r="W1378" i="1"/>
  <c r="W1542" i="1"/>
  <c r="W965" i="1"/>
  <c r="W1720" i="1"/>
  <c r="W1543" i="1"/>
  <c r="W758" i="1"/>
  <c r="W1221" i="1"/>
  <c r="W761" i="1"/>
  <c r="W1380" i="1"/>
  <c r="W759" i="1"/>
  <c r="W1222" i="1"/>
  <c r="W967" i="1"/>
  <c r="W1382" i="1"/>
  <c r="W1722" i="1"/>
  <c r="W1719" i="1"/>
  <c r="W1124" i="1"/>
  <c r="W1038" i="1"/>
  <c r="W1585" i="1"/>
  <c r="W1721" i="1"/>
  <c r="W1078" i="1"/>
  <c r="W1081" i="1"/>
  <c r="W1077" i="1"/>
  <c r="W999" i="1"/>
  <c r="W1178" i="1"/>
  <c r="W987" i="1"/>
  <c r="W1108" i="1"/>
  <c r="W1218" i="1"/>
  <c r="W1540" i="1"/>
  <c r="W1454" i="1"/>
  <c r="W1180" i="1"/>
  <c r="W1177" i="1"/>
  <c r="W1109" i="1"/>
  <c r="W1379" i="1"/>
  <c r="W1459" i="1"/>
  <c r="W1340" i="1"/>
  <c r="W1107" i="1"/>
  <c r="W1217" i="1"/>
  <c r="W1381" i="1"/>
  <c r="W1179" i="1"/>
  <c r="W1503" i="1"/>
  <c r="W943" i="1"/>
  <c r="W1341" i="1"/>
  <c r="W765" i="1"/>
  <c r="W764" i="1"/>
  <c r="W969" i="1"/>
  <c r="W968" i="1"/>
  <c r="W50" i="1"/>
  <c r="W51" i="1"/>
  <c r="W1457" i="1"/>
  <c r="W1020" i="1"/>
  <c r="W763" i="1"/>
  <c r="W1187" i="1"/>
  <c r="W1456" i="1"/>
  <c r="W1182" i="1"/>
  <c r="W1343" i="1"/>
  <c r="W417" i="1"/>
  <c r="W989" i="1"/>
  <c r="W990" i="1"/>
  <c r="W988" i="1"/>
  <c r="W1451" i="1"/>
  <c r="W1547" i="1"/>
  <c r="W1546" i="1"/>
  <c r="W1545" i="1"/>
  <c r="W1021" i="1"/>
  <c r="W1285" i="1"/>
  <c r="W1286" i="1"/>
  <c r="W1453" i="1"/>
  <c r="W1411" i="1"/>
  <c r="W1188" i="1"/>
  <c r="W1342" i="1"/>
  <c r="W966" i="1"/>
  <c r="W1345" i="1"/>
  <c r="W1176" i="1"/>
  <c r="W1173" i="1"/>
  <c r="W1174" i="1"/>
  <c r="W1387" i="1"/>
  <c r="W1385" i="1"/>
  <c r="W1386" i="1"/>
  <c r="W896" i="1"/>
  <c r="W897" i="1"/>
  <c r="W747" i="1"/>
  <c r="W1590" i="1"/>
  <c r="W1591" i="1"/>
  <c r="W1592" i="1"/>
  <c r="W1068" i="1" l="1"/>
  <c r="W391" i="1"/>
  <c r="W777" i="1"/>
  <c r="W136" i="1"/>
  <c r="W805" i="1"/>
  <c r="W803" i="1"/>
  <c r="W1602" i="1"/>
  <c r="W414" i="1"/>
  <c r="W419" i="1"/>
  <c r="W603" i="1"/>
  <c r="W607" i="1"/>
  <c r="W486" i="1"/>
  <c r="W1067" i="1"/>
  <c r="W1069" i="1"/>
  <c r="W1062" i="1"/>
  <c r="W1036" i="1"/>
  <c r="W1651" i="1"/>
  <c r="W1652" i="1"/>
  <c r="W775" i="1"/>
  <c r="W1034" i="1"/>
  <c r="W1035" i="1"/>
  <c r="W1065" i="1"/>
  <c r="W608" i="1"/>
  <c r="W483" i="1"/>
  <c r="W455" i="1"/>
  <c r="W418" i="1"/>
  <c r="W420" i="1"/>
  <c r="W1033" i="1"/>
  <c r="W605" i="1"/>
  <c r="W743" i="1"/>
  <c r="W908" i="1"/>
  <c r="W1653" i="1"/>
  <c r="W416" i="1"/>
  <c r="I1060" i="1"/>
  <c r="W1060" i="1" s="1"/>
  <c r="M1056" i="1"/>
  <c r="W1056" i="1" s="1"/>
  <c r="Q1052" i="1"/>
  <c r="W1052" i="1" s="1"/>
  <c r="U1048" i="1"/>
  <c r="W1048" i="1" s="1"/>
  <c r="K1058" i="1"/>
  <c r="W1058" i="1" s="1"/>
  <c r="O1054" i="1"/>
  <c r="W1054" i="1" s="1"/>
  <c r="S1050" i="1"/>
  <c r="W1050" i="1" s="1"/>
  <c r="J1059" i="1"/>
  <c r="W1059" i="1" s="1"/>
  <c r="N1055" i="1"/>
  <c r="W1055" i="1" s="1"/>
  <c r="R1051" i="1"/>
  <c r="W1051" i="1" s="1"/>
  <c r="V1047" i="1"/>
  <c r="W1047" i="1" s="1"/>
  <c r="L1057" i="1"/>
  <c r="W1057" i="1" s="1"/>
  <c r="T1049" i="1"/>
  <c r="W1049" i="1" s="1"/>
  <c r="H1061" i="1"/>
  <c r="W1061" i="1" s="1"/>
  <c r="P1053" i="1"/>
  <c r="W1053" i="1" s="1"/>
  <c r="J1684" i="1"/>
  <c r="N1680" i="1"/>
  <c r="I1685" i="1"/>
  <c r="M1681" i="1"/>
  <c r="Q1677" i="1"/>
  <c r="H1686" i="1"/>
  <c r="L1682" i="1"/>
  <c r="P1678" i="1"/>
  <c r="V1672" i="1"/>
  <c r="U1673" i="1"/>
  <c r="K1683" i="1"/>
  <c r="S1675" i="1"/>
  <c r="R1676" i="1"/>
  <c r="T1674" i="1"/>
  <c r="O1679" i="1"/>
  <c r="I288" i="1"/>
  <c r="M284" i="1"/>
  <c r="Q280" i="1"/>
  <c r="U276" i="1"/>
  <c r="H289" i="1"/>
  <c r="L285" i="1"/>
  <c r="P281" i="1"/>
  <c r="T277" i="1"/>
  <c r="K286" i="1"/>
  <c r="O282" i="1"/>
  <c r="S278" i="1"/>
  <c r="J287" i="1"/>
  <c r="N283" i="1"/>
  <c r="R279" i="1"/>
  <c r="V275" i="1"/>
  <c r="K1334" i="1"/>
  <c r="O1330" i="1"/>
  <c r="S1326" i="1"/>
  <c r="J1335" i="1"/>
  <c r="N1331" i="1"/>
  <c r="R1327" i="1"/>
  <c r="V1323" i="1"/>
  <c r="L1333" i="1"/>
  <c r="Q1328" i="1"/>
  <c r="H1337" i="1"/>
  <c r="M1332" i="1"/>
  <c r="T1325" i="1"/>
  <c r="P1329" i="1"/>
  <c r="U1324" i="1"/>
  <c r="I1336" i="1"/>
  <c r="K1614" i="1"/>
  <c r="O1610" i="1"/>
  <c r="W1610" i="1" s="1"/>
  <c r="J1615" i="1"/>
  <c r="N1611" i="1"/>
  <c r="W1611" i="1" s="1"/>
  <c r="H1617" i="1"/>
  <c r="L1613" i="1"/>
  <c r="S1606" i="1"/>
  <c r="W1606" i="1" s="1"/>
  <c r="I1616" i="1"/>
  <c r="Q1608" i="1"/>
  <c r="W1608" i="1" s="1"/>
  <c r="T1605" i="1"/>
  <c r="W1605" i="1" s="1"/>
  <c r="M1612" i="1"/>
  <c r="V1603" i="1"/>
  <c r="W1603" i="1" s="1"/>
  <c r="R1607" i="1"/>
  <c r="W1607" i="1" s="1"/>
  <c r="U1604" i="1"/>
  <c r="W1604" i="1" s="1"/>
  <c r="P1609" i="1"/>
  <c r="W1609" i="1" s="1"/>
  <c r="J1628" i="1"/>
  <c r="N1624" i="1"/>
  <c r="R1620" i="1"/>
  <c r="V1616" i="1"/>
  <c r="I1629" i="1"/>
  <c r="M1625" i="1"/>
  <c r="Q1621" i="1"/>
  <c r="U1617" i="1"/>
  <c r="H1630" i="1"/>
  <c r="L1626" i="1"/>
  <c r="P1622" i="1"/>
  <c r="T1618" i="1"/>
  <c r="K1627" i="1"/>
  <c r="O1623" i="1"/>
  <c r="S1619" i="1"/>
  <c r="K736" i="1"/>
  <c r="W736" i="1" s="1"/>
  <c r="O732" i="1"/>
  <c r="W732" i="1" s="1"/>
  <c r="S728" i="1"/>
  <c r="W728" i="1" s="1"/>
  <c r="J737" i="1"/>
  <c r="W737" i="1" s="1"/>
  <c r="N733" i="1"/>
  <c r="W733" i="1" s="1"/>
  <c r="R729" i="1"/>
  <c r="W729" i="1" s="1"/>
  <c r="V725" i="1"/>
  <c r="W725" i="1" s="1"/>
  <c r="I738" i="1"/>
  <c r="W738" i="1" s="1"/>
  <c r="M734" i="1"/>
  <c r="W734" i="1" s="1"/>
  <c r="Q730" i="1"/>
  <c r="W730" i="1" s="1"/>
  <c r="U726" i="1"/>
  <c r="W726" i="1" s="1"/>
  <c r="L735" i="1"/>
  <c r="W735" i="1" s="1"/>
  <c r="P731" i="1"/>
  <c r="W731" i="1" s="1"/>
  <c r="T727" i="1"/>
  <c r="W727" i="1" s="1"/>
  <c r="H739" i="1"/>
  <c r="W739" i="1" s="1"/>
  <c r="J71" i="1"/>
  <c r="N67" i="1"/>
  <c r="R63" i="1"/>
  <c r="V59" i="1"/>
  <c r="H73" i="1"/>
  <c r="L69" i="1"/>
  <c r="P65" i="1"/>
  <c r="T61" i="1"/>
  <c r="I72" i="1"/>
  <c r="Q64" i="1"/>
  <c r="O66" i="1"/>
  <c r="M68" i="1"/>
  <c r="U60" i="1"/>
  <c r="K70" i="1"/>
  <c r="S62" i="1"/>
  <c r="G74" i="1"/>
  <c r="H373" i="1"/>
  <c r="L369" i="1"/>
  <c r="P365" i="1"/>
  <c r="T361" i="1"/>
  <c r="K370" i="1"/>
  <c r="O366" i="1"/>
  <c r="S362" i="1"/>
  <c r="J371" i="1"/>
  <c r="N367" i="1"/>
  <c r="R363" i="1"/>
  <c r="V359" i="1"/>
  <c r="W359" i="1" s="1"/>
  <c r="Q364" i="1"/>
  <c r="M368" i="1"/>
  <c r="U360" i="1"/>
  <c r="I372" i="1"/>
  <c r="G93" i="1"/>
  <c r="K89" i="1"/>
  <c r="O85" i="1"/>
  <c r="S81" i="1"/>
  <c r="J90" i="1"/>
  <c r="N86" i="1"/>
  <c r="R82" i="1"/>
  <c r="V78" i="1"/>
  <c r="I91" i="1"/>
  <c r="M87" i="1"/>
  <c r="Q83" i="1"/>
  <c r="U79" i="1"/>
  <c r="H92" i="1"/>
  <c r="T80" i="1"/>
  <c r="P84" i="1"/>
  <c r="L88" i="1"/>
  <c r="I601" i="1"/>
  <c r="W601" i="1" s="1"/>
  <c r="M597" i="1"/>
  <c r="W597" i="1" s="1"/>
  <c r="Q593" i="1"/>
  <c r="W593" i="1" s="1"/>
  <c r="H602" i="1"/>
  <c r="W602" i="1" s="1"/>
  <c r="N596" i="1"/>
  <c r="W596" i="1" s="1"/>
  <c r="T590" i="1"/>
  <c r="W590" i="1" s="1"/>
  <c r="J600" i="1"/>
  <c r="W600" i="1" s="1"/>
  <c r="O595" i="1"/>
  <c r="W595" i="1" s="1"/>
  <c r="S591" i="1"/>
  <c r="W591" i="1" s="1"/>
  <c r="L598" i="1"/>
  <c r="W598" i="1" s="1"/>
  <c r="P594" i="1"/>
  <c r="W594" i="1" s="1"/>
  <c r="U589" i="1"/>
  <c r="K599" i="1"/>
  <c r="W599" i="1" s="1"/>
  <c r="V588" i="1"/>
  <c r="R592" i="1"/>
  <c r="W592" i="1" s="1"/>
  <c r="J152" i="1"/>
  <c r="N148" i="1"/>
  <c r="R144" i="1"/>
  <c r="V140" i="1"/>
  <c r="I153" i="1"/>
  <c r="M149" i="1"/>
  <c r="Q145" i="1"/>
  <c r="U141" i="1"/>
  <c r="H154" i="1"/>
  <c r="L150" i="1"/>
  <c r="P146" i="1"/>
  <c r="T142" i="1"/>
  <c r="O147" i="1"/>
  <c r="K151" i="1"/>
  <c r="S143" i="1"/>
  <c r="I694" i="1"/>
  <c r="W694" i="1" s="1"/>
  <c r="M690" i="1"/>
  <c r="W690" i="1" s="1"/>
  <c r="Q686" i="1"/>
  <c r="W686" i="1" s="1"/>
  <c r="U682" i="1"/>
  <c r="W682" i="1" s="1"/>
  <c r="H695" i="1"/>
  <c r="W695" i="1" s="1"/>
  <c r="L691" i="1"/>
  <c r="W691" i="1" s="1"/>
  <c r="P687" i="1"/>
  <c r="W687" i="1" s="1"/>
  <c r="T683" i="1"/>
  <c r="W683" i="1" s="1"/>
  <c r="K692" i="1"/>
  <c r="W692" i="1" s="1"/>
  <c r="O688" i="1"/>
  <c r="S684" i="1"/>
  <c r="W684" i="1" s="1"/>
  <c r="J693" i="1"/>
  <c r="W693" i="1" s="1"/>
  <c r="N689" i="1"/>
  <c r="W689" i="1" s="1"/>
  <c r="R685" i="1"/>
  <c r="V681" i="1"/>
  <c r="W681" i="1" s="1"/>
  <c r="H1164" i="1"/>
  <c r="L1160" i="1"/>
  <c r="P1156" i="1"/>
  <c r="O1157" i="1"/>
  <c r="N1158" i="1"/>
  <c r="T1152" i="1"/>
  <c r="W1152" i="1" s="1"/>
  <c r="M1159" i="1"/>
  <c r="K1161" i="1"/>
  <c r="I1163" i="1"/>
  <c r="Q1155" i="1"/>
  <c r="S1153" i="1"/>
  <c r="W1153" i="1" s="1"/>
  <c r="U1151" i="1"/>
  <c r="W1151" i="1" s="1"/>
  <c r="J1162" i="1"/>
  <c r="V1150" i="1"/>
  <c r="W1150" i="1" s="1"/>
  <c r="R1154" i="1"/>
  <c r="J579" i="1"/>
  <c r="N575" i="1"/>
  <c r="R571" i="1"/>
  <c r="V567" i="1"/>
  <c r="I580" i="1"/>
  <c r="M576" i="1"/>
  <c r="Q572" i="1"/>
  <c r="U568" i="1"/>
  <c r="H581" i="1"/>
  <c r="L577" i="1"/>
  <c r="P573" i="1"/>
  <c r="T569" i="1"/>
  <c r="K578" i="1"/>
  <c r="O574" i="1"/>
  <c r="S570" i="1"/>
  <c r="I1307" i="1"/>
  <c r="M1303" i="1"/>
  <c r="Q1299" i="1"/>
  <c r="U1295" i="1"/>
  <c r="H1308" i="1"/>
  <c r="K1305" i="1"/>
  <c r="J1306" i="1"/>
  <c r="N1302" i="1"/>
  <c r="R1298" i="1"/>
  <c r="O1301" i="1"/>
  <c r="P1300" i="1"/>
  <c r="S1297" i="1"/>
  <c r="L1304" i="1"/>
  <c r="V1294" i="1"/>
  <c r="T1296" i="1"/>
  <c r="K1578" i="1"/>
  <c r="O1574" i="1"/>
  <c r="S1570" i="1"/>
  <c r="H1581" i="1"/>
  <c r="R1571" i="1"/>
  <c r="V1567" i="1"/>
  <c r="W1567" i="1" s="1"/>
  <c r="I1580" i="1"/>
  <c r="J1579" i="1"/>
  <c r="M1576" i="1"/>
  <c r="P1573" i="1"/>
  <c r="T1569" i="1"/>
  <c r="N1575" i="1"/>
  <c r="L1577" i="1"/>
  <c r="U1568" i="1"/>
  <c r="Q1572" i="1"/>
  <c r="J440" i="1"/>
  <c r="W440" i="1" s="1"/>
  <c r="N436" i="1"/>
  <c r="W436" i="1" s="1"/>
  <c r="R432" i="1"/>
  <c r="V428" i="1"/>
  <c r="W428" i="1" s="1"/>
  <c r="I441" i="1"/>
  <c r="W441" i="1" s="1"/>
  <c r="M437" i="1"/>
  <c r="W437" i="1" s="1"/>
  <c r="Q433" i="1"/>
  <c r="W433" i="1" s="1"/>
  <c r="U429" i="1"/>
  <c r="W429" i="1" s="1"/>
  <c r="S431" i="1"/>
  <c r="W431" i="1" s="1"/>
  <c r="L438" i="1"/>
  <c r="W438" i="1" s="1"/>
  <c r="O435" i="1"/>
  <c r="T430" i="1"/>
  <c r="W430" i="1" s="1"/>
  <c r="K439" i="1"/>
  <c r="W439" i="1" s="1"/>
  <c r="P434" i="1"/>
  <c r="W434" i="1" s="1"/>
  <c r="H442" i="1"/>
  <c r="W442" i="1" s="1"/>
  <c r="I126" i="1"/>
  <c r="M122" i="1"/>
  <c r="Q118" i="1"/>
  <c r="U114" i="1"/>
  <c r="H127" i="1"/>
  <c r="L123" i="1"/>
  <c r="P119" i="1"/>
  <c r="T115" i="1"/>
  <c r="K124" i="1"/>
  <c r="O120" i="1"/>
  <c r="S116" i="1"/>
  <c r="W116" i="1" s="1"/>
  <c r="N121" i="1"/>
  <c r="J125" i="1"/>
  <c r="R117" i="1"/>
  <c r="V113" i="1"/>
  <c r="I1148" i="1"/>
  <c r="W1148" i="1" s="1"/>
  <c r="M1144" i="1"/>
  <c r="W1144" i="1" s="1"/>
  <c r="Q1140" i="1"/>
  <c r="W1140" i="1" s="1"/>
  <c r="U1136" i="1"/>
  <c r="W1136" i="1" s="1"/>
  <c r="H1149" i="1"/>
  <c r="L1145" i="1"/>
  <c r="W1145" i="1" s="1"/>
  <c r="P1141" i="1"/>
  <c r="W1141" i="1" s="1"/>
  <c r="T1137" i="1"/>
  <c r="W1137" i="1" s="1"/>
  <c r="K1146" i="1"/>
  <c r="W1146" i="1" s="1"/>
  <c r="O1142" i="1"/>
  <c r="W1142" i="1" s="1"/>
  <c r="S1138" i="1"/>
  <c r="W1138" i="1" s="1"/>
  <c r="J1147" i="1"/>
  <c r="W1147" i="1" s="1"/>
  <c r="N1143" i="1"/>
  <c r="W1143" i="1" s="1"/>
  <c r="R1139" i="1"/>
  <c r="W1139" i="1" s="1"/>
  <c r="V1135" i="1"/>
  <c r="W1135" i="1" s="1"/>
  <c r="I546" i="1"/>
  <c r="M542" i="1"/>
  <c r="Q538" i="1"/>
  <c r="W538" i="1" s="1"/>
  <c r="U534" i="1"/>
  <c r="H547" i="1"/>
  <c r="L543" i="1"/>
  <c r="P539" i="1"/>
  <c r="T535" i="1"/>
  <c r="K544" i="1"/>
  <c r="O540" i="1"/>
  <c r="S536" i="1"/>
  <c r="J545" i="1"/>
  <c r="N541" i="1"/>
  <c r="R537" i="1"/>
  <c r="V533" i="1"/>
  <c r="J1499" i="1"/>
  <c r="W1499" i="1" s="1"/>
  <c r="N1495" i="1"/>
  <c r="W1495" i="1" s="1"/>
  <c r="R1491" i="1"/>
  <c r="V1487" i="1"/>
  <c r="I1500" i="1"/>
  <c r="W1500" i="1" s="1"/>
  <c r="M1496" i="1"/>
  <c r="W1496" i="1" s="1"/>
  <c r="Q1492" i="1"/>
  <c r="U1488" i="1"/>
  <c r="K1498" i="1"/>
  <c r="W1498" i="1" s="1"/>
  <c r="O1494" i="1"/>
  <c r="S1490" i="1"/>
  <c r="L1497" i="1"/>
  <c r="W1497" i="1" s="1"/>
  <c r="P1493" i="1"/>
  <c r="T1489" i="1"/>
  <c r="H1501" i="1"/>
  <c r="W1501" i="1" s="1"/>
  <c r="I1365" i="1"/>
  <c r="M1361" i="1"/>
  <c r="Q1357" i="1"/>
  <c r="W1357" i="1" s="1"/>
  <c r="H1366" i="1"/>
  <c r="S1355" i="1"/>
  <c r="W1355" i="1" s="1"/>
  <c r="V1352" i="1"/>
  <c r="W1352" i="1" s="1"/>
  <c r="P1358" i="1"/>
  <c r="W1358" i="1" s="1"/>
  <c r="J1364" i="1"/>
  <c r="U1353" i="1"/>
  <c r="W1353" i="1" s="1"/>
  <c r="K1363" i="1"/>
  <c r="N1360" i="1"/>
  <c r="W1360" i="1" s="1"/>
  <c r="T1354" i="1"/>
  <c r="W1354" i="1" s="1"/>
  <c r="O1359" i="1"/>
  <c r="R1356" i="1"/>
  <c r="W1356" i="1" s="1"/>
  <c r="L1362" i="1"/>
  <c r="W1362" i="1" s="1"/>
  <c r="H1171" i="1"/>
  <c r="L1167" i="1"/>
  <c r="W1167" i="1" s="1"/>
  <c r="P1163" i="1"/>
  <c r="T1159" i="1"/>
  <c r="K1168" i="1"/>
  <c r="W1168" i="1" s="1"/>
  <c r="O1164" i="1"/>
  <c r="J1169" i="1"/>
  <c r="W1169" i="1" s="1"/>
  <c r="N1165" i="1"/>
  <c r="W1165" i="1" s="1"/>
  <c r="R1161" i="1"/>
  <c r="V1157" i="1"/>
  <c r="I1170" i="1"/>
  <c r="W1170" i="1" s="1"/>
  <c r="M1166" i="1"/>
  <c r="W1166" i="1" s="1"/>
  <c r="Q1162" i="1"/>
  <c r="U1158" i="1"/>
  <c r="S1160" i="1"/>
  <c r="K112" i="1"/>
  <c r="W112" i="1" s="1"/>
  <c r="O108" i="1"/>
  <c r="S104" i="1"/>
  <c r="J113" i="1"/>
  <c r="N109" i="1"/>
  <c r="W109" i="1" s="1"/>
  <c r="R105" i="1"/>
  <c r="W105" i="1" s="1"/>
  <c r="V101" i="1"/>
  <c r="I114" i="1"/>
  <c r="M110" i="1"/>
  <c r="Q106" i="1"/>
  <c r="U102" i="1"/>
  <c r="H115" i="1"/>
  <c r="L111" i="1"/>
  <c r="W111" i="1" s="1"/>
  <c r="T103" i="1"/>
  <c r="P107" i="1"/>
  <c r="W107" i="1" s="1"/>
  <c r="J274" i="1"/>
  <c r="N270" i="1"/>
  <c r="W270" i="1" s="1"/>
  <c r="R266" i="1"/>
  <c r="V262" i="1"/>
  <c r="I275" i="1"/>
  <c r="M271" i="1"/>
  <c r="Q267" i="1"/>
  <c r="U263" i="1"/>
  <c r="L272" i="1"/>
  <c r="S265" i="1"/>
  <c r="H276" i="1"/>
  <c r="O269" i="1"/>
  <c r="T264" i="1"/>
  <c r="K273" i="1"/>
  <c r="P268" i="1"/>
  <c r="J532" i="1"/>
  <c r="N528" i="1"/>
  <c r="R524" i="1"/>
  <c r="V520" i="1"/>
  <c r="I533" i="1"/>
  <c r="M529" i="1"/>
  <c r="Q525" i="1"/>
  <c r="U521" i="1"/>
  <c r="L530" i="1"/>
  <c r="S523" i="1"/>
  <c r="H534" i="1"/>
  <c r="O527" i="1"/>
  <c r="T522" i="1"/>
  <c r="P526" i="1"/>
  <c r="K531" i="1"/>
  <c r="I249" i="1"/>
  <c r="M245" i="1"/>
  <c r="Q241" i="1"/>
  <c r="W241" i="1" s="1"/>
  <c r="U237" i="1"/>
  <c r="W237" i="1" s="1"/>
  <c r="H250" i="1"/>
  <c r="L246" i="1"/>
  <c r="P242" i="1"/>
  <c r="W242" i="1" s="1"/>
  <c r="T238" i="1"/>
  <c r="W238" i="1" s="1"/>
  <c r="N244" i="1"/>
  <c r="W244" i="1" s="1"/>
  <c r="J248" i="1"/>
  <c r="S239" i="1"/>
  <c r="W239" i="1" s="1"/>
  <c r="V236" i="1"/>
  <c r="W236" i="1" s="1"/>
  <c r="K247" i="1"/>
  <c r="R240" i="1"/>
  <c r="W240" i="1" s="1"/>
  <c r="O243" i="1"/>
  <c r="I1376" i="1"/>
  <c r="W1376" i="1" s="1"/>
  <c r="M1372" i="1"/>
  <c r="W1372" i="1" s="1"/>
  <c r="Q1368" i="1"/>
  <c r="W1368" i="1" s="1"/>
  <c r="U1364" i="1"/>
  <c r="H1377" i="1"/>
  <c r="W1377" i="1" s="1"/>
  <c r="L1373" i="1"/>
  <c r="P1369" i="1"/>
  <c r="W1369" i="1" s="1"/>
  <c r="T1365" i="1"/>
  <c r="O1370" i="1"/>
  <c r="W1370" i="1" s="1"/>
  <c r="N1371" i="1"/>
  <c r="W1371" i="1" s="1"/>
  <c r="V1363" i="1"/>
  <c r="K1374" i="1"/>
  <c r="W1374" i="1" s="1"/>
  <c r="S1366" i="1"/>
  <c r="J1375" i="1"/>
  <c r="R1367" i="1"/>
  <c r="W1367" i="1" s="1"/>
  <c r="J1636" i="1"/>
  <c r="I1637" i="1"/>
  <c r="N1632" i="1"/>
  <c r="R1628" i="1"/>
  <c r="V1624" i="1"/>
  <c r="H1638" i="1"/>
  <c r="M1633" i="1"/>
  <c r="Q1629" i="1"/>
  <c r="U1625" i="1"/>
  <c r="L1634" i="1"/>
  <c r="P1630" i="1"/>
  <c r="T1626" i="1"/>
  <c r="K1635" i="1"/>
  <c r="O1631" i="1"/>
  <c r="S1627" i="1"/>
  <c r="K211" i="1"/>
  <c r="O207" i="1"/>
  <c r="S203" i="1"/>
  <c r="J212" i="1"/>
  <c r="N208" i="1"/>
  <c r="R204" i="1"/>
  <c r="V200" i="1"/>
  <c r="Q205" i="1"/>
  <c r="I213" i="1"/>
  <c r="P206" i="1"/>
  <c r="H214" i="1"/>
  <c r="M209" i="1"/>
  <c r="U201" i="1"/>
  <c r="T202" i="1"/>
  <c r="L210" i="1"/>
  <c r="J1255" i="1"/>
  <c r="N1251" i="1"/>
  <c r="R1247" i="1"/>
  <c r="V1243" i="1"/>
  <c r="I1256" i="1"/>
  <c r="M1252" i="1"/>
  <c r="Q1248" i="1"/>
  <c r="U1244" i="1"/>
  <c r="O1250" i="1"/>
  <c r="T1245" i="1"/>
  <c r="K1254" i="1"/>
  <c r="P1249" i="1"/>
  <c r="S1246" i="1"/>
  <c r="L1253" i="1"/>
  <c r="H1257" i="1"/>
  <c r="J962" i="1"/>
  <c r="W962" i="1" s="1"/>
  <c r="N958" i="1"/>
  <c r="R954" i="1"/>
  <c r="W954" i="1" s="1"/>
  <c r="V950" i="1"/>
  <c r="W950" i="1" s="1"/>
  <c r="I963" i="1"/>
  <c r="W963" i="1" s="1"/>
  <c r="M959" i="1"/>
  <c r="W959" i="1" s="1"/>
  <c r="Q955" i="1"/>
  <c r="W955" i="1" s="1"/>
  <c r="U951" i="1"/>
  <c r="W951" i="1" s="1"/>
  <c r="H964" i="1"/>
  <c r="W964" i="1" s="1"/>
  <c r="L960" i="1"/>
  <c r="P956" i="1"/>
  <c r="W956" i="1" s="1"/>
  <c r="T952" i="1"/>
  <c r="W952" i="1" s="1"/>
  <c r="K961" i="1"/>
  <c r="W961" i="1" s="1"/>
  <c r="O957" i="1"/>
  <c r="W957" i="1" s="1"/>
  <c r="S953" i="1"/>
  <c r="W953" i="1" s="1"/>
  <c r="K408" i="1"/>
  <c r="W408" i="1" s="1"/>
  <c r="O404" i="1"/>
  <c r="W404" i="1" s="1"/>
  <c r="S400" i="1"/>
  <c r="J409" i="1"/>
  <c r="N405" i="1"/>
  <c r="W405" i="1" s="1"/>
  <c r="R401" i="1"/>
  <c r="W401" i="1" s="1"/>
  <c r="V397" i="1"/>
  <c r="W397" i="1" s="1"/>
  <c r="I410" i="1"/>
  <c r="W410" i="1" s="1"/>
  <c r="M406" i="1"/>
  <c r="W406" i="1" s="1"/>
  <c r="Q402" i="1"/>
  <c r="W402" i="1" s="1"/>
  <c r="U398" i="1"/>
  <c r="L407" i="1"/>
  <c r="W407" i="1" s="1"/>
  <c r="T399" i="1"/>
  <c r="H411" i="1"/>
  <c r="W411" i="1" s="1"/>
  <c r="P403" i="1"/>
  <c r="W403" i="1" s="1"/>
  <c r="I838" i="1"/>
  <c r="J837" i="1"/>
  <c r="M834" i="1"/>
  <c r="Q830" i="1"/>
  <c r="U826" i="1"/>
  <c r="H839" i="1"/>
  <c r="L835" i="1"/>
  <c r="O832" i="1"/>
  <c r="S828" i="1"/>
  <c r="K836" i="1"/>
  <c r="P831" i="1"/>
  <c r="V825" i="1"/>
  <c r="N833" i="1"/>
  <c r="R829" i="1"/>
  <c r="T827" i="1"/>
  <c r="J647" i="1"/>
  <c r="N643" i="1"/>
  <c r="R639" i="1"/>
  <c r="V635" i="1"/>
  <c r="I648" i="1"/>
  <c r="M644" i="1"/>
  <c r="Q640" i="1"/>
  <c r="U636" i="1"/>
  <c r="H649" i="1"/>
  <c r="L645" i="1"/>
  <c r="P641" i="1"/>
  <c r="T637" i="1"/>
  <c r="K646" i="1"/>
  <c r="O642" i="1"/>
  <c r="S638" i="1"/>
  <c r="K1430" i="1"/>
  <c r="W1430" i="1" s="1"/>
  <c r="O1426" i="1"/>
  <c r="W1426" i="1" s="1"/>
  <c r="S1422" i="1"/>
  <c r="W1422" i="1" s="1"/>
  <c r="H1433" i="1"/>
  <c r="L1429" i="1"/>
  <c r="W1429" i="1" s="1"/>
  <c r="P1425" i="1"/>
  <c r="T1421" i="1"/>
  <c r="W1421" i="1" s="1"/>
  <c r="I1432" i="1"/>
  <c r="W1432" i="1" s="1"/>
  <c r="Q1424" i="1"/>
  <c r="W1424" i="1" s="1"/>
  <c r="U1420" i="1"/>
  <c r="W1420" i="1" s="1"/>
  <c r="V1419" i="1"/>
  <c r="W1419" i="1" s="1"/>
  <c r="N1427" i="1"/>
  <c r="W1427" i="1" s="1"/>
  <c r="M1428" i="1"/>
  <c r="W1428" i="1" s="1"/>
  <c r="J1431" i="1"/>
  <c r="W1431" i="1" s="1"/>
  <c r="R1423" i="1"/>
  <c r="W1423" i="1" s="1"/>
  <c r="H101" i="1"/>
  <c r="L97" i="1"/>
  <c r="P93" i="1"/>
  <c r="T89" i="1"/>
  <c r="K98" i="1"/>
  <c r="O94" i="1"/>
  <c r="S90" i="1"/>
  <c r="J99" i="1"/>
  <c r="N95" i="1"/>
  <c r="R91" i="1"/>
  <c r="V87" i="1"/>
  <c r="I100" i="1"/>
  <c r="U88" i="1"/>
  <c r="M96" i="1"/>
  <c r="Q92" i="1"/>
  <c r="G173" i="1"/>
  <c r="N166" i="1"/>
  <c r="Q163" i="1"/>
  <c r="T160" i="1"/>
  <c r="K169" i="1"/>
  <c r="H172" i="1"/>
  <c r="R162" i="1"/>
  <c r="V158" i="1"/>
  <c r="O165" i="1"/>
  <c r="I171" i="1"/>
  <c r="L168" i="1"/>
  <c r="U159" i="1"/>
  <c r="S161" i="1"/>
  <c r="J170" i="1"/>
  <c r="M167" i="1"/>
  <c r="P164" i="1"/>
  <c r="H1706" i="1"/>
  <c r="L1702" i="1"/>
  <c r="W1702" i="1" s="1"/>
  <c r="P1698" i="1"/>
  <c r="T1694" i="1"/>
  <c r="K1703" i="1"/>
  <c r="O1699" i="1"/>
  <c r="S1695" i="1"/>
  <c r="J1704" i="1"/>
  <c r="N1700" i="1"/>
  <c r="W1700" i="1" s="1"/>
  <c r="R1696" i="1"/>
  <c r="V1692" i="1"/>
  <c r="U1693" i="1"/>
  <c r="Q1697" i="1"/>
  <c r="I1705" i="1"/>
  <c r="M1701" i="1"/>
  <c r="J1715" i="1"/>
  <c r="N1711" i="1"/>
  <c r="W1711" i="1" s="1"/>
  <c r="R1707" i="1"/>
  <c r="W1707" i="1" s="1"/>
  <c r="V1703" i="1"/>
  <c r="I1716" i="1"/>
  <c r="W1716" i="1" s="1"/>
  <c r="M1712" i="1"/>
  <c r="W1712" i="1" s="1"/>
  <c r="Q1708" i="1"/>
  <c r="W1708" i="1" s="1"/>
  <c r="U1704" i="1"/>
  <c r="H1717" i="1"/>
  <c r="W1717" i="1" s="1"/>
  <c r="L1713" i="1"/>
  <c r="W1713" i="1" s="1"/>
  <c r="P1709" i="1"/>
  <c r="W1709" i="1" s="1"/>
  <c r="T1705" i="1"/>
  <c r="K1714" i="1"/>
  <c r="W1714" i="1" s="1"/>
  <c r="O1710" i="1"/>
  <c r="W1710" i="1" s="1"/>
  <c r="S1706" i="1"/>
  <c r="K632" i="1"/>
  <c r="O628" i="1"/>
  <c r="S624" i="1"/>
  <c r="J633" i="1"/>
  <c r="N629" i="1"/>
  <c r="R625" i="1"/>
  <c r="V621" i="1"/>
  <c r="I634" i="1"/>
  <c r="M630" i="1"/>
  <c r="Q626" i="1"/>
  <c r="U622" i="1"/>
  <c r="H635" i="1"/>
  <c r="L631" i="1"/>
  <c r="P627" i="1"/>
  <c r="T623" i="1"/>
  <c r="I1644" i="1"/>
  <c r="M1640" i="1"/>
  <c r="H1645" i="1"/>
  <c r="L1641" i="1"/>
  <c r="P1637" i="1"/>
  <c r="U1632" i="1"/>
  <c r="K1642" i="1"/>
  <c r="N1639" i="1"/>
  <c r="T1633" i="1"/>
  <c r="Q1636" i="1"/>
  <c r="V1631" i="1"/>
  <c r="R1635" i="1"/>
  <c r="J1643" i="1"/>
  <c r="S1634" i="1"/>
  <c r="O1638" i="1"/>
  <c r="H1489" i="1"/>
  <c r="I1488" i="1"/>
  <c r="M1484" i="1"/>
  <c r="Q1480" i="1"/>
  <c r="U1476" i="1"/>
  <c r="P1481" i="1"/>
  <c r="R1479" i="1"/>
  <c r="S1478" i="1"/>
  <c r="N1483" i="1"/>
  <c r="O1482" i="1"/>
  <c r="J1487" i="1"/>
  <c r="L1485" i="1"/>
  <c r="V1475" i="1"/>
  <c r="W1475" i="1" s="1"/>
  <c r="T1477" i="1"/>
  <c r="K1486" i="1"/>
  <c r="I922" i="1"/>
  <c r="W922" i="1" s="1"/>
  <c r="M918" i="1"/>
  <c r="W918" i="1" s="1"/>
  <c r="Q914" i="1"/>
  <c r="W914" i="1" s="1"/>
  <c r="U910" i="1"/>
  <c r="W910" i="1" s="1"/>
  <c r="H923" i="1"/>
  <c r="W923" i="1" s="1"/>
  <c r="L919" i="1"/>
  <c r="W919" i="1" s="1"/>
  <c r="P915" i="1"/>
  <c r="T911" i="1"/>
  <c r="W911" i="1" s="1"/>
  <c r="R913" i="1"/>
  <c r="W913" i="1" s="1"/>
  <c r="N917" i="1"/>
  <c r="W917" i="1" s="1"/>
  <c r="S912" i="1"/>
  <c r="W912" i="1" s="1"/>
  <c r="K920" i="1"/>
  <c r="W920" i="1" s="1"/>
  <c r="O916" i="1"/>
  <c r="J921" i="1"/>
  <c r="W921" i="1" s="1"/>
  <c r="V909" i="1"/>
  <c r="W909" i="1" s="1"/>
  <c r="K259" i="1"/>
  <c r="O255" i="1"/>
  <c r="S251" i="1"/>
  <c r="W251" i="1" s="1"/>
  <c r="J260" i="1"/>
  <c r="N256" i="1"/>
  <c r="R252" i="1"/>
  <c r="V248" i="1"/>
  <c r="H262" i="1"/>
  <c r="M257" i="1"/>
  <c r="T250" i="1"/>
  <c r="I261" i="1"/>
  <c r="P254" i="1"/>
  <c r="U249" i="1"/>
  <c r="L258" i="1"/>
  <c r="Q253" i="1"/>
  <c r="J1445" i="1"/>
  <c r="W1445" i="1" s="1"/>
  <c r="N1441" i="1"/>
  <c r="W1441" i="1" s="1"/>
  <c r="R1437" i="1"/>
  <c r="W1437" i="1" s="1"/>
  <c r="V1433" i="1"/>
  <c r="I1446" i="1"/>
  <c r="W1446" i="1" s="1"/>
  <c r="K1444" i="1"/>
  <c r="W1444" i="1" s="1"/>
  <c r="O1440" i="1"/>
  <c r="W1440" i="1" s="1"/>
  <c r="S1436" i="1"/>
  <c r="W1436" i="1" s="1"/>
  <c r="P1439" i="1"/>
  <c r="W1439" i="1" s="1"/>
  <c r="H1447" i="1"/>
  <c r="W1447" i="1" s="1"/>
  <c r="M1442" i="1"/>
  <c r="W1442" i="1" s="1"/>
  <c r="U1434" i="1"/>
  <c r="W1434" i="1" s="1"/>
  <c r="L1443" i="1"/>
  <c r="W1443" i="1" s="1"/>
  <c r="T1435" i="1"/>
  <c r="W1435" i="1" s="1"/>
  <c r="Q1438" i="1"/>
  <c r="W1438" i="1" s="1"/>
  <c r="K712" i="1"/>
  <c r="O708" i="1"/>
  <c r="S704" i="1"/>
  <c r="J713" i="1"/>
  <c r="N709" i="1"/>
  <c r="R705" i="1"/>
  <c r="V701" i="1"/>
  <c r="I714" i="1"/>
  <c r="M710" i="1"/>
  <c r="Q706" i="1"/>
  <c r="U702" i="1"/>
  <c r="H715" i="1"/>
  <c r="L711" i="1"/>
  <c r="P707" i="1"/>
  <c r="T703" i="1"/>
  <c r="J515" i="1"/>
  <c r="N511" i="1"/>
  <c r="R507" i="1"/>
  <c r="V503" i="1"/>
  <c r="I516" i="1"/>
  <c r="M512" i="1"/>
  <c r="Q508" i="1"/>
  <c r="U504" i="1"/>
  <c r="H517" i="1"/>
  <c r="L513" i="1"/>
  <c r="P509" i="1"/>
  <c r="T505" i="1"/>
  <c r="K514" i="1"/>
  <c r="O510" i="1"/>
  <c r="S506" i="1"/>
  <c r="K1207" i="1"/>
  <c r="O1203" i="1"/>
  <c r="S1199" i="1"/>
  <c r="J1208" i="1"/>
  <c r="N1204" i="1"/>
  <c r="R1200" i="1"/>
  <c r="V1196" i="1"/>
  <c r="H1210" i="1"/>
  <c r="M1205" i="1"/>
  <c r="T1198" i="1"/>
  <c r="I1209" i="1"/>
  <c r="P1202" i="1"/>
  <c r="L1206" i="1"/>
  <c r="Q1201" i="1"/>
  <c r="U1197" i="1"/>
  <c r="J321" i="1"/>
  <c r="W321" i="1" s="1"/>
  <c r="N317" i="1"/>
  <c r="W317" i="1" s="1"/>
  <c r="R313" i="1"/>
  <c r="W313" i="1" s="1"/>
  <c r="V309" i="1"/>
  <c r="W309" i="1" s="1"/>
  <c r="I322" i="1"/>
  <c r="W322" i="1" s="1"/>
  <c r="M318" i="1"/>
  <c r="W318" i="1" s="1"/>
  <c r="Q314" i="1"/>
  <c r="W314" i="1" s="1"/>
  <c r="U310" i="1"/>
  <c r="W310" i="1" s="1"/>
  <c r="L319" i="1"/>
  <c r="W319" i="1" s="1"/>
  <c r="P315" i="1"/>
  <c r="W315" i="1" s="1"/>
  <c r="T311" i="1"/>
  <c r="W311" i="1" s="1"/>
  <c r="K320" i="1"/>
  <c r="W320" i="1" s="1"/>
  <c r="O316" i="1"/>
  <c r="W316" i="1" s="1"/>
  <c r="S312" i="1"/>
  <c r="W312" i="1" s="1"/>
  <c r="H323" i="1"/>
  <c r="W323" i="1" s="1"/>
  <c r="H554" i="1"/>
  <c r="W554" i="1" s="1"/>
  <c r="L550" i="1"/>
  <c r="W550" i="1" s="1"/>
  <c r="P546" i="1"/>
  <c r="T542" i="1"/>
  <c r="K551" i="1"/>
  <c r="W551" i="1" s="1"/>
  <c r="O547" i="1"/>
  <c r="S543" i="1"/>
  <c r="Q545" i="1"/>
  <c r="V540" i="1"/>
  <c r="M549" i="1"/>
  <c r="W549" i="1" s="1"/>
  <c r="R544" i="1"/>
  <c r="I553" i="1"/>
  <c r="J552" i="1"/>
  <c r="W552" i="1" s="1"/>
  <c r="N548" i="1"/>
  <c r="W548" i="1" s="1"/>
  <c r="U541" i="1"/>
  <c r="I382" i="1"/>
  <c r="M378" i="1"/>
  <c r="Q374" i="1"/>
  <c r="U370" i="1"/>
  <c r="H383" i="1"/>
  <c r="L379" i="1"/>
  <c r="P375" i="1"/>
  <c r="T371" i="1"/>
  <c r="K380" i="1"/>
  <c r="O376" i="1"/>
  <c r="S372" i="1"/>
  <c r="N377" i="1"/>
  <c r="V369" i="1"/>
  <c r="J381" i="1"/>
  <c r="R373" i="1"/>
  <c r="I224" i="1"/>
  <c r="M220" i="1"/>
  <c r="Q216" i="1"/>
  <c r="U212" i="1"/>
  <c r="H225" i="1"/>
  <c r="L221" i="1"/>
  <c r="P217" i="1"/>
  <c r="T213" i="1"/>
  <c r="J223" i="1"/>
  <c r="N219" i="1"/>
  <c r="R215" i="1"/>
  <c r="V211" i="1"/>
  <c r="S214" i="1"/>
  <c r="O218" i="1"/>
  <c r="K222" i="1"/>
  <c r="H1522" i="1"/>
  <c r="L1518" i="1"/>
  <c r="P1514" i="1"/>
  <c r="T1510" i="1"/>
  <c r="K1519" i="1"/>
  <c r="O1515" i="1"/>
  <c r="S1511" i="1"/>
  <c r="V1508" i="1"/>
  <c r="J1520" i="1"/>
  <c r="M1517" i="1"/>
  <c r="N1516" i="1"/>
  <c r="Q1513" i="1"/>
  <c r="U1509" i="1"/>
  <c r="I1521" i="1"/>
  <c r="R1512" i="1"/>
  <c r="K664" i="1"/>
  <c r="O660" i="1"/>
  <c r="S656" i="1"/>
  <c r="J665" i="1"/>
  <c r="N661" i="1"/>
  <c r="R657" i="1"/>
  <c r="V653" i="1"/>
  <c r="I666" i="1"/>
  <c r="M662" i="1"/>
  <c r="Q658" i="1"/>
  <c r="U654" i="1"/>
  <c r="H667" i="1"/>
  <c r="L663" i="1"/>
  <c r="P659" i="1"/>
  <c r="T655" i="1"/>
  <c r="H1698" i="1"/>
  <c r="L1694" i="1"/>
  <c r="P1690" i="1"/>
  <c r="T1686" i="1"/>
  <c r="K1695" i="1"/>
  <c r="O1691" i="1"/>
  <c r="S1687" i="1"/>
  <c r="J1696" i="1"/>
  <c r="N1692" i="1"/>
  <c r="R1688" i="1"/>
  <c r="V1684" i="1"/>
  <c r="U1685" i="1"/>
  <c r="Q1689" i="1"/>
  <c r="M1693" i="1"/>
  <c r="I1697" i="1"/>
  <c r="J572" i="1"/>
  <c r="N568" i="1"/>
  <c r="R564" i="1"/>
  <c r="W564" i="1" s="1"/>
  <c r="V560" i="1"/>
  <c r="W560" i="1" s="1"/>
  <c r="I573" i="1"/>
  <c r="M569" i="1"/>
  <c r="Q565" i="1"/>
  <c r="U561" i="1"/>
  <c r="W561" i="1" s="1"/>
  <c r="K571" i="1"/>
  <c r="P566" i="1"/>
  <c r="L570" i="1"/>
  <c r="S563" i="1"/>
  <c r="H574" i="1"/>
  <c r="T562" i="1"/>
  <c r="W562" i="1" s="1"/>
  <c r="O567" i="1"/>
  <c r="I305" i="1"/>
  <c r="W305" i="1" s="1"/>
  <c r="M301" i="1"/>
  <c r="W301" i="1" s="1"/>
  <c r="Q297" i="1"/>
  <c r="W297" i="1" s="1"/>
  <c r="U293" i="1"/>
  <c r="W293" i="1" s="1"/>
  <c r="H306" i="1"/>
  <c r="W306" i="1" s="1"/>
  <c r="L302" i="1"/>
  <c r="W302" i="1" s="1"/>
  <c r="P298" i="1"/>
  <c r="T294" i="1"/>
  <c r="W294" i="1" s="1"/>
  <c r="N300" i="1"/>
  <c r="W300" i="1" s="1"/>
  <c r="S295" i="1"/>
  <c r="W295" i="1" s="1"/>
  <c r="J304" i="1"/>
  <c r="O299" i="1"/>
  <c r="W299" i="1" s="1"/>
  <c r="V292" i="1"/>
  <c r="K303" i="1"/>
  <c r="W303" i="1" s="1"/>
  <c r="R296" i="1"/>
  <c r="W296" i="1" s="1"/>
  <c r="K266" i="1"/>
  <c r="O262" i="1"/>
  <c r="S258" i="1"/>
  <c r="J267" i="1"/>
  <c r="N263" i="1"/>
  <c r="R259" i="1"/>
  <c r="V255" i="1"/>
  <c r="I268" i="1"/>
  <c r="M264" i="1"/>
  <c r="Q260" i="1"/>
  <c r="U256" i="1"/>
  <c r="H269" i="1"/>
  <c r="L265" i="1"/>
  <c r="P261" i="1"/>
  <c r="T257" i="1"/>
  <c r="H797" i="1"/>
  <c r="L793" i="1"/>
  <c r="P789" i="1"/>
  <c r="T785" i="1"/>
  <c r="K794" i="1"/>
  <c r="R787" i="1"/>
  <c r="U784" i="1"/>
  <c r="O790" i="1"/>
  <c r="S786" i="1"/>
  <c r="J795" i="1"/>
  <c r="M792" i="1"/>
  <c r="I796" i="1"/>
  <c r="Q788" i="1"/>
  <c r="V783" i="1"/>
  <c r="N791" i="1"/>
  <c r="K1406" i="1"/>
  <c r="W1406" i="1" s="1"/>
  <c r="H1409" i="1"/>
  <c r="W1409" i="1" s="1"/>
  <c r="L1405" i="1"/>
  <c r="W1405" i="1" s="1"/>
  <c r="O1402" i="1"/>
  <c r="W1402" i="1" s="1"/>
  <c r="S1398" i="1"/>
  <c r="W1398" i="1" s="1"/>
  <c r="Q1400" i="1"/>
  <c r="W1400" i="1" s="1"/>
  <c r="U1396" i="1"/>
  <c r="W1396" i="1" s="1"/>
  <c r="I1408" i="1"/>
  <c r="P1401" i="1"/>
  <c r="W1401" i="1" s="1"/>
  <c r="T1397" i="1"/>
  <c r="W1397" i="1" s="1"/>
  <c r="J1407" i="1"/>
  <c r="W1407" i="1" s="1"/>
  <c r="M1404" i="1"/>
  <c r="W1404" i="1" s="1"/>
  <c r="R1399" i="1"/>
  <c r="W1399" i="1" s="1"/>
  <c r="N1403" i="1"/>
  <c r="W1403" i="1" s="1"/>
  <c r="V1395" i="1"/>
  <c r="W1395" i="1" s="1"/>
  <c r="J877" i="1"/>
  <c r="W877" i="1" s="1"/>
  <c r="L875" i="1"/>
  <c r="W875" i="1" s="1"/>
  <c r="P871" i="1"/>
  <c r="W871" i="1" s="1"/>
  <c r="T867" i="1"/>
  <c r="W867" i="1" s="1"/>
  <c r="O872" i="1"/>
  <c r="W872" i="1" s="1"/>
  <c r="S868" i="1"/>
  <c r="W868" i="1" s="1"/>
  <c r="I878" i="1"/>
  <c r="W878" i="1" s="1"/>
  <c r="M874" i="1"/>
  <c r="W874" i="1" s="1"/>
  <c r="Q870" i="1"/>
  <c r="W870" i="1" s="1"/>
  <c r="U866" i="1"/>
  <c r="W866" i="1" s="1"/>
  <c r="V865" i="1"/>
  <c r="W865" i="1" s="1"/>
  <c r="H879" i="1"/>
  <c r="W879" i="1" s="1"/>
  <c r="R869" i="1"/>
  <c r="W869" i="1" s="1"/>
  <c r="K876" i="1"/>
  <c r="W876" i="1" s="1"/>
  <c r="N873" i="1"/>
  <c r="J1247" i="1"/>
  <c r="N1243" i="1"/>
  <c r="R1239" i="1"/>
  <c r="V1235" i="1"/>
  <c r="I1248" i="1"/>
  <c r="M1244" i="1"/>
  <c r="Q1240" i="1"/>
  <c r="K1246" i="1"/>
  <c r="P1241" i="1"/>
  <c r="L1245" i="1"/>
  <c r="S1238" i="1"/>
  <c r="U1236" i="1"/>
  <c r="O1242" i="1"/>
  <c r="T1237" i="1"/>
  <c r="H1249" i="1"/>
  <c r="K1280" i="1"/>
  <c r="W1280" i="1" s="1"/>
  <c r="O1276" i="1"/>
  <c r="W1276" i="1" s="1"/>
  <c r="S1272" i="1"/>
  <c r="W1272" i="1" s="1"/>
  <c r="J1281" i="1"/>
  <c r="W1281" i="1" s="1"/>
  <c r="N1277" i="1"/>
  <c r="W1277" i="1" s="1"/>
  <c r="R1273" i="1"/>
  <c r="W1273" i="1" s="1"/>
  <c r="V1269" i="1"/>
  <c r="W1269" i="1" s="1"/>
  <c r="T1271" i="1"/>
  <c r="W1271" i="1" s="1"/>
  <c r="I1282" i="1"/>
  <c r="W1282" i="1" s="1"/>
  <c r="P1275" i="1"/>
  <c r="W1275" i="1" s="1"/>
  <c r="U1270" i="1"/>
  <c r="W1270" i="1" s="1"/>
  <c r="L1279" i="1"/>
  <c r="W1279" i="1" s="1"/>
  <c r="H1283" i="1"/>
  <c r="W1283" i="1" s="1"/>
  <c r="M1278" i="1"/>
  <c r="W1278" i="1" s="1"/>
  <c r="Q1274" i="1"/>
  <c r="W1274" i="1" s="1"/>
  <c r="H481" i="1"/>
  <c r="L477" i="1"/>
  <c r="P473" i="1"/>
  <c r="T469" i="1"/>
  <c r="K478" i="1"/>
  <c r="O474" i="1"/>
  <c r="S470" i="1"/>
  <c r="J479" i="1"/>
  <c r="N475" i="1"/>
  <c r="R471" i="1"/>
  <c r="V467" i="1"/>
  <c r="I480" i="1"/>
  <c r="M476" i="1"/>
  <c r="Q472" i="1"/>
  <c r="U468" i="1"/>
  <c r="H191" i="1"/>
  <c r="W191" i="1" s="1"/>
  <c r="L187" i="1"/>
  <c r="W187" i="1" s="1"/>
  <c r="P183" i="1"/>
  <c r="W183" i="1" s="1"/>
  <c r="T179" i="1"/>
  <c r="W179" i="1" s="1"/>
  <c r="I190" i="1"/>
  <c r="W190" i="1" s="1"/>
  <c r="M186" i="1"/>
  <c r="W186" i="1" s="1"/>
  <c r="Q182" i="1"/>
  <c r="W182" i="1" s="1"/>
  <c r="U178" i="1"/>
  <c r="W178" i="1" s="1"/>
  <c r="N185" i="1"/>
  <c r="W185" i="1" s="1"/>
  <c r="V177" i="1"/>
  <c r="W177" i="1" s="1"/>
  <c r="O184" i="1"/>
  <c r="W184" i="1" s="1"/>
  <c r="K188" i="1"/>
  <c r="W188" i="1" s="1"/>
  <c r="R181" i="1"/>
  <c r="W181" i="1" s="1"/>
  <c r="J189" i="1"/>
  <c r="W189" i="1" s="1"/>
  <c r="S180" i="1"/>
  <c r="W180" i="1" s="1"/>
  <c r="H85" i="1"/>
  <c r="L81" i="1"/>
  <c r="P77" i="1"/>
  <c r="T73" i="1"/>
  <c r="K82" i="1"/>
  <c r="O78" i="1"/>
  <c r="J83" i="1"/>
  <c r="N79" i="1"/>
  <c r="R75" i="1"/>
  <c r="V71" i="1"/>
  <c r="U72" i="1"/>
  <c r="M80" i="1"/>
  <c r="S74" i="1"/>
  <c r="I84" i="1"/>
  <c r="Q76" i="1"/>
  <c r="W76" i="1" s="1"/>
  <c r="G135" i="1"/>
  <c r="H134" i="1"/>
  <c r="L130" i="1"/>
  <c r="P126" i="1"/>
  <c r="T122" i="1"/>
  <c r="K131" i="1"/>
  <c r="O127" i="1"/>
  <c r="S123" i="1"/>
  <c r="J132" i="1"/>
  <c r="N128" i="1"/>
  <c r="R124" i="1"/>
  <c r="V120" i="1"/>
  <c r="U121" i="1"/>
  <c r="Q125" i="1"/>
  <c r="M129" i="1"/>
  <c r="I133" i="1"/>
  <c r="W415" i="1"/>
  <c r="G374" i="1"/>
  <c r="G1523" i="1"/>
  <c r="G1258" i="1"/>
  <c r="G840" i="1"/>
  <c r="W435" i="1"/>
  <c r="W432" i="1"/>
  <c r="G482" i="1"/>
  <c r="G636" i="1"/>
  <c r="G1338" i="1"/>
  <c r="G668" i="1"/>
  <c r="G1211" i="1"/>
  <c r="G384" i="1"/>
  <c r="G1646" i="1"/>
  <c r="G226" i="1"/>
  <c r="G1490" i="1"/>
  <c r="G215" i="1"/>
  <c r="G582" i="1"/>
  <c r="G1582" i="1"/>
  <c r="G102" i="1"/>
  <c r="G650" i="1"/>
  <c r="G798" i="1"/>
  <c r="W685" i="1"/>
  <c r="G1250" i="1"/>
  <c r="G1631" i="1"/>
  <c r="G535" i="1"/>
  <c r="W1715" i="1"/>
  <c r="G290" i="1"/>
  <c r="G716" i="1"/>
  <c r="W409" i="1"/>
  <c r="G518" i="1"/>
  <c r="G155" i="1"/>
  <c r="G1309" i="1"/>
  <c r="W778" i="1"/>
  <c r="W1085" i="1"/>
  <c r="W1195" i="1"/>
  <c r="W1322" i="1"/>
  <c r="W847" i="1"/>
  <c r="W388" i="1"/>
  <c r="W453" i="1"/>
  <c r="W801" i="1"/>
  <c r="G1699" i="1"/>
  <c r="G1687" i="1"/>
  <c r="W804" i="1"/>
  <c r="W806" i="1"/>
  <c r="W745" i="1"/>
  <c r="W1087" i="1"/>
  <c r="W1090" i="1"/>
  <c r="W744" i="1"/>
  <c r="W456" i="1"/>
  <c r="W1088" i="1"/>
  <c r="W457" i="1"/>
  <c r="W488" i="1"/>
  <c r="W1082" i="1"/>
  <c r="W485" i="1"/>
  <c r="W742" i="1"/>
  <c r="W392" i="1"/>
  <c r="W390" i="1"/>
  <c r="W458" i="1"/>
  <c r="W487" i="1"/>
  <c r="W553" i="1"/>
  <c r="W1171" i="1"/>
  <c r="W1408" i="1"/>
  <c r="W108" i="1"/>
  <c r="W400" i="1"/>
  <c r="W298" i="1"/>
  <c r="W304" i="1"/>
  <c r="W1373" i="1"/>
  <c r="W1375" i="1"/>
  <c r="W1126" i="1"/>
  <c r="W1122" i="1"/>
  <c r="W1127" i="1"/>
  <c r="W1128" i="1"/>
  <c r="W1116" i="1"/>
  <c r="W1121" i="1"/>
  <c r="W1129" i="1"/>
  <c r="W825" i="1"/>
  <c r="W873" i="1"/>
  <c r="W958" i="1"/>
  <c r="W960" i="1"/>
  <c r="W915" i="1"/>
  <c r="W860" i="1"/>
  <c r="W848" i="1"/>
  <c r="W861" i="1"/>
  <c r="W858" i="1"/>
  <c r="W850" i="1"/>
  <c r="W859" i="1"/>
  <c r="W1425" i="1"/>
  <c r="W1083" i="1"/>
  <c r="W1649" i="1"/>
  <c r="W1064" i="1"/>
  <c r="W449" i="1"/>
  <c r="W604" i="1"/>
  <c r="W1080" i="1"/>
  <c r="W774" i="1"/>
  <c r="W454" i="1"/>
  <c r="W447" i="1"/>
  <c r="W1063" i="1"/>
  <c r="W1079" i="1"/>
  <c r="W450" i="1"/>
  <c r="W427" i="1"/>
  <c r="W424" i="1"/>
  <c r="W425" i="1"/>
  <c r="W426" i="1"/>
  <c r="W946" i="1"/>
  <c r="W949" i="1"/>
  <c r="W947" i="1"/>
  <c r="W1032" i="1"/>
  <c r="W1600" i="1"/>
  <c r="W1601" i="1"/>
  <c r="W452" i="1"/>
  <c r="W776" i="1"/>
  <c r="W741" i="1"/>
  <c r="W1066" i="1"/>
  <c r="W769" i="1"/>
  <c r="W1599" i="1"/>
  <c r="W308" i="1"/>
  <c r="W106" i="1"/>
  <c r="W773" i="1"/>
  <c r="W451" i="1"/>
  <c r="W484" i="1"/>
  <c r="W1030" i="1"/>
  <c r="W724" i="1"/>
  <c r="W721" i="1"/>
  <c r="W723" i="1"/>
  <c r="W175" i="1"/>
  <c r="W176" i="1"/>
  <c r="W679" i="1"/>
  <c r="W680" i="1"/>
  <c r="W677" i="1"/>
  <c r="W688" i="1"/>
  <c r="W1046" i="1"/>
  <c r="W1043" i="1"/>
  <c r="W1044" i="1"/>
  <c r="W1045" i="1"/>
  <c r="W855" i="1"/>
  <c r="W851" i="1"/>
  <c r="W852" i="1"/>
  <c r="W849" i="1"/>
  <c r="W857" i="1"/>
  <c r="W854" i="1"/>
  <c r="W802" i="1"/>
  <c r="W389" i="1"/>
  <c r="W1350" i="1"/>
  <c r="W1348" i="1"/>
  <c r="W1351" i="1"/>
  <c r="W1391" i="1"/>
  <c r="W1392" i="1"/>
  <c r="W1394" i="1"/>
  <c r="W1117" i="1"/>
  <c r="W1113" i="1"/>
  <c r="W1125" i="1"/>
  <c r="W1118" i="1"/>
  <c r="W1114" i="1"/>
  <c r="W1123" i="1"/>
  <c r="W1112" i="1"/>
  <c r="W1120" i="1"/>
  <c r="W907" i="1"/>
  <c r="W916" i="1"/>
  <c r="W906" i="1"/>
  <c r="W1134" i="1"/>
  <c r="W1131" i="1"/>
  <c r="W1132" i="1"/>
  <c r="W1133" i="1"/>
  <c r="W1086" i="1"/>
  <c r="W772" i="1"/>
  <c r="W863" i="1"/>
  <c r="W864" i="1"/>
  <c r="W232" i="1"/>
  <c r="W233" i="1"/>
  <c r="W234" i="1"/>
  <c r="W1154" i="1"/>
  <c r="W1149" i="1"/>
  <c r="W1267" i="1"/>
  <c r="W1268" i="1"/>
  <c r="W1265" i="1"/>
  <c r="W396" i="1"/>
  <c r="W398" i="1"/>
  <c r="W393" i="1"/>
  <c r="W399" i="1"/>
  <c r="W395" i="1"/>
  <c r="W1416" i="1"/>
  <c r="W1418" i="1"/>
  <c r="W1415" i="1"/>
  <c r="W556" i="1"/>
  <c r="W557" i="1"/>
  <c r="W558" i="1"/>
  <c r="W1029" i="1"/>
  <c r="W770" i="1"/>
  <c r="W1163" i="1" l="1"/>
  <c r="W115" i="1"/>
  <c r="W1704" i="1"/>
  <c r="W114" i="1"/>
  <c r="W543" i="1"/>
  <c r="W1162" i="1"/>
  <c r="W1158" i="1"/>
  <c r="W1164" i="1"/>
  <c r="W1705" i="1"/>
  <c r="W1703" i="1"/>
  <c r="W1160" i="1"/>
  <c r="W1706" i="1"/>
  <c r="W1157" i="1"/>
  <c r="W113" i="1"/>
  <c r="W546" i="1"/>
  <c r="W541" i="1"/>
  <c r="W547" i="1"/>
  <c r="W1161" i="1"/>
  <c r="I1581" i="1"/>
  <c r="W1581" i="1" s="1"/>
  <c r="M1577" i="1"/>
  <c r="W1577" i="1" s="1"/>
  <c r="H1582" i="1"/>
  <c r="W1582" i="1" s="1"/>
  <c r="L1578" i="1"/>
  <c r="W1578" i="1" s="1"/>
  <c r="J1580" i="1"/>
  <c r="W1580" i="1" s="1"/>
  <c r="K1579" i="1"/>
  <c r="W1579" i="1" s="1"/>
  <c r="R1572" i="1"/>
  <c r="W1572" i="1" s="1"/>
  <c r="V1568" i="1"/>
  <c r="W1568" i="1" s="1"/>
  <c r="O1575" i="1"/>
  <c r="W1575" i="1" s="1"/>
  <c r="T1570" i="1"/>
  <c r="W1570" i="1" s="1"/>
  <c r="P1574" i="1"/>
  <c r="W1574" i="1" s="1"/>
  <c r="N1576" i="1"/>
  <c r="W1576" i="1" s="1"/>
  <c r="Q1573" i="1"/>
  <c r="W1573" i="1" s="1"/>
  <c r="U1569" i="1"/>
  <c r="W1569" i="1" s="1"/>
  <c r="S1571" i="1"/>
  <c r="W1571" i="1" s="1"/>
  <c r="J580" i="1"/>
  <c r="N576" i="1"/>
  <c r="R572" i="1"/>
  <c r="V568" i="1"/>
  <c r="W568" i="1" s="1"/>
  <c r="I581" i="1"/>
  <c r="M577" i="1"/>
  <c r="Q573" i="1"/>
  <c r="U569" i="1"/>
  <c r="O575" i="1"/>
  <c r="T570" i="1"/>
  <c r="K579" i="1"/>
  <c r="P574" i="1"/>
  <c r="L578" i="1"/>
  <c r="S571" i="1"/>
  <c r="H582" i="1"/>
  <c r="K170" i="1"/>
  <c r="W170" i="1" s="1"/>
  <c r="O166" i="1"/>
  <c r="W166" i="1" s="1"/>
  <c r="S162" i="1"/>
  <c r="W162" i="1" s="1"/>
  <c r="H173" i="1"/>
  <c r="W173" i="1" s="1"/>
  <c r="L169" i="1"/>
  <c r="W169" i="1" s="1"/>
  <c r="P165" i="1"/>
  <c r="W165" i="1" s="1"/>
  <c r="T161" i="1"/>
  <c r="W161" i="1" s="1"/>
  <c r="R163" i="1"/>
  <c r="W163" i="1" s="1"/>
  <c r="U160" i="1"/>
  <c r="W160" i="1" s="1"/>
  <c r="I172" i="1"/>
  <c r="W172" i="1" s="1"/>
  <c r="J171" i="1"/>
  <c r="W171" i="1" s="1"/>
  <c r="M168" i="1"/>
  <c r="W168" i="1" s="1"/>
  <c r="V159" i="1"/>
  <c r="W159" i="1" s="1"/>
  <c r="N167" i="1"/>
  <c r="W167" i="1" s="1"/>
  <c r="Q164" i="1"/>
  <c r="W164" i="1" s="1"/>
  <c r="I1308" i="1"/>
  <c r="M1304" i="1"/>
  <c r="H1309" i="1"/>
  <c r="K1306" i="1"/>
  <c r="P1301" i="1"/>
  <c r="S1298" i="1"/>
  <c r="Q1300" i="1"/>
  <c r="T1297" i="1"/>
  <c r="J1307" i="1"/>
  <c r="N1303" i="1"/>
  <c r="U1296" i="1"/>
  <c r="O1302" i="1"/>
  <c r="R1299" i="1"/>
  <c r="V1295" i="1"/>
  <c r="L1305" i="1"/>
  <c r="K713" i="1"/>
  <c r="W713" i="1" s="1"/>
  <c r="O709" i="1"/>
  <c r="W709" i="1" s="1"/>
  <c r="S705" i="1"/>
  <c r="W705" i="1" s="1"/>
  <c r="J714" i="1"/>
  <c r="W714" i="1" s="1"/>
  <c r="N710" i="1"/>
  <c r="W710" i="1" s="1"/>
  <c r="R706" i="1"/>
  <c r="W706" i="1" s="1"/>
  <c r="V702" i="1"/>
  <c r="W702" i="1" s="1"/>
  <c r="T704" i="1"/>
  <c r="W704" i="1" s="1"/>
  <c r="I715" i="1"/>
  <c r="W715" i="1" s="1"/>
  <c r="P708" i="1"/>
  <c r="W708" i="1" s="1"/>
  <c r="U703" i="1"/>
  <c r="W703" i="1" s="1"/>
  <c r="L712" i="1"/>
  <c r="W712" i="1" s="1"/>
  <c r="H716" i="1"/>
  <c r="M711" i="1"/>
  <c r="W711" i="1" s="1"/>
  <c r="Q707" i="1"/>
  <c r="W707" i="1" s="1"/>
  <c r="H215" i="1"/>
  <c r="L211" i="1"/>
  <c r="P207" i="1"/>
  <c r="T203" i="1"/>
  <c r="I214" i="1"/>
  <c r="M210" i="1"/>
  <c r="Q206" i="1"/>
  <c r="U202" i="1"/>
  <c r="R205" i="1"/>
  <c r="J213" i="1"/>
  <c r="O208" i="1"/>
  <c r="N209" i="1"/>
  <c r="V201" i="1"/>
  <c r="S204" i="1"/>
  <c r="K212" i="1"/>
  <c r="H1338" i="1"/>
  <c r="W1338" i="1" s="1"/>
  <c r="L1334" i="1"/>
  <c r="W1334" i="1" s="1"/>
  <c r="P1330" i="1"/>
  <c r="W1330" i="1" s="1"/>
  <c r="T1326" i="1"/>
  <c r="W1326" i="1" s="1"/>
  <c r="K1335" i="1"/>
  <c r="W1335" i="1" s="1"/>
  <c r="O1331" i="1"/>
  <c r="S1327" i="1"/>
  <c r="W1327" i="1" s="1"/>
  <c r="J1336" i="1"/>
  <c r="W1336" i="1" s="1"/>
  <c r="N1332" i="1"/>
  <c r="W1332" i="1" s="1"/>
  <c r="R1328" i="1"/>
  <c r="W1328" i="1" s="1"/>
  <c r="V1324" i="1"/>
  <c r="W1324" i="1" s="1"/>
  <c r="I1337" i="1"/>
  <c r="W1337" i="1" s="1"/>
  <c r="M1333" i="1"/>
  <c r="W1333" i="1" s="1"/>
  <c r="Q1329" i="1"/>
  <c r="W1329" i="1" s="1"/>
  <c r="U1325" i="1"/>
  <c r="W1325" i="1" s="1"/>
  <c r="I839" i="1"/>
  <c r="M835" i="1"/>
  <c r="P832" i="1"/>
  <c r="T828" i="1"/>
  <c r="J838" i="1"/>
  <c r="O833" i="1"/>
  <c r="S829" i="1"/>
  <c r="K837" i="1"/>
  <c r="N834" i="1"/>
  <c r="H840" i="1"/>
  <c r="V826" i="1"/>
  <c r="Q831" i="1"/>
  <c r="R830" i="1"/>
  <c r="U827" i="1"/>
  <c r="L836" i="1"/>
  <c r="J516" i="1"/>
  <c r="N512" i="1"/>
  <c r="W512" i="1" s="1"/>
  <c r="R508" i="1"/>
  <c r="W508" i="1" s="1"/>
  <c r="V504" i="1"/>
  <c r="W504" i="1" s="1"/>
  <c r="I517" i="1"/>
  <c r="M513" i="1"/>
  <c r="W513" i="1" s="1"/>
  <c r="Q509" i="1"/>
  <c r="W509" i="1" s="1"/>
  <c r="U505" i="1"/>
  <c r="W505" i="1" s="1"/>
  <c r="O511" i="1"/>
  <c r="T506" i="1"/>
  <c r="W506" i="1" s="1"/>
  <c r="K515" i="1"/>
  <c r="W515" i="1" s="1"/>
  <c r="P510" i="1"/>
  <c r="W510" i="1" s="1"/>
  <c r="H518" i="1"/>
  <c r="L514" i="1"/>
  <c r="W514" i="1" s="1"/>
  <c r="S507" i="1"/>
  <c r="W507" i="1" s="1"/>
  <c r="H1490" i="1"/>
  <c r="L1486" i="1"/>
  <c r="P1482" i="1"/>
  <c r="T1478" i="1"/>
  <c r="K1487" i="1"/>
  <c r="O1483" i="1"/>
  <c r="S1479" i="1"/>
  <c r="R1480" i="1"/>
  <c r="I1489" i="1"/>
  <c r="U1477" i="1"/>
  <c r="J1488" i="1"/>
  <c r="Q1481" i="1"/>
  <c r="M1485" i="1"/>
  <c r="N1484" i="1"/>
  <c r="V1476" i="1"/>
  <c r="K1255" i="1"/>
  <c r="O1251" i="1"/>
  <c r="S1247" i="1"/>
  <c r="J1256" i="1"/>
  <c r="N1252" i="1"/>
  <c r="R1248" i="1"/>
  <c r="V1244" i="1"/>
  <c r="I1257" i="1"/>
  <c r="M1253" i="1"/>
  <c r="Q1249" i="1"/>
  <c r="U1245" i="1"/>
  <c r="H1258" i="1"/>
  <c r="L1254" i="1"/>
  <c r="P1250" i="1"/>
  <c r="T1246" i="1"/>
  <c r="I289" i="1"/>
  <c r="M285" i="1"/>
  <c r="Q281" i="1"/>
  <c r="U277" i="1"/>
  <c r="H290" i="1"/>
  <c r="L286" i="1"/>
  <c r="P282" i="1"/>
  <c r="T278" i="1"/>
  <c r="V276" i="1"/>
  <c r="K287" i="1"/>
  <c r="R280" i="1"/>
  <c r="N284" i="1"/>
  <c r="S279" i="1"/>
  <c r="O283" i="1"/>
  <c r="J288" i="1"/>
  <c r="K532" i="1"/>
  <c r="O528" i="1"/>
  <c r="S524" i="1"/>
  <c r="J533" i="1"/>
  <c r="N529" i="1"/>
  <c r="R525" i="1"/>
  <c r="V521" i="1"/>
  <c r="I534" i="1"/>
  <c r="M530" i="1"/>
  <c r="Q526" i="1"/>
  <c r="U522" i="1"/>
  <c r="H535" i="1"/>
  <c r="L531" i="1"/>
  <c r="P527" i="1"/>
  <c r="T523" i="1"/>
  <c r="K795" i="1"/>
  <c r="O791" i="1"/>
  <c r="S787" i="1"/>
  <c r="I797" i="1"/>
  <c r="V784" i="1"/>
  <c r="P790" i="1"/>
  <c r="J796" i="1"/>
  <c r="M793" i="1"/>
  <c r="N792" i="1"/>
  <c r="Q789" i="1"/>
  <c r="H798" i="1"/>
  <c r="R788" i="1"/>
  <c r="T786" i="1"/>
  <c r="L794" i="1"/>
  <c r="U785" i="1"/>
  <c r="I225" i="1"/>
  <c r="W225" i="1" s="1"/>
  <c r="M221" i="1"/>
  <c r="W221" i="1" s="1"/>
  <c r="Q217" i="1"/>
  <c r="U213" i="1"/>
  <c r="H226" i="1"/>
  <c r="W226" i="1" s="1"/>
  <c r="L222" i="1"/>
  <c r="P218" i="1"/>
  <c r="T214" i="1"/>
  <c r="K223" i="1"/>
  <c r="W223" i="1" s="1"/>
  <c r="N220" i="1"/>
  <c r="W220" i="1" s="1"/>
  <c r="S215" i="1"/>
  <c r="V212" i="1"/>
  <c r="J224" i="1"/>
  <c r="W224" i="1" s="1"/>
  <c r="O219" i="1"/>
  <c r="W219" i="1" s="1"/>
  <c r="R216" i="1"/>
  <c r="H1211" i="1"/>
  <c r="L1207" i="1"/>
  <c r="P1203" i="1"/>
  <c r="T1199" i="1"/>
  <c r="K1208" i="1"/>
  <c r="O1204" i="1"/>
  <c r="S1200" i="1"/>
  <c r="J1209" i="1"/>
  <c r="N1205" i="1"/>
  <c r="R1201" i="1"/>
  <c r="V1197" i="1"/>
  <c r="I1210" i="1"/>
  <c r="M1206" i="1"/>
  <c r="Q1202" i="1"/>
  <c r="U1198" i="1"/>
  <c r="K633" i="1"/>
  <c r="O629" i="1"/>
  <c r="S625" i="1"/>
  <c r="J634" i="1"/>
  <c r="N630" i="1"/>
  <c r="R626" i="1"/>
  <c r="V622" i="1"/>
  <c r="W622" i="1" s="1"/>
  <c r="L632" i="1"/>
  <c r="Q627" i="1"/>
  <c r="H636" i="1"/>
  <c r="M631" i="1"/>
  <c r="T624" i="1"/>
  <c r="P628" i="1"/>
  <c r="I635" i="1"/>
  <c r="U623" i="1"/>
  <c r="I1522" i="1"/>
  <c r="M1518" i="1"/>
  <c r="Q1514" i="1"/>
  <c r="U1510" i="1"/>
  <c r="H1523" i="1"/>
  <c r="L1519" i="1"/>
  <c r="P1515" i="1"/>
  <c r="T1511" i="1"/>
  <c r="J1521" i="1"/>
  <c r="N1517" i="1"/>
  <c r="R1513" i="1"/>
  <c r="V1509" i="1"/>
  <c r="K1520" i="1"/>
  <c r="O1516" i="1"/>
  <c r="S1512" i="1"/>
  <c r="G94" i="1"/>
  <c r="H93" i="1"/>
  <c r="L89" i="1"/>
  <c r="P85" i="1"/>
  <c r="T81" i="1"/>
  <c r="K90" i="1"/>
  <c r="O86" i="1"/>
  <c r="S82" i="1"/>
  <c r="J91" i="1"/>
  <c r="N87" i="1"/>
  <c r="R83" i="1"/>
  <c r="V79" i="1"/>
  <c r="W79" i="1" s="1"/>
  <c r="U80" i="1"/>
  <c r="Q84" i="1"/>
  <c r="M88" i="1"/>
  <c r="I92" i="1"/>
  <c r="I73" i="1"/>
  <c r="M69" i="1"/>
  <c r="Q65" i="1"/>
  <c r="U61" i="1"/>
  <c r="H74" i="1"/>
  <c r="L70" i="1"/>
  <c r="P66" i="1"/>
  <c r="T62" i="1"/>
  <c r="R64" i="1"/>
  <c r="O67" i="1"/>
  <c r="N68" i="1"/>
  <c r="V60" i="1"/>
  <c r="S63" i="1"/>
  <c r="J72" i="1"/>
  <c r="K71" i="1"/>
  <c r="G75" i="1"/>
  <c r="K152" i="1"/>
  <c r="O148" i="1"/>
  <c r="S144" i="1"/>
  <c r="J153" i="1"/>
  <c r="N149" i="1"/>
  <c r="R145" i="1"/>
  <c r="V141" i="1"/>
  <c r="I154" i="1"/>
  <c r="M150" i="1"/>
  <c r="Q146" i="1"/>
  <c r="U142" i="1"/>
  <c r="P147" i="1"/>
  <c r="L151" i="1"/>
  <c r="H155" i="1"/>
  <c r="T143" i="1"/>
  <c r="I383" i="1"/>
  <c r="M379" i="1"/>
  <c r="Q375" i="1"/>
  <c r="U371" i="1"/>
  <c r="H384" i="1"/>
  <c r="L380" i="1"/>
  <c r="P376" i="1"/>
  <c r="T372" i="1"/>
  <c r="O377" i="1"/>
  <c r="R374" i="1"/>
  <c r="K381" i="1"/>
  <c r="N378" i="1"/>
  <c r="V370" i="1"/>
  <c r="J382" i="1"/>
  <c r="S373" i="1"/>
  <c r="J1629" i="1"/>
  <c r="N1625" i="1"/>
  <c r="R1621" i="1"/>
  <c r="W1621" i="1" s="1"/>
  <c r="V1617" i="1"/>
  <c r="W1617" i="1" s="1"/>
  <c r="I1630" i="1"/>
  <c r="M1626" i="1"/>
  <c r="W1626" i="1" s="1"/>
  <c r="Q1622" i="1"/>
  <c r="U1618" i="1"/>
  <c r="W1618" i="1" s="1"/>
  <c r="P1623" i="1"/>
  <c r="L1627" i="1"/>
  <c r="W1627" i="1" s="1"/>
  <c r="S1620" i="1"/>
  <c r="H1631" i="1"/>
  <c r="T1619" i="1"/>
  <c r="W1619" i="1" s="1"/>
  <c r="K1628" i="1"/>
  <c r="O1624" i="1"/>
  <c r="W1624" i="1" s="1"/>
  <c r="J1644" i="1"/>
  <c r="N1640" i="1"/>
  <c r="R1636" i="1"/>
  <c r="I1645" i="1"/>
  <c r="M1641" i="1"/>
  <c r="Q1637" i="1"/>
  <c r="K1643" i="1"/>
  <c r="O1639" i="1"/>
  <c r="V1632" i="1"/>
  <c r="W1632" i="1" s="1"/>
  <c r="L1642" i="1"/>
  <c r="U1633" i="1"/>
  <c r="H1646" i="1"/>
  <c r="T1634" i="1"/>
  <c r="P1638" i="1"/>
  <c r="S1635" i="1"/>
  <c r="K665" i="1"/>
  <c r="W665" i="1" s="1"/>
  <c r="O661" i="1"/>
  <c r="W661" i="1" s="1"/>
  <c r="S657" i="1"/>
  <c r="W657" i="1" s="1"/>
  <c r="J666" i="1"/>
  <c r="W666" i="1" s="1"/>
  <c r="N662" i="1"/>
  <c r="W662" i="1" s="1"/>
  <c r="R658" i="1"/>
  <c r="W658" i="1" s="1"/>
  <c r="V654" i="1"/>
  <c r="W654" i="1" s="1"/>
  <c r="L664" i="1"/>
  <c r="W664" i="1" s="1"/>
  <c r="Q659" i="1"/>
  <c r="W659" i="1" s="1"/>
  <c r="H668" i="1"/>
  <c r="W668" i="1" s="1"/>
  <c r="M663" i="1"/>
  <c r="W663" i="1" s="1"/>
  <c r="T656" i="1"/>
  <c r="W656" i="1" s="1"/>
  <c r="P660" i="1"/>
  <c r="W660" i="1" s="1"/>
  <c r="U655" i="1"/>
  <c r="I667" i="1"/>
  <c r="W667" i="1" s="1"/>
  <c r="H482" i="1"/>
  <c r="W482" i="1" s="1"/>
  <c r="L478" i="1"/>
  <c r="W478" i="1" s="1"/>
  <c r="P474" i="1"/>
  <c r="W474" i="1" s="1"/>
  <c r="T470" i="1"/>
  <c r="W470" i="1" s="1"/>
  <c r="K479" i="1"/>
  <c r="W479" i="1" s="1"/>
  <c r="O475" i="1"/>
  <c r="W475" i="1" s="1"/>
  <c r="S471" i="1"/>
  <c r="W471" i="1" s="1"/>
  <c r="M477" i="1"/>
  <c r="W477" i="1" s="1"/>
  <c r="R472" i="1"/>
  <c r="W472" i="1" s="1"/>
  <c r="I481" i="1"/>
  <c r="W481" i="1" s="1"/>
  <c r="N476" i="1"/>
  <c r="W476" i="1" s="1"/>
  <c r="U469" i="1"/>
  <c r="W469" i="1" s="1"/>
  <c r="J480" i="1"/>
  <c r="W480" i="1" s="1"/>
  <c r="Q473" i="1"/>
  <c r="W473" i="1" s="1"/>
  <c r="V468" i="1"/>
  <c r="W468" i="1" s="1"/>
  <c r="I134" i="1"/>
  <c r="W134" i="1" s="1"/>
  <c r="M130" i="1"/>
  <c r="W130" i="1" s="1"/>
  <c r="Q126" i="1"/>
  <c r="W126" i="1" s="1"/>
  <c r="U122" i="1"/>
  <c r="W122" i="1" s="1"/>
  <c r="H135" i="1"/>
  <c r="W135" i="1" s="1"/>
  <c r="L131" i="1"/>
  <c r="W131" i="1" s="1"/>
  <c r="P127" i="1"/>
  <c r="W127" i="1" s="1"/>
  <c r="T123" i="1"/>
  <c r="W123" i="1" s="1"/>
  <c r="K132" i="1"/>
  <c r="W132" i="1" s="1"/>
  <c r="O128" i="1"/>
  <c r="W128" i="1" s="1"/>
  <c r="S124" i="1"/>
  <c r="W124" i="1" s="1"/>
  <c r="R125" i="1"/>
  <c r="W125" i="1" s="1"/>
  <c r="V121" i="1"/>
  <c r="W121" i="1" s="1"/>
  <c r="N129" i="1"/>
  <c r="W129" i="1" s="1"/>
  <c r="J133" i="1"/>
  <c r="W133" i="1" s="1"/>
  <c r="H374" i="1"/>
  <c r="L370" i="1"/>
  <c r="P366" i="1"/>
  <c r="T362" i="1"/>
  <c r="K371" i="1"/>
  <c r="O367" i="1"/>
  <c r="S363" i="1"/>
  <c r="R364" i="1"/>
  <c r="U361" i="1"/>
  <c r="I373" i="1"/>
  <c r="N368" i="1"/>
  <c r="Q365" i="1"/>
  <c r="J372" i="1"/>
  <c r="V360" i="1"/>
  <c r="M369" i="1"/>
  <c r="K1247" i="1"/>
  <c r="O1243" i="1"/>
  <c r="W1243" i="1" s="1"/>
  <c r="S1239" i="1"/>
  <c r="J1248" i="1"/>
  <c r="N1244" i="1"/>
  <c r="R1240" i="1"/>
  <c r="W1240" i="1" s="1"/>
  <c r="V1236" i="1"/>
  <c r="W1236" i="1" s="1"/>
  <c r="I1249" i="1"/>
  <c r="M1245" i="1"/>
  <c r="Q1241" i="1"/>
  <c r="U1237" i="1"/>
  <c r="W1237" i="1" s="1"/>
  <c r="H1250" i="1"/>
  <c r="L1246" i="1"/>
  <c r="P1242" i="1"/>
  <c r="T1238" i="1"/>
  <c r="W1238" i="1" s="1"/>
  <c r="J648" i="1"/>
  <c r="W648" i="1" s="1"/>
  <c r="N644" i="1"/>
  <c r="W644" i="1" s="1"/>
  <c r="R640" i="1"/>
  <c r="W640" i="1" s="1"/>
  <c r="V636" i="1"/>
  <c r="I649" i="1"/>
  <c r="W649" i="1" s="1"/>
  <c r="M645" i="1"/>
  <c r="W645" i="1" s="1"/>
  <c r="Q641" i="1"/>
  <c r="W641" i="1" s="1"/>
  <c r="U637" i="1"/>
  <c r="K647" i="1"/>
  <c r="W647" i="1" s="1"/>
  <c r="P642" i="1"/>
  <c r="W642" i="1" s="1"/>
  <c r="L646" i="1"/>
  <c r="W646" i="1" s="1"/>
  <c r="S639" i="1"/>
  <c r="W639" i="1" s="1"/>
  <c r="O643" i="1"/>
  <c r="W643" i="1" s="1"/>
  <c r="T638" i="1"/>
  <c r="H650" i="1"/>
  <c r="W650" i="1" s="1"/>
  <c r="K1684" i="1"/>
  <c r="W1684" i="1" s="1"/>
  <c r="O1680" i="1"/>
  <c r="W1680" i="1" s="1"/>
  <c r="S1676" i="1"/>
  <c r="W1676" i="1" s="1"/>
  <c r="J1685" i="1"/>
  <c r="N1681" i="1"/>
  <c r="R1677" i="1"/>
  <c r="W1677" i="1" s="1"/>
  <c r="I1686" i="1"/>
  <c r="M1682" i="1"/>
  <c r="W1682" i="1" s="1"/>
  <c r="Q1678" i="1"/>
  <c r="W1678" i="1" s="1"/>
  <c r="H1687" i="1"/>
  <c r="L1683" i="1"/>
  <c r="W1683" i="1" s="1"/>
  <c r="P1679" i="1"/>
  <c r="V1673" i="1"/>
  <c r="W1673" i="1" s="1"/>
  <c r="U1674" i="1"/>
  <c r="W1674" i="1" s="1"/>
  <c r="T1675" i="1"/>
  <c r="W1675" i="1" s="1"/>
  <c r="I1698" i="1"/>
  <c r="W1698" i="1" s="1"/>
  <c r="M1694" i="1"/>
  <c r="W1694" i="1" s="1"/>
  <c r="Q1690" i="1"/>
  <c r="W1690" i="1" s="1"/>
  <c r="U1686" i="1"/>
  <c r="H1699" i="1"/>
  <c r="W1699" i="1" s="1"/>
  <c r="L1695" i="1"/>
  <c r="W1695" i="1" s="1"/>
  <c r="P1691" i="1"/>
  <c r="W1691" i="1" s="1"/>
  <c r="T1687" i="1"/>
  <c r="K1696" i="1"/>
  <c r="W1696" i="1" s="1"/>
  <c r="O1692" i="1"/>
  <c r="W1692" i="1" s="1"/>
  <c r="S1688" i="1"/>
  <c r="W1688" i="1" s="1"/>
  <c r="J1697" i="1"/>
  <c r="W1697" i="1" s="1"/>
  <c r="N1693" i="1"/>
  <c r="W1693" i="1" s="1"/>
  <c r="R1689" i="1"/>
  <c r="W1689" i="1" s="1"/>
  <c r="V1685" i="1"/>
  <c r="H102" i="1"/>
  <c r="L98" i="1"/>
  <c r="P94" i="1"/>
  <c r="T90" i="1"/>
  <c r="K99" i="1"/>
  <c r="O95" i="1"/>
  <c r="S91" i="1"/>
  <c r="J100" i="1"/>
  <c r="N96" i="1"/>
  <c r="R92" i="1"/>
  <c r="V88" i="1"/>
  <c r="U89" i="1"/>
  <c r="Q93" i="1"/>
  <c r="M97" i="1"/>
  <c r="I101" i="1"/>
  <c r="W545" i="1"/>
  <c r="W1331" i="1"/>
  <c r="W544" i="1"/>
  <c r="G103" i="1"/>
  <c r="G583" i="1"/>
  <c r="G841" i="1"/>
  <c r="G291" i="1"/>
  <c r="G1647" i="1"/>
  <c r="G375" i="1"/>
  <c r="G1212" i="1"/>
  <c r="G156" i="1"/>
  <c r="G1524" i="1"/>
  <c r="G799" i="1"/>
  <c r="G1491" i="1"/>
  <c r="G637" i="1"/>
  <c r="G1310" i="1"/>
  <c r="G536" i="1"/>
  <c r="G385" i="1"/>
  <c r="G216" i="1"/>
  <c r="G1259" i="1"/>
  <c r="W1364" i="1"/>
  <c r="W266" i="1"/>
  <c r="W263" i="1"/>
  <c r="W255" i="1"/>
  <c r="W268" i="1"/>
  <c r="W267" i="1"/>
  <c r="W265" i="1"/>
  <c r="W1366" i="1"/>
  <c r="W1363" i="1"/>
  <c r="W1365" i="1"/>
  <c r="W1433" i="1"/>
  <c r="W269" i="1"/>
  <c r="W511" i="1"/>
  <c r="W716" i="1"/>
  <c r="W222" i="1"/>
  <c r="W257" i="1"/>
  <c r="W1159" i="1"/>
  <c r="W1359" i="1"/>
  <c r="W539" i="1"/>
  <c r="W1361" i="1"/>
  <c r="W259" i="1"/>
  <c r="W258" i="1"/>
  <c r="W1156" i="1"/>
  <c r="W260" i="1"/>
  <c r="W262" i="1"/>
  <c r="W699" i="1"/>
  <c r="W701" i="1"/>
  <c r="W698" i="1"/>
  <c r="W697" i="1"/>
  <c r="W464" i="1"/>
  <c r="W467" i="1"/>
  <c r="W466" i="1"/>
  <c r="W463" i="1"/>
  <c r="W1679" i="1"/>
  <c r="W1669" i="1"/>
  <c r="W1670" i="1"/>
  <c r="W1672" i="1"/>
  <c r="W120" i="1"/>
  <c r="W117" i="1"/>
  <c r="W1564" i="1"/>
  <c r="W1565" i="1"/>
  <c r="W1566" i="1"/>
  <c r="W119" i="1"/>
  <c r="W118" i="1"/>
  <c r="W252" i="1"/>
  <c r="W248" i="1"/>
  <c r="W256" i="1"/>
  <c r="W253" i="1"/>
  <c r="W249" i="1"/>
  <c r="W245" i="1"/>
  <c r="W254" i="1"/>
  <c r="W250" i="1"/>
  <c r="W246" i="1"/>
  <c r="W247" i="1"/>
  <c r="W243" i="1"/>
  <c r="W261" i="1"/>
  <c r="W542" i="1"/>
  <c r="W158" i="1"/>
  <c r="W1155" i="1"/>
  <c r="W503" i="1"/>
  <c r="W500" i="1"/>
  <c r="W501" i="1"/>
  <c r="W502" i="1"/>
  <c r="W1231" i="1"/>
  <c r="W1234" i="1"/>
  <c r="W1233" i="1"/>
  <c r="W1235" i="1"/>
  <c r="W655" i="1"/>
  <c r="W652" i="1"/>
  <c r="W653" i="1"/>
  <c r="W264" i="1"/>
  <c r="W110" i="1"/>
  <c r="W1701" i="1"/>
  <c r="W1323" i="1"/>
  <c r="W1319" i="1"/>
  <c r="W1320" i="1"/>
  <c r="W1321" i="1"/>
  <c r="W540" i="1"/>
  <c r="W1615" i="1"/>
  <c r="W1616" i="1"/>
  <c r="W1612" i="1"/>
  <c r="W1614" i="1"/>
  <c r="W1613" i="1"/>
  <c r="W1686" i="1" l="1"/>
  <c r="W1687" i="1"/>
  <c r="W1685" i="1"/>
  <c r="H216" i="1"/>
  <c r="L212" i="1"/>
  <c r="P208" i="1"/>
  <c r="T204" i="1"/>
  <c r="K213" i="1"/>
  <c r="O209" i="1"/>
  <c r="S205" i="1"/>
  <c r="R206" i="1"/>
  <c r="Q207" i="1"/>
  <c r="J214" i="1"/>
  <c r="N210" i="1"/>
  <c r="V202" i="1"/>
  <c r="W202" i="1" s="1"/>
  <c r="U203" i="1"/>
  <c r="M211" i="1"/>
  <c r="I215" i="1"/>
  <c r="I1490" i="1"/>
  <c r="H1491" i="1"/>
  <c r="L1487" i="1"/>
  <c r="J1489" i="1"/>
  <c r="N1485" i="1"/>
  <c r="R1481" i="1"/>
  <c r="V1477" i="1"/>
  <c r="T1479" i="1"/>
  <c r="U1478" i="1"/>
  <c r="Q1482" i="1"/>
  <c r="S1480" i="1"/>
  <c r="P1483" i="1"/>
  <c r="K1488" i="1"/>
  <c r="O1484" i="1"/>
  <c r="M1486" i="1"/>
  <c r="H637" i="1"/>
  <c r="L633" i="1"/>
  <c r="P629" i="1"/>
  <c r="T625" i="1"/>
  <c r="K634" i="1"/>
  <c r="O630" i="1"/>
  <c r="S626" i="1"/>
  <c r="J635" i="1"/>
  <c r="N631" i="1"/>
  <c r="R627" i="1"/>
  <c r="V623" i="1"/>
  <c r="I636" i="1"/>
  <c r="M632" i="1"/>
  <c r="Q628" i="1"/>
  <c r="U624" i="1"/>
  <c r="I1523" i="1"/>
  <c r="M1519" i="1"/>
  <c r="Q1515" i="1"/>
  <c r="U1511" i="1"/>
  <c r="H1524" i="1"/>
  <c r="L1520" i="1"/>
  <c r="P1516" i="1"/>
  <c r="T1512" i="1"/>
  <c r="O1517" i="1"/>
  <c r="R1514" i="1"/>
  <c r="S1513" i="1"/>
  <c r="V1510" i="1"/>
  <c r="J1522" i="1"/>
  <c r="N1518" i="1"/>
  <c r="K1521" i="1"/>
  <c r="H1212" i="1"/>
  <c r="W1212" i="1" s="1"/>
  <c r="L1208" i="1"/>
  <c r="W1208" i="1" s="1"/>
  <c r="P1204" i="1"/>
  <c r="W1204" i="1" s="1"/>
  <c r="T1200" i="1"/>
  <c r="W1200" i="1" s="1"/>
  <c r="K1209" i="1"/>
  <c r="W1209" i="1" s="1"/>
  <c r="O1205" i="1"/>
  <c r="S1201" i="1"/>
  <c r="W1201" i="1" s="1"/>
  <c r="Q1203" i="1"/>
  <c r="W1203" i="1" s="1"/>
  <c r="V1198" i="1"/>
  <c r="W1198" i="1" s="1"/>
  <c r="M1207" i="1"/>
  <c r="W1207" i="1" s="1"/>
  <c r="R1202" i="1"/>
  <c r="W1202" i="1" s="1"/>
  <c r="I1211" i="1"/>
  <c r="W1211" i="1" s="1"/>
  <c r="U1199" i="1"/>
  <c r="J1210" i="1"/>
  <c r="W1210" i="1" s="1"/>
  <c r="N1206" i="1"/>
  <c r="W1206" i="1" s="1"/>
  <c r="I374" i="1"/>
  <c r="M370" i="1"/>
  <c r="Q366" i="1"/>
  <c r="U362" i="1"/>
  <c r="H375" i="1"/>
  <c r="L371" i="1"/>
  <c r="P367" i="1"/>
  <c r="T363" i="1"/>
  <c r="K372" i="1"/>
  <c r="O368" i="1"/>
  <c r="S364" i="1"/>
  <c r="V361" i="1"/>
  <c r="J373" i="1"/>
  <c r="R365" i="1"/>
  <c r="N369" i="1"/>
  <c r="J839" i="1"/>
  <c r="N835" i="1"/>
  <c r="M836" i="1"/>
  <c r="R831" i="1"/>
  <c r="V827" i="1"/>
  <c r="H841" i="1"/>
  <c r="K838" i="1"/>
  <c r="P833" i="1"/>
  <c r="T829" i="1"/>
  <c r="Q832" i="1"/>
  <c r="L837" i="1"/>
  <c r="O834" i="1"/>
  <c r="S830" i="1"/>
  <c r="U828" i="1"/>
  <c r="I840" i="1"/>
  <c r="I798" i="1"/>
  <c r="M794" i="1"/>
  <c r="Q790" i="1"/>
  <c r="U786" i="1"/>
  <c r="T787" i="1"/>
  <c r="K796" i="1"/>
  <c r="N793" i="1"/>
  <c r="H799" i="1"/>
  <c r="L795" i="1"/>
  <c r="S788" i="1"/>
  <c r="V785" i="1"/>
  <c r="O792" i="1"/>
  <c r="P791" i="1"/>
  <c r="R789" i="1"/>
  <c r="J797" i="1"/>
  <c r="K580" i="1"/>
  <c r="O576" i="1"/>
  <c r="S572" i="1"/>
  <c r="J581" i="1"/>
  <c r="N577" i="1"/>
  <c r="R573" i="1"/>
  <c r="V569" i="1"/>
  <c r="I582" i="1"/>
  <c r="M578" i="1"/>
  <c r="Q574" i="1"/>
  <c r="U570" i="1"/>
  <c r="H583" i="1"/>
  <c r="L579" i="1"/>
  <c r="P575" i="1"/>
  <c r="T571" i="1"/>
  <c r="J383" i="1"/>
  <c r="N379" i="1"/>
  <c r="R375" i="1"/>
  <c r="V371" i="1"/>
  <c r="I384" i="1"/>
  <c r="M380" i="1"/>
  <c r="Q376" i="1"/>
  <c r="U372" i="1"/>
  <c r="H385" i="1"/>
  <c r="L381" i="1"/>
  <c r="P377" i="1"/>
  <c r="T373" i="1"/>
  <c r="S374" i="1"/>
  <c r="O378" i="1"/>
  <c r="K382" i="1"/>
  <c r="K533" i="1"/>
  <c r="O529" i="1"/>
  <c r="S525" i="1"/>
  <c r="J534" i="1"/>
  <c r="N530" i="1"/>
  <c r="R526" i="1"/>
  <c r="V522" i="1"/>
  <c r="P528" i="1"/>
  <c r="U523" i="1"/>
  <c r="L532" i="1"/>
  <c r="Q527" i="1"/>
  <c r="H536" i="1"/>
  <c r="I535" i="1"/>
  <c r="M531" i="1"/>
  <c r="T524" i="1"/>
  <c r="J1645" i="1"/>
  <c r="W1645" i="1" s="1"/>
  <c r="N1641" i="1"/>
  <c r="W1641" i="1" s="1"/>
  <c r="R1637" i="1"/>
  <c r="W1637" i="1" s="1"/>
  <c r="I1646" i="1"/>
  <c r="W1646" i="1" s="1"/>
  <c r="M1642" i="1"/>
  <c r="W1642" i="1" s="1"/>
  <c r="Q1638" i="1"/>
  <c r="W1638" i="1" s="1"/>
  <c r="P1639" i="1"/>
  <c r="W1639" i="1" s="1"/>
  <c r="V1633" i="1"/>
  <c r="W1633" i="1" s="1"/>
  <c r="S1636" i="1"/>
  <c r="W1636" i="1" s="1"/>
  <c r="U1634" i="1"/>
  <c r="W1634" i="1" s="1"/>
  <c r="L1643" i="1"/>
  <c r="W1643" i="1" s="1"/>
  <c r="O1640" i="1"/>
  <c r="W1640" i="1" s="1"/>
  <c r="H1647" i="1"/>
  <c r="W1647" i="1" s="1"/>
  <c r="T1635" i="1"/>
  <c r="W1635" i="1" s="1"/>
  <c r="K1644" i="1"/>
  <c r="W1644" i="1" s="1"/>
  <c r="I102" i="1"/>
  <c r="M98" i="1"/>
  <c r="Q94" i="1"/>
  <c r="U90" i="1"/>
  <c r="H103" i="1"/>
  <c r="L99" i="1"/>
  <c r="P95" i="1"/>
  <c r="T91" i="1"/>
  <c r="K100" i="1"/>
  <c r="O96" i="1"/>
  <c r="S92" i="1"/>
  <c r="R93" i="1"/>
  <c r="N97" i="1"/>
  <c r="V89" i="1"/>
  <c r="J101" i="1"/>
  <c r="H94" i="1"/>
  <c r="L90" i="1"/>
  <c r="P86" i="1"/>
  <c r="W86" i="1" s="1"/>
  <c r="T82" i="1"/>
  <c r="W82" i="1" s="1"/>
  <c r="K91" i="1"/>
  <c r="O87" i="1"/>
  <c r="S83" i="1"/>
  <c r="J92" i="1"/>
  <c r="N88" i="1"/>
  <c r="R84" i="1"/>
  <c r="V80" i="1"/>
  <c r="W80" i="1" s="1"/>
  <c r="Q85" i="1"/>
  <c r="M89" i="1"/>
  <c r="U81" i="1"/>
  <c r="W81" i="1" s="1"/>
  <c r="I93" i="1"/>
  <c r="J1308" i="1"/>
  <c r="N1304" i="1"/>
  <c r="R1300" i="1"/>
  <c r="V1296" i="1"/>
  <c r="W1296" i="1" s="1"/>
  <c r="I1309" i="1"/>
  <c r="M1305" i="1"/>
  <c r="H1310" i="1"/>
  <c r="L1306" i="1"/>
  <c r="K1307" i="1"/>
  <c r="O1303" i="1"/>
  <c r="S1299" i="1"/>
  <c r="U1297" i="1"/>
  <c r="P1302" i="1"/>
  <c r="Q1301" i="1"/>
  <c r="T1298" i="1"/>
  <c r="K153" i="1"/>
  <c r="W153" i="1" s="1"/>
  <c r="O149" i="1"/>
  <c r="W149" i="1" s="1"/>
  <c r="S145" i="1"/>
  <c r="W145" i="1" s="1"/>
  <c r="J154" i="1"/>
  <c r="W154" i="1" s="1"/>
  <c r="N150" i="1"/>
  <c r="W150" i="1" s="1"/>
  <c r="R146" i="1"/>
  <c r="W146" i="1" s="1"/>
  <c r="V142" i="1"/>
  <c r="W142" i="1" s="1"/>
  <c r="I155" i="1"/>
  <c r="W155" i="1" s="1"/>
  <c r="M151" i="1"/>
  <c r="W151" i="1" s="1"/>
  <c r="Q147" i="1"/>
  <c r="W147" i="1" s="1"/>
  <c r="U143" i="1"/>
  <c r="W143" i="1" s="1"/>
  <c r="H156" i="1"/>
  <c r="W156" i="1" s="1"/>
  <c r="T144" i="1"/>
  <c r="W144" i="1" s="1"/>
  <c r="P148" i="1"/>
  <c r="L152" i="1"/>
  <c r="W152" i="1" s="1"/>
  <c r="J289" i="1"/>
  <c r="N285" i="1"/>
  <c r="R281" i="1"/>
  <c r="V277" i="1"/>
  <c r="W277" i="1" s="1"/>
  <c r="I290" i="1"/>
  <c r="M286" i="1"/>
  <c r="Q282" i="1"/>
  <c r="U278" i="1"/>
  <c r="H291" i="1"/>
  <c r="L287" i="1"/>
  <c r="P283" i="1"/>
  <c r="T279" i="1"/>
  <c r="K288" i="1"/>
  <c r="O284" i="1"/>
  <c r="S280" i="1"/>
  <c r="K72" i="1"/>
  <c r="W72" i="1" s="1"/>
  <c r="O68" i="1"/>
  <c r="W68" i="1" s="1"/>
  <c r="S64" i="1"/>
  <c r="W64" i="1" s="1"/>
  <c r="I74" i="1"/>
  <c r="W74" i="1" s="1"/>
  <c r="M70" i="1"/>
  <c r="W70" i="1" s="1"/>
  <c r="Q66" i="1"/>
  <c r="W66" i="1" s="1"/>
  <c r="U62" i="1"/>
  <c r="W62" i="1" s="1"/>
  <c r="J73" i="1"/>
  <c r="W73" i="1" s="1"/>
  <c r="R65" i="1"/>
  <c r="W65" i="1" s="1"/>
  <c r="H75" i="1"/>
  <c r="W75" i="1" s="1"/>
  <c r="P67" i="1"/>
  <c r="W67" i="1" s="1"/>
  <c r="N69" i="1"/>
  <c r="W69" i="1" s="1"/>
  <c r="V61" i="1"/>
  <c r="W61" i="1" s="1"/>
  <c r="L71" i="1"/>
  <c r="W71" i="1" s="1"/>
  <c r="T63" i="1"/>
  <c r="W63" i="1" s="1"/>
  <c r="K1256" i="1"/>
  <c r="O1252" i="1"/>
  <c r="S1248" i="1"/>
  <c r="J1257" i="1"/>
  <c r="N1253" i="1"/>
  <c r="R1249" i="1"/>
  <c r="V1245" i="1"/>
  <c r="H1259" i="1"/>
  <c r="M1254" i="1"/>
  <c r="T1247" i="1"/>
  <c r="I1258" i="1"/>
  <c r="P1251" i="1"/>
  <c r="L1255" i="1"/>
  <c r="Q1250" i="1"/>
  <c r="U1246" i="1"/>
  <c r="W1199" i="1"/>
  <c r="G104" i="1"/>
  <c r="G1492" i="1"/>
  <c r="G638" i="1"/>
  <c r="G292" i="1"/>
  <c r="G376" i="1"/>
  <c r="G584" i="1"/>
  <c r="G1260" i="1"/>
  <c r="G537" i="1"/>
  <c r="G1311" i="1"/>
  <c r="G1525" i="1"/>
  <c r="G842" i="1"/>
  <c r="G800" i="1"/>
  <c r="G217" i="1"/>
  <c r="G386" i="1"/>
  <c r="W148" i="1"/>
  <c r="W1205" i="1"/>
  <c r="W1625" i="1"/>
  <c r="W1622" i="1"/>
  <c r="W1620" i="1"/>
  <c r="W1681" i="1"/>
  <c r="W77" i="1"/>
  <c r="W78" i="1"/>
  <c r="W1631" i="1"/>
  <c r="W1629" i="1"/>
  <c r="W1623" i="1"/>
  <c r="W140" i="1"/>
  <c r="W141" i="1"/>
  <c r="W137" i="1"/>
  <c r="W138" i="1"/>
  <c r="W139" i="1"/>
  <c r="W1630" i="1"/>
  <c r="W60" i="1"/>
  <c r="W56" i="1"/>
  <c r="W59" i="1"/>
  <c r="W58" i="1"/>
  <c r="W1196" i="1"/>
  <c r="W1192" i="1"/>
  <c r="W1197" i="1"/>
  <c r="W1193" i="1"/>
  <c r="W1194" i="1"/>
  <c r="W1628" i="1"/>
  <c r="J840" i="1" l="1"/>
  <c r="N836" i="1"/>
  <c r="I841" i="1"/>
  <c r="L838" i="1"/>
  <c r="O835" i="1"/>
  <c r="Q833" i="1"/>
  <c r="U829" i="1"/>
  <c r="M837" i="1"/>
  <c r="P834" i="1"/>
  <c r="T830" i="1"/>
  <c r="K839" i="1"/>
  <c r="H842" i="1"/>
  <c r="V828" i="1"/>
  <c r="S831" i="1"/>
  <c r="R832" i="1"/>
  <c r="J290" i="1"/>
  <c r="W290" i="1" s="1"/>
  <c r="N286" i="1"/>
  <c r="W286" i="1" s="1"/>
  <c r="R282" i="1"/>
  <c r="V278" i="1"/>
  <c r="W278" i="1" s="1"/>
  <c r="I291" i="1"/>
  <c r="M287" i="1"/>
  <c r="W287" i="1" s="1"/>
  <c r="Q283" i="1"/>
  <c r="W283" i="1" s="1"/>
  <c r="U279" i="1"/>
  <c r="W279" i="1" s="1"/>
  <c r="O285" i="1"/>
  <c r="W285" i="1" s="1"/>
  <c r="T280" i="1"/>
  <c r="K289" i="1"/>
  <c r="P284" i="1"/>
  <c r="L288" i="1"/>
  <c r="W288" i="1" s="1"/>
  <c r="H292" i="1"/>
  <c r="W292" i="1" s="1"/>
  <c r="S281" i="1"/>
  <c r="W281" i="1" s="1"/>
  <c r="H638" i="1"/>
  <c r="W638" i="1" s="1"/>
  <c r="L634" i="1"/>
  <c r="W634" i="1" s="1"/>
  <c r="P630" i="1"/>
  <c r="T626" i="1"/>
  <c r="K635" i="1"/>
  <c r="W635" i="1" s="1"/>
  <c r="O631" i="1"/>
  <c r="S627" i="1"/>
  <c r="W627" i="1" s="1"/>
  <c r="U625" i="1"/>
  <c r="W625" i="1" s="1"/>
  <c r="J636" i="1"/>
  <c r="W636" i="1" s="1"/>
  <c r="Q629" i="1"/>
  <c r="W629" i="1" s="1"/>
  <c r="V624" i="1"/>
  <c r="M633" i="1"/>
  <c r="I637" i="1"/>
  <c r="W637" i="1" s="1"/>
  <c r="R628" i="1"/>
  <c r="N632" i="1"/>
  <c r="W632" i="1" s="1"/>
  <c r="J1309" i="1"/>
  <c r="N1305" i="1"/>
  <c r="I1310" i="1"/>
  <c r="V1297" i="1"/>
  <c r="S1300" i="1"/>
  <c r="L1307" i="1"/>
  <c r="H1311" i="1"/>
  <c r="O1304" i="1"/>
  <c r="P1303" i="1"/>
  <c r="Q1302" i="1"/>
  <c r="T1299" i="1"/>
  <c r="K1308" i="1"/>
  <c r="R1301" i="1"/>
  <c r="U1298" i="1"/>
  <c r="M1306" i="1"/>
  <c r="I1491" i="1"/>
  <c r="M1487" i="1"/>
  <c r="Q1483" i="1"/>
  <c r="U1479" i="1"/>
  <c r="H1492" i="1"/>
  <c r="L1488" i="1"/>
  <c r="P1484" i="1"/>
  <c r="T1480" i="1"/>
  <c r="K1489" i="1"/>
  <c r="V1478" i="1"/>
  <c r="W1478" i="1" s="1"/>
  <c r="N1486" i="1"/>
  <c r="S1481" i="1"/>
  <c r="O1485" i="1"/>
  <c r="R1482" i="1"/>
  <c r="J1490" i="1"/>
  <c r="H537" i="1"/>
  <c r="W537" i="1" s="1"/>
  <c r="L533" i="1"/>
  <c r="W533" i="1" s="1"/>
  <c r="P529" i="1"/>
  <c r="W529" i="1" s="1"/>
  <c r="T525" i="1"/>
  <c r="W525" i="1" s="1"/>
  <c r="K534" i="1"/>
  <c r="W534" i="1" s="1"/>
  <c r="O530" i="1"/>
  <c r="W530" i="1" s="1"/>
  <c r="S526" i="1"/>
  <c r="J535" i="1"/>
  <c r="W535" i="1" s="1"/>
  <c r="N531" i="1"/>
  <c r="W531" i="1" s="1"/>
  <c r="R527" i="1"/>
  <c r="W527" i="1" s="1"/>
  <c r="V523" i="1"/>
  <c r="W523" i="1" s="1"/>
  <c r="I536" i="1"/>
  <c r="W536" i="1" s="1"/>
  <c r="M532" i="1"/>
  <c r="W532" i="1" s="1"/>
  <c r="Q528" i="1"/>
  <c r="W528" i="1" s="1"/>
  <c r="U524" i="1"/>
  <c r="I103" i="1"/>
  <c r="W103" i="1" s="1"/>
  <c r="M99" i="1"/>
  <c r="W99" i="1" s="1"/>
  <c r="Q95" i="1"/>
  <c r="W95" i="1" s="1"/>
  <c r="U91" i="1"/>
  <c r="W91" i="1" s="1"/>
  <c r="H104" i="1"/>
  <c r="W104" i="1" s="1"/>
  <c r="L100" i="1"/>
  <c r="W100" i="1" s="1"/>
  <c r="P96" i="1"/>
  <c r="W96" i="1" s="1"/>
  <c r="T92" i="1"/>
  <c r="W92" i="1" s="1"/>
  <c r="K101" i="1"/>
  <c r="W101" i="1" s="1"/>
  <c r="O97" i="1"/>
  <c r="W97" i="1" s="1"/>
  <c r="S93" i="1"/>
  <c r="W93" i="1" s="1"/>
  <c r="N98" i="1"/>
  <c r="W98" i="1" s="1"/>
  <c r="J102" i="1"/>
  <c r="W102" i="1" s="1"/>
  <c r="R94" i="1"/>
  <c r="W94" i="1" s="1"/>
  <c r="V90" i="1"/>
  <c r="W90" i="1" s="1"/>
  <c r="J384" i="1"/>
  <c r="N380" i="1"/>
  <c r="R376" i="1"/>
  <c r="V372" i="1"/>
  <c r="I385" i="1"/>
  <c r="M381" i="1"/>
  <c r="Q377" i="1"/>
  <c r="U373" i="1"/>
  <c r="H386" i="1"/>
  <c r="K383" i="1"/>
  <c r="P378" i="1"/>
  <c r="S375" i="1"/>
  <c r="O379" i="1"/>
  <c r="L382" i="1"/>
  <c r="T374" i="1"/>
  <c r="H1260" i="1"/>
  <c r="L1256" i="1"/>
  <c r="P1252" i="1"/>
  <c r="T1248" i="1"/>
  <c r="K1257" i="1"/>
  <c r="O1253" i="1"/>
  <c r="S1249" i="1"/>
  <c r="J1258" i="1"/>
  <c r="N1254" i="1"/>
  <c r="R1250" i="1"/>
  <c r="V1246" i="1"/>
  <c r="I1259" i="1"/>
  <c r="M1255" i="1"/>
  <c r="Q1251" i="1"/>
  <c r="U1247" i="1"/>
  <c r="K581" i="1"/>
  <c r="O577" i="1"/>
  <c r="S573" i="1"/>
  <c r="J582" i="1"/>
  <c r="N578" i="1"/>
  <c r="R574" i="1"/>
  <c r="V570" i="1"/>
  <c r="H584" i="1"/>
  <c r="M579" i="1"/>
  <c r="T572" i="1"/>
  <c r="I583" i="1"/>
  <c r="P576" i="1"/>
  <c r="L580" i="1"/>
  <c r="U571" i="1"/>
  <c r="Q575" i="1"/>
  <c r="H800" i="1"/>
  <c r="W800" i="1" s="1"/>
  <c r="L796" i="1"/>
  <c r="W796" i="1" s="1"/>
  <c r="P792" i="1"/>
  <c r="W792" i="1" s="1"/>
  <c r="T788" i="1"/>
  <c r="O793" i="1"/>
  <c r="W793" i="1" s="1"/>
  <c r="R790" i="1"/>
  <c r="W790" i="1" s="1"/>
  <c r="I799" i="1"/>
  <c r="W799" i="1" s="1"/>
  <c r="S789" i="1"/>
  <c r="W789" i="1" s="1"/>
  <c r="V786" i="1"/>
  <c r="W786" i="1" s="1"/>
  <c r="J798" i="1"/>
  <c r="W798" i="1" s="1"/>
  <c r="Q791" i="1"/>
  <c r="W791" i="1" s="1"/>
  <c r="N794" i="1"/>
  <c r="W794" i="1" s="1"/>
  <c r="K797" i="1"/>
  <c r="W797" i="1" s="1"/>
  <c r="M795" i="1"/>
  <c r="U787" i="1"/>
  <c r="W787" i="1" s="1"/>
  <c r="J1523" i="1"/>
  <c r="N1519" i="1"/>
  <c r="R1515" i="1"/>
  <c r="V1511" i="1"/>
  <c r="W1511" i="1" s="1"/>
  <c r="I1524" i="1"/>
  <c r="M1520" i="1"/>
  <c r="Q1516" i="1"/>
  <c r="U1512" i="1"/>
  <c r="K1522" i="1"/>
  <c r="O1518" i="1"/>
  <c r="S1514" i="1"/>
  <c r="H1525" i="1"/>
  <c r="P1517" i="1"/>
  <c r="L1521" i="1"/>
  <c r="T1513" i="1"/>
  <c r="I216" i="1"/>
  <c r="M212" i="1"/>
  <c r="Q208" i="1"/>
  <c r="U204" i="1"/>
  <c r="H217" i="1"/>
  <c r="L213" i="1"/>
  <c r="J215" i="1"/>
  <c r="N211" i="1"/>
  <c r="R207" i="1"/>
  <c r="V203" i="1"/>
  <c r="S206" i="1"/>
  <c r="K214" i="1"/>
  <c r="P209" i="1"/>
  <c r="O210" i="1"/>
  <c r="T205" i="1"/>
  <c r="I375" i="1"/>
  <c r="M371" i="1"/>
  <c r="Q367" i="1"/>
  <c r="W367" i="1" s="1"/>
  <c r="U363" i="1"/>
  <c r="W363" i="1" s="1"/>
  <c r="H376" i="1"/>
  <c r="L372" i="1"/>
  <c r="P368" i="1"/>
  <c r="T364" i="1"/>
  <c r="W364" i="1" s="1"/>
  <c r="K373" i="1"/>
  <c r="N370" i="1"/>
  <c r="S365" i="1"/>
  <c r="V362" i="1"/>
  <c r="W362" i="1" s="1"/>
  <c r="J374" i="1"/>
  <c r="R366" i="1"/>
  <c r="O369" i="1"/>
  <c r="G843" i="1"/>
  <c r="G585" i="1"/>
  <c r="W633" i="1"/>
  <c r="W631" i="1"/>
  <c r="W626" i="1"/>
  <c r="G1261" i="1"/>
  <c r="W284" i="1"/>
  <c r="G218" i="1"/>
  <c r="G387" i="1"/>
  <c r="W524" i="1"/>
  <c r="G1526" i="1"/>
  <c r="G1312" i="1"/>
  <c r="G1493" i="1"/>
  <c r="W795" i="1"/>
  <c r="W788" i="1"/>
  <c r="W280" i="1"/>
  <c r="W291" i="1"/>
  <c r="W282" i="1"/>
  <c r="W289" i="1"/>
  <c r="W87" i="1"/>
  <c r="W83" i="1"/>
  <c r="W88" i="1"/>
  <c r="W89" i="1"/>
  <c r="W85" i="1"/>
  <c r="W84" i="1"/>
  <c r="W526" i="1"/>
  <c r="W521" i="1"/>
  <c r="W517" i="1"/>
  <c r="W522" i="1"/>
  <c r="W518" i="1"/>
  <c r="W520" i="1"/>
  <c r="W516" i="1"/>
  <c r="W274" i="1"/>
  <c r="W275" i="1"/>
  <c r="W271" i="1"/>
  <c r="W276" i="1"/>
  <c r="W272" i="1"/>
  <c r="W273" i="1"/>
  <c r="W360" i="1"/>
  <c r="W361" i="1"/>
  <c r="W355" i="1"/>
  <c r="W356" i="1"/>
  <c r="W358" i="1"/>
  <c r="W357" i="1"/>
  <c r="W630" i="1"/>
  <c r="W623" i="1"/>
  <c r="W619" i="1"/>
  <c r="W628" i="1"/>
  <c r="W624" i="1"/>
  <c r="W620" i="1"/>
  <c r="W621" i="1"/>
  <c r="W617" i="1"/>
  <c r="W782" i="1"/>
  <c r="W783" i="1"/>
  <c r="W784" i="1"/>
  <c r="W779" i="1"/>
  <c r="W785" i="1"/>
  <c r="W780" i="1"/>
  <c r="K840" i="1" l="1"/>
  <c r="O836" i="1"/>
  <c r="I842" i="1"/>
  <c r="L839" i="1"/>
  <c r="S832" i="1"/>
  <c r="J841" i="1"/>
  <c r="N837" i="1"/>
  <c r="Q834" i="1"/>
  <c r="U830" i="1"/>
  <c r="R833" i="1"/>
  <c r="M838" i="1"/>
  <c r="P835" i="1"/>
  <c r="V829" i="1"/>
  <c r="T831" i="1"/>
  <c r="H843" i="1"/>
  <c r="K384" i="1"/>
  <c r="W384" i="1" s="1"/>
  <c r="O380" i="1"/>
  <c r="W380" i="1" s="1"/>
  <c r="S376" i="1"/>
  <c r="J385" i="1"/>
  <c r="W385" i="1" s="1"/>
  <c r="N381" i="1"/>
  <c r="W381" i="1" s="1"/>
  <c r="R377" i="1"/>
  <c r="V373" i="1"/>
  <c r="I386" i="1"/>
  <c r="W386" i="1" s="1"/>
  <c r="M382" i="1"/>
  <c r="W382" i="1" s="1"/>
  <c r="Q378" i="1"/>
  <c r="U374" i="1"/>
  <c r="L383" i="1"/>
  <c r="W383" i="1" s="1"/>
  <c r="T375" i="1"/>
  <c r="H387" i="1"/>
  <c r="W387" i="1" s="1"/>
  <c r="P379" i="1"/>
  <c r="W379" i="1" s="1"/>
  <c r="H1261" i="1"/>
  <c r="W1261" i="1" s="1"/>
  <c r="L1257" i="1"/>
  <c r="W1257" i="1" s="1"/>
  <c r="P1253" i="1"/>
  <c r="W1253" i="1" s="1"/>
  <c r="T1249" i="1"/>
  <c r="W1249" i="1" s="1"/>
  <c r="K1258" i="1"/>
  <c r="O1254" i="1"/>
  <c r="S1250" i="1"/>
  <c r="W1250" i="1" s="1"/>
  <c r="Q1252" i="1"/>
  <c r="W1252" i="1" s="1"/>
  <c r="V1247" i="1"/>
  <c r="W1247" i="1" s="1"/>
  <c r="M1256" i="1"/>
  <c r="W1256" i="1" s="1"/>
  <c r="R1251" i="1"/>
  <c r="W1251" i="1" s="1"/>
  <c r="I1260" i="1"/>
  <c r="W1260" i="1" s="1"/>
  <c r="U1248" i="1"/>
  <c r="W1248" i="1" s="1"/>
  <c r="J1259" i="1"/>
  <c r="W1259" i="1" s="1"/>
  <c r="N1255" i="1"/>
  <c r="W1255" i="1" s="1"/>
  <c r="I217" i="1"/>
  <c r="W217" i="1" s="1"/>
  <c r="M213" i="1"/>
  <c r="W213" i="1" s="1"/>
  <c r="Q209" i="1"/>
  <c r="W209" i="1" s="1"/>
  <c r="U205" i="1"/>
  <c r="W205" i="1" s="1"/>
  <c r="H218" i="1"/>
  <c r="W218" i="1" s="1"/>
  <c r="L214" i="1"/>
  <c r="W214" i="1" s="1"/>
  <c r="P210" i="1"/>
  <c r="W210" i="1" s="1"/>
  <c r="T206" i="1"/>
  <c r="W206" i="1" s="1"/>
  <c r="J216" i="1"/>
  <c r="W216" i="1" s="1"/>
  <c r="S207" i="1"/>
  <c r="W207" i="1" s="1"/>
  <c r="R208" i="1"/>
  <c r="W208" i="1" s="1"/>
  <c r="O211" i="1"/>
  <c r="W211" i="1" s="1"/>
  <c r="N212" i="1"/>
  <c r="W212" i="1" s="1"/>
  <c r="K215" i="1"/>
  <c r="W215" i="1" s="1"/>
  <c r="V204" i="1"/>
  <c r="W204" i="1" s="1"/>
  <c r="K1309" i="1"/>
  <c r="W1309" i="1" s="1"/>
  <c r="O1305" i="1"/>
  <c r="W1305" i="1" s="1"/>
  <c r="S1301" i="1"/>
  <c r="W1301" i="1" s="1"/>
  <c r="J1310" i="1"/>
  <c r="W1310" i="1" s="1"/>
  <c r="N1306" i="1"/>
  <c r="W1306" i="1" s="1"/>
  <c r="I1311" i="1"/>
  <c r="W1311" i="1" s="1"/>
  <c r="M1307" i="1"/>
  <c r="W1307" i="1" s="1"/>
  <c r="Q1303" i="1"/>
  <c r="W1303" i="1" s="1"/>
  <c r="H1312" i="1"/>
  <c r="W1312" i="1" s="1"/>
  <c r="L1308" i="1"/>
  <c r="W1308" i="1" s="1"/>
  <c r="P1304" i="1"/>
  <c r="W1304" i="1" s="1"/>
  <c r="T1300" i="1"/>
  <c r="W1300" i="1" s="1"/>
  <c r="R1302" i="1"/>
  <c r="W1302" i="1" s="1"/>
  <c r="U1299" i="1"/>
  <c r="W1299" i="1" s="1"/>
  <c r="V1298" i="1"/>
  <c r="W1298" i="1" s="1"/>
  <c r="J1491" i="1"/>
  <c r="N1487" i="1"/>
  <c r="I1492" i="1"/>
  <c r="M1488" i="1"/>
  <c r="K1490" i="1"/>
  <c r="O1486" i="1"/>
  <c r="S1482" i="1"/>
  <c r="H1493" i="1"/>
  <c r="P1485" i="1"/>
  <c r="U1480" i="1"/>
  <c r="L1489" i="1"/>
  <c r="V1479" i="1"/>
  <c r="R1483" i="1"/>
  <c r="Q1484" i="1"/>
  <c r="T1481" i="1"/>
  <c r="I1525" i="1"/>
  <c r="H1526" i="1"/>
  <c r="J1524" i="1"/>
  <c r="N1520" i="1"/>
  <c r="R1516" i="1"/>
  <c r="V1512" i="1"/>
  <c r="M1521" i="1"/>
  <c r="Q1517" i="1"/>
  <c r="U1513" i="1"/>
  <c r="T1514" i="1"/>
  <c r="K1523" i="1"/>
  <c r="L1522" i="1"/>
  <c r="O1519" i="1"/>
  <c r="P1518" i="1"/>
  <c r="S1515" i="1"/>
  <c r="H585" i="1"/>
  <c r="L581" i="1"/>
  <c r="P577" i="1"/>
  <c r="T573" i="1"/>
  <c r="K582" i="1"/>
  <c r="O578" i="1"/>
  <c r="S574" i="1"/>
  <c r="J583" i="1"/>
  <c r="N579" i="1"/>
  <c r="R575" i="1"/>
  <c r="V571" i="1"/>
  <c r="I584" i="1"/>
  <c r="M580" i="1"/>
  <c r="Q576" i="1"/>
  <c r="U572" i="1"/>
  <c r="W1254" i="1"/>
  <c r="G586" i="1"/>
  <c r="W377" i="1"/>
  <c r="G1527" i="1"/>
  <c r="G1494" i="1"/>
  <c r="G844" i="1"/>
  <c r="W1258" i="1"/>
  <c r="W1244" i="1"/>
  <c r="W1245" i="1"/>
  <c r="W1241" i="1"/>
  <c r="W1246" i="1"/>
  <c r="W1242" i="1"/>
  <c r="W1239" i="1"/>
  <c r="W1292" i="1"/>
  <c r="W1294" i="1"/>
  <c r="W1293" i="1"/>
  <c r="W1290" i="1"/>
  <c r="W1297" i="1"/>
  <c r="W1295" i="1"/>
  <c r="W203" i="1"/>
  <c r="W199" i="1"/>
  <c r="W200" i="1"/>
  <c r="W196" i="1"/>
  <c r="W198" i="1"/>
  <c r="W201" i="1"/>
  <c r="K841" i="1" l="1"/>
  <c r="O837" i="1"/>
  <c r="H844" i="1"/>
  <c r="R834" i="1"/>
  <c r="V830" i="1"/>
  <c r="W830" i="1" s="1"/>
  <c r="I843" i="1"/>
  <c r="L840" i="1"/>
  <c r="U831" i="1"/>
  <c r="N838" i="1"/>
  <c r="J842" i="1"/>
  <c r="S833" i="1"/>
  <c r="P836" i="1"/>
  <c r="Q835" i="1"/>
  <c r="M839" i="1"/>
  <c r="T832" i="1"/>
  <c r="H586" i="1"/>
  <c r="L582" i="1"/>
  <c r="P578" i="1"/>
  <c r="T574" i="1"/>
  <c r="K583" i="1"/>
  <c r="O579" i="1"/>
  <c r="S575" i="1"/>
  <c r="Q577" i="1"/>
  <c r="V572" i="1"/>
  <c r="M581" i="1"/>
  <c r="R576" i="1"/>
  <c r="I585" i="1"/>
  <c r="U573" i="1"/>
  <c r="J584" i="1"/>
  <c r="N580" i="1"/>
  <c r="J1492" i="1"/>
  <c r="W1492" i="1" s="1"/>
  <c r="N1488" i="1"/>
  <c r="W1488" i="1" s="1"/>
  <c r="R1484" i="1"/>
  <c r="W1484" i="1" s="1"/>
  <c r="V1480" i="1"/>
  <c r="W1480" i="1" s="1"/>
  <c r="I1493" i="1"/>
  <c r="W1493" i="1" s="1"/>
  <c r="M1489" i="1"/>
  <c r="W1489" i="1" s="1"/>
  <c r="Q1485" i="1"/>
  <c r="W1485" i="1" s="1"/>
  <c r="U1481" i="1"/>
  <c r="W1481" i="1" s="1"/>
  <c r="P1486" i="1"/>
  <c r="W1486" i="1" s="1"/>
  <c r="L1490" i="1"/>
  <c r="W1490" i="1" s="1"/>
  <c r="O1487" i="1"/>
  <c r="W1487" i="1" s="1"/>
  <c r="T1482" i="1"/>
  <c r="W1482" i="1" s="1"/>
  <c r="K1491" i="1"/>
  <c r="W1491" i="1" s="1"/>
  <c r="H1494" i="1"/>
  <c r="W1494" i="1" s="1"/>
  <c r="S1483" i="1"/>
  <c r="W1483" i="1" s="1"/>
  <c r="I1526" i="1"/>
  <c r="W1526" i="1" s="1"/>
  <c r="K1524" i="1"/>
  <c r="W1524" i="1" s="1"/>
  <c r="O1520" i="1"/>
  <c r="W1520" i="1" s="1"/>
  <c r="S1516" i="1"/>
  <c r="W1516" i="1" s="1"/>
  <c r="N1521" i="1"/>
  <c r="W1521" i="1" s="1"/>
  <c r="R1517" i="1"/>
  <c r="W1517" i="1" s="1"/>
  <c r="V1513" i="1"/>
  <c r="W1513" i="1" s="1"/>
  <c r="H1527" i="1"/>
  <c r="W1527" i="1" s="1"/>
  <c r="J1525" i="1"/>
  <c r="W1525" i="1" s="1"/>
  <c r="L1523" i="1"/>
  <c r="W1523" i="1" s="1"/>
  <c r="P1519" i="1"/>
  <c r="W1519" i="1" s="1"/>
  <c r="T1515" i="1"/>
  <c r="W1515" i="1" s="1"/>
  <c r="Q1518" i="1"/>
  <c r="W1518" i="1" s="1"/>
  <c r="U1514" i="1"/>
  <c r="W1514" i="1" s="1"/>
  <c r="M1522" i="1"/>
  <c r="W1522" i="1" s="1"/>
  <c r="G587" i="1"/>
  <c r="G845" i="1"/>
  <c r="W1512" i="1"/>
  <c r="W1508" i="1"/>
  <c r="W1505" i="1"/>
  <c r="W1504" i="1"/>
  <c r="W1510" i="1"/>
  <c r="W1509" i="1"/>
  <c r="W1507" i="1"/>
  <c r="W1476" i="1"/>
  <c r="W1472" i="1"/>
  <c r="W1479" i="1"/>
  <c r="W1477" i="1"/>
  <c r="W1473" i="1"/>
  <c r="W1474" i="1"/>
  <c r="W371" i="1"/>
  <c r="W365" i="1"/>
  <c r="W366" i="1"/>
  <c r="W372" i="1"/>
  <c r="W373" i="1"/>
  <c r="W368" i="1"/>
  <c r="W378" i="1"/>
  <c r="W374" i="1"/>
  <c r="W370" i="1"/>
  <c r="W369" i="1"/>
  <c r="W375" i="1"/>
  <c r="W376" i="1"/>
  <c r="H845" i="1" l="1"/>
  <c r="L841" i="1"/>
  <c r="P837" i="1"/>
  <c r="O838" i="1"/>
  <c r="R835" i="1"/>
  <c r="T833" i="1"/>
  <c r="I844" i="1"/>
  <c r="J843" i="1"/>
  <c r="M840" i="1"/>
  <c r="V831" i="1"/>
  <c r="S834" i="1"/>
  <c r="K842" i="1"/>
  <c r="Q836" i="1"/>
  <c r="U832" i="1"/>
  <c r="N839" i="1"/>
  <c r="I586" i="1"/>
  <c r="M582" i="1"/>
  <c r="Q578" i="1"/>
  <c r="U574" i="1"/>
  <c r="H587" i="1"/>
  <c r="L583" i="1"/>
  <c r="P579" i="1"/>
  <c r="T575" i="1"/>
  <c r="K584" i="1"/>
  <c r="O580" i="1"/>
  <c r="S576" i="1"/>
  <c r="J585" i="1"/>
  <c r="N581" i="1"/>
  <c r="R577" i="1"/>
  <c r="V573" i="1"/>
  <c r="G846" i="1"/>
  <c r="G588" i="1"/>
  <c r="I587" i="1" l="1"/>
  <c r="M583" i="1"/>
  <c r="Q579" i="1"/>
  <c r="U575" i="1"/>
  <c r="H588" i="1"/>
  <c r="L584" i="1"/>
  <c r="P580" i="1"/>
  <c r="T576" i="1"/>
  <c r="J586" i="1"/>
  <c r="O581" i="1"/>
  <c r="V574" i="1"/>
  <c r="K585" i="1"/>
  <c r="R578" i="1"/>
  <c r="S577" i="1"/>
  <c r="N582" i="1"/>
  <c r="H846" i="1"/>
  <c r="W846" i="1" s="1"/>
  <c r="L842" i="1"/>
  <c r="W842" i="1" s="1"/>
  <c r="P838" i="1"/>
  <c r="W838" i="1" s="1"/>
  <c r="T834" i="1"/>
  <c r="W834" i="1" s="1"/>
  <c r="K843" i="1"/>
  <c r="W843" i="1" s="1"/>
  <c r="N840" i="1"/>
  <c r="W840" i="1" s="1"/>
  <c r="Q837" i="1"/>
  <c r="W837" i="1" s="1"/>
  <c r="O839" i="1"/>
  <c r="W839" i="1" s="1"/>
  <c r="R836" i="1"/>
  <c r="W836" i="1" s="1"/>
  <c r="V832" i="1"/>
  <c r="W832" i="1" s="1"/>
  <c r="S835" i="1"/>
  <c r="W835" i="1" s="1"/>
  <c r="U833" i="1"/>
  <c r="W833" i="1" s="1"/>
  <c r="M841" i="1"/>
  <c r="W841" i="1" s="1"/>
  <c r="I845" i="1"/>
  <c r="W845" i="1" s="1"/>
  <c r="J844" i="1"/>
  <c r="W844" i="1" s="1"/>
  <c r="G589" i="1"/>
  <c r="W828" i="1"/>
  <c r="W824" i="1"/>
  <c r="W829" i="1"/>
  <c r="W826" i="1"/>
  <c r="W822" i="1"/>
  <c r="W823" i="1"/>
  <c r="W827" i="1"/>
  <c r="W831" i="1"/>
  <c r="J587" i="1" l="1"/>
  <c r="W587" i="1" s="1"/>
  <c r="N583" i="1"/>
  <c r="W583" i="1" s="1"/>
  <c r="R579" i="1"/>
  <c r="W579" i="1" s="1"/>
  <c r="V575" i="1"/>
  <c r="I588" i="1"/>
  <c r="W588" i="1" s="1"/>
  <c r="M584" i="1"/>
  <c r="W584" i="1" s="1"/>
  <c r="Q580" i="1"/>
  <c r="W580" i="1" s="1"/>
  <c r="U576" i="1"/>
  <c r="W576" i="1" s="1"/>
  <c r="H589" i="1"/>
  <c r="W589" i="1" s="1"/>
  <c r="L585" i="1"/>
  <c r="W585" i="1" s="1"/>
  <c r="P581" i="1"/>
  <c r="W581" i="1" s="1"/>
  <c r="T577" i="1"/>
  <c r="W577" i="1" s="1"/>
  <c r="K586" i="1"/>
  <c r="W586" i="1" s="1"/>
  <c r="O582" i="1"/>
  <c r="W582" i="1" s="1"/>
  <c r="S578" i="1"/>
  <c r="W578" i="1" s="1"/>
  <c r="W575" i="1"/>
  <c r="W574" i="1"/>
  <c r="W565" i="1"/>
  <c r="W570" i="1"/>
  <c r="W566" i="1"/>
  <c r="W571" i="1"/>
  <c r="W567" i="1"/>
  <c r="W573" i="1"/>
  <c r="W572" i="1"/>
  <c r="W563" i="1"/>
  <c r="W56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<sst xmlns="http://schemas.openxmlformats.org/spreadsheetml/2006/main" count="8930" uniqueCount="5065">
  <si>
    <t>Project Management Fundamental Terms</t>
  </si>
  <si>
    <t>A Guide to the Project Management Body of Knowledge (PMBOK Guide)</t>
  </si>
  <si>
    <t>The PMI publication that defines widely accepted project management practices. The CAPM and the PMP exam are based on this book.</t>
  </si>
  <si>
    <t>Application areas</t>
  </si>
  <si>
    <t>The areas of expertise, industry, or function where a project is centered. Examples of application areas include architecture, IT, health care, and manufacturing.</t>
  </si>
  <si>
    <t>Business value</t>
  </si>
  <si>
    <t>A quantifiable return on investment. The return can be tangible, such as equipment, money, or market share. The return can also be intangible, such as brand recognition, trademarks, and reputation.</t>
  </si>
  <si>
    <t>Certified Associate in Project Management (CAPM)</t>
  </si>
  <si>
    <t>A person who has slightly less project management experience than a PMP, but who has qualified for and then passed the CAPM examination.</t>
  </si>
  <si>
    <t>Cultural and social environment</t>
  </si>
  <si>
    <t>Defines how a project affects people and how those people may affect the project. Cultural and social environments include the economic, educational, ethical, religious, demographic, and ethnic composition of the people affected by the project.</t>
  </si>
  <si>
    <t>Deliverable</t>
  </si>
  <si>
    <t>A product, service, or result created by a project. Projects can have multiple deliverables.</t>
  </si>
  <si>
    <t>General management skills</t>
  </si>
  <si>
    <t>These include the application of accounting, procurement, sales and marketing, contracting, manufacturing, logistics, strategic planning, human resource management, standards and regulations, and information technology.</t>
  </si>
  <si>
    <t>International and political environment</t>
  </si>
  <si>
    <t>The consideration of the local and international laws, languages, communication challenges, time zone differences, and other non-collocated issues that affect a project’s ability to progress.</t>
  </si>
  <si>
    <t>Interpersonal skills</t>
  </si>
  <si>
    <t>The ability to interact, lead, motivate, and manage people.</t>
  </si>
  <si>
    <t>Iron Triangle of Project Management</t>
  </si>
  <si>
    <t>A triangle with the characteristics of time, cost, and scope. Time, cost, and scope each constitute one side of the triangle; if any side of the Iron Triangle is not in balance with the other sides, the project will suffer. The Iron Triangle of Project Management is also known as the Triple Constraints of Project Management, as all projects are constrained by time, cost, and scope.</t>
  </si>
  <si>
    <t>Physical environment</t>
  </si>
  <si>
    <t>The physical structure and surroundings that affect a project’s work.</t>
  </si>
  <si>
    <t>Process groups</t>
  </si>
  <si>
    <t>A collection of related processes in project management. There are five process groups and 49 project management processes. The five process groups are Initiating, Planning, Executing, Monitoring and Controlling, and Closing.</t>
  </si>
  <si>
    <t>Program</t>
  </si>
  <si>
    <t>A collection of related projects working in unison toward a common deliverable.</t>
  </si>
  <si>
    <t>Progressive elaboration</t>
  </si>
  <si>
    <t>The process of gathering project details. This process uses deductive reasoning, logic, and a series of information-gathering techniques to identify details about a project, product, or solution.</t>
  </si>
  <si>
    <t>Project</t>
  </si>
  <si>
    <t>A temporary endeavor to create a unique product, service, or result. The end result of a project is also called a deliverable.</t>
  </si>
  <si>
    <t>Project benefits management plan</t>
  </si>
  <si>
    <t>A documented created and maintained by the project sponsor and the project manager. The project benefits management plan defines what benefits the project will create, when the benefits will be realized, and how the benefits will be measured.</t>
  </si>
  <si>
    <t>Project business case</t>
  </si>
  <si>
    <t>Created and maintained by the project sponsor and shows the financial validity of why a project is chartered and launched within the organization. Typically, the project business case is created before the launch of the project and may be used as a go/no-go decision point.</t>
  </si>
  <si>
    <t>Project environment</t>
  </si>
  <si>
    <t>The location and culture of the environment where the project work will reside. The project environment includes the social, economic, and environmental variables the project must work with or around.</t>
  </si>
  <si>
    <t>Project Management Institute (PMI)</t>
  </si>
  <si>
    <t>An organization of project management professionals from around the world, supporting and promoting the careers, values, and concerns of project managers.</t>
  </si>
  <si>
    <t>Project life cycle</t>
  </si>
  <si>
    <t>The phases that make up the project. Project life cycles are unique to the type of work being performed and are not universal to all projects.</t>
  </si>
  <si>
    <t>Project management office (PMO)</t>
  </si>
  <si>
    <t>A central office that oversees all projects within an organization or within a functional department. A PMO supports the project manager through software, training, templates, policies, communication, dispute resolution, and other services.</t>
  </si>
  <si>
    <t>Project Management Professional (PMP)</t>
  </si>
  <si>
    <t>A person who has proven project management experience and has qualified for and then passed the PMP examination.</t>
  </si>
  <si>
    <t>Project portfolio management</t>
  </si>
  <si>
    <t>The management and selection of projects that support an organization’s vision and mission. It is the balance of project priority, risk, reward, and return on investment. This is a senior management process.</t>
  </si>
  <si>
    <t>Subprojects</t>
  </si>
  <si>
    <t>A smaller project managed within a larger, parent project. Subprojects are often contracted work whose deliverable allows the larger project to progress.</t>
  </si>
  <si>
    <t>Triple Constraints of Project Management</t>
  </si>
  <si>
    <t>Also known as the Iron Triangle. This theory posits that time, cost, and scope are three constraints that every project has.</t>
  </si>
  <si>
    <t>Work performance data</t>
  </si>
  <si>
    <t>Raw data, observations, and measurements about project components. Work performance data is gathered and stored in the project management information system.</t>
  </si>
  <si>
    <t>Work performance information</t>
  </si>
  <si>
    <t>Work performance information is the processed and analyzed data that will help the project manager make project decisions.</t>
  </si>
  <si>
    <t>Work performance reports</t>
  </si>
  <si>
    <t>Work performance reports is the formatted communication of work performance information. Work performance reports communicate what’s happening in the project through status reports, memos, dashboards, or other modalities.</t>
  </si>
  <si>
    <t>Hybrid structure An organization that creates a blend of the functional, matrix, and project-oriented structures. Multidivisional structure Describe organizations that have duplication of efforts within the organization, but not within each department or division of the organization. Project manager has little authority in this structure and the functional manager controls the project budget. Organic or simple Describes a loosely organized business or organization. There likely aren’t big formal departments and people work alongside one another regardless of roles and titles. The project manager likely has little control over the project resources and may not be called a project manager. Organizational process assets Organizational process assets include organizational processes, policies, procedures, and items from a corporate knowledge base. Organizational process assets are grouped into two categories to consider: processes, policies and procedures, and organizational knowledge bases. Organizational Knowledge Repositories Organizational knowledge repositories are the databases, files, and historical information that you can use to help better plan and manage your projects. This is an organizational process asset that is created internally to your organization through the ongoing work of operations and other projects.</t>
  </si>
  <si>
    <t>Organizational System A system can create things by working with multiple components that the individual components could not create if they worked alone. The structure of the organization and the governance framework creates constraints that affect how the project manager makes decisions within the project. The organizational system directly affects how the project manager utilizes their power, influence, leadership, and even political capital, to get things done in the environment. Project management office (PMO) A business unit that centralizes the operations and procedures of all projects within the organization. The PMO can be supportive, controlling, or directive. Project-oriented structure An organization that assigns a project team to one project for the duration of the project life cycle. The project manager has high-to-almost-complete project power. Strong matrix structure An organization where organizational resources are pooled into one project team, but the functional managers have less project power than the project manager. Virtual organization Uses a network structure to communicate and interact with other groups and departments. A point of contact exists for each department and these department point of contact receive and send all messages for the department. Weak matrix structure An organization where organizational resources are pooled into one project team, but the functional managers have more project power than the project manager.</t>
  </si>
  <si>
    <t>Project Manager Role</t>
  </si>
  <si>
    <t>active listening</t>
  </si>
  <si>
    <t>The message receiver restates what’s</t>
  </si>
  <si>
    <t>been said to fully understand and confirm</t>
  </si>
  <si>
    <t>the message and it provides an</t>
  </si>
  <si>
    <t>opportunity for the sender to clarify the</t>
  </si>
  <si>
    <t>message if needed.</t>
  </si>
  <si>
    <t>active problem solving</t>
  </si>
  <si>
    <t>Active problem solving begins with</t>
  </si>
  <si>
    <t>problem definition. Problem definition is</t>
  </si>
  <si>
    <t>the ability to discern between the cause</t>
  </si>
  <si>
    <t>and effect of the problem. Root-cause</t>
  </si>
  <si>
    <t>analysis looks beyond the immediate</t>
  </si>
  <si>
    <t>symptoms to the cause of the</t>
  </si>
  <si>
    <t>symptoms—which then affords</t>
  </si>
  <si>
    <t>opportunities for solutions.</t>
  </si>
  <si>
    <t>avoiding power</t>
  </si>
  <si>
    <t>The project manager refuses to act, get</t>
  </si>
  <si>
    <t>involved, or make decisions.</t>
  </si>
  <si>
    <t>charismatic leadership</t>
  </si>
  <si>
    <t>The leader is motivating, has highenergy,</t>
  </si>
  <si>
    <t>and inspires the team through</t>
  </si>
  <si>
    <t>strong convictions about what’s possible</t>
  </si>
  <si>
    <t>and what the team can achieve. Positive</t>
  </si>
  <si>
    <t>thinking and a can-do mentality are</t>
  </si>
  <si>
    <t>characteristics of a charismatic leader.</t>
  </si>
  <si>
    <t>expert power</t>
  </si>
  <si>
    <t>The project manager has deep skills and</t>
  </si>
  <si>
    <t>experience in a discipline (for example,</t>
  </si>
  <si>
    <t>years of working in IT helps an IT project</t>
  </si>
  <si>
    <t>manager better manage IT projects).</t>
  </si>
  <si>
    <t>ingratiating power</t>
  </si>
  <si>
    <t>The project manager aims to gain favor</t>
  </si>
  <si>
    <t>with the project team and stakeholders</t>
  </si>
  <si>
    <t>through flattery.</t>
  </si>
  <si>
    <t>informational power</t>
  </si>
  <si>
    <t>The individual has power and control of</t>
  </si>
  <si>
    <t>the data gathering and distribution of</t>
  </si>
  <si>
    <t>information.</t>
  </si>
  <si>
    <t>interactional leadership The leader is a hybrid of transactional, transformational, and charismatic leaders. The interactional leader wants the team to act, is excited and inspired about the project work, yet still holds the team accountable for their results. guilt-based power The project manager can make the team and stakeholders feel guilty to gain compliance in the project. leadership Leadership is about aligning, motivating, and inspiring the project team members to do the right thing, build trust, think creatively, and to challenge the status quo. laissez-faire leadership The leader takes a “hands-off” approach to the project. This means the project team makes decisions, takes initiative in the actions, and creates goals. While this approach can provide autonomy, it can make the leader appear absent when it comes to project decisions. management Management utilizes positional power to maintain, administrate, control, and focus on getting things done without challenging the status quo of the project and organization. media selection Based on the audience and the message being sent, the media should be in alignment with the message. meeting management Meetings are forms of communication. How the meeting is led, managed, and controlled all influence the message being delivered. Agendas, minutes, and order are mandatory for effective communications within a meeting. personal or charismatic power The project manager has a warm personality that others like.</t>
  </si>
  <si>
    <t>presentation</t>
  </si>
  <si>
    <t>In formal presentations, the presenter’s</t>
  </si>
  <si>
    <t>oral and body language, visual aids, and</t>
  </si>
  <si>
    <t>handouts all influence the message being</t>
  </si>
  <si>
    <t>delivered.</t>
  </si>
  <si>
    <t>pressure-based power</t>
  </si>
  <si>
    <t>The project manager can restrict choices</t>
  </si>
  <si>
    <t>to get the project team to perform and do</t>
  </si>
  <si>
    <t>the project work.</t>
  </si>
  <si>
    <t>PMI Talent Triangle</t>
  </si>
  <si>
    <t>Defines three areas of PDUs for PMI</t>
  </si>
  <si>
    <t>certified professionals to maintain their</t>
  </si>
  <si>
    <t>certification. The PMI Talent Triangle</t>
  </si>
  <si>
    <t>includes technical project management,</t>
  </si>
  <si>
    <t>leadership, and strategic and business</t>
  </si>
  <si>
    <t>management.</t>
  </si>
  <si>
    <t>positional power</t>
  </si>
  <si>
    <t>The project manager’s power is because</t>
  </si>
  <si>
    <t>of the position she has as the project</t>
  </si>
  <si>
    <t>manager. This is also known as formal,</t>
  </si>
  <si>
    <t>authoritative, and legitimate power.</t>
  </si>
  <si>
    <t>Professional Development Units (PDUs)</t>
  </si>
  <si>
    <t>PDUs are earned after the PMP to</t>
  </si>
  <si>
    <t>maintain the PMP certification. PMPs are</t>
  </si>
  <si>
    <t>required to earn 60 PDUs per three-year</t>
  </si>
  <si>
    <t>certification cycle. Of the 60 PDUs, a</t>
  </si>
  <si>
    <t>minimum of 35 hours must come from</t>
  </si>
  <si>
    <t>educational opportunities.</t>
  </si>
  <si>
    <t>project manager</t>
  </si>
  <si>
    <t>The role of leading the project team and</t>
  </si>
  <si>
    <t>managing the project resources to</t>
  </si>
  <si>
    <t>effectively achieve the objectives of the</t>
  </si>
  <si>
    <t>project.</t>
  </si>
  <si>
    <t>punitive or coercive power</t>
  </si>
  <si>
    <t>The project manager can punish the</t>
  </si>
  <si>
    <t>project team.</t>
  </si>
  <si>
    <t>referent power</t>
  </si>
  <si>
    <t>The project manager is respected or</t>
  </si>
  <si>
    <t>admired because of the team’s past</t>
  </si>
  <si>
    <t>experiences with the project manager.</t>
  </si>
  <si>
    <t>This is about the project manager’s</t>
  </si>
  <si>
    <t>credibility in the organization.</t>
  </si>
  <si>
    <t>reward power</t>
  </si>
  <si>
    <t>The project manager can reward the</t>
  </si>
  <si>
    <t>sender-receiver models Communication requires a sender and a receiver. Within this model may be multiple avenues to complete the flow of communication, but barriers to effective communication may be present as well. servant leadership The leader puts others first and focuses on the needs of the people he serves. Servant leaders provide opportunity for growth, education, autonomy within the project, and the well-being of others. The primary focus of servant leadership is service to others. situational power The project manager has power because of certain situations in the organization. style The tone, structure, and formality of the message being sent should be in alignment with the audience and the content of the message. transactional leadership The leader emphasizes the goals of the project and rewards and disincentives for the project team. This is sometimes called management by exception as it’s the exception that is reward or punished. transformational leadership The leader inspires and motivates the project team to achieve the project goals. Transformational leaders aim to empower the project team to act, be innovative in the project work, and accomplish through ambition.</t>
  </si>
  <si>
    <t>Project Integration Management Terms</t>
  </si>
  <si>
    <t>or fold page in half. Read the term, recite</t>
  </si>
  <si>
    <t>the definition, and then look at this side of</t>
  </si>
  <si>
    <t>Assumption log</t>
  </si>
  <si>
    <t>An assumption is something that is</t>
  </si>
  <si>
    <t>believed to be true or false, but it has not</t>
  </si>
  <si>
    <t>yet been proven to be true or false.</t>
  </si>
  <si>
    <t>Assumptions that prove wrong can</t>
  </si>
  <si>
    <t>become risks for the project. All identified</t>
  </si>
  <si>
    <t>project assumptions are recorded in the</t>
  </si>
  <si>
    <t>assumption log for testing and analysis,</t>
  </si>
  <si>
    <t>and the outcomes are recorded.</t>
  </si>
  <si>
    <t>Benefit/cost ratio (BCR) models</t>
  </si>
  <si>
    <t>This is an example of a benefits</t>
  </si>
  <si>
    <t>comparison model. It examines the</t>
  </si>
  <si>
    <t>benefit-to-cost ratio.</t>
  </si>
  <si>
    <t>Change control board (CCB)</t>
  </si>
  <si>
    <t>A committee that evaluates the</t>
  </si>
  <si>
    <t>worthiness of a proposed change and</t>
  </si>
  <si>
    <t>either approves or rejects the proposed</t>
  </si>
  <si>
    <t>change.</t>
  </si>
  <si>
    <t>Change control system (CCS)</t>
  </si>
  <si>
    <t>The change control system communicates</t>
  </si>
  <si>
    <t>the process for controlling changes to the</t>
  </si>
  <si>
    <t>project deliverables. This system works</t>
  </si>
  <si>
    <t>with the configuration management</t>
  </si>
  <si>
    <t>system and seeks to control and</t>
  </si>
  <si>
    <t>document proposals to change the</t>
  </si>
  <si>
    <t>project’s product.</t>
  </si>
  <si>
    <t>Change log</t>
  </si>
  <si>
    <t>All changes that enter into a project are</t>
  </si>
  <si>
    <t>recorded in the change log. The</t>
  </si>
  <si>
    <t>characteristics of the change, such as the</t>
  </si>
  <si>
    <t>time, cost, risk, and scope details, are</t>
  </si>
  <si>
    <t>also recorded.</t>
  </si>
  <si>
    <t>Change management plan</t>
  </si>
  <si>
    <t>This plan details the project procedures</t>
  </si>
  <si>
    <t>for entertaining change requests: how</t>
  </si>
  <si>
    <t>change requests are managed,</t>
  </si>
  <si>
    <t>documented, approved, or declined.</t>
  </si>
  <si>
    <t>Closure processes</t>
  </si>
  <si>
    <t>This final process group of the project</t>
  </si>
  <si>
    <t>management life cycle is responsible for</t>
  </si>
  <si>
    <t>closing the project phase or project. This</t>
  </si>
  <si>
    <t>is where project documentation is</t>
  </si>
  <si>
    <t>archived and project contracts are also</t>
  </si>
  <si>
    <t>closed.</t>
  </si>
  <si>
    <t>Communications management plan</t>
  </si>
  <si>
    <t>This plan defines who will get what</t>
  </si>
  <si>
    <t>information, how they will receive it, and</t>
  </si>
  <si>
    <t>in what modality the communication will</t>
  </si>
  <si>
    <t>take place.</t>
  </si>
  <si>
    <t>Configuration identification</t>
  </si>
  <si>
    <t>This includes the labeling of the</t>
  </si>
  <si>
    <t>components, how changes are made to</t>
  </si>
  <si>
    <t>the product, and the accountability of the</t>
  </si>
  <si>
    <t>changes.</t>
  </si>
  <si>
    <t>Configuration management plan</t>
  </si>
  <si>
    <t>This plan is an input to the control scope</t>
  </si>
  <si>
    <t>process. It defines how changes to the</t>
  </si>
  <si>
    <t>features and functions of the project</t>
  </si>
  <si>
    <t>deliverable, the product scope, may enter</t>
  </si>
  <si>
    <t>the project.</t>
  </si>
  <si>
    <t>Configuration management system</t>
  </si>
  <si>
    <t>This system defines how stakeholders are</t>
  </si>
  <si>
    <t>allowed to submit change requests, the</t>
  </si>
  <si>
    <t>conditions for approving a change</t>
  </si>
  <si>
    <t>request, and how approved change</t>
  </si>
  <si>
    <t>requests are validated in the project</t>
  </si>
  <si>
    <t>scope. Configuration management also</t>
  </si>
  <si>
    <t>documents the characteristics and</t>
  </si>
  <si>
    <t>functions of the project’s products and</t>
  </si>
  <si>
    <t>any changes to a product’s</t>
  </si>
  <si>
    <t>characteristics.</t>
  </si>
  <si>
    <t>Configuration status accounting</t>
  </si>
  <si>
    <t>The organization of the product materials,</t>
  </si>
  <si>
    <t>details, and prior product documentation.</t>
  </si>
  <si>
    <t>Configuration verification and auditing</t>
  </si>
  <si>
    <t>The scope verification and completeness</t>
  </si>
  <si>
    <t>auditing of project or phase deliverables</t>
  </si>
  <si>
    <t>to ensure that they are in alignment with</t>
  </si>
  <si>
    <t>the project plan.</t>
  </si>
  <si>
    <t>Contract closure</t>
  </si>
  <si>
    <t>The formal verification of the contract</t>
  </si>
  <si>
    <t>completeness by the vendor and the</t>
  </si>
  <si>
    <t>performing organization.</t>
  </si>
  <si>
    <t>Cost baseline</t>
  </si>
  <si>
    <t>This is the aggregated costs of all of the</t>
  </si>
  <si>
    <t>work packages within the work</t>
  </si>
  <si>
    <t>breakdown structure (WBS).</t>
  </si>
  <si>
    <t>Cost management plan</t>
  </si>
  <si>
    <t>This plan details how the project costs</t>
  </si>
  <si>
    <t>will be planned for, estimated, budgeted,</t>
  </si>
  <si>
    <t>and then monitored and controlled.</t>
  </si>
  <si>
    <t>Explicit knowledge</t>
  </si>
  <si>
    <t>Knowledge that can be quickly and easily</t>
  </si>
  <si>
    <t>expressed through conversations,</t>
  </si>
  <si>
    <t>documentation, figures, or numbers, is</t>
  </si>
  <si>
    <t>easily communicated.</t>
  </si>
  <si>
    <t>Future value</t>
  </si>
  <si>
    <t>A benefit comparison model to determine</t>
  </si>
  <si>
    <t>a future value of money. The formula to</t>
  </si>
  <si>
    <t>calculate future value is FV = PV(1 + I)n,</t>
  </si>
  <si>
    <t>where PV is present value, I is the given</t>
  </si>
  <si>
    <t>interest rate, and n is the number of</t>
  </si>
  <si>
    <t>periods.</t>
  </si>
  <si>
    <t>Integrated change control</t>
  </si>
  <si>
    <t>A process to consider and control the</t>
  </si>
  <si>
    <t>impact of a proposed change on the</t>
  </si>
  <si>
    <t>project’s knowledge areas.</t>
  </si>
  <si>
    <t>Issue log</t>
  </si>
  <si>
    <t>Issues are points of contention where</t>
  </si>
  <si>
    <t>some question of the project’s direction</t>
  </si>
  <si>
    <t>needs to be resolved. All identified issues</t>
  </si>
  <si>
    <t>are documented in the issue log, along</t>
  </si>
  <si>
    <t>with an issue owner and a deadline to</t>
  </si>
  <si>
    <t>resolve the issue. The outcome of the</t>
  </si>
  <si>
    <t>issue is also recorded.</t>
  </si>
  <si>
    <t>Mathematical model</t>
  </si>
  <si>
    <t>A project selection method to determine</t>
  </si>
  <si>
    <t>the likelihood of success. These models</t>
  </si>
  <si>
    <t>include linear programming, nonlinear</t>
  </si>
  <si>
    <t>programming, dynamic programming,</t>
  </si>
  <si>
    <t>integer programming, and multiobjective</t>
  </si>
  <si>
    <t>programming.</t>
  </si>
  <si>
    <t>Milestone</t>
  </si>
  <si>
    <t>Milestones are significant points or</t>
  </si>
  <si>
    <t>events in the project’s progress that</t>
  </si>
  <si>
    <t>represent accomplishment in the project.</t>
  </si>
  <si>
    <t>Projects usually create milestones as the</t>
  </si>
  <si>
    <t>result of completing phases within the</t>
  </si>
  <si>
    <t>Milestone list</t>
  </si>
  <si>
    <t>This list details the project milestones and</t>
  </si>
  <si>
    <t>their attributes. It is used for several</t>
  </si>
  <si>
    <t>areas of project planning, but also helps</t>
  </si>
  <si>
    <t>determine how quickly the project may be</t>
  </si>
  <si>
    <t>achieving its objectives.</t>
  </si>
  <si>
    <t>Murder boards</t>
  </si>
  <si>
    <t>These are committees that ask every</t>
  </si>
  <si>
    <t>conceivable negative question about the</t>
  </si>
  <si>
    <t>proposed project. Their goals are to</t>
  </si>
  <si>
    <t>expose the project’s strengths and</t>
  </si>
  <si>
    <t>weaknesses, and to kill the project if it’s</t>
  </si>
  <si>
    <t>deemed unworthy for the organization to</t>
  </si>
  <si>
    <t>commit to. Also known as project steering</t>
  </si>
  <si>
    <t>committees or project selection</t>
  </si>
  <si>
    <t>committees.</t>
  </si>
  <si>
    <t>Net present value</t>
  </si>
  <si>
    <t>Evaluates the monies returned on a</t>
  </si>
  <si>
    <t>project for each period the project lasts.</t>
  </si>
  <si>
    <t>Payback period</t>
  </si>
  <si>
    <t>An estimate to predict how long it will</t>
  </si>
  <si>
    <t>take a project to pay back an organization</t>
  </si>
  <si>
    <t>for the project’s investment of capital.</t>
  </si>
  <si>
    <t>Present value</t>
  </si>
  <si>
    <t>the present value of a future amount of</t>
  </si>
  <si>
    <t>money. The formula to calculate present</t>
  </si>
  <si>
    <t>value is PV = FV ÷ (1 + i)n, where FV is</t>
  </si>
  <si>
    <t>future value, I is the given interest rate,</t>
  </si>
  <si>
    <t>and n is the number of periods.</t>
  </si>
  <si>
    <t>Procurement management plan</t>
  </si>
  <si>
    <t>The procurement management plan</t>
  </si>
  <si>
    <t>controls how the project will acquire</t>
  </si>
  <si>
    <t>goods and services.</t>
  </si>
  <si>
    <t>Project charter</t>
  </si>
  <si>
    <t>This document authorizes the project. It</t>
  </si>
  <si>
    <t>defines the initial requirements of the</t>
  </si>
  <si>
    <t>project stakeholders. The project charter</t>
  </si>
  <si>
    <t>is endorsed by an entity outside of the</t>
  </si>
  <si>
    <t>project boundaries.</t>
  </si>
  <si>
    <t>Project management plan</t>
  </si>
  <si>
    <t>The documented approach of how a</t>
  </si>
  <si>
    <t>project will be planned, executed,</t>
  </si>
  <si>
    <t>monitored and controlled, and then</t>
  </si>
  <si>
    <t>closed. This document is a collection of</t>
  </si>
  <si>
    <t>subsidiary management plans and related</t>
  </si>
  <si>
    <t>documents.</t>
  </si>
  <si>
    <t>Project scope management plan</t>
  </si>
  <si>
    <t>Defines how the project scope will be</t>
  </si>
  <si>
    <t>planned, managed, and controlled.</t>
  </si>
  <si>
    <t>Quality baseline</t>
  </si>
  <si>
    <t>Documents the quality objectives for the</t>
  </si>
  <si>
    <t>project, including the metrics for</t>
  </si>
  <si>
    <t>stakeholder acceptance of the project</t>
  </si>
  <si>
    <t>deliverable.</t>
  </si>
  <si>
    <t>Quality management plan</t>
  </si>
  <si>
    <t>This plan defines what quality means for</t>
  </si>
  <si>
    <t>the project, how the project will achieve</t>
  </si>
  <si>
    <t>quality, and how the project will map to</t>
  </si>
  <si>
    <t>organizational procedures pertaining to</t>
  </si>
  <si>
    <t>quality.</t>
  </si>
  <si>
    <t>Regression analysis</t>
  </si>
  <si>
    <t>A mathematical model to examine the</t>
  </si>
  <si>
    <t>relationship among project variables, like</t>
  </si>
  <si>
    <t>cost, time, labor, and other project</t>
  </si>
  <si>
    <t>metrics.</t>
  </si>
  <si>
    <t>Risk management plan</t>
  </si>
  <si>
    <t>Risk is an uncertain event or condition</t>
  </si>
  <si>
    <t>that may affect the project outcome. The</t>
  </si>
  <si>
    <t>risk management plan defines how the</t>
  </si>
  <si>
    <t>project will manage risk.</t>
  </si>
  <si>
    <t>Risk register</t>
  </si>
  <si>
    <t>The risk register is a centralized database</t>
  </si>
  <si>
    <t>consisting of the outcome of all the other</t>
  </si>
  <si>
    <t>risk management processes, such as the</t>
  </si>
  <si>
    <t>outcome of risk identification, qualitative</t>
  </si>
  <si>
    <t>analysis, and quantitative analysis.</t>
  </si>
  <si>
    <t>Risk response plan</t>
  </si>
  <si>
    <t>This subsidiary plan defines the risk</t>
  </si>
  <si>
    <t>responses that are to be used in the</t>
  </si>
  <si>
    <t>project for both positive and negative</t>
  </si>
  <si>
    <t>risks.</t>
  </si>
  <si>
    <t>Schedule baseline</t>
  </si>
  <si>
    <t>This is the planned start and finish of the</t>
  </si>
  <si>
    <t>project. The comparison of what was</t>
  </si>
  <si>
    <t>planned and what was experienced is the</t>
  </si>
  <si>
    <t>schedule variance.</t>
  </si>
  <si>
    <t>Schedule management plan</t>
  </si>
  <si>
    <t>Defines how the project schedule will be</t>
  </si>
  <si>
    <t>created and managed.</t>
  </si>
  <si>
    <t>Scope baseline</t>
  </si>
  <si>
    <t>The scope baseline is a combination of</t>
  </si>
  <si>
    <t>three project documents: the project</t>
  </si>
  <si>
    <t>scope statement, the work breakdown</t>
  </si>
  <si>
    <t>structure, and the WBS dictionary. The</t>
  </si>
  <si>
    <t>creation of the project deliverable will be</t>
  </si>
  <si>
    <t>measured against the scope baseline to</t>
  </si>
  <si>
    <t>show any variances from what was</t>
  </si>
  <si>
    <t>expected and what the project team has</t>
  </si>
  <si>
    <t>created.</t>
  </si>
  <si>
    <t>Scoring models</t>
  </si>
  <si>
    <t>These models use a common set of</t>
  </si>
  <si>
    <t>values for all of the projects up for</t>
  </si>
  <si>
    <t>selection. For example, values can be</t>
  </si>
  <si>
    <t>profitability, complexity, customer</t>
  </si>
  <si>
    <t>demand, and so on.</t>
  </si>
  <si>
    <t>tacit knowledge</t>
  </si>
  <si>
    <t>Knowledge that’s more difficult to express</t>
  </si>
  <si>
    <t>because it’s personal beliefs, values,</t>
  </si>
  <si>
    <t>knowledge gain from experience, and</t>
  </si>
  <si>
    <t>“know-how” when doing a task.</t>
  </si>
  <si>
    <t>Project Scope Management Terms</t>
  </si>
  <si>
    <t>8/80 Rule</t>
  </si>
  <si>
    <t>A planning heuristic for creating the</t>
  </si>
  <si>
    <t>WBS. This rule states that the work</t>
  </si>
  <si>
    <t>package in a WBS must take no more</t>
  </si>
  <si>
    <t>than 80 hours of labor to create and no</t>
  </si>
  <si>
    <t>fewer than 8 hours of labor to create.</t>
  </si>
  <si>
    <t>Active observation</t>
  </si>
  <si>
    <t>The observer interacts with the worker to</t>
  </si>
  <si>
    <t>ask questions and understand each step</t>
  </si>
  <si>
    <t>of the work being completed. In some</t>
  </si>
  <si>
    <t>instances, the observer could serve as an</t>
  </si>
  <si>
    <t>assistant in doing the work.</t>
  </si>
  <si>
    <t>Affinity diagrams</t>
  </si>
  <si>
    <t>When stakeholders create a large</t>
  </si>
  <si>
    <t>number of ideas, you can use an affinity</t>
  </si>
  <si>
    <t>diagram to cluster similar ideas together</t>
  </si>
  <si>
    <t>for further analysis.</t>
  </si>
  <si>
    <t>Alternatives generation</t>
  </si>
  <si>
    <t>A scope definition process of finding</t>
  </si>
  <si>
    <t>alternative solutions for the project</t>
  </si>
  <si>
    <t>customer while considering the</t>
  </si>
  <si>
    <t>customer’s satisfaction, the cost of the</t>
  </si>
  <si>
    <t>solution, and how the customer may use</t>
  </si>
  <si>
    <t>the product in operations.</t>
  </si>
  <si>
    <t>Autocratic</t>
  </si>
  <si>
    <t>A decision method where only one</t>
  </si>
  <si>
    <t>individual makes the decision for the</t>
  </si>
  <si>
    <t>group.</t>
  </si>
  <si>
    <t>Brainstorming</t>
  </si>
  <si>
    <t>This approach encourages participants to</t>
  </si>
  <si>
    <t>generate as many ideas as possible</t>
  </si>
  <si>
    <t>about the project requirements. No idea</t>
  </si>
  <si>
    <t>is judged or dismissed during the</t>
  </si>
  <si>
    <t>brainstorming session.</t>
  </si>
  <si>
    <t>Documented in the scope management</t>
  </si>
  <si>
    <t>plan, this system defines how changes to</t>
  </si>
  <si>
    <t>the project scope are managed and</t>
  </si>
  <si>
    <t>controlled.</t>
  </si>
  <si>
    <t>Change management plan This subsidiary plan defines how changes will be allowed and managed within the project. Code of accounts A numbering system for each item in the WBS. The PMBOK is a good example of a code of accounts, as each chapter and its subheadings follow a logical numbering scheme. For example, PMBOK 5.3.3.2 identifies an exact paragraph in the PMBOK. Configuration management plan This subsidiary plan defines how changes to the features and functions of the project deliverables will be monitored and controlled within the project. Context diagram These diagrams show the relationship between elements of an environment. For example, a context diagram would illustrate the networks, servers, workstations, and people that interact with the elements of the environment. Focus groups A moderator-led requirements collection method to elicit requirements from stakeholders. Functional analysis This is the study of the functions within a system, project, or, what’s more likely in the project scope statement, the product the project will be creating. Functional analysis studies the goals of the product, how the product will be used, and the expectations the customer has of the product once it leaves the project and moves into operations. Functional analysis may also consider the cost of the product in operations, which is known as life-cycle costing. Funding limit Most projects have a determined budget in relation to the project scope. There may be a qualifier on this budget, such as plus or minus 10 percent based on the type of cost estimate created.</t>
  </si>
  <si>
    <t>Interviews</t>
  </si>
  <si>
    <t>A requirements collection method used to</t>
  </si>
  <si>
    <t>elicit requirements from stakeholders in a</t>
  </si>
  <si>
    <t>one-on-one conversation.</t>
  </si>
  <si>
    <t>Majority</t>
  </si>
  <si>
    <t>A group decision method where more</t>
  </si>
  <si>
    <t>than 50 percent of the group must be in</t>
  </si>
  <si>
    <t>agreement.</t>
  </si>
  <si>
    <t>Mind mapping</t>
  </si>
  <si>
    <t>This approach maps ideas to show the</t>
  </si>
  <si>
    <t>relationship among requirements and the</t>
  </si>
  <si>
    <t>differences between requirements. The</t>
  </si>
  <si>
    <t>map can be reviewed to identify new</t>
  </si>
  <si>
    <t>solutions or to rank the identified</t>
  </si>
  <si>
    <t>requirements.</t>
  </si>
  <si>
    <t>Nominal group technique</t>
  </si>
  <si>
    <t>As with brainstorming, participants are</t>
  </si>
  <si>
    <t>encouraged to generate as many ideas</t>
  </si>
  <si>
    <t>as possible, but the suggested ideas are</t>
  </si>
  <si>
    <t>ranked by a voting process.</t>
  </si>
  <si>
    <t>Passive observation</t>
  </si>
  <si>
    <t>The observer records information about</t>
  </si>
  <si>
    <t>the work being completed without</t>
  </si>
  <si>
    <t>interrupting the process; sometimes</t>
  </si>
  <si>
    <t>called the invisible observer.</t>
  </si>
  <si>
    <t>Plurality</t>
  </si>
  <si>
    <t>A group-decision method where the</t>
  </si>
  <si>
    <t>largest part of the group makes the</t>
  </si>
  <si>
    <t>decision when it’s less than 50 percent of</t>
  </si>
  <si>
    <t>the total. (Consider three or four factions</t>
  </si>
  <si>
    <t>within the stakeholders.)</t>
  </si>
  <si>
    <t>Product acceptance criteria</t>
  </si>
  <si>
    <t>This project scope statement component</t>
  </si>
  <si>
    <t>works with the project requirements, but</t>
  </si>
  <si>
    <t>focuses specifically on the product and</t>
  </si>
  <si>
    <t>what the conditions and processes are</t>
  </si>
  <si>
    <t>for formal acceptance of the product.</t>
  </si>
  <si>
    <t>Product breakdown</t>
  </si>
  <si>
    <t>A scope definition technique that breaks</t>
  </si>
  <si>
    <t>down a product into a hierarchical</t>
  </si>
  <si>
    <t>structure, much like a WBS breaks down</t>
  </si>
  <si>
    <t>a project scope.</t>
  </si>
  <si>
    <t>Product scope description</t>
  </si>
  <si>
    <t>This is a narrative description of what the</t>
  </si>
  <si>
    <t>project is creating as a deliverable for the</t>
  </si>
  <si>
    <t>project customer.</t>
  </si>
  <si>
    <t>Product scope Defines the product or service that will come about as a result of completing the project. It defines the features and functions that characterize the product. Project assumptions A project assumption is a factor in the planning process that is held to be true but not proven to be true. Project boundaries A project boundary clearly states what is included with the project and what’s excluded from the project. This helps to eliminate assumptions between the project management team and the project customer. Project constraints A constraint is anything that limits the project manager’s options. Consider a predetermined budget, deadline, resources, or materials the project manager must use within the project—these are all examples of project constraints. Project objectives These are the measurable goals that determine a project’s acceptability to the project customer and the overall success of the project. Objectives often include the cost, schedule, technical requirements, and quality demands. Project requirements These are the demands set by the customer, regulations, or the performing organization that must exist for the project deliverables to be acceptable. Requirements are often prioritized in a number of ways, from “must have” to “should have” to “would like to have.” Project scope This defines all of the work, and only the required work, to complete the project objectives.</t>
  </si>
  <si>
    <t>This project management subsidiary plan</t>
  </si>
  <si>
    <t>controls how the scope will be defined,</t>
  </si>
  <si>
    <t>how the project scope statement will be</t>
  </si>
  <si>
    <t>created, how the WBS will be created,</t>
  </si>
  <si>
    <t>how scope validation will proceed, and</t>
  </si>
  <si>
    <t>how the project scope will be controlled</t>
  </si>
  <si>
    <t>throughout the project.</t>
  </si>
  <si>
    <t>Requirements documentation</t>
  </si>
  <si>
    <t>This documentation of what the</t>
  </si>
  <si>
    <t>stakeholders expected in the project</t>
  </si>
  <si>
    <t>defines all of the requirements that must</t>
  </si>
  <si>
    <t>be present for the work to be accepted by</t>
  </si>
  <si>
    <t>the stakeholders.</t>
  </si>
  <si>
    <t>Requirements management plan</t>
  </si>
  <si>
    <t>This subsidiary plan defines how</t>
  </si>
  <si>
    <t>changes to the project requirements will</t>
  </si>
  <si>
    <t>be permitted, how requirements will be</t>
  </si>
  <si>
    <t>tracked, and how changes to the</t>
  </si>
  <si>
    <t>requirements will be approved.</t>
  </si>
  <si>
    <t>Requirements traceability matrix (RTM)</t>
  </si>
  <si>
    <t>This is a table that maps the</t>
  </si>
  <si>
    <t>requirements throughout the project all</t>
  </si>
  <si>
    <t>the way to their completion.</t>
  </si>
  <si>
    <t>Schedule milestones</t>
  </si>
  <si>
    <t>The project customer may have specific</t>
  </si>
  <si>
    <t>dates when phases of the project should</t>
  </si>
  <si>
    <t>be completed. These milestones are</t>
  </si>
  <si>
    <t>often treated as project constraints.</t>
  </si>
  <si>
    <t>Scope creep</t>
  </si>
  <si>
    <t>Undocumented, unapproved changes to</t>
  </si>
  <si>
    <t>the project scope.</t>
  </si>
  <si>
    <t>Scope validation</t>
  </si>
  <si>
    <t>The formal inspection of the project</t>
  </si>
  <si>
    <t>deliverables, which leads to project</t>
  </si>
  <si>
    <t>acceptance.</t>
  </si>
  <si>
    <t>Stakeholder analysis</t>
  </si>
  <si>
    <t>A scope definition process where the</t>
  </si>
  <si>
    <t>project management team interviews the</t>
  </si>
  <si>
    <t>stakeholders and categorizes, prioritizes,</t>
  </si>
  <si>
    <t>and documents what the project</t>
  </si>
  <si>
    <t>customer wants and needs. The analysis</t>
  </si>
  <si>
    <t>is to determine, quantify, and prioritize</t>
  </si>
  <si>
    <t>the interests of the stakeholders.</t>
  </si>
  <si>
    <t>Stakeholder analysis demands</t>
  </si>
  <si>
    <t>quantification of stakeholder objectives;</t>
  </si>
  <si>
    <t>goals such as “good,” “satisfaction,” and</t>
  </si>
  <si>
    <t>“speedy” aren’t quantifiable.</t>
  </si>
  <si>
    <t>Systems analysis</t>
  </si>
  <si>
    <t>A scope definition approach that studies</t>
  </si>
  <si>
    <t>and analyzes a system, its components,</t>
  </si>
  <si>
    <t>and the relationship of the components</t>
  </si>
  <si>
    <t>within the system.</t>
  </si>
  <si>
    <t>Systems engineering</t>
  </si>
  <si>
    <t>This project scope statement creation</t>
  </si>
  <si>
    <t>process studies how a system should</t>
  </si>
  <si>
    <t>work, designs and creates a system</t>
  </si>
  <si>
    <t>model, and then enacts the working</t>
  </si>
  <si>
    <t>system based on the project’s goals and</t>
  </si>
  <si>
    <t>the customer’s expectations. Systems</t>
  </si>
  <si>
    <t>engineering aims to balance the time and</t>
  </si>
  <si>
    <t>cost of the project in relation to the scope</t>
  </si>
  <si>
    <t>of the project.</t>
  </si>
  <si>
    <t>Unanimity</t>
  </si>
  <si>
    <t>A group decision method where everyone</t>
  </si>
  <si>
    <t>must be in agreement.</t>
  </si>
  <si>
    <t>Value analysis</t>
  </si>
  <si>
    <t>As with value engineering, this approach</t>
  </si>
  <si>
    <t>examines the functions of the project’s</t>
  </si>
  <si>
    <t>product in relation to the cost of the</t>
  </si>
  <si>
    <t>features and functions. This is where, to</t>
  </si>
  <si>
    <t>some extent, the grade of the product is</t>
  </si>
  <si>
    <t>in relationship to the cost of the product.</t>
  </si>
  <si>
    <t>Value engineering</t>
  </si>
  <si>
    <t>This approach to project scope statement</t>
  </si>
  <si>
    <t>creation attempts to find the correct level</t>
  </si>
  <si>
    <t>of quality in relation to a reasonable</t>
  </si>
  <si>
    <t>budget for the project deliverable while</t>
  </si>
  <si>
    <t>still achieving an acceptable level of</t>
  </si>
  <si>
    <t>performance of the product.</t>
  </si>
  <si>
    <t>WBS dictionary</t>
  </si>
  <si>
    <t>A WBS companion document that</t>
  </si>
  <si>
    <t>defines all of the characteristics of each</t>
  </si>
  <si>
    <t>element within the WBS.</t>
  </si>
  <si>
    <t>WBS template</t>
  </si>
  <si>
    <t>A prepopulated WBS for repetitive</t>
  </si>
  <si>
    <t>projects. Previous projects’ WBSs are</t>
  </si>
  <si>
    <t>often used as templates for current</t>
  </si>
  <si>
    <t>similar projects.</t>
  </si>
  <si>
    <t>Work breakdown structure (WBS)</t>
  </si>
  <si>
    <t>A deliverables-oriented breakdown of the</t>
  </si>
  <si>
    <t>project scope.</t>
  </si>
  <si>
    <t>Work package The smallest item in the WBS.</t>
  </si>
  <si>
    <t>Status of the deliverables: the work that’s</t>
  </si>
  <si>
    <t>been started, finished, or has yet to</t>
  </si>
  <si>
    <t>begin.</t>
  </si>
  <si>
    <t>Control threshold A predetermined range of acceptable variances, such as +/–10 percent off schedule. Should the variance exceed the threshold, then project control processes and corrected actions will be enacted. Crashing A schedule compression approach that adds more resources to activities on the critical path to complete the project earlier. When crashing a project, costs are added because the associated labor and sometimes resources (such as faster equipment) cause costs to increase. Critical path The path in the project network diagram that cannot be delayed, otherwise the project completion date will be late. There can be more than one critical path. Activities in the critical path have no float. Discretionary dependencies These dependencies are the preferred order of activities. Project managers should use these relationships at their discretion and should document the logic behind the decision. Discretionary dependencies allow activities to happen in a preferred order because of best practices, conditions unique to the project work, or external events. Also known as preferential or soft logic. Early finish The earliest a project activity can finish. Used in the forward pass procedure to discover the critical path and the project float. Early start The earliest a project activity can begin. Used in the forward pass procedure to discover the critical path and the project float.</t>
  </si>
  <si>
    <t>External dependencies As the name implies, these are dependencies outside of the project’s control. Examples include the delivery of equipment from a vendor, the deliverable of another project, or the decision of a committee, lawsuit, or expected new law. Fast tracking A schedule compression method that changes the relationship of activities. With fast tracking, activities that would normally be done in sequence are allowed to be done in parallel or with some overlap. Fast tracking can be accomplished by changing the relation of activities from FS to SS or even FF or by adding lead time to downstream activities. However, fast tracking does add risk to the project. Finish-to-finish An activity relationship type that requires the current activity to be finished before its successor can finish. Finish-to-start An activity relationship type that requires the current activity to be finished before its successor can start. Fragnet A representation of a project network diagram that is often used for outsourced portions of a project, repetitive work within a project, or a subproject. Also called a subnet. Free float This is the total time a single activity can be delayed without affecting the early start of its immediately following successor activities. Hard logic Logic that describes activities that must happen in a particular order. For example, the dirt must be excavated before the foundation can be built. The foundation must be in place before the framing can begin. Also known as a mandatory dependency.</t>
  </si>
  <si>
    <t>Internal dependencies Internal relationships to the project or the organization. For example, the project team must create the software as part of the project’s deliverable before the software can be tested for quality control. Lag time Positive time that moves two or more activities further apart. Late finish The latest a project activity can finish. Used in the backward pass procedure to discover the critical path and the project float. Late start The latest a project activity can begin. Used in the backward pass procedure to discover the critical path and the project float. Lead time Negative time that allows two or more activities to overlap where ordinarily these activities would be sequential. Management reserve A percentage of the project duration to combat Parkinson’s Law. When project activities become late, their lateness is subtracted from the management reserve. Mandatory dependencies These dependencies are the natural order of activities. For example, you can’t begin building your house until your foundation is in place. These relationships are called hard logic.</t>
  </si>
  <si>
    <t>Monte Carlo analysis</t>
  </si>
  <si>
    <t>A project simulation approach named</t>
  </si>
  <si>
    <t>after the world-famous gambling district in</t>
  </si>
  <si>
    <t>Monaco. This predicts how scenarios</t>
  </si>
  <si>
    <t>may work out, given any number of</t>
  </si>
  <si>
    <t>variables. The process doesn’t actually</t>
  </si>
  <si>
    <t>churn out a specific answer, but a range</t>
  </si>
  <si>
    <t>of possible answers. When Monte Carlo</t>
  </si>
  <si>
    <t>analysis is applied to a schedule, it can</t>
  </si>
  <si>
    <t>examine, for example, the optimistic</t>
  </si>
  <si>
    <t>completion date, the pessimistic</t>
  </si>
  <si>
    <t>completion date, and the most likely</t>
  </si>
  <si>
    <t>completion date for each activity in the</t>
  </si>
  <si>
    <t>project and then predict a mean for the</t>
  </si>
  <si>
    <t>project schedule.</t>
  </si>
  <si>
    <t>Parametric estimate</t>
  </si>
  <si>
    <t>A quantitatively based duration estimate</t>
  </si>
  <si>
    <t>that uses mathematical formulas to</t>
  </si>
  <si>
    <t>predict how long an activity will take</t>
  </si>
  <si>
    <t>based on the quantities of work to be</t>
  </si>
  <si>
    <t>completed.</t>
  </si>
  <si>
    <t>Parkinson’s Law</t>
  </si>
  <si>
    <t>A theory that states: “Work expands so</t>
  </si>
  <si>
    <t>as to fill the time available for its</t>
  </si>
  <si>
    <t>completion.” It is considered with time</t>
  </si>
  <si>
    <t>estimating, because bloated or padded</t>
  </si>
  <si>
    <t>activity estimates will fill the amount of</t>
  </si>
  <si>
    <t>time allotted to the activity.</t>
  </si>
  <si>
    <t>Planning package</t>
  </si>
  <si>
    <t>A WBS entry located below a control</t>
  </si>
  <si>
    <t>account and above the work packages. A</t>
  </si>
  <si>
    <t>planning package signifies that there is</t>
  </si>
  <si>
    <t>more planning that needs to be</t>
  </si>
  <si>
    <t>completed for this specific deliverable.</t>
  </si>
  <si>
    <t>Precedence diagramming method</t>
  </si>
  <si>
    <t>A network diagram that shows activities</t>
  </si>
  <si>
    <t>in nodes and the relationship between</t>
  </si>
  <si>
    <t>each activity. Predecessors come before</t>
  </si>
  <si>
    <t>the current activity, and successors come</t>
  </si>
  <si>
    <t>after the current activity.</t>
  </si>
  <si>
    <t>Project calendars</t>
  </si>
  <si>
    <t>Calendars that identify when the project</t>
  </si>
  <si>
    <t>work will occur.</t>
  </si>
  <si>
    <t>Project float</t>
  </si>
  <si>
    <t>This is the total time the project can be</t>
  </si>
  <si>
    <t>delayed without passing the customerexpected</t>
  </si>
  <si>
    <t>completion date.</t>
  </si>
  <si>
    <t>Project network diagram</t>
  </si>
  <si>
    <t>A diagram that visualizes the flow of the</t>
  </si>
  <si>
    <t>project activities and their relationships to</t>
  </si>
  <si>
    <t>other project activities.</t>
  </si>
  <si>
    <t>Refinement</t>
  </si>
  <si>
    <t>An update to the work breakdown</t>
  </si>
  <si>
    <t>structure.</t>
  </si>
  <si>
    <t>Resource breakdown structure (RBS)</t>
  </si>
  <si>
    <t>This is a hierarchical breakdown of the</t>
  </si>
  <si>
    <t>project resources by category and</t>
  </si>
  <si>
    <t>resource type. For example, you could</t>
  </si>
  <si>
    <t>have a category of equipment, a category</t>
  </si>
  <si>
    <t>of human resources, and a category of</t>
  </si>
  <si>
    <t>materials. Within each category, you</t>
  </si>
  <si>
    <t>could identify the types of equipment your</t>
  </si>
  <si>
    <t>project will use, the types of human</t>
  </si>
  <si>
    <t>resources, and the types of materials.</t>
  </si>
  <si>
    <t>Resource calendars</t>
  </si>
  <si>
    <t>Calendars that identify when project</t>
  </si>
  <si>
    <t>resources are available for the project</t>
  </si>
  <si>
    <t>work.</t>
  </si>
  <si>
    <t>Resource-leveling heuristic</t>
  </si>
  <si>
    <t>A method to flatten the schedule when</t>
  </si>
  <si>
    <t>resources are overallocated. Resource</t>
  </si>
  <si>
    <t>leveling can be applied using different</t>
  </si>
  <si>
    <t>methods to accomplish different goals.</t>
  </si>
  <si>
    <t>One of the most common methods is to</t>
  </si>
  <si>
    <t>ensure that workers are not</t>
  </si>
  <si>
    <t>overextended on activities.</t>
  </si>
  <si>
    <t>Rolling wave planning</t>
  </si>
  <si>
    <t>The imminent work is planned in detail,</t>
  </si>
  <si>
    <t>while the work in the future is planned at</t>
  </si>
  <si>
    <t>a high level. This is a form of progressive</t>
  </si>
  <si>
    <t>elaboration.</t>
  </si>
  <si>
    <t>A subsidiary plan in the project</t>
  </si>
  <si>
    <t>management plan. It defines how the</t>
  </si>
  <si>
    <t>project schedule will be created,</t>
  </si>
  <si>
    <t>estimated, controlled, and managed.</t>
  </si>
  <si>
    <t>Soft logic</t>
  </si>
  <si>
    <t>The activities don’t necessarily have to</t>
  </si>
  <si>
    <t>happen in a specific order. For example,</t>
  </si>
  <si>
    <t>you could install the light fixtures first,</t>
  </si>
  <si>
    <t>then the carpet, and then paint the room.</t>
  </si>
  <si>
    <t>The project manager could use soft logic</t>
  </si>
  <si>
    <t>to change the order of the activities if so</t>
  </si>
  <si>
    <t>desired.</t>
  </si>
  <si>
    <t>Start-to-finish</t>
  </si>
  <si>
    <t>An activity relationship that requires an</t>
  </si>
  <si>
    <t>activity to start so that its successor can</t>
  </si>
  <si>
    <t>finish. This is the most unusual of all the</t>
  </si>
  <si>
    <t>activity relationship types.</t>
  </si>
  <si>
    <t>Start-to-start</t>
  </si>
  <si>
    <t>An activity relationship type that requires</t>
  </si>
  <si>
    <t>the current activity to start before its</t>
  </si>
  <si>
    <t>successor can start.</t>
  </si>
  <si>
    <t>Subnet</t>
  </si>
  <si>
    <t>A representation of a project network</t>
  </si>
  <si>
    <t>diagram that is often used for outsourced</t>
  </si>
  <si>
    <t>portions of projects, repetitive work within</t>
  </si>
  <si>
    <t>a project, or a subproject. Also called a</t>
  </si>
  <si>
    <t>fragnet.</t>
  </si>
  <si>
    <t>Template</t>
  </si>
  <si>
    <t>A previous project that can be adapted</t>
  </si>
  <si>
    <t>for the current project and forms that are</t>
  </si>
  <si>
    <t>pre-populated with organizational-specific</t>
  </si>
  <si>
    <t>Three-point estimate</t>
  </si>
  <si>
    <t>An estimating technique for each activity</t>
  </si>
  <si>
    <t>that requires optimistic, most likely, and</t>
  </si>
  <si>
    <t>pessimistic estimates to be created.</t>
  </si>
  <si>
    <t>Based on these three estimates, an</t>
  </si>
  <si>
    <t>average can be created to predict how</t>
  </si>
  <si>
    <t>long the activity should take.</t>
  </si>
  <si>
    <t>Total float</t>
  </si>
  <si>
    <t>This is the total time an activity can be</t>
  </si>
  <si>
    <t>delayed without delaying project</t>
  </si>
  <si>
    <t>completion.</t>
  </si>
  <si>
    <t>Work package</t>
  </si>
  <si>
    <t>The smallest item in the work breakdown</t>
  </si>
  <si>
    <t>Cost aggregation Costs are parallel to each WBS work package. The costs of each work package are aggregated to their corresponding control accounts. Each control account then is aggregated to the sum of the project costs. Cost baseline A time-lapse exposure of when the project monies are to be spent in relation to cumulative values of the work completed in the project. Cost budgeting The cost aggregation achieved by assigning specific dollar amounts for each of the scheduled activities or, more likely, for each of the work packages in the WBS. Cost budgeting applies the cost estimates over time. Cost change control system A system that examines any changes associated with scope changes, the cost of materials, and the cost of any other resources, and the associated impact on the overall project cost. Cost management plan The cost management plan dictates how cost variances will be managed. Cost of poor quality The monies spent to recover from not adhering to the expected level of quality. Examples may include rework, defect repair, loss of life or limb because safety precautions were not taken, loss of sales, and loss of customers. This is also known as the cost of nonconformance to quality. Cost of quality The monies spent to attain the expected level of quality within a project. Examples include training, testing, and safety precautions. Cost performance index (CPI) Measures the project based on its financial performance. The formula is CPI = EV/AC.</t>
  </si>
  <si>
    <t>Cost variance (CV)</t>
  </si>
  <si>
    <t>The difference of the earned value</t>
  </si>
  <si>
    <t>amount and the cumulative actual costs</t>
  </si>
  <si>
    <t>of the project. The formula is CV = EV –</t>
  </si>
  <si>
    <t>AC.</t>
  </si>
  <si>
    <t>Definitive estimate</t>
  </si>
  <si>
    <t>This estimate type is one of the most</t>
  </si>
  <si>
    <t>accurate. It’s used late in the planning</t>
  </si>
  <si>
    <t>processes and is associated with bottomup</t>
  </si>
  <si>
    <t>estimating. You need the WBS in</t>
  </si>
  <si>
    <t>order to create the definitive estimate.</t>
  </si>
  <si>
    <t>The range of variance for the estimate</t>
  </si>
  <si>
    <t>can be from –5 percent to +10 percent.</t>
  </si>
  <si>
    <t>Direct costs</t>
  </si>
  <si>
    <t>Costs are attributed directly to the project</t>
  </si>
  <si>
    <t>work and cannot be shared among</t>
  </si>
  <si>
    <t>projects (for example, airfare, hotels,</t>
  </si>
  <si>
    <t>long-distance phone charges, and so on).</t>
  </si>
  <si>
    <t>Earned value (EV)</t>
  </si>
  <si>
    <t>Earned value is the physical work</t>
  </si>
  <si>
    <t>completed to date and the authorized</t>
  </si>
  <si>
    <t>budget for that work. It is the percentage</t>
  </si>
  <si>
    <t>of the BAC that represents the actual</t>
  </si>
  <si>
    <t>work completed in the project.</t>
  </si>
  <si>
    <t>Estimate at completion (EAC)</t>
  </si>
  <si>
    <t>These forecasting formulas predict the</t>
  </si>
  <si>
    <t>likely completed costs of the project</t>
  </si>
  <si>
    <t>based on current scenarios within the</t>
  </si>
  <si>
    <t>Estimate to complete (ETC)</t>
  </si>
  <si>
    <t>An earned value management formula</t>
  </si>
  <si>
    <t>that predicts how much funding the</t>
  </si>
  <si>
    <t>project will require to be completed.</t>
  </si>
  <si>
    <t>Three variations of this formula are based</t>
  </si>
  <si>
    <t>on conditions the project may be</t>
  </si>
  <si>
    <t>experiencing.</t>
  </si>
  <si>
    <t>Fixed costs</t>
  </si>
  <si>
    <t>Costs that remain constant throughout</t>
  </si>
  <si>
    <t>the life of the project (the cost of a piece</t>
  </si>
  <si>
    <t>of rented equipment for the project, the</t>
  </si>
  <si>
    <t>cost of a consultant brought on to the</t>
  </si>
  <si>
    <t>project, and so on).</t>
  </si>
  <si>
    <t>Funding limit reconciliation</t>
  </si>
  <si>
    <t>An organization’s approach to managing</t>
  </si>
  <si>
    <t>cash flow against the project deliverables</t>
  </si>
  <si>
    <t>based on a schedule, milestone</t>
  </si>
  <si>
    <t>accomplishment, or data constraints.</t>
  </si>
  <si>
    <t>Indirect costs</t>
  </si>
  <si>
    <t>Costs that are representative of more</t>
  </si>
  <si>
    <t>than one project (for example, utilities for</t>
  </si>
  <si>
    <t>the performing organization, access to a</t>
  </si>
  <si>
    <t>training room, project management</t>
  </si>
  <si>
    <t>software license, and so on).</t>
  </si>
  <si>
    <t>Known unknown</t>
  </si>
  <si>
    <t>An event that will likely happen within the</t>
  </si>
  <si>
    <t>project, but when it will happen and to</t>
  </si>
  <si>
    <t>what degree is unknown. These events,</t>
  </si>
  <si>
    <t>such as delays, are usually risk-related.</t>
  </si>
  <si>
    <t>Learning curve</t>
  </si>
  <si>
    <t>An approach that assumes the cost per</t>
  </si>
  <si>
    <t>unit decreases the more units workers</t>
  </si>
  <si>
    <t>complete, because workers learn as they</t>
  </si>
  <si>
    <t>complete the required work.</t>
  </si>
  <si>
    <t>Oligopoly</t>
  </si>
  <si>
    <t>A market condition where the market is</t>
  </si>
  <si>
    <t>so tight that the actions of one vendor</t>
  </si>
  <si>
    <t>affect the actions of all the others.</t>
  </si>
  <si>
    <t>Opportunity cost</t>
  </si>
  <si>
    <t>The total cost of the opportunity that is</t>
  </si>
  <si>
    <t>refused to realize an opposing</t>
  </si>
  <si>
    <t>opportunity.</t>
  </si>
  <si>
    <t>Parametric estimating</t>
  </si>
  <si>
    <t>An approach using a parametric model to</t>
  </si>
  <si>
    <t>extrapolate what costs will be needed for</t>
  </si>
  <si>
    <t>a project (for example, cost per hour and</t>
  </si>
  <si>
    <t>cost per unit). It can include variables and</t>
  </si>
  <si>
    <t>points based on conditions.</t>
  </si>
  <si>
    <t>Planned value (PV)</t>
  </si>
  <si>
    <t>Planned value is the work scheduled and</t>
  </si>
  <si>
    <t>the budget authorized to accomplish that</t>
  </si>
  <si>
    <t>work. It is the percentage of the BAC that</t>
  </si>
  <si>
    <t>reflects where the project should be at</t>
  </si>
  <si>
    <t>this point in time.</t>
  </si>
  <si>
    <t>Project variance</t>
  </si>
  <si>
    <t>The final variance, which is discovered</t>
  </si>
  <si>
    <t>only at the project’s completion. The</t>
  </si>
  <si>
    <t>formula is VAR = BAC – AC.</t>
  </si>
  <si>
    <t>This is a statistical approach to predicting</t>
  </si>
  <si>
    <t>what future values may be, based on</t>
  </si>
  <si>
    <t>historical values. Regression analysis</t>
  </si>
  <si>
    <t>creates quantitative predictions based on</t>
  </si>
  <si>
    <t>variables within one value to predict</t>
  </si>
  <si>
    <t>variables in another. This form of</t>
  </si>
  <si>
    <t>estimating relies solely on pure statistical</t>
  </si>
  <si>
    <t>math to reveal relationships between</t>
  </si>
  <si>
    <t>variables and to predict future values.</t>
  </si>
  <si>
    <t>Reserve analysis</t>
  </si>
  <si>
    <t>Cost reserves are for unknown unknowns</t>
  </si>
  <si>
    <t>within a project. The management</t>
  </si>
  <si>
    <t>reserve is not part of the project cost</t>
  </si>
  <si>
    <t>baseline, but is included as part of the</t>
  </si>
  <si>
    <t>project budget.</t>
  </si>
  <si>
    <t>Rough order of magnitude</t>
  </si>
  <si>
    <t>This rough estimate is used during the</t>
  </si>
  <si>
    <t>initiating processes and in top-down</t>
  </si>
  <si>
    <t>estimates. The range of variance for the</t>
  </si>
  <si>
    <t>estimate can be from –25 percent to +75</t>
  </si>
  <si>
    <t>percent.</t>
  </si>
  <si>
    <t>Schedule performance index (SPI)</t>
  </si>
  <si>
    <t>Measures the project based on its</t>
  </si>
  <si>
    <t>schedule performance. The formula is</t>
  </si>
  <si>
    <t>SPI = EV/PV.</t>
  </si>
  <si>
    <t>Schedule variance (SV)</t>
  </si>
  <si>
    <t>The difference between the earned value</t>
  </si>
  <si>
    <t>and the planned value. The formulas is</t>
  </si>
  <si>
    <t>SV = EV – PV.</t>
  </si>
  <si>
    <t>Single source</t>
  </si>
  <si>
    <t>Many vendors can provide what your</t>
  </si>
  <si>
    <t>project needs to purchase, but you prefer</t>
  </si>
  <si>
    <t>to work with a specific vendor.</t>
  </si>
  <si>
    <t>Sole source</t>
  </si>
  <si>
    <t>Only one vendor can provide what your</t>
  </si>
  <si>
    <t>project needs to purchase. Examples</t>
  </si>
  <si>
    <t>include a specific consultant, specialized</t>
  </si>
  <si>
    <t>service, or unique type of material.</t>
  </si>
  <si>
    <t>Sunk costs</t>
  </si>
  <si>
    <t>Monies that have already been invested</t>
  </si>
  <si>
    <t>in a project.</t>
  </si>
  <si>
    <t>To-Complete Performance Index</t>
  </si>
  <si>
    <t>A formula to forecast the likelihood of a</t>
  </si>
  <si>
    <t>project to achieve its goals based on</t>
  </si>
  <si>
    <t>what’s happening in the project right now.</t>
  </si>
  <si>
    <t>There are two different flavors for the</t>
  </si>
  <si>
    <t>TCPI, depending on what you want to</t>
  </si>
  <si>
    <t>accomplish. If you want to see if your</t>
  </si>
  <si>
    <t>project can meet the budget at</t>
  </si>
  <si>
    <t>completion, you’ll use this formula: TCPI</t>
  </si>
  <si>
    <t>= (BAC – EV)/(BAC – AC). If you want to</t>
  </si>
  <si>
    <t>see if your project can meet the newly</t>
  </si>
  <si>
    <t>created estimate at completion, you’ll use</t>
  </si>
  <si>
    <t>this version of the formula: TCPI = (BAC</t>
  </si>
  <si>
    <t>– EV)/(EAC – AC).</t>
  </si>
  <si>
    <t>Variable costs</t>
  </si>
  <si>
    <t>Costs that change based on the</t>
  </si>
  <si>
    <t>conditions applied in the project (the</t>
  </si>
  <si>
    <t>number of meeting participants, the</t>
  </si>
  <si>
    <t>supply of and demand for materials, and</t>
  </si>
  <si>
    <t>so on).</t>
  </si>
  <si>
    <t>Variance</t>
  </si>
  <si>
    <t>The difference between what was</t>
  </si>
  <si>
    <t>expected and what was experienced.</t>
  </si>
  <si>
    <t>Variance at completion (VAC)</t>
  </si>
  <si>
    <t>A forecasting formula that predicts how</t>
  </si>
  <si>
    <t>much of a variance the project will likely</t>
  </si>
  <si>
    <t>have based on current conditions within</t>
  </si>
  <si>
    <t>the project. The formula is VAC = BAC –</t>
  </si>
  <si>
    <t>EAC.</t>
  </si>
  <si>
    <t>Project Quality Management Terms</t>
  </si>
  <si>
    <t>Activity network diagram</t>
  </si>
  <si>
    <t>These diagrams, such as the project network</t>
  </si>
  <si>
    <t>diagram, show the flow of the project work.</t>
  </si>
  <si>
    <t>Affinity diagram</t>
  </si>
  <si>
    <t>This diagram breaks down ideas, solutions,</t>
  </si>
  <si>
    <t>causes, and project components and groups</t>
  </si>
  <si>
    <t>them together with other similar ideas and</t>
  </si>
  <si>
    <t>components.</t>
  </si>
  <si>
    <t>Benchmarking</t>
  </si>
  <si>
    <t>Comparing any two similar entities to measure</t>
  </si>
  <si>
    <t>their performance.</t>
  </si>
  <si>
    <t>Cause-and-effect diagrams</t>
  </si>
  <si>
    <t>Diagrams that show the relationship between</t>
  </si>
  <si>
    <t>variables within a process and how those</t>
  </si>
  <si>
    <t>relationships may contribute to inadequate</t>
  </si>
  <si>
    <t>quality. The diagrams can help organize both the</t>
  </si>
  <si>
    <t>process and team opinions, as well as generate</t>
  </si>
  <si>
    <t>discussion on finding a solution to ensure quality.</t>
  </si>
  <si>
    <t>Checklist</t>
  </si>
  <si>
    <t>A simple approach to ensure that work is</t>
  </si>
  <si>
    <t>completed according to the quality policy.</t>
  </si>
  <si>
    <t>Control chart</t>
  </si>
  <si>
    <t>A quality control chart that maps the</t>
  </si>
  <si>
    <t>performance of project work over time.</t>
  </si>
  <si>
    <t>Control quality</t>
  </si>
  <si>
    <t>An inspection-driven process that measures work</t>
  </si>
  <si>
    <t>results to confirm that the project is meeting the</t>
  </si>
  <si>
    <t>relevant quality standards.</t>
  </si>
  <si>
    <t>Cost of conformance</t>
  </si>
  <si>
    <t>This is the cost associated with the monies spent</t>
  </si>
  <si>
    <t>to attain the expected level of quality. It is also</t>
  </si>
  <si>
    <t>known as the cost of quality.</t>
  </si>
  <si>
    <t>Cost of nonconformance to quality</t>
  </si>
  <si>
    <t>The cost associated with not satisfying quality</t>
  </si>
  <si>
    <t>expectations. This is also known as the cost of</t>
  </si>
  <si>
    <t>poor quality.</t>
  </si>
  <si>
    <t>Cost-benefit analysis</t>
  </si>
  <si>
    <t>A process to study the trade-offs between costs</t>
  </si>
  <si>
    <t>and the benefits realized from those costs.</t>
  </si>
  <si>
    <t>Design of experiments</t>
  </si>
  <si>
    <t>An approach that relies on statistical scenarios to</t>
  </si>
  <si>
    <t>determine what variables within a project will</t>
  </si>
  <si>
    <t>result in the best outcome.</t>
  </si>
  <si>
    <t>External QA</t>
  </si>
  <si>
    <t>Assurance provided to the external customers of</t>
  </si>
  <si>
    <t>Flowchart</t>
  </si>
  <si>
    <t>A diagram illustrating how components within a</t>
  </si>
  <si>
    <t>system are related. Flowcharts show the relation</t>
  </si>
  <si>
    <t>between components, as well as help the project</t>
  </si>
  <si>
    <t>team determine where quality issues may be</t>
  </si>
  <si>
    <t>present and, once done, plan accordingly.</t>
  </si>
  <si>
    <t>Internal QA</t>
  </si>
  <si>
    <t>Assurance provided to management and the</t>
  </si>
  <si>
    <t>ISO</t>
  </si>
  <si>
    <t>The abbreviation for the International</t>
  </si>
  <si>
    <t>Organization for Standardization. ISO is Greek for</t>
  </si>
  <si>
    <t>“equal,” while “International Organization for</t>
  </si>
  <si>
    <t>Standardization” in a different language would</t>
  </si>
  <si>
    <t>be abbreviated differently. The organization</t>
  </si>
  <si>
    <t>elected to use “ISO” for all languages.</t>
  </si>
  <si>
    <t>Matrix diagram</t>
  </si>
  <si>
    <t>A data analysis table that shows the strength</t>
  </si>
  <si>
    <t>between variables and relationships in the</t>
  </si>
  <si>
    <t>matrix.</t>
  </si>
  <si>
    <t>Pareto diagram</t>
  </si>
  <si>
    <t>A histogram that illustrates and ranks categories</t>
  </si>
  <si>
    <t>of failure within a project.</t>
  </si>
  <si>
    <t>Quality</t>
  </si>
  <si>
    <t>According to ASQ, the degree to which a set of</t>
  </si>
  <si>
    <t>inherent characteristics fulfills requirements.</t>
  </si>
  <si>
    <t>Quality assurance</t>
  </si>
  <si>
    <t>A management process that defines the quality</t>
  </si>
  <si>
    <t>system or quality policy that a project must</t>
  </si>
  <si>
    <t>adhere to. QA aims to plan quality into the</t>
  </si>
  <si>
    <t>project rather than to inspect quality into a</t>
  </si>
  <si>
    <t>This plan defines how the project team will</t>
  </si>
  <si>
    <t>implement and fulfill the quality policy of the</t>
  </si>
  <si>
    <t>Quality metrics</t>
  </si>
  <si>
    <t>The operational definitions that specify the</t>
  </si>
  <si>
    <t>measurements within a project and the expected</t>
  </si>
  <si>
    <t>targets for quality and performance.</t>
  </si>
  <si>
    <t>Quality planning</t>
  </si>
  <si>
    <t>The process of first determining which quality</t>
  </si>
  <si>
    <t>standards are relevant to your project and then</t>
  </si>
  <si>
    <t>finding out the best methods of adhering to</t>
  </si>
  <si>
    <t>those quality standards.</t>
  </si>
  <si>
    <t>Rule of Seven</t>
  </si>
  <si>
    <t>A component of a control chart that illustrates</t>
  </si>
  <si>
    <t>the results of seven measurements on one side</t>
  </si>
  <si>
    <t>of the mean, which is considered “out of control”</t>
  </si>
  <si>
    <t>in the project.</t>
  </si>
  <si>
    <t>Run chart</t>
  </si>
  <si>
    <t>A quality control tool that shows the results of</t>
  </si>
  <si>
    <t>inspection in the order in which they’ve</t>
  </si>
  <si>
    <t>occurred. The goal of a run chart is first to</t>
  </si>
  <si>
    <t>demonstrate the results of a process over time</t>
  </si>
  <si>
    <t>and then to use trend analysis to predict when</t>
  </si>
  <si>
    <t>certain trends may reemerge.</t>
  </si>
  <si>
    <t>Scatter diagram</t>
  </si>
  <si>
    <t>A quality control tool that tracks the relationship</t>
  </si>
  <si>
    <t>between two variables over time. The two</t>
  </si>
  <si>
    <t>variables are considered related the closer they</t>
  </si>
  <si>
    <t>track against a diagonal line.</t>
  </si>
  <si>
    <t>Seven basic quality tools</t>
  </si>
  <si>
    <t>These seven tools are used in quality planning</t>
  </si>
  <si>
    <t>and in quality control: cause-and-effect diagrams,</t>
  </si>
  <si>
    <t>flowcharts, check sheets, Pareto diagrams,</t>
  </si>
  <si>
    <t>histograms, control charts, and scatter diagrams.</t>
  </si>
  <si>
    <t>Statistical sampling</t>
  </si>
  <si>
    <t>A process of choosing a percentage of results at</t>
  </si>
  <si>
    <t>random. For example, a project creating a</t>
  </si>
  <si>
    <t>medical device may have 20 percent of all units</t>
  </si>
  <si>
    <t>randomly selected to check for quality.</t>
  </si>
  <si>
    <t>System or process flowcharts</t>
  </si>
  <si>
    <t>Flowcharts that illustrate the flow of a process</t>
  </si>
  <si>
    <t>through a system, such as a project change</t>
  </si>
  <si>
    <t>request through the change control system, or</t>
  </si>
  <si>
    <t>work authorization through a quality control</t>
  </si>
  <si>
    <t>process.</t>
  </si>
  <si>
    <t>Tree diagram</t>
  </si>
  <si>
    <t>Tree diagrams show the hierarchies and</t>
  </si>
  <si>
    <t>decomposition of a solution, an organization, or a</t>
  </si>
  <si>
    <t>project team. The WBS and an org chart are</t>
  </si>
  <si>
    <t>examples of tree diagrams.</t>
  </si>
  <si>
    <t>Trend analysis</t>
  </si>
  <si>
    <t>The science of using past results to predict future</t>
  </si>
  <si>
    <t>performance.</t>
  </si>
  <si>
    <t>Work performance information The results of the project work as needed. This includes technical performance measures, project status, information on what the project has created to date, corrective actions, and performance reports.</t>
  </si>
  <si>
    <t>Project Resources Management Terms</t>
  </si>
  <si>
    <t>Adjourning</t>
  </si>
  <si>
    <t>Once the project is done, either the team moves</t>
  </si>
  <si>
    <t>onto other assignments as a unit, or the project</t>
  </si>
  <si>
    <t>team is disbanded and individual team members</t>
  </si>
  <si>
    <t>go on to other work.</t>
  </si>
  <si>
    <t>Authority power</t>
  </si>
  <si>
    <t>Project management team members may have</t>
  </si>
  <si>
    <t>authority over other project team members, may</t>
  </si>
  <si>
    <t>have the ability to make decisions, and perhaps</t>
  </si>
  <si>
    <t>even sign approvals for project work and</t>
  </si>
  <si>
    <t>purchases.</t>
  </si>
  <si>
    <t>Coercive power</t>
  </si>
  <si>
    <t>The project manager has the authority to</t>
  </si>
  <si>
    <t>discipline the project team members. This is also</t>
  </si>
  <si>
    <t>known as penalty power.</t>
  </si>
  <si>
    <t>Collaborate/Problem solving</t>
  </si>
  <si>
    <t>This approach confronts the problem head-on</t>
  </si>
  <si>
    <t>and is the preferred method of conflict</t>
  </si>
  <si>
    <t>resolution. Multiple viewpoints and perspectives</t>
  </si>
  <si>
    <t>contribute to the solution.</t>
  </si>
  <si>
    <t>Collective bargaining agreement constraints</t>
  </si>
  <si>
    <t>Contracts and agreements with unions or other</t>
  </si>
  <si>
    <t>employee groups may serve as constraints on the</t>
  </si>
  <si>
    <t>Competency</t>
  </si>
  <si>
    <t>This attribute defines what talents, skills, and</t>
  </si>
  <si>
    <t>capabilities are needed to complete the project</t>
  </si>
  <si>
    <t>Compromising</t>
  </si>
  <si>
    <t>This approach requires that both parties give up</t>
  </si>
  <si>
    <t>something.</t>
  </si>
  <si>
    <t>Vroom’s Expectancy Theory</t>
  </si>
  <si>
    <t>This theory states that people will behave based</t>
  </si>
  <si>
    <t>on what they expect as a result of their behavior.</t>
  </si>
  <si>
    <t>In other words, people will work in relation to</t>
  </si>
  <si>
    <t>the expected reward.</t>
  </si>
  <si>
    <t>Expert power</t>
  </si>
  <si>
    <t>The project manager’s authority comes both</t>
  </si>
  <si>
    <t>from experience with the technology the project</t>
  </si>
  <si>
    <t>focuses on and from expertise in managing</t>
  </si>
  <si>
    <t>projects.</t>
  </si>
  <si>
    <t>Forcing power The person with the power makes the decision.</t>
  </si>
  <si>
    <t>Formal power</t>
  </si>
  <si>
    <t>The project manager has been assigned the role</t>
  </si>
  <si>
    <t>of project manager by senior management and is</t>
  </si>
  <si>
    <t>in charge of the project.</t>
  </si>
  <si>
    <t>Forming</t>
  </si>
  <si>
    <t>The project team meets and learns about their</t>
  </si>
  <si>
    <t>roles and responsibilities on the project. Little</t>
  </si>
  <si>
    <t>interaction among the project team happens in</t>
  </si>
  <si>
    <t>this stage as the team is learning about the</t>
  </si>
  <si>
    <t>project and project manager.</t>
  </si>
  <si>
    <t>Herzberg’s Theory of Motivation</t>
  </si>
  <si>
    <t>Frederick Herzberg’s theory of the motivating</t>
  </si>
  <si>
    <t>agents and hygiene agents that affect a person’s</t>
  </si>
  <si>
    <t>willingness to excel in his career.</t>
  </si>
  <si>
    <t>Hierarchical organizational chart</t>
  </si>
  <si>
    <t>A chart showing the relationship between</t>
  </si>
  <si>
    <t>superior and subordinate employees, groups,</t>
  </si>
  <si>
    <t>disciplines, and even departments.</t>
  </si>
  <si>
    <t>A logbook of the issues the project team has</t>
  </si>
  <si>
    <t>identified and dates as to when the issues must</t>
  </si>
  <si>
    <t>be resolved by. The issue log may also include</t>
  </si>
  <si>
    <t>team members or stakeholders who are</t>
  </si>
  <si>
    <t>responsible for finding a solution to the identified</t>
  </si>
  <si>
    <t>issues.</t>
  </si>
  <si>
    <t>Maslow’s Hierarchy of Needs</t>
  </si>
  <si>
    <t>Abraham Maslow’s theory of the five needs all</t>
  </si>
  <si>
    <t>humans have and work toward.</t>
  </si>
  <si>
    <t>McClelland’s Theory of Needs</t>
  </si>
  <si>
    <t>David McClelland developed this theory, which</t>
  </si>
  <si>
    <t>states our needs are acquired and developed by</t>
  </si>
  <si>
    <t>our experiences over time. All people are,</t>
  </si>
  <si>
    <t>according to this theory, driven by one of three</t>
  </si>
  <si>
    <t>needs: achievement, affiliation, or power.</t>
  </si>
  <si>
    <t>McGregor’s Theory of X and Y</t>
  </si>
  <si>
    <t>Douglas McGregor’s theory that states</t>
  </si>
  <si>
    <t>management views workers in the Y category as</t>
  </si>
  <si>
    <t>competent and self-led and workers in the X</t>
  </si>
  <si>
    <t>category as incompetent and needing to be</t>
  </si>
  <si>
    <t>micromanaged.</t>
  </si>
  <si>
    <t>Multicriteria Decision Analysis</t>
  </si>
  <si>
    <t>A method to rate potential project team</t>
  </si>
  <si>
    <t>members based on criteria such as education,</t>
  </si>
  <si>
    <t>experience, skills, knowledge, and more.</t>
  </si>
  <si>
    <t>Norming</t>
  </si>
  <si>
    <t>Project team members go about getting the</t>
  </si>
  <si>
    <t>project work, begin to rely on one another, and</t>
  </si>
  <si>
    <t>generally complete their project assignments.</t>
  </si>
  <si>
    <t>Organization chart</t>
  </si>
  <si>
    <t>Traditional chart that depicts how the</t>
  </si>
  <si>
    <t>organization is broken down by department and</t>
  </si>
  <si>
    <t>disciplines. This chart is sometimes called the</t>
  </si>
  <si>
    <t>organizational breakdown structure (OBS) and is</t>
  </si>
  <si>
    <t>arranged by departments, units, or teams.</t>
  </si>
  <si>
    <t>Ouchi’s Theory Z</t>
  </si>
  <si>
    <t>William Ouchi’s theory is based on the</t>
  </si>
  <si>
    <t>participative management style of the Japanese.</t>
  </si>
  <si>
    <t>This theory states that workers are motivated by</t>
  </si>
  <si>
    <t>a sense of commitment, opportunity, and</t>
  </si>
  <si>
    <t>advancement.</t>
  </si>
  <si>
    <t>Performing</t>
  </si>
  <si>
    <t>If a project team can reach the performing stage</t>
  </si>
  <si>
    <t>of team development, they trust one another,</t>
  </si>
  <si>
    <t>work well together, and issues and problems get</t>
  </si>
  <si>
    <t>resolved quickly and effectively.</t>
  </si>
  <si>
    <t>Political interfaces</t>
  </si>
  <si>
    <t>The hidden goals, personal agendas, and</t>
  </si>
  <si>
    <t>alliances among the project team members and</t>
  </si>
  <si>
    <t>RACI chart</t>
  </si>
  <si>
    <t>A RACI chart is a matrix chart that only uses the</t>
  </si>
  <si>
    <t>activities of responsible, accountable, consult,</t>
  </si>
  <si>
    <t>and inform.</t>
  </si>
  <si>
    <t>Referent power</t>
  </si>
  <si>
    <t>The project team personally knows the project</t>
  </si>
  <si>
    <t>manager. Referent can also mean that the</t>
  </si>
  <si>
    <t>project manager refers to the person who</t>
  </si>
  <si>
    <t>assigned him the position.</t>
  </si>
  <si>
    <t>This hierarchical chart can decompose the</t>
  </si>
  <si>
    <t>project by the type of resources used throughout</t>
  </si>
  <si>
    <t>it.</t>
  </si>
  <si>
    <t>Responsibility assignment matrix (RAM)</t>
  </si>
  <si>
    <t>A RAM chart shows the correlation between</t>
  </si>
  <si>
    <t>project team members and the work they’ve</t>
  </si>
  <si>
    <t>been assigned to complete.</t>
  </si>
  <si>
    <t>Responsibility A responsibility is the work that a role performs.</t>
  </si>
  <si>
    <t>Resource management plan</t>
  </si>
  <si>
    <t>This plan defines staff acquisition, the timetable</t>
  </si>
  <si>
    <t>for staff acquisition, the staff release plan,</t>
  </si>
  <si>
    <t>training needs for the project team, any</t>
  </si>
  <si>
    <t>organizational compliance issues, rewards and</t>
  </si>
  <si>
    <t>recognitions, and safety concerns for the project team doing the project work. Reward The project manager has the authority to reward the project team. Role This denotes what a person is specifically responsible for in a project. Roles are usually tied to job titles, such as network engineer, mechanical engineer, and electrician. Smoothing This approach smooths out the conflict by minimizing the perceived size of the problem. It is a temporary solution, but can calm team relations and boisterous discussions. Storming The project team struggles for project positions, leadership, and project direction. The project team can become hostile toward the project leader, challenge ideas, and try to establish and claim positions about the project work. The amount of debate and fury can vary depending on if the project team is willing to work together, the nature of the project, and the control of the project manager. Technical interfaces The project team identifies the disciplines and specialties that the project will require to complete the project scope statement. The technical interfaces are the resources that will be doing the project work. Withdrawal This conflict resolution method sees one side of the argument walking away from the problem, usually in disgust.</t>
  </si>
  <si>
    <t>Project Communications Management Terms</t>
  </si>
  <si>
    <t>Acknowledgment</t>
  </si>
  <si>
    <t>The receiver signals that the message has been</t>
  </si>
  <si>
    <t>received. An acknowledgment shows receipt of</t>
  </si>
  <si>
    <t>the message, but not necessarily agreement with</t>
  </si>
  <si>
    <t>the message.</t>
  </si>
  <si>
    <t>Active listening</t>
  </si>
  <si>
    <t>The receiver confirms that the message is being</t>
  </si>
  <si>
    <t>received through feedback, questions, prompts</t>
  </si>
  <si>
    <t>for clarity, and other signs of confirmation.</t>
  </si>
  <si>
    <t>Choice of media</t>
  </si>
  <si>
    <t>The best modality to use when communicating</t>
  </si>
  <si>
    <t>that is relevant to the information being</t>
  </si>
  <si>
    <t>communicated.</t>
  </si>
  <si>
    <t>Communication assumptions</t>
  </si>
  <si>
    <t>Anything that the project management team</t>
  </si>
  <si>
    <t>believes to be true but hasn’t proven to be true.</t>
  </si>
  <si>
    <t>For example, the project management team may</t>
  </si>
  <si>
    <t>assume that all of the project team can be</t>
  </si>
  <si>
    <t>reached via cell phone, but parts of the world, as</t>
  </si>
  <si>
    <t>of this writing, don’t have a cell signal.</t>
  </si>
  <si>
    <t>Communication barrier</t>
  </si>
  <si>
    <t>Anything that prohibits communication from</t>
  </si>
  <si>
    <t>occurring.</t>
  </si>
  <si>
    <t>Communication channels formula</t>
  </si>
  <si>
    <t>N(N – 1)/2, where N represents the number of</t>
  </si>
  <si>
    <t>identified stakeholders. This formula reveals the</t>
  </si>
  <si>
    <t>total number of communication channels within</t>
  </si>
  <si>
    <t>a project.</t>
  </si>
  <si>
    <t>Communication constraints</t>
  </si>
  <si>
    <t>Anything that limits the project management</t>
  </si>
  <si>
    <t>team’s options. When it comes to</t>
  </si>
  <si>
    <t>communication constraints, geographical locales,</t>
  </si>
  <si>
    <t>incompatible communications software, and</t>
  </si>
  <si>
    <t>even limited communications technology can</t>
  </si>
  <si>
    <t>constrain the project team.</t>
  </si>
  <si>
    <t>A project management subsidiary plan that</t>
  </si>
  <si>
    <t>defines the stakeholders who need specific</t>
  </si>
  <si>
    <t>information, the person who will supply the</t>
  </si>
  <si>
    <t>information, the schedule for the information to</t>
  </si>
  <si>
    <t>be supplied, and the approved modality to</t>
  </si>
  <si>
    <t>provide the information.</t>
  </si>
  <si>
    <t>Decoder</t>
  </si>
  <si>
    <t>The device that decodes a message as it is being</t>
  </si>
  <si>
    <t>received.</t>
  </si>
  <si>
    <t>Effective listening</t>
  </si>
  <si>
    <t>The receiver is involved in the listening</t>
  </si>
  <si>
    <t>experience by paying attention to visual cues</t>
  </si>
  <si>
    <t>from the speaker and paralingual characteristics,</t>
  </si>
  <si>
    <t>and by asking relevant questions.</t>
  </si>
  <si>
    <t>Encoder The device that encodes the message being sent.</t>
  </si>
  <si>
    <t>Feedback</t>
  </si>
  <si>
    <t>The sender confirms that the receiver</t>
  </si>
  <si>
    <t>understands the message by directly asking for a</t>
  </si>
  <si>
    <t>response, questions for clarification, or other</t>
  </si>
  <si>
    <t>confirmation.</t>
  </si>
  <si>
    <t>Influence/impact grid</t>
  </si>
  <si>
    <t>Stakeholders are mapped on a grid based on</t>
  </si>
  <si>
    <t>their influence over the project in relation to</t>
  </si>
  <si>
    <t>their influence over the project execution.</t>
  </si>
  <si>
    <t>Information presentation tools</t>
  </si>
  <si>
    <t>A software package that allows the project</t>
  </si>
  <si>
    <t>management team to present the project’s</t>
  </si>
  <si>
    <t>health through graphics, spreadsheets, and text.</t>
  </si>
  <si>
    <t>(Think of Microsoft Project.)</t>
  </si>
  <si>
    <t>Information retrieval system</t>
  </si>
  <si>
    <t>A system to quickly and effectively store, archive,</t>
  </si>
  <si>
    <t>and access project information.</t>
  </si>
  <si>
    <t>Interactive communication</t>
  </si>
  <si>
    <t>This is the most common and most effective</t>
  </si>
  <si>
    <t>approach to communication. It’s where two or</t>
  </si>
  <si>
    <t>more people exchange information. Consider</t>
  </si>
  <si>
    <t>status meetings, ad-hoc meetings, phone calls,</t>
  </si>
  <si>
    <t>and videoconferences.</t>
  </si>
  <si>
    <t>Lessons learned</t>
  </si>
  <si>
    <t>This is documentation of what did and did not</t>
  </si>
  <si>
    <t>work in the project implementation. Lessons</t>
  </si>
  <si>
    <t>learned documentation is created throughout</t>
  </si>
  <si>
    <t>the project by the entire project team. When</t>
  </si>
  <si>
    <t>lessons learned sessions are completed, they’re</t>
  </si>
  <si>
    <t>available to be used and applied by the entire</t>
  </si>
  <si>
    <t>organization. They are now part of the</t>
  </si>
  <si>
    <t>organizational process assets.</t>
  </si>
  <si>
    <t>Medium</t>
  </si>
  <si>
    <t>The device or technology that transports a</t>
  </si>
  <si>
    <t>message.</t>
  </si>
  <si>
    <t>Noise</t>
  </si>
  <si>
    <t>Anything that interferes with or disrupts a</t>
  </si>
  <si>
    <t>Nonverbal</t>
  </si>
  <si>
    <t>Facial expressions, hand gestures, and body</t>
  </si>
  <si>
    <t>language are nonverbal cues that contribute to a</t>
  </si>
  <si>
    <t>message. Approximately 55 percent of</t>
  </si>
  <si>
    <t>communication is nonverbal.</t>
  </si>
  <si>
    <t>Paralingual</t>
  </si>
  <si>
    <t>The pitch, tone, and inflections in the sender’s</t>
  </si>
  <si>
    <t>voice affecting the message being sent.</t>
  </si>
  <si>
    <t>Performance report</t>
  </si>
  <si>
    <t>A report that depicts how well a project is</t>
  </si>
  <si>
    <t>performing. Often, the performance report is</t>
  </si>
  <si>
    <t>based on earned value management and may</t>
  </si>
  <si>
    <t>include cost or schedule variance reports.</t>
  </si>
  <si>
    <t>Project presentations</t>
  </si>
  <si>
    <t>Presentations are useful in providing information</t>
  </si>
  <si>
    <t>to customers, management, the project team,</t>
  </si>
  <si>
    <t>and other stakeholders.</t>
  </si>
  <si>
    <t>Project records</t>
  </si>
  <si>
    <t>All the business of the project communications is</t>
  </si>
  <si>
    <t>also part of the organizational process assets.</t>
  </si>
  <si>
    <t>This includes e-mails, memos, letters, and faxes.</t>
  </si>
  <si>
    <t>Project reports</t>
  </si>
  <si>
    <t>Reports are formal communications on project</t>
  </si>
  <si>
    <t>activities, their status, and conditions.</t>
  </si>
  <si>
    <t>Pull communication</t>
  </si>
  <si>
    <t>This approach pulls the information from a</t>
  </si>
  <si>
    <t>central repository, like a database of information.</t>
  </si>
  <si>
    <t>Pull communications are good for large groups of</t>
  </si>
  <si>
    <t>stakeholders who want to access project</t>
  </si>
  <si>
    <t>information at their discretion. Consider a project</t>
  </si>
  <si>
    <t>web site where stakeholders can periodically</t>
  </si>
  <si>
    <t>drop by for a quick update on the project status.</t>
  </si>
  <si>
    <t>Push communication</t>
  </si>
  <si>
    <t>This approach pushes the information from the</t>
  </si>
  <si>
    <t>sender to the receiver without any real</t>
  </si>
  <si>
    <t>acknowledgment that the information was really</t>
  </si>
  <si>
    <t>received or understood. Consider letters, faxes,</t>
  </si>
  <si>
    <t>voicemail messages, e-mails, and other</t>
  </si>
  <si>
    <t>communications modalities that the sender</t>
  </si>
  <si>
    <t>packages and sends to receivers through some</t>
  </si>
  <si>
    <t>intermediary network.</t>
  </si>
  <si>
    <t>Receiver The person who receives the message.</t>
  </si>
  <si>
    <t>Sender The person who is sending the message. Sender–receiver models Feedback loops and barriers to communications. Stakeholder notifications Notices to the stakeholders about resolved issues, approved changes, and the overall health of the project. Status review meeting A regularly scheduled meeting to discuss the status of the project and its progress toward completing the project scope statement. Time reporting system A system to record the actual time to complete project activities.</t>
  </si>
  <si>
    <t>Project Risk Management Terms</t>
  </si>
  <si>
    <t>Acceptance</t>
  </si>
  <si>
    <t>A risk response appropriate for both positive and</t>
  </si>
  <si>
    <t>negative risks, but often used for smaller risks</t>
  </si>
  <si>
    <t>within a project.</t>
  </si>
  <si>
    <t>Ambiguity risks</t>
  </si>
  <si>
    <t>Risks that have an uncertain, unclear nature, such</t>
  </si>
  <si>
    <t>as new laws or regulations, the marketplace</t>
  </si>
  <si>
    <t>conditions, and other risks that are nearly</t>
  </si>
  <si>
    <t>impossible to predict.</t>
  </si>
  <si>
    <t>Avoidance A risk response to avoid the risk.</t>
  </si>
  <si>
    <t>The most common approach to risk</t>
  </si>
  <si>
    <t>identification; usually completed by a project</t>
  </si>
  <si>
    <t>team with subject matter experts to identify the</t>
  </si>
  <si>
    <t>risks within the project.</t>
  </si>
  <si>
    <t>Business risks</t>
  </si>
  <si>
    <t>These risks may have negative or positive</t>
  </si>
  <si>
    <t>outcomes. Examples include using a less</t>
  </si>
  <si>
    <t>experienced worker to complete a task, allowing</t>
  </si>
  <si>
    <t>phases or activities to overlap, or forgoing the</t>
  </si>
  <si>
    <t>expense of formal training for on-the-job</t>
  </si>
  <si>
    <t>education.</t>
  </si>
  <si>
    <t>Cardinal scales</t>
  </si>
  <si>
    <t>A ranking approach to identify the probability</t>
  </si>
  <si>
    <t>and impact by using a numerical value, from .01</t>
  </si>
  <si>
    <t>(very low) to 1.0 (certain).</t>
  </si>
  <si>
    <t>Checklists</t>
  </si>
  <si>
    <t>A quick and cost-effective risk identification</t>
  </si>
  <si>
    <t>approach.</t>
  </si>
  <si>
    <t>Data precision</t>
  </si>
  <si>
    <t>The consideration of the risk ranking scores that</t>
  </si>
  <si>
    <t>takes into account any bias, the accuracy of the</t>
  </si>
  <si>
    <t>data submitted, and the reliability of the nature</t>
  </si>
  <si>
    <t>of the data submitted.</t>
  </si>
  <si>
    <t>Decision tree</t>
  </si>
  <si>
    <t>A method to determine which of two or more</t>
  </si>
  <si>
    <t>decisions is the best one. The model examines</t>
  </si>
  <si>
    <t>the costs and benefits of each decision’s outcome</t>
  </si>
  <si>
    <t>and weighs the probability of success for each of</t>
  </si>
  <si>
    <t>the decisions.</t>
  </si>
  <si>
    <t>Delphi Technique</t>
  </si>
  <si>
    <t>An anonymous method of querying experts about</t>
  </si>
  <si>
    <t>foreseeable risks within a project, phase, or</t>
  </si>
  <si>
    <t>component of a project. The results of the survey</t>
  </si>
  <si>
    <t>are analyzed by a third party, organized, and then</t>
  </si>
  <si>
    <t>circulated to the experts. There can be several</t>
  </si>
  <si>
    <t>rounds of anonymous discussion with the Delphi</t>
  </si>
  <si>
    <t>Technique, without fear of backlash or offending</t>
  </si>
  <si>
    <t>other participants in the process. The goal is to</t>
  </si>
  <si>
    <t>gain consensus on project risks within the</t>
  </si>
  <si>
    <t>Enhancing</t>
  </si>
  <si>
    <t>A risk response that attempts to enhance the</t>
  </si>
  <si>
    <t>conditions to ensure that a positive risk event will</t>
  </si>
  <si>
    <t>likely happen.</t>
  </si>
  <si>
    <t>Escalating</t>
  </si>
  <si>
    <t>A risk response that is appropriate for both</t>
  </si>
  <si>
    <t>positive and negative risk events that may</t>
  </si>
  <si>
    <t>outside of the project manager’s authority to act</t>
  </si>
  <si>
    <t>upon.</t>
  </si>
  <si>
    <t>Expected monetary value (EMV)</t>
  </si>
  <si>
    <t>The monetary value of a risk exposure based on</t>
  </si>
  <si>
    <t>the risk’s probability and impact in the risk</t>
  </si>
  <si>
    <t>matrix. This approach is typically used in</t>
  </si>
  <si>
    <t>quantitative risk analysis because it quantifies the</t>
  </si>
  <si>
    <t>risk exposure.</t>
  </si>
  <si>
    <t>Exploit</t>
  </si>
  <si>
    <t>A risk response that takes advantage of the</t>
  </si>
  <si>
    <t>positive risks within a project.</t>
  </si>
  <si>
    <t>External risks</t>
  </si>
  <si>
    <t>These risks are outside of the project, but directly</t>
  </si>
  <si>
    <t>affect it—for example, legal issues, labor issues, a</t>
  </si>
  <si>
    <t>shift in project priorities, or weather. “Force</t>
  </si>
  <si>
    <t>majeure” risks call for disaster recovery rather</t>
  </si>
  <si>
    <t>than project management. These are risks caused</t>
  </si>
  <si>
    <t>by earthquakes, tornadoes, floods, civil unrest,</t>
  </si>
  <si>
    <t>and other disasters.</t>
  </si>
  <si>
    <t>Flowcharts</t>
  </si>
  <si>
    <t>System or process flowcharts show the</t>
  </si>
  <si>
    <t>relationship between components and how the</t>
  </si>
  <si>
    <t>overall process works. These are useful for</t>
  </si>
  <si>
    <t>identifying risks between system components.</t>
  </si>
  <si>
    <t>Influence diagrams</t>
  </si>
  <si>
    <t>An influence diagram charts out a decision</t>
  </si>
  <si>
    <t>problem. It identifies all of the elements,</t>
  </si>
  <si>
    <t>variables, decisions, and objectives and also how</t>
  </si>
  <si>
    <t>each factor may influence another.</t>
  </si>
  <si>
    <t>Ishikawa diagrams</t>
  </si>
  <si>
    <t>These cause-and-effect diagrams are also called</t>
  </si>
  <si>
    <t>fishbone diagrams and are used to find the root</t>
  </si>
  <si>
    <t>cause of factors that are causing risks within the</t>
  </si>
  <si>
    <t>Low-priority risk watch list</t>
  </si>
  <si>
    <t>Low-priority risks are identified and assigned to a</t>
  </si>
  <si>
    <t>watch list for periodic monitoring.</t>
  </si>
  <si>
    <t>Mitigation</t>
  </si>
  <si>
    <t>A risk response effort to reduce the probability</t>
  </si>
  <si>
    <t>and/or impact of an identified risk in the project.</t>
  </si>
  <si>
    <t>Monte Carlo technique</t>
  </si>
  <si>
    <t>A simulation technique that got its name from</t>
  </si>
  <si>
    <t>the casinos of Monte Carlo, Monaco. The</t>
  </si>
  <si>
    <t>simulation is completed using a computer</t>
  </si>
  <si>
    <t>software program that can simulate a project,</t>
  </si>
  <si>
    <t>using values for all possible variables, to predict</t>
  </si>
  <si>
    <t>the most likely model.</t>
  </si>
  <si>
    <t>Ordinal scales</t>
  </si>
  <si>
    <t>A ranking approach that identifies and ranks the</t>
  </si>
  <si>
    <t>risks from very high to very unlikely or to some</t>
  </si>
  <si>
    <t>other value.</t>
  </si>
  <si>
    <t>Organizational risks</t>
  </si>
  <si>
    <t>The performing organization can contribute to</t>
  </si>
  <si>
    <t>the project’s risks through unreasonable cost,</t>
  </si>
  <si>
    <t>time, and scope expectations; poor project</t>
  </si>
  <si>
    <t>prioritization; inadequate funding or the</t>
  </si>
  <si>
    <t>disruption of funding; and competition with other</t>
  </si>
  <si>
    <t>projects for internal resources.</t>
  </si>
  <si>
    <t>PESTLE</t>
  </si>
  <si>
    <t>A prompt list used for risk identification. PESTLE</t>
  </si>
  <si>
    <t>examines risks in the Political, Economic, Social,</t>
  </si>
  <si>
    <t>Technological, Legal, and Environmental</t>
  </si>
  <si>
    <t>domains.</t>
  </si>
  <si>
    <t>Probability and impact matrix</t>
  </si>
  <si>
    <t>A matrix that ranks the probability of a risk event</t>
  </si>
  <si>
    <t>occurring and its impact on the project if the</t>
  </si>
  <si>
    <t>event does happen; used in qualitative and</t>
  </si>
  <si>
    <t>quantitative risk analyses.</t>
  </si>
  <si>
    <t>Project management risks</t>
  </si>
  <si>
    <t>These risks deal with faults in the management of</t>
  </si>
  <si>
    <t>the project: the unsuccessful allocation of time,</t>
  </si>
  <si>
    <t>resources, and scheduling; unacceptable work</t>
  </si>
  <si>
    <t>results; and poor project management.</t>
  </si>
  <si>
    <t>Pure risks</t>
  </si>
  <si>
    <t>These risks have only a negative outcome.</t>
  </si>
  <si>
    <t>Examples include loss of life or limb, fire, theft,</t>
  </si>
  <si>
    <t>natural disasters, and the like.</t>
  </si>
  <si>
    <t>Qualitative risk analysis</t>
  </si>
  <si>
    <t>This approach “qualifies” the risks that have been</t>
  </si>
  <si>
    <t>identified in the project. Specifically, qualitative</t>
  </si>
  <si>
    <t>risk analysis examines and prioritizes risks based</t>
  </si>
  <si>
    <t>on their probability of occurring and their impact</t>
  </si>
  <si>
    <t>on the project should they occur.</t>
  </si>
  <si>
    <t>Quantitative risk analysis</t>
  </si>
  <si>
    <t>This approach attempts to numerically assess the</t>
  </si>
  <si>
    <t>probability and impact of the identified risks. It</t>
  </si>
  <si>
    <t>also creates an overall risk score for the project.</t>
  </si>
  <si>
    <t>This method is more in-depth than qualitative</t>
  </si>
  <si>
    <t>risk analysis and relies on several different tools</t>
  </si>
  <si>
    <t>to accomplish its goal.</t>
  </si>
  <si>
    <t>RAG rating</t>
  </si>
  <si>
    <t>An ordinal scale that uses red, amber, and green</t>
  </si>
  <si>
    <t>(RAG) to capture the probability, impact, and risk</t>
  </si>
  <si>
    <t>score.</t>
  </si>
  <si>
    <t>Residual risks</t>
  </si>
  <si>
    <t>Risks that are expected to remain after a risk</t>
  </si>
  <si>
    <t>response.</t>
  </si>
  <si>
    <t>Risk</t>
  </si>
  <si>
    <t>A project risk is an uncertain event or condition</t>
  </si>
  <si>
    <t>that can have a positive or negative impact on</t>
  </si>
  <si>
    <t>Risk identification</t>
  </si>
  <si>
    <t>The systematic process of combing through the</t>
  </si>
  <si>
    <t>project, the project plan, the work breakdown</t>
  </si>
  <si>
    <t>structure, and all supporting documentation to</t>
  </si>
  <si>
    <t>identify as many risks that may affect the project</t>
  </si>
  <si>
    <t>as possible.</t>
  </si>
  <si>
    <t>defines how risks will be identified, analyzed,</t>
  </si>
  <si>
    <t>responded to, and monitored within the project.</t>
  </si>
  <si>
    <t>The plan also defines the iterative risk</t>
  </si>
  <si>
    <t>management process that the project is expected</t>
  </si>
  <si>
    <t>to adhere to.</t>
  </si>
  <si>
    <t>Risk management planning</t>
  </si>
  <si>
    <t>The agreed-upon approach to the management</t>
  </si>
  <si>
    <t>of the project risk processes.</t>
  </si>
  <si>
    <t>Risk owners</t>
  </si>
  <si>
    <t>The individuals or entities that are responsible for</t>
  </si>
  <si>
    <t>monitoring and responding to an identified risk</t>
  </si>
  <si>
    <t>within the project.</t>
  </si>
  <si>
    <t>The risk register is a project plan component that</t>
  </si>
  <si>
    <t>contains all of the information related to the risk</t>
  </si>
  <si>
    <t>management activities. It’s updated as risk</t>
  </si>
  <si>
    <t>management activities are conducted to reflect</t>
  </si>
  <si>
    <t>the status, progress, and nature of the project</t>
  </si>
  <si>
    <t>Risk report</t>
  </si>
  <si>
    <t>The risk report explains the overall project risks</t>
  </si>
  <si>
    <t>and provides summaries about the individual</t>
  </si>
  <si>
    <t>project risks.</t>
  </si>
  <si>
    <t>Risk response audit</t>
  </si>
  <si>
    <t>An audit to test the validity of the established risk</t>
  </si>
  <si>
    <t>responses.</t>
  </si>
  <si>
    <t>Risk responsibilities</t>
  </si>
  <si>
    <t>The level of ownership an individual or entity has</t>
  </si>
  <si>
    <t>over a project risk.</t>
  </si>
  <si>
    <t>Risk score</t>
  </si>
  <si>
    <t>The calculated score based on each risk’s</t>
  </si>
  <si>
    <t>probability and impact. The approach can be</t>
  </si>
  <si>
    <t>used in both qualitative and quantitative risk</t>
  </si>
  <si>
    <t>analysis.</t>
  </si>
  <si>
    <t>Root cause identification</t>
  </si>
  <si>
    <t>Root cause identification aims to find out why a</t>
  </si>
  <si>
    <t>risk event may be occurring, the causal factors for</t>
  </si>
  <si>
    <t>the risk events, and then, eventually, how the</t>
  </si>
  <si>
    <t>events can be mitigated or eliminated.</t>
  </si>
  <si>
    <t>Secondary risks</t>
  </si>
  <si>
    <t>New risks that are created as a result of a risk</t>
  </si>
  <si>
    <t>Sensitivity analysis</t>
  </si>
  <si>
    <t>A quantitative risk analysis tool that examines</t>
  </si>
  <si>
    <t>each risk to determine which one has the largest</t>
  </si>
  <si>
    <t>impact on the project’s success.</t>
  </si>
  <si>
    <t>Sharing</t>
  </si>
  <si>
    <t>A risk response that shares the advantages of a</t>
  </si>
  <si>
    <t>positive risk within a project.</t>
  </si>
  <si>
    <t>SWOT analysis</t>
  </si>
  <si>
    <t>SWOT analysis is the process of examining the</t>
  </si>
  <si>
    <t>project from the perspective of each</t>
  </si>
  <si>
    <t>characteristic: strengths, weaknesses,</t>
  </si>
  <si>
    <t>opportunities, and threats.</t>
  </si>
  <si>
    <t>TECOP</t>
  </si>
  <si>
    <t>A prompt list used in risk identification to</t>
  </si>
  <si>
    <t>examine the Technical, Environmental,</t>
  </si>
  <si>
    <t>Commercial, Operational, and Political factors of</t>
  </si>
  <si>
    <t>Technical, quality, or performance risks</t>
  </si>
  <si>
    <t>Technical risks are associated with new,</t>
  </si>
  <si>
    <t>unproven, or complex technologies being used on</t>
  </si>
  <si>
    <t>the project. Changes to the technology during the</t>
  </si>
  <si>
    <t>project implementation can also be a risk. Quality</t>
  </si>
  <si>
    <t>risks are the levels set for expectations of</t>
  </si>
  <si>
    <t>impractical quality and performance.</t>
  </si>
  <si>
    <t>Transference</t>
  </si>
  <si>
    <t>A risk response that transfers the ownership of</t>
  </si>
  <si>
    <t>the risk to another party. Insurance, licensed</t>
  </si>
  <si>
    <t>contractors, or other project teams are good</t>
  </si>
  <si>
    <t>examples of transference. A fee and contractual</t>
  </si>
  <si>
    <t>relationships are typically involved with the</t>
  </si>
  <si>
    <t>transference of a risk.</t>
  </si>
  <si>
    <t>Variability risks</t>
  </si>
  <si>
    <t>A type of risk based on the variations that may</t>
  </si>
  <si>
    <t>occur in the project, such as production, number</t>
  </si>
  <si>
    <t>of quality errors, or even the weather.</t>
  </si>
  <si>
    <t>VUCA</t>
  </si>
  <si>
    <t>A prompt list used in risk identification that</t>
  </si>
  <si>
    <t>examines the Volatility, Uncertainty, Complexity,</t>
  </si>
  <si>
    <t>and Ambiguity of risk factors within the project.</t>
  </si>
  <si>
    <t>Contract change control system This defines the procedures for how the contract may be changed. The process for changing the contract includes the forms; documented communications; tracking; conditions within the project, business, or marketplace that justify the needed change; dispute resolution procedures; and the procedures for getting the changes approved within the performing organization. Contract statement of work (SOW also CSOW) This document requires that the seller fully describe the work to be completed and/or the product to be supplied. The SOW becomes part of the contract between the buyer and the seller. Cost plus award fee contract A contract that pays the vendor all costs for the project, but also includes a buyer-determined award fee for the project work. Cost plus fixed fee contract A contract that requires the buyer to pay for the cost of the goods and services procured plus a fixed fee for the contracted work. The buyer assumes the risk of a cost overrun. Cost plus incentive fee A contract type that requires the buyer to pay a cost for the procured work, plus an incentive fee, or a bonus, for the work if terms and conditions are met. Cost plus percentage of costs A contract that requires the buyer to pay for the costs of the goods and services procured plus a percentage of the costs. The buyer assumes all of the risks for cost overruns. Direct costs These are costs incurred by the project in order for the project to exist. Examples include the equipment needed to complete the project work, salaries of the project team, and other expenses tied directly to the project’s existence.</t>
  </si>
  <si>
    <t>Fixed-price contracts</t>
  </si>
  <si>
    <t>Also known as firm fixed-price and lumpsum</t>
  </si>
  <si>
    <t>contracts, these are agreements that</t>
  </si>
  <si>
    <t>define a total price for the product the</t>
  </si>
  <si>
    <t>seller is to provide.</t>
  </si>
  <si>
    <t>Fixed-price incentive fee</t>
  </si>
  <si>
    <t>A fixed-price contract with opportunities</t>
  </si>
  <si>
    <t>for bonuses for meeting goals on costs,</t>
  </si>
  <si>
    <t>schedule, and other objectives. These</t>
  </si>
  <si>
    <t>contracts usually have a price ceiling for</t>
  </si>
  <si>
    <t>costs and associated bonuses.</t>
  </si>
  <si>
    <t>Fixed-price with economic price</t>
  </si>
  <si>
    <t>adjustments</t>
  </si>
  <si>
    <t>A fixed-price contract with a special</t>
  </si>
  <si>
    <t>allowance for price increases based on</t>
  </si>
  <si>
    <t>economic reasons such as inflation or the</t>
  </si>
  <si>
    <t>cost of raw materials.</t>
  </si>
  <si>
    <t>Force majeure</t>
  </si>
  <si>
    <t>An “act of God” that may have a negative</t>
  </si>
  <si>
    <t>impact on the project. Examples include</t>
  </si>
  <si>
    <t>fire, hurricanes, tornadoes, and</t>
  </si>
  <si>
    <t>earthquakes.</t>
  </si>
  <si>
    <t>Independent estimates</t>
  </si>
  <si>
    <t>These estimates are often referred to as</t>
  </si>
  <si>
    <t>“should cost” estimates. They are created</t>
  </si>
  <si>
    <t>by the performing organization or outside</t>
  </si>
  <si>
    <t>experts to predict what the cost of the</t>
  </si>
  <si>
    <t>procured product should be.</t>
  </si>
  <si>
    <t>These are costs attributed to the cost of</t>
  </si>
  <si>
    <t>doing business. Examples include</t>
  </si>
  <si>
    <t>utilities, office space, and other overhead</t>
  </si>
  <si>
    <t>costs.</t>
  </si>
  <si>
    <t>Invitation for Bid (IFB)</t>
  </si>
  <si>
    <t>From buyer to seller. Requests the seller</t>
  </si>
  <si>
    <t>to provide a price for the procured</t>
  </si>
  <si>
    <t>product or service.</t>
  </si>
  <si>
    <t>Letter contract</t>
  </si>
  <si>
    <t>A letter contract allows the vendor to</t>
  </si>
  <si>
    <t>begin working on the project immediately.</t>
  </si>
  <si>
    <t>It is often used as a stopgap solution.</t>
  </si>
  <si>
    <t>Letter of intent</t>
  </si>
  <si>
    <t>A letter of intent is not a contract, but a</t>
  </si>
  <si>
    <t>letter stating that the buyer is intending to</t>
  </si>
  <si>
    <t>create a contractual relationship with the</t>
  </si>
  <si>
    <t>seller.</t>
  </si>
  <si>
    <t>Make-or-buy decision</t>
  </si>
  <si>
    <t>A process in which the project</t>
  </si>
  <si>
    <t>management team determines the costeffectiveness,</t>
  </si>
  <si>
    <t>benefits, and feasibility of</t>
  </si>
  <si>
    <t>making a product or buying it from a</t>
  </si>
  <si>
    <t>vendor.</t>
  </si>
  <si>
    <t>Privity</t>
  </si>
  <si>
    <t>The contractual relationship between the</t>
  </si>
  <si>
    <t>buyer and the seller is often considered</t>
  </si>
  <si>
    <t>confidential and secret.</t>
  </si>
  <si>
    <t>A project management subsidiary plan</t>
  </si>
  <si>
    <t>that documents the decisions made in the</t>
  </si>
  <si>
    <t>procurement planning processes.</t>
  </si>
  <si>
    <t>Procurement planning</t>
  </si>
  <si>
    <t>A process to identify which parts of the</t>
  </si>
  <si>
    <t>project warrant procurement from a</t>
  </si>
  <si>
    <t>vendor by the buyer.</t>
  </si>
  <si>
    <t>Proposal</t>
  </si>
  <si>
    <t>A document the seller provides to the</t>
  </si>
  <si>
    <t>buyer. The proposal includes more than</t>
  </si>
  <si>
    <t>just a fee for the proposed work. It also</t>
  </si>
  <si>
    <t>includes information on the vendor’s</t>
  </si>
  <si>
    <t>skills, the vendor’s reputation, and ideas</t>
  </si>
  <si>
    <t>on how the vendor can complete the</t>
  </si>
  <si>
    <t>contracted work for the buyer.</t>
  </si>
  <si>
    <t>Purchase order (PO)</t>
  </si>
  <si>
    <t>A purchase order is a form of unilateral</t>
  </si>
  <si>
    <t>contract that the buyer provides to the</t>
  </si>
  <si>
    <t>vendor showing that the purchase has</t>
  </si>
  <si>
    <t>been approved by the buyer’s</t>
  </si>
  <si>
    <t>organization.</t>
  </si>
  <si>
    <t>Quotation</t>
  </si>
  <si>
    <t>From seller to buyer. Price is the</t>
  </si>
  <si>
    <t>determining factor in the decision-making</t>
  </si>
  <si>
    <t>Request for Proposal (RFP)</t>
  </si>
  <si>
    <t>to provide a proposal to complete the</t>
  </si>
  <si>
    <t>procured work or to provide the procured</t>
  </si>
  <si>
    <t>product.</t>
  </si>
  <si>
    <t>Request for Quote (RFQ)</t>
  </si>
  <si>
    <t>Risk-related contractual agreements</t>
  </si>
  <si>
    <t>When the project management team</t>
  </si>
  <si>
    <t>decides to use transference to respond to</t>
  </si>
  <si>
    <t>a risk, a risk-related contractual</t>
  </si>
  <si>
    <t>agreement is created between the buyer</t>
  </si>
  <si>
    <t>and the seller.</t>
  </si>
  <si>
    <t>Screening system</t>
  </si>
  <si>
    <t>A tool that filters or screens out vendors</t>
  </si>
  <si>
    <t>that don’t qualify for the contract.</t>
  </si>
  <si>
    <t>Seller rating systems</t>
  </si>
  <si>
    <t>These are used by organizations to rate</t>
  </si>
  <si>
    <t>prior experience with each vendor that</t>
  </si>
  <si>
    <t>they have worked with in the past. The</t>
  </si>
  <si>
    <t>seller rating system can track</t>
  </si>
  <si>
    <t>performance, quality ratings, delivery,</t>
  </si>
  <si>
    <t>and even contract compliance.</t>
  </si>
  <si>
    <t>Terms of Reference</t>
  </si>
  <si>
    <t>Defines the obligations for the seller,</t>
  </si>
  <si>
    <t>what the seller will provide, and all of the</t>
  </si>
  <si>
    <t>particulars of the contracted work. Terms</t>
  </si>
  <si>
    <t>of reference is similar to the statement of</t>
  </si>
  <si>
    <t>Time and materials contract</t>
  </si>
  <si>
    <t>A contract type in which the buyer pays</t>
  </si>
  <si>
    <t>for the time and materials for the</t>
  </si>
  <si>
    <t>procured work. This is a simple contract,</t>
  </si>
  <si>
    <t>usually for smaller procurement</t>
  </si>
  <si>
    <t>conditions. These contract types require</t>
  </si>
  <si>
    <t>a not-to-exceed clause, or the buyer</t>
  </si>
  <si>
    <t>assumes the risk for cost overruns.</t>
  </si>
  <si>
    <t>Weighting system</t>
  </si>
  <si>
    <t>This takes out the personal preferences</t>
  </si>
  <si>
    <t>of the decision maker in the organization</t>
  </si>
  <si>
    <t>to ensure that the best seller is awarded</t>
  </si>
  <si>
    <t>the contract. Weights are assigned to the</t>
  </si>
  <si>
    <t>values of the proposals, and each</t>
  </si>
  <si>
    <t>proposal is scored.</t>
  </si>
  <si>
    <t>Project Stakeholder Management Terms</t>
  </si>
  <si>
    <t>Interactive communications</t>
  </si>
  <si>
    <t>This type of communication means that</t>
  </si>
  <si>
    <t>information is happening among stakeholders,</t>
  </si>
  <si>
    <t>like in a forum. Examples of interactive</t>
  </si>
  <si>
    <t>communications are meetings, videoconferences,</t>
  </si>
  <si>
    <t>phone calls, and ad-hoc conversations.</t>
  </si>
  <si>
    <t>Interactive communications means that the</t>
  </si>
  <si>
    <t>participants are actively communicating with one</t>
  </si>
  <si>
    <t>another.</t>
  </si>
  <si>
    <t>Brain writing</t>
  </si>
  <si>
    <t>A data gathering technique that’s similar to</t>
  </si>
  <si>
    <t>brainstorming, but provides brainstorming</t>
  </si>
  <si>
    <t>meeting participants with the questions and</t>
  </si>
  <si>
    <t>topics for brainstorming before the stakeholder</t>
  </si>
  <si>
    <t>identification meeting.</t>
  </si>
  <si>
    <t>Key stakeholder</t>
  </si>
  <si>
    <t>Stakeholders—such as management, the project</t>
  </si>
  <si>
    <t>manager, program manager, or customers—that</t>
  </si>
  <si>
    <t>have the authority to make decisions in the</t>
  </si>
  <si>
    <t>Leading stakeholder status</t>
  </si>
  <si>
    <t>Part of stakeholder analysis classification. A</t>
  </si>
  <si>
    <t>leading stakeholder is aware of your project, they</t>
  </si>
  <si>
    <t>want your project to be successful, and the</t>
  </si>
  <si>
    <t>stakeholder is working to make certain the</t>
  </si>
  <si>
    <t>project is a success.</t>
  </si>
  <si>
    <t>Negative stakeholder</t>
  </si>
  <si>
    <t>A stakeholder who does not want the project to</t>
  </si>
  <si>
    <t>exist and is opposed to the project.</t>
  </si>
  <si>
    <t>Neutral stakeholder</t>
  </si>
  <si>
    <t>A stakeholder who has neither a positive nor</t>
  </si>
  <si>
    <t>negative attitude about the project’s existence.</t>
  </si>
  <si>
    <t>Neutral stakeholder status</t>
  </si>
  <si>
    <t>neutral stakeholder is aware of your project and</t>
  </si>
  <si>
    <t>is not concerned if the project succeeds or fails.</t>
  </si>
  <si>
    <t>Positive stakeholder</t>
  </si>
  <si>
    <t>A stakeholder who sees the benefits of the</t>
  </si>
  <si>
    <t>project and is in favor of the change the project is</t>
  </si>
  <si>
    <t>to bring about.</t>
  </si>
  <si>
    <t>Profile analysis meeting This is an analysis meeting to examine and document the roles in the project. The role’s interests, concerns, influence, project knowledge, and attitude are documented. Pull communications This type of communication pulls information from a central repository. Pull communications allow stakeholders to retrieve information from a central source as needed. Push communications This type of communication happens when the sender pushes the same message to multiple people. Good examples of push communications are broadcast text messages, faxes, press releases, and group e-mails. Reporting system A reporting system is a software program to store and analyze project data for reporting. A common reporting system will take project data, allow the project manager to pass the data through earned value management, for example, and then create forecasting reports about the project costs and schedule. Resistant stakeholder status Part of stakeholder analysis classification. A resistant stakeholder is aware of your project, but they do not support the changes your project will create. Stakeholder Anyone who is affected by the existence of the project or who can affect the project’s existence. Stakeholders can enter and exit the project as conditions change within the project. Stakeholder analysis An activity that ranks stakeholders based on their influence, interests, and expectations of the project. Stakeholders are identified and ranked, and then their needs and expectations are documented and addressed. Stakeholder classification models These are charts and diagrams that help the project manager determine the influence of stakeholders in relation to their interest in the project. Common classification models include the power/interest grid, the power/influence grid, the influence/impact grid, and the salience model.</t>
  </si>
  <si>
    <t>Stakeholder engagement</t>
  </si>
  <si>
    <t>The project manager works to keep the project</t>
  </si>
  <si>
    <t>stakeholders interested, involved, and supportive</t>
  </si>
  <si>
    <t>of the project. Through communication,</t>
  </si>
  <si>
    <t>management skills, and interpersonal skills, the</t>
  </si>
  <si>
    <t>project manager can work to keep the project</t>
  </si>
  <si>
    <t>stakeholders engaged and interested in the</t>
  </si>
  <si>
    <t>Stakeholder identification</t>
  </si>
  <si>
    <t>A project initiation activity to identify, document,</t>
  </si>
  <si>
    <t>and classify the project stakeholders as early as</t>
  </si>
  <si>
    <t>possible in the project.</t>
  </si>
  <si>
    <t>Stakeholder management</t>
  </si>
  <si>
    <t>The project management knowledge area that</t>
  </si>
  <si>
    <t>focuses on the management and engagement of</t>
  </si>
  <si>
    <t>the project stakeholders. There are four</t>
  </si>
  <si>
    <t>processes in this knowledge area: identify</t>
  </si>
  <si>
    <t>stakeholders, plan stakeholder management,</t>
  </si>
  <si>
    <t>manage stakeholder engagement, and Monitor</t>
  </si>
  <si>
    <t>Stakeholder Engagement.</t>
  </si>
  <si>
    <t>Stakeholder engagement plan</t>
  </si>
  <si>
    <t>The stakeholder engagement plan documents a</t>
  </si>
  <si>
    <t>strategy for managing the engagement of project</t>
  </si>
  <si>
    <t>stakeholders. The stakeholder engagement plan</t>
  </si>
  <si>
    <t>establishes stakeholder engagement and defines</t>
  </si>
  <si>
    <t>how the project manager can increase and</t>
  </si>
  <si>
    <t>improve stakeholder engagement.</t>
  </si>
  <si>
    <t>Stakeholder engagement planning</t>
  </si>
  <si>
    <t>The project manager works with the project</t>
  </si>
  <si>
    <t>team and subject matter experts to create a</t>
  </si>
  <si>
    <t>strategy to manage the project stakeholders.</t>
  </si>
  <si>
    <t>Stakeholder register</t>
  </si>
  <si>
    <t>A documentation of each stakeholder’s contact</t>
  </si>
  <si>
    <t>information, position, concerns, interests, and</t>
  </si>
  <si>
    <t>attitude toward the project. The project manager</t>
  </si>
  <si>
    <t>updates the register as new stakeholders are</t>
  </si>
  <si>
    <t>identified and when stakeholders leave the</t>
  </si>
  <si>
    <t>Supportive stakeholder status</t>
  </si>
  <si>
    <t>This is part of stakeholder analysis classification.</t>
  </si>
  <si>
    <t>A supportive stakeholder is aware of your project</t>
  </si>
  <si>
    <t>and is supportive and hopeful that the project</t>
  </si>
  <si>
    <t>will be successful.</t>
  </si>
  <si>
    <t>Unaware stakeholder status</t>
  </si>
  <si>
    <t>Part of stakeholder analysis classification. An</t>
  </si>
  <si>
    <t>unaware status means the stakeholder doesn’t</t>
  </si>
  <si>
    <t>know about the project and the effect the project</t>
  </si>
  <si>
    <t>may create on the stakeholder.</t>
  </si>
  <si>
    <t>Project Cost Management Terms</t>
  </si>
  <si>
    <t>x</t>
  </si>
  <si>
    <t xml:space="preserve">A Guide to the Project Management Body of Knowledge (PMBOK Guide) The PMI publication that defines widely accepted project management practices. The CAPM and the PMP exam are based on this book.             </t>
  </si>
  <si>
    <t xml:space="preserve">Application areas The areas of expertise, industry, or function where a project is centered. Examples of application areas include architecture, IT, health care, and manufacturing.             </t>
  </si>
  <si>
    <t xml:space="preserve">Business value A quantifiable return on investment. The return can be tangible, such as equipment, money, or market share. The return can also be intangible, such as brand recognition, trademarks, and reputation.             </t>
  </si>
  <si>
    <t xml:space="preserve">Certified Associate in Project Management (CAPM) A person who has slightly less project management experience than a PMP, but who has qualified for and then passed the CAPM examination.             </t>
  </si>
  <si>
    <t xml:space="preserve">Cultural and social environment Defines how a project affects people and how those people may affect the project. Cultural and social environments include the economic, educational, ethical, religious, demographic, and ethnic composition of the people affected by the project.             </t>
  </si>
  <si>
    <t xml:space="preserve">Deliverable A product, service, or result created by a project. Projects can have multiple deliverables.             </t>
  </si>
  <si>
    <t xml:space="preserve">General management skills These include the application of accounting, procurement, sales and marketing, contracting, manufacturing, logistics, strategic planning, human resource management, standards and regulations, and information technology. International and political environment The consideration of the local and international laws, languages, communication challenges, time zone differences, and other non-collocated issues that affect a project’s ability to progress.           </t>
  </si>
  <si>
    <t xml:space="preserve">Interpersonal skills The ability to interact, lead, motivate, and manage people.             </t>
  </si>
  <si>
    <t xml:space="preserve">Iron Triangle of Project Management A triangle with the characteristics of time, cost, and scope. Time, cost, and scope each constitute one side of the triangle; if any side of the Iron Triangle is not in balance with the other sides, the project will suffer. The Iron Triangle of Project Management is also known as the Triple Constraints of Project Management, as all projects are constrained by time, cost, and scope.             </t>
  </si>
  <si>
    <t xml:space="preserve">Physical environment The physical structure and surroundings that affect a project’s work.             </t>
  </si>
  <si>
    <t xml:space="preserve">Process groups A collection of related processes in project management. There are five process groups and 49 project management processes. The five process groups are Initiating, Planning, Executing, Monitoring and Controlling, and Closing.             </t>
  </si>
  <si>
    <t xml:space="preserve">Program A collection of related projects working in unison toward a common deliverable.             </t>
  </si>
  <si>
    <t xml:space="preserve">Progressive elaboration The process of gathering project details. This process uses deductive reasoning, logic, and a series of information-gathering techniques to identify details about a project, product, or solution.             </t>
  </si>
  <si>
    <t xml:space="preserve">Project A temporary endeavor to create a unique product, service, or result. The end result of a project is also called a deliverable.             </t>
  </si>
  <si>
    <t xml:space="preserve">Project benefits management plan A documented created and maintained by the project sponsor and the project manager. The project benefits management plan defines what benefits the project will create, when the benefits will be realized, and how the benefits will be measured.             </t>
  </si>
  <si>
    <t xml:space="preserve">Project business case Created and maintained by the project sponsor and shows the financial validity of why a project is chartered and launched within the organization. Typically, the project business case is created before the launch of the project and may be used as a go/no-go decision point.             </t>
  </si>
  <si>
    <t xml:space="preserve">Project environment The location and culture of the environment where the project work will reside. The project environment includes the social, economic, and environmental variables the project must work with or around.             </t>
  </si>
  <si>
    <t xml:space="preserve">Project Management Institute (PMI) An organization of project management professionals from around the world, supporting and promoting the careers, values, and concerns of project managers.             </t>
  </si>
  <si>
    <t xml:space="preserve">Project life cycle The phases that make up the project. Project life cycles are unique to the type of work being performed and are not universal to all projects.             </t>
  </si>
  <si>
    <t xml:space="preserve">Project management office (PMO) A central office that oversees all projects within an organization or within a functional department. A PMO supports the project manager through software, training, templates, policies, communication, dispute resolution, and other services.             </t>
  </si>
  <si>
    <t xml:space="preserve">Project Management Professional (PMP) A person who has proven project management experience and has qualified for and then passed the PMP examination.             </t>
  </si>
  <si>
    <t xml:space="preserve">Project portfolio management The management and selection of projects that support an organization’s vision and mission. It is the balance of project priority, risk, reward, and return on investment. This is a senior management process.             </t>
  </si>
  <si>
    <t xml:space="preserve">Subprojects A smaller project managed within a larger, parent project. Subprojects are often contracted work whose deliverable allows the larger project to progress. Triple Constraints of Project Management Also known as the Iron Triangle. This theory posits that time, cost, and scope are three constraints that every project has.           </t>
  </si>
  <si>
    <t xml:space="preserve">Work performance data Raw data, observations, and measurements about project components. Work performance data is gathered and stored in the project management information system.             </t>
  </si>
  <si>
    <t xml:space="preserve">Work performance information Work performance information is the processed and analyzed data that will help the project manager make project decisions.             </t>
  </si>
  <si>
    <t xml:space="preserve">Work performance reports Work performance reports is the formatted communication of work performance information. Work performance reports communicate what’s happening in the project through status reports, memos, dashboards, or other modalities. Hybrid structure An organization that creates a blend of the functional, matrix, and project-oriented structures. Multidivisional structure Describe organizations that have duplication of efforts within the organization, but not within each department or division of the organization. Project manager has little authority in this structure and the functional manager controls the project budget. Organic or simple Describes a loosely organized business or organization. There likely aren’t big formal departments and people work alongside one another regardless of roles and titles. The project manager likely has little control over the project resources and may not be called a project manager. Organizational process assets Organizational process assets include organizational processes, policies, procedures, and items from a corporate knowledge base. Organizational process assets are grouped into two categories to consider: processes, policies and procedures, and organizational knowledge bases. Organizational Knowledge Repositories Organizational knowledge repositories are the databases, files, and historical information that you can use to help better plan and manage your projects. This is an organizational process asset that is created internally to your organization through the ongoing work of operations and other projects. Organizational System A system can create things by working with multiple components that the individual components could not create if they worked alone. The structure of the organization and the governance framework creates constraints that affect how the project manager makes decisions within the project. The organizational system directly affects how the project manager utilizes their power, influence, leadership, and even political capital, to get things done in the environment. Project management office (PMO) A business unit that centralizes the operations and procedures of all projects within the organization. The PMO can be supportive, controlling, or directive. Project-oriented structure An organization that assigns a project team to one project for the duration of the project life cycle. The project manager has high-to-almost-complete project power. Strong matrix structure An organization where organizational resources are pooled into one project team, but the functional managers have less project power than the project manager. Virtual organization Uses a network structure to communicate and interact with other groups and departments. A point of contact exists for each department and these department point of contact receive and send all messages for the department. Weak matrix structure An organization where organizational resources are pooled into one project team, but the functional managers have more project power than the project manager.           </t>
  </si>
  <si>
    <t xml:space="preserve">active listening The message receiver restates what’s been said to fully understand and confirm the message and it provides an opportunity for the sender to clarify the message if needed.         </t>
  </si>
  <si>
    <t xml:space="preserve">active problem solving Active problem solving begins with problem definition. Problem definition is the ability to discern between the cause and effect of the problem. Root-cause analysis looks beyond the immediate symptoms to the cause of the symptoms—which then affords opportunities for solutions.      </t>
  </si>
  <si>
    <t xml:space="preserve">avoiding power The project manager refuses to act, get involved, or make decisions.            </t>
  </si>
  <si>
    <t xml:space="preserve">charismatic leadership The leader is motivating, has highenergy, and inspires the team through strong convictions about what’s possible and what the team can achieve. Positive thinking and a can-do mentality are characteristics of a charismatic leader.        </t>
  </si>
  <si>
    <t xml:space="preserve">expert power The project manager has deep skills and experience in a discipline (for example, years of working in IT helps an IT project manager better manage IT projects). ingratiating power The project manager aims to gain favor with the project team and stakeholders through flattery.      </t>
  </si>
  <si>
    <t xml:space="preserve">informational power The individual has power and control of the data gathering and distribution of information. interactional leadership The leader is a hybrid of transactional, transformational, and charismatic leaders. The interactional leader wants the team to act, is excited and inspired about the project work, yet still holds the team accountable for their results. guilt-based power The project manager can make the team and stakeholders feel guilty to gain compliance in the project. leadership Leadership is about aligning, motivating, and inspiring the project team members to do the right thing, build trust, think creatively, and to challenge the status quo. laissez-faire leadership The leader takes a “hands-off” approach to the project. This means the project team makes decisions, takes initiative in the actions, and creates goals. While this approach can provide autonomy, it can make the leader appear absent when it comes to project decisions. management Management utilizes positional power to maintain, administrate, control, and focus on getting things done without challenging the status quo of the project and organization. media selection Based on the audience and the message being sent, the media should be in alignment with the message. meeting management Meetings are forms of communication. How the meeting is led, managed, and controlled all influence the message being delivered. Agendas, minutes, and order are mandatory for effective communications within a meeting. personal or charismatic power The project manager has a warm personality that others like. presentation In formal presentations, the presenter’s oral and body language, visual aids, and handouts all influence the message being delivered.     </t>
  </si>
  <si>
    <t xml:space="preserve">pressure-based power The project manager can restrict choices to get the project team to perform and do the project work.           </t>
  </si>
  <si>
    <t xml:space="preserve">PMI Talent Triangle Defines three areas of PDUs for PMI certified professionals to maintain their certification. The PMI Talent Triangle includes technical project management, leadership, and strategic and business management.        </t>
  </si>
  <si>
    <t xml:space="preserve">positional power The project manager’s power is because of the position she has as the project manager. This is also known as formal, authoritative, and legitimate power.          </t>
  </si>
  <si>
    <t xml:space="preserve">Professional Development Units (PDUs) PDUs are earned after the PMP to maintain the PMP certification. PMPs are required to earn 60 PDUs per three-year certification cycle. Of the 60 PDUs, a minimum of 35 hours must come from educational opportunities.        </t>
  </si>
  <si>
    <t xml:space="preserve">project manager The role of leading the project team and managing the project resources to effectively achieve the objectives of the project. punitive or coercive power The project manager can punish the project team.       </t>
  </si>
  <si>
    <t xml:space="preserve">referent power The project manager is respected or admired because of the team’s past experiences with the project manager. This is about the project manager’s credibility in the organization.         </t>
  </si>
  <si>
    <t xml:space="preserve">Assumption log An assumption is something that is believed to be true or false, but it has not yet been proven to be true or false. Assumptions that prove wrong can become risks for the project. All identified project assumptions are recorded in the assumption log for testing and analysis, and the outcomes are recorded.      </t>
  </si>
  <si>
    <t xml:space="preserve">Benefit/cost ratio (BCR) models This is an example of a benefits comparison model. It examines the benefit-to-cost ratio.           </t>
  </si>
  <si>
    <t xml:space="preserve">Change control board (CCB) A committee that evaluates the worthiness of a proposed change and either approves or rejects the proposed change.          </t>
  </si>
  <si>
    <t xml:space="preserve">Change control system (CCS) The change control system communicates the process for controlling changes to the project deliverables. This system works with the configuration management system and seeks to control and document proposals to change the project’s product.       </t>
  </si>
  <si>
    <t xml:space="preserve">Change log All changes that enter into a project are recorded in the change log. The characteristics of the change, such as the time, cost, risk, and scope details, are also recorded.         </t>
  </si>
  <si>
    <t xml:space="preserve">Change management plan This plan details the project procedures for entertaining change requests: how change requests are managed, documented, approved, or declined.          </t>
  </si>
  <si>
    <t xml:space="preserve">Closure processes This final process group of the project management life cycle is responsible for closing the project phase or project. This is where project documentation is archived and project contracts are also closed.        </t>
  </si>
  <si>
    <t xml:space="preserve">Communications management plan This plan defines who will get what information, how they will receive it, and in what modality the communication will take place.          </t>
  </si>
  <si>
    <t xml:space="preserve">Configuration identification This includes the labeling of the components, how changes are made to the product, and the accountability of the changes.          </t>
  </si>
  <si>
    <t xml:space="preserve">Configuration management plan This plan is an input to the control scope process. It defines how changes to the features and functions of the project deliverable, the product scope, may enter the project.         </t>
  </si>
  <si>
    <t xml:space="preserve">Configuration management system This system defines how stakeholders are allowed to submit change requests, the conditions for approving a change request, and how approved change requests are validated in the project scope. Configuration management also documents the characteristics and functions of the project’s products and any changes to a product’s characteristics.    </t>
  </si>
  <si>
    <t xml:space="preserve">Configuration status accounting The organization of the product materials, details, and prior product documentation. Configuration verification and auditing The scope verification and completeness auditing of project or phase deliverables to ensure that they are in alignment with the project plan.       </t>
  </si>
  <si>
    <t xml:space="preserve">Contract closure The formal verification of the contract completeness by the vendor and the performing organization.           </t>
  </si>
  <si>
    <t xml:space="preserve">Cost baseline This is the aggregated costs of all of the work packages within the work breakdown structure (WBS).           </t>
  </si>
  <si>
    <t xml:space="preserve">Cost management plan This plan details how the project costs will be planned for, estimated, budgeted, and then monitored and controlled.           </t>
  </si>
  <si>
    <t xml:space="preserve">Explicit knowledge Knowledge that can be quickly and easily expressed through conversations, documentation, figures, or numbers, is easily communicated.          </t>
  </si>
  <si>
    <t xml:space="preserve">Future value A benefit comparison model to determine a future value of money. The formula to calculate future value is FV = PV(1 + I)n, where PV is present value, I is the given interest rate, and n is the number of periods.        </t>
  </si>
  <si>
    <t xml:space="preserve">Integrated change control A process to consider and control the impact of a proposed change on the project’s knowledge areas.           </t>
  </si>
  <si>
    <t xml:space="preserve">Issue log Issues are points of contention where some question of the project’s direction needs to be resolved. All identified issues are documented in the issue log, along with an issue owner and a deadline to resolve the issue. The outcome of the issue is also recorded.       </t>
  </si>
  <si>
    <t xml:space="preserve">Mathematical model A project selection method to determine the likelihood of success. These models include linear programming, nonlinear programming, dynamic programming, integer programming, and multiobjective programming.        </t>
  </si>
  <si>
    <t xml:space="preserve">Milestone Milestones are significant points or events in the project’s progress that represent accomplishment in the project. Projects usually create milestones as the result of completing phases within the project.        </t>
  </si>
  <si>
    <t xml:space="preserve">Milestone list This list details the project milestones and their attributes. It is used for several areas of project planning, but also helps determine how quickly the project may be achieving its objectives.         </t>
  </si>
  <si>
    <t xml:space="preserve">Murder boards These are committees that ask every conceivable negative question about the proposed project. Their goals are to expose the project’s strengths and weaknesses, and to kill the project if it’s deemed unworthy for the organization to commit to. Also known as project steering committees or project selection committees.     </t>
  </si>
  <si>
    <t xml:space="preserve">Net present value Evaluates the monies returned on a project for each period the project lasts.            </t>
  </si>
  <si>
    <t xml:space="preserve">Payback period An estimate to predict how long it will take a project to pay back an organization for the project’s investment of capital.           </t>
  </si>
  <si>
    <t xml:space="preserve">Present value A benefit comparison model to determine the present value of a future amount of money. The formula to calculate present value is PV = FV ÷ (1 + i)n, where FV is future value, I is the given interest rate, and n is the number of periods.        </t>
  </si>
  <si>
    <t xml:space="preserve">Procurement management plan The procurement management plan controls how the project will acquire goods and services.           </t>
  </si>
  <si>
    <t xml:space="preserve">Project charter This document authorizes the project. It defines the initial requirements of the project stakeholders. The project charter is endorsed by an entity outside of the project boundaries.         </t>
  </si>
  <si>
    <t xml:space="preserve">Project management plan The documented approach of how a project will be planned, executed, monitored and controlled, and then closed. This document is a collection of subsidiary management plans and related documents.        </t>
  </si>
  <si>
    <t xml:space="preserve">Project scope management plan Defines how the project scope will be planned, managed, and controlled.            </t>
  </si>
  <si>
    <t xml:space="preserve">Quality baseline Documents the quality objectives for the project, including the metrics for stakeholder acceptance of the project deliverable.          </t>
  </si>
  <si>
    <t xml:space="preserve">Quality management plan This plan defines what quality means for the project, how the project will achieve quality, and how the project will map to organizational procedures pertaining to quality.         </t>
  </si>
  <si>
    <t xml:space="preserve">Regression analysis A mathematical model to examine the relationship among project variables, like cost, time, labor, and other project metrics.          </t>
  </si>
  <si>
    <t xml:space="preserve">Risk management plan Risk is an uncertain event or condition that may affect the project outcome. The risk management plan defines how the project will manage risk.          </t>
  </si>
  <si>
    <t xml:space="preserve">Risk register The risk register is a centralized database consisting of the outcome of all the other risk management processes, such as the outcome of risk identification, qualitative analysis, and quantitative analysis.         </t>
  </si>
  <si>
    <t xml:space="preserve">Risk response plan This subsidiary plan defines the risk responses that are to be used in the project for both positive and negative risks.          </t>
  </si>
  <si>
    <t xml:space="preserve">Schedule baseline This is the planned start and finish of the project. The comparison of what was planned and what was experienced is the schedule variance.          </t>
  </si>
  <si>
    <t xml:space="preserve">Schedule management plan Defines how the project schedule will be created and managed.            </t>
  </si>
  <si>
    <t xml:space="preserve">Scope baseline The scope baseline is a combination of three project documents: the project scope statement, the work breakdown structure, and the WBS dictionary. The creation of the project deliverable will be measured against the scope baseline to show any variances from what was expected and what the project team has created.     </t>
  </si>
  <si>
    <t xml:space="preserve">8/80 Rule A planning heuristic for creating the WBS. This rule states that the work package in a WBS must take no more than 80 hours of labor to create and no fewer than 8 hours of labor to create.         </t>
  </si>
  <si>
    <t xml:space="preserve">Active observation The observer interacts with the worker to ask questions and understand each step of the work being completed. In some instances, the observer could serve as an assistant in doing the work.         </t>
  </si>
  <si>
    <t xml:space="preserve">Affinity diagrams When stakeholders create a large number of ideas, you can use an affinity diagram to cluster similar ideas together for further analysis.          </t>
  </si>
  <si>
    <t xml:space="preserve">Alternatives generation A scope definition process of finding alternative solutions for the project customer while considering the customer’s satisfaction, the cost of the solution, and how the customer may use the product in operations.        </t>
  </si>
  <si>
    <t xml:space="preserve">Autocratic A decision method where only one individual makes the decision for the group.           </t>
  </si>
  <si>
    <t xml:space="preserve">Brainstorming This approach encourages participants to generate as many ideas as possible about the project requirements. No idea is judged or dismissed during the brainstorming session.         </t>
  </si>
  <si>
    <t xml:space="preserve">Change control system (CCS) Documented in the scope management plan, this system defines how changes to the project scope are managed and controlled. Change management plan This subsidiary plan defines how changes will be allowed and managed within the project. Code of accounts A numbering system for each item in the WBS. The PMBOK is a good example of a code of accounts, as each chapter and its subheadings follow a logical numbering scheme. For example, PMBOK 5.3.3.2 identifies an exact paragraph in the PMBOK. Configuration management plan This subsidiary plan defines how changes to the features and functions of the project deliverables will be monitored and controlled within the project. Context diagram These diagrams show the relationship between elements of an environment. For example, a context diagram would illustrate the networks, servers, workstations, and people that interact with the elements of the environment. Focus groups A moderator-led requirements collection method to elicit requirements from stakeholders. Functional analysis This is the study of the functions within a system, project, or, what’s more likely in the project scope statement, the product the project will be creating. Functional analysis studies the goals of the product, how the product will be used, and the expectations the customer has of the product once it leaves the project and moves into operations. Functional analysis may also consider the cost of the product in operations, which is known as life-cycle costing. Funding limit Most projects have a determined budget in relation to the project scope. There may be a qualifier on this budget, such as plus or minus 10 percent based on the type of cost estimate created.         </t>
  </si>
  <si>
    <t xml:space="preserve">Interviews A requirements collection method used to elicit requirements from stakeholders in a one-on-one conversation.           </t>
  </si>
  <si>
    <t xml:space="preserve">Majority A group decision method where more than 50 percent of the group must be in agreement.           </t>
  </si>
  <si>
    <t xml:space="preserve">Mind mapping This approach maps ideas to show the relationship among requirements and the differences between requirements. The map can be reviewed to identify new solutions or to rank the identified requirements.        </t>
  </si>
  <si>
    <t xml:space="preserve">Nominal group technique As with brainstorming, participants are encouraged to generate as many ideas as possible, but the suggested ideas are ranked by a voting process.          </t>
  </si>
  <si>
    <t xml:space="preserve">Passive observation The observer records information about the work being completed without interrupting the process; sometimes called the invisible observer.          </t>
  </si>
  <si>
    <t xml:space="preserve">Plurality A group-decision method where the largest part of the group makes the decision when it’s less than 50 percent of the total. (Consider three or four factions within the stakeholders.)         </t>
  </si>
  <si>
    <t xml:space="preserve">Product acceptance criteria This project scope statement component works with the project requirements, but focuses specifically on the product and what the conditions and processes are for formal acceptance of the product.         </t>
  </si>
  <si>
    <t xml:space="preserve">Product breakdown A scope definition technique that breaks down a product into a hierarchical structure, much like a WBS breaks down a project scope.          </t>
  </si>
  <si>
    <t xml:space="preserve">Product scope description This is a narrative description of what the project is creating as a deliverable for the project customer. Product scope Defines the product or service that will come about as a result of completing the project. It defines the features and functions that characterize the product. Project assumptions A project assumption is a factor in the planning process that is held to be true but not proven to be true. Project boundaries A project boundary clearly states what is included with the project and what’s excluded from the project. This helps to eliminate assumptions between the project management team and the project customer. Project constraints A constraint is anything that limits the project manager’s options. Consider a predetermined budget, deadline, resources, or materials the project manager must use within the project—these are all examples of project constraints. Project objectives These are the measurable goals that determine a project’s acceptability to the project customer and the overall success of the project. Objectives often include the cost, schedule, technical requirements, and quality demands. Project requirements These are the demands set by the customer, regulations, or the performing organization that must exist for the project deliverables to be acceptable. Requirements are often prioritized in a number of ways, from “must have” to “should have” to “would like to have.” Project scope This defines all of the work, and only the required work, to complete the project objectives.          </t>
  </si>
  <si>
    <t xml:space="preserve">Project scope management plan This project management subsidiary plan controls how the scope will be defined, how the project scope statement will be created, how the WBS will be created, how scope validation will proceed, and how the project scope will be controlled throughout the project.       </t>
  </si>
  <si>
    <t xml:space="preserve">Requirements documentation This documentation of what the stakeholders expected in the project defines all of the requirements that must be present for the work to be accepted by the stakeholders.         </t>
  </si>
  <si>
    <t xml:space="preserve">Requirements management plan This subsidiary plan defines how changes to the project requirements will be permitted, how requirements will be tracked, and how changes to the requirements will be approved.         </t>
  </si>
  <si>
    <t xml:space="preserve">Requirements traceability matrix (RTM) This is a table that maps the requirements throughout the project all the way to their completion.           </t>
  </si>
  <si>
    <t xml:space="preserve">Schedule milestones The project customer may have specific dates when phases of the project should be completed. These milestones are often treated as project constraints.          </t>
  </si>
  <si>
    <t xml:space="preserve">Scope creep Undocumented, unapproved changes to the project scope.            </t>
  </si>
  <si>
    <t xml:space="preserve">Scope validation The formal inspection of the project deliverables, which leads to project acceptance.           </t>
  </si>
  <si>
    <t xml:space="preserve">Stakeholder analysis A scope definition process where the project management team interviews the stakeholders and categorizes, prioritizes, and documents what the project customer wants and needs. The analysis is to determine, quantify, and prioritize the interests of the stakeholders.       </t>
  </si>
  <si>
    <t xml:space="preserve">Stakeholder analysis demands quantification of stakeholder objectives; goals such as “good,” “satisfaction,” and “speedy” aren’t quantifiable.           </t>
  </si>
  <si>
    <t xml:space="preserve">Systems analysis A scope definition approach that studies and analyzes a system, its components, and the relationship of the components within the system.          </t>
  </si>
  <si>
    <t xml:space="preserve">Systems engineering This project scope statement creation process studies how a system should work, designs and creates a system model, and then enacts the working system based on the project’s goals and the customer’s expectations. Systems engineering aims to balance the time and cost of the project in relation to the scope of the project.     </t>
  </si>
  <si>
    <t xml:space="preserve">Unanimity A group decision method where everyone must be in agreement.            </t>
  </si>
  <si>
    <t xml:space="preserve">Value analysis As with value engineering, this approach examines the functions of the project’s product in relation to the cost of the features and functions. This is where, to some extent, the grade of the product is in relationship to the cost of the product.        </t>
  </si>
  <si>
    <t xml:space="preserve">Value engineering This approach to project scope statement creation attempts to find the correct level of quality in relation to a reasonable budget for the project deliverable while still achieving an acceptable level of performance of the product.        </t>
  </si>
  <si>
    <t xml:space="preserve">WBS dictionary A WBS companion document that defines all of the characteristics of each element within the WBS.           </t>
  </si>
  <si>
    <t xml:space="preserve">WBS template A prepopulated WBS for repetitive projects. Previous projects’ WBSs are often used as templates for current similar projects.          </t>
  </si>
  <si>
    <t xml:space="preserve">Work breakdown structure (WBS) A deliverables-oriented breakdown of the project scope. Work package The smallest item in the WBS.           </t>
  </si>
  <si>
    <t xml:space="preserve">Work performance information Status of the deliverables: the work that’s been started, finished, or has yet to begin. Control threshold A predetermined range of acceptable variances, such as +/–10 percent off schedule. Should the variance exceed the threshold, then project control processes and corrected actions will be enacted. Crashing A schedule compression approach that adds more resources to activities on the critical path to complete the project earlier. When crashing a project, costs are added because the associated labor and sometimes resources (such as faster equipment) cause costs to increase. Critical path The path in the project network diagram that cannot be delayed, otherwise the project completion date will be late. There can be more than one critical path. Activities in the critical path have no float. Discretionary dependencies These dependencies are the preferred order of activities. Project managers should use these relationships at their discretion and should document the logic behind the decision. Discretionary dependencies allow activities to happen in a preferred order because of best practices, conditions unique to the project work, or external events. Also known as preferential or soft logic. Early finish The earliest a project activity can finish. Used in the forward pass procedure to discover the critical path and the project float. Early start The earliest a project activity can begin. Used in the forward pass procedure to discover the critical path and the project float. External dependencies As the name implies, these are dependencies outside of the project’s control. Examples include the delivery of equipment from a vendor, the deliverable of another project, or the decision of a committee, lawsuit, or expected new law. Fast tracking A schedule compression method that changes the relationship of activities. With fast tracking, activities that would normally be done in sequence are allowed to be done in parallel or with some overlap. Fast tracking can be accomplished by changing the relation of activities from FS to SS or even FF or by adding lead time to downstream activities. However, fast tracking does add risk to the project. Finish-to-finish An activity relationship type that requires the current activity to be finished before its successor can finish. Finish-to-start An activity relationship type that requires the current activity to be finished before its successor can start. Fragnet A representation of a project network diagram that is often used for outsourced portions of a project, repetitive work within a project, or a subproject. Also called a subnet. Free float This is the total time a single activity can be delayed without affecting the early start of its immediately following successor activities. Hard logic Logic that describes activities that must happen in a particular order. For example, the dirt must be excavated before the foundation can be built. The foundation must be in place before the framing can begin. Also known as a mandatory dependency. Internal dependencies Internal relationships to the project or the organization. For example, the project team must create the software as part of the project’s deliverable before the software can be tested for quality control. Lag time Positive time that moves two or more activities further apart. Late finish The latest a project activity can finish. Used in the backward pass procedure to discover the critical path and the project float. Late start The latest a project activity can begin. Used in the backward pass procedure to discover the critical path and the project float. Lead time Negative time that allows two or more activities to overlap where ordinarily these activities would be sequential. Management reserve A percentage of the project duration to combat Parkinson’s Law. When project activities become late, their lateness is subtracted from the management reserve. Mandatory dependencies These dependencies are the natural order of activities. For example, you can’t begin building your house until your foundation is in place. These relationships are called hard logic.        </t>
  </si>
  <si>
    <t>Monte Carlo analysis A project simulation approach named after the world-famous gambling district in Monaco. This predicts how scenarios may work out, given any number of variables. The process doesn’t actually churn out a specific answer, but a range of possible answers. When Monte Carlo analysis is applied to a schedule, it can examine, for example, the optimistic completion date, the pessimistic completion date, and the most likely completion date for each activity in the project and then predict a mean for the project schedule.</t>
  </si>
  <si>
    <t xml:space="preserve">Parametric estimate A quantitatively based duration estimate that uses mathematical formulas to predict how long an activity will take based on the quantities of work to be completed.         </t>
  </si>
  <si>
    <t xml:space="preserve">Parkinson’s Law A theory that states: “Work expands so as to fill the time available for its completion.” It is considered with time estimating, because bloated or padded activity estimates will fill the amount of time allotted to the activity.        </t>
  </si>
  <si>
    <t xml:space="preserve">Planning package A WBS entry located below a control account and above the work packages. A planning package signifies that there is more planning that needs to be completed for this specific deliverable.         </t>
  </si>
  <si>
    <t xml:space="preserve">Precedence diagramming method A network diagram that shows activities in nodes and the relationship between each activity. Predecessors come before the current activity, and successors come after the current activity.         </t>
  </si>
  <si>
    <t xml:space="preserve">Project calendars Calendars that identify when the project work will occur.            </t>
  </si>
  <si>
    <t xml:space="preserve">Project float This is the total time the project can be delayed without passing the customerexpected completion date.           </t>
  </si>
  <si>
    <t xml:space="preserve">Project network diagram A diagram that visualizes the flow of the project activities and their relationships to other project activities.           </t>
  </si>
  <si>
    <t xml:space="preserve">Refinement An update to the work breakdown structure.            </t>
  </si>
  <si>
    <t xml:space="preserve">Resource breakdown structure (RBS) This is a hierarchical breakdown of the project resources by category and resource type. For example, you could have a category of equipment, a category of human resources, and a category of materials. Within each category, you could identify the types of equipment your project will use, the types of human resources, and the types of materials.     </t>
  </si>
  <si>
    <t xml:space="preserve">Resource calendars Calendars that identify when project resources are available for the project work.           </t>
  </si>
  <si>
    <t xml:space="preserve">Resource-leveling heuristic A method to flatten the schedule when resources are overallocated. Resource leveling can be applied using different methods to accomplish different goals. One of the most common methods is to ensure that workers are not overextended on activities.       </t>
  </si>
  <si>
    <t xml:space="preserve">Rolling wave planning The imminent work is planned in detail, while the work in the future is planned at a high level. This is a form of progressive elaboration.          </t>
  </si>
  <si>
    <t xml:space="preserve">Schedule management plan A subsidiary plan in the project management plan. It defines how the project schedule will be created, estimated, controlled, and managed.          </t>
  </si>
  <si>
    <t xml:space="preserve">Soft logic The activities don’t necessarily have to happen in a specific order. For example, you could install the light fixtures first, then the carpet, and then paint the room. The project manager could use soft logic to change the order of the activities if so desired.       </t>
  </si>
  <si>
    <t xml:space="preserve">Start-to-finish An activity relationship that requires an activity to start so that its successor can finish. This is the most unusual of all the activity relationship types.          </t>
  </si>
  <si>
    <t xml:space="preserve">Start-to-start An activity relationship type that requires the current activity to start before its successor can start.           </t>
  </si>
  <si>
    <t xml:space="preserve">Subnet A representation of a project network diagram that is often used for outsourced portions of projects, repetitive work within a project, or a subproject. Also called a fragnet.         </t>
  </si>
  <si>
    <t xml:space="preserve">Template A previous project that can be adapted for the current project and forms that are pre-populated with organizational-specific information.          </t>
  </si>
  <si>
    <t xml:space="preserve">Three-point estimate An estimating technique for each activity that requires optimistic, most likely, and pessimistic estimates to be created. Based on these three estimates, an average can be created to predict how long the activity should take.        </t>
  </si>
  <si>
    <t xml:space="preserve">Total float This is the total time an activity can be delayed without delaying project completion.           </t>
  </si>
  <si>
    <t xml:space="preserve">Work package The smallest item in the work breakdown structure. Cost aggregation Costs are parallel to each WBS work package. The costs of each work package are aggregated to their corresponding control accounts. Each control account then is aggregated to the sum of the project costs. Cost baseline A time-lapse exposure of when the project monies are to be spent in relation to cumulative values of the work completed in the project. Cost budgeting The cost aggregation achieved by assigning specific dollar amounts for each of the scheduled activities or, more likely, for each of the work packages in the WBS. Cost budgeting applies the cost estimates over time. Cost change control system A system that examines any changes associated with scope changes, the cost of materials, and the cost of any other resources, and the associated impact on the overall project cost. Cost management plan The cost management plan dictates how cost variances will be managed. Cost of poor quality The monies spent to recover from not adhering to the expected level of quality. Examples may include rework, defect repair, loss of life or limb because safety precautions were not taken, loss of sales, and loss of customers. This is also known as the cost of nonconformance to quality. Cost of quality The monies spent to attain the expected level of quality within a project. Examples include training, testing, and safety precautions. Cost performance index (CPI) Measures the project based on its financial performance. The formula is CPI = EV/AC.           </t>
  </si>
  <si>
    <t xml:space="preserve">Cost variance (CV) The difference of the earned value amount and the cumulative actual costs of the project. The formula is CV = EV – AC.          </t>
  </si>
  <si>
    <t xml:space="preserve">Definitive estimate This estimate type is one of the most accurate. It’s used late in the planning processes and is associated with bottomup estimating. You need the WBS in order to create the definitive estimate. The range of variance for the estimate can be from –5 percent to +10 percent.       </t>
  </si>
  <si>
    <t xml:space="preserve">Direct costs Costs are attributed directly to the project work and cannot be shared among projects (for example, airfare, hotels, long-distance phone charges, and so on).          </t>
  </si>
  <si>
    <t xml:space="preserve">Earned value (EV) Earned value is the physical work completed to date and the authorized budget for that work. It is the percentage of the BAC that represents the actual work completed in the project.         </t>
  </si>
  <si>
    <t xml:space="preserve">Estimate at completion (EAC) These forecasting formulas predict the likely completed costs of the project based on current scenarios within the project.          </t>
  </si>
  <si>
    <t xml:space="preserve">Estimate to complete (ETC) An earned value management formula that predicts how much funding the project will require to be completed. Three variations of this formula are based on conditions the project may be experiencing.        </t>
  </si>
  <si>
    <t xml:space="preserve">Fixed costs Costs that remain constant throughout the life of the project (the cost of a piece of rented equipment for the project, the cost of a consultant brought on to the project, and so on).         </t>
  </si>
  <si>
    <t xml:space="preserve">Funding limit reconciliation An organization’s approach to managing cash flow against the project deliverables based on a schedule, milestone accomplishment, or data constraints.          </t>
  </si>
  <si>
    <t xml:space="preserve">Indirect costs Costs that are representative of more than one project (for example, utilities for the performing organization, access to a training room, project management software license, and so on).         </t>
  </si>
  <si>
    <t xml:space="preserve">Known unknown An event that will likely happen within the project, but when it will happen and to what degree is unknown. These events, such as delays, are usually risk-related.          </t>
  </si>
  <si>
    <t xml:space="preserve">Learning curve An approach that assumes the cost per unit decreases the more units workers complete, because workers learn as they complete the required work.          </t>
  </si>
  <si>
    <t xml:space="preserve">Oligopoly A market condition where the market is so tight that the actions of one vendor affect the actions of all the others.           </t>
  </si>
  <si>
    <t xml:space="preserve">Opportunity cost The total cost of the opportunity that is refused to realize an opposing opportunity.           </t>
  </si>
  <si>
    <t xml:space="preserve">Parametric estimating An approach using a parametric model to extrapolate what costs will be needed for a project (for example, cost per hour and cost per unit). It can include variables and points based on conditions.         </t>
  </si>
  <si>
    <t xml:space="preserve">Planned value (PV) Planned value is the work scheduled and the budget authorized to accomplish that work. It is the percentage of the BAC that reflects where the project should be at this point in time.         </t>
  </si>
  <si>
    <t xml:space="preserve">Project variance The final variance, which is discovered only at the project’s completion. The formula is VAR = BAC – AC.           </t>
  </si>
  <si>
    <t xml:space="preserve">Regression analysis This is a statistical approach to predicting what future values may be, based on historical values. Regression analysis creates quantitative predictions based on variables within one value to predict variables in another. This form of estimating relies solely on pure statistical math to reveal relationships between variables and to predict future values.     </t>
  </si>
  <si>
    <t xml:space="preserve">Reserve analysis Cost reserves are for unknown unknowns within a project. The management reserve is not part of the project cost baseline, but is included as part of the project budget.         </t>
  </si>
  <si>
    <t xml:space="preserve">Rough order of magnitude This rough estimate is used during the initiating processes and in top-down estimates. The range of variance for the estimate can be from –25 percent to +75 percent.         </t>
  </si>
  <si>
    <t xml:space="preserve">Schedule performance index (SPI) Measures the project based on its schedule performance. The formula is SPI = EV/PV.           </t>
  </si>
  <si>
    <t xml:space="preserve">Schedule variance (SV) The difference between the earned value and the planned value. The formulas is SV = EV – PV.           </t>
  </si>
  <si>
    <t xml:space="preserve">Single source Many vendors can provide what your project needs to purchase, but you prefer to work with a specific vendor.           </t>
  </si>
  <si>
    <t xml:space="preserve">Sole source Only one vendor can provide what your project needs to purchase. Examples include a specific consultant, specialized service, or unique type of material.          </t>
  </si>
  <si>
    <t xml:space="preserve">Sunk costs Monies that have already been invested in a project.            </t>
  </si>
  <si>
    <t xml:space="preserve">To-Complete Performance Index A formula to forecast the likelihood of a project to achieve its goals based on what’s happening in the project right now. There are two different flavors for the TCPI, depending on what you want to accomplish. If you want to see if your project can meet the budget at completion, you’ll use this formula: TCPI = (BAC – EV)/(BAC – AC). If you want to see if your project can meet the newly created estimate at completion, you’ll use this version of the formula: TCPI = (BAC – EV)/(EAC – AC). </t>
  </si>
  <si>
    <t xml:space="preserve">Variable costs Costs that change based on the conditions applied in the project (the number of meeting participants, the supply of and demand for materials, and so on).         </t>
  </si>
  <si>
    <t xml:space="preserve">Variance The difference between what was expected and what was experienced.            </t>
  </si>
  <si>
    <t xml:space="preserve">Activity network diagram These diagrams, such as the project network diagram, show the flow of the project work.            </t>
  </si>
  <si>
    <t xml:space="preserve">Affinity diagram This diagram breaks down ideas, solutions, causes, and project components and groups them together with other similar ideas and components.          </t>
  </si>
  <si>
    <t xml:space="preserve">Benchmarking Comparing any two similar entities to measure their performance.            </t>
  </si>
  <si>
    <t xml:space="preserve">Cause-and-effect diagrams Diagrams that show the relationship between variables within a process and how those relationships may contribute to inadequate quality. The diagrams can help organize both the process and team opinions, as well as generate discussion on finding a solution to ensure quality.        </t>
  </si>
  <si>
    <t xml:space="preserve">Checklist A simple approach to ensure that work is completed according to the quality policy.            </t>
  </si>
  <si>
    <t xml:space="preserve">Control chart A quality control chart that maps the performance of project work over time.            </t>
  </si>
  <si>
    <t xml:space="preserve">Control quality An inspection-driven process that measures work results to confirm that the project is meeting the relevant quality standards.           </t>
  </si>
  <si>
    <t xml:space="preserve">Cost of conformance This is the cost associated with the monies spent to attain the expected level of quality. It is also known as the cost of quality.           </t>
  </si>
  <si>
    <t xml:space="preserve">Cost of nonconformance to quality The cost associated with not satisfying quality expectations. This is also known as the cost of poor quality.           </t>
  </si>
  <si>
    <t xml:space="preserve">Cost-benefit analysis A process to study the trade-offs between costs and the benefits realized from those costs.            </t>
  </si>
  <si>
    <t xml:space="preserve">Design of experiments An approach that relies on statistical scenarios to determine what variables within a project will result in the best outcome.           </t>
  </si>
  <si>
    <t xml:space="preserve">External QA Assurance provided to the external customers of the project.            </t>
  </si>
  <si>
    <t xml:space="preserve">Flowchart A diagram illustrating how components within a system are related. Flowcharts show the relation between components, as well as help the project team determine where quality issues may be present and, once done, plan accordingly.         </t>
  </si>
  <si>
    <t xml:space="preserve">Internal QA Assurance provided to management and the project team.            </t>
  </si>
  <si>
    <t xml:space="preserve">ISO The abbreviation for the International Organization for Standardization. ISO is Greek for “equal,” while “International Organization for Standardization” in a different language would be abbreviated differently. The organization elected to use “ISO” for all languages.        </t>
  </si>
  <si>
    <t xml:space="preserve">Matrix diagram A data analysis table that shows the strength between variables and relationships in the matrix.           </t>
  </si>
  <si>
    <t xml:space="preserve">Pareto diagram A histogram that illustrates and ranks categories of failure within a project.            </t>
  </si>
  <si>
    <t xml:space="preserve">Quality According to ASQ, the degree to which a set of inherent characteristics fulfills requirements.            </t>
  </si>
  <si>
    <t xml:space="preserve">Quality assurance A management process that defines the quality system or quality policy that a project must adhere to. QA aims to plan quality into the project rather than to inspect quality into a deliverable.         </t>
  </si>
  <si>
    <t xml:space="preserve">Quality management plan This plan defines how the project team will implement and fulfill the quality policy of the performing organization.           </t>
  </si>
  <si>
    <t xml:space="preserve">Quality metrics The operational definitions that specify the measurements within a project and the expected targets for quality and performance.           </t>
  </si>
  <si>
    <t xml:space="preserve">Quality planning The process of first determining which quality standards are relevant to your project and then finding out the best methods of adhering to those quality standards.          </t>
  </si>
  <si>
    <t xml:space="preserve">Rule of Seven A component of a control chart that illustrates the results of seven measurements on one side of the mean, which is considered “out of control” in the project.          </t>
  </si>
  <si>
    <t xml:space="preserve">Run chart A quality control tool that shows the results of inspection in the order in which they’ve occurred. The goal of a run chart is first to demonstrate the results of a process over time and then to use trend analysis to predict when certain trends may reemerge.        </t>
  </si>
  <si>
    <t xml:space="preserve">Scatter diagram A quality control tool that tracks the relationship between two variables over time. The two variables are considered related the closer they track against a diagonal line.          </t>
  </si>
  <si>
    <t xml:space="preserve">Seven basic quality tools These seven tools are used in quality planning and in quality control: cause-and-effect diagrams, flowcharts, check sheets, Pareto diagrams, histograms, control charts, and scatter diagrams.          </t>
  </si>
  <si>
    <t xml:space="preserve">Statistical sampling A process of choosing a percentage of results at random. For example, a project creating a medical device may have 20 percent of all units randomly selected to check for quality.          </t>
  </si>
  <si>
    <t xml:space="preserve">System or process flowcharts Flowcharts that illustrate the flow of a process through a system, such as a project change request through the change control system, or work authorization through a quality control process.         </t>
  </si>
  <si>
    <t xml:space="preserve">Tree diagram Tree diagrams show the hierarchies and decomposition of a solution, an organization, or a project team. The WBS and an org chart are examples of tree diagrams.          </t>
  </si>
  <si>
    <t xml:space="preserve">Adjourning Once the project is done, either the team moves onto other assignments as a unit, or the project team is disbanded and individual team members go on to other work.          </t>
  </si>
  <si>
    <t xml:space="preserve">Authority power Project management team members may have authority over other project team members, may have the ability to make decisions, and perhaps even sign approvals for project work and purchases.         </t>
  </si>
  <si>
    <t xml:space="preserve">Coercive power The project manager has the authority to discipline the project team members. This is also known as penalty power.           </t>
  </si>
  <si>
    <t xml:space="preserve">Collaborate/Problem solving This approach confronts the problem head-on and is the preferred method of conflict resolution. Multiple viewpoints and perspectives contribute to the solution.          </t>
  </si>
  <si>
    <t xml:space="preserve">Collective bargaining agreement constraints Contracts and agreements with unions or other employee groups may serve as constraints on the project.           </t>
  </si>
  <si>
    <t xml:space="preserve">Competency This attribute defines what talents, skills, and capabilities are needed to complete the project work.           </t>
  </si>
  <si>
    <t xml:space="preserve">Compromising This approach requires that both parties give up something.            </t>
  </si>
  <si>
    <t xml:space="preserve">Vroom’s Expectancy Theory This theory states that people will behave based on what they expect as a result of their behavior. In other words, people will work in relation to the expected reward.          </t>
  </si>
  <si>
    <t xml:space="preserve">Expert power The project manager’s authority comes both from experience with the technology the project focuses on and from expertise in managing projects. Forcing power The person with the power makes the decision.         </t>
  </si>
  <si>
    <t xml:space="preserve">Formal power The project manager has been assigned the role of project manager by senior management and is in charge of the project.           </t>
  </si>
  <si>
    <t xml:space="preserve">Forming The project team meets and learns about their roles and responsibilities on the project. Little interaction among the project team happens in this stage as the team is learning about the project and project manager.         </t>
  </si>
  <si>
    <t xml:space="preserve">Herzberg’s Theory of Motivation Frederick Herzberg’s theory of the motivating agents and hygiene agents that affect a person’s willingness to excel in his career.           </t>
  </si>
  <si>
    <t xml:space="preserve">Hierarchical organizational chart A chart showing the relationship between superior and subordinate employees, groups, disciplines, and even departments.           </t>
  </si>
  <si>
    <t xml:space="preserve">Issue log A logbook of the issues the project team has identified and dates as to when the issues must be resolved by. The issue log may also include team members or stakeholders who are responsible for finding a solution to the identified issues.        </t>
  </si>
  <si>
    <t xml:space="preserve">Maslow’s Hierarchy of Needs Abraham Maslow’s theory of the five needs all humans have and work toward.            </t>
  </si>
  <si>
    <t xml:space="preserve">McClelland’s Theory of Needs David McClelland developed this theory, which states our needs are acquired and developed by our experiences over time. All people are, according to this theory, driven by one of three needs: achievement, affiliation, or power.         </t>
  </si>
  <si>
    <t xml:space="preserve">McGregor’s Theory of X and Y Douglas McGregor’s theory that states management views workers in the Y category as competent and self-led and workers in the X category as incompetent and needing to be micromanaged.         </t>
  </si>
  <si>
    <t xml:space="preserve">Multicriteria Decision Analysis A method to rate potential project team members based on criteria such as education, experience, skills, knowledge, and more.           </t>
  </si>
  <si>
    <t xml:space="preserve">Norming Project team members go about getting the project work, begin to rely on one another, and generally complete their project assignments.           </t>
  </si>
  <si>
    <t xml:space="preserve">Organization chart Traditional chart that depicts how the organization is broken down by department and disciplines. This chart is sometimes called the organizational breakdown structure (OBS) and is arranged by departments, units, or teams.         </t>
  </si>
  <si>
    <t xml:space="preserve">Ouchi’s Theory Z William Ouchi’s theory is based on the participative management style of the Japanese. This theory states that workers are motivated by a sense of commitment, opportunity, and advancement.         </t>
  </si>
  <si>
    <t xml:space="preserve">Performing If a project team can reach the performing stage of team development, they trust one another, work well together, and issues and problems get resolved quickly and effectively.          </t>
  </si>
  <si>
    <t xml:space="preserve">Political interfaces The hidden goals, personal agendas, and alliances among the project team members and the stakeholders.           </t>
  </si>
  <si>
    <t xml:space="preserve">RACI chart A RACI chart is a matrix chart that only uses the activities of responsible, accountable, consult, and inform.           </t>
  </si>
  <si>
    <t xml:space="preserve">Referent power The project team personally knows the project manager. Referent can also mean that the project manager refers to the person who assigned him the position.          </t>
  </si>
  <si>
    <t xml:space="preserve">Resource breakdown structure (RBS) This hierarchical chart can decompose the project by the type of resources used throughout it.           </t>
  </si>
  <si>
    <t xml:space="preserve">Responsibility assignment matrix (RAM) A RAM chart shows the correlation between project team members and the work they’ve been assigned to complete. Responsibility A responsibility is the work that a role performs.          </t>
  </si>
  <si>
    <t xml:space="preserve">Acknowledgment The receiver signals that the message has been received. An acknowledgment shows receipt of the message, but not necessarily agreement with the message.          </t>
  </si>
  <si>
    <t xml:space="preserve">Active listening The receiver confirms that the message is being received through feedback, questions, prompts for clarity, and other signs of confirmation.           </t>
  </si>
  <si>
    <t xml:space="preserve">Choice of media The best modality to use when communicating that is relevant to the information being communicated.           </t>
  </si>
  <si>
    <t xml:space="preserve">Communication assumptions Anything that the project management team believes to be true but hasn’t proven to be true. For example, the project management team may assume that all of the project team can be reached via cell phone, but parts of the world, as of this writing, don’t have a cell signal.        </t>
  </si>
  <si>
    <t xml:space="preserve">Communication barrier Anything that prohibits communication from occurring.            </t>
  </si>
  <si>
    <t xml:space="preserve">Communication channels formula N(N – 1)/2, where N represents the number of identified stakeholders. This formula reveals the total number of communication channels within a project.          </t>
  </si>
  <si>
    <t xml:space="preserve">Communication constraints Anything that limits the project management team’s options. When it comes to communication constraints, geographical locales, incompatible communications software, and even limited communications technology can constrain the project team.        </t>
  </si>
  <si>
    <t xml:space="preserve">Communications management plan A project management subsidiary plan that defines the stakeholders who need specific information, the person who will supply the information, the schedule for the information to be supplied, and the approved modality to provide the information.        </t>
  </si>
  <si>
    <t xml:space="preserve">Decoder The device that decodes a message as it is being received.            </t>
  </si>
  <si>
    <t xml:space="preserve">Effective listening The receiver is involved in the listening experience by paying attention to visual cues from the speaker and paralingual characteristics, and by asking relevant questions. Encoder The device that encodes the message being sent.         </t>
  </si>
  <si>
    <t xml:space="preserve">Feedback The sender confirms that the receiver understands the message by directly asking for a response, questions for clarification, or other confirmation.          </t>
  </si>
  <si>
    <t xml:space="preserve">Influence/impact grid Stakeholders are mapped on a grid based on their influence over the project in relation to their influence over the project execution.           </t>
  </si>
  <si>
    <t xml:space="preserve">Information presentation tools A software package that allows the project management team to present the project’s health through graphics, spreadsheets, and text. (Think of Microsoft Project.)          </t>
  </si>
  <si>
    <t xml:space="preserve">Information retrieval system A system to quickly and effectively store, archive, and access project information.            </t>
  </si>
  <si>
    <t xml:space="preserve">Interactive communication This is the most common and most effective approach to communication. It’s where two or more people exchange information. Consider status meetings, ad-hoc meetings, phone calls, and videoconferences.         </t>
  </si>
  <si>
    <t xml:space="preserve">Lessons learned This is documentation of what did and did not work in the project implementation. Lessons learned documentation is created throughout the project by the entire project team. When lessons learned sessions are completed, they’re available to be used and applied by the entire organization. They are now part of the organizational process assets.      </t>
  </si>
  <si>
    <t xml:space="preserve">Medium The device or technology that transports a message.            </t>
  </si>
  <si>
    <t xml:space="preserve">Noise Anything that interferes with or disrupts a message.            </t>
  </si>
  <si>
    <t xml:space="preserve">Nonverbal Facial expressions, hand gestures, and body language are nonverbal cues that contribute to a message. Approximately 55 percent of communication is nonverbal.          </t>
  </si>
  <si>
    <t xml:space="preserve">Paralingual The pitch, tone, and inflections in the sender’s voice affecting the message being sent.            </t>
  </si>
  <si>
    <t xml:space="preserve">Performance report A report that depicts how well a project is performing. Often, the performance report is based on earned value management and may include cost or schedule variance reports.          </t>
  </si>
  <si>
    <t xml:space="preserve">Project presentations Presentations are useful in providing information to customers, management, the project team, and other stakeholders.           </t>
  </si>
  <si>
    <t xml:space="preserve">Project records All the business of the project communications is also part of the organizational process assets. This includes e-mails, memos, letters, and faxes.           </t>
  </si>
  <si>
    <t xml:space="preserve">Project reports Reports are formal communications on project activities, their status, and conditions.            </t>
  </si>
  <si>
    <t xml:space="preserve">Pull communication This approach pulls the information from a central repository, like a database of information. Pull communications are good for large groups of stakeholders who want to access project information at their discretion. Consider a project web site where stakeholders can periodically drop by for a quick update on the project status.       </t>
  </si>
  <si>
    <t xml:space="preserve">Push communication This approach pushes the information from the sender to the receiver without any real acknowledgment that the information was really received or understood. Consider letters, faxes, voicemail messages, e-mails, and other communications modalities that the sender packages and sends to receivers through some intermediary network. Receiver The person who receives the message. Sender The person who is sending the message. Sender–receiver models Feedback loops and barriers to communications. Stakeholder notifications Notices to the stakeholders about resolved issues, approved changes, and the overall health of the project. Status review meeting A regularly scheduled meeting to discuss the status of the project and its progress toward completing the project scope statement. Time reporting system A system to record the actual time to complete project activities.    </t>
  </si>
  <si>
    <t xml:space="preserve">Acceptance A risk response appropriate for both positive and negative risks, but often used for smaller risks within a project.           </t>
  </si>
  <si>
    <t xml:space="preserve">Ambiguity risks Risks that have an uncertain, unclear nature, such as new laws or regulations, the marketplace conditions, and other risks that are nearly impossible to predict. Avoidance A risk response to avoid the risk.         </t>
  </si>
  <si>
    <t xml:space="preserve">Brainstorming The most common approach to risk identification; usually completed by a project team with subject matter experts to identify the risks within the project.          </t>
  </si>
  <si>
    <t xml:space="preserve">Business risks These risks may have negative or positive outcomes. Examples include using a less experienced worker to complete a task, allowing phases or activities to overlap, or forgoing the expense of formal training for on-the-job education.        </t>
  </si>
  <si>
    <t xml:space="preserve">Cardinal scales A ranking approach to identify the probability and impact by using a numerical value, from .01 (very low) to 1.0 (certain).           </t>
  </si>
  <si>
    <t xml:space="preserve">Checklists A quick and cost-effective risk identification approach.            </t>
  </si>
  <si>
    <t xml:space="preserve">Data precision The consideration of the risk ranking scores that takes into account any bias, the accuracy of the data submitted, and the reliability of the nature of the data submitted.          </t>
  </si>
  <si>
    <t xml:space="preserve">Decision tree A method to determine which of two or more decisions is the best one. The model examines the costs and benefits of each decision’s outcome and weighs the probability of success for each of the decisions.         </t>
  </si>
  <si>
    <t xml:space="preserve">Delphi Technique An anonymous method of querying experts about foreseeable risks within a project, phase, or component of a project. The results of the survey are analyzed by a third party, organized, and then circulated to the experts. There can be several rounds of anonymous discussion with the Delphi Technique, without fear of backlash or offending other participants in the process. The goal is to gain consensus on project risks within the project.    </t>
  </si>
  <si>
    <t xml:space="preserve">Enhancing A risk response that attempts to enhance the conditions to ensure that a positive risk event will likely happen.           </t>
  </si>
  <si>
    <t xml:space="preserve">Escalating A risk response that is appropriate for both positive and negative risk events that may outside of the project manager’s authority to act upon.          </t>
  </si>
  <si>
    <t xml:space="preserve">Expected monetary value (EMV) The monetary value of a risk exposure based on the risk’s probability and impact in the risk matrix. This approach is typically used in quantitative risk analysis because it quantifies the risk exposure.         </t>
  </si>
  <si>
    <t xml:space="preserve">Exploit A risk response that takes advantage of the positive risks within a project.            </t>
  </si>
  <si>
    <t xml:space="preserve">External risks These risks are outside of the project, but directly affect it—for example, legal issues, labor issues, a shift in project priorities, or weather. “Force majeure” risks call for disaster recovery rather than project management. These are risks caused by earthquakes, tornadoes, floods, civil unrest, and other disasters.       </t>
  </si>
  <si>
    <t xml:space="preserve">Flowcharts System or process flowcharts show the relationship between components and how the overall process works. These are useful for identifying risks between system components.          </t>
  </si>
  <si>
    <t xml:space="preserve">Influence diagrams An influence diagram charts out a decision problem. It identifies all of the elements, variables, decisions, and objectives and also how each factor may influence another.          </t>
  </si>
  <si>
    <t xml:space="preserve">Ishikawa diagrams These cause-and-effect diagrams are also called fishbone diagrams and are used to find the root cause of factors that are causing risks within the project.          </t>
  </si>
  <si>
    <t xml:space="preserve">Low-priority risk watch list Low-priority risks are identified and assigned to a watch list for periodic monitoring.            </t>
  </si>
  <si>
    <t xml:space="preserve">Mitigation A risk response effort to reduce the probability and/or impact of an identified risk in the project.            </t>
  </si>
  <si>
    <t xml:space="preserve">Monte Carlo technique A simulation technique that got its name from the casinos of Monte Carlo, Monaco. The simulation is completed using a computer software program that can simulate a project, using values for all possible variables, to predict the most likely model.        </t>
  </si>
  <si>
    <t xml:space="preserve">Ordinal scales A ranking approach that identifies and ranks the risks from very high to very unlikely or to some other value.           </t>
  </si>
  <si>
    <t xml:space="preserve">Organizational risks The performing organization can contribute to the project’s risks through unreasonable cost, time, and scope expectations; poor project prioritization; inadequate funding or the disruption of funding; and competition with other projects for internal resources.        </t>
  </si>
  <si>
    <t xml:space="preserve">PESTLE A prompt list used for risk identification. PESTLE examines risks in the Political, Economic, Social, Technological, Legal, and Environmental domains.          </t>
  </si>
  <si>
    <t xml:space="preserve">Probability and impact matrix A matrix that ranks the probability of a risk event occurring and its impact on the project if the event does happen; used in qualitative and quantitative risk analyses.          </t>
  </si>
  <si>
    <t xml:space="preserve">Project management risks These risks deal with faults in the management of the project: the unsuccessful allocation of time, resources, and scheduling; unacceptable work results; and poor project management.          </t>
  </si>
  <si>
    <t xml:space="preserve">Pure risks These risks have only a negative outcome. Examples include loss of life or limb, fire, theft, natural disasters, and the like.           </t>
  </si>
  <si>
    <t xml:space="preserve">Qualitative risk analysis This approach “qualifies” the risks that have been identified in the project. Specifically, qualitative risk analysis examines and prioritizes risks based on their probability of occurring and their impact on the project should they occur.         </t>
  </si>
  <si>
    <t xml:space="preserve">Quantitative risk analysis This approach attempts to numerically assess the probability and impact of the identified risks. It also creates an overall risk score for the project. This method is more in-depth than qualitative risk analysis and relies on several different tools to accomplish its goal.        </t>
  </si>
  <si>
    <t xml:space="preserve">RAG rating An ordinal scale that uses red, amber, and green (RAG) to capture the probability, impact, and risk score.           </t>
  </si>
  <si>
    <t xml:space="preserve">Residual risks Risks that are expected to remain after a risk response.            </t>
  </si>
  <si>
    <t xml:space="preserve">Risk A project risk is an uncertain event or condition that can have a positive or negative impact on the project.           </t>
  </si>
  <si>
    <t xml:space="preserve">Risk identification The systematic process of combing through the project, the project plan, the work breakdown structure, and all supporting documentation to identify as many risks that may affect the project as possible.         </t>
  </si>
  <si>
    <t xml:space="preserve">Risk management plan A project management subsidiary plan that defines how risks will be identified, analyzed, responded to, and monitored within the project. The plan also defines the iterative risk management process that the project is expected to adhere to.        </t>
  </si>
  <si>
    <t xml:space="preserve">Risk management planning The agreed-upon approach to the management of the project risk processes.            </t>
  </si>
  <si>
    <t xml:space="preserve">Risk owners The individuals or entities that are responsible for monitoring and responding to an identified risk within the project.           </t>
  </si>
  <si>
    <t xml:space="preserve">Risk register The risk register is a project plan component that contains all of the information related to the risk management activities. It’s updated as risk management activities are conducted to reflect the status, progress, and nature of the project risks.        </t>
  </si>
  <si>
    <t xml:space="preserve">Risk report The risk report explains the overall project risks and provides summaries about the individual project risks.           </t>
  </si>
  <si>
    <t xml:space="preserve">Risk response audit An audit to test the validity of the established risk responses.            </t>
  </si>
  <si>
    <t xml:space="preserve">Risk responsibilities The level of ownership an individual or entity has over a project risk.            </t>
  </si>
  <si>
    <t xml:space="preserve">Risk score The calculated score based on each risk’s probability and impact. The approach can be used in both qualitative and quantitative risk analysis.          </t>
  </si>
  <si>
    <t xml:space="preserve">Root cause identification Root cause identification aims to find out why a risk event may be occurring, the causal factors for the risk events, and then, eventually, how the events can be mitigated or eliminated.          </t>
  </si>
  <si>
    <t xml:space="preserve">Secondary risks New risks that are created as a result of a risk response.            </t>
  </si>
  <si>
    <t xml:space="preserve">Sensitivity analysis A quantitative risk analysis tool that examines each risk to determine which one has the largest impact on the project’s success.           </t>
  </si>
  <si>
    <t xml:space="preserve">Sharing A risk response that shares the advantages of a positive risk within a project.            </t>
  </si>
  <si>
    <t xml:space="preserve">SWOT analysis SWOT analysis is the process of examining the project from the perspective of each characteristic: strengths, weaknesses, opportunities, and threats.          </t>
  </si>
  <si>
    <t xml:space="preserve">TECOP A prompt list used in risk identification to examine the Technical, Environmental, Commercial, Operational, and Political factors of the project. Technical, quality, or performance risks Technical risks are associated with new, unproven, or complex technologies being used on the project. Changes to the technology during the project implementation can also be a risk. Quality risks are the levels set for expectations of impractical quality and performance.   </t>
  </si>
  <si>
    <t xml:space="preserve">Transference A risk response that transfers the ownership of the risk to another party. Insurance, licensed contractors, or other project teams are good examples of transference. A fee and contractual relationships are typically involved with the transference of a risk.        </t>
  </si>
  <si>
    <t xml:space="preserve">Variability risks A type of risk based on the variations that may occur in the project, such as production, number of quality errors, or even the weather.           </t>
  </si>
  <si>
    <t xml:space="preserve">VUCA A prompt list used in risk identification that examines the Volatility, Uncertainty, Complexity, and Ambiguity of risk factors within the project. Contract change control system This defines the procedures for how the contract may be changed. The process for changing the contract includes the forms; documented communications; tracking; conditions within the project, business, or marketplace that justify the needed change; dispute resolution procedures; and the procedures for getting the changes approved within the performing organization. Contract statement of work (SOW also CSOW) This document requires that the seller fully describe the work to be completed and/or the product to be supplied. The SOW becomes part of the contract between the buyer and the seller. Cost plus award fee contract A contract that pays the vendor all costs for the project, but also includes a buyer-determined award fee for the project work. Cost plus fixed fee contract A contract that requires the buyer to pay for the cost of the goods and services procured plus a fixed fee for the contracted work. The buyer assumes the risk of a cost overrun. Cost plus incentive fee A contract type that requires the buyer to pay a cost for the procured work, plus an incentive fee, or a bonus, for the work if terms and conditions are met. Cost plus percentage of costs A contract that requires the buyer to pay for the costs of the goods and services procured plus a percentage of the costs. The buyer assumes all of the risks for cost overruns. Direct costs These are costs incurred by the project in order for the project to exist. Examples include the equipment needed to complete the project work, salaries of the project team, and other expenses tied directly to the project’s existence.          </t>
  </si>
  <si>
    <t xml:space="preserve">Fixed-price contracts Also known as firm fixed-price and lumpsum contracts, these are agreements that define a total price for the product the seller is to provide.          </t>
  </si>
  <si>
    <t xml:space="preserve">Fixed-price incentive fee A fixed-price contract with opportunities for bonuses for meeting goals on costs, schedule, and other objectives. These contracts usually have a price ceiling for costs and associated bonuses. Fixed-price with economic price adjustments A fixed-price contract with a special allowance for price increases based on economic reasons such as inflation or the cost of raw materials.   </t>
  </si>
  <si>
    <t xml:space="preserve">Force majeure An “act of God” that may have a negative impact on the project. Examples include fire, hurricanes, tornadoes, and earthquakes.          </t>
  </si>
  <si>
    <t xml:space="preserve">Independent estimates These estimates are often referred to as “should cost” estimates. They are created by the performing organization or outside experts to predict what the cost of the procured product should be.         </t>
  </si>
  <si>
    <t xml:space="preserve">Indirect costs These are costs attributed to the cost of doing business. Examples include utilities, office space, and other overhead costs.          </t>
  </si>
  <si>
    <t xml:space="preserve">Invitation for Bid (IFB) From buyer to seller. Requests the seller to provide a price for the procured product or service.           </t>
  </si>
  <si>
    <t xml:space="preserve">Letter contract A letter contract allows the vendor to begin working on the project immediately. It is often used as a stopgap solution.           </t>
  </si>
  <si>
    <t xml:space="preserve">Letter of intent A letter of intent is not a contract, but a letter stating that the buyer is intending to create a contractual relationship with the seller.          </t>
  </si>
  <si>
    <t xml:space="preserve">Make-or-buy decision A process in which the project management team determines the costeffectiveness, benefits, and feasibility of making a product or buying it from a vendor.         </t>
  </si>
  <si>
    <t xml:space="preserve">Privity The contractual relationship between the buyer and the seller is often considered confidential and secret.           </t>
  </si>
  <si>
    <t xml:space="preserve">Procurement management plan A project management subsidiary plan that documents the decisions made in the procurement planning processes.           </t>
  </si>
  <si>
    <t xml:space="preserve">Procurement planning A process to identify which parts of the project warrant procurement from a vendor by the buyer.           </t>
  </si>
  <si>
    <t xml:space="preserve">Proposal A document the seller provides to the buyer. The proposal includes more than just a fee for the proposed work. It also includes information on the vendor’s skills, the vendor’s reputation, and ideas on how the vendor can complete the contracted work for the buyer.       </t>
  </si>
  <si>
    <t xml:space="preserve">Purchase order (PO) A purchase order is a form of unilateral contract that the buyer provides to the vendor showing that the purchase has been approved by the buyer’s organization.         </t>
  </si>
  <si>
    <t xml:space="preserve">Quotation From seller to buyer. Price is the determining factor in the decision-making process.           </t>
  </si>
  <si>
    <t xml:space="preserve">Request for Proposal (RFP) From buyer to seller. Requests the seller to provide a proposal to complete the procured work or to provide the procured product.          </t>
  </si>
  <si>
    <t xml:space="preserve">Request for Quote (RFQ) From buyer to seller. Requests the seller to provide a price for the procured product or service.           </t>
  </si>
  <si>
    <t xml:space="preserve">Risk-related contractual agreements When the project management team decides to use transference to respond to a risk, a risk-related contractual agreement is created between the buyer and the seller.         </t>
  </si>
  <si>
    <t xml:space="preserve">Screening system A tool that filters or screens out vendors that don’t qualify for the contract.            </t>
  </si>
  <si>
    <t xml:space="preserve">Seller rating systems These are used by organizations to rate prior experience with each vendor that they have worked with in the past. The seller rating system can track performance, quality ratings, delivery, and even contract compliance.        </t>
  </si>
  <si>
    <t xml:space="preserve">Terms of Reference Defines the obligations for the seller, what the seller will provide, and all of the particulars of the contracted work. Terms of reference is similar to the statement of work.         </t>
  </si>
  <si>
    <t xml:space="preserve">Time and materials contract A contract type in which the buyer pays for the time and materials for the procured work. This is a simple contract, usually for smaller procurement conditions. These contract types require a not-to-exceed clause, or the buyer assumes the risk for cost overruns.       </t>
  </si>
  <si>
    <t xml:space="preserve">Interactive communications This type of communication means that information is happening among stakeholders, like in a forum. Examples of interactive communications are meetings, videoconferences, phone calls, and ad-hoc conversations. Interactive communications means that the participants are actively communicating with one another.      </t>
  </si>
  <si>
    <t xml:space="preserve">Brain writing A data gathering technique that’s similar to brainstorming, but provides brainstorming meeting participants with the questions and topics for brainstorming before the stakeholder identification meeting.         </t>
  </si>
  <si>
    <t xml:space="preserve">Key stakeholder Stakeholders—such as management, the project manager, program manager, or customers—that have the authority to make decisions in the project.          </t>
  </si>
  <si>
    <t xml:space="preserve">Leading stakeholder status Part of stakeholder analysis classification. A leading stakeholder is aware of your project, they want your project to be successful, and the stakeholder is working to make certain the project is a success.         </t>
  </si>
  <si>
    <t xml:space="preserve">Negative stakeholder A stakeholder who does not want the project to exist and is opposed to the project.            </t>
  </si>
  <si>
    <t xml:space="preserve">Neutral stakeholder A stakeholder who has neither a positive nor negative attitude about the project’s existence.            </t>
  </si>
  <si>
    <t xml:space="preserve">Neutral stakeholder status Part of stakeholder analysis classification. A neutral stakeholder is aware of your project and is not concerned if the project succeeds or fails.           </t>
  </si>
  <si>
    <t xml:space="preserve">Positive stakeholder A stakeholder who sees the benefits of the project and is in favor of the change the project is to bring about. Profile analysis meeting This is an analysis meeting to examine and document the roles in the project. The role’s interests, concerns, influence, project knowledge, and attitude are documented. Pull communications This type of communication pulls information from a central repository. Pull communications allow stakeholders to retrieve information from a central source as needed. Push communications This type of communication happens when the sender pushes the same message to multiple people. Good examples of push communications are broadcast text messages, faxes, press releases, and group e-mails. Reporting system A reporting system is a software program to store and analyze project data for reporting. A common reporting system will take project data, allow the project manager to pass the data through earned value management, for example, and then create forecasting reports about the project costs and schedule. Resistant stakeholder status Part of stakeholder analysis classification. A resistant stakeholder is aware of your project, but they do not support the changes your project will create. Stakeholder Anyone who is affected by the existence of the project or who can affect the project’s existence. Stakeholders can enter and exit the project as conditions change within the project. Stakeholder analysis An activity that ranks stakeholders based on their influence, interests, and expectations of the project. Stakeholders are identified and ranked, and then their needs and expectations are documented and addressed. Stakeholder classification models These are charts and diagrams that help the project manager determine the influence of stakeholders in relation to their interest in the project. Common classification models include the power/interest grid, the power/influence grid, the influence/impact grid, and the salience model.          </t>
  </si>
  <si>
    <t xml:space="preserve">Stakeholder engagement The project manager works to keep the project stakeholders interested, involved, and supportive of the project. Through communication, management skills, and interpersonal skills, the project manager can work to keep the project stakeholders engaged and interested in the project.       </t>
  </si>
  <si>
    <t xml:space="preserve">Stakeholder identification A project initiation activity to identify, document, and classify the project stakeholders as early as possible in the project.           </t>
  </si>
  <si>
    <t xml:space="preserve">Stakeholder management The project management knowledge area that focuses on the management and engagement of the project stakeholders. There are four processes in this knowledge area: identify stakeholders, plan stakeholder management, manage stakeholder engagement, and Monitor Stakeholder Engagement.       </t>
  </si>
  <si>
    <t xml:space="preserve">Stakeholder engagement plan The stakeholder engagement plan documents a strategy for managing the engagement of project stakeholders. The stakeholder engagement plan establishes stakeholder engagement and defines how the project manager can increase and improve stakeholder engagement.        </t>
  </si>
  <si>
    <t xml:space="preserve">Stakeholder engagement planning The project manager works with the project team and subject matter experts to create a strategy to manage the project stakeholders.           </t>
  </si>
  <si>
    <t xml:space="preserve">Stakeholder register A documentation of each stakeholder’s contact information, position, concerns, interests, and attitude toward the project. The project manager updates the register as new stakeholders are identified and when stakeholders leave the project.        </t>
  </si>
  <si>
    <t xml:space="preserve">Supportive stakeholder status This is part of stakeholder analysis classification. A supportive stakeholder is aware of your project and is supportive and hopeful that the project will be successful.          </t>
  </si>
  <si>
    <t xml:space="preserve">Unaware stakeholder status Part of stakeholder analysis classification. An unaware status means the stakeholder doesn’t know about the project and the effect the project may create on the stakeholder.          </t>
  </si>
  <si>
    <t>Scope</t>
  </si>
  <si>
    <t>Term</t>
  </si>
  <si>
    <t>Defination</t>
  </si>
  <si>
    <t>a</t>
  </si>
  <si>
    <t xml:space="preserve">reward power The project manager can reward the project team. sender-receiver models Communication requires a sender and a receiver. Within this model may be multiple avenues to complete the flow of communication, but barriers to effective communication may be present as well. servant leadership The leader puts others first and focuses on the needs of the people he serves. Servant leaders provide opportunity for growth, education, autonomy within the project, and the well-being of others. The primary focus of servant leadership is service to others. situational power The project manager has power because of certain situations in the organization. style The tone, structure, and formality of the message being sent should be in alignment with the audience and the content of the message. transactional leadership The leader emphasizes the goals of the project and rewards and disincentives for the project team. This is sometimes called management by exception as it’s the exception that is reward or punished. transformational leadership The leader inspires and motivates the project team to achieve the project goals. Transformational leaders aim to empower the project team to act, be innovative in the project work, and accomplish through ambition. or fold page in half. Read the term, recite the definition, and then look at this side of         </t>
  </si>
  <si>
    <t xml:space="preserve">Scoring models These models use a common set of values for all of the projects up for selection. For example, values can be profitability, complexity, customer demand, and so on. tacit knowledge Knowledge that’s more difficult to express because it’s personal beliefs, values, knowledge gain from experience, and “know-how” when doing a task.    </t>
  </si>
  <si>
    <t xml:space="preserve">Variance at completion (VAC) A forecasting formula that predicts how much of a variance the project will likely have based on current conditions within the project. The formula is VAC = BAC – EAC.         </t>
  </si>
  <si>
    <t xml:space="preserve">Trend analysis The science of using past results to predict future performance. Work performance information The results of the project work as needed. This includes technical performance measures, project status, information on what the project has created to date, corrective actions, and performance reports.           </t>
  </si>
  <si>
    <t xml:space="preserve">Resource management plan This plan defines staff acquisition, the timetable for staff acquisition, the staff release plan, training needs for the project team, any organizational compliance issues, rewards and recognitions, and safety concerns for the project team doing the project work. Reward The project manager has the authority to reward the project team. Role This denotes what a person is specifically responsible for in a project. Roles are usually tied to job titles, such as network engineer, mechanical engineer, and electrician. Smoothing This approach smooths out the conflict by minimizing the perceived size of the problem. It is a temporary solution, but can calm team relations and boisterous discussions. Storming The project team struggles for project positions, leadership, and project direction. The project team can become hostile toward the project leader, challenge ideas, and try to establish and claim positions about the project work. The amount of debate and fury can vary depending on if the project team is willing to work together, the nature of the project, and the control of the project manager. Technical interfaces The project team identifies the disciplines and specialties that the project will require to complete the project scope statement. The technical interfaces are the resources that will be doing the project work. Withdrawal This conflict resolution method sees one side of the argument walking away from the problem, usually in disgust.         </t>
  </si>
  <si>
    <t xml:space="preserve">Weighting system This takes out the personal preferences of the decision maker in the organization to ensure that the best seller is awarded the contract. Weights are assigned to the values of the proposals, and each proposal is scored.        </t>
  </si>
  <si>
    <t>Row Labels</t>
  </si>
  <si>
    <t>Grand Total</t>
  </si>
  <si>
    <t>Count of Term</t>
  </si>
  <si>
    <t>Terms</t>
  </si>
  <si>
    <t>Integration</t>
  </si>
  <si>
    <t>Communications</t>
  </si>
  <si>
    <t>Stakeholder</t>
  </si>
  <si>
    <t>Cost</t>
  </si>
  <si>
    <t>Tailoring</t>
  </si>
  <si>
    <t>📅 Time &amp; Schedule Management</t>
  </si>
  <si>
    <t>1. Planned Value (PV)</t>
  </si>
  <si>
    <t>2. Earned Value (EV)</t>
  </si>
  <si>
    <t>3. Actual Cost (AC)</t>
  </si>
  <si>
    <t>4. Schedule Variance (SV)</t>
  </si>
  <si>
    <t>5. Schedule Performance Index (SPI)</t>
  </si>
  <si>
    <t>6. Estimate at Completion (EAC)</t>
  </si>
  <si>
    <t>7. Estimate to Complete (ETC)</t>
  </si>
  <si>
    <t>8. Variance at Completion (VAC)</t>
  </si>
  <si>
    <t>9. To-Complete Performance Index (TCPI)</t>
  </si>
  <si>
    <t>💰 Cost Management</t>
  </si>
  <si>
    <t>10. Cost Variance (CV)</t>
  </si>
  <si>
    <t>11. Cost Performance Index (CPI)</t>
  </si>
  <si>
    <t>12. Budget at Completion (BAC)</t>
  </si>
  <si>
    <t>13. Net Present Value (NPV)</t>
  </si>
  <si>
    <t>14. Internal Rate of Return (IRR)</t>
  </si>
  <si>
    <t>15. Payback Period</t>
  </si>
  <si>
    <t>16. Return on Investment (ROI)</t>
  </si>
  <si>
    <t>17. Benefit-Cost Ratio (BCR)</t>
  </si>
  <si>
    <t>📈 Forecasting &amp; Performance</t>
  </si>
  <si>
    <t>18. EAC (various formulas depending on conditions)</t>
  </si>
  <si>
    <t>19. ETC (based on performance or re-estimation)</t>
  </si>
  <si>
    <t>20. TCPI (based on BAC or EAC)</t>
  </si>
  <si>
    <t>📊 Risk Management</t>
  </si>
  <si>
    <t>21. Expected Monetary Value (EMV)</t>
  </si>
  <si>
    <t>22. Decision Tree Analysis</t>
  </si>
  <si>
    <t>23. Standard Deviation (σ)</t>
  </si>
  <si>
    <t>24. PERT Estimation</t>
  </si>
  <si>
    <t>Where:</t>
  </si>
  <si>
    <t>O = Optimistic</t>
  </si>
  <si>
    <t>M = Most Likely</t>
  </si>
  <si>
    <t>P = Pessimistic</t>
  </si>
  <si>
    <t>🧮 Other Useful Formulas</t>
  </si>
  <si>
    <t>25. Communication Channels</t>
  </si>
  <si>
    <t>26. Float/Slack Calculation</t>
  </si>
  <si>
    <t>Float=Late Start−Early StartFloat=Late Start−Early Start</t>
  </si>
  <si>
    <t>or</t>
  </si>
  <si>
    <t>Float=Late Finish−Early FinishFloat=Late Finish−Early Finish</t>
  </si>
  <si>
    <r>
      <t>Channels=n(n−1)2Channels=2</t>
    </r>
    <r>
      <rPr>
        <i/>
        <sz val="9"/>
        <color rgb="FF424242"/>
        <rFont val="KaTeX_Math"/>
      </rPr>
      <t>n</t>
    </r>
    <r>
      <rPr>
        <sz val="9"/>
        <color rgb="FF424242"/>
        <rFont val="Times New Roman"/>
        <family val="1"/>
      </rPr>
      <t>(</t>
    </r>
    <r>
      <rPr>
        <i/>
        <sz val="9"/>
        <color rgb="FF424242"/>
        <rFont val="KaTeX_Math"/>
      </rPr>
      <t>n</t>
    </r>
    <r>
      <rPr>
        <sz val="9"/>
        <color rgb="FF424242"/>
        <rFont val="Times New Roman"/>
        <family val="1"/>
      </rPr>
      <t>−1)​</t>
    </r>
  </si>
  <si>
    <r>
      <t>Where </t>
    </r>
    <r>
      <rPr>
        <i/>
        <sz val="9"/>
        <color rgb="FF424242"/>
        <rFont val="Segoe UI"/>
        <family val="2"/>
      </rPr>
      <t>n</t>
    </r>
    <r>
      <rPr>
        <sz val="9"/>
        <color rgb="FF424242"/>
        <rFont val="Segoe UI"/>
        <family val="2"/>
      </rPr>
      <t> is the number of stakeholders.</t>
    </r>
  </si>
  <si>
    <r>
      <t>PERT Formula</t>
    </r>
    <r>
      <rPr>
        <sz val="9"/>
        <color rgb="FF424242"/>
        <rFont val="Segoe UI"/>
        <family val="2"/>
      </rPr>
      <t>:</t>
    </r>
  </si>
  <si>
    <r>
      <t>Expected Time (TE)=O+4M+P6Expected Time (TE)=6</t>
    </r>
    <r>
      <rPr>
        <i/>
        <sz val="9"/>
        <color rgb="FF424242"/>
        <rFont val="KaTeX_Math"/>
      </rPr>
      <t>O</t>
    </r>
    <r>
      <rPr>
        <sz val="9"/>
        <color rgb="FF424242"/>
        <rFont val="Times New Roman"/>
        <family val="1"/>
      </rPr>
      <t>+4</t>
    </r>
    <r>
      <rPr>
        <i/>
        <sz val="9"/>
        <color rgb="FF424242"/>
        <rFont val="KaTeX_Math"/>
      </rPr>
      <t>M</t>
    </r>
    <r>
      <rPr>
        <sz val="9"/>
        <color rgb="FF424242"/>
        <rFont val="Times New Roman"/>
        <family val="1"/>
      </rPr>
      <t>+</t>
    </r>
    <r>
      <rPr>
        <i/>
        <sz val="9"/>
        <color rgb="FF424242"/>
        <rFont val="KaTeX_Math"/>
      </rPr>
      <t>P</t>
    </r>
    <r>
      <rPr>
        <sz val="9"/>
        <color rgb="FF424242"/>
        <rFont val="Times New Roman"/>
        <family val="1"/>
      </rPr>
      <t>​</t>
    </r>
  </si>
  <si>
    <t>🧠 Core Domains (PMI Talent Triangle)</t>
  </si>
  <si>
    <r>
      <t>1. People</t>
    </r>
    <r>
      <rPr>
        <sz val="8"/>
        <color rgb="FF424242"/>
        <rFont val="Segoe UI"/>
        <family val="2"/>
      </rPr>
      <t> – Leadership, team performance, conflict resolution, motivation</t>
    </r>
  </si>
  <si>
    <r>
      <t>2. Process</t>
    </r>
    <r>
      <rPr>
        <sz val="8"/>
        <color rgb="FF424242"/>
        <rFont val="Segoe UI"/>
        <family val="2"/>
      </rPr>
      <t> – Project management practices, tools, and techniques</t>
    </r>
  </si>
  <si>
    <r>
      <t>3. Business Environment</t>
    </r>
    <r>
      <rPr>
        <sz val="8"/>
        <color rgb="FF424242"/>
        <rFont val="Segoe UI"/>
        <family val="2"/>
      </rPr>
      <t> – Strategic alignment, compliance, value delivery</t>
    </r>
  </si>
  <si>
    <t>📚 PMBOK® Guide Knowledge Areas</t>
  </si>
  <si>
    <t>These are traditional areas from earlier PMBOK editions, still relevant:</t>
  </si>
  <si>
    <t>1. Integration Management</t>
  </si>
  <si>
    <t>2. Scope Management</t>
  </si>
  <si>
    <t>3. Schedule Management</t>
  </si>
  <si>
    <t>4. Cost Management</t>
  </si>
  <si>
    <t>5. Quality Management</t>
  </si>
  <si>
    <t>6. Resource Management</t>
  </si>
  <si>
    <t>7. Communications Management</t>
  </si>
  <si>
    <t>8. Risk Management</t>
  </si>
  <si>
    <t>9. Procurement Management</t>
  </si>
  <si>
    <t>10. Stakeholder Management</t>
  </si>
  <si>
    <t>📈 Performance Domains (PMBOK® 7th Edition)</t>
  </si>
  <si>
    <t>These are broader areas of focus in modern PMP:</t>
  </si>
  <si>
    <t>1. Team</t>
  </si>
  <si>
    <t>2. Stakeholders</t>
  </si>
  <si>
    <t>3. Life Cycle &amp; Development Approach</t>
  </si>
  <si>
    <t>4. Planning</t>
  </si>
  <si>
    <t>5. Project Work</t>
  </si>
  <si>
    <t>6. Delivery</t>
  </si>
  <si>
    <t>7. Measurement</t>
  </si>
  <si>
    <t>8. Uncertainty</t>
  </si>
  <si>
    <t>🧩 Key Concepts to Master</t>
  </si>
  <si>
    <r>
      <t>Tailoring</t>
    </r>
    <r>
      <rPr>
        <sz val="8"/>
        <color rgb="FF424242"/>
        <rFont val="Segoe UI"/>
        <family val="2"/>
      </rPr>
      <t> – Adapting methods to fit the project</t>
    </r>
  </si>
  <si>
    <r>
      <t>Delivery Approaches</t>
    </r>
    <r>
      <rPr>
        <sz val="8"/>
        <color rgb="FF424242"/>
        <rFont val="Segoe UI"/>
        <family val="2"/>
      </rPr>
      <t> – Predictive, Agile, Hybrid, etc.</t>
    </r>
  </si>
  <si>
    <r>
      <t>Principles</t>
    </r>
    <r>
      <rPr>
        <sz val="8"/>
        <color rgb="FF424242"/>
        <rFont val="Segoe UI"/>
        <family val="2"/>
      </rPr>
      <t> – 12 guiding principles from PMBOK® 7</t>
    </r>
  </si>
  <si>
    <r>
      <t>Math &amp; Formulas</t>
    </r>
    <r>
      <rPr>
        <sz val="8"/>
        <color rgb="FF424242"/>
        <rFont val="Segoe UI"/>
        <family val="2"/>
      </rPr>
      <t> – Earned Value, PERT, ROI, etc.</t>
    </r>
  </si>
  <si>
    <r>
      <t>Scenarios</t>
    </r>
    <r>
      <rPr>
        <sz val="8"/>
        <color rgb="FF424242"/>
        <rFont val="Segoe UI"/>
        <family val="2"/>
      </rPr>
      <t> – Real-world application of concepts</t>
    </r>
  </si>
  <si>
    <r>
      <t>Manager Role</t>
    </r>
    <r>
      <rPr>
        <sz val="8"/>
        <color rgb="FF424242"/>
        <rFont val="Segoe UI"/>
        <family val="2"/>
      </rPr>
      <t> – Leadership, decision-making, ethics</t>
    </r>
  </si>
  <si>
    <r>
      <t>Fundamentals</t>
    </r>
    <r>
      <rPr>
        <sz val="8"/>
        <color rgb="FF424242"/>
        <rFont val="Segoe UI"/>
        <family val="2"/>
      </rPr>
      <t> – Definitions, roles, processes</t>
    </r>
  </si>
  <si>
    <t>📝 Exam Strategy</t>
  </si>
  <si>
    <r>
      <t>Situational Questions</t>
    </r>
    <r>
      <rPr>
        <sz val="8"/>
        <color rgb="FF424242"/>
        <rFont val="Segoe UI"/>
        <family val="2"/>
      </rPr>
      <t> – Apply concepts to real scenarios</t>
    </r>
  </si>
  <si>
    <r>
      <t>Agile &amp; Hybrid Focus</t>
    </r>
    <r>
      <rPr>
        <sz val="8"/>
        <color rgb="FF424242"/>
        <rFont val="Segoe UI"/>
        <family val="2"/>
      </rPr>
      <t> – Increasing emphasis on adaptive methods</t>
    </r>
  </si>
  <si>
    <r>
      <t>Ethics &amp; Professional Conduct</t>
    </r>
    <r>
      <rPr>
        <sz val="8"/>
        <color rgb="FF424242"/>
        <rFont val="Segoe UI"/>
        <family val="2"/>
      </rPr>
      <t> – PMI Code of Ethics</t>
    </r>
  </si>
  <si>
    <t>THE STANDARD FOR PROJECT MANAGEMENT</t>
  </si>
  <si>
    <t>1 INTRODUCTION...................................................................................3</t>
  </si>
  <si>
    <t>1.1 Purpose of The Standard for Project Management......................3</t>
  </si>
  <si>
    <t>1.2 Key Terms and Concepts.............................................................4</t>
  </si>
  <si>
    <t>1.3 Audience for this Standard..........................................................5</t>
  </si>
  <si>
    <t>2 A SYSTEM FOR VALUE DELIVERY........................................................7</t>
  </si>
  <si>
    <t>2.1 Creating Value.............................................................................7</t>
  </si>
  <si>
    <t>2.1.1 Value Delivery Components...............................................8</t>
  </si>
  <si>
    <t>2.1.2 Information Flow.............................................................11</t>
  </si>
  <si>
    <t>2.2 Organizational Governance Systems.........................................12</t>
  </si>
  <si>
    <t>2.3 Functions Associated with Projects...........................................12</t>
  </si>
  <si>
    <t>2.3.1 Provide Oversight and Coordination................................13</t>
  </si>
  <si>
    <t>2.3.2 Present Objectives and Feedback....................................13</t>
  </si>
  <si>
    <t>2.3.3 Facilitate and Support.....................................................14</t>
  </si>
  <si>
    <t>2.3.4 Perform Work and Contribute Insights............................14</t>
  </si>
  <si>
    <t>2.3.5 Apply Expertise...............................................................15</t>
  </si>
  <si>
    <t>2.3.6 Provide Business Direction and Insight............................15</t>
  </si>
  <si>
    <t>2.3.7 Provide Resources and Direction.....................................15</t>
  </si>
  <si>
    <t>2.3.8 Maintain Governance.......................................................16</t>
  </si>
  <si>
    <t>2.4 The Project Environment...........................................................16</t>
  </si>
  <si>
    <t>2.4.1 Internal Environment.......................................................16</t>
  </si>
  <si>
    <t>2.4.2 External Environment......................................................18</t>
  </si>
  <si>
    <t>2.5 Product Management Considerations........................................18</t>
  </si>
  <si>
    <t>3 PROJECT MANAGEMENT PRINCIPLES...............................................21</t>
  </si>
  <si>
    <t>3.1 Be a Diligent, Respectful, and Caring Steward.........................24</t>
  </si>
  <si>
    <t>3.2 Create a Collaborative Project Team Environment...................28</t>
  </si>
  <si>
    <t>3.3 Effectively Engage with Stakeholders.....................................31</t>
  </si>
  <si>
    <t>3.4 Focus on Value........................................................................34</t>
  </si>
  <si>
    <t>3.5 Recognize, Evaluate, and Respond to System Interactions......37</t>
  </si>
  <si>
    <t>3.6 Demonstrate Leadership Behaviors.........................................40</t>
  </si>
  <si>
    <t>3.7 Tailor Based on Context...........................................................44</t>
  </si>
  <si>
    <t>3.8 Build Quality into Processes and Deliverables.........................47</t>
  </si>
  <si>
    <t>3.9 Navigate Complexity...............................................................50</t>
  </si>
  <si>
    <t>3.10 Optimize Risk Responses.........................................................53</t>
  </si>
  <si>
    <t>3.11 Embrace Adaptability and Resiliency.......................................55</t>
  </si>
  <si>
    <t>3.12 Enable Change to Achieve the Envisioned Future State..........58</t>
  </si>
  <si>
    <t>References.......................................................................................60</t>
  </si>
  <si>
    <t>A GUIDE TO THE PROJECT MANAGEMENT</t>
  </si>
  <si>
    <t>BODY OF KNOWLEDGE (PMBOK® GUIDE)</t>
  </si>
  <si>
    <t>1. INTRODUCTION..................................................................................3</t>
  </si>
  <si>
    <t>1.1 Structure of the PMBOK® Guide................................................3</t>
  </si>
  <si>
    <t>1.2 Relationship of the PMBOK® Guide</t>
  </si>
  <si>
    <t>and The Standard for Project Management................................4</t>
  </si>
  <si>
    <t>1.3 Changes to the PMBOK® Guide.................................................6</t>
  </si>
  <si>
    <t>1.4 Relationship to PMIstandards+..................................................6</t>
  </si>
  <si>
    <t>2. PROJECT PERFORMANCE DOMAINS..................................................7</t>
  </si>
  <si>
    <t>2.1 Stakeholder Performance Domain.............................................8</t>
  </si>
  <si>
    <t>2.1.1 Stakeholder Engagement...............................................10</t>
  </si>
  <si>
    <t>2.1.2 Interactions with Other Performance Domains...............14</t>
  </si>
  <si>
    <t>2.1.3 Checking Results............................................................15</t>
  </si>
  <si>
    <t>2.2 Team Performance Domain........................................................16</t>
  </si>
  <si>
    <t>2.2.1 Project Team Management and Leadership....................17</t>
  </si>
  <si>
    <t>2.2.2 Project Team Culture......................................................20</t>
  </si>
  <si>
    <t>2.2.3 High-Performing Project Teams......................................22</t>
  </si>
  <si>
    <t>2.2.4 Leadership Skills............................................................23</t>
  </si>
  <si>
    <t>2.2.5 Tailoring Leadership Styles.............................................30</t>
  </si>
  <si>
    <t>2.2.6 Interactions with Other Performance Domains...............31</t>
  </si>
  <si>
    <t>2.2.7 Checking Results............................................................31</t>
  </si>
  <si>
    <t>2.3 Development Approach and Life Cycle</t>
  </si>
  <si>
    <t>Performance Domain.................................................................32</t>
  </si>
  <si>
    <t>2.3.1 Development, Cadence, and Life Cycle Relationship......33</t>
  </si>
  <si>
    <t>2.3.2 Delivery Cadence...........................................................33</t>
  </si>
  <si>
    <t>2.3.3 Development Approaches..............................................35</t>
  </si>
  <si>
    <t>2.3.4 Considerations for Selecting</t>
  </si>
  <si>
    <t>a Development Approach...............................................39</t>
  </si>
  <si>
    <t>2.3.5 Life Cycle and Phase Definitions.....................................42</t>
  </si>
  <si>
    <t>2.3.6 Aligning of Delivery Cadence, Development</t>
  </si>
  <si>
    <t>Approach, and Life Cycle...............................................46</t>
  </si>
  <si>
    <t>2.3.7 Interactions with Other Performance Domains...............49</t>
  </si>
  <si>
    <t>2.3.8 Measuring Outcomes.....................................................50</t>
  </si>
  <si>
    <t>2.4 Planning Performance Domain..................................................51</t>
  </si>
  <si>
    <t>2.4.1 Planning Overview.........................................................52</t>
  </si>
  <si>
    <t>2.4.2 Planning Variables..........................................................53</t>
  </si>
  <si>
    <t>2.4.3 Project Team Composition and Structure........................63</t>
  </si>
  <si>
    <t>2.4.4 Communication..............................................................64</t>
  </si>
  <si>
    <t>2.4.5 Physical Resources.........................................................65</t>
  </si>
  <si>
    <t>2.4.6 Procurement..................................................................65</t>
  </si>
  <si>
    <t>2.4.7 Changes.........................................................................66</t>
  </si>
  <si>
    <t>2.4.8 Metrics...........................................................................66</t>
  </si>
  <si>
    <t>2.4.9 Alignment......................................................................67</t>
  </si>
  <si>
    <t>2.4.10 Interactions with Other Performance Domains...............67</t>
  </si>
  <si>
    <t>2.4.11 Checking Results............................................................68</t>
  </si>
  <si>
    <t>2.5 Project Work Performance Domain...........................................69</t>
  </si>
  <si>
    <t>2.5.1 Project Processes...........................................................71</t>
  </si>
  <si>
    <t>2.5.2 Balancing Competing Constraints...................................72</t>
  </si>
  <si>
    <t>2.5.3 Maintaining Project Team Focus.....................................73</t>
  </si>
  <si>
    <t>2.5.4 Project Communications and Engagement.....................73</t>
  </si>
  <si>
    <t>2.5.5 Managing Physical Resources.........................................73</t>
  </si>
  <si>
    <t>2.5.6 Working with Procurements...........................................74</t>
  </si>
  <si>
    <t>2.5.7 Monitoring New Work and Changes...............................76</t>
  </si>
  <si>
    <t>2.5.8 Learning throughout the Project....................................77</t>
  </si>
  <si>
    <t>2.5.9 Interactions with Other Performance Domains...............78</t>
  </si>
  <si>
    <t>2.5.10 Checking Results............................................................79</t>
  </si>
  <si>
    <t>2.6 Delivery Performance Domain...................................................80</t>
  </si>
  <si>
    <t>2.6.1 Delivery of Value............................................................81</t>
  </si>
  <si>
    <t>2.6.2 Deliverables...................................................................82</t>
  </si>
  <si>
    <t>2.6.3 Quality...........................................................................87</t>
  </si>
  <si>
    <t>2.6.4 Suboptimal Outcomes....................................................91</t>
  </si>
  <si>
    <t>2.6.5 Interactions with Other Performance Domains...............91</t>
  </si>
  <si>
    <t>2.6.6 Checking Results............................................................92</t>
  </si>
  <si>
    <t>2.7 Measurement Performance Domain...........................................93</t>
  </si>
  <si>
    <t>2.7.1 Establishing Effective Measures.....................................95</t>
  </si>
  <si>
    <t>2.7.2 What to Measure...........................................................98</t>
  </si>
  <si>
    <t>2.7.3 Presenting Information................................................106</t>
  </si>
  <si>
    <t>2.7.4 Measurement Pitfalls....................................................111</t>
  </si>
  <si>
    <t>2.7.5 Troubleshooting Performance......................................113</t>
  </si>
  <si>
    <t>2.7.6 Growing and Improving...............................................114</t>
  </si>
  <si>
    <t>2.7.7 Interactions with Other Performance Domains.............114</t>
  </si>
  <si>
    <t>2.7.8 Checking Results..........................................................115</t>
  </si>
  <si>
    <t>2.8 Uncertainty Performance Domain............................................116</t>
  </si>
  <si>
    <t>2.8.1 General Uncertainty.....................................................119</t>
  </si>
  <si>
    <t>2.8.2 Ambiguity....................................................................120</t>
  </si>
  <si>
    <t>2.8.3 Complexity...................................................................120</t>
  </si>
  <si>
    <t>2.8.4 Volatility......................................................................122</t>
  </si>
  <si>
    <t>2.8.5 Risk..............................................................................122</t>
  </si>
  <si>
    <t>2.8.6 Interactions with Other Performance Domains.............128</t>
  </si>
  <si>
    <t>2.8.7 Checking Results..........................................................129</t>
  </si>
  <si>
    <t>3. TAILORING......................................................................................131</t>
  </si>
  <si>
    <t>3.1 Overview................................................................................131</t>
  </si>
  <si>
    <t>3.2 Why Tailor?.............................................................................133</t>
  </si>
  <si>
    <t>3.3 What to Tailor.........................................................................134</t>
  </si>
  <si>
    <t>3.3.1 Life Cycle and Development Approach Selection.........134</t>
  </si>
  <si>
    <t>3.3.2 Processes.....................................................................135</t>
  </si>
  <si>
    <t>3.3.3 Engagement.................................................................136</t>
  </si>
  <si>
    <t>3.3.4 Tools............................................................................136</t>
  </si>
  <si>
    <t>3.3.5 Methods and Artifacts.................................................136</t>
  </si>
  <si>
    <t>3.4 The Tailoring Process...............................................................137</t>
  </si>
  <si>
    <t>3.4.1 Select Initial Development Approach...........................138</t>
  </si>
  <si>
    <t>3.4.2 Tailor for the Organization...........................................139</t>
  </si>
  <si>
    <t>3.4.3 Tailor for the Project....................................................141</t>
  </si>
  <si>
    <t>3.5 Tailoring the Performance Domains.........................................145</t>
  </si>
  <si>
    <t>3.5.1 Stakeholders................................................................147</t>
  </si>
  <si>
    <t>3.5.2 Project Team................................................................147</t>
  </si>
  <si>
    <t>3.5.3 Development Approach and Life Cycle........................148</t>
  </si>
  <si>
    <t>3.5.4 Planning.......................................................................148</t>
  </si>
  <si>
    <t>3.5.5 Project Work................................................................149</t>
  </si>
  <si>
    <t>3.5.6 Delivery.......................................................................149</t>
  </si>
  <si>
    <t>3.5.7 Uncertainty..................................................................150</t>
  </si>
  <si>
    <t>3.5.8 Measurement...............................................................150</t>
  </si>
  <si>
    <t>3.6 Diagnostics.............................................................................151</t>
  </si>
  <si>
    <t>3.7 Summary.................................................................................152</t>
  </si>
  <si>
    <t>4. MODELS, METHODS, AND ARTIFACTS...........................................153</t>
  </si>
  <si>
    <t>4.1 Overview................................................................................153</t>
  </si>
  <si>
    <t>4.2 Commonly Used Models..........................................................155</t>
  </si>
  <si>
    <t>4.2.1 Situational Leadership Models.....................................155</t>
  </si>
  <si>
    <t>4.2.2 Communication Models................................................157</t>
  </si>
  <si>
    <t>4.2.3 Motivation Models.......................................................158</t>
  </si>
  <si>
    <t>4.2.4 Change Models............................................................160</t>
  </si>
  <si>
    <t>4.2.5 Complexity Models......................................................164</t>
  </si>
  <si>
    <t>4.2.6 Project Team Development Models..............................166</t>
  </si>
  <si>
    <t>4.2.7 Other Models...............................................................168</t>
  </si>
  <si>
    <t>4.3 Models Applied Across Performance Domains........................172</t>
  </si>
  <si>
    <t>4.4 Commonly Used Methods.......................................................174</t>
  </si>
  <si>
    <t>4.4.1 Data Gathering and Analysis........................................174</t>
  </si>
  <si>
    <t>4.4.2 Estimating....................................................................178</t>
  </si>
  <si>
    <t>4.4.3 Meetings and Events....................................................179</t>
  </si>
  <si>
    <t>4.4.4 Other Methods............................................................181</t>
  </si>
  <si>
    <t>4.5 Methods Applied Across Performance Domains......................181</t>
  </si>
  <si>
    <t>4.6 Commonly Used Artifacts........................................................184</t>
  </si>
  <si>
    <t>4.6.1 Strategy Artifacts........................................................184</t>
  </si>
  <si>
    <t>4.6.2 Logs and Registers.......................................................185</t>
  </si>
  <si>
    <t>4.6.3 Plans............................................................................186</t>
  </si>
  <si>
    <t>4.6.4 Hierarchy Charts..........................................................187</t>
  </si>
  <si>
    <t>4.6.5 Baselines......................................................................188</t>
  </si>
  <si>
    <t>4.6.6 Visual Data and Information.........................................188</t>
  </si>
  <si>
    <t>4.6.7 Reports........................................................................190</t>
  </si>
  <si>
    <t>4.6.8 Agreements and Contracts...........................................191</t>
  </si>
  <si>
    <t>4.6.9 Other Artifacts.............................................................192</t>
  </si>
  <si>
    <t>4.7 Artifacts Applied Across Performance Domains......................192</t>
  </si>
  <si>
    <t>References.....................................................................................196</t>
  </si>
  <si>
    <t>THE STANDARD FOR PROJECT MANAGEMENT AND</t>
  </si>
  <si>
    <t>A GUIDE TO THE PROJECT MANAGEMENT BODY</t>
  </si>
  <si>
    <t>OF KNOWLEDGE – SEVENTH EDITION...............................................197</t>
  </si>
  <si>
    <t>X1.1 Contributors........................................................................197</t>
  </si>
  <si>
    <t>X1.2 PMI Staff.............................................................................206</t>
  </si>
  <si>
    <t>APPENDIX X2</t>
  </si>
  <si>
    <t>SPONSOR.............................................................................................207</t>
  </si>
  <si>
    <t>X2.1 Introduction........................................................................207</t>
  </si>
  <si>
    <t>X2.2 The Sponsor Role................................................................207</t>
  </si>
  <si>
    <t>X2.3 Lack of Engagement............................................................208</t>
  </si>
  <si>
    <t>X2.4 Sponsor Behaviors...............................................................209</t>
  </si>
  <si>
    <t>X2.5 Conclusion...........................................................................210</t>
  </si>
  <si>
    <t>X2.6 Suggested Resources..........................................................210</t>
  </si>
  <si>
    <t>APPENDIX X3</t>
  </si>
  <si>
    <t>THE PROJECT MANAGEMENT OFFICE................................................211</t>
  </si>
  <si>
    <t>X3.1 Introduction........................................................................211</t>
  </si>
  <si>
    <t>X3.2 The PMO Value Proposition—Why Have One?....................211</t>
  </si>
  <si>
    <t>X3.3 Key PMO Capabilities.........................................................213</t>
  </si>
  <si>
    <t>X3.4 Evolving for Stronger Benefits Realization..........................214</t>
  </si>
  <si>
    <t>X3.5 Learn More about PMOs.....................................................215</t>
  </si>
  <si>
    <t>X3.6 Suggested Resources..........................................................215</t>
  </si>
  <si>
    <t>APPENDIX X4</t>
  </si>
  <si>
    <t>PRODUCT.............................................................................................217</t>
  </si>
  <si>
    <t>X4.1 Introduction........................................................................217</t>
  </si>
  <si>
    <t>X4.2 Global Market Shifts...........................................................219</t>
  </si>
  <si>
    <t>X4.3 Impact on Project Delivery Practices...................................221</t>
  </si>
  <si>
    <t>X4.4 Organizational Considerations</t>
  </si>
  <si>
    <t>for Product Management....................................................221</t>
  </si>
  <si>
    <t>X4.5 Summary.............................................................................225</t>
  </si>
  <si>
    <t>X4.6 Suggested Resources..........................................................225</t>
  </si>
  <si>
    <t>APPENDIX X5</t>
  </si>
  <si>
    <t>RESEARCH AND DEVELOPMENT FOR</t>
  </si>
  <si>
    <t>THE STANDARD FOR PROJECT MANAGEMENT..................................227</t>
  </si>
  <si>
    <t>X5.1 Introduction........................................................................227</t>
  </si>
  <si>
    <t>X5.2 The Move to a Principle-Based Standard.............................227</t>
  </si>
  <si>
    <t>X5.3 Research for The Standard for Project Management...........228</t>
  </si>
  <si>
    <t>X5.4 Standard Development Process...........................................229</t>
  </si>
  <si>
    <t>X5.5 Validating the Standard.......................................................230</t>
  </si>
  <si>
    <t>X5.6 Summary.............................................................................232</t>
  </si>
  <si>
    <t>GLOSSARY...........................................................................................233</t>
  </si>
  <si>
    <t>1. Inclusions and Exclusions...........................................................233</t>
  </si>
  <si>
    <t>2. Common Acronyms...................................................................234</t>
  </si>
  <si>
    <t>3. Definitions.................................................................................235</t>
  </si>
  <si>
    <t>INDEX..................................................................................................255</t>
  </si>
  <si>
    <t>List of Figures and Tables</t>
  </si>
  <si>
    <t>Figure 2-1. Example of a System for Value Delivery............................9</t>
  </si>
  <si>
    <t>Figure 2-2. Components of a Sample System for Value Delivery.......10</t>
  </si>
  <si>
    <t>Figure 2-3. Example of Information Flow..........................................11</t>
  </si>
  <si>
    <t>Figure 2-4. Sample Product Life Cycle...............................................19</t>
  </si>
  <si>
    <t>Figure 3-1. Overlap of Project Management</t>
  </si>
  <si>
    <t>and General Management Principles...............................22</t>
  </si>
  <si>
    <t>Figure 3-2. Be a Diligent, Respectful, and Caring Steward................24</t>
  </si>
  <si>
    <t>Figure 3-3. Create a Collaborative Project Team Environment...........28</t>
  </si>
  <si>
    <t>Figure 3-4. Effectively Engage with Stakeholders.............................31</t>
  </si>
  <si>
    <t>Figure 3-5. Focus on Value................................................................34</t>
  </si>
  <si>
    <t>Figure 3-6. Recognize, Evaluate, and Respond</t>
  </si>
  <si>
    <t>to System Interactions.....................................................37</t>
  </si>
  <si>
    <t>Figure 3-7. Demonstrate Leadership Behaviors.................................40</t>
  </si>
  <si>
    <t>Figure 3-8. Tailor Based on Context..................................................44</t>
  </si>
  <si>
    <t>Figure 3-9. Build Quality into Processes and Deliverables.................47</t>
  </si>
  <si>
    <t>Figure 3-10. Navigate Complexity.......................................................50</t>
  </si>
  <si>
    <t>Figure 3-11. Optimize Risk Responses.................................................53</t>
  </si>
  <si>
    <t>Figure 3-12. Embrace Adaptability and Resiliency...............................55</t>
  </si>
  <si>
    <t>Figure 3-13. Enable Change to Achieve</t>
  </si>
  <si>
    <t>the Envisioned Future State............................................58</t>
  </si>
  <si>
    <t>Relationship between Project Management</t>
  </si>
  <si>
    <t>Principles and Project Performance Domains.....................5</t>
  </si>
  <si>
    <t>Figure 2-1. Stakeholder Performance Domain.....................................8</t>
  </si>
  <si>
    <t>Figure 2-2. Examples of Project Stakeholders.....................................9</t>
  </si>
  <si>
    <t>Figure 2-3. Navigating Effective Stakeholder Engagement...............10</t>
  </si>
  <si>
    <t>Figure 2-4. Team Performance Domain..............................................16</t>
  </si>
  <si>
    <t>Figure 2-5. Components of Emotional Intelligence............................27</t>
  </si>
  <si>
    <t>Figure 2-6. Development Approach and Life Cycle</t>
  </si>
  <si>
    <t>Performance Domain.......................................................32</t>
  </si>
  <si>
    <t>Figure 2-7. Development Approaches...............................................35</t>
  </si>
  <si>
    <t>Figure 2-8. Iterative and Incremental Development...........................37</t>
  </si>
  <si>
    <t>Figure 2-9. Sample Predictive Life Cycle...........................................43</t>
  </si>
  <si>
    <t>Figure 2-10. Life Cycle with an Incremental</t>
  </si>
  <si>
    <t>Development Approach...................................................44</t>
  </si>
  <si>
    <t>Figure 2-11. Life Cycle with Adaptive Development Approach...........45</t>
  </si>
  <si>
    <t>Figure 2-12. Community Center Life Cycle..........................................48</t>
  </si>
  <si>
    <t>Figure 2-13. Planning Performance Domain.........................................51</t>
  </si>
  <si>
    <t>Figure 2-14. Estimate Range Decreases over Time..............................56</t>
  </si>
  <si>
    <t>Figure 2-15. Low Accuracy, High Precision..........................................56</t>
  </si>
  <si>
    <t>Figure 2-16. Fast Tracking Examples...................................................60</t>
  </si>
  <si>
    <t>Figure 2-17. Release and Iteration Plan...............................................61</t>
  </si>
  <si>
    <t>Figure 2-18. Budget Build Up..............................................................63</t>
  </si>
  <si>
    <t>Figure 2-19. Project Work Performance Domain..................................69</t>
  </si>
  <si>
    <t>Figure 2-20. Delivery Performance Domain.........................................80</t>
  </si>
  <si>
    <t>Figure 2-21. Scenario for Developing a Smart Watch .........................86</t>
  </si>
  <si>
    <t>Figure 2-22. Cost of Change Curve.....................................................90</t>
  </si>
  <si>
    <t>Figure 2-23. Measurement Performance Domain.................................93</t>
  </si>
  <si>
    <t>Figure 2-24. Earned Value Analysis Showing Schedule</t>
  </si>
  <si>
    <t>and Cost Variance..........................................................101</t>
  </si>
  <si>
    <t>Figure 2-25. Mood Board..................................................................103</t>
  </si>
  <si>
    <t>Figure 2-26. Forecast of Estimate at Completion</t>
  </si>
  <si>
    <t>and Estimate to Complete.............................................105</t>
  </si>
  <si>
    <t>Figure 2-27. Dashboard Example.......................................................107</t>
  </si>
  <si>
    <t>Figure 2-28. Information Radiator.....................................................108</t>
  </si>
  <si>
    <t>Figure 2-29. Task Board or Kanban Board.........................................110</t>
  </si>
  <si>
    <t>Figure 2-30. Burnup Chart.................................................................111</t>
  </si>
  <si>
    <t>Figure 2-31. Planned and Actual Spend Rates...................................113</t>
  </si>
  <si>
    <t>Figure 2-32. Uncertainty Performance Domain..................................116</t>
  </si>
  <si>
    <t>Figure 2-33. Risk Reduction over Time..............................................124</t>
  </si>
  <si>
    <t>Figure 2-34. Risk-Adjusted ROI Curve ..............................................126</t>
  </si>
  <si>
    <t>Figure 3-1. Details of the Steps in the Tailoring Process..................137</t>
  </si>
  <si>
    <t>Figure 3-2. Selecting the Initial Development Approach..................138</t>
  </si>
  <si>
    <t>Figure 3-3. Tailoring the Approach for the Organization.................139</t>
  </si>
  <si>
    <t>Figure 3-4. Assessing the Organizational and Project Factors</t>
  </si>
  <si>
    <t>When Tailoring..............................................................140</t>
  </si>
  <si>
    <t>Figure 3-5. Tailoring the Approach for the Project..........................143</t>
  </si>
  <si>
    <t>Figure 3-6. Implement Ongoing Improvement.................................144</t>
  </si>
  <si>
    <t>Figure 3-7. The Tailoring Process.....................................................145</t>
  </si>
  <si>
    <t>Figure 3-8. Tailoring to Fit the Project Context...............................146</t>
  </si>
  <si>
    <t>Figure 4-1. Tailoring to Fit the Project Context</t>
  </si>
  <si>
    <t>and Environment...........................................................154</t>
  </si>
  <si>
    <t>Figure X4-1. Global Business Trends Influencing</t>
  </si>
  <si>
    <t>the Management of Products........................................219</t>
  </si>
  <si>
    <t>Figure X4-2. The Changing Relationship Between</t>
  </si>
  <si>
    <t>an Organization and Its Customers................................220</t>
  </si>
  <si>
    <t>Figure X4-3. Supporting Strategies for Continuous</t>
  </si>
  <si>
    <t>Value Delivery...............................................................222</t>
  </si>
  <si>
    <t>Table 2-1. Types of Communication..................................................13</t>
  </si>
  <si>
    <t>Table 2-2. Checking Outcomes—Stakeholder</t>
  </si>
  <si>
    <t>Performance Domain.......................................................15</t>
  </si>
  <si>
    <t>Table 2-3. Checking Outcomes—Team Performance Domain............31</t>
  </si>
  <si>
    <t>Table 2-4. Delivery Cadence and Development Approach................46</t>
  </si>
  <si>
    <t>Table 2-5. Checking Outcomes—Development Approach</t>
  </si>
  <si>
    <t>and Life Cycle Performance Domain................................50</t>
  </si>
  <si>
    <t>Table 2-6. Checking Outcomes—Planning</t>
  </si>
  <si>
    <t>Performance Domain.......................................................68</t>
  </si>
  <si>
    <t>Table 2-7. Checking Outcomes—Project Work</t>
  </si>
  <si>
    <t>Performance Domain.......................................................79</t>
  </si>
  <si>
    <t>Table 2-8. Checking Outcomes—Delivery</t>
  </si>
  <si>
    <t>Performance Domain.......................................................92</t>
  </si>
  <si>
    <t>Table 2-9. Checking Outcomes—Measurement</t>
  </si>
  <si>
    <t>Performance Domain.....................................................115</t>
  </si>
  <si>
    <t>Table 2-10. Checking Outcomes—Uncertainty</t>
  </si>
  <si>
    <t>Performance Domain.....................................................129</t>
  </si>
  <si>
    <t>Table 3-1. Common Situations and Tailoring Suggestions...............151</t>
  </si>
  <si>
    <t>Table 4-1. Mapping of Models Likely to Be Used</t>
  </si>
  <si>
    <t>in Each Performance Domain.........................................173</t>
  </si>
  <si>
    <t>Table 4-2. Mapping of Methods Likely to Be Used</t>
  </si>
  <si>
    <t>in Each Performance Domain.........................................182</t>
  </si>
  <si>
    <t>Table 4-3. Mapping of Artifacts Likely to Be Used</t>
  </si>
  <si>
    <t>in Each Performance Domain.........................................193</t>
  </si>
  <si>
    <t>Table X4-1. Views of Project and Product Management...................217</t>
  </si>
  <si>
    <t>Table X4-2. Unique Characteristics of Projects,</t>
  </si>
  <si>
    <t>Programs, and Products................................................224</t>
  </si>
  <si>
    <t>APPENDIX X1</t>
  </si>
  <si>
    <t>CONTRIBUTORS AND REVIEWERS OF</t>
  </si>
  <si>
    <t>📊 Example PMBOK-Aligned Traits to Assess</t>
  </si>
  <si>
    <t>PMBOK Principle</t>
  </si>
  <si>
    <t>Psychometric Focus</t>
  </si>
  <si>
    <t>Stewardship</t>
  </si>
  <si>
    <t>Ethics, responsibility, integrity</t>
  </si>
  <si>
    <t>Team</t>
  </si>
  <si>
    <t>Collaboration, emotional intelligence</t>
  </si>
  <si>
    <t>Value</t>
  </si>
  <si>
    <t>Strategic thinking, customer focus</t>
  </si>
  <si>
    <t>Systems Thinking</t>
  </si>
  <si>
    <t>Analytical thinking, holistic view</t>
  </si>
  <si>
    <t>Leadership</t>
  </si>
  <si>
    <t>Influence, decision-making, vision</t>
  </si>
  <si>
    <t>Flexibility, contextual judgment</t>
  </si>
  <si>
    <t>Attention to detail, standards adherence</t>
  </si>
  <si>
    <t>Acceptance Criteria</t>
  </si>
  <si>
    <t xml:space="preserve"> A set of conditions that is required to be met before deliverables are accepted</t>
  </si>
  <si>
    <t>Accuracy</t>
  </si>
  <si>
    <t xml:space="preserve"> Within the quality management system, accuracy is an assessment of correctness</t>
  </si>
  <si>
    <t>Activity List</t>
  </si>
  <si>
    <t xml:space="preserve"> A documented tabulation of schedule activities that shows the activity description,</t>
  </si>
  <si>
    <t>activity identifier, and a sufficiently detailed scope of work description so project team members</t>
  </si>
  <si>
    <t>understand what work is to be performed</t>
  </si>
  <si>
    <t>Actual Cost (AC)</t>
  </si>
  <si>
    <t xml:space="preserve"> The realized cost incurred for the work performed on an activity during a specific</t>
  </si>
  <si>
    <t>time period</t>
  </si>
  <si>
    <t>Adaptive Approach</t>
  </si>
  <si>
    <t xml:space="preserve"> A development approach in which the requirements are subject to a high level</t>
  </si>
  <si>
    <t>of uncertainty and volatility and are likely to change throughout the project</t>
  </si>
  <si>
    <t>Affinity Diagram</t>
  </si>
  <si>
    <t xml:space="preserve"> A diagram that shows large numbers of ideas classified into groups for review</t>
  </si>
  <si>
    <t>and analysis</t>
  </si>
  <si>
    <t>Affinity Grouping</t>
  </si>
  <si>
    <t xml:space="preserve"> The process of classifying items into similar categories or collections on the basis</t>
  </si>
  <si>
    <t>of their likeness</t>
  </si>
  <si>
    <t>Agile</t>
  </si>
  <si>
    <t xml:space="preserve"> A term used to describe a mindset of values and principles as set forth in the Agile Manifesto</t>
  </si>
  <si>
    <t>Alternatives Analysis</t>
  </si>
  <si>
    <t xml:space="preserve"> A method used to evaluate identified options in order to select the options</t>
  </si>
  <si>
    <t>or approaches to use to perform the work of the project</t>
  </si>
  <si>
    <t>Ambiguity</t>
  </si>
  <si>
    <t xml:space="preserve"> A state of being unclear, having difficulty in identifying the cause of events, or having</t>
  </si>
  <si>
    <t>multiple options from which to choose</t>
  </si>
  <si>
    <t>Analogous Estimating</t>
  </si>
  <si>
    <t xml:space="preserve"> A method for estimating the duration or cost of an activity or a project using</t>
  </si>
  <si>
    <t>historical data from a similar activity or project</t>
  </si>
  <si>
    <t>Artifact</t>
  </si>
  <si>
    <t xml:space="preserve"> A template, document, output, or project deliverable</t>
  </si>
  <si>
    <t>Assumption</t>
  </si>
  <si>
    <t xml:space="preserve"> A factor in the planning process that is considered to be true, real, or certain, without</t>
  </si>
  <si>
    <t>proof or demonstration</t>
  </si>
  <si>
    <t>Assumption and Constraint Analysis</t>
  </si>
  <si>
    <t xml:space="preserve"> An assessment that ensures assumptions and constraints</t>
  </si>
  <si>
    <t>are integrated into the project plans and documents, and that there is consistency among them</t>
  </si>
  <si>
    <t>Assumption Log</t>
  </si>
  <si>
    <t xml:space="preserve"> A project document used to record all assumptions and constraints throughout</t>
  </si>
  <si>
    <t>the project</t>
  </si>
  <si>
    <t>Authority</t>
  </si>
  <si>
    <t xml:space="preserve"> The right to apply project resources, expend funds, make decisions, or give approvals</t>
  </si>
  <si>
    <t>Backlog</t>
  </si>
  <si>
    <t xml:space="preserve"> An ordered list of work to be done</t>
  </si>
  <si>
    <t>Backlog Refinement</t>
  </si>
  <si>
    <t xml:space="preserve"> Progressive elaboration of the content in the backlog and (re)prioritization</t>
  </si>
  <si>
    <t>of it to identify the work that can be accomplished in an upcoming iteration</t>
  </si>
  <si>
    <t>Baseline</t>
  </si>
  <si>
    <t xml:space="preserve"> The approved version of a work product, used as a basis for comparison to actual results</t>
  </si>
  <si>
    <t>Basis of Estimates</t>
  </si>
  <si>
    <t xml:space="preserve"> Supporting documentation outlining the details used in establishing project</t>
  </si>
  <si>
    <t>estimates such as assumptions, constraints, level of detail, ranges, and confidence levels</t>
  </si>
  <si>
    <t xml:space="preserve"> The comparison of actual or planned products, processes, and practices to those</t>
  </si>
  <si>
    <t>of comparable organizations to identify best practices, generate ideas for improvement, and provide</t>
  </si>
  <si>
    <t>a basis for measuring performance</t>
  </si>
  <si>
    <t>Benefits Management Plan</t>
  </si>
  <si>
    <t xml:space="preserve"> The documented explanation defining the processes for creating,</t>
  </si>
  <si>
    <t>maximizing, and sustaining the benefits provided by a project or program</t>
  </si>
  <si>
    <t>Bid Documents</t>
  </si>
  <si>
    <t xml:space="preserve"> All documents used to solicit information, quotations, or proposals from</t>
  </si>
  <si>
    <t>prospective sellers</t>
  </si>
  <si>
    <t>Bidder Conference</t>
  </si>
  <si>
    <t xml:space="preserve"> The meetings with prospective sellers prior to the preparation of a bid</t>
  </si>
  <si>
    <t>or proposal to ensure all prospective vendors have a clear and common understanding of the</t>
  </si>
  <si>
    <t>procurement</t>
  </si>
  <si>
    <t xml:space="preserve"> Also known as contractor conferences, vendor conferences, or pre-bid conferences</t>
  </si>
  <si>
    <t>Blocker</t>
  </si>
  <si>
    <t xml:space="preserve"> See impediment</t>
  </si>
  <si>
    <t>Budget</t>
  </si>
  <si>
    <t xml:space="preserve"> The approved estimate for the project or any work breakdown structure (WBS) component</t>
  </si>
  <si>
    <t>or any schedule activity</t>
  </si>
  <si>
    <t>Budget at Completion (BAC)</t>
  </si>
  <si>
    <t xml:space="preserve"> The sum of all budgets established for the work to be performed</t>
  </si>
  <si>
    <t>Burn Chart</t>
  </si>
  <si>
    <t xml:space="preserve"> A graphical representation of the work remaining in a timebox or the work completed</t>
  </si>
  <si>
    <t>toward the release of a product or project deliverable</t>
  </si>
  <si>
    <t>Business Case</t>
  </si>
  <si>
    <t xml:space="preserve"> A value proposition for a proposed project that may include financial and</t>
  </si>
  <si>
    <t>nonfinancial benefits</t>
  </si>
  <si>
    <t>Business Model Canvas</t>
  </si>
  <si>
    <t xml:space="preserve"> A one-page, visual summary that describes the value proposition,</t>
  </si>
  <si>
    <t>infrastructure, customers, and finances</t>
  </si>
  <si>
    <t xml:space="preserve"> These are often used in Lean Startup situations</t>
  </si>
  <si>
    <t>Business Value</t>
  </si>
  <si>
    <t xml:space="preserve"> The net quantifiable benefit derived from a business endeavor that may be tangible,</t>
  </si>
  <si>
    <t>intangible, or both</t>
  </si>
  <si>
    <t>Cadence</t>
  </si>
  <si>
    <t xml:space="preserve"> A rhythm of activities conducted throughout the project</t>
  </si>
  <si>
    <t>Cause-and-Effect Diagram</t>
  </si>
  <si>
    <t xml:space="preserve"> A visual representation that helps trace an undesirable effect back to its</t>
  </si>
  <si>
    <t>root cause</t>
  </si>
  <si>
    <t>Change</t>
  </si>
  <si>
    <t xml:space="preserve"> A modification to any formally controlled deliverable, project management plan component,</t>
  </si>
  <si>
    <t>or project document</t>
  </si>
  <si>
    <t>Change Control</t>
  </si>
  <si>
    <t xml:space="preserve"> A process whereby modifications to documents, deliverables, or baselines</t>
  </si>
  <si>
    <t>associated with the project are identified, documented, approved, or rejected</t>
  </si>
  <si>
    <t>Change Control Board (CCB)</t>
  </si>
  <si>
    <t xml:space="preserve"> A formally chartered group responsible for reviewing, evaluating,</t>
  </si>
  <si>
    <t>approving, delaying, or rejecting changes to the project, and for recording and communicating</t>
  </si>
  <si>
    <t>such decisions</t>
  </si>
  <si>
    <t>Change Control Plan</t>
  </si>
  <si>
    <t xml:space="preserve"> A component of the project management plan that establishes the change</t>
  </si>
  <si>
    <t>control board, documents the extent of its authority, and describes how the change control system</t>
  </si>
  <si>
    <t>will be implemented</t>
  </si>
  <si>
    <t>Change Control System</t>
  </si>
  <si>
    <t xml:space="preserve"> A set of procedures that describes how modifications to the project</t>
  </si>
  <si>
    <t>deliverables and documentation are managed and controlled</t>
  </si>
  <si>
    <t>Change Log</t>
  </si>
  <si>
    <t xml:space="preserve"> A comprehensive list of changes submitted during the project and their current status</t>
  </si>
  <si>
    <t>Change Management</t>
  </si>
  <si>
    <t xml:space="preserve"> A comprehensive, cyclic, and structured approach for transitioning individuals,</t>
  </si>
  <si>
    <t>groups, and organizations from a current state to a future state with intended business benefits</t>
  </si>
  <si>
    <t>Change Request</t>
  </si>
  <si>
    <t xml:space="preserve"> A formal proposal to modify a document, deliverable, or baseline</t>
  </si>
  <si>
    <t>Charter</t>
  </si>
  <si>
    <t xml:space="preserve"> See project charter</t>
  </si>
  <si>
    <t>Check Sheet</t>
  </si>
  <si>
    <t xml:space="preserve"> A tally sheet that can be used as a checklist when gathering data</t>
  </si>
  <si>
    <t>Closing Process Group</t>
  </si>
  <si>
    <t xml:space="preserve"> The process(es) performed to formally complete or close a project, phase,</t>
  </si>
  <si>
    <t>or contract</t>
  </si>
  <si>
    <t>Communications Management Plan</t>
  </si>
  <si>
    <t xml:space="preserve"> A component of the project, program, or portfolio</t>
  </si>
  <si>
    <t>management plan that describes how, when, and by whom information about the project will be</t>
  </si>
  <si>
    <t>administered and disseminated</t>
  </si>
  <si>
    <t>Complexity</t>
  </si>
  <si>
    <t xml:space="preserve"> A characteristic of a program or project or its environment that is difficult to manage</t>
  </si>
  <si>
    <t>due to human behavior, system behavior, and ambiguity</t>
  </si>
  <si>
    <t>Confirmation Bias</t>
  </si>
  <si>
    <t xml:space="preserve"> A type of cognitive bias that confirms preexisting beliefs or hypotheses</t>
  </si>
  <si>
    <t>Conformance</t>
  </si>
  <si>
    <t xml:space="preserve"> The degree to which the results meet the set quality requirements</t>
  </si>
  <si>
    <t>Constraint</t>
  </si>
  <si>
    <t xml:space="preserve"> A limiting factor that affects the execution of a project, program, portfolio, or process</t>
  </si>
  <si>
    <t>Contingency</t>
  </si>
  <si>
    <t xml:space="preserve"> An event or occurrence that could affect the execution of the project, which may be</t>
  </si>
  <si>
    <t>accounted for with a reserve</t>
  </si>
  <si>
    <t>Contingency Reserve</t>
  </si>
  <si>
    <t xml:space="preserve"> Time or money allocated in the schedule or cost baseline for known risks with</t>
  </si>
  <si>
    <t>active response strategies</t>
  </si>
  <si>
    <t>Continuous Delivery</t>
  </si>
  <si>
    <t xml:space="preserve"> The practice of delivering feature increments immediately to customers, often</t>
  </si>
  <si>
    <t>through the use of small batches of work and automation technology</t>
  </si>
  <si>
    <t>Contract</t>
  </si>
  <si>
    <t xml:space="preserve"> A mutually binding agreement that obligates the seller to provide the specified product,</t>
  </si>
  <si>
    <t>service, or result and obligates the buyer to pay for it</t>
  </si>
  <si>
    <t>Control</t>
  </si>
  <si>
    <t xml:space="preserve"> The process of comparing actual performance with planned performance, analyzing</t>
  </si>
  <si>
    <t>variances, assessing trends to effect process improvements, evaluating possible alternatives, and</t>
  </si>
  <si>
    <t>recommending appropriate corrective action as needed</t>
  </si>
  <si>
    <t>Control Chart</t>
  </si>
  <si>
    <t xml:space="preserve"> A graphic display of process data over time and against established control limits,</t>
  </si>
  <si>
    <t>which has a centerline that assists in detecting a trend of plotted values toward either control limit</t>
  </si>
  <si>
    <t>Cost Baseline</t>
  </si>
  <si>
    <t xml:space="preserve"> The approved version of the time-phased project budget, excluding any management</t>
  </si>
  <si>
    <t>reserves, which can be changed only through formal change control procedures and is used as a basis</t>
  </si>
  <si>
    <t>for comparison to actual results</t>
  </si>
  <si>
    <t>Cost-Benefit Analysis</t>
  </si>
  <si>
    <t xml:space="preserve"> A financial analysis method used to determine the benefits provided by</t>
  </si>
  <si>
    <t>a project against its costs</t>
  </si>
  <si>
    <t>Cost Management Plan</t>
  </si>
  <si>
    <t xml:space="preserve"> A component of a project or program management plan that describes</t>
  </si>
  <si>
    <t>how costs will be planned, structured, and controlled</t>
  </si>
  <si>
    <t>Cost of Quality (COQ)</t>
  </si>
  <si>
    <t xml:space="preserve"> All costs incurred over the life of the product by investment in preventing</t>
  </si>
  <si>
    <t>nonconformance to requirements, appraisal of the product or service for conformance to requirements,</t>
  </si>
  <si>
    <t>and failure to meet requirements</t>
  </si>
  <si>
    <t>Cost Performance Index (CPI)</t>
  </si>
  <si>
    <t xml:space="preserve"> A measure of the cost efficiency of budgeted resources expressed</t>
  </si>
  <si>
    <t>as the ratio of earned value to actual cost</t>
  </si>
  <si>
    <t>Cost Plus Award Fee Contract (CPAF)</t>
  </si>
  <si>
    <t xml:space="preserve"> A category of contract that involves payments to the seller for</t>
  </si>
  <si>
    <t>all legitimate actual costs incurred for completed work, plus an award fee representing seller profit</t>
  </si>
  <si>
    <t>Cost Plus Fixed Fee Contract (CPFF)</t>
  </si>
  <si>
    <t xml:space="preserve"> A type of cost-reimbursable contract where the buyer</t>
  </si>
  <si>
    <t>reimburses the seller for the seller’s allowable costs (allowable costs are defined by the contract)</t>
  </si>
  <si>
    <t>plus a fixed amount of profit (fee)</t>
  </si>
  <si>
    <t>Cost Plus Incentive Fee Contract (CPIF)</t>
  </si>
  <si>
    <t>reimburses the seller for the seller’s allowable costs (allowable costs are defined by the contract),</t>
  </si>
  <si>
    <t>and the seller earns its profit if it meets defined performance criteria</t>
  </si>
  <si>
    <t>Cost-Reimbursable Contract</t>
  </si>
  <si>
    <t xml:space="preserve"> A type of contract involving payment to the seller for the seller’s</t>
  </si>
  <si>
    <t>actual costs, plus a fee typically representing the seller’s profit</t>
  </si>
  <si>
    <t>Cost Variance (CV)</t>
  </si>
  <si>
    <t xml:space="preserve"> The amount of budget deficit or surplus at a given point in time, expressed</t>
  </si>
  <si>
    <t>as the difference between the earned value and the actual cost</t>
  </si>
  <si>
    <t>Crashing</t>
  </si>
  <si>
    <t xml:space="preserve"> A method used to shorten the schedule duration for the least incremental cost by</t>
  </si>
  <si>
    <t>adding resources</t>
  </si>
  <si>
    <t>Criteria</t>
  </si>
  <si>
    <t xml:space="preserve"> Standards, rules, or tests on which a judgment or decision can be based or by which</t>
  </si>
  <si>
    <t>a product, service, result, or process can be evaluated</t>
  </si>
  <si>
    <t>Critical Path</t>
  </si>
  <si>
    <t xml:space="preserve"> The sequence of activities that represents the longest path through a project, which</t>
  </si>
  <si>
    <t>determines the shortest possible duration</t>
  </si>
  <si>
    <t>Critical Path Method (CPM)</t>
  </si>
  <si>
    <t xml:space="preserve"> A method used to estimate the minimum project duration and</t>
  </si>
  <si>
    <t>determine the amount of schedule flexibility on the logical network paths within the schedule model</t>
  </si>
  <si>
    <t>Cumulative Flow Diagram (CFD)</t>
  </si>
  <si>
    <t xml:space="preserve"> A chart indicating features completed over time, features in other</t>
  </si>
  <si>
    <t>states of development, and those in the backlog</t>
  </si>
  <si>
    <t>Cycle Time</t>
  </si>
  <si>
    <t xml:space="preserve"> The total elapsed time from the start of a particular activity or work item to its completion</t>
  </si>
  <si>
    <t>Cycle Time Chart</t>
  </si>
  <si>
    <t xml:space="preserve"> A diagram that shows the average cycle time of the work items completed</t>
  </si>
  <si>
    <t>over time</t>
  </si>
  <si>
    <t>Daily Standup</t>
  </si>
  <si>
    <t xml:space="preserve"> A brief, daily collaboration meeting in which the team reviews progress from the</t>
  </si>
  <si>
    <t>previous day, declares intentions for the current day, and highlights any obstacles encountered</t>
  </si>
  <si>
    <t>or anticipated</t>
  </si>
  <si>
    <t>Dashboard</t>
  </si>
  <si>
    <t xml:space="preserve"> A set of charts and graphs showing progress or performance against important</t>
  </si>
  <si>
    <t>measures of the project</t>
  </si>
  <si>
    <t>Data Gathering and Analysis Methods</t>
  </si>
  <si>
    <t xml:space="preserve"> Methods used to collect, assess, and evaluate data and</t>
  </si>
  <si>
    <t>information to gain a deeper understanding of a situation</t>
  </si>
  <si>
    <t>Decision Tree Analysis</t>
  </si>
  <si>
    <t xml:space="preserve"> A diagramming and calculation method for evaluating the implications</t>
  </si>
  <si>
    <t>of a chain of multiple options in the presence of uncertainty</t>
  </si>
  <si>
    <t>Decomposition</t>
  </si>
  <si>
    <t xml:space="preserve"> A method used for dividing and subdividing the project scope and project</t>
  </si>
  <si>
    <t>deliverables into smaller, more manageable parts</t>
  </si>
  <si>
    <t>Definition of Done (DoD)</t>
  </si>
  <si>
    <t xml:space="preserve"> A checklist of all the criteria required to be met so that a deliverable can</t>
  </si>
  <si>
    <t>be considered ready for customer use</t>
  </si>
  <si>
    <t xml:space="preserve"> Any unique and verifiable product, result, or capability to perform a service that is</t>
  </si>
  <si>
    <t>required to be produced to complete a process, phase, or project</t>
  </si>
  <si>
    <t>Delivery Performance Domain</t>
  </si>
  <si>
    <t xml:space="preserve"> The performance domain that addresses activities and functions</t>
  </si>
  <si>
    <t>associated with delivering the scope and quality that the project was undertaken to achieve</t>
  </si>
  <si>
    <t>Development Approach</t>
  </si>
  <si>
    <t xml:space="preserve"> A method used to create and evolve the product, service, or result during</t>
  </si>
  <si>
    <t>the project life cycle, such as a predictive, iterative, incremental, agile, or hybrid method</t>
  </si>
  <si>
    <t>Development Approach and Life Cycle Performance Domain</t>
  </si>
  <si>
    <t xml:space="preserve"> The performance domain that</t>
  </si>
  <si>
    <t>addresses activities and functions associated with the development approach, cadence, and life cycle</t>
  </si>
  <si>
    <t>phases of the project</t>
  </si>
  <si>
    <t>DevOps</t>
  </si>
  <si>
    <t xml:space="preserve"> A collection of practices for creating a smooth flow of deliveries by improving collaboration</t>
  </si>
  <si>
    <t>between development and operations staff</t>
  </si>
  <si>
    <t>Digital Product</t>
  </si>
  <si>
    <t xml:space="preserve"> A product or service that is delivered, used, and stored in an electronic format</t>
  </si>
  <si>
    <t>Discretionary Dependency</t>
  </si>
  <si>
    <t xml:space="preserve"> A relationship that is based on best practices or project preferences</t>
  </si>
  <si>
    <t>Duration</t>
  </si>
  <si>
    <t xml:space="preserve"> The total number of work periods required to complete an activity or work breakdown</t>
  </si>
  <si>
    <t>structure component, expressed in hours, days, or weeks</t>
  </si>
  <si>
    <t xml:space="preserve"> Contrast with effort</t>
  </si>
  <si>
    <t>Earned Value (EV)</t>
  </si>
  <si>
    <t xml:space="preserve"> The measure of work performed expressed in terms of the budget authorized</t>
  </si>
  <si>
    <t>for that work</t>
  </si>
  <si>
    <t>Earned Value Analysis (EVA)</t>
  </si>
  <si>
    <t xml:space="preserve"> An analysis method that uses a set of measures associated with scope,</t>
  </si>
  <si>
    <t>schedule, and cost to determine the cost and schedule performance of a project</t>
  </si>
  <si>
    <t>Effort</t>
  </si>
  <si>
    <t xml:space="preserve"> The number of labor units required to complete a schedule activity or work breakdown</t>
  </si>
  <si>
    <t>structure component, often expressed in hours, days, or weeks</t>
  </si>
  <si>
    <t xml:space="preserve"> Contrast with duration</t>
  </si>
  <si>
    <t>Emotional Intelligence</t>
  </si>
  <si>
    <t xml:space="preserve"> The ability to identify, assess, and manage the personal emotions of oneself</t>
  </si>
  <si>
    <t>and other people, as well as the collective emotions of groups of people</t>
  </si>
  <si>
    <t>Enterprise Environmental Factors (EEF)</t>
  </si>
  <si>
    <t xml:space="preserve"> Conditions, not under the immediate control of the team,</t>
  </si>
  <si>
    <t>that influence, constrain, or direct the project, program, or portfolio</t>
  </si>
  <si>
    <t>Epic</t>
  </si>
  <si>
    <t xml:space="preserve"> A large, related body of work intended to hierarchically organize a set of requirements and</t>
  </si>
  <si>
    <t>deliver specific business outcomes</t>
  </si>
  <si>
    <t>Estimate</t>
  </si>
  <si>
    <t xml:space="preserve"> A quantitative assessment of the likely amount or outcome of a variable, such as project</t>
  </si>
  <si>
    <t>costs, resources, effort, or durations</t>
  </si>
  <si>
    <t>Estimate at Completion (EAC)</t>
  </si>
  <si>
    <t xml:space="preserve"> The expected total cost of completing all work expressed as the sum</t>
  </si>
  <si>
    <t>of the actual cost to date and the estimate to complete</t>
  </si>
  <si>
    <t>Estimate to Complete (ETC)</t>
  </si>
  <si>
    <t xml:space="preserve"> The expected cost to finish all the remaining project work</t>
  </si>
  <si>
    <t>Estimating Methods</t>
  </si>
  <si>
    <t xml:space="preserve"> Methods used to develop an approximation of work, time, or cost on a project</t>
  </si>
  <si>
    <t>Executing Process Group</t>
  </si>
  <si>
    <t xml:space="preserve"> Those processes performed to complete the work defined in the project</t>
  </si>
  <si>
    <t>management plan to satisfy the project requirements</t>
  </si>
  <si>
    <t>Expected Monetary Value (EMV)</t>
  </si>
  <si>
    <t xml:space="preserve"> The estimated value of an outcome expressed in monetary terms</t>
  </si>
  <si>
    <t>Explicit Knowledge</t>
  </si>
  <si>
    <t xml:space="preserve"> Knowledge that can be codified using symbols such as words, numbers,</t>
  </si>
  <si>
    <t>and pictures</t>
  </si>
  <si>
    <t>External Dependency</t>
  </si>
  <si>
    <t xml:space="preserve"> A relationship between project activities and non-project activities</t>
  </si>
  <si>
    <t>Fast Tracking</t>
  </si>
  <si>
    <t xml:space="preserve"> A schedule compression method in which activities or phases normally done</t>
  </si>
  <si>
    <t>in sequence are performed in parallel for at least a portion of their duration</t>
  </si>
  <si>
    <t>Feature</t>
  </si>
  <si>
    <t xml:space="preserve"> A set of related requirements or functionalities that provides value to an organization</t>
  </si>
  <si>
    <t>Firm Fixed Price Contract (FFP)</t>
  </si>
  <si>
    <t xml:space="preserve"> A type of fixed-price contract where the buyer pays the seller a set</t>
  </si>
  <si>
    <t>amount (as defined by the contract), regardless of the seller’s costs</t>
  </si>
  <si>
    <t>Fixed Duration</t>
  </si>
  <si>
    <t xml:space="preserve"> A type of activity where the length of time required to complete the activity remains</t>
  </si>
  <si>
    <t>constant regardless of the number of people or resources assigned to the activity</t>
  </si>
  <si>
    <t>Fixed-Price Contract</t>
  </si>
  <si>
    <t xml:space="preserve"> An agreement that sets the fee that will be paid for a defined scope of work</t>
  </si>
  <si>
    <t>regardless of the cost or effort to deliver it</t>
  </si>
  <si>
    <t>Fixed Price Incentive Fee Contract (FPIF)</t>
  </si>
  <si>
    <t xml:space="preserve"> A type of contract where the buyer pays the seller a set</t>
  </si>
  <si>
    <t>amount (as defined by the contract), and the seller can earn an additional amount if the seller meets</t>
  </si>
  <si>
    <t>defined performance criteria</t>
  </si>
  <si>
    <t>Fixed Price with Economic Price Adjustment Contract (FPEPA)</t>
  </si>
  <si>
    <t xml:space="preserve"> A fixed-price contract, but with</t>
  </si>
  <si>
    <t>a special provision allowing for predefined final adjustments to the contract price due to changed</t>
  </si>
  <si>
    <t>conditions, such as inflation changes, or cost increases (or decreases) for specific commodities</t>
  </si>
  <si>
    <t>Flow</t>
  </si>
  <si>
    <t xml:space="preserve"> The measure of how efficiently work moves through a given process or framework</t>
  </si>
  <si>
    <t xml:space="preserve"> The depiction in a diagram format of the inputs, process actions, and outputs of one</t>
  </si>
  <si>
    <t>or more processes within a system</t>
  </si>
  <si>
    <t>Forecast</t>
  </si>
  <si>
    <t xml:space="preserve"> An estimate or prediction of conditions and events in the project’s future based on</t>
  </si>
  <si>
    <t>information and knowledge available at the time of the forecast</t>
  </si>
  <si>
    <t>Function Point</t>
  </si>
  <si>
    <t xml:space="preserve"> An estimate of the amount of business functionality in an information system,</t>
  </si>
  <si>
    <t>used to calculate the functional size measurement of a software system</t>
  </si>
  <si>
    <t>Gantt Chart</t>
  </si>
  <si>
    <t xml:space="preserve"> A bar chart of schedule information where activities are listed on the vertical axis,</t>
  </si>
  <si>
    <t>dates are shown on the horizontal axis, and activity durations are shown as horizontal bars placed</t>
  </si>
  <si>
    <t>according to start and finish dates</t>
  </si>
  <si>
    <t>Governance</t>
  </si>
  <si>
    <t xml:space="preserve"> The framework for directing and enabling an organization through its established</t>
  </si>
  <si>
    <t>policies, practices, and other relevant documentation</t>
  </si>
  <si>
    <t>Grade</t>
  </si>
  <si>
    <t xml:space="preserve"> A category or rank used to distinguish items that have the same functional use but do not</t>
  </si>
  <si>
    <t>share the same requirements for quality</t>
  </si>
  <si>
    <t>Hierarchy Chart</t>
  </si>
  <si>
    <t xml:space="preserve"> A chart that begins with high-level information that is progressively decomposed</t>
  </si>
  <si>
    <t>into lower levels of detail</t>
  </si>
  <si>
    <t>Histogram</t>
  </si>
  <si>
    <t xml:space="preserve"> A bar chart that shows the graphical representation of numerical data</t>
  </si>
  <si>
    <t>Hybrid Approach</t>
  </si>
  <si>
    <t xml:space="preserve"> A combination of two or more agile and nonagile elements, having a nonagile</t>
  </si>
  <si>
    <t>end result</t>
  </si>
  <si>
    <t>Impact Mapping</t>
  </si>
  <si>
    <t xml:space="preserve"> A strategic planning method that serves as a visual roadmap for the organization</t>
  </si>
  <si>
    <t>during product development</t>
  </si>
  <si>
    <t>Impediment</t>
  </si>
  <si>
    <t xml:space="preserve"> An obstacle that prevents the team from achieving its objectives</t>
  </si>
  <si>
    <t>as a blocker</t>
  </si>
  <si>
    <t>Incremental Approach</t>
  </si>
  <si>
    <t xml:space="preserve"> An adaptive development approach in which the deliverable is produced</t>
  </si>
  <si>
    <t>successively, adding functionality until the deliverable contains the necessary and sufficient capability</t>
  </si>
  <si>
    <t>to be considered complete</t>
  </si>
  <si>
    <t>Indefinite Delivery Indefinite Quantity (IDIQ)</t>
  </si>
  <si>
    <t xml:space="preserve"> A contract that provides for an indefinite quantity</t>
  </si>
  <si>
    <t>of goods or services, with a stated lower and upper limit, within a fixed time period</t>
  </si>
  <si>
    <t>Influence Diagram</t>
  </si>
  <si>
    <t xml:space="preserve"> A graphical representation of situations showing causal influences, time ordering</t>
  </si>
  <si>
    <t>of events, and other relationships among variables and outcomes</t>
  </si>
  <si>
    <t>Information Radiator</t>
  </si>
  <si>
    <t xml:space="preserve"> A visible, physical display that provides information to the rest of the</t>
  </si>
  <si>
    <t>organization, enabling timely knowledge sharing</t>
  </si>
  <si>
    <t>Initiating Process Group</t>
  </si>
  <si>
    <t xml:space="preserve"> Those processes performed to define a new project or a new phase</t>
  </si>
  <si>
    <t>of an existing project by obtaining authorization to start the project or phase</t>
  </si>
  <si>
    <t>Internal Dependency</t>
  </si>
  <si>
    <t xml:space="preserve"> A relationship between two or more project activities</t>
  </si>
  <si>
    <t>Interpersonal Skills</t>
  </si>
  <si>
    <t xml:space="preserve"> Skills used to establish and maintain relationships with other people</t>
  </si>
  <si>
    <t>Issue</t>
  </si>
  <si>
    <t xml:space="preserve"> A current condition or situation that may have an impact on the project objectives</t>
  </si>
  <si>
    <t>Issue Log</t>
  </si>
  <si>
    <t xml:space="preserve"> A project document where information about issues is recorded and monitored</t>
  </si>
  <si>
    <t>Iteration</t>
  </si>
  <si>
    <t xml:space="preserve"> A timeboxed cycle of development on a product or deliverable in which all of the work</t>
  </si>
  <si>
    <t>that is needed to deliver value is performed</t>
  </si>
  <si>
    <t>Iteration Plan</t>
  </si>
  <si>
    <t xml:space="preserve"> A detailed plan for the current iteration</t>
  </si>
  <si>
    <t>Iteration Planning</t>
  </si>
  <si>
    <t xml:space="preserve"> A meeting to clarify the details of the backlog items, acceptance criteria, and</t>
  </si>
  <si>
    <t>work effort required to meet an upcoming iteration commitment</t>
  </si>
  <si>
    <t>Iteration Review</t>
  </si>
  <si>
    <t xml:space="preserve"> A meeting held at the end of an iteration to demonstrate the work that was</t>
  </si>
  <si>
    <t>accomplished during the iteration</t>
  </si>
  <si>
    <t>Iterative Approach</t>
  </si>
  <si>
    <t xml:space="preserve"> A development approach that focuses on an initial, simplified implementation</t>
  </si>
  <si>
    <t>then progressively elaborates adding to the feature set until the final deliverable is complete</t>
  </si>
  <si>
    <t>Kanban Board</t>
  </si>
  <si>
    <t xml:space="preserve"> A visualization tool that shows work in progress to help identify bottlenecks and</t>
  </si>
  <si>
    <t>overcommitments, thereby allowing the team to optimize the workflow</t>
  </si>
  <si>
    <t>Kickoff Meeting</t>
  </si>
  <si>
    <t xml:space="preserve"> A gathering of team members and other key stakeholders at the outset of a project</t>
  </si>
  <si>
    <t>to formally set expectations, gain a common understanding, and commence work</t>
  </si>
  <si>
    <t>Knowledge</t>
  </si>
  <si>
    <t xml:space="preserve"> A mixture of experience, values and beliefs, contextual information, intuition,</t>
  </si>
  <si>
    <t>and insight that people use to make sense of new experiences and information</t>
  </si>
  <si>
    <t>Lag</t>
  </si>
  <si>
    <t xml:space="preserve"> The amount of time whereby a successor activity will be delayed with respect to</t>
  </si>
  <si>
    <t>a predecessor activity</t>
  </si>
  <si>
    <t>Last Responsible Moment</t>
  </si>
  <si>
    <t xml:space="preserve"> The concept of deferring a decision to allow the team to consider</t>
  </si>
  <si>
    <t>multiple options until the cost of further delay would exceed the benefit</t>
  </si>
  <si>
    <t>Lead</t>
  </si>
  <si>
    <t xml:space="preserve"> The amount of time whereby a successor activity can be advanced with respect to</t>
  </si>
  <si>
    <t>Lead Time</t>
  </si>
  <si>
    <t xml:space="preserve"> The time between a customer request and the actual delivery</t>
  </si>
  <si>
    <t>Lead Time Chart</t>
  </si>
  <si>
    <t xml:space="preserve"> A diagram showing the trend over time of the average lead time of the items</t>
  </si>
  <si>
    <t>completed in work</t>
  </si>
  <si>
    <t>Lean Startup Canvas</t>
  </si>
  <si>
    <t xml:space="preserve"> A one-page template designed to communicate a business plan with key</t>
  </si>
  <si>
    <t>stakeholders in an efficient and effective manner</t>
  </si>
  <si>
    <t>Lessons Learned</t>
  </si>
  <si>
    <t xml:space="preserve"> The knowledge gained during a project, which shows how project events were</t>
  </si>
  <si>
    <t>addressed or should be addressed in the future, for the purpose of improving future performance</t>
  </si>
  <si>
    <t>Lessons Learned Register</t>
  </si>
  <si>
    <t xml:space="preserve"> A project document used to record knowledge gained during a project,</t>
  </si>
  <si>
    <t>phase, or iteration so that it can be used to improve future performance for the team and the</t>
  </si>
  <si>
    <t>organization</t>
  </si>
  <si>
    <t>Life Cycle</t>
  </si>
  <si>
    <t xml:space="preserve"> See project life cycle</t>
  </si>
  <si>
    <t>Life Cycle Assessment (LCA)</t>
  </si>
  <si>
    <t xml:space="preserve"> A tool used to evaluate the total environmental impact of a product,</t>
  </si>
  <si>
    <t>process, or system</t>
  </si>
  <si>
    <t>Log</t>
  </si>
  <si>
    <t xml:space="preserve"> A document used to record and describe or denote selected items identified during execution</t>
  </si>
  <si>
    <t>of a process or activity</t>
  </si>
  <si>
    <t xml:space="preserve"> Usually used with a modifier, such as issue, change, or assumption</t>
  </si>
  <si>
    <t>Make-or-Buy Analysis</t>
  </si>
  <si>
    <t xml:space="preserve"> The process of gathering and organizing data about product requirements</t>
  </si>
  <si>
    <t>and analyzing them against available alternatives including the purchase or internal manufacture</t>
  </si>
  <si>
    <t>of the product</t>
  </si>
  <si>
    <t>Management Reserve</t>
  </si>
  <si>
    <t xml:space="preserve"> An amount of the project budget or project schedule held outside of the</t>
  </si>
  <si>
    <t>performance measurement baseline for management control purposes that is reserved for unforeseen</t>
  </si>
  <si>
    <t>work that is within the project scope</t>
  </si>
  <si>
    <t>Mandatory Dependency</t>
  </si>
  <si>
    <t xml:space="preserve"> A relationship that is contractually required or inherent in the nature</t>
  </si>
  <si>
    <t>of the work</t>
  </si>
  <si>
    <t>Measurement Performance Domain</t>
  </si>
  <si>
    <t xml:space="preserve"> The performance domain that addresses activities and</t>
  </si>
  <si>
    <t>functions associated with assessing project performance and taking appropriate actions to maintain</t>
  </si>
  <si>
    <t>acceptable performance</t>
  </si>
  <si>
    <t>Measures of Performance</t>
  </si>
  <si>
    <t xml:space="preserve"> Measures that characterize physical or functional attributes relating</t>
  </si>
  <si>
    <t>to system operation</t>
  </si>
  <si>
    <t>Method</t>
  </si>
  <si>
    <t xml:space="preserve"> A means for achieving an outcome, output, result, or project deliverable</t>
  </si>
  <si>
    <t>Methodology</t>
  </si>
  <si>
    <t xml:space="preserve"> A system of practices, techniques, procedures, and rules used by those who work</t>
  </si>
  <si>
    <t>in a discipline</t>
  </si>
  <si>
    <t>Metric</t>
  </si>
  <si>
    <t xml:space="preserve"> A description of a project or product attribute and how to measure it</t>
  </si>
  <si>
    <t xml:space="preserve"> A significant point or event in a project, program, or portfolio</t>
  </si>
  <si>
    <t>Milestone Schedule</t>
  </si>
  <si>
    <t xml:space="preserve"> A type of schedule that presents milestones with planned dates</t>
  </si>
  <si>
    <t>Minimum Viable Product (MVP)</t>
  </si>
  <si>
    <t xml:space="preserve"> A concept used to define the scope of the first release of a solution</t>
  </si>
  <si>
    <t>to customers by identifying the fewest number of features or requirements that would deliver value</t>
  </si>
  <si>
    <t>Modeling</t>
  </si>
  <si>
    <t xml:space="preserve"> Creating simplified representations of systems, solutions, or deliverables, such as prototypes,</t>
  </si>
  <si>
    <t>diagrams, or storyboards</t>
  </si>
  <si>
    <t>Monitor</t>
  </si>
  <si>
    <t xml:space="preserve"> Collect project performance data, produce performance measures, and report and</t>
  </si>
  <si>
    <t>disseminate performance information</t>
  </si>
  <si>
    <t>Monitoring and Controlling Process Group</t>
  </si>
  <si>
    <t xml:space="preserve"> Those processes required to track, review, and regulate</t>
  </si>
  <si>
    <t>the progress and performance of the project; identify any areas in which changes to the plan are</t>
  </si>
  <si>
    <t>required; and initiate corresponding changes</t>
  </si>
  <si>
    <t>Monte Carlo Simulation</t>
  </si>
  <si>
    <t xml:space="preserve"> A method of identifying the potential impacts of risk and uncertainty using</t>
  </si>
  <si>
    <t>multiple iterations of a computer model to develop a probability distribution of a range of outcomes</t>
  </si>
  <si>
    <t>that could result from a decision or course of action</t>
  </si>
  <si>
    <t>Mood Chart</t>
  </si>
  <si>
    <t xml:space="preserve"> A visualization chart for tracking moods or reactions to identify areas for improvement</t>
  </si>
  <si>
    <t>Multipoint Estimating</t>
  </si>
  <si>
    <t xml:space="preserve"> A method used to estimate cost or duration by applying an average</t>
  </si>
  <si>
    <t>or weighted average of optimistic, pessimistic, and most likely estimates when there is uncertainty</t>
  </si>
  <si>
    <t>with the individual activity estimates</t>
  </si>
  <si>
    <t>Net Promoter Score®</t>
  </si>
  <si>
    <t xml:space="preserve"> An index that measures the willingness of customers to recommend</t>
  </si>
  <si>
    <t>an organization’s products or services to others</t>
  </si>
  <si>
    <t>Network Path</t>
  </si>
  <si>
    <t xml:space="preserve"> A sequence of activities connected by logical relationships in a project schedule</t>
  </si>
  <si>
    <t>network diagram</t>
  </si>
  <si>
    <t>Objective</t>
  </si>
  <si>
    <t xml:space="preserve"> Something toward which work is to be directed, a strategic position to be attained,</t>
  </si>
  <si>
    <t>a purpose to be achieved, a result to be obtained, a product to be produced, or a service</t>
  </si>
  <si>
    <t>to be performed</t>
  </si>
  <si>
    <t>Opportunity</t>
  </si>
  <si>
    <t xml:space="preserve"> A risk that would have a positive effect on one or more project objectives</t>
  </si>
  <si>
    <t>Organizational Breakdown Structure (OBS)</t>
  </si>
  <si>
    <t xml:space="preserve"> A hierarchical representation of the project</t>
  </si>
  <si>
    <t>organization, which illustrates the relationship between project activities and the organizational</t>
  </si>
  <si>
    <t>units that will perform those activities</t>
  </si>
  <si>
    <t>Organizational Process Assets (OPA)</t>
  </si>
  <si>
    <t xml:space="preserve"> Plans, processes, policies, procedures, and knowledge bases</t>
  </si>
  <si>
    <t>that are specific to and used by the performing organization</t>
  </si>
  <si>
    <t>Osmotic Communication</t>
  </si>
  <si>
    <t xml:space="preserve"> Means of receiving information without direct communication</t>
  </si>
  <si>
    <t>by overhearing and through nonverbal cues</t>
  </si>
  <si>
    <t>Outcome</t>
  </si>
  <si>
    <t xml:space="preserve"> An end result or consequence of a process or project</t>
  </si>
  <si>
    <t>Parametric Estimating</t>
  </si>
  <si>
    <t xml:space="preserve"> An estimating method in which an algorithm is used to calculate cost</t>
  </si>
  <si>
    <t>or duration based on historical data and project parameters</t>
  </si>
  <si>
    <t>Performance Measurement Baseline (PMB)</t>
  </si>
  <si>
    <t xml:space="preserve"> Integrated scope, schedule, and cost baselines used</t>
  </si>
  <si>
    <t>for comparison to manage, measure, and control project execution</t>
  </si>
  <si>
    <t>Phase Gate</t>
  </si>
  <si>
    <t xml:space="preserve"> A review at the end of a phase in which a decision is made to continue to the next phase,</t>
  </si>
  <si>
    <t>to continue with modification, or to end a project or program</t>
  </si>
  <si>
    <t>Plan</t>
  </si>
  <si>
    <t xml:space="preserve"> A proposed means of accomplishing something</t>
  </si>
  <si>
    <t>Planned Value (PV)</t>
  </si>
  <si>
    <t xml:space="preserve"> The authorized budget assigned to scheduled work</t>
  </si>
  <si>
    <t>Planning Performance Domain</t>
  </si>
  <si>
    <t>associated with the initial, ongoing, and evolving organization and coordination necessary for</t>
  </si>
  <si>
    <t>delivering project deliverables and results</t>
  </si>
  <si>
    <t>Planning Process Group</t>
  </si>
  <si>
    <t xml:space="preserve"> Those processes required to establish the scope of the project, refine</t>
  </si>
  <si>
    <t>the objectives, and define the course of action required to attain the objectives that the project was</t>
  </si>
  <si>
    <t>undertaken to achieve</t>
  </si>
  <si>
    <t>Portfolio</t>
  </si>
  <si>
    <t xml:space="preserve"> Projects, programs, subsidiary portfolios, and operations managed as a group to achieve</t>
  </si>
  <si>
    <t>strategic objectives</t>
  </si>
  <si>
    <t>Portfolio Management</t>
  </si>
  <si>
    <t xml:space="preserve"> The centralized management of one or more portfolios to achieve</t>
  </si>
  <si>
    <t>Precision</t>
  </si>
  <si>
    <t xml:space="preserve"> Within the quality management system, precision is an assessment of exactness</t>
  </si>
  <si>
    <t>Predictive Approach</t>
  </si>
  <si>
    <t xml:space="preserve"> A development approach in which the project scope, time, and cost are</t>
  </si>
  <si>
    <t>determined in the early phases of the life cycle</t>
  </si>
  <si>
    <t>Prioritization Matrix</t>
  </si>
  <si>
    <t xml:space="preserve"> A scatter diagram that plots effort against value so as to classify items</t>
  </si>
  <si>
    <t>by priority</t>
  </si>
  <si>
    <t>Prioritization Schema</t>
  </si>
  <si>
    <t xml:space="preserve"> Methods used to prioritize portfolio, program, or project components,</t>
  </si>
  <si>
    <t>as well as requirements, risks, features, or other product information</t>
  </si>
  <si>
    <t>Probabilistic Estimating</t>
  </si>
  <si>
    <t xml:space="preserve"> A method used to develop a range of estimates along with the associated</t>
  </si>
  <si>
    <t>probabilities within that range</t>
  </si>
  <si>
    <t>Probability and Impact Matrix</t>
  </si>
  <si>
    <t xml:space="preserve"> A grid for mapping the probability of occurrence of each risk</t>
  </si>
  <si>
    <t>and its impact on project objectives if that risk occurs</t>
  </si>
  <si>
    <t>Procurement Management Plan</t>
  </si>
  <si>
    <t xml:space="preserve"> A component of the project or program management plan</t>
  </si>
  <si>
    <t>that describes how a project team will acquire goods and services from outside of the performing</t>
  </si>
  <si>
    <t>Product</t>
  </si>
  <si>
    <t xml:space="preserve"> An artifact that is produced, is quantifiable, and can be either an end item in itself</t>
  </si>
  <si>
    <t>or a component item</t>
  </si>
  <si>
    <t>Product Breakdown Structure</t>
  </si>
  <si>
    <t xml:space="preserve"> A hierarchical structure reflecting a product’s components</t>
  </si>
  <si>
    <t>and deliverables</t>
  </si>
  <si>
    <t>Product Life Cycle</t>
  </si>
  <si>
    <t xml:space="preserve"> A series of phases that represent the evolution of a product, from concept</t>
  </si>
  <si>
    <t>through delivery, growth, maturity, and to retirement</t>
  </si>
  <si>
    <t>Product Management</t>
  </si>
  <si>
    <t xml:space="preserve"> The integration of people, data, processes, and business systems to create,</t>
  </si>
  <si>
    <t>maintain, and evolve a product or service throughout its life cycle</t>
  </si>
  <si>
    <t>Product Owner</t>
  </si>
  <si>
    <t xml:space="preserve"> A person responsible for maximizing the value of the product and accountable</t>
  </si>
  <si>
    <t>for the end product</t>
  </si>
  <si>
    <t>Product Scope</t>
  </si>
  <si>
    <t xml:space="preserve"> The features and functions that characterize a product, service, or result</t>
  </si>
  <si>
    <t xml:space="preserve"> Related projects, subsidiary programs, and program activities that are managed in</t>
  </si>
  <si>
    <t>a coordinated manner to obtain benefits not available from managing them individually</t>
  </si>
  <si>
    <t>Program Management</t>
  </si>
  <si>
    <t xml:space="preserve"> The application of knowledge, skills, and principles to a program to</t>
  </si>
  <si>
    <t>achieve the program objectives and obtain benefits and control not available by managing program</t>
  </si>
  <si>
    <t>components individually</t>
  </si>
  <si>
    <t>Progressive Elaboration</t>
  </si>
  <si>
    <t xml:space="preserve"> The iterative process of increasing the level of detail in a project management</t>
  </si>
  <si>
    <t>plan as greater amounts of information and more accurate estimates become available</t>
  </si>
  <si>
    <t xml:space="preserve"> A temporary endeavor undertaken to create a unique product, service, or result</t>
  </si>
  <si>
    <t>Project Brief</t>
  </si>
  <si>
    <t xml:space="preserve"> A high-level overview of the goals, deliverables, and processes for the project</t>
  </si>
  <si>
    <t>Project Calendar</t>
  </si>
  <si>
    <t xml:space="preserve"> A calendar that identifies working days and shifts that are ava ilable for</t>
  </si>
  <si>
    <t>scheduled activities</t>
  </si>
  <si>
    <t>Project Charter</t>
  </si>
  <si>
    <t xml:space="preserve"> A document issued by the project initiator or sponsor that formally authorizes the</t>
  </si>
  <si>
    <t>existence of a project and provides the project manager with the authority to apply organizational</t>
  </si>
  <si>
    <t>resources to project activities</t>
  </si>
  <si>
    <t>Project Governance</t>
  </si>
  <si>
    <t xml:space="preserve"> The framework, functions, and processes that guide project management</t>
  </si>
  <si>
    <t>activities in order to create a unique product, service, or result to meet organizational, strategic,</t>
  </si>
  <si>
    <t>and operational goals</t>
  </si>
  <si>
    <t>Project Lead</t>
  </si>
  <si>
    <t xml:space="preserve"> A person who helps the project team to achieve the project objectives, typically</t>
  </si>
  <si>
    <t>by orchestrating the work of the project</t>
  </si>
  <si>
    <t>Project Life Cycle</t>
  </si>
  <si>
    <t xml:space="preserve"> The series of phases that a project passes through from its start to its completion</t>
  </si>
  <si>
    <t>Project Management</t>
  </si>
  <si>
    <t xml:space="preserve"> The application of knowledge, skills, tools, and techniques to project activities</t>
  </si>
  <si>
    <t>to meet the project requirements</t>
  </si>
  <si>
    <t>Project Management Body of Knowledge (PMBOK)</t>
  </si>
  <si>
    <t xml:space="preserve"> A term that describes the knowledge within</t>
  </si>
  <si>
    <t>the profession of project management</t>
  </si>
  <si>
    <t>Project Management Office (PMO)</t>
  </si>
  <si>
    <t xml:space="preserve"> A management structure that standardizes the project-related</t>
  </si>
  <si>
    <t>governance processes and facilitates the sharing of resources, methodologies, tools, and techniques</t>
  </si>
  <si>
    <t>Project Management Plan</t>
  </si>
  <si>
    <t xml:space="preserve"> The document that describes how the project will be executed,</t>
  </si>
  <si>
    <t>monitored and controlled, and closed</t>
  </si>
  <si>
    <t>Project Management Process Group</t>
  </si>
  <si>
    <t xml:space="preserve"> A logical grouping of project management inputs, tools and</t>
  </si>
  <si>
    <t>techniques, and outputs</t>
  </si>
  <si>
    <t xml:space="preserve"> The Project Management Process Groups include Initiating processes,</t>
  </si>
  <si>
    <t>Planning processes, Executing processes, Monitoring and Controlling processes, and Closing processes</t>
  </si>
  <si>
    <t>Project Management Team</t>
  </si>
  <si>
    <t xml:space="preserve"> The members of the project team who are directly involved in project</t>
  </si>
  <si>
    <t>management activities</t>
  </si>
  <si>
    <t>Project Manager</t>
  </si>
  <si>
    <t xml:space="preserve"> The person assigned by the performing organization to lead the team that</t>
  </si>
  <si>
    <t>is responsible for achieving the project objectives</t>
  </si>
  <si>
    <t>Project Phase</t>
  </si>
  <si>
    <t xml:space="preserve"> A collection of logically related project activities that culminates in the completion</t>
  </si>
  <si>
    <t>of one or more deliverables</t>
  </si>
  <si>
    <t>Project Review</t>
  </si>
  <si>
    <t xml:space="preserve"> An event at the end of a phase or project to assess the status, evaluate the value</t>
  </si>
  <si>
    <t>delivered, and determine if the project is ready to move to the next phase or transition to operations</t>
  </si>
  <si>
    <t>Project Schedule</t>
  </si>
  <si>
    <t xml:space="preserve"> An output of a schedule model that presents linked activities with planned dates,</t>
  </si>
  <si>
    <t>durations, milestones, and resources</t>
  </si>
  <si>
    <t>Project Schedule Network Diagram</t>
  </si>
  <si>
    <t xml:space="preserve"> A graphical representation of the logical relationships among</t>
  </si>
  <si>
    <t>the project schedule activities</t>
  </si>
  <si>
    <t>Project Scope</t>
  </si>
  <si>
    <t xml:space="preserve"> The work performed to deliver a product, service, or result with the specified features</t>
  </si>
  <si>
    <t>and functions</t>
  </si>
  <si>
    <t>Project Scope Statement</t>
  </si>
  <si>
    <t xml:space="preserve"> The description of the project scope, major deliverables, and exclusions</t>
  </si>
  <si>
    <t>Project Team</t>
  </si>
  <si>
    <t xml:space="preserve"> A set of individuals performing the work of the project to achieve its objectives</t>
  </si>
  <si>
    <t>Project Vision Statement</t>
  </si>
  <si>
    <t xml:space="preserve"> A concise, high-level description of the project that states the purpose</t>
  </si>
  <si>
    <t>and inspires the team to contribute to the project</t>
  </si>
  <si>
    <t>Project Work Performance Domain</t>
  </si>
  <si>
    <t>functions associated with establishing project processes, managing physical resources, and fostering</t>
  </si>
  <si>
    <t>a learning environment</t>
  </si>
  <si>
    <t>Prototype</t>
  </si>
  <si>
    <t xml:space="preserve"> A working model used to obtain early feedback on the expected product before actually</t>
  </si>
  <si>
    <t>building it</t>
  </si>
  <si>
    <t xml:space="preserve"> The degree to which a set of inherent characteristics fulfills requirements</t>
  </si>
  <si>
    <t>Quality Management Plan</t>
  </si>
  <si>
    <t xml:space="preserve"> A component of the project or program management plan that</t>
  </si>
  <si>
    <t>describes how applicable policies, procedures, and guidelines will be implemented to achieve the</t>
  </si>
  <si>
    <t>quality objectives</t>
  </si>
  <si>
    <t>Quality Metrics</t>
  </si>
  <si>
    <t>Quality Policy</t>
  </si>
  <si>
    <t xml:space="preserve"> The basic principles that should govern the organization’s actions as it implements</t>
  </si>
  <si>
    <t>its system for quality management</t>
  </si>
  <si>
    <t>Quality Report</t>
  </si>
  <si>
    <t xml:space="preserve"> A project document that includes quality management issues, recommendations</t>
  </si>
  <si>
    <t>for corrective actions, and a summary of findings from quality control activities and may include</t>
  </si>
  <si>
    <t>recommendations for process, project, and product improvements</t>
  </si>
  <si>
    <t>Register</t>
  </si>
  <si>
    <t xml:space="preserve"> A written record of regular entries for evolving aspects of a project, such as risks,</t>
  </si>
  <si>
    <t>stakeholders, or defects</t>
  </si>
  <si>
    <t>Regression Analysis</t>
  </si>
  <si>
    <t xml:space="preserve"> An analytical method where a series of input variables are examined in relation</t>
  </si>
  <si>
    <t>to their corresponding output results in order to develop a mathematical or statistical relationship</t>
  </si>
  <si>
    <t>Regulations</t>
  </si>
  <si>
    <t xml:space="preserve"> Requirements imposed by a governmental body</t>
  </si>
  <si>
    <t>product, process, or service characteristics, including applicable administrative provisions that have</t>
  </si>
  <si>
    <t>government-mandated compliance</t>
  </si>
  <si>
    <t>Relative Estimating</t>
  </si>
  <si>
    <t xml:space="preserve"> A method for creating estimates that are derived from performing a comparison</t>
  </si>
  <si>
    <t>against a similar body of work, taking effort, complexity, and uncertainty into consideration</t>
  </si>
  <si>
    <t>Release</t>
  </si>
  <si>
    <t xml:space="preserve"> One or more components of one or more products, which are intended to be put into</t>
  </si>
  <si>
    <t>production at the same time</t>
  </si>
  <si>
    <t>Release Plan</t>
  </si>
  <si>
    <t xml:space="preserve"> The plan that sets expectations for the dates, features, and/or outcomes expected</t>
  </si>
  <si>
    <t>to be delivered over the course of multiple iterations</t>
  </si>
  <si>
    <t>Release Planning</t>
  </si>
  <si>
    <t xml:space="preserve"> The process of identifying a high-level plan for releasing or transitioning a product,</t>
  </si>
  <si>
    <t>deliverable, or increment of value</t>
  </si>
  <si>
    <t>Report</t>
  </si>
  <si>
    <t xml:space="preserve"> A formal record or summary of information</t>
  </si>
  <si>
    <t>Requirement</t>
  </si>
  <si>
    <t xml:space="preserve"> A condition or capability that is necessary to be present in a product, service, or result</t>
  </si>
  <si>
    <t>to satisfy a business need</t>
  </si>
  <si>
    <t>Requirements Documentation</t>
  </si>
  <si>
    <t xml:space="preserve"> A record of product requirements and other product information,</t>
  </si>
  <si>
    <t>along with whatever is recorded to manage it</t>
  </si>
  <si>
    <t>Requirements Management Plan</t>
  </si>
  <si>
    <t>describes how requirements will be analyzed, documented, and managed</t>
  </si>
  <si>
    <t>Requirements Traceability Matrix</t>
  </si>
  <si>
    <t xml:space="preserve"> A grid that links product requirements from their origin to the</t>
  </si>
  <si>
    <t>deliverables that satisfy them</t>
  </si>
  <si>
    <t>Reserve</t>
  </si>
  <si>
    <t xml:space="preserve"> A provision in the project management plan to mitigate cost and/or schedule risk, often</t>
  </si>
  <si>
    <t>used with a modifier (e</t>
  </si>
  <si>
    <t>g</t>
  </si>
  <si>
    <t>what types of risk are meant to be mitigated</t>
  </si>
  <si>
    <t>Reserve Analysis</t>
  </si>
  <si>
    <t xml:space="preserve"> A method used to evaluate the amount of risk on the project and the amount</t>
  </si>
  <si>
    <t>of schedule and budget reserve to determine whether the reserve is sufficient for the remaining risk</t>
  </si>
  <si>
    <t>Resource Breakdown Structure</t>
  </si>
  <si>
    <t xml:space="preserve"> A hierarchical representation of resources by category and type</t>
  </si>
  <si>
    <t>Resource Management Plan</t>
  </si>
  <si>
    <t xml:space="preserve"> A component of the project management plan that describes how</t>
  </si>
  <si>
    <t>project resources are acquired, allocated, monitored, and controlled</t>
  </si>
  <si>
    <t>Responsibility</t>
  </si>
  <si>
    <t xml:space="preserve"> An assignment that can be delegated within a project management plan such that</t>
  </si>
  <si>
    <t>the assigned resource incurs a duty to perform the requirements of the assignment</t>
  </si>
  <si>
    <t>Responsibility Assignment Matrix (RAM)</t>
  </si>
  <si>
    <t xml:space="preserve"> A grid that shows the project resources assigned to each</t>
  </si>
  <si>
    <t>work package</t>
  </si>
  <si>
    <t>Result</t>
  </si>
  <si>
    <t xml:space="preserve"> An output from performing project management processes and activities</t>
  </si>
  <si>
    <t>Retrospective</t>
  </si>
  <si>
    <t xml:space="preserve"> A regularly occurring workshop in which participants explore their work and results</t>
  </si>
  <si>
    <t>in order to improve both the process and product</t>
  </si>
  <si>
    <t>Rework</t>
  </si>
  <si>
    <t xml:space="preserve"> Action taken to bring a defective or nonconforming component into compliance with</t>
  </si>
  <si>
    <t>requirements or specifications</t>
  </si>
  <si>
    <t xml:space="preserve"> An uncertain event or condition that, if it occurs, has a positive or negative effect on one or more</t>
  </si>
  <si>
    <t>project objectives</t>
  </si>
  <si>
    <t>Risk Acceptance</t>
  </si>
  <si>
    <t xml:space="preserve"> A risk response strategy whereby the project team decides to acknowledge the risk</t>
  </si>
  <si>
    <t>and not take any action unless the risk occurs</t>
  </si>
  <si>
    <t>Risk-Adjusted Backlog</t>
  </si>
  <si>
    <t xml:space="preserve"> A backlog that includes product work and actions to address threats and</t>
  </si>
  <si>
    <t>opportunities</t>
  </si>
  <si>
    <t>Risk Appetite</t>
  </si>
  <si>
    <t xml:space="preserve"> The degree of uncertainty an organization or individual is willing to accept in</t>
  </si>
  <si>
    <t>anticipation of a reward</t>
  </si>
  <si>
    <t>Risk Avoidance</t>
  </si>
  <si>
    <t xml:space="preserve"> A risk response strategy whereby the project team acts to eliminate the threat</t>
  </si>
  <si>
    <t>or protect the project from its impact</t>
  </si>
  <si>
    <t>Risk Breakdown Structure (RBS)</t>
  </si>
  <si>
    <t xml:space="preserve"> A hierarchical representation of potential sources of risks</t>
  </si>
  <si>
    <t>Risk Enhancement</t>
  </si>
  <si>
    <t xml:space="preserve"> A risk response strategy whereby the project team acts to increase the</t>
  </si>
  <si>
    <t>probability of occurrence or impact of an opportunity</t>
  </si>
  <si>
    <t>Risk Escalation</t>
  </si>
  <si>
    <t xml:space="preserve"> A risk response strategy whereby the team acknowledges that a risk is outside</t>
  </si>
  <si>
    <t>of its sphere of influence and shifts the ownership of the risk to a higher level of the organization</t>
  </si>
  <si>
    <t>where it is more effectively managed</t>
  </si>
  <si>
    <t>Risk Exploiting</t>
  </si>
  <si>
    <t xml:space="preserve"> A risk response strategy whereby the project team acts to ensure that an</t>
  </si>
  <si>
    <t>opportunity occurs</t>
  </si>
  <si>
    <t>Risk Exposure</t>
  </si>
  <si>
    <t xml:space="preserve"> An aggregate measure of the potential impact of all risks at any given point in time</t>
  </si>
  <si>
    <t>in a project, program, or portfolio</t>
  </si>
  <si>
    <t>Risk Management Plan</t>
  </si>
  <si>
    <t xml:space="preserve"> A component of the project, program, or portfolio management plan that</t>
  </si>
  <si>
    <t>describes how risk management activities will be structured and performed</t>
  </si>
  <si>
    <t>Risk Mitigation</t>
  </si>
  <si>
    <t xml:space="preserve"> A risk response strategy whereby the project team acts to decrease the probability</t>
  </si>
  <si>
    <t>of occurrence or impact of a threat</t>
  </si>
  <si>
    <t>Risk Register</t>
  </si>
  <si>
    <t xml:space="preserve"> A repository in which outputs of risk management processes are recorded</t>
  </si>
  <si>
    <t>Risk Report</t>
  </si>
  <si>
    <t xml:space="preserve"> A project document that summarizes information on individual project risks and the</t>
  </si>
  <si>
    <t>level of overall project risk</t>
  </si>
  <si>
    <t>Risk Review</t>
  </si>
  <si>
    <t xml:space="preserve"> The process of analyzing the status of existing risks and identifying new risks</t>
  </si>
  <si>
    <t>be known as risk reassessment</t>
  </si>
  <si>
    <t>Risk Sharing</t>
  </si>
  <si>
    <t xml:space="preserve"> A risk response strategy whereby the project team allocates ownership of an opportunity</t>
  </si>
  <si>
    <t>to a third party who is best able to capture the benefit of that opportunity</t>
  </si>
  <si>
    <t>Risk Threshold</t>
  </si>
  <si>
    <t xml:space="preserve"> The measure of acceptable variation around an objective that reflects the risk appetite</t>
  </si>
  <si>
    <t>of the organization and stakeholders</t>
  </si>
  <si>
    <t>Risk Transference</t>
  </si>
  <si>
    <t xml:space="preserve"> A risk response strategy whereby the project team shifts the impact of a threat</t>
  </si>
  <si>
    <t>to a third party, together with ownership of the response</t>
  </si>
  <si>
    <t>Roadmap</t>
  </si>
  <si>
    <t xml:space="preserve"> A high-level time line that depicts such things as milestones, significant events, reviews,</t>
  </si>
  <si>
    <t>and decision points</t>
  </si>
  <si>
    <t>Role</t>
  </si>
  <si>
    <t xml:space="preserve"> A defined function to be performed by a project team member, such as testing, filing,</t>
  </si>
  <si>
    <t>inspecting, or coding</t>
  </si>
  <si>
    <t>Rolling Wave Planning</t>
  </si>
  <si>
    <t xml:space="preserve"> An iterative planning method in which the work to be accomplished in the</t>
  </si>
  <si>
    <t>near term is planned in detail, while the work in the future is planned at a higher level</t>
  </si>
  <si>
    <t>Root Cause Analysis</t>
  </si>
  <si>
    <t xml:space="preserve"> An analytical method used to determine the basic underlying reason that</t>
  </si>
  <si>
    <t>causes a variance or a defect or a risk</t>
  </si>
  <si>
    <t>Scatter Diagram</t>
  </si>
  <si>
    <t xml:space="preserve"> A graph that shows the relationship between two variables</t>
  </si>
  <si>
    <t>Schedule</t>
  </si>
  <si>
    <t xml:space="preserve"> See project schedule</t>
  </si>
  <si>
    <t>Schedule Baseline</t>
  </si>
  <si>
    <t xml:space="preserve"> The approved version of a schedule model that can be changed using formal</t>
  </si>
  <si>
    <t>change control procedures and is used as the basis for comparison to actual results</t>
  </si>
  <si>
    <t>Schedule Compression</t>
  </si>
  <si>
    <t xml:space="preserve"> A method used to shorten the schedule duration without reducing</t>
  </si>
  <si>
    <t>the project scope</t>
  </si>
  <si>
    <t>Schedule Forecasts</t>
  </si>
  <si>
    <t xml:space="preserve"> Estimates or predictions of conditions and events in the project’s future based</t>
  </si>
  <si>
    <t>on information and knowledge available at the time the schedule is calculated</t>
  </si>
  <si>
    <t>Schedule Management Plan</t>
  </si>
  <si>
    <t>establishes the criteria and the activities for developing, monitoring, and controlling the schedule</t>
  </si>
  <si>
    <t>Schedule Model</t>
  </si>
  <si>
    <t xml:space="preserve"> A representation of the plan for executing the project’s activities including durations,</t>
  </si>
  <si>
    <t>dependencies, and other planning information, used to produce a project schedule along with other</t>
  </si>
  <si>
    <t>scheduling artifacts</t>
  </si>
  <si>
    <t>Schedule Performance Index (SPI)</t>
  </si>
  <si>
    <t xml:space="preserve"> A measure of schedule efficiency expressed as the ratio</t>
  </si>
  <si>
    <t>of earned value to planned value</t>
  </si>
  <si>
    <t>Schedule Variance (SV)</t>
  </si>
  <si>
    <t xml:space="preserve"> A measure of schedule performance expressed as the difference between</t>
  </si>
  <si>
    <t>the earned value and the planned value</t>
  </si>
  <si>
    <t xml:space="preserve"> The sum of the products, services, and results to be provided as a project</t>
  </si>
  <si>
    <t>scope and product scope</t>
  </si>
  <si>
    <t>Scope Baseline</t>
  </si>
  <si>
    <t xml:space="preserve"> The approved version of a scope statement, work breakdown structure (WBS),</t>
  </si>
  <si>
    <t>and its associated WBS dictionary that can be changed using formal change control procedures and</t>
  </si>
  <si>
    <t>is used as the basis for comparison to actual results</t>
  </si>
  <si>
    <t>Scope Creep</t>
  </si>
  <si>
    <t xml:space="preserve"> The uncontrolled expansion to product or project scope without adjustments to time,</t>
  </si>
  <si>
    <t>cost, and resources</t>
  </si>
  <si>
    <t>Scope Management Plan</t>
  </si>
  <si>
    <t xml:space="preserve"> A component of the project or program management plan that describes</t>
  </si>
  <si>
    <t>how the scope will be defined, developed, monitored, controlled, and validated</t>
  </si>
  <si>
    <t>S-Curve</t>
  </si>
  <si>
    <t xml:space="preserve"> A graph that displays cumulative costs over a specified period of time</t>
  </si>
  <si>
    <t>Self-Organizing Team</t>
  </si>
  <si>
    <t xml:space="preserve"> A cross-functional team in which people assume leadership as needed</t>
  </si>
  <si>
    <t>to achieve the team’s objectives</t>
  </si>
  <si>
    <t>Sensitivity Analysis</t>
  </si>
  <si>
    <t xml:space="preserve"> An analysis method to determine which individual project risks or other</t>
  </si>
  <si>
    <t>sources of uncertainty have the most potential impact on project outcomes by correlating variations</t>
  </si>
  <si>
    <t>in project outcomes with variations in elements of a quantitative risk analysis model</t>
  </si>
  <si>
    <t>Servant Leadership</t>
  </si>
  <si>
    <t xml:space="preserve"> The practice of leading the team by focusing on understanding and</t>
  </si>
  <si>
    <t>addressing the needs and development of team members in order to enable the highest possible</t>
  </si>
  <si>
    <t>team performance</t>
  </si>
  <si>
    <t>Simulation</t>
  </si>
  <si>
    <t xml:space="preserve"> An analytical method that models the combined effect of uncertainties to evaluate their</t>
  </si>
  <si>
    <t>potential impact on objectives</t>
  </si>
  <si>
    <t>Single-Point Estimating</t>
  </si>
  <si>
    <t xml:space="preserve"> An estimating method that involves using data to calculate a single value</t>
  </si>
  <si>
    <t>which reflects a best guess estimate</t>
  </si>
  <si>
    <t>Specification</t>
  </si>
  <si>
    <t xml:space="preserve"> A precise statement of the needs to be satisfied and the essential characteristics that</t>
  </si>
  <si>
    <t>are required</t>
  </si>
  <si>
    <t>Sponsor</t>
  </si>
  <si>
    <t xml:space="preserve"> A person or group who provides resources and support for the project, program, or portfolio</t>
  </si>
  <si>
    <t>and is accountable for enabling success</t>
  </si>
  <si>
    <t>Sprint</t>
  </si>
  <si>
    <t xml:space="preserve"> A short time interval within a project during which a usable and potentially releasable</t>
  </si>
  <si>
    <t>increment of the product is created</t>
  </si>
  <si>
    <t xml:space="preserve"> An individual, group, or organization that may affect, be affected by, or perceive itself</t>
  </si>
  <si>
    <t>to be affected by a decision, activity, or outcome of a project, program, or portfolio</t>
  </si>
  <si>
    <t>Stakeholder Analysis</t>
  </si>
  <si>
    <t xml:space="preserve"> A method of systematically gathering and analyzing quantitative and qualitative</t>
  </si>
  <si>
    <t>information to determine whose interests should be taken into account throughout the project</t>
  </si>
  <si>
    <t>Stakeholder Engagement Assessment Matrix</t>
  </si>
  <si>
    <t xml:space="preserve"> A matrix that compares current and desired</t>
  </si>
  <si>
    <t>stakeholder engagement levels</t>
  </si>
  <si>
    <t>Stakeholder Engagement Plan</t>
  </si>
  <si>
    <t xml:space="preserve"> A component of the project management plan that identifies the</t>
  </si>
  <si>
    <t>strategies and actions required to promote productive involvement of stakeholders in project or</t>
  </si>
  <si>
    <t>program decision making and execution</t>
  </si>
  <si>
    <t>Stakeholder Performance Domain</t>
  </si>
  <si>
    <t>functions associated with stakeholders</t>
  </si>
  <si>
    <t>Stakeholder Register</t>
  </si>
  <si>
    <t xml:space="preserve"> A project document that includes information about project stakeholders</t>
  </si>
  <si>
    <t>including an assessment and classification of project stakeholders</t>
  </si>
  <si>
    <t>Standard</t>
  </si>
  <si>
    <t xml:space="preserve"> A document established by an authority, custom, or general consent as a model or example</t>
  </si>
  <si>
    <t>Statement of Work (SOW)</t>
  </si>
  <si>
    <t xml:space="preserve"> A narrative description of products, services, or results to be delivered</t>
  </si>
  <si>
    <t>by the project</t>
  </si>
  <si>
    <t>Status Meeting</t>
  </si>
  <si>
    <t xml:space="preserve"> A regularly scheduled meeting to exchange and analyze information about the current</t>
  </si>
  <si>
    <t>progress of the project and its performance</t>
  </si>
  <si>
    <t>Status Report</t>
  </si>
  <si>
    <t xml:space="preserve"> A report on the current status of the project</t>
  </si>
  <si>
    <t>Steering Committee</t>
  </si>
  <si>
    <t xml:space="preserve"> An advisory body of senior stakeholders who provide direction and support</t>
  </si>
  <si>
    <t>for the project team and make decisions outside the project team’s authority</t>
  </si>
  <si>
    <t>Story Map</t>
  </si>
  <si>
    <t xml:space="preserve"> A visual model of all the features and functionality desired for a given product, created</t>
  </si>
  <si>
    <t>to give the team a holistic view of what they are building and why</t>
  </si>
  <si>
    <t>Story Point</t>
  </si>
  <si>
    <t xml:space="preserve"> A unit used to estimate the relative level of effort needed to implement a user story</t>
  </si>
  <si>
    <t>Strategic Plan</t>
  </si>
  <si>
    <t xml:space="preserve"> A high-level document that explains an organization’s vision and mission plus the</t>
  </si>
  <si>
    <t>approach that will be adopted to achieve this mission and vision, including the specific goals and</t>
  </si>
  <si>
    <t>objectives to be achieved during the period covered by the document</t>
  </si>
  <si>
    <t>Strategy Artifacts</t>
  </si>
  <si>
    <t xml:space="preserve"> Documents created prior to or at the start of the project that address strategic,</t>
  </si>
  <si>
    <t>business, or high-level information about the project</t>
  </si>
  <si>
    <t>Swarm</t>
  </si>
  <si>
    <t xml:space="preserve"> A method in which multiple team members focus collectively on resolving a specific problem</t>
  </si>
  <si>
    <t>or task</t>
  </si>
  <si>
    <t>SWOT Analysis</t>
  </si>
  <si>
    <t xml:space="preserve"> Analysis of strengths, weaknesses, opportunities, and threats of an organization,</t>
  </si>
  <si>
    <t>project, or option</t>
  </si>
  <si>
    <t>Tacit Knowledge</t>
  </si>
  <si>
    <t xml:space="preserve"> Personal knowledge that can be difficult to articulate and share such as beliefs,</t>
  </si>
  <si>
    <t>experience, and insights</t>
  </si>
  <si>
    <t xml:space="preserve"> The deliberate adaptation of approach, governance, and processes to make them more</t>
  </si>
  <si>
    <t>suitable for the given environment and the work at hand</t>
  </si>
  <si>
    <t>Task Board</t>
  </si>
  <si>
    <t xml:space="preserve"> A visual representation of the progress of the planned work that allows everyone to see</t>
  </si>
  <si>
    <t>the status of the tasks</t>
  </si>
  <si>
    <t>Team Charter</t>
  </si>
  <si>
    <t xml:space="preserve"> A document that records the team values, agreements, and operating guidelines,</t>
  </si>
  <si>
    <t>as well as establishes clear expectations regarding acceptable behavior by project team members</t>
  </si>
  <si>
    <t>Team Performance Domain</t>
  </si>
  <si>
    <t>associated with the people who are responsible for producing project deliverables that realize</t>
  </si>
  <si>
    <t>business outcomes</t>
  </si>
  <si>
    <t>Technical Performance Measures</t>
  </si>
  <si>
    <t xml:space="preserve"> Quantifiable measures of technical performance that are used</t>
  </si>
  <si>
    <t>to ensure system components meet the technical requirements</t>
  </si>
  <si>
    <t xml:space="preserve"> A partially complete document in a predefined format that provides a defined structure</t>
  </si>
  <si>
    <t>for collecting, organizing, and presenting information and data</t>
  </si>
  <si>
    <t>Test Plan</t>
  </si>
  <si>
    <t xml:space="preserve"> A document describing deliverables that will be tested, tests that will be conducted, and</t>
  </si>
  <si>
    <t>the processes that will be used in testing</t>
  </si>
  <si>
    <t>Threat</t>
  </si>
  <si>
    <t xml:space="preserve"> A risk that would have a negative effect on one or more project objectives</t>
  </si>
  <si>
    <t>Threshold</t>
  </si>
  <si>
    <t xml:space="preserve"> A predetermined value of a measurable project variable that represents a limit that</t>
  </si>
  <si>
    <t>requires action to be taken if it is reached</t>
  </si>
  <si>
    <t>Throughput</t>
  </si>
  <si>
    <t xml:space="preserve"> The number of items passing through a process</t>
  </si>
  <si>
    <t>Throughput Chart</t>
  </si>
  <si>
    <t xml:space="preserve"> A diagram that shows the accepted deliverables over time</t>
  </si>
  <si>
    <t>Time and Materials Contract (T&amp;M)</t>
  </si>
  <si>
    <t xml:space="preserve"> A type of contract that is a hybrid contractual arrangement</t>
  </si>
  <si>
    <t>containing aspects of both cost-reimbursable and fixed-price contracts</t>
  </si>
  <si>
    <t>Timebox</t>
  </si>
  <si>
    <t xml:space="preserve"> A short, fixed period of time in which work is to be completed</t>
  </si>
  <si>
    <t>Tolerance</t>
  </si>
  <si>
    <t xml:space="preserve"> The quantified description of acceptable variation for a quality requirement</t>
  </si>
  <si>
    <t>Trend Analysis</t>
  </si>
  <si>
    <t xml:space="preserve"> An analytical method that uses mathematical models to forecast future outcomes</t>
  </si>
  <si>
    <t>based on historical results</t>
  </si>
  <si>
    <t>Triple Bottom Line</t>
  </si>
  <si>
    <t xml:space="preserve"> A framework for considering the full cost of doing business by evaluating</t>
  </si>
  <si>
    <t>a company’s bottom line from the perspective of profit, people, and the planet</t>
  </si>
  <si>
    <t>Uncertainty</t>
  </si>
  <si>
    <t xml:space="preserve"> A lack of understanding and awareness of issues, events, path to follow, or solutions</t>
  </si>
  <si>
    <t>to pursue</t>
  </si>
  <si>
    <t>Uncertainty Domain</t>
  </si>
  <si>
    <t xml:space="preserve"> The performance domain that addresses activities and functions associated</t>
  </si>
  <si>
    <t>with risk and uncertainty</t>
  </si>
  <si>
    <t>Use Case</t>
  </si>
  <si>
    <t xml:space="preserve"> An artifact for describing and exploring how a user interacts with a system to achieve</t>
  </si>
  <si>
    <t>a specific goal</t>
  </si>
  <si>
    <t>User Story</t>
  </si>
  <si>
    <t xml:space="preserve"> A brief description of an outcome for a specific user, which is a promise for a conversation</t>
  </si>
  <si>
    <t>to clarify details</t>
  </si>
  <si>
    <t>Validation</t>
  </si>
  <si>
    <t xml:space="preserve"> The assurance that a product, service, or result meets the needs of the customer and</t>
  </si>
  <si>
    <t>other identified stakeholders</t>
  </si>
  <si>
    <t xml:space="preserve"> The worth, importance, or usefulness of something</t>
  </si>
  <si>
    <t>Value Delivery Office (VDO)</t>
  </si>
  <si>
    <t xml:space="preserve"> A project delivery support structure that focuses on coaching teams;</t>
  </si>
  <si>
    <t>building agile skills and capabilities throughout the organization; and mentoring sponsors and</t>
  </si>
  <si>
    <t>product owners to be more effective in those roles</t>
  </si>
  <si>
    <t>Value Delivery System</t>
  </si>
  <si>
    <t xml:space="preserve"> A collection of strategic business activities aimed at building, sustaining,</t>
  </si>
  <si>
    <t>and/or advancing an organization</t>
  </si>
  <si>
    <t>Value Proposition</t>
  </si>
  <si>
    <t xml:space="preserve"> The value of a product or service that an organization communicates</t>
  </si>
  <si>
    <t>to its customers</t>
  </si>
  <si>
    <t>Value Stream Map</t>
  </si>
  <si>
    <t xml:space="preserve"> A display of the critical steps in a process and the time taken in each step used</t>
  </si>
  <si>
    <t>to identify waste</t>
  </si>
  <si>
    <t>Value Stream Mapping</t>
  </si>
  <si>
    <t xml:space="preserve"> A lean enterprise method used to document, analyze, and improve the flow</t>
  </si>
  <si>
    <t>of information or materials required to produce a product or service for a customer</t>
  </si>
  <si>
    <t>Vanity Metric</t>
  </si>
  <si>
    <t xml:space="preserve"> A measure that appears to show some result but does not provide useful information</t>
  </si>
  <si>
    <t>for making decisions</t>
  </si>
  <si>
    <t xml:space="preserve"> A quantifiable deviation, departure, or divergence away from a known baseline</t>
  </si>
  <si>
    <t>or expected value</t>
  </si>
  <si>
    <t>Variance Analysis</t>
  </si>
  <si>
    <t xml:space="preserve"> A method for determining the cause and degree of difference between the</t>
  </si>
  <si>
    <t>baseline and actual performance</t>
  </si>
  <si>
    <t>Variance at Completion (VAC)</t>
  </si>
  <si>
    <t xml:space="preserve"> A projection of the amount of budget deficit or surplus, expressed</t>
  </si>
  <si>
    <t>as the difference between the budget at completion and the estimate at completion</t>
  </si>
  <si>
    <t>Velocity</t>
  </si>
  <si>
    <t xml:space="preserve"> A measure of a team’s productivity rate at which the deliverables are produced, validated,</t>
  </si>
  <si>
    <t>and accepted within a predefined interval</t>
  </si>
  <si>
    <t>Velocity Chart</t>
  </si>
  <si>
    <t xml:space="preserve"> A chart that tracks the rate at which the deliverables are produced, validated, and</t>
  </si>
  <si>
    <t>accepted within a predefined interval</t>
  </si>
  <si>
    <t>Verification</t>
  </si>
  <si>
    <t xml:space="preserve"> The evaluation of whether or not a product, service, or result complies with a regulation,</t>
  </si>
  <si>
    <t>requirement, specification, or imposed condition</t>
  </si>
  <si>
    <t>Virtual Team</t>
  </si>
  <si>
    <t xml:space="preserve"> A group of people with a shared goal who work in different locations and who engage</t>
  </si>
  <si>
    <t>with each other primarily through phone and other electronic communications</t>
  </si>
  <si>
    <t>Vision Statement</t>
  </si>
  <si>
    <t xml:space="preserve"> A summarized, high-level description about the expectations for a product such as</t>
  </si>
  <si>
    <t>target market, users, major benefits, and what differentiates the product from others in the market</t>
  </si>
  <si>
    <t>Visual Data and Information</t>
  </si>
  <si>
    <t xml:space="preserve"> Artifacts that organize and present data and information in a visual</t>
  </si>
  <si>
    <t>format, such as charts, graphs, matrices, and diagrams</t>
  </si>
  <si>
    <t>Voice of the Customer</t>
  </si>
  <si>
    <t xml:space="preserve"> A planning method used to provide products, services, and results that truly</t>
  </si>
  <si>
    <t>reflect customer requirements by translating those customer requirements into the appropriate</t>
  </si>
  <si>
    <t>technical requirements for each phase of project or product development</t>
  </si>
  <si>
    <t>Volatility</t>
  </si>
  <si>
    <t xml:space="preserve"> The possibility for rapid and unpredictable change</t>
  </si>
  <si>
    <t>Waste</t>
  </si>
  <si>
    <t xml:space="preserve"> Activities that consume resources and/or time without adding value</t>
  </si>
  <si>
    <t>WBS Dictionary</t>
  </si>
  <si>
    <t xml:space="preserve"> A document that provides detailed deliverable, activity, and scheduling information</t>
  </si>
  <si>
    <t>about each component in the work breakdown structure</t>
  </si>
  <si>
    <t>What-If-Scenario Analysis</t>
  </si>
  <si>
    <t xml:space="preserve"> The process of evaluating scenarios in order to predict their effect on</t>
  </si>
  <si>
    <t>Wideband Delphi</t>
  </si>
  <si>
    <t xml:space="preserve"> An estimating method in which subject matter experts go through multiple</t>
  </si>
  <si>
    <t>rounds of producing estimates individually, with a team discussion after each round, until</t>
  </si>
  <si>
    <t>a consensus is achieved</t>
  </si>
  <si>
    <t>Work Breakdown Structure (WBS)</t>
  </si>
  <si>
    <t xml:space="preserve"> A hierarchical decomposition of the total scope of work</t>
  </si>
  <si>
    <t>to be carried out by the project team to accomplish the project objectives and create the required</t>
  </si>
  <si>
    <t>deliverables</t>
  </si>
  <si>
    <t>Work Package</t>
  </si>
  <si>
    <t xml:space="preserve"> The work defined at the lowest level of the work breakdown structure for which cost</t>
  </si>
  <si>
    <t>and duration are estimated and managed</t>
  </si>
  <si>
    <t>Projects contribute to business
objectives and advancement of
strategy</t>
  </si>
  <si>
    <t>Projects realize the outcomes they
were initiated to deliver</t>
  </si>
  <si>
    <t>Project benefits are realized in the
time frame in which they were
planned</t>
  </si>
  <si>
    <t>The project team has a clear
understanding of requirements</t>
  </si>
  <si>
    <t>Stakeholders accept and are
satisfied with project deliverables</t>
  </si>
  <si>
    <t>The business plan and the organization’s strategic plan, along with the project
authorizing documents, demonstrate that the project deliverables and
business objectives are aligned.</t>
  </si>
  <si>
    <t>The business case and underlying data indicate the project is still on track to
realize the intended outcomes.</t>
  </si>
  <si>
    <t>The benefits realization plan, business case, and/or schedule indicate that the
financial metrics and scheduled deliveries are being achieved as planned.</t>
  </si>
  <si>
    <t>In predictive development, little change in the initial requirements reflects
understanding. In projects where requirements are evolving, a clear understanding
of requirements may not take place until well into the project.</t>
  </si>
  <si>
    <t>Interviews, observation, and end user feedback indicate stakeholder
satisfaction with deliverables. Levels of complaints and returns can also
be used to indicate satisfaction.</t>
  </si>
  <si>
    <t>Check</t>
  </si>
  <si>
    <t>Topic</t>
  </si>
  <si>
    <t>A reliable understanding of the
status of the project</t>
  </si>
  <si>
    <t>Actionable data to facilitate
decision making</t>
  </si>
  <si>
    <t>Timely and appropriate actions to
keep project performance on track</t>
  </si>
  <si>
    <t>Achieving targets and generating
business value by making informed
and timely decisions based on
reliable forecasts and evaluations</t>
  </si>
  <si>
    <t>Audit measurements and reports demonstrate if data is reliable.</t>
  </si>
  <si>
    <t>Measurements indicate whether the project is performing as expected or if
there are variances.</t>
  </si>
  <si>
    <t>Measurements provide leading indicators and/or current status leads to
timely decisions and actions.</t>
  </si>
  <si>
    <t>Reviewing past forecasts and current performance demonstrates if previous
forecasts reflect the present accurately. Comparing the actual performance to
the planned performance and evaluating business documents will show the
likelihood of achieving intended value from the project.</t>
  </si>
  <si>
    <t>Uncertainty Performance Domain</t>
  </si>
  <si>
    <t>An awareness of the environment in
which projects occur, including, but
not limited to, the technical, social,
political, market, and economic
environments</t>
  </si>
  <si>
    <t>Proactively exploring and
responding to uncertainty</t>
  </si>
  <si>
    <t>An awareness of the interdependence
of multiple variables on the
project</t>
  </si>
  <si>
    <t>The capacity to anticipate threats
and opportunities and understand
the consequences of issues</t>
  </si>
  <si>
    <t>Project delivery with little or no
negative impact from unforeseen
events or conditions</t>
  </si>
  <si>
    <t>Realized opportunities to improve
project performance and outcomes</t>
  </si>
  <si>
    <t>Cost and schedule reserves used
effectively to maintain alignment
with project objectives</t>
  </si>
  <si>
    <t>The team incorporates environmental considerations when evaluating
uncertainty, risks, and responses.</t>
  </si>
  <si>
    <t>Risk responses are aligned with the prioritization of project constraints, such
as budget, schedule, and performance.</t>
  </si>
  <si>
    <t>Actions to address complexity, ambiguity, and volatility are appropriate for
the project.</t>
  </si>
  <si>
    <t>Systems for identifying, capturing, and responding to risk are appropriately
robust.</t>
  </si>
  <si>
    <t>Scheduled delivery dates are met, and the budget performance is within the
variance threshold.</t>
  </si>
  <si>
    <t>Teams use established mechanisms to identify and leverage opportunities.</t>
  </si>
  <si>
    <t>Teams take steps to proactively prevent threats, thereby limiting use of cost
or schedule reserve.</t>
  </si>
  <si>
    <t>A productive working relationship
with stakeholders throughout the
project</t>
  </si>
  <si>
    <t>Stakeholder agreement with project
objectives</t>
  </si>
  <si>
    <t>Stakeholders who are project
beneficiaries are supportive
and satisfied; stakeholders who
may oppose the project or its
deliverables do not negatively
impact project results</t>
  </si>
  <si>
    <t>Productive working relationships with stakeholders can be observed. However,
the movement of stakeholders along a continuum of engagement can indicate
the relative level of satisfaction with the project.</t>
  </si>
  <si>
    <t>A significant number of changes or modifications to the project and product
requirements in addition to the scope may indicate stakeholders are not
engaged or aligned with the project objectives.</t>
  </si>
  <si>
    <t>Stakeholder behavior can indicate whether project beneficiaries are satisfied
and supportive of the project or whether they oppose it. Surveys, interviews,
and focus groups are also effective ways to determine if stakeholders are
satisfied and supportive or if they oppose the project and its deliverables.
A review of the project issue register and risk register can identify challenges
associated with individual stakeholders.</t>
  </si>
  <si>
    <t>Shared ownership</t>
  </si>
  <si>
    <t>A high-performing team</t>
  </si>
  <si>
    <t>Applicable leadership and other
interpersonal skills are demonstrated
by all project team members</t>
  </si>
  <si>
    <t>All project team members know the vision and objectives. The project team
owns the deliverables and outcomes of the project.</t>
  </si>
  <si>
    <t>The project team trusts each other and collaborates. The project team adapts
to changing situations and is resilient in the face of challenges. The project
team feels empowered and empowers and recognizes members of the
project team.</t>
  </si>
  <si>
    <t>Project team members apply critical thinking and interpersonal skills. Project
team member leadership styles are appropriate to the project context and
environment.</t>
  </si>
  <si>
    <t>Development approaches that are
consistent with project deliverables</t>
  </si>
  <si>
    <t>A project life cycle consisting of
phases that connect the delivery of
business and stakeholder value
from the beginning to the end of
the project</t>
  </si>
  <si>
    <t>Project life cycle phases that
facilitate the delivery cadence and
development approach required to
produce the project deliverables</t>
  </si>
  <si>
    <t>The development approach for deliverables (predictive, hybrid, or adaptive)
reflects the product variables and is appropriate given the project and
organizational variables.</t>
  </si>
  <si>
    <t>Project work from launch to close is represented in the project phases.
Phases include appropriate exit criteria.</t>
  </si>
  <si>
    <t>The cadence for development, testing, and deploying is represented in the life
cycle phases. Projects with multiple deliverables that have different delivery
cadences and development methods are represented by overlapping phases
or phase repetitions, as necessary.</t>
  </si>
  <si>
    <t>The project progresses in an
organized, coordinated, and
deliberate manner.</t>
  </si>
  <si>
    <t>There is a holistic approach to
delivering the project outcomes.</t>
  </si>
  <si>
    <t>Evolving information is elaborated
to produce the deliverables and
outcomes for which the project was
undertaken.</t>
  </si>
  <si>
    <t>Time spent planning is appropriate
for the situation.</t>
  </si>
  <si>
    <t>Planning information is sufficient to
manage stakeholder expectations.</t>
  </si>
  <si>
    <t>There is a process for the
adaptation of plans throughout the
project, based on emerging and
changing needs or conditions.</t>
  </si>
  <si>
    <t>A performance review of project results against the project baselines and
other measurement metrics demonstrates that the project is progressing as
planned. Performance variances are within thresholds.</t>
  </si>
  <si>
    <t>The delivery schedule, funding, resource availability, procurements, etc.,
demonstrate that the project is planned in a holistic manner with no gaps or
areas of misalignment.</t>
  </si>
  <si>
    <t>Initial information about deliverables and requirements compared to current
information demonstrates appropriate elaboration. Current information
compared to the business case indicates the project will produce the
deliverables and outcomes it was undertaken to deliver.</t>
  </si>
  <si>
    <t>Project plans and documents demonstrate that the level of planning is
appropriate for the project.</t>
  </si>
  <si>
    <t>The communications management plan and stakeholder information indicate
that the communications are sufficient to manage stakeholder expectations.</t>
  </si>
  <si>
    <t>Projects using a backlog show the adaptation of plans throughout the project.
Projects using a change control process have change logs and documentation
from change control board meetings that demonstrate the change control
process is being applied.</t>
  </si>
  <si>
    <t>Efficient and effective project
performance</t>
  </si>
  <si>
    <t>Project processes that are
appropriate for the project and
the environment</t>
  </si>
  <si>
    <t>Appropriate communication and
engagement with stakeholders</t>
  </si>
  <si>
    <t>Efficient management of physical
resources</t>
  </si>
  <si>
    <t>Effective management of
procurements</t>
  </si>
  <si>
    <t>Effective handling of change</t>
  </si>
  <si>
    <t>Improved capability due to
continuous learning and process
improvement</t>
  </si>
  <si>
    <t>Status reports show that project work is efficient and effective.</t>
  </si>
  <si>
    <t>Evidence shows that the project processes have been tailored to meet the
needs of the project and the environment. Process audits and quality
assurance activities show that the processes are relevant and being used
effectively.</t>
  </si>
  <si>
    <t>The project communications management plan and communication artifacts
demonstrate that the planned communications are being delivered to
stakeholders. There are few ad hoc requests for information or misunderstandings
that might indicate engagement and communication activities are not
effective.</t>
  </si>
  <si>
    <t>The amount of material used, scrap discarded, and amount of rework indicate
that resources are being used efficiently.</t>
  </si>
  <si>
    <t>A procurement audit demonstrates that appropriate processes utilized were
sufficient for the procurement and that the contractor is performing to plan.</t>
  </si>
  <si>
    <t>Projects using a predictive approach have a change log that demonstrates
changes are being evaluated holistically with consideration for scope,
schedule, budget, resource, stakeholder, and risk impacts. Projects using an
adaptive approach have a backlog that shows the rate of accomplishing
scope and the rate of adding new scope.</t>
  </si>
  <si>
    <t>Team status reports show fewer errors and rework with an increase in velocity.</t>
  </si>
  <si>
    <t>STEWARDSHIP</t>
  </si>
  <si>
    <t>TEAM</t>
  </si>
  <si>
    <t>STAKEHOLDERS</t>
  </si>
  <si>
    <t>VALUE</t>
  </si>
  <si>
    <t>SYSTEMS THINKING</t>
  </si>
  <si>
    <t>LEADERSHIP</t>
  </si>
  <si>
    <t>TAILORING</t>
  </si>
  <si>
    <t>QUALITY</t>
  </si>
  <si>
    <t>COMPLEXITY</t>
  </si>
  <si>
    <t>RISK</t>
  </si>
  <si>
    <t>ADAPTABILITY AND RESILIENCY</t>
  </si>
  <si>
    <t>CHANGE</t>
  </si>
  <si>
    <t>STAKEHOLDER PERFORMANCE DOMAIN</t>
  </si>
  <si>
    <t>TEAM PERFORMANCE DOMAIN</t>
  </si>
  <si>
    <t>DEVELOPMENT APPROACH AND LIFE CYCLE PERFORMANCE DOMAIN</t>
  </si>
  <si>
    <t>PLANNING PERFORMANCE DOMAIN</t>
  </si>
  <si>
    <t>PROJECT WORK PERFORMANCE DOMAIN</t>
  </si>
  <si>
    <t>DELIVERY PERFORMANCE DOMAIN</t>
  </si>
  <si>
    <t>MEASUREMENT PERFORMANCE DOMAIN</t>
  </si>
  <si>
    <t>UNCERTAINTY PERFORMANCE DOMAIN</t>
  </si>
  <si>
    <t>What</t>
  </si>
  <si>
    <t>Effectiveness</t>
  </si>
  <si>
    <t>Name</t>
  </si>
  <si>
    <r>
      <t>Approximately 70–80%</t>
    </r>
    <r>
      <rPr>
        <sz val="8"/>
        <color rgb="FF424242"/>
        <rFont val="Segoe UI"/>
        <family val="2"/>
      </rPr>
      <t> of the PMP exam questions are </t>
    </r>
    <r>
      <rPr>
        <sz val="8"/>
        <color rgb="FF424242"/>
        <rFont val="Segoe UI"/>
        <family val="2"/>
      </rPr>
      <t>scenario-based</t>
    </r>
    <r>
      <rPr>
        <sz val="8"/>
        <color rgb="FF424242"/>
        <rFont val="Segoe UI"/>
        <family val="2"/>
      </rPr>
      <t> </t>
    </r>
  </si>
  <si>
    <r>
      <t>These questions test your ability to </t>
    </r>
    <r>
      <rPr>
        <sz val="8"/>
        <color rgb="FF424242"/>
        <rFont val="Segoe UI"/>
        <family val="2"/>
      </rPr>
      <t>apply principles, performance domains, and decision-making</t>
    </r>
    <r>
      <rPr>
        <sz val="8"/>
        <color rgb="FF424242"/>
        <rFont val="Segoe UI"/>
        <family val="2"/>
      </rPr>
      <t> in real-world project situations.</t>
    </r>
  </si>
  <si>
    <r>
      <t>The remaining questions are typically </t>
    </r>
    <r>
      <rPr>
        <sz val="8"/>
        <color rgb="FF424242"/>
        <rFont val="Segoe UI"/>
        <family val="2"/>
      </rPr>
      <t>knowledge-based</t>
    </r>
    <r>
      <rPr>
        <sz val="8"/>
        <color rgb="FF424242"/>
        <rFont val="Segoe UI"/>
        <family val="2"/>
      </rPr>
      <t>, </t>
    </r>
    <r>
      <rPr>
        <sz val="8"/>
        <color rgb="FF424242"/>
        <rFont val="Segoe UI"/>
        <family val="2"/>
      </rPr>
      <t>definition-focused</t>
    </r>
    <r>
      <rPr>
        <sz val="8"/>
        <color rgb="FF424242"/>
        <rFont val="Segoe UI"/>
        <family val="2"/>
      </rPr>
      <t>, or </t>
    </r>
    <r>
      <rPr>
        <sz val="8"/>
        <color rgb="FF424242"/>
        <rFont val="Segoe UI"/>
        <family val="2"/>
      </rPr>
      <t>interpretive</t>
    </r>
    <r>
      <rPr>
        <sz val="8"/>
        <color rgb="FF424242"/>
        <rFont val="Segoe UI"/>
        <family val="2"/>
      </rPr>
      <t> (e.g., identifying the best tool or technique).</t>
    </r>
  </si>
  <si>
    <t>Project Management Foundations</t>
  </si>
  <si>
    <t>• Definition of a project</t>
  </si>
  <si>
    <t>• Program management</t>
  </si>
  <si>
    <t>• Portfolio management</t>
  </si>
  <si>
    <t>• Organizational project</t>
  </si>
  <si>
    <t>management (0PM)</t>
  </si>
  <si>
    <t>• Governance</t>
  </si>
  <si>
    <t>• Organizational structure</t>
  </si>
  <si>
    <t>• Project coordinator</t>
  </si>
  <si>
    <t>• Project expediter</t>
  </si>
  <si>
    <t>• Project management</t>
  </si>
  <si>
    <t>office (PMO)</t>
  </si>
  <si>
    <t>• Value delivery office</t>
  </si>
  <si>
    <t>(VDO)</t>
  </si>
  <si>
    <t>• Return on investment</t>
  </si>
  <si>
    <t>(ROI)</t>
  </si>
  <si>
    <t>• Present value (PV)</t>
  </si>
  <si>
    <t>• Net present value (NPV)</t>
  </si>
  <si>
    <t>• Internal rate of return</t>
  </si>
  <si>
    <t>(IRR)</t>
  </si>
  <si>
    <t>• Payback period</t>
  </si>
  <si>
    <t>• Cost-benefit analysis</t>
  </si>
  <si>
    <t>• Economic value added</t>
  </si>
  <si>
    <t>(EVA)</t>
  </si>
  <si>
    <t>• Opportunity cost</t>
  </si>
  <si>
    <t>• Sunk costs</t>
  </si>
  <si>
    <t>• Law of diminishing</t>
  </si>
  <si>
    <t>returns</t>
  </si>
  <si>
    <t>• Working capital</t>
  </si>
  <si>
    <t>• Depreciation</t>
  </si>
  <si>
    <t>• Project roles</t>
  </si>
  <si>
    <t>• Agile coach</t>
  </si>
  <si>
    <t>• Team lead</t>
  </si>
  <si>
    <t>• Scrum Master</t>
  </si>
  <si>
    <t>- Product owner</t>
  </si>
  <si>
    <t>- Product manager</t>
  </si>
  <si>
    <t>- Functional or resource</t>
  </si>
  <si>
    <t>manager</t>
  </si>
  <si>
    <t>- Functional</t>
  </si>
  <si>
    <t>- Project-oriented</t>
  </si>
  <si>
    <t>- Matrix</t>
  </si>
  <si>
    <t>- Supportive</t>
  </si>
  <si>
    <t>- Controlling</t>
  </si>
  <si>
    <t>- Directive</t>
  </si>
  <si>
    <t>- Project manager</t>
  </si>
  <si>
    <t>- Agile Team Leader</t>
  </si>
  <si>
    <t>- Project sponsor/lnitiator</t>
  </si>
  <si>
    <t>- Project team</t>
  </si>
  <si>
    <t>- Stakeholder</t>
  </si>
  <si>
    <t>- Program manager</t>
  </si>
  <si>
    <t>- Portfolio manager</t>
  </si>
  <si>
    <t>Exam References</t>
  </si>
  <si>
    <t>• Rolling wave planning</t>
  </si>
  <si>
    <t>• Progressive elaboration</t>
  </si>
  <si>
    <t>• Examination Content</t>
  </si>
  <si>
    <t>Outline (ECO)</t>
  </si>
  <si>
    <t>- People</t>
  </si>
  <si>
    <t>- Process</t>
  </si>
  <si>
    <t>- Business Environment</t>
  </si>
  <si>
    <t>• Process Group model</t>
  </si>
  <si>
    <t>- Initiating</t>
  </si>
  <si>
    <t>- Planning</t>
  </si>
  <si>
    <t>- Executing</t>
  </si>
  <si>
    <t>- Monitoring and</t>
  </si>
  <si>
    <t>Controlling</t>
  </si>
  <si>
    <t>- Closing</t>
  </si>
  <si>
    <t>• Phase gates</t>
  </si>
  <si>
    <t>• Rita’s Process Chart™</t>
  </si>
  <si>
    <t>• Agile process</t>
  </si>
  <si>
    <t>- Feasibility</t>
  </si>
  <si>
    <t>- Initiation</t>
  </si>
  <si>
    <t>- Release Planning</t>
  </si>
  <si>
    <t>- Iteration</t>
  </si>
  <si>
    <t>- Close-out</t>
  </si>
  <si>
    <t>• Rita’s Agile Process</t>
  </si>
  <si>
    <t>Chart™</t>
  </si>
  <si>
    <t>• Personas</t>
  </si>
  <si>
    <t>• Product release</t>
  </si>
  <si>
    <t>• Hybrid project</t>
  </si>
  <si>
    <t>management</t>
  </si>
  <si>
    <t>• Value delivery system</t>
  </si>
  <si>
    <t>INITIATING</t>
  </si>
  <si>
    <t>Select project manager</t>
  </si>
  <si>
    <t>Determine company culture</t>
  </si>
  <si>
    <t>and existing systems</t>
  </si>
  <si>
    <t>Collect processes, procedures,</t>
  </si>
  <si>
    <t>and historical information</t>
  </si>
  <si>
    <t>Divide large projects into</t>
  </si>
  <si>
    <t>phases or smaller projects</t>
  </si>
  <si>
    <t>Understand business case and</t>
  </si>
  <si>
    <t>benefits management plan</t>
  </si>
  <si>
    <t>Uncover initial requirements,</t>
  </si>
  <si>
    <t>assumptions, risks, constraints,</t>
  </si>
  <si>
    <t>and existing agreements</t>
  </si>
  <si>
    <t>Assess project and product</t>
  </si>
  <si>
    <t>feasibility within the given</t>
  </si>
  <si>
    <t>constraints</t>
  </si>
  <si>
    <t>Create measurable objectives</t>
  </si>
  <si>
    <t>and success criteria</t>
  </si>
  <si>
    <t>Develop project charter</t>
  </si>
  <si>
    <t>Identify stakeholders and</t>
  </si>
  <si>
    <t>determine their expectations,</t>
  </si>
  <si>
    <t>interest, influence, and impact</t>
  </si>
  <si>
    <t>Request changes</t>
  </si>
  <si>
    <t>Develop assumption log</t>
  </si>
  <si>
    <t>Develop stakeholder register</t>
  </si>
  <si>
    <t>PLANNING</t>
  </si>
  <si>
    <t>Determine development</t>
  </si>
  <si>
    <t>approach, life cycle, and</t>
  </si>
  <si>
    <t>how you will plan for each</t>
  </si>
  <si>
    <t>knowledge area</t>
  </si>
  <si>
    <t>Define and prioritize</t>
  </si>
  <si>
    <t>requirements</t>
  </si>
  <si>
    <t>Create project scope statement</t>
  </si>
  <si>
    <t>Assess what to purchase and</t>
  </si>
  <si>
    <t>create procurement documents</t>
  </si>
  <si>
    <t>Determine planning team</t>
  </si>
  <si>
    <t>Create WBS and WBS</t>
  </si>
  <si>
    <t>dictionary</t>
  </si>
  <si>
    <t>Create activity list</t>
  </si>
  <si>
    <t>Create network diagram</t>
  </si>
  <si>
    <t>Estimate resource requirements</t>
  </si>
  <si>
    <t>Estimate activity durations</t>
  </si>
  <si>
    <t>and costs</t>
  </si>
  <si>
    <t>Determine critical path</t>
  </si>
  <si>
    <t>Develop schedule</t>
  </si>
  <si>
    <t>Develop budget</t>
  </si>
  <si>
    <t>Determine quality standards,</t>
  </si>
  <si>
    <t>processes, and metrics</t>
  </si>
  <si>
    <t>Determine team charter and all</t>
  </si>
  <si>
    <t>roles and responsibilities</t>
  </si>
  <si>
    <t>Plan communications and</t>
  </si>
  <si>
    <t>stakeholder engagement</t>
  </si>
  <si>
    <t>Perform risk identification,</t>
  </si>
  <si>
    <t>qualitative and quantitative</t>
  </si>
  <si>
    <t>risk analysis, and risk response</t>
  </si>
  <si>
    <t>planning</t>
  </si>
  <si>
    <t>Go back—iterations</t>
  </si>
  <si>
    <t>Finalize procurement strategy</t>
  </si>
  <si>
    <t>and documents</t>
  </si>
  <si>
    <t>Create change and</t>
  </si>
  <si>
    <t>configuration management</t>
  </si>
  <si>
    <t>plans</t>
  </si>
  <si>
    <t>Finalize all management plans</t>
  </si>
  <si>
    <t>Develop realistic and sufficient</t>
  </si>
  <si>
    <t>project management plan and</t>
  </si>
  <si>
    <t>baselines</t>
  </si>
  <si>
    <t>Gain formal approval of the</t>
  </si>
  <si>
    <t>plan</t>
  </si>
  <si>
    <t>Hold kickoff meeting</t>
  </si>
  <si>
    <t>CLOSING</t>
  </si>
  <si>
    <t>Confirm work is done to</t>
  </si>
  <si>
    <t>Complete final procurement</t>
  </si>
  <si>
    <t>closure</t>
  </si>
  <si>
    <t>Gain final acceptance of</t>
  </si>
  <si>
    <t>product</t>
  </si>
  <si>
    <t>Complete financial closure</t>
  </si>
  <si>
    <t>Hand off completed product</t>
  </si>
  <si>
    <t>Solicit customer’s feedback</t>
  </si>
  <si>
    <t>about the project</t>
  </si>
  <si>
    <t>Complete final performance</t>
  </si>
  <si>
    <t>reporting</t>
  </si>
  <si>
    <t>Index and archive records</t>
  </si>
  <si>
    <t>Gather final lessons learned</t>
  </si>
  <si>
    <t>and update knowledge bases</t>
  </si>
  <si>
    <t>management plan</t>
  </si>
  <si>
    <t>(This is the only process group with a set order.)</t>
  </si>
  <si>
    <t>• Integration Management</t>
  </si>
  <si>
    <t>process</t>
  </si>
  <si>
    <t>• Project charter</t>
  </si>
  <si>
    <t>• Project management plan</t>
  </si>
  <si>
    <t>• Individual management</t>
  </si>
  <si>
    <t>• Project life cycle</t>
  </si>
  <si>
    <t>• Development approach</t>
  </si>
  <si>
    <t>• Management reviews</t>
  </si>
  <si>
    <t>• Tailoring</t>
  </si>
  <si>
    <t>• Performance</t>
  </si>
  <si>
    <t>measurement baseline</t>
  </si>
  <si>
    <t>• Requirements</t>
  </si>
  <si>
    <t>• Change management</t>
  </si>
  <si>
    <t>• Configuration</t>
  </si>
  <si>
    <t>• Project documents</t>
  </si>
  <si>
    <t>• Kickoff meeting</t>
  </si>
  <si>
    <t>• Work authorization</t>
  </si>
  <si>
    <t>system</t>
  </si>
  <si>
    <t>• Knowledge management</t>
  </si>
  <si>
    <t>- Explicit knowledge</t>
  </si>
  <si>
    <t>- Tacit knowledge</t>
  </si>
  <si>
    <t>• Osmotic communications</t>
  </si>
  <si>
    <t>• Lessons learned</t>
  </si>
  <si>
    <t>• Change Requests</t>
  </si>
  <si>
    <t>- Corrective action</t>
  </si>
  <si>
    <t>- Preventive action</t>
  </si>
  <si>
    <t>- Defect repair</t>
  </si>
  <si>
    <t>• Change control board</t>
  </si>
  <si>
    <t>(CCB)</t>
  </si>
  <si>
    <t>• Process for making</t>
  </si>
  <si>
    <t>changes on a plan-driven</t>
  </si>
  <si>
    <t>project</t>
  </si>
  <si>
    <t>• Agile change</t>
  </si>
  <si>
    <t>• Transitions</t>
  </si>
  <si>
    <t>• Leadership</t>
  </si>
  <si>
    <t>• Management vs.</t>
  </si>
  <si>
    <t>leadership</t>
  </si>
  <si>
    <t>• Critical thinking</t>
  </si>
  <si>
    <t>• Emotional intelligence</t>
  </si>
  <si>
    <t>• Servant leadership</t>
  </si>
  <si>
    <t>• Centralized vs. distributed</t>
  </si>
  <si>
    <t>management and</t>
  </si>
  <si>
    <t>• Flow of communication</t>
  </si>
  <si>
    <t>• Communication types</t>
  </si>
  <si>
    <t>• Five Cs of Communication</t>
  </si>
  <si>
    <t>• Communication models</t>
  </si>
  <si>
    <t>• Active listening</t>
  </si>
  <si>
    <t>• Gulf of execution</t>
  </si>
  <si>
    <t>• Gulf of evaluation</t>
  </si>
  <si>
    <t>• Communication blockers</t>
  </si>
  <si>
    <t>• Communication</t>
  </si>
  <si>
    <t>technology</t>
  </si>
  <si>
    <t>• Communication methods</t>
  </si>
  <si>
    <t>• Communication channels</t>
  </si>
  <si>
    <t>• Intrinsic vs. extrinsic</t>
  </si>
  <si>
    <t>motivation</t>
  </si>
  <si>
    <t>• Motivation models</t>
  </si>
  <si>
    <t>- Theories of X, Y, Z</t>
  </si>
  <si>
    <t>- Maslow's Hierarchy of</t>
  </si>
  <si>
    <t>Needs</t>
  </si>
  <si>
    <t>- McClelland's Theory of</t>
  </si>
  <si>
    <t>- Herzberg’s Two-factor</t>
  </si>
  <si>
    <t>Theory of Motivation</t>
  </si>
  <si>
    <t>• Models of Skill Mastery</t>
  </si>
  <si>
    <t>- Shu-Ha-Ri</t>
  </si>
  <si>
    <t>- Dreyfus Model of Adult</t>
  </si>
  <si>
    <t>Skill Acquisition</t>
  </si>
  <si>
    <t>• T-shaped skills</t>
  </si>
  <si>
    <t>• Situational leadership</t>
  </si>
  <si>
    <t>models</t>
  </si>
  <si>
    <t>- Situational Leadership</t>
  </si>
  <si>
    <t>II®</t>
  </si>
  <si>
    <t>- OSCAR</t>
  </si>
  <si>
    <t>• Team development</t>
  </si>
  <si>
    <t>- Tuckman’s Ladder of</t>
  </si>
  <si>
    <t>Team Formation</t>
  </si>
  <si>
    <t>- Drexler/Sibbet Team</t>
  </si>
  <si>
    <t>Performance Model</t>
  </si>
  <si>
    <t>• Trust</t>
  </si>
  <si>
    <t>• Negotiation</t>
  </si>
  <si>
    <t>• Influencing</t>
  </si>
  <si>
    <t>• Training</t>
  </si>
  <si>
    <t>• Coaching</t>
  </si>
  <si>
    <t>• Recognition and rewards</t>
  </si>
  <si>
    <t>• Conflict management</t>
  </si>
  <si>
    <t>• Conflict model</t>
  </si>
  <si>
    <t>Leadership Skills</t>
  </si>
  <si>
    <t>• Resource Management</t>
  </si>
  <si>
    <t>• Responsibility assignment</t>
  </si>
  <si>
    <t>matrix (RAM)</t>
  </si>
  <si>
    <t>• RACI chart</t>
  </si>
  <si>
    <t>• Organizational breakdown</t>
  </si>
  <si>
    <t>structure</t>
  </si>
  <si>
    <t>• Resource breakdown</t>
  </si>
  <si>
    <t>structure (RBS)</t>
  </si>
  <si>
    <t>• Organizational theory</t>
  </si>
  <si>
    <t>• Resource management</t>
  </si>
  <si>
    <t>- Human resources</t>
  </si>
  <si>
    <t>- Recognition</t>
  </si>
  <si>
    <t>• Team charter</t>
  </si>
  <si>
    <t>• Resource histogram</t>
  </si>
  <si>
    <t>• Resource leveling</t>
  </si>
  <si>
    <t>• Types of team</t>
  </si>
  <si>
    <t>configuation</t>
  </si>
  <si>
    <t>- Dedicated</t>
  </si>
  <si>
    <t>- Part-time</t>
  </si>
  <si>
    <t>- Partnerships</t>
  </si>
  <si>
    <t>- Virtual</t>
  </si>
  <si>
    <t>- Pre-assigned</t>
  </si>
  <si>
    <t>- Agile</t>
  </si>
  <si>
    <t>• Negotiating for resources</t>
  </si>
  <si>
    <t>• Pre-assignment</t>
  </si>
  <si>
    <t>• Halo effect</t>
  </si>
  <si>
    <t>• Team building</t>
  </si>
  <si>
    <t>• Team culture</t>
  </si>
  <si>
    <t>• Colocation</t>
  </si>
  <si>
    <t>• Individual and team</t>
  </si>
  <si>
    <t>assessments</t>
  </si>
  <si>
    <t>• Hybrid assessments</t>
  </si>
  <si>
    <t>• Project performance</t>
  </si>
  <si>
    <t>appraisals</t>
  </si>
  <si>
    <t>• Key performance</t>
  </si>
  <si>
    <t>indicators (KPIs)</t>
  </si>
  <si>
    <t>• Burndown charts</t>
  </si>
  <si>
    <t>• Burnup charts</t>
  </si>
  <si>
    <t>• Issue log</t>
  </si>
  <si>
    <t>Build and Support Team Performance</t>
  </si>
  <si>
    <t>• Product Scope</t>
  </si>
  <si>
    <t>• Project Scope</t>
  </si>
  <si>
    <t>• Timeboxing</t>
  </si>
  <si>
    <t>• Minimal viable product</t>
  </si>
  <si>
    <t>(MVP)</t>
  </si>
  <si>
    <t>• Scope Management</t>
  </si>
  <si>
    <t>• Scope management plan</t>
  </si>
  <si>
    <t>• Product roadmap</t>
  </si>
  <si>
    <t>• Product backlog</t>
  </si>
  <si>
    <t>• Requirements elicitation</t>
  </si>
  <si>
    <t>methods</t>
  </si>
  <si>
    <t>- Brainstorming</t>
  </si>
  <si>
    <t>- Interviewing</t>
  </si>
  <si>
    <t>- Focus groups</t>
  </si>
  <si>
    <t>- Questionnairesand</t>
  </si>
  <si>
    <t>surveys</t>
  </si>
  <si>
    <t>- Voting</t>
  </si>
  <si>
    <t>- Multicriteria decision</t>
  </si>
  <si>
    <t>analysis</t>
  </si>
  <si>
    <t>- Nominal group</t>
  </si>
  <si>
    <t>technique</t>
  </si>
  <si>
    <t>- Observation</t>
  </si>
  <si>
    <t>- Prototyping</t>
  </si>
  <si>
    <t>- Facilitation</t>
  </si>
  <si>
    <t>- Mind maps</t>
  </si>
  <si>
    <t>- Context diagrams</t>
  </si>
  <si>
    <t>- Affinity diagrams</t>
  </si>
  <si>
    <t>• Balancing requirements</t>
  </si>
  <si>
    <t>• Iteration reviews</t>
  </si>
  <si>
    <t>• Acceptance criteria</t>
  </si>
  <si>
    <t>• Definition of done</t>
  </si>
  <si>
    <t>• Requirements traceability</t>
  </si>
  <si>
    <t>matrix</t>
  </si>
  <si>
    <t>• Product analysis</t>
  </si>
  <si>
    <t>• Project scope statement</t>
  </si>
  <si>
    <t>• Work breakdown</t>
  </si>
  <si>
    <t>structure (WBS)</t>
  </si>
  <si>
    <t>• WBS dictionary</t>
  </si>
  <si>
    <t>• Scope baseline</t>
  </si>
  <si>
    <t>• Agile scope</t>
  </si>
  <si>
    <t>decomposition</t>
  </si>
  <si>
    <t>• Inspection</t>
  </si>
  <si>
    <t>• Customer-valued</t>
  </si>
  <si>
    <t>prioritization</t>
  </si>
  <si>
    <t>• Incremental product</t>
  </si>
  <si>
    <t>delivery</t>
  </si>
  <si>
    <t>• Dependencies</t>
  </si>
  <si>
    <t>• Float</t>
  </si>
  <si>
    <t>• Leads and lags</t>
  </si>
  <si>
    <t>• Critical path</t>
  </si>
  <si>
    <t>• Milestone</t>
  </si>
  <si>
    <t>• Schedule model</t>
  </si>
  <si>
    <t>• Schedule Management</t>
  </si>
  <si>
    <t>• Schedule management</t>
  </si>
  <si>
    <t>• Precedence diagramming</t>
  </si>
  <si>
    <t>method (PDM)</t>
  </si>
  <si>
    <t>- Mandatory</t>
  </si>
  <si>
    <t>- Discretionary</t>
  </si>
  <si>
    <t>- External</t>
  </si>
  <si>
    <t>- Internal</t>
  </si>
  <si>
    <t>• Network diagram</t>
  </si>
  <si>
    <t>• Analogous estimating</t>
  </si>
  <si>
    <t>• Bottom-up estimating</t>
  </si>
  <si>
    <t>• Parametric estimating</t>
  </si>
  <si>
    <t>• Single-point estimating</t>
  </si>
  <si>
    <t>• Three-point estimating</t>
  </si>
  <si>
    <t>- Triangular distribution</t>
  </si>
  <si>
    <t>- Beta distribution</t>
  </si>
  <si>
    <t>• Activity standard deviation</t>
  </si>
  <si>
    <t>• Affinity estimating</t>
  </si>
  <si>
    <t>• T-shirt sizing</t>
  </si>
  <si>
    <t>• Planning Poker®</t>
  </si>
  <si>
    <t>• Alternative analysis</t>
  </si>
  <si>
    <t>• Reserve analysis</t>
  </si>
  <si>
    <t>• Contingency reserves</t>
  </si>
  <si>
    <t>• Management reserves</t>
  </si>
  <si>
    <t>• Fist of five</t>
  </si>
  <si>
    <t>• Basis of estimates</t>
  </si>
  <si>
    <t>• Critical path method</t>
  </si>
  <si>
    <t>• Fast tracking</t>
  </si>
  <si>
    <t>• Crashing</t>
  </si>
  <si>
    <t>• Monte Carlo analysis</t>
  </si>
  <si>
    <t>• Resource smoothing</t>
  </si>
  <si>
    <t>• Agile release planning</t>
  </si>
  <si>
    <t>• Cumulative flow diagram</t>
  </si>
  <si>
    <t>• Velocity</t>
  </si>
  <si>
    <t>• Project schedule</t>
  </si>
  <si>
    <t>• Milestone chart</t>
  </si>
  <si>
    <t>• Bar chart</t>
  </si>
  <si>
    <t>• Schedule baseline</t>
  </si>
  <si>
    <t>• Reestimating</t>
  </si>
  <si>
    <t>Budget and Resources</t>
  </si>
  <si>
    <t>• Cost Management</t>
  </si>
  <si>
    <t>• Earned value (EV)</t>
  </si>
  <si>
    <t>• Earned value analysis</t>
  </si>
  <si>
    <t>• Earned value</t>
  </si>
  <si>
    <t>management (EVM)</t>
  </si>
  <si>
    <t>• Cost management plan</t>
  </si>
  <si>
    <t>• Types of cost</t>
  </si>
  <si>
    <t>- Variable</t>
  </si>
  <si>
    <t>- Fixed</t>
  </si>
  <si>
    <t>- Direct</t>
  </si>
  <si>
    <t>- Indirect</t>
  </si>
  <si>
    <t>• Top-down estimating</t>
  </si>
  <si>
    <t>• Estimate ranges</t>
  </si>
  <si>
    <t>- Rough order of</t>
  </si>
  <si>
    <t>magnitude (ROM)</t>
  </si>
  <si>
    <t>- Budget</t>
  </si>
  <si>
    <t>- Definitive</t>
  </si>
  <si>
    <t>• Adaptive estimating</t>
  </si>
  <si>
    <t>• Cost aggregation</t>
  </si>
  <si>
    <t>• Burn rate</t>
  </si>
  <si>
    <t>• Progress reports</t>
  </si>
  <si>
    <t>• Earned value terms</t>
  </si>
  <si>
    <t>- PV</t>
  </si>
  <si>
    <t>- SV</t>
  </si>
  <si>
    <t>- AC</t>
  </si>
  <si>
    <t>- BAC</t>
  </si>
  <si>
    <t>- EAC</t>
  </si>
  <si>
    <t>- ETC</t>
  </si>
  <si>
    <t>- VAC</t>
  </si>
  <si>
    <t>• Formulas for earned value</t>
  </si>
  <si>
    <t>Quality and Deivery of Products</t>
  </si>
  <si>
    <t>• Definition of quality</t>
  </si>
  <si>
    <t>• Quality Management</t>
  </si>
  <si>
    <t>• Prevention over</t>
  </si>
  <si>
    <t>inspection</t>
  </si>
  <si>
    <t>• Continuous improvement</t>
  </si>
  <si>
    <t>• Just in time (JIT)</t>
  </si>
  <si>
    <t>• Quality metrics</t>
  </si>
  <si>
    <t>• Mutual exclusivity</t>
  </si>
  <si>
    <t>• Probability</t>
  </si>
  <si>
    <t>• Normal distribution</t>
  </si>
  <si>
    <t>• Statistical independence</t>
  </si>
  <si>
    <t>• Standard deviation</t>
  </si>
  <si>
    <t>• Interviews, brainstorming,</t>
  </si>
  <si>
    <t>benchmarking</t>
  </si>
  <si>
    <t>• Cost of quality</t>
  </si>
  <si>
    <t>• Marginal analysis</t>
  </si>
  <si>
    <t>• Logical data models</t>
  </si>
  <si>
    <t>• Mind mapping</t>
  </si>
  <si>
    <t>• Prioritization matrix</t>
  </si>
  <si>
    <t>• Test and inspection</t>
  </si>
  <si>
    <t>• Checklistsand</t>
  </si>
  <si>
    <t>checksheets</t>
  </si>
  <si>
    <t>• Cause-and-effect</t>
  </si>
  <si>
    <t>diagrams</t>
  </si>
  <si>
    <t>• Scatter diagrams</t>
  </si>
  <si>
    <t>• Histograms</t>
  </si>
  <si>
    <t>• Alternatives analysis</t>
  </si>
  <si>
    <t>• Design of experiments</t>
  </si>
  <si>
    <t>• Process, root cause,</t>
  </si>
  <si>
    <t>failure analysis</t>
  </si>
  <si>
    <t>• Multicriteria decision</t>
  </si>
  <si>
    <t>• Affinity diagrams</t>
  </si>
  <si>
    <t>• Audits</t>
  </si>
  <si>
    <t>• Design for X</t>
  </si>
  <si>
    <t>• Statistical sampling</t>
  </si>
  <si>
    <t>• Questionnaires and</t>
  </si>
  <si>
    <t>reviews</t>
  </si>
  <si>
    <t>• Control charts</t>
  </si>
  <si>
    <t>• Cost of change</t>
  </si>
  <si>
    <t>• Frequent verification and</t>
  </si>
  <si>
    <t>validation</t>
  </si>
  <si>
    <t>• WIP and cycle time</t>
  </si>
  <si>
    <t>• Communications</t>
  </si>
  <si>
    <t>Management process</t>
  </si>
  <si>
    <t>• Meeting management</t>
  </si>
  <si>
    <t>• Project Reporting</t>
  </si>
  <si>
    <t>- Status report</t>
  </si>
  <si>
    <t>- Progress report</t>
  </si>
  <si>
    <t>- Trend report</t>
  </si>
  <si>
    <t>- Forecasting report</t>
  </si>
  <si>
    <t>- Variance report</t>
  </si>
  <si>
    <t>- Earned value report</t>
  </si>
  <si>
    <t>- Progress metrics</t>
  </si>
  <si>
    <t>- Retrospective findings</t>
  </si>
  <si>
    <t>- Lessons learned</t>
  </si>
  <si>
    <t>• Knowledge sharing</t>
  </si>
  <si>
    <t>• Information radiators</t>
  </si>
  <si>
    <t>Risks and Issues</t>
  </si>
  <si>
    <t>• Definition of risk</t>
  </si>
  <si>
    <t>• Watch list</t>
  </si>
  <si>
    <t>• Risk owner</t>
  </si>
  <si>
    <t>• Threats and opportunities</t>
  </si>
  <si>
    <t>• Risk factors</t>
  </si>
  <si>
    <t>• Risk appetite</t>
  </si>
  <si>
    <t>• Risk threshold</t>
  </si>
  <si>
    <t>• Spike</t>
  </si>
  <si>
    <t>• Architectural spike</t>
  </si>
  <si>
    <t>• Fast failure</t>
  </si>
  <si>
    <t>• Risk Management</t>
  </si>
  <si>
    <t>• Risk categories</t>
  </si>
  <si>
    <t>• Agile project pre-mortems</t>
  </si>
  <si>
    <t>• Risk data quality</t>
  </si>
  <si>
    <t>assessment</t>
  </si>
  <si>
    <t>• Risk categorization</t>
  </si>
  <si>
    <t>• Probability and impact</t>
  </si>
  <si>
    <t>• Risk parameters</t>
  </si>
  <si>
    <t>• Simulations</t>
  </si>
  <si>
    <t>• Sensitivity analysis</t>
  </si>
  <si>
    <t>• Expected monetary value</t>
  </si>
  <si>
    <t>(EMV)</t>
  </si>
  <si>
    <t>• Decision tree analysis</t>
  </si>
  <si>
    <t>• Risk response strategies</t>
  </si>
  <si>
    <t>- Avoid</t>
  </si>
  <si>
    <t>- Mitigate</t>
  </si>
  <si>
    <t>- Transfer</t>
  </si>
  <si>
    <t>- Exploit</t>
  </si>
  <si>
    <t>- Share</t>
  </si>
  <si>
    <t>- Enhance</t>
  </si>
  <si>
    <t>- Accept</t>
  </si>
  <si>
    <t>- Escalate</t>
  </si>
  <si>
    <t>• Pure risk</t>
  </si>
  <si>
    <t>• Secondary risk</t>
  </si>
  <si>
    <t>• Risk register</t>
  </si>
  <si>
    <t>• Risk report</t>
  </si>
  <si>
    <t>• Risk-adjusted backlog</t>
  </si>
  <si>
    <t>• Set-based design</t>
  </si>
  <si>
    <t>• Workarounds</t>
  </si>
  <si>
    <t>• Risk reassessments</t>
  </si>
  <si>
    <t>• Risk reviews and audits</t>
  </si>
  <si>
    <t>• Technical performance</t>
  </si>
  <si>
    <t>• Risk burndown chart</t>
  </si>
  <si>
    <t>Procurement</t>
  </si>
  <si>
    <t>• Contracts vs. agreements</t>
  </si>
  <si>
    <t>• Buyers and sellers</t>
  </si>
  <si>
    <t>• Procurement</t>
  </si>
  <si>
    <t>• Centralized/decentralized</t>
  </si>
  <si>
    <t>contracting</t>
  </si>
  <si>
    <t>• Project manager’s role</t>
  </si>
  <si>
    <t>• Contract types</t>
  </si>
  <si>
    <t>- Fixed-price</t>
  </si>
  <si>
    <t>- Time and material</t>
  </si>
  <si>
    <t>- Cost-reimbursable</t>
  </si>
  <si>
    <t>- Indefinite Delivery,</t>
  </si>
  <si>
    <t>Indefinite Quantity</t>
  </si>
  <si>
    <t>(IDIQ)</t>
  </si>
  <si>
    <t>• Risk and contract type</t>
  </si>
  <si>
    <t>• Agile Contracts</t>
  </si>
  <si>
    <t>- Graduated fixed-price</t>
  </si>
  <si>
    <t>- Fixed-price work</t>
  </si>
  <si>
    <t>packages</t>
  </si>
  <si>
    <t>- Not-to-exceed time and</t>
  </si>
  <si>
    <t>material</t>
  </si>
  <si>
    <t>- Early termination</t>
  </si>
  <si>
    <t>• Sharing ratio</t>
  </si>
  <si>
    <t>• Nondisclosure agreement</t>
  </si>
  <si>
    <t>• Standard contract</t>
  </si>
  <si>
    <t>• Special provisions</t>
  </si>
  <si>
    <t>• Terms and conditions</t>
  </si>
  <si>
    <t>• Incentives</t>
  </si>
  <si>
    <t>• Make-or-buy analysis</t>
  </si>
  <si>
    <t>• Logistics and supply</t>
  </si>
  <si>
    <t>chain management</t>
  </si>
  <si>
    <t>• Source selection analysis</t>
  </si>
  <si>
    <t>• Procurement SOW</t>
  </si>
  <si>
    <t>• Bid documents</t>
  </si>
  <si>
    <t>• Noncompetitive forms of</t>
  </si>
  <si>
    <t>• Bidder conference</t>
  </si>
  <si>
    <t>• Seller proposal</t>
  </si>
  <si>
    <t>• Proposal evaluation</t>
  </si>
  <si>
    <t>• Weighting system</t>
  </si>
  <si>
    <t>• Independent cost</t>
  </si>
  <si>
    <t>estimates</t>
  </si>
  <si>
    <t>• Presentations</t>
  </si>
  <si>
    <t>• Negotiations</t>
  </si>
  <si>
    <t>• Selected sellers</t>
  </si>
  <si>
    <t>• Closed procurements</t>
  </si>
  <si>
    <t>• Product validation</t>
  </si>
  <si>
    <t>Stakeholders</t>
  </si>
  <si>
    <t>• Stakeholder definition</t>
  </si>
  <si>
    <t>• Stakeholder Management</t>
  </si>
  <si>
    <t>• Stakeholder analysis</t>
  </si>
  <si>
    <t>• Stakeholder expectations</t>
  </si>
  <si>
    <t>• Stakes</t>
  </si>
  <si>
    <t>• Stakeholder register</t>
  </si>
  <si>
    <t>• Stakeholder engagement</t>
  </si>
  <si>
    <t>assessment chart</t>
  </si>
  <si>
    <t>• Assumptions and</t>
  </si>
  <si>
    <t>• Root cause analysis</t>
  </si>
  <si>
    <t>• Project elevator statement</t>
  </si>
  <si>
    <t>• Kanban boards</t>
  </si>
  <si>
    <t>• Agile modeling</t>
  </si>
  <si>
    <t>- Wireframes</t>
  </si>
  <si>
    <t>Compliance and Delivering Value</t>
  </si>
  <si>
    <t>• Value chain</t>
  </si>
  <si>
    <t>• Value stream mapping</t>
  </si>
  <si>
    <t>• System</t>
  </si>
  <si>
    <t>• Complexity</t>
  </si>
  <si>
    <t>• Compliance</t>
  </si>
  <si>
    <t>- Governmental</t>
  </si>
  <si>
    <t>- Societal</t>
  </si>
  <si>
    <t>- Organizational</t>
  </si>
  <si>
    <t>governance</t>
  </si>
  <si>
    <t>- Project management</t>
  </si>
  <si>
    <t>• Systems thinking</t>
  </si>
  <si>
    <t>• Value delivery</t>
  </si>
  <si>
    <t>• Stewardship</t>
  </si>
  <si>
    <t>• Minimally marketable</t>
  </si>
  <si>
    <t>feature (MMF)</t>
  </si>
  <si>
    <t>• Organizational culture</t>
  </si>
  <si>
    <t>• Transitional change</t>
  </si>
  <si>
    <t>Common Agile Methodologies</t>
  </si>
  <si>
    <t>• Lean</t>
  </si>
  <si>
    <t>• Kanban</t>
  </si>
  <si>
    <t>• Scrum</t>
  </si>
  <si>
    <t>- Scrum and agile terms</t>
  </si>
  <si>
    <t>• Project backlog</t>
  </si>
  <si>
    <t>• Sprint backlog</t>
  </si>
  <si>
    <t>• Daily Scrum</t>
  </si>
  <si>
    <t>• XP</t>
  </si>
  <si>
    <t>• Crystal</t>
  </si>
  <si>
    <t>• DSDM</t>
  </si>
  <si>
    <t>• SAFe®</t>
  </si>
  <si>
    <t>• FDD</t>
  </si>
  <si>
    <t>• Agile values</t>
  </si>
  <si>
    <t>• Agile principles</t>
  </si>
  <si>
    <t>• Agile mindset key</t>
  </si>
  <si>
    <t>concepts</t>
  </si>
  <si>
    <t>• Agile constraints</t>
  </si>
  <si>
    <t>Sr No</t>
  </si>
  <si>
    <t>Knoweledge Areas</t>
  </si>
  <si>
    <t>Initiate</t>
  </si>
  <si>
    <t>Execute</t>
  </si>
  <si>
    <t>Monitor and Control</t>
  </si>
  <si>
    <t>Close</t>
  </si>
  <si>
    <r>
      <rPr>
        <b/>
        <sz val="8"/>
        <color theme="1"/>
        <rFont val="Aptos Narrow"/>
        <family val="2"/>
        <scheme val="minor"/>
      </rPr>
      <t>1. Develop Project Charter</t>
    </r>
    <r>
      <rPr>
        <sz val="8"/>
        <color theme="1"/>
        <rFont val="Aptos Narrow"/>
        <family val="2"/>
        <scheme val="minor"/>
      </rPr>
      <t xml:space="preserve">
IP: - Business documents, Agreements, </t>
    </r>
    <r>
      <rPr>
        <sz val="8"/>
        <color rgb="FF00B050"/>
        <rFont val="Aptos Narrow"/>
        <family val="2"/>
        <scheme val="minor"/>
      </rPr>
      <t>EEF, OPA,</t>
    </r>
    <r>
      <rPr>
        <sz val="8"/>
        <color theme="1"/>
        <rFont val="Aptos Narrow"/>
        <family val="2"/>
        <scheme val="minor"/>
      </rPr>
      <t xml:space="preserve"> 
T&amp;T: - </t>
    </r>
    <r>
      <rPr>
        <sz val="8"/>
        <color rgb="FFFF0000"/>
        <rFont val="Aptos Narrow"/>
        <family val="2"/>
        <scheme val="minor"/>
      </rPr>
      <t xml:space="preserve">Expert judgement, Data gathering, Interpersonal and team skills, meetings </t>
    </r>
    <r>
      <rPr>
        <sz val="8"/>
        <color theme="1"/>
        <rFont val="Aptos Narrow"/>
        <family val="2"/>
        <scheme val="minor"/>
      </rPr>
      <t xml:space="preserve">
OP: - Project Charter, Assumption Log</t>
    </r>
  </si>
  <si>
    <r>
      <rPr>
        <b/>
        <sz val="8"/>
        <color theme="1"/>
        <rFont val="Aptos Narrow"/>
        <family val="2"/>
        <scheme val="minor"/>
      </rPr>
      <t>2. Develop Project management Plan</t>
    </r>
    <r>
      <rPr>
        <sz val="8"/>
        <color theme="1"/>
        <rFont val="Aptos Narrow"/>
        <family val="2"/>
        <scheme val="minor"/>
      </rPr>
      <t xml:space="preserve">
IP: - </t>
    </r>
    <r>
      <rPr>
        <sz val="8"/>
        <color rgb="FF00B050"/>
        <rFont val="Aptos Narrow"/>
        <family val="2"/>
        <scheme val="minor"/>
      </rPr>
      <t xml:space="preserve">Project Charter, </t>
    </r>
    <r>
      <rPr>
        <sz val="8"/>
        <color theme="1"/>
        <rFont val="Aptos Narrow"/>
        <family val="2"/>
        <scheme val="minor"/>
      </rPr>
      <t xml:space="preserve">Outputs from other processes, </t>
    </r>
    <r>
      <rPr>
        <sz val="8"/>
        <color rgb="FF00B050"/>
        <rFont val="Aptos Narrow"/>
        <family val="2"/>
        <scheme val="minor"/>
      </rPr>
      <t xml:space="preserve">EPA, OPA </t>
    </r>
    <r>
      <rPr>
        <sz val="8"/>
        <color theme="1"/>
        <rFont val="Aptos Narrow"/>
        <family val="2"/>
        <scheme val="minor"/>
      </rPr>
      <t xml:space="preserve">
T&amp;T: - </t>
    </r>
    <r>
      <rPr>
        <sz val="8"/>
        <color rgb="FFFF0000"/>
        <rFont val="Aptos Narrow"/>
        <family val="2"/>
        <scheme val="minor"/>
      </rPr>
      <t xml:space="preserve">Expert judgement, Data gathering, Interpersonal and team skills, meetings </t>
    </r>
    <r>
      <rPr>
        <sz val="8"/>
        <color theme="1"/>
        <rFont val="Aptos Narrow"/>
        <family val="2"/>
        <scheme val="minor"/>
      </rPr>
      <t xml:space="preserve">
OP: - Project Management plan</t>
    </r>
  </si>
  <si>
    <r>
      <rPr>
        <b/>
        <sz val="8"/>
        <color theme="1"/>
        <rFont val="Aptos Narrow"/>
        <family val="2"/>
        <scheme val="minor"/>
      </rPr>
      <t>3. Direct and Manage Project Work</t>
    </r>
    <r>
      <rPr>
        <sz val="8"/>
        <color theme="1"/>
        <rFont val="Aptos Narrow"/>
        <family val="2"/>
        <scheme val="minor"/>
      </rPr>
      <t xml:space="preserve">
IP: - </t>
    </r>
    <r>
      <rPr>
        <sz val="8"/>
        <color rgb="FF00B050"/>
        <rFont val="Aptos Narrow"/>
        <family val="2"/>
        <scheme val="minor"/>
      </rPr>
      <t>Project management plan, Project documents</t>
    </r>
    <r>
      <rPr>
        <sz val="8"/>
        <color theme="1"/>
        <rFont val="Aptos Narrow"/>
        <family val="2"/>
        <scheme val="minor"/>
      </rPr>
      <t xml:space="preserve">, Approved change requests, </t>
    </r>
    <r>
      <rPr>
        <sz val="8"/>
        <color rgb="FF00B050"/>
        <rFont val="Aptos Narrow"/>
        <family val="2"/>
        <scheme val="minor"/>
      </rPr>
      <t xml:space="preserve">EEF, OPA </t>
    </r>
    <r>
      <rPr>
        <sz val="8"/>
        <color theme="1"/>
        <rFont val="Aptos Narrow"/>
        <family val="2"/>
        <scheme val="minor"/>
      </rPr>
      <t xml:space="preserve">
T&amp;T: - </t>
    </r>
    <r>
      <rPr>
        <sz val="8"/>
        <color rgb="FFFF0000"/>
        <rFont val="Aptos Narrow"/>
        <family val="2"/>
        <scheme val="minor"/>
      </rPr>
      <t xml:space="preserve">Expert judgement, </t>
    </r>
    <r>
      <rPr>
        <sz val="8"/>
        <color theme="1"/>
        <rFont val="Aptos Narrow"/>
        <family val="2"/>
        <scheme val="minor"/>
      </rPr>
      <t xml:space="preserve">PMIS, </t>
    </r>
    <r>
      <rPr>
        <sz val="8"/>
        <color rgb="FFFF0000"/>
        <rFont val="Aptos Narrow"/>
        <family val="2"/>
        <scheme val="minor"/>
      </rPr>
      <t>meetings</t>
    </r>
    <r>
      <rPr>
        <sz val="8"/>
        <color theme="1"/>
        <rFont val="Aptos Narrow"/>
        <family val="2"/>
        <scheme val="minor"/>
      </rPr>
      <t xml:space="preserve"> 
OP: - Deliverables, Work performance data, Issue log, Change requests, Project management plan updates, </t>
    </r>
    <r>
      <rPr>
        <sz val="8"/>
        <color rgb="FF0070C0"/>
        <rFont val="Aptos Narrow"/>
        <family val="2"/>
        <scheme val="minor"/>
      </rPr>
      <t>project document updates,</t>
    </r>
    <r>
      <rPr>
        <sz val="8"/>
        <color theme="1"/>
        <rFont val="Aptos Narrow"/>
        <family val="2"/>
        <scheme val="minor"/>
      </rPr>
      <t xml:space="preserve"> OPA
</t>
    </r>
    <r>
      <rPr>
        <b/>
        <sz val="8"/>
        <color theme="1"/>
        <rFont val="Aptos Narrow"/>
        <family val="2"/>
        <scheme val="minor"/>
      </rPr>
      <t>4. Manage project Knoweledge</t>
    </r>
    <r>
      <rPr>
        <sz val="8"/>
        <color theme="1"/>
        <rFont val="Aptos Narrow"/>
        <family val="2"/>
        <scheme val="minor"/>
      </rPr>
      <t xml:space="preserve">
IP: - </t>
    </r>
    <r>
      <rPr>
        <sz val="8"/>
        <color rgb="FF00B050"/>
        <rFont val="Aptos Narrow"/>
        <family val="2"/>
        <scheme val="minor"/>
      </rPr>
      <t xml:space="preserve">Project management plan, Project documents, Deliverables, EEF, OPA </t>
    </r>
    <r>
      <rPr>
        <sz val="8"/>
        <color theme="1"/>
        <rFont val="Aptos Narrow"/>
        <family val="2"/>
        <scheme val="minor"/>
      </rPr>
      <t xml:space="preserve">
T&amp;T: - </t>
    </r>
    <r>
      <rPr>
        <sz val="8"/>
        <color rgb="FFFF0000"/>
        <rFont val="Aptos Narrow"/>
        <family val="2"/>
        <scheme val="minor"/>
      </rPr>
      <t>Expert judgement</t>
    </r>
    <r>
      <rPr>
        <sz val="8"/>
        <color theme="1"/>
        <rFont val="Aptos Narrow"/>
        <family val="2"/>
        <scheme val="minor"/>
      </rPr>
      <t xml:space="preserve">, Knoweledge management, Information management, </t>
    </r>
    <r>
      <rPr>
        <sz val="8"/>
        <color rgb="FFFF0000"/>
        <rFont val="Aptos Narrow"/>
        <family val="2"/>
        <scheme val="minor"/>
      </rPr>
      <t>Interpersonal and team skills</t>
    </r>
    <r>
      <rPr>
        <sz val="8"/>
        <color theme="1"/>
        <rFont val="Aptos Narrow"/>
        <family val="2"/>
        <scheme val="minor"/>
      </rPr>
      <t xml:space="preserve">
OP: - Lessons learnt register, project management plan updates, OPA</t>
    </r>
  </si>
  <si>
    <r>
      <rPr>
        <b/>
        <sz val="8"/>
        <color theme="1"/>
        <rFont val="Aptos Narrow"/>
        <family val="2"/>
        <scheme val="minor"/>
      </rPr>
      <t>5. Monitor and Contol Project work</t>
    </r>
    <r>
      <rPr>
        <sz val="8"/>
        <color theme="1"/>
        <rFont val="Aptos Narrow"/>
        <family val="2"/>
        <scheme val="minor"/>
      </rPr>
      <t xml:space="preserve">
IP: - P</t>
    </r>
    <r>
      <rPr>
        <sz val="8"/>
        <color rgb="FF00B050"/>
        <rFont val="Aptos Narrow"/>
        <family val="2"/>
        <scheme val="minor"/>
      </rPr>
      <t>roject management plan, Project documents</t>
    </r>
    <r>
      <rPr>
        <sz val="8"/>
        <color theme="1"/>
        <rFont val="Aptos Narrow"/>
        <family val="2"/>
        <scheme val="minor"/>
      </rPr>
      <t xml:space="preserve">, Approved change requests, EEF, </t>
    </r>
    <r>
      <rPr>
        <sz val="8"/>
        <color rgb="FF00B050"/>
        <rFont val="Aptos Narrow"/>
        <family val="2"/>
        <scheme val="minor"/>
      </rPr>
      <t xml:space="preserve">OPA </t>
    </r>
    <r>
      <rPr>
        <sz val="8"/>
        <color theme="1"/>
        <rFont val="Aptos Narrow"/>
        <family val="2"/>
        <scheme val="minor"/>
      </rPr>
      <t xml:space="preserve">
T&amp;T: - </t>
    </r>
    <r>
      <rPr>
        <sz val="8"/>
        <color rgb="FFFF0000"/>
        <rFont val="Aptos Narrow"/>
        <family val="2"/>
        <scheme val="minor"/>
      </rPr>
      <t>Expert judgement, Data analysis,</t>
    </r>
    <r>
      <rPr>
        <sz val="8"/>
        <color theme="1"/>
        <rFont val="Aptos Narrow"/>
        <family val="2"/>
        <scheme val="minor"/>
      </rPr>
      <t xml:space="preserve"> Deceson making, </t>
    </r>
    <r>
      <rPr>
        <sz val="8"/>
        <color rgb="FFFF0000"/>
        <rFont val="Aptos Narrow"/>
        <family val="2"/>
        <scheme val="minor"/>
      </rPr>
      <t>meetings</t>
    </r>
    <r>
      <rPr>
        <sz val="8"/>
        <color theme="1"/>
        <rFont val="Aptos Narrow"/>
        <family val="2"/>
        <scheme val="minor"/>
      </rPr>
      <t xml:space="preserve"> 
OP: - Work performance Reports, Change requests, project management plan updates, p</t>
    </r>
    <r>
      <rPr>
        <sz val="8"/>
        <color rgb="FF0070C0"/>
        <rFont val="Aptos Narrow"/>
        <family val="2"/>
        <scheme val="minor"/>
      </rPr>
      <t>roject document updates</t>
    </r>
    <r>
      <rPr>
        <sz val="8"/>
        <color theme="1"/>
        <rFont val="Aptos Narrow"/>
        <family val="2"/>
        <scheme val="minor"/>
      </rPr>
      <t xml:space="preserve">
</t>
    </r>
    <r>
      <rPr>
        <b/>
        <sz val="8"/>
        <color theme="1"/>
        <rFont val="Aptos Narrow"/>
        <family val="2"/>
        <scheme val="minor"/>
      </rPr>
      <t>6. Perform integrated changes</t>
    </r>
    <r>
      <rPr>
        <sz val="8"/>
        <color theme="1"/>
        <rFont val="Aptos Narrow"/>
        <family val="2"/>
        <scheme val="minor"/>
      </rPr>
      <t xml:space="preserve">
IP: - </t>
    </r>
    <r>
      <rPr>
        <sz val="8"/>
        <color rgb="FF00B050"/>
        <rFont val="Aptos Narrow"/>
        <family val="2"/>
        <scheme val="minor"/>
      </rPr>
      <t>Project management plan, Project documents,</t>
    </r>
    <r>
      <rPr>
        <sz val="8"/>
        <color theme="1"/>
        <rFont val="Aptos Narrow"/>
        <family val="2"/>
        <scheme val="minor"/>
      </rPr>
      <t xml:space="preserve"> Work performance reports, Change reqeusts, </t>
    </r>
    <r>
      <rPr>
        <sz val="8"/>
        <color rgb="FF00B050"/>
        <rFont val="Aptos Narrow"/>
        <family val="2"/>
        <scheme val="minor"/>
      </rPr>
      <t>EEF, OPA</t>
    </r>
    <r>
      <rPr>
        <sz val="8"/>
        <color theme="1"/>
        <rFont val="Aptos Narrow"/>
        <family val="2"/>
        <scheme val="minor"/>
      </rPr>
      <t xml:space="preserve"> 
T&amp;T: - Change control tools, </t>
    </r>
    <r>
      <rPr>
        <sz val="8"/>
        <color rgb="FFFF0000"/>
        <rFont val="Aptos Narrow"/>
        <family val="2"/>
        <scheme val="minor"/>
      </rPr>
      <t>Data analysis</t>
    </r>
    <r>
      <rPr>
        <sz val="8"/>
        <color theme="1"/>
        <rFont val="Aptos Narrow"/>
        <family val="2"/>
        <scheme val="minor"/>
      </rPr>
      <t>, Decesion making 
OP: - Work performance reports, , Change requests, Project management plan updates,</t>
    </r>
    <r>
      <rPr>
        <sz val="8"/>
        <color rgb="FF0070C0"/>
        <rFont val="Aptos Narrow"/>
        <family val="2"/>
        <scheme val="minor"/>
      </rPr>
      <t xml:space="preserve"> project document updates</t>
    </r>
    <r>
      <rPr>
        <sz val="8"/>
        <color theme="1"/>
        <rFont val="Aptos Narrow"/>
        <family val="2"/>
        <scheme val="minor"/>
      </rPr>
      <t xml:space="preserve">
</t>
    </r>
  </si>
  <si>
    <r>
      <rPr>
        <b/>
        <sz val="8"/>
        <color theme="1"/>
        <rFont val="Aptos Narrow"/>
        <family val="2"/>
        <scheme val="minor"/>
      </rPr>
      <t>7. Close Project or Phase</t>
    </r>
    <r>
      <rPr>
        <sz val="8"/>
        <color theme="1"/>
        <rFont val="Aptos Narrow"/>
        <family val="2"/>
        <scheme val="minor"/>
      </rPr>
      <t xml:space="preserve">
IP: - </t>
    </r>
    <r>
      <rPr>
        <sz val="8"/>
        <color rgb="FF00B050"/>
        <rFont val="Aptos Narrow"/>
        <family val="2"/>
        <scheme val="minor"/>
      </rPr>
      <t>Project Charter, Project management plan, Project documents,</t>
    </r>
    <r>
      <rPr>
        <sz val="8"/>
        <color theme="1"/>
        <rFont val="Aptos Narrow"/>
        <family val="2"/>
        <scheme val="minor"/>
      </rPr>
      <t xml:space="preserve"> Accepted deliverables, Business documents, Agreements, procurement documents, </t>
    </r>
    <r>
      <rPr>
        <sz val="8"/>
        <color rgb="FF00B050"/>
        <rFont val="Aptos Narrow"/>
        <family val="2"/>
        <scheme val="minor"/>
      </rPr>
      <t xml:space="preserve">OPA </t>
    </r>
    <r>
      <rPr>
        <sz val="8"/>
        <color theme="1"/>
        <rFont val="Aptos Narrow"/>
        <family val="2"/>
        <scheme val="minor"/>
      </rPr>
      <t xml:space="preserve">
T&amp;T: - </t>
    </r>
    <r>
      <rPr>
        <sz val="8"/>
        <color rgb="FFFF0000"/>
        <rFont val="Aptos Narrow"/>
        <family val="2"/>
        <scheme val="minor"/>
      </rPr>
      <t xml:space="preserve">Data Analysis, Expert judgement, meetings </t>
    </r>
    <r>
      <rPr>
        <sz val="8"/>
        <color theme="1"/>
        <rFont val="Aptos Narrow"/>
        <family val="2"/>
        <scheme val="minor"/>
      </rPr>
      <t xml:space="preserve">
OP: - </t>
    </r>
    <r>
      <rPr>
        <sz val="8"/>
        <color rgb="FF0070C0"/>
        <rFont val="Aptos Narrow"/>
        <family val="2"/>
        <scheme val="minor"/>
      </rPr>
      <t>Project document updates,</t>
    </r>
    <r>
      <rPr>
        <sz val="8"/>
        <color theme="1"/>
        <rFont val="Aptos Narrow"/>
        <family val="2"/>
        <scheme val="minor"/>
      </rPr>
      <t xml:space="preserve"> Final product, service or result transition, Final report, OPA</t>
    </r>
  </si>
  <si>
    <t xml:space="preserve">1. Scope Management
IP: - Project charter, Project management plan, documents, EEF, OPA, 
T&amp;T: - Expert judgement, Meetings, Data analysis
OP: - Scope management plan, Requirments management plan
2. Collect business requirements
IP: - Business documents, Agreements, Project charter, Project management plan, documents, EEF, OPA, 
T&amp;T: - Context diagrams, Prototypes, Decesion Making, Expert judgement, Meetings, Data agthering, Data analysis, Data representation, 
OP: - Requirements Documentation, Requirements tracibility matrix
3. Define Sope
IP: - Project charter, Project management plan, documents, EEF, OPA, 
T&amp;T: - Product Analysis, Expert judgement, Meetings, Data analysis
OP: - Project Sope statement, Project document updates
4. Create WBS
IP: - Project charter, Project management plan, documents, EEF, OPA, 
T&amp;T: - Decompisition, Expert judgement 
OP: - Scope baseline, Project document updates
</t>
  </si>
  <si>
    <t>5. Validate Sope
IP: - Verified deliverables, Work performance data, Project management plan, documents
T&amp;T: - Inspection, Decesion making
OP: - Accepted deliverables, Work performance information, Change requests, Project document updates
6. Control Sope
IP: - Work performance data, Project management plan, documents, OPA 
T&amp;T: - Data Analysis
OP: - Work performance information, Change requests, Project management plan updates, project document updates</t>
  </si>
  <si>
    <t xml:space="preserve">1. Plan Schedule management
IP: - Project charter, Project management plan, documents, EEF, OPA, 
T&amp;T: - Expert judgement, Meetings, Data analysis
OP: - Schedule management plan
2. Define Activities
IP: - Project management plan, documents, EEF, OPA, 
T&amp;T: - Decomposition, Rolling wave planning, Expert judgement, Meetings
OP: - Activity list, Activity attributes, Milestone list, Change Requests, Project management plan updates
3. Sequence Activities
IP: - Project management plan, documents, EEF, OPA, 
T&amp;T: - Precedence diagraming method, Dependency determination and Integration, Leads and Lags, PMIS
OP: - Project Schedule Network diagrams, project Document updates
4. Estimate Activity Durations
IP: - Project management plan, documents, EEF, OPA, 
T&amp;T: - Analogous estimating, parametric estimating, Three point estimating, Bottom-up estimating, Decesion analyis, Expert judgement, Meetings
OP: - Duration estimates, Basis of estimates, Project document updates
5. Develop schedule
IP: - Agreements, Project management plan, documents, EEF, OPA, 
T&amp;T: - Schedule Network Analysis, Critical Path Method, Resource Optimization, Leads and Lags, Schedule compression, PMIS, Agile release planning 
OP: - Schedule Baseline, Project Schedule, Schedule data, Project calendars, Change requests, Project management plan updates, Project document updates
</t>
  </si>
  <si>
    <t>6. Control Schedule
IP: - Project management plan, documents, EEF, OPA, 
T&amp;T: - Critical path method, Resource Optimization, leads and Lags, Schedule compression, PMIS, Data Analysis
OP: - Schedule forecasts, Work performance information, Change requests, project management plan updates, Project document updates</t>
  </si>
  <si>
    <t xml:space="preserve">1. Cost Management
IP: - Project charter, Project management plan, documents, EEF, OPA, 
T&amp;T: - Expert judgement, Meetings, Data analysis
OP: - Cost management plan
2. Estimate Costs
IP: - Project charter, Project management plan, documents, EEF, OPA, 
T&amp;T: - Expert judgement, Data analysis, Analogous estimating, Parametric estimating, Bottom-up estimating, Three-point estimating, PMIS, Decesion making
OP: - Cost Estimates, Basis of estimates, project document updates
3. Determine Budget
IP: - Business documents, Agreements, Project charter, Project management plan, documents, EEF, OPA, 
T&amp;T: - Cost aggregation, Historical Information review, Funding limit Reconciliation, Financing 
OP: - Cost Baseline, Project funding requirements, project document updates
</t>
  </si>
  <si>
    <t>4. Control Costs
IP: - Project Funding requirements, Work performance Data, Project charter, Project management plan, documents, OPA, 
T&amp;T: - To-Complete performance index, PMIS, Expert judgement, Meetings
OP: - Costs Forecasst,  work performance information, Change Requests, Project management plan updates, project document updates</t>
  </si>
  <si>
    <t>1. Plan Quality management
IP: - Project charter, Project management plan, documents, EEF, OPA, 
T&amp;T: - Expert judgement, Meetings, Data analysis, Data gathering, Data representaion, test and inspection planing
OP: - Quality management plan, Quality metrics, Project management plan updates, project document updates</t>
  </si>
  <si>
    <t>2. Manage Quality
IP: - Project charter, Project management plan, OPA, 
T&amp;T: - Data gathering, Data analysis, Decesion making, Data representaion, Audits, Design for X, problem Solving, Quality Improvement methods
OP: - Quality Reports, test and evaluation documents, project management plan updates, project document updates</t>
  </si>
  <si>
    <t>3. Control Quality
IP: - Approved change requests, Deliverables, Project charter, Project management plan, OPA, 
T&amp;T: - Inspection, testing/product evaluations, Data gathering, Data analysis, Data representaion
OP: - Quality Control measurements, verified deliverables, Work performance information, change requests, project management plan updates, project document updates</t>
  </si>
  <si>
    <t>Resource</t>
  </si>
  <si>
    <t>1. Plan Resources
IP: - Project charter, Project management plan, documents, EEF, OPA, 
T&amp;T: - Expert judgement, Meetings, Data representaion, organizational theory 
OP: - Resoource Management plan, project document updates, team charter
2. Estimate activity resources
IP: - Project charter, Project management plan, documents, EEF, OPA, 
T&amp;T: - Expert judgement, Meetings, Bottom-up estimating, Analogous estimating, paremetric estimating, data analysis, PMIS, 
OP: - Resource requirements, Basis of estimates, RBS, Project docu updates</t>
  </si>
  <si>
    <r>
      <rPr>
        <b/>
        <sz val="8"/>
        <color theme="1"/>
        <rFont val="Aptos Narrow"/>
        <family val="2"/>
        <scheme val="minor"/>
      </rPr>
      <t>3. Acquire Resources</t>
    </r>
    <r>
      <rPr>
        <sz val="8"/>
        <color theme="1"/>
        <rFont val="Aptos Narrow"/>
        <family val="2"/>
        <scheme val="minor"/>
      </rPr>
      <t xml:space="preserve">
IP: - </t>
    </r>
    <r>
      <rPr>
        <sz val="8"/>
        <color rgb="FF00B050"/>
        <rFont val="Aptos Narrow"/>
        <family val="2"/>
        <scheme val="minor"/>
      </rPr>
      <t xml:space="preserve">Project charter, Project management plan, documents, EEF, OPA, </t>
    </r>
    <r>
      <rPr>
        <sz val="8"/>
        <color theme="1"/>
        <rFont val="Aptos Narrow"/>
        <family val="2"/>
        <scheme val="minor"/>
      </rPr>
      <t xml:space="preserve">
T&amp;T: - Decesion Making, Interpersonal and team skills, pre-assignment, Virtual teams 
OP: -  Physical resource assignments, project team assignments, resource calendars, Change Requests, Project mana plan updates, </t>
    </r>
    <r>
      <rPr>
        <sz val="8"/>
        <color rgb="FF0070C0"/>
        <rFont val="Aptos Narrow"/>
        <family val="2"/>
        <scheme val="minor"/>
      </rPr>
      <t>Project docu updates,</t>
    </r>
    <r>
      <rPr>
        <sz val="8"/>
        <color theme="1"/>
        <rFont val="Aptos Narrow"/>
        <family val="2"/>
        <scheme val="minor"/>
      </rPr>
      <t xml:space="preserve"> EEF Updates, OPA Updates 
</t>
    </r>
    <r>
      <rPr>
        <b/>
        <sz val="8"/>
        <color theme="1"/>
        <rFont val="Aptos Narrow"/>
        <family val="2"/>
        <scheme val="minor"/>
      </rPr>
      <t xml:space="preserve">4. Develop team
</t>
    </r>
    <r>
      <rPr>
        <sz val="8"/>
        <color theme="1"/>
        <rFont val="Aptos Narrow"/>
        <family val="2"/>
        <scheme val="minor"/>
      </rPr>
      <t xml:space="preserve"> IP: - </t>
    </r>
    <r>
      <rPr>
        <sz val="8"/>
        <color rgb="FF00B050"/>
        <rFont val="Aptos Narrow"/>
        <family val="2"/>
        <scheme val="minor"/>
      </rPr>
      <t xml:space="preserve">Project charter, Project management plan, documents, EEF, OPA, </t>
    </r>
    <r>
      <rPr>
        <sz val="8"/>
        <color theme="1"/>
        <rFont val="Aptos Narrow"/>
        <family val="2"/>
        <scheme val="minor"/>
      </rPr>
      <t xml:space="preserve">
T&amp;T: - Colocation, Virtual teams, Communcation tech, RnR, Training, individual and team assignments, </t>
    </r>
    <r>
      <rPr>
        <sz val="8"/>
        <color rgb="FFFF0000"/>
        <rFont val="Aptos Narrow"/>
        <family val="2"/>
        <scheme val="minor"/>
      </rPr>
      <t>Interpersonal and team skills, Meetings</t>
    </r>
    <r>
      <rPr>
        <sz val="8"/>
        <color theme="1"/>
        <rFont val="Aptos Narrow"/>
        <family val="2"/>
        <scheme val="minor"/>
      </rPr>
      <t xml:space="preserve">
OP: -  Team performance assests, Change Resusts, Proj mana plan updates, </t>
    </r>
    <r>
      <rPr>
        <sz val="8"/>
        <color rgb="FF0070C0"/>
        <rFont val="Aptos Narrow"/>
        <family val="2"/>
        <scheme val="minor"/>
      </rPr>
      <t>proj docu updates</t>
    </r>
    <r>
      <rPr>
        <sz val="8"/>
        <color theme="1"/>
        <rFont val="Aptos Narrow"/>
        <family val="2"/>
        <scheme val="minor"/>
      </rPr>
      <t xml:space="preserve">, EEF updates, OPA updates
</t>
    </r>
    <r>
      <rPr>
        <b/>
        <sz val="8"/>
        <color theme="1"/>
        <rFont val="Aptos Narrow"/>
        <family val="2"/>
        <scheme val="minor"/>
      </rPr>
      <t xml:space="preserve">5. Manage Team
</t>
    </r>
    <r>
      <rPr>
        <sz val="8"/>
        <color theme="1"/>
        <rFont val="Aptos Narrow"/>
        <family val="2"/>
        <scheme val="minor"/>
      </rPr>
      <t>IP: - P</t>
    </r>
    <r>
      <rPr>
        <sz val="8"/>
        <color rgb="FF00B050"/>
        <rFont val="Aptos Narrow"/>
        <family val="2"/>
        <scheme val="minor"/>
      </rPr>
      <t>roject charter, Project management plan, documents, EEF,</t>
    </r>
    <r>
      <rPr>
        <sz val="8"/>
        <color theme="1"/>
        <rFont val="Aptos Narrow"/>
        <family val="2"/>
        <scheme val="minor"/>
      </rPr>
      <t xml:space="preserve"> OPA, Work performance reports, Team performance assesmenets 
T&amp;T: - </t>
    </r>
    <r>
      <rPr>
        <sz val="8"/>
        <color rgb="FFFF0000"/>
        <rFont val="Aptos Narrow"/>
        <family val="2"/>
        <scheme val="minor"/>
      </rPr>
      <t>Interpersonal and team skills</t>
    </r>
    <r>
      <rPr>
        <sz val="8"/>
        <color theme="1"/>
        <rFont val="Aptos Narrow"/>
        <family val="2"/>
        <scheme val="minor"/>
      </rPr>
      <t xml:space="preserve">, PMIS
OP: -  Change Requests, Proj mana plan updates, </t>
    </r>
    <r>
      <rPr>
        <sz val="8"/>
        <color rgb="FF0070C0"/>
        <rFont val="Aptos Narrow"/>
        <family val="2"/>
        <scheme val="minor"/>
      </rPr>
      <t xml:space="preserve">proj docu updates, </t>
    </r>
    <r>
      <rPr>
        <sz val="8"/>
        <color theme="1"/>
        <rFont val="Aptos Narrow"/>
        <family val="2"/>
        <scheme val="minor"/>
      </rPr>
      <t xml:space="preserve">EEF updates
</t>
    </r>
  </si>
  <si>
    <r>
      <t xml:space="preserve">6. Control Resources
IP: - Agreements, Work performance data, </t>
    </r>
    <r>
      <rPr>
        <sz val="8"/>
        <color rgb="FF00B050"/>
        <rFont val="Aptos Narrow"/>
        <family val="2"/>
        <scheme val="minor"/>
      </rPr>
      <t xml:space="preserve">Project charter, Project management plan, documents, OPA, </t>
    </r>
    <r>
      <rPr>
        <sz val="8"/>
        <color theme="1"/>
        <rFont val="Aptos Narrow"/>
        <family val="2"/>
        <scheme val="minor"/>
      </rPr>
      <t xml:space="preserve">
T&amp;T: - Problem Solving, Data analysis, </t>
    </r>
    <r>
      <rPr>
        <sz val="8"/>
        <color rgb="FFFF0000"/>
        <rFont val="Aptos Narrow"/>
        <family val="2"/>
        <scheme val="minor"/>
      </rPr>
      <t>Interpersonal and team skills,</t>
    </r>
    <r>
      <rPr>
        <sz val="8"/>
        <color theme="1"/>
        <rFont val="Aptos Narrow"/>
        <family val="2"/>
        <scheme val="minor"/>
      </rPr>
      <t xml:space="preserve"> PMIS
OP: -  Work performance information, Change Requests, Proj mana plan updates, </t>
    </r>
    <r>
      <rPr>
        <sz val="8"/>
        <color rgb="FF0070C0"/>
        <rFont val="Aptos Narrow"/>
        <family val="2"/>
        <scheme val="minor"/>
      </rPr>
      <t>proj docu updates</t>
    </r>
  </si>
  <si>
    <t>Communication</t>
  </si>
  <si>
    <t>1.  Communication Mana plan
IP: - Project charter, Project management plan, documents, EEF, OPA, 
T&amp;T: - Expert judgement, Meetings, interpersonal team skills, communicaiton requirement analysis, communication technology, comunication models, data representation 
OP: - Communication Management plan, projet management plan updates, project document updates</t>
  </si>
  <si>
    <t xml:space="preserve">2. Manage communications
IP: - Project management plan, documents, EEF, OPA, Work performance reports 
T&amp;T: - Communicaiton technology, communication methids, Communication Skills, Project managament informaiton system, project reporting, Meetings, interpersonal team skills, 
OP: - project communications, project management plan updates, project document updates, OPA updates
</t>
  </si>
  <si>
    <t>3. Monitor Communication
IP: - Project management plan, documents, EEF, OPA, Work performance reports 
T&amp;T: - Expert Judgement, project management informaiton system, data representation, interpersonal and skills, meetings
OP: - Work performance information, change requests, project management plan updates, project document updates</t>
  </si>
  <si>
    <t>1 Risk Mana plan
IP: - Project charter, Project management plan, documents, EEF, OPA, 
T&amp;T: - Expert judgement, Data analysis, Meetings
OP: - Risk Mana plan
2 identify risks
I/P: - Proj Mana plan, Project documents,  Agreements, Procurement documentation, EEF, OPA
T&amp;T: - expert Judgement, Data gathering, Data analysis, INterpersonal skills, prompt lists, Meetings
OP: - Risk Register, Risk Report, Project document updates, 
3. Perform Qualitiative RAP 
I/P : PMP, project docu, EEF, OPA
T&amp;T: Expert Judgement, data gathering, data analysis, interpersonal team skills, risk categorization, data representation, meetings
OP: Project document updates
4. Perform Quantitative RAP 
I/P: PMP, project docu, EEF, OPA
T&amp;T: Expert Judgement, Data gathering, interpersonal and team skills, representation of uncertaintly, data analysis
OP: Project document updates
5. Plan risk responses
I/P: PMP, project docu, EEF, OPA
T&amp;T: Expert Judgement, Data gathering, interpersonal and team skills, Stragies for threats, strategies for opportunities, contingent response strategies, strategies for overall project risk, Data analysis, Decesion making
OP: Change requests, PMP plan updates, Proj Docu updates</t>
  </si>
  <si>
    <t>6. Implement risk responses
IP: - Project charter, Project management plan, documents, EEF, OPA, 
T&amp;T: - Expert judgement, interpersonal and team skills, Project magement information system
OP: - Change requests, project document updates</t>
  </si>
  <si>
    <t>7. Monitor Risks
IP: - Project charter, Project management plan, documents, EEF, OPA, 
T&amp;T: - Data analysis, Audits, meetings
OP: - Work performance information, Change requests, proje mana plan updates, proj docu updates, OPA Updates</t>
  </si>
  <si>
    <r>
      <rPr>
        <b/>
        <sz val="8"/>
        <color theme="1"/>
        <rFont val="Aptos Narrow"/>
        <family val="2"/>
        <scheme val="minor"/>
      </rPr>
      <t>1. Develop Procurement management plan</t>
    </r>
    <r>
      <rPr>
        <sz val="8"/>
        <color theme="1"/>
        <rFont val="Aptos Narrow"/>
        <family val="2"/>
        <scheme val="minor"/>
      </rPr>
      <t xml:space="preserve">
IP: - Business documents, </t>
    </r>
    <r>
      <rPr>
        <sz val="8"/>
        <color rgb="FF00B050"/>
        <rFont val="Aptos Narrow"/>
        <family val="2"/>
        <scheme val="minor"/>
      </rPr>
      <t>Project charter, Project management plan, documents, EEF, OPA</t>
    </r>
    <r>
      <rPr>
        <sz val="8"/>
        <color theme="1"/>
        <rFont val="Aptos Narrow"/>
        <family val="2"/>
        <scheme val="minor"/>
      </rPr>
      <t xml:space="preserve">, 
T&amp;T: - Expert judgement, </t>
    </r>
    <r>
      <rPr>
        <sz val="8"/>
        <color rgb="FFFF0000"/>
        <rFont val="Aptos Narrow"/>
        <family val="2"/>
        <scheme val="minor"/>
      </rPr>
      <t>Data analysis, Meetings</t>
    </r>
    <r>
      <rPr>
        <sz val="8"/>
        <color theme="1"/>
        <rFont val="Aptos Narrow"/>
        <family val="2"/>
        <scheme val="minor"/>
      </rPr>
      <t xml:space="preserve">, Data gathering, Source selection Analysis 
OP: - Procurement Management plan, Procurement strategy, Bid documents, procurement satement of work, Source selection criteria, Make-or-buy decesions, Independent cost estimates, Change requests, </t>
    </r>
    <r>
      <rPr>
        <sz val="8"/>
        <color rgb="FF0070C0"/>
        <rFont val="Aptos Narrow"/>
        <family val="2"/>
        <scheme val="minor"/>
      </rPr>
      <t>project document updates,</t>
    </r>
    <r>
      <rPr>
        <sz val="8"/>
        <color theme="1"/>
        <rFont val="Aptos Narrow"/>
        <family val="2"/>
        <scheme val="minor"/>
      </rPr>
      <t xml:space="preserve"> OPA updates
</t>
    </r>
  </si>
  <si>
    <r>
      <rPr>
        <b/>
        <sz val="8"/>
        <color theme="1"/>
        <rFont val="Aptos Narrow"/>
        <family val="2"/>
        <scheme val="minor"/>
      </rPr>
      <t>2. Conduct Procurements</t>
    </r>
    <r>
      <rPr>
        <sz val="8"/>
        <color theme="1"/>
        <rFont val="Aptos Narrow"/>
        <family val="2"/>
        <scheme val="minor"/>
      </rPr>
      <t xml:space="preserve">
IP: - Procurement documentation, Seller proposals, </t>
    </r>
    <r>
      <rPr>
        <sz val="8"/>
        <color rgb="FF00B050"/>
        <rFont val="Aptos Narrow"/>
        <family val="2"/>
        <scheme val="minor"/>
      </rPr>
      <t xml:space="preserve">Project management plan, documents, EEF, OPA, </t>
    </r>
    <r>
      <rPr>
        <sz val="8"/>
        <color theme="1"/>
        <rFont val="Aptos Narrow"/>
        <family val="2"/>
        <scheme val="minor"/>
      </rPr>
      <t xml:space="preserve">
T&amp;T: - Advertising, Bidder conferences, Data analysis, </t>
    </r>
    <r>
      <rPr>
        <sz val="8"/>
        <color rgb="FFFF0000"/>
        <rFont val="Aptos Narrow"/>
        <family val="2"/>
        <scheme val="minor"/>
      </rPr>
      <t>Interpersonal and skills</t>
    </r>
    <r>
      <rPr>
        <sz val="8"/>
        <color theme="1"/>
        <rFont val="Aptos Narrow"/>
        <family val="2"/>
        <scheme val="minor"/>
      </rPr>
      <t xml:space="preserve">
OP: - Selected sellers, Agreements, Change requests, project management plan updates,</t>
    </r>
    <r>
      <rPr>
        <sz val="8"/>
        <color rgb="FF0070C0"/>
        <rFont val="Aptos Narrow"/>
        <family val="2"/>
        <scheme val="minor"/>
      </rPr>
      <t xml:space="preserve"> project document updates</t>
    </r>
    <r>
      <rPr>
        <sz val="8"/>
        <color theme="1"/>
        <rFont val="Aptos Narrow"/>
        <family val="2"/>
        <scheme val="minor"/>
      </rPr>
      <t xml:space="preserve">, OPA updates </t>
    </r>
  </si>
  <si>
    <t xml:space="preserve">3. Control Procurements
IP: - Agreements, Procurement documentation, Approved change requests, Work performance data, EEF, OPA, 
T&amp;T: - Claims adminstration, inspection, Audits, Data analysis
OP: - Closed procurements, Work performance information, Procurement document updates, Change requests, projest management plan updates, project document updates, OPA updates </t>
  </si>
  <si>
    <r>
      <rPr>
        <b/>
        <sz val="8"/>
        <color theme="1"/>
        <rFont val="Aptos Narrow"/>
        <family val="2"/>
        <scheme val="minor"/>
      </rPr>
      <t>1. Identify Stakeholder</t>
    </r>
    <r>
      <rPr>
        <sz val="8"/>
        <color theme="1"/>
        <rFont val="Aptos Narrow"/>
        <family val="2"/>
        <scheme val="minor"/>
      </rPr>
      <t xml:space="preserve">
IP: - Business documents, Project charter, </t>
    </r>
    <r>
      <rPr>
        <sz val="8"/>
        <color rgb="FF00B050"/>
        <rFont val="Aptos Narrow"/>
        <family val="2"/>
        <scheme val="minor"/>
      </rPr>
      <t xml:space="preserve">Project management plan, documents, EEF, OPA, </t>
    </r>
    <r>
      <rPr>
        <sz val="8"/>
        <color theme="1"/>
        <rFont val="Aptos Narrow"/>
        <family val="2"/>
        <scheme val="minor"/>
      </rPr>
      <t xml:space="preserve">
T&amp;T: - Expert judgement,</t>
    </r>
    <r>
      <rPr>
        <sz val="8"/>
        <color rgb="FFFF0000"/>
        <rFont val="Aptos Narrow"/>
        <family val="2"/>
        <scheme val="minor"/>
      </rPr>
      <t xml:space="preserve"> Data analysis, Meetings</t>
    </r>
    <r>
      <rPr>
        <sz val="8"/>
        <color theme="1"/>
        <rFont val="Aptos Narrow"/>
        <family val="2"/>
        <scheme val="minor"/>
      </rPr>
      <t xml:space="preserve">, Data gathering, Data representation
OP: - Stakeholder Register, Change Requests, Project management plan updates, </t>
    </r>
    <r>
      <rPr>
        <sz val="8"/>
        <color rgb="FF0070C0"/>
        <rFont val="Aptos Narrow"/>
        <family val="2"/>
        <scheme val="minor"/>
      </rPr>
      <t>project document updates</t>
    </r>
  </si>
  <si>
    <r>
      <rPr>
        <b/>
        <sz val="8"/>
        <color theme="1"/>
        <rFont val="Aptos Narrow"/>
        <family val="2"/>
        <scheme val="minor"/>
      </rPr>
      <t>2. Engagement</t>
    </r>
    <r>
      <rPr>
        <sz val="8"/>
        <color theme="1"/>
        <rFont val="Aptos Narrow"/>
        <family val="2"/>
        <scheme val="minor"/>
      </rPr>
      <t xml:space="preserve">
IP: - Agreements, Business documents, Project charter</t>
    </r>
    <r>
      <rPr>
        <sz val="8"/>
        <color rgb="FF00B050"/>
        <rFont val="Aptos Narrow"/>
        <family val="2"/>
        <scheme val="minor"/>
      </rPr>
      <t xml:space="preserve">, Project management plan, documents, EEF, OPA, </t>
    </r>
    <r>
      <rPr>
        <sz val="8"/>
        <color theme="1"/>
        <rFont val="Aptos Narrow"/>
        <family val="2"/>
        <scheme val="minor"/>
      </rPr>
      <t xml:space="preserve">
T&amp;T: - Expert judgement, </t>
    </r>
    <r>
      <rPr>
        <sz val="8"/>
        <color rgb="FFFF0000"/>
        <rFont val="Aptos Narrow"/>
        <family val="2"/>
        <scheme val="minor"/>
      </rPr>
      <t>Data analysis, Meetings,</t>
    </r>
    <r>
      <rPr>
        <sz val="8"/>
        <color theme="1"/>
        <rFont val="Aptos Narrow"/>
        <family val="2"/>
        <scheme val="minor"/>
      </rPr>
      <t xml:space="preserve"> Data gathering, Source selection Analysis 
OP: - Stakeholder management Plan</t>
    </r>
  </si>
  <si>
    <r>
      <rPr>
        <b/>
        <sz val="8"/>
        <color theme="1"/>
        <rFont val="Aptos Narrow"/>
        <family val="2"/>
        <scheme val="minor"/>
      </rPr>
      <t>3. Manage Stakeholder Engagement</t>
    </r>
    <r>
      <rPr>
        <sz val="8"/>
        <color theme="1"/>
        <rFont val="Aptos Narrow"/>
        <family val="2"/>
        <scheme val="minor"/>
      </rPr>
      <t xml:space="preserve">
IP: - </t>
    </r>
    <r>
      <rPr>
        <sz val="8"/>
        <color rgb="FF00B050"/>
        <rFont val="Aptos Narrow"/>
        <family val="2"/>
        <scheme val="minor"/>
      </rPr>
      <t xml:space="preserve">Project management plan, documents, EEF, OPA, </t>
    </r>
    <r>
      <rPr>
        <sz val="8"/>
        <color theme="1"/>
        <rFont val="Aptos Narrow"/>
        <family val="2"/>
        <scheme val="minor"/>
      </rPr>
      <t xml:space="preserve">
T&amp;T: - Communication Skills, Ground Rules, Expert judgement, Meetings 
OP: - Change requests, Project management plan updates, </t>
    </r>
    <r>
      <rPr>
        <sz val="8"/>
        <color rgb="FF0070C0"/>
        <rFont val="Aptos Narrow"/>
        <family val="2"/>
        <scheme val="minor"/>
      </rPr>
      <t>project document updates</t>
    </r>
  </si>
  <si>
    <r>
      <t xml:space="preserve">4. Monitor Stakeholder Engagement
IP: - Work performance data, </t>
    </r>
    <r>
      <rPr>
        <sz val="8"/>
        <color rgb="FF00B050"/>
        <rFont val="Aptos Narrow"/>
        <family val="2"/>
        <scheme val="minor"/>
      </rPr>
      <t>Project management plan, documents, EEF, OPA,</t>
    </r>
    <r>
      <rPr>
        <sz val="8"/>
        <color theme="1"/>
        <rFont val="Aptos Narrow"/>
        <family val="2"/>
        <scheme val="minor"/>
      </rPr>
      <t xml:space="preserve"> 
T&amp;T: - Decesion making, Data representation, Communication skills, </t>
    </r>
    <r>
      <rPr>
        <sz val="8"/>
        <color rgb="FFFF0000"/>
        <rFont val="Aptos Narrow"/>
        <family val="2"/>
        <scheme val="minor"/>
      </rPr>
      <t>Data analysis, Meetings,</t>
    </r>
    <r>
      <rPr>
        <sz val="8"/>
        <color theme="1"/>
        <rFont val="Aptos Narrow"/>
        <family val="2"/>
        <scheme val="minor"/>
      </rPr>
      <t xml:space="preserve"> Data gathering, 
OP: - Work performance information, Change Requests, project management plan updates, </t>
    </r>
    <r>
      <rPr>
        <sz val="8"/>
        <color rgb="FF0070C0"/>
        <rFont val="Aptos Narrow"/>
        <family val="2"/>
        <scheme val="minor"/>
      </rPr>
      <t>project Document updates</t>
    </r>
  </si>
  <si>
    <t>PMBOK 7</t>
  </si>
  <si>
    <t>PMBOK 8</t>
  </si>
  <si>
    <t>Project Documents</t>
  </si>
  <si>
    <t>Interpersonal and Team Skills</t>
  </si>
  <si>
    <t>EEF</t>
  </si>
  <si>
    <t>OPA</t>
  </si>
  <si>
    <t>Expert Judgement</t>
  </si>
  <si>
    <t>Change Requests</t>
  </si>
  <si>
    <t>Knoweledge Management</t>
  </si>
  <si>
    <t>Data Analysis</t>
  </si>
  <si>
    <t>Decesion making</t>
  </si>
  <si>
    <t>Data gathering</t>
  </si>
  <si>
    <t>Data representation</t>
  </si>
  <si>
    <t>Product analysis</t>
  </si>
  <si>
    <t>PMIS</t>
  </si>
  <si>
    <t>Be a diligent, respectuful and caring steward</t>
  </si>
  <si>
    <t>Adopt a holistic view</t>
  </si>
  <si>
    <t>Activity Attributes</t>
  </si>
  <si>
    <t>Quality control measurements</t>
  </si>
  <si>
    <t>Org structure</t>
  </si>
  <si>
    <t>Org policies, procedures, processes</t>
  </si>
  <si>
    <t>Tech know how</t>
  </si>
  <si>
    <t>Issue type</t>
  </si>
  <si>
    <t>CA</t>
  </si>
  <si>
    <t>networking</t>
  </si>
  <si>
    <t>Alternatives analysis</t>
  </si>
  <si>
    <t>Voting</t>
  </si>
  <si>
    <t>brainstorming</t>
  </si>
  <si>
    <t>Product nreakdown</t>
  </si>
  <si>
    <t>create a colaborative project enviorment</t>
  </si>
  <si>
    <t>focus on value</t>
  </si>
  <si>
    <t>Requirements</t>
  </si>
  <si>
    <t>Activity list</t>
  </si>
  <si>
    <t>Facilitation</t>
  </si>
  <si>
    <t>Infrastructure</t>
  </si>
  <si>
    <t>Issue and defect management procedures, databases</t>
  </si>
  <si>
    <t>Cost and budget management</t>
  </si>
  <si>
    <t xml:space="preserve">, who raised, </t>
  </si>
  <si>
    <t>PA</t>
  </si>
  <si>
    <t>Comunities of practice</t>
  </si>
  <si>
    <t>Cost benefit</t>
  </si>
  <si>
    <t>Requirement analysis</t>
  </si>
  <si>
    <t>effectively engage with stakeholders</t>
  </si>
  <si>
    <t>embed quality into processes and deliverables</t>
  </si>
  <si>
    <t>Assumptions log</t>
  </si>
  <si>
    <t>Stakehlder Risk Thresholds</t>
  </si>
  <si>
    <t>Performance management database</t>
  </si>
  <si>
    <t>legal and procurement</t>
  </si>
  <si>
    <t xml:space="preserve">when raised, </t>
  </si>
  <si>
    <t>Defect Repair</t>
  </si>
  <si>
    <t>Meetings</t>
  </si>
  <si>
    <t>Earned value</t>
  </si>
  <si>
    <t>Multicriteria</t>
  </si>
  <si>
    <t>Focus groups</t>
  </si>
  <si>
    <t>be an accountable leader</t>
  </si>
  <si>
    <t>Basis of estimates</t>
  </si>
  <si>
    <t>Networking</t>
  </si>
  <si>
    <t>legal restricitons</t>
  </si>
  <si>
    <t>change control and Risk Procreure</t>
  </si>
  <si>
    <t>legislation and regulations</t>
  </si>
  <si>
    <t xml:space="preserve">Priority, </t>
  </si>
  <si>
    <t>Updates</t>
  </si>
  <si>
    <t>Work shadow/Reverse shadow</t>
  </si>
  <si>
    <t>RCA</t>
  </si>
  <si>
    <t>Questionaire and surveys</t>
  </si>
  <si>
    <t>regognize, evaluate and respond to system interactions</t>
  </si>
  <si>
    <t>integrate sustanability within all project areas</t>
  </si>
  <si>
    <t>Requirements tracibility matrix</t>
  </si>
  <si>
    <t>Political Awareness</t>
  </si>
  <si>
    <t>Govt or industry standards</t>
  </si>
  <si>
    <t>Proj information form previous projects</t>
  </si>
  <si>
    <t>Org governance</t>
  </si>
  <si>
    <t xml:space="preserve">Who assigned, </t>
  </si>
  <si>
    <t>Identify configuration item</t>
  </si>
  <si>
    <t>Discussion forums</t>
  </si>
  <si>
    <t>Trend alaysis</t>
  </si>
  <si>
    <t>demonstrate leadership behaviours</t>
  </si>
  <si>
    <t>build an empowered culture</t>
  </si>
  <si>
    <t>Cost estimates</t>
  </si>
  <si>
    <t>Resource breakdown structure</t>
  </si>
  <si>
    <t>Nominal group Technique</t>
  </si>
  <si>
    <t>contracting or purchaisng requirements</t>
  </si>
  <si>
    <t>Earned value analysis</t>
  </si>
  <si>
    <t xml:space="preserve">ETA, </t>
  </si>
  <si>
    <t>Record and configuration</t>
  </si>
  <si>
    <t>Knoweledge sharing events</t>
  </si>
  <si>
    <t>tailor based on context</t>
  </si>
  <si>
    <t>Cost Forecasts</t>
  </si>
  <si>
    <t>Resource calenders</t>
  </si>
  <si>
    <t>Observation/Conversation</t>
  </si>
  <si>
    <t>interpretation</t>
  </si>
  <si>
    <t>Status and resolution</t>
  </si>
  <si>
    <t>perform confirmaiton audit</t>
  </si>
  <si>
    <t>Workshops</t>
  </si>
  <si>
    <t>document analysis</t>
  </si>
  <si>
    <t>Planning Package</t>
  </si>
  <si>
    <t>build quality into processes and deliverables</t>
  </si>
  <si>
    <t>Duration estimates</t>
  </si>
  <si>
    <t>Resource requirements</t>
  </si>
  <si>
    <t>trend analysis</t>
  </si>
  <si>
    <t>Story telling</t>
  </si>
  <si>
    <t>regression</t>
  </si>
  <si>
    <t>navigate complexity</t>
  </si>
  <si>
    <t>JAD</t>
  </si>
  <si>
    <t>Risk management</t>
  </si>
  <si>
    <t>Creative ideas</t>
  </si>
  <si>
    <t>Optimize Risk responses</t>
  </si>
  <si>
    <t>Lessons learnt register</t>
  </si>
  <si>
    <t>QFD</t>
  </si>
  <si>
    <t>Contract management</t>
  </si>
  <si>
    <t>management techniques</t>
  </si>
  <si>
    <t>embrace adaptability and resiliance</t>
  </si>
  <si>
    <t>Schedule data</t>
  </si>
  <si>
    <t>user stories</t>
  </si>
  <si>
    <t>Requirements elicitation</t>
  </si>
  <si>
    <t>knweledge fairs</t>
  </si>
  <si>
    <t>enable change to achieve the envisooned future state</t>
  </si>
  <si>
    <t>Configuration</t>
  </si>
  <si>
    <t>Physical resource assignments</t>
  </si>
  <si>
    <t>Schedule forecasts</t>
  </si>
  <si>
    <t>Diagramming techniques</t>
  </si>
  <si>
    <t>trainings</t>
  </si>
  <si>
    <t>Project calenders</t>
  </si>
  <si>
    <t>Stakeholder Resigter</t>
  </si>
  <si>
    <t>Project communications</t>
  </si>
  <si>
    <t>Test and evaluation documents</t>
  </si>
  <si>
    <t>Performance measurement baseline</t>
  </si>
  <si>
    <t>Project schedule network diagram</t>
  </si>
  <si>
    <t>Project lifecycle description</t>
  </si>
  <si>
    <t>Project scope stament</t>
  </si>
  <si>
    <t>Development approach</t>
  </si>
  <si>
    <t>Project team assignments</t>
  </si>
  <si>
    <t>The Planning Performance Domain addresses activities and functions associated with the initial, ongoing, and evolving organization and coordination necessary for delivering project deliverables and outcomes.</t>
  </si>
  <si>
    <t>Stewards act responsibly to carry out activities with integrity, care, and trustworthiness while maintaining compliance with internal and external guidelines. They demonstrate a broad commitment to financial, social, and environmental impacts of the projects they support.</t>
  </si>
  <si>
    <t>Stewardship encompasses responsibilities within and external to the organization. Stewardship includes: • Integrity, • Care, • Trustworthiness, and • Compliance. A holistic view of stewardship considers financial, social, technical, and sustainable environmental awareness.</t>
  </si>
  <si>
    <t>Project teams are made up of individuals who wield diverse skills, knowledge, and experience. Project teams that work collaboratively can accomplish a shared objective more effectively and efficiently than individuals working on their own.</t>
  </si>
  <si>
    <t>Projects are delivered by project teams. Project teams work within organizational and professional cultures and guidelines, often establishing their own “local” culture. A collaborative project team environment facilitates: • Alignment with other organizational cultures and guidelines, • Individual and team learning and development, and • Optimal contributions to deliver desired outcomes.</t>
  </si>
  <si>
    <t>Engage stakeholders proactively and to the degree needed to contribute to project success and customer satisfaction.</t>
  </si>
  <si>
    <t>Stakeholders influence projects, performance, and outcomes. Project teams serve other stakeholders by engaging with them. Stakeholder engagement proactively advances value delivery.</t>
  </si>
  <si>
    <t>Continually evaluate and adjust project alignment to business objectives and intended benefits and value.</t>
  </si>
  <si>
    <t>Value is the ultimate indicator of project success. Value can be realized throughout the project, at the end of the project, or after the project is complete. Value, and the benefits that contribute to value, can be defined in quantitative and/or qualitative terms. A focus on outcomes allows project teams to support the intended benefits that lead to value creation. Project teams evaluate progress and adapt to maximize the expected value.</t>
  </si>
  <si>
    <t>Recognize, evaluate, and respond to the dynamic circumstances within and surrounding the project in a holistic way to positively affect project performance.</t>
  </si>
  <si>
    <t>A project is a system of interdependent and interacting domains of activity. Systems thinking entails taking a holistic view of how project parts interact with each other and with external systems. Systems are constantly changing, requiring consistent attention to internal and external conditions. Being responsive to system interactions allows project teams to leverage positive outcomes.</t>
  </si>
  <si>
    <t>Demonstrate and adapt leadership behaviors to support individual and team needs.</t>
  </si>
  <si>
    <t>Effective leadership promotes project success and contributes to positive project outcomes. Any project team member can demonstrate leadership behaviors. Leadership is different than authority. Effective leaders adapt their style to the situation. Effective leaders recognize differences in motivation among project team members. Leaders demonstrate desired behavior in areas of honesty, integrity, and ethical conduct.</t>
  </si>
  <si>
    <t>Design the project development approach based on the context of the project, its objectives, stakeholders, governance, and the environment using “just enough” process to achieve the desired outcome while maximizing value, managing cost, and enhancing speed.</t>
  </si>
  <si>
    <t>Each project is unique. Project success is based on adapting to the unique context of the project to determine the most appropriate methods of producing the desired outcomes. Tailoring the approach is iterative, and therefore is a continuous process throughout the project.</t>
  </si>
  <si>
    <t>Maintain a focus on quality that produces deliverables that meet project objectives and align to the needs, uses, and acceptance requirements set forth by relevant stakeholders.</t>
  </si>
  <si>
    <t>Project quality entails satisfying stakeholders’ expectations and fulfilling project and product requirements. Quality focuses on meeting acceptance criteria for deliverables. Project quality entails ensuring project processes are appropriate and as effective as possible.</t>
  </si>
  <si>
    <t>Continually evaluate and navigate project complexity so that approaches and plans enable the project team to successfully navigate the project life cycle.</t>
  </si>
  <si>
    <t>Complexity is the result of human behavior, system interactions, uncertainty, and ambiguity. Complexity can emerge at any point during the project. Complexity can be introduced by events or conditions that affect value, scope, communications, stakeholders, risk, and technological innovation. Project teams can stay vigilant in identifying elements of complexity and use a variety of methods to reduce the amount or impact of complexity.</t>
  </si>
  <si>
    <t>Continually evaluate exposure to risk, both opportunities and threats, to maximize positive impacts and minimize negative impacts to the project and its outcomes.</t>
  </si>
  <si>
    <t>Individual and overall risks can impact projects. Risks can be positive (opportunities) or negative (threats). Risks are addressed continually throughout the project. An organization’s risk attitude, appetite, and threshold influence how risk is addressed. Risk responses should be: • Appropriate for the significance of the risk, • Cost effective, • Realistic within the project context, • Agreed to by relevant stakeholders, and • Owned by a responsible person.</t>
  </si>
  <si>
    <t>Build adaptability and resiliency into the organization’s and project team’s approaches to help the project accommodate change, recover from setbacks, and advance the work of the project.</t>
  </si>
  <si>
    <t>Adaptability is the ability to respond to changing conditions. Resiliency is the ability to absorb impacts and to recover quickly from a setback or failure. A focus on outcomes rather than outputs facilitates adaptability.</t>
  </si>
  <si>
    <t>Prepare those impacted for the adoption and sustainment of new and different behaviors and processes required for the transition from the current state to the intended future state created by the project outcomes.</t>
  </si>
  <si>
    <t>A structured approach to change helps individuals, groups, and the organization transition from the current state to a future desired state. Change can originate from internal influences or external sources. Enabling change can be challenging as not all stakeholders embrace change. Attempting too much change in a short time can lead to change fatigue and/or resistance. Stakeholder engagement and motivational approaches assist in change adoption.</t>
  </si>
  <si>
    <t>The Stakeholder Performance Domain addresses activities and functions associated with stakeholders.</t>
  </si>
  <si>
    <t>Effective execution of this performance domain results in the following desired outcomes:  A productive working relationship with stakeholders throughout the project. Stakeholder agreement with project objectives. Stakeholders who are project beneficiaries are supportive and satisfied while stakeholders who may oppose the project or its deliverables do not negatively impact project outcomes.</t>
  </si>
  <si>
    <t>The Team Performance Domain addresses activities and functions associated with the people who are responsible for producing project deliverables that realize business outcomes.</t>
  </si>
  <si>
    <t>Effective execution of this performance domain results in the following desired outcomes: Shared ownership. A high-performing team. Applicable leadership and other interpersonal skills demonstrated by all team members.</t>
  </si>
  <si>
    <t>The Development Approach and Life Cycle Performance Domain addresses activities and functions associated with the development approach, cadence, and life cycle phases of the project.</t>
  </si>
  <si>
    <t>Effective execution of this performance domain results in the following desired outcomes: Development approaches that are consistent with project deliverables. A project life cycle consisting of phases that connect the delivery of business and stakeholder value from the beginning to the end of the project. A project life cycle consisting of phases that facilitate the delivery cadence and development approach required to produce the project deliverables.</t>
  </si>
  <si>
    <t>The project progresses in an organized, coordinated, and deliberate manner. There is a holistic approach to delivering the project outcomes. Evolving information is elaborated to produce the deliverables and outcomes for which the project was undertaken. Time spent planning is appropriate for the situation. Planning information is sufficient to manage stakeholder expectations. There is a process for the adaptation of plans throughout the project based on emerging and changing needs or conditions.</t>
  </si>
  <si>
    <t>The Project Work Performance Domain addresses activities and functions associated with establishing project processes, managing physical resources, and fostering a learning environment.</t>
  </si>
  <si>
    <t>Efficient and effective project performance. Project processes are appropriate for the project and the environment. Appropriate communication with stakeholders. Efficient management of physical resources. Effective management of procurements. Improved team capability due to continuous learning and process improvement.</t>
  </si>
  <si>
    <t>The Delivery Performance Domain addresses activities and functions associated with delivering the scope and quality that the project was undertaken to achieve.</t>
  </si>
  <si>
    <t>Projects contribute to business objectives and advancement of strategy. Projects realize the outcomes they were initiated to deliver. Project benefits are realized in the time frame in which they were planned. The project team has a clear understanding of requirements. Stakeholders accept and are satisfied with project deliverables.</t>
  </si>
  <si>
    <t>The Measurement Performance Domain addresses activities and functions associated with assessing project performance and taking appropriate actions to maintain acceptable performance.</t>
  </si>
  <si>
    <t>A reliable understanding of the status of the project. Actionable data to facilitate decision making. Timely and appropriate actions to keep project performance on track. Achieving targets and generating business value by making informed and timely decisions based on reliable forecasts and evaluations.</t>
  </si>
  <si>
    <t>The Uncertainty Performance Domain addresses activities and functions associated with risk and uncertainty.</t>
  </si>
  <si>
    <t>An awareness of the environment in which projects occur, including, but not limited to, the technical, social, political, market, and economic environments. Proactively exploring and responding to uncertainty. An awareness of the interdependence of multiple variables on the project. The capacity to anticipate threats and opportunities and understand the consequences of issues. Project delivery with little or no negative impact from unforeseen events or conditions. Opportunities are realized to improve project performance and outcomes. Cost and schedule reserves are utilized effectively to maintain alignment with project objectives.</t>
  </si>
  <si>
    <t>Closing   </t>
  </si>
  <si>
    <t>Executing   </t>
  </si>
  <si>
    <t>Monitoring and controlling   </t>
  </si>
  <si>
    <t>Planning   </t>
  </si>
  <si>
    <t>During the monitoring and controlling processes, the deliverables are accepted by the stakeholders.</t>
  </si>
  <si>
    <t>During the closing process, the project or phase is brought to formal closure</t>
  </si>
  <si>
    <t>In the executing process group, the team completes the deliverables.</t>
  </si>
  <si>
    <t>Bottom-up estimation   </t>
  </si>
  <si>
    <t>Cost aggregation   </t>
  </si>
  <si>
    <t>Parametric estimation   </t>
  </si>
  <si>
    <t>Expert judgment   </t>
  </si>
  <si>
    <t>The tools of bottom-up estimation and parametric estimation are not used to determine a budget</t>
  </si>
  <si>
    <t>An expert may help in determining the costs, but not to aggregate them.</t>
  </si>
  <si>
    <t>If the activities have been assigned costs, then the process of estimate costs has been completed. The next process would be to determine budget and use the cost aggregation tool to integrate all the activities into the overall budget of the project</t>
  </si>
  <si>
    <t>Resource category matrix   </t>
  </si>
  <si>
    <t>Resource breakdown structure   </t>
  </si>
  <si>
    <t>Resource register   </t>
  </si>
  <si>
    <t>The resource breakdown structure is a breakdown of the resources by categories or types</t>
  </si>
  <si>
    <t>The resource register and resource category matrix are made-up terms.</t>
  </si>
  <si>
    <t>Update change log   </t>
  </si>
  <si>
    <t>Verify scope   </t>
  </si>
  <si>
    <t>Update project management plan   </t>
  </si>
  <si>
    <t>Direct and manage project work</t>
  </si>
  <si>
    <t>Once a change has been approved, it is then moved to the direct and manage project work process for implementation</t>
  </si>
  <si>
    <t>Verify scope is done when all the deliverables are completed and require stakeholders’ acceptance.</t>
  </si>
  <si>
    <t>Update project management plan and change log are not processes</t>
  </si>
  <si>
    <t>Scope reduction   </t>
  </si>
  <si>
    <t>Adding leads to activities   </t>
  </si>
  <si>
    <t>Fast tracking   </t>
  </si>
  <si>
    <t>Crashing   </t>
  </si>
  <si>
    <t>Monitor and control project work   </t>
  </si>
  <si>
    <t>Direct and manage project work   </t>
  </si>
  <si>
    <t>Control Scope   </t>
  </si>
  <si>
    <t>Develop project management plan   </t>
  </si>
  <si>
    <t>Work performance data is an output of the integration process of direct and manage project work.</t>
  </si>
  <si>
    <t>Financing   </t>
  </si>
  <si>
    <t>Funding limit reconciliation   </t>
  </si>
  <si>
    <t>Analogous estimates   </t>
  </si>
  <si>
    <t>Parametric estimates   </t>
  </si>
  <si>
    <t>Funding limit reconciliation is done when there are limited funds to spend on the project and work may need to be rescheduled</t>
  </si>
  <si>
    <t>Parametric estimates are a type of mathematical estimates done to estimate the cost of each activity.</t>
  </si>
  <si>
    <t>Analogous estimates are based on historical information to estimate the cost of each activity.</t>
  </si>
  <si>
    <t>Validate scope   </t>
  </si>
  <si>
    <t>Perform integrated change control   </t>
  </si>
  <si>
    <t>Control quality   </t>
  </si>
  <si>
    <t>Perform integrated change control is done to assess and approve a change request.</t>
  </si>
  <si>
    <t>Monitor scope   </t>
  </si>
  <si>
    <t>Control scope   </t>
  </si>
  <si>
    <t>Manage scope   </t>
  </si>
  <si>
    <t>Validate scope is a process where stakeholders formally accept the project deliverables</t>
  </si>
  <si>
    <t>Monitor and manage scope are made-up processes.</t>
  </si>
  <si>
    <t>Risk summary chart   </t>
  </si>
  <si>
    <t>Risk register   </t>
  </si>
  <si>
    <t>Bubble chart   </t>
  </si>
  <si>
    <t>Pareto chart   </t>
  </si>
  <si>
    <t>Risk summary charts is a made-up term.</t>
  </si>
  <si>
    <t>Gantt chart</t>
  </si>
  <si>
    <t>Kanban development</t>
  </si>
  <si>
    <t>Whiteboard</t>
  </si>
  <si>
    <t>Burndown charts</t>
  </si>
  <si>
    <t>Kanban development involves the use of a signboard that is used to help track the work in progress and limit the work in progress.</t>
  </si>
  <si>
    <t>Initiating   </t>
  </si>
  <si>
    <t>Stakeholder management   </t>
  </si>
  <si>
    <t>Communications management </t>
  </si>
  <si>
    <t>The process of identifying stakeholders is part of the initiating process group</t>
  </si>
  <si>
    <t>Develop project charter   </t>
  </si>
  <si>
    <t>Determine budget   </t>
  </si>
  <si>
    <t>Plan cost management   </t>
  </si>
  <si>
    <t>Determine project financing   </t>
  </si>
  <si>
    <t>Determine project financing is a made-up process.</t>
  </si>
  <si>
    <t>Manage team   </t>
  </si>
  <si>
    <t>Monitor resources   </t>
  </si>
  <si>
    <t>Control resources   </t>
  </si>
  <si>
    <t>Develop team   </t>
  </si>
  <si>
    <t>Monitor resources is a made-up process.</t>
  </si>
  <si>
    <t>Perform quantitative risk analysis   </t>
  </si>
  <si>
    <t>Perform qualitative risk analysis   </t>
  </si>
  <si>
    <t>Rank Risk   </t>
  </si>
  <si>
    <t>Plan risk response   </t>
  </si>
  <si>
    <t>Rank risks is not a valid process.</t>
  </si>
  <si>
    <t>Define activities   </t>
  </si>
  <si>
    <t>Sequence activities   </t>
  </si>
  <si>
    <t>Estimate activity resources   </t>
  </si>
  <si>
    <t>Develop schedule   </t>
  </si>
  <si>
    <t>The process of estimate activity resources will output the resource breakdown structure, which is a hierarchal breakdown of resources by their categories and types. No other choice will output this project document.</t>
  </si>
  <si>
    <t>Histograms   </t>
  </si>
  <si>
    <t>Ishikawa diagram   </t>
  </si>
  <si>
    <t>Assumptions analysis   </t>
  </si>
  <si>
    <t>Inspections   </t>
  </si>
  <si>
    <t>Assumptions analysis involves analyzing assumptions</t>
  </si>
  <si>
    <t>histograms are used to show the frequency of defects</t>
  </si>
  <si>
    <t>and inspections are used to see if a deliverable has met its requirements.</t>
  </si>
  <si>
    <t>Withdrawal   </t>
  </si>
  <si>
    <t>Compromise   </t>
  </si>
  <si>
    <t>Accommodating   </t>
  </si>
  <si>
    <t>Postponing   </t>
  </si>
  <si>
    <t>Compromise is when the two sides reach an agreement but both sides have to give up something</t>
  </si>
  <si>
    <t>Postponing is a made-up term.</t>
  </si>
  <si>
    <t>Manage quality   </t>
  </si>
  <si>
    <t>monitoring and controlling processes that will be used to measure the work against the project management plan.</t>
  </si>
  <si>
    <t>They are statistically insignificant</t>
  </si>
  <si>
    <t>They are mutually exclusive</t>
  </si>
  <si>
    <t>There are statistically independent</t>
  </si>
  <si>
    <t>They are not statistically independent</t>
  </si>
  <si>
    <t>Mutually exclusive is a term used when two events cannot happen at the same time</t>
  </si>
  <si>
    <t>Inspection leads to less prevention   </t>
  </si>
  <si>
    <t>High-grade, low quality is okay</t>
  </si>
  <si>
    <t>Low-grade, low quality is okay</t>
  </si>
  <si>
    <t>Low-grade, high quality is okay</t>
  </si>
  <si>
    <t>Prevention leads to less inspection.</t>
  </si>
  <si>
    <t>Work breakdown structure   </t>
  </si>
  <si>
    <t>Project schedule   </t>
  </si>
  <si>
    <t>Change request   </t>
  </si>
  <si>
    <t>Issue log </t>
  </si>
  <si>
    <t>The issue log is used to keep track of all issues in the project. The delay of a server will mean the project might be delayed, so it should be entered into the issue log immediately. After that the project manager might implement a change request to extend the schedule baseline and update the project management plan</t>
  </si>
  <si>
    <t>The work breakdown structure does not show work by time.</t>
  </si>
  <si>
    <t>Access controls   </t>
  </si>
  <si>
    <t>Encryption   </t>
  </si>
  <si>
    <t>Communication models   </t>
  </si>
  <si>
    <t>Communication technology   </t>
  </si>
  <si>
    <t>Communication technology factors include sensitivity and confidentiality of the information on the project, which will require the project manager to assess the security needs of the project information</t>
  </si>
  <si>
    <t>Encryption is not a tool in the PMBOK.</t>
  </si>
  <si>
    <t>Assumption log   </t>
  </si>
  <si>
    <t>Issue log   </t>
  </si>
  <si>
    <t>The assumption log will only document assumptions that are made on a project</t>
  </si>
  <si>
    <t>and the issue log will have a list of issues that are currently taking place on a project.</t>
  </si>
  <si>
    <t>A change request is only issued when parts of the project management plan or document must be updated.</t>
  </si>
  <si>
    <t>Emotional intelligence</t>
  </si>
  <si>
    <t>Negotiation</t>
  </si>
  <si>
    <t>Emotional intelligence is defined as the ability to identify, assess, and influence emotions of ourselves and others around us.</t>
  </si>
  <si>
    <t>Resource leveling   </t>
  </si>
  <si>
    <t>Best tracking</t>
  </si>
  <si>
    <t>Crashing involves adding more resources to a project to decrease the schedule. In this scenario, the project is 7% over budget but is 10% ahead of schedule</t>
  </si>
  <si>
    <t>Best tracking is a made-up term.</t>
  </si>
  <si>
    <t>Create WBS   </t>
  </si>
  <si>
    <t>Create scope baseline   </t>
  </si>
  <si>
    <t>The create WBS process is generally done after the scope statement has been created, as it will decompose the deliverables in the scope statement. You cannot define activities or sequence activities until the WBS is complete, as you will need to know work packages to create the activities.</t>
  </si>
  <si>
    <t>Create scope baseline is a made-up term.</t>
  </si>
  <si>
    <t>Resource smoothing</t>
  </si>
  <si>
    <t>Free float   </t>
  </si>
  <si>
    <t>Lag   </t>
  </si>
  <si>
    <t>Free float is the amount of time you can delay an activity without delaying the next activity</t>
  </si>
  <si>
    <t>Lag is the amount of time you need to delay an activity before the next activity starts.</t>
  </si>
  <si>
    <t>The output for monitoring and controlling would be the accepted deliverables and the work performance reports.</t>
  </si>
  <si>
    <t>Plan procurement management   </t>
  </si>
  <si>
    <t>Manage procurement   </t>
  </si>
  <si>
    <t>Control procurement   </t>
  </si>
  <si>
    <t>Conduct procurement   </t>
  </si>
  <si>
    <t>Plan procurement management is done to select what needs to be procured and how to conduct the procurement</t>
  </si>
  <si>
    <t>Manage procurement is not a PMBOK process.</t>
  </si>
  <si>
    <t>Performing   </t>
  </si>
  <si>
    <t>Norming   </t>
  </si>
  <si>
    <t>Forming   </t>
  </si>
  <si>
    <t>Storming   </t>
  </si>
  <si>
    <t>The team is currently in the forming stage and will move next to the storming stage. The stages are forming, storming, norming, performing and adjourning.</t>
  </si>
  <si>
    <t>Metaphors</t>
  </si>
  <si>
    <t>Iteration review meeting</t>
  </si>
  <si>
    <t>Retrospectives</t>
  </si>
  <si>
    <t>Daily standup meetings</t>
  </si>
  <si>
    <t>A metaphor is using XP to explain designs and create a shared vision between customers and the development team.</t>
  </si>
  <si>
    <t>Statistical independence   </t>
  </si>
  <si>
    <t>Mutually exclusive   </t>
  </si>
  <si>
    <t>Statistical sampling   </t>
  </si>
  <si>
    <t>Attribute sampling   </t>
  </si>
  <si>
    <t>Statistical independence means that an outcome of two events cannot affect each other</t>
  </si>
  <si>
    <t>mutually exclusive is a term that is used when two events cannot happen at the same time.</t>
  </si>
  <si>
    <t>Release feedback   </t>
  </si>
  <si>
    <t>Retrospective   </t>
  </si>
  <si>
    <t>Sprint review   </t>
  </si>
  <si>
    <t>Sprint planning meeting   </t>
  </si>
  <si>
    <t>During a sprint review, the customers review the partially finished product and give the team their feedback</t>
  </si>
  <si>
    <t>Feedback release is a made-up term.</t>
  </si>
  <si>
    <t>High-grade is more important than high-quality</t>
  </si>
  <si>
    <t>Quality is about more inspection than prevention</t>
  </si>
  <si>
    <t>Quality is about prevention</t>
  </si>
  <si>
    <t>Cost of quality only includes the inspection cost</t>
  </si>
  <si>
    <t>Iteration planning</t>
  </si>
  <si>
    <t>Iteration backlog</t>
  </si>
  <si>
    <t>Iteration review</t>
  </si>
  <si>
    <t>A retrospective is done after each iteration so the team can reflect and plan improvements for the next iteration.</t>
  </si>
  <si>
    <t>Get acceptance from the project sponsor   </t>
  </si>
  <si>
    <t>Close the project   </t>
  </si>
  <si>
    <t>Ask the team to review the deliverable   </t>
  </si>
  <si>
    <t>Check the deliverable for quality requirements   </t>
  </si>
  <si>
    <t>Once a deliverable is complete in the process of direct and manage project work, the next process would be to control quality; the deliverable should be checked for quality requirements so it can be accepted by a customer or sponsor. The project should not be closed until the deliverable has been accepted. There is no need to have the project team review the deliverable since they have deemed it completed and handed it to the project manager.</t>
  </si>
  <si>
    <t>During the executing process group, the project manager will assess the team’s performance and try to improve it through the process of developing and managing the team.</t>
  </si>
  <si>
    <t>Resource calendar   </t>
  </si>
  <si>
    <t>Project team calendar   </t>
  </si>
  <si>
    <t>Availability calendar   </t>
  </si>
  <si>
    <t>Lessons learned register   </t>
  </si>
  <si>
    <t>The lessons learned register is used to keep track of all new knowledge gained during the project.</t>
  </si>
  <si>
    <t>Project team calendar and availability calendar are made-up terms.</t>
  </si>
  <si>
    <t>Screening system   </t>
  </si>
  <si>
    <t>Independent estimate   </t>
  </si>
  <si>
    <t>Weighing system   </t>
  </si>
  <si>
    <t>Inspection and audits   </t>
  </si>
  <si>
    <t>Screening and weighing systems are done to help select sellers.</t>
  </si>
  <si>
    <t>Control Chart   </t>
  </si>
  <si>
    <t>Process design chart   </t>
  </si>
  <si>
    <t>Flowchart   </t>
  </si>
  <si>
    <t>A control chart will show if a process is in “control” by illustrating the rule of 7.</t>
  </si>
  <si>
    <t>A process design chart is a made-up term.</t>
  </si>
  <si>
    <t>Outwards   </t>
  </si>
  <si>
    <t>Downwards   </t>
  </si>
  <si>
    <t>Upwards   </t>
  </si>
  <si>
    <t>Sideways   </t>
  </si>
  <si>
    <t>Downward influence is for those below you such as team members.</t>
  </si>
  <si>
    <t>Outwards influence is for those who are external, such as vendors.</t>
  </si>
  <si>
    <t>Knowledge management register   </t>
  </si>
  <si>
    <t>Opportunity register   </t>
  </si>
  <si>
    <t>Opportunity and knowledge management registers are made-up terms.</t>
  </si>
  <si>
    <t>Requirements traceability Matrix   </t>
  </si>
  <si>
    <t>Scope Baseline   </t>
  </si>
  <si>
    <t>Requirements documentation   </t>
  </si>
  <si>
    <t>Project scope statement   </t>
  </si>
  <si>
    <t>The requirements traceability matrix will trace the requirements back to their origins. The project scope statement, scope baseline, and requirements documentation will not include where requirements came from.</t>
  </si>
  <si>
    <t>Acceptance testing</t>
  </si>
  <si>
    <t>Pair programming</t>
  </si>
  <si>
    <t>Integration testing</t>
  </si>
  <si>
    <t>Unit testing</t>
  </si>
  <si>
    <t>Pair programming is defined as when one programmer writes the code and another inspects the code as it’s being written. This leads to the code being inspected in seconds.</t>
  </si>
  <si>
    <t>Update the functional managers   </t>
  </si>
  <si>
    <t>Get all deliverables accepted   </t>
  </si>
  <si>
    <t>Hold a kickoff meeting     </t>
  </si>
  <si>
    <t>Inform senior management   </t>
  </si>
  <si>
    <t>A project kickoff meeting is generally done after planning a large project to bring the team together and inform them of the project requirements</t>
  </si>
  <si>
    <t>There is no need to inform senior management, as they approved the plan</t>
  </si>
  <si>
    <t>Positive risks that could affect the project   </t>
  </si>
  <si>
    <t>The methodology used to manage risks   </t>
  </si>
  <si>
    <t>Roles and responsibilities for the project team concerning risks processes   </t>
  </si>
  <si>
    <t>A way to categorize the risks   </t>
  </si>
  <si>
    <t>The risk management plan includes the risk breakdown structure that categorizes risks, roles, and responsibilities for the team members and the methodology they would use to perform the risk processes on the project.</t>
  </si>
  <si>
    <t>Create the WBS   </t>
  </si>
  <si>
    <t>Implement the project cost reduction program   </t>
  </si>
  <si>
    <t>Meet with the stakeholders to gather their requirements   </t>
  </si>
  <si>
    <t>Meet with the team to determine where money can be saved on the project   </t>
  </si>
  <si>
    <t>You cannot meet with the team to reduce cost if you don’t know the requirements.</t>
  </si>
  <si>
    <t>There is no such thing as a cost reduction program in PMBOK.</t>
  </si>
  <si>
    <t>Approve the changes himself</t>
  </si>
  <si>
    <t>Establish a change control board for the project</t>
  </si>
  <si>
    <t>Ask the project sponsor to approve or deny the changes</t>
  </si>
  <si>
    <t>Approve the changes himself with the help of the project team</t>
  </si>
  <si>
    <t>On a very small project, the project manager may ask the sponsor to approve or deny changes. The project manager’s main job is to document and assess changes to the project.</t>
  </si>
  <si>
    <t>Tell the contractor they should not have done additional work   </t>
  </si>
  <si>
    <t>Inform the sponsor   </t>
  </si>
  <si>
    <t>Contact claims administration   </t>
  </si>
  <si>
    <t>When there is a dispute between a buyer and a seller for additional funds, the dispute should be resolved by going to the claims administration, who can then facilitate the dispute. The other choices will not resolve the dispute between the buyer and the seller.</t>
  </si>
  <si>
    <t>Histogram   </t>
  </si>
  <si>
    <t>Continuous improvement   </t>
  </si>
  <si>
    <t>Ishikawa Diagram</t>
  </si>
  <si>
    <t>Continuous improvement is a theory that is used to continuously improve a product over its life cycle.</t>
  </si>
  <si>
    <t>The project scope statement, scope baseline, and requirements documentation will not include where requirements came from.</t>
  </si>
  <si>
    <t>Update the change log   </t>
  </si>
  <si>
    <t>Update the project management plan   </t>
  </si>
  <si>
    <t>Update the lessons learned register   </t>
  </si>
  <si>
    <t>Conduct perform integrated control   </t>
  </si>
  <si>
    <t>Once a change is approved or denied, the project manager should update the change log to list the status of the change. If a change is approved, the project management should be updated.</t>
  </si>
  <si>
    <t>Gantt chart   </t>
  </si>
  <si>
    <t>Network diagram   </t>
  </si>
  <si>
    <t>Milestone chart   </t>
  </si>
  <si>
    <t>WBS   </t>
  </si>
  <si>
    <t>All other choices would give you a detailed view of the project schedule and work.</t>
  </si>
  <si>
    <t>Schedule variance   </t>
  </si>
  <si>
    <t>Critical path method   </t>
  </si>
  <si>
    <t>The critical path method is about creating a network diagram and finding the critical path.</t>
  </si>
  <si>
    <t>Scope statement   </t>
  </si>
  <si>
    <t>Bidder Conference   </t>
  </si>
  <si>
    <t>The scope statement, requirements traceability matrix, and requirements documentation are generally written before vendors are invited to learn about the project.</t>
  </si>
  <si>
    <t>Inform the customers the change cannot be done   </t>
  </si>
  <si>
    <t>Add the security system to the datacenter   </t>
  </si>
  <si>
    <t>Inform the change control board   </t>
  </si>
  <si>
    <t>Assess how this change impacts the project management plan   </t>
  </si>
  <si>
    <t>The best thing to do in this scenario would be to inform the customer that the change cannot be added due to the fact that it was already rejected by the change control board</t>
  </si>
  <si>
    <t>there is no need to inform the change control board again since its members have already denied it.</t>
  </si>
  <si>
    <t>You should not add changes to a project management plan without it being first approved</t>
  </si>
  <si>
    <t>Collect requirements   </t>
  </si>
  <si>
    <t>Define Scope   </t>
  </si>
  <si>
    <t>Close project or phase   </t>
  </si>
  <si>
    <t>The cost of quality includes all prevention and inspection costs.</t>
  </si>
  <si>
    <t>Create a request for proposal   </t>
  </si>
  <si>
    <t>Rewrite the scope statement   </t>
  </si>
  <si>
    <t>Create a request for quotation   </t>
  </si>
  <si>
    <t>Conduct a bidder conference   </t>
  </si>
  <si>
    <t>A request for proposal is used when there’s a problem on the project, and the solution is not easy to determine. This is generally a formal request made by project vendors to understand how they would rewrite the scope statement</t>
  </si>
  <si>
    <t>Conducting a bidder conference will not come up with solutions to the problem with the project</t>
  </si>
  <si>
    <t>A request for quotation is made to understand how a vendor develops satisfied requirements and how much it will cost.</t>
  </si>
  <si>
    <t>Fill out a change request form</t>
  </si>
  <si>
    <t>Changes are not allowed on agile projects</t>
  </si>
  <si>
    <t>Add it to the product backlog</t>
  </si>
  <si>
    <t>Ask the agile project manager for permission to add it to the product backlog</t>
  </si>
  <si>
    <t>When a customer would like to add a change to an agile project, they simply added to the product backlog. That new feature will then be prioritized based on its value in the product backlog.</t>
  </si>
  <si>
    <t>You cannot define activities or sequence activities until the WBS is complete, as you will need to know work packages to create the activities</t>
  </si>
  <si>
    <t>The create WBS process is generally done after the scope statement has been created, as it will decompose the deliverables in the scope statement</t>
  </si>
  <si>
    <t>Accepted deliverables   </t>
  </si>
  <si>
    <t>Verified deliverables   </t>
  </si>
  <si>
    <t>Project management plan   </t>
  </si>
  <si>
    <t>The project management plan, accepted deliverables, and requirements documentation are not outputs of the control quality process.</t>
  </si>
  <si>
    <t>Qualitative risk analysis   </t>
  </si>
  <si>
    <t>Quantitative risk analysis   </t>
  </si>
  <si>
    <t>Plan risk management   </t>
  </si>
  <si>
    <t>Plan risk management is done to create the risk management plan, which will document how to conduct all the risk management processes.</t>
  </si>
  <si>
    <t>Project Charter   </t>
  </si>
  <si>
    <t>The requirements documentation lists requirements provided by customers that they would like to be done.</t>
  </si>
  <si>
    <t>Work listed in the work breakdown structure will need to get done on the project</t>
  </si>
  <si>
    <t>Communications management   </t>
  </si>
  <si>
    <t>The process of identifying stakeholders is part of the initiating process group.</t>
  </si>
  <si>
    <t>Writing the final report after the lessons learned   </t>
  </si>
  <si>
    <t>Releasing the team and then doing lessons learned</t>
  </si>
  <si>
    <t>Nothing, these are the normal steps to closing a project     </t>
  </si>
  <si>
    <t>Not informing the PMO about releasing the team   </t>
  </si>
  <si>
    <t>Lessons learned should be done with the team and not just by the project manager. The steps in closing usually involve conducting the lesson learned, releasing the team, and then writing the final report.</t>
  </si>
  <si>
    <t>Requirements gathering</t>
  </si>
  <si>
    <t>Progressive management</t>
  </si>
  <si>
    <t>Shared vision</t>
  </si>
  <si>
    <t>Progressive elaboration occurs when more detailed information emerges over time.</t>
  </si>
  <si>
    <t>Stakeholder register   </t>
  </si>
  <si>
    <t>Project communications   </t>
  </si>
  <si>
    <t>The stakeholder register can be updated at any point during the project. It contains a list of all stakeholders and their contact information, communication requirements, and impact on the project. Once this is done, then the project manager can update the communication management plan to add the new stakeholder. This is a change, not an issue on a project, so there is no need to update the issue log</t>
  </si>
  <si>
    <t>Project communications are the actual communications taking place during the project.</t>
  </si>
  <si>
    <t>Develop project charter is used to get the project authorized</t>
  </si>
  <si>
    <t>Sequence Activity   </t>
  </si>
  <si>
    <t>After the team has created the activity list in the process of define activity, the next process should be sequencing the activities. This should be done before the team develops a schedule</t>
  </si>
  <si>
    <t>Creating WBS and defining scope will come before defining activities.</t>
  </si>
  <si>
    <t>Process analysis</t>
  </si>
  <si>
    <t>Process tailoring</t>
  </si>
  <si>
    <t>Non-agile processes</t>
  </si>
  <si>
    <t>Hybrid processes</t>
  </si>
  <si>
    <t>Process tailoring is done to amend the agile methodology to better fit the project environment.</t>
  </si>
  <si>
    <t>Statistical independence is a term used in probability that means one event cannot affect the other event</t>
  </si>
  <si>
    <t>Elaborate planning</t>
  </si>
  <si>
    <t>Agile project planning</t>
  </si>
  <si>
    <t>Progressive planning</t>
  </si>
  <si>
    <t>Rolling wave planning is when planning is done at multiple points in time as data becomes available.</t>
  </si>
  <si>
    <t>Top-down   </t>
  </si>
  <si>
    <t>Bottom-up   </t>
  </si>
  <si>
    <t>Analogous   </t>
  </si>
  <si>
    <t>Parametric   </t>
  </si>
  <si>
    <t>Bottom-up involves breaking down the work and then adding it back up.</t>
  </si>
  <si>
    <t>Update the issue log   </t>
  </si>
  <si>
    <t>Resubmit the change request for additional consideration   </t>
  </si>
  <si>
    <t>Perform additional analysis on the requested change   </t>
  </si>
  <si>
    <t>The Change Control Board has already denied the change, so there is no need to perform additional analyses or resubmit it.</t>
  </si>
  <si>
    <t>Sprint review</t>
  </si>
  <si>
    <t>Fast tracking is when you run activities in parallel. Adding leads to activities will overlap activities</t>
  </si>
  <si>
    <t>Once a change has been approved, it is time to execute the change, which is done in the executing process of direct and manage project work</t>
  </si>
  <si>
    <t>Requirements Documentation   </t>
  </si>
  <si>
    <t>Decomposition   </t>
  </si>
  <si>
    <t>Prototype   </t>
  </si>
  <si>
    <t>The requirements documentation would be the output of the process of collect requirements, not a tool.</t>
  </si>
  <si>
    <t>Replace the product owner</t>
  </si>
  <si>
    <t>Have the team prioritize the product backlog</t>
  </si>
  <si>
    <t>Continue to educate the product owner</t>
  </si>
  <si>
    <t>Prioritize the product backlog for the product owner</t>
  </si>
  <si>
    <t>One of the core task of being an agile project manager is to educate and promote the values of agile practices even when stakeholders are reluctant to follow those principles.</t>
  </si>
  <si>
    <t>Add the feature and hope the sponsor approves the budget   </t>
  </si>
  <si>
    <t>Add the feature as an exclusion to the scope statement   </t>
  </si>
  <si>
    <t>Tell the stakeholders to submit a change request   </t>
  </si>
  <si>
    <t>Tell the stakeholders the feature will be added after the project is done   </t>
  </si>
  <si>
    <t>A project scope statement not only contains the project’s deliverables but also the exclusions, which are features the project will not accomplish. Mark should not add the feature due to the company’s inability to install it.</t>
  </si>
  <si>
    <t>How large is the story</t>
  </si>
  <si>
    <t>Which story has the least risks</t>
  </si>
  <si>
    <t>Which story is most valuable to the customer</t>
  </si>
  <si>
    <t>How many points the team completed in the past iterations</t>
  </si>
  <si>
    <t>When determining how much story work can get done in an iteration, the team should look at its velocity, which is based on how many points they were able to get done in previous iterations.</t>
  </si>
  <si>
    <t>Update project management plan and change log are not processes.</t>
  </si>
  <si>
    <t>Float   </t>
  </si>
  <si>
    <t>Lead   </t>
  </si>
  <si>
    <t>Slack </t>
  </si>
  <si>
    <t>Slack and floats refer to the same thing: the amount of time you can delay an activity without delaying the project.</t>
  </si>
  <si>
    <t>Manage communication   </t>
  </si>
  <si>
    <t>Plan communication management   </t>
  </si>
  <si>
    <t>Control communication   </t>
  </si>
  <si>
    <t>Conduct communication   </t>
  </si>
  <si>
    <t>Control and conduct communication are made-up processes.</t>
  </si>
  <si>
    <t>Virtual teams   </t>
  </si>
  <si>
    <t>Individual and team assessments   </t>
  </si>
  <si>
    <t>Team performance assessments   </t>
  </si>
  <si>
    <t>The product scope describes the features and functionality of a product, whereas the project scope describes how to get the features and functionality from the product.   </t>
  </si>
  <si>
    <t>The project scope describes the features and functionality of the product, whereas the product scope describes how to get the features and functionality from the product.   </t>
  </si>
  <si>
    <t>There is no difference.   </t>
  </si>
  <si>
    <t>The project manager plans product scope, and the project team plans the project scope.   </t>
  </si>
  <si>
    <t>The product scope describes the features and functionality of the product, whereas the project scope describes how to get the features and functionality from that product.</t>
  </si>
  <si>
    <t>Since this is a large project that will affect a large population, it would be best to establish a change control board for the project to have the changes reviewed and approved. On a very small project, the project manager may ask the sponsor to approve or deny changes. The project manager’s main job is to document and assess changes to the project.</t>
  </si>
  <si>
    <t>Forcing   </t>
  </si>
  <si>
    <t>Compromising   </t>
  </si>
  <si>
    <t>Problem solving   </t>
  </si>
  <si>
    <t>Smoothing   </t>
  </si>
  <si>
    <t>Smoothing is when the problem is pushed aside</t>
  </si>
  <si>
    <t>forcing is when one side completely wins and the other side completely loses.</t>
  </si>
  <si>
    <t>Problem-solving is the best way, but that would require both sides to come up with a solution in which they both win.</t>
  </si>
  <si>
    <t>Inform the contractor that the project does not have the additional funds to cover the work   </t>
  </si>
  <si>
    <t>SMART goals</t>
  </si>
  <si>
    <t>Check-in analysis</t>
  </si>
  <si>
    <t>Fishbone analysis</t>
  </si>
  <si>
    <t>Short subjects</t>
  </si>
  <si>
    <t>A Fishbone analysis is done during the generate insight step in a retrospective to show the reasons for why something failed.</t>
  </si>
  <si>
    <t>Inform the product owner of the potential risk of each change</t>
  </si>
  <si>
    <t>Tell the team they should not have committed to doing these changes until they were ready to implement them</t>
  </si>
  <si>
    <t>Ask the team members to implement the change right away </t>
  </si>
  <si>
    <t>Ask the product owner when he would like the changes to be implemented</t>
  </si>
  <si>
    <t>One of the core principles of agile is to defer decisions. This means not making decisions about potential changes or features until the very last minute.</t>
  </si>
  <si>
    <t>Group project risks   </t>
  </si>
  <si>
    <t>Overall project risks   </t>
  </si>
  <si>
    <t>High-level risks   </t>
  </si>
  <si>
    <t>High-probability risks   </t>
  </si>
  <si>
    <t>Risk generally falls into two levels on a project: individual project risks and overall project risks. All other terms are not different types of risks.</t>
  </si>
  <si>
    <t>Theory Z   </t>
  </si>
  <si>
    <t>Theory X   </t>
  </si>
  <si>
    <t>Maslow’s hierarchy of needs   </t>
  </si>
  <si>
    <t>Theory Y   </t>
  </si>
  <si>
    <t>Maslow’s hierarchy of needs specifies what a company must have in order for employees to stay motivated.</t>
  </si>
  <si>
    <t>Prioritization techniques are not needed on agile projects</t>
  </si>
  <si>
    <t>Make sure to include cost in the use of any prioritization technique</t>
  </si>
  <si>
    <t>Make sure to include timing in the use of any prioritization technique</t>
  </si>
  <si>
    <t>Don’t worry too much about the specifics it’s more important to get the relative prioritization correct</t>
  </si>
  <si>
    <t>When using any prioritization technique, it is important the customer understands not to worry too much about the specifics of the technique but rather to prioritize the features based on relative value.</t>
  </si>
  <si>
    <t>Cost plus contractor fee   </t>
  </si>
  <si>
    <t>Time and materials   </t>
  </si>
  <si>
    <t>Cost plus fixed fee</t>
  </si>
  <si>
    <t>Cost plus project fee   </t>
  </si>
  <si>
    <t>Work performance information   </t>
  </si>
  <si>
    <t>Work performance data   </t>
  </si>
  <si>
    <t>Work performance reports   </t>
  </si>
  <si>
    <t>Fishbone diagram   </t>
  </si>
  <si>
    <t>Scatter diagram   </t>
  </si>
  <si>
    <t>A fishbone diagram is used to help identify potential causes of defects</t>
  </si>
  <si>
    <t>histogram, such as a Pareto chart, is a bar chart that shows the frequency of things.</t>
  </si>
  <si>
    <t>Cost reimbursable   </t>
  </si>
  <si>
    <t>Time and material   </t>
  </si>
  <si>
    <t>Cost plus fixed fee   </t>
  </si>
  <si>
    <t>Fixed price </t>
  </si>
  <si>
    <t>A cost plus fixed fee contract is a type of cost reimbursable contract.</t>
  </si>
  <si>
    <t>Work performance reports are an input to the process of performing integrated change control, as it will show the overall status of the project. The other choices are not inputs to this process.</t>
  </si>
  <si>
    <t>Fixed price   </t>
  </si>
  <si>
    <t>Theory X is a management theory in which the manager does not trust his or her workers and will micromanage them. This theory generally leads to the team being unhappy.</t>
  </si>
  <si>
    <t>A flowchart is a tool that is used to help visually display a process. It can show decision points, loops, or paths.</t>
  </si>
  <si>
    <t>Answer</t>
  </si>
  <si>
    <t>PMBOK</t>
  </si>
  <si>
    <t>Rita</t>
  </si>
  <si>
    <t>Terms 2</t>
  </si>
  <si>
    <t>ITTO</t>
  </si>
  <si>
    <t/>
  </si>
  <si>
    <t>An affinity diagram is used to group large numbers of ideas to be analyzed.</t>
  </si>
  <si>
    <t>Top-down and analogous are the same and are high-level estimates based on historical data.</t>
  </si>
  <si>
    <t>An attribute sample is a measurement that is usually pass/fail or good/bad.</t>
  </si>
  <si>
    <t>A bidder conference is held by inviting all the potential sellers and reviewing the requirements for the project with them. This will ensure that no vendor receives more or less information than the others.</t>
  </si>
  <si>
    <t>Bubble charts are tools in the perform quantitative risk analysis process and can show the probability, impact, and ranking of risk.</t>
  </si>
  <si>
    <t>The output for closing would be the final product service or result transition and the final report.</t>
  </si>
  <si>
    <t>Communication models are used when looking at the communication processes.</t>
  </si>
  <si>
    <t>Communication technology factors include sensitivity and confidentiality of the information on the project, which will require the project manager to assess the security needs of the project information.</t>
  </si>
  <si>
    <t>Compromise is when the two sides reach an agreement but both sides have to give up something.</t>
  </si>
  <si>
    <t>Compromising is when both sides in a conflict give up something to come up with a solution.</t>
  </si>
  <si>
    <t>Conduct procurement is done to select a seller and award a contract.</t>
  </si>
  <si>
    <t>Control procurement is when the agreement has already been signed, the contractor is completing the work, and the contractor should be paid according to the terms in the contract.</t>
  </si>
  <si>
    <t>Control quality is done to check the deliverables to ensure they meet the quality requirements.</t>
  </si>
  <si>
    <t>Control quality is generally done before the process of validate scope, where the deliverables will be inspected by the customers for a formal acceptance.</t>
  </si>
  <si>
    <t>Control resources is a process which ensures that physical resources are being utilized correctly.</t>
  </si>
  <si>
    <t>Control scope is a process where you compare the work that has been completed to the project management plan to see if they line up. If there is a variance, the project manager should initiate actions to fix the variance.</t>
  </si>
  <si>
    <t>A cost-plus-fixed-fee contract is where the buyer pays all the work expenses and then pays a fixed price for the work.</t>
  </si>
  <si>
    <t>cost reimbursable and time and material will have more risks for the buyers than the sellers.</t>
  </si>
  <si>
    <t>Crashing adds resources to the project and will generally increase the cost. Since the team will be working overtime, this will result in additional costs to the project.</t>
  </si>
  <si>
    <t>Crashing is a scheduled compression method where you add more resources to complete the project sooner.</t>
  </si>
  <si>
    <t>Once the project charter is created, the next step would be to collect the requirements and then create the scope statement and the WBS.</t>
  </si>
  <si>
    <t>Decomposition is a tool used to break work down into more detailed activities.</t>
  </si>
  <si>
    <t>The determine budget process is where the tool of financing is used to seek funding for the project.</t>
  </si>
  <si>
    <t>Develop project charter is used to get the project authorized.</t>
  </si>
  <si>
    <t>Manage team and develop team are used to manage the project team and not the physical resources.</t>
  </si>
  <si>
    <t>Once a change has been approved, it is time to execute the change, which is done in the executing process of direct and manage project work.</t>
  </si>
  <si>
    <t>Once a change has been approved, it is then moved to the direct and manage project work process for implementation.</t>
  </si>
  <si>
    <t>Since this is a large project that will affect a large population, it would be best to establish a change control board for the project to have the changes reviewed and approved.</t>
  </si>
  <si>
    <t>The process of estimate activity resources will output the resource breakdown structure, which is a hierarchal breakdown of resources by their categories and types.</t>
  </si>
  <si>
    <t>The outputs of all the executed processes combined, including directly executing the process and managing project work, are the project deliverables.</t>
  </si>
  <si>
    <t>Fast tracking is when you run activities in parallel.</t>
  </si>
  <si>
    <t>Fast tracking and resource leveling generally do not increase costs.</t>
  </si>
  <si>
    <t>Fast tracking is about running activities in parallel.</t>
  </si>
  <si>
    <t>Financing is a tool used in the process of determine budget. This is when a company looks at external sources to fund the project.</t>
  </si>
  <si>
    <t>A fixed price contract will have the lowest risk for the project, since the costs of the labor and material are known up front.</t>
  </si>
  <si>
    <t>A flowchart is used to visually follow the steps in a process or multiple processes.</t>
  </si>
  <si>
    <t>Free float is the amount of time you can delay an activity without delaying the next activity.</t>
  </si>
  <si>
    <t>It’s more important to have high quality than high grade.</t>
  </si>
  <si>
    <t>Low quality is never okay.</t>
  </si>
  <si>
    <t>A histogram is a bar chart that usually shows frequency of something.</t>
  </si>
  <si>
    <t>A histogram is a bar chart and a flowchart is used to represent a process graphically.</t>
  </si>
  <si>
    <t>An independent estimate is usually done by an outside entity to help give the project manager a more independent understanding of what certain project work will cost.</t>
  </si>
  <si>
    <t>Inspections and audits are done after the seller is selected to ensure the work stays on contract.</t>
  </si>
  <si>
    <t>Ishikawa diagrams, or cause-and-effect diagrams, are used to identify probable causes and sub-causes of a particular problem.</t>
  </si>
  <si>
    <t>An Ishikawa diagram, also known as a cause-and-effect diagram, is used to list the many different probabilities for a project’s defect.</t>
  </si>
  <si>
    <t>the issue log will have a list of issues that are currently taking place on a project.</t>
  </si>
  <si>
    <t>A lag is a delay between activities.</t>
  </si>
  <si>
    <t>A lead is an overlap between activities.</t>
  </si>
  <si>
    <t>Any time new knowledge is gained on a project, it should be added to the lessons learned register to be used throughout the project and on future projects.</t>
  </si>
  <si>
    <t>A low-grade, high-quality project is acceptable. The grade just represents the number of features a project had.</t>
  </si>
  <si>
    <t>Manage communication is done in the executing section of the project to update the stakeholders on the project’s progress.</t>
  </si>
  <si>
    <t>Manage quality is an executing process where you will improve processes by conducting audits and process analysis.</t>
  </si>
  <si>
    <t>A milestone chart is a high-level view of major accomplishments on a project. These are best used when presenting a quick view of data and the project schedule to management personnel.</t>
  </si>
  <si>
    <t>Parametric estimates are based on a data set such as cost per feet or time per task.</t>
  </si>
  <si>
    <t>Pareto charts are used for quality, not risk.</t>
  </si>
  <si>
    <t>Perform qualitative risk analysis is a process used to rank risks according to probability and/or impact.</t>
  </si>
  <si>
    <t>Perform quantitative analysis is done in order to assign values to the risk.</t>
  </si>
  <si>
    <t>Plan communication management is used to create the communication management plan that describes how communication will take place on the project.</t>
  </si>
  <si>
    <t>Plan cost management is used to create the cost management plan.</t>
  </si>
  <si>
    <t>Plan risk response describes the strategies that would be used if a risk were to materialize.</t>
  </si>
  <si>
    <t>During the planning process, the project management plan is created.</t>
  </si>
  <si>
    <t>The output for planning would be the project management plan.</t>
  </si>
  <si>
    <t>The risk register lists both positive and negative risks, not the risk management plan.</t>
  </si>
  <si>
    <t>The project charter has a high-level list of requirements.</t>
  </si>
  <si>
    <t>The project scope statement includes a list of all the project deliverables as well as any requirements that should be excluded from the scope.</t>
  </si>
  <si>
    <t>A prototype is a functional model of a product given to customers for their feedback.</t>
  </si>
  <si>
    <t>A qualitative risk process is done to rank the risk that has been identified in the identify risk process.</t>
  </si>
  <si>
    <t>More prevention will lead to less inspection. Quality management is about preventing defects from getting into the hands of the customers.</t>
  </si>
  <si>
    <t>Quantitative risk analysis is done to assign a value to the risk.</t>
  </si>
  <si>
    <t>The requirements traceability matrix will trace the requirements back to their origins.</t>
  </si>
  <si>
    <t>The resource calendar shows the availability of resources, both physical and team.</t>
  </si>
  <si>
    <t>Resource leveling is a technique used when resources are limited or over-allocated. Resource leveling ensures that no resource is assigned to more than one activity at a time, ensuring that no resource is overworked.</t>
  </si>
  <si>
    <t>The resource requirements describe all the resources needed to complete an activity.</t>
  </si>
  <si>
    <t>Resource smoothing may accomplish the same task, but it only works if there is slack available on the activities.</t>
  </si>
  <si>
    <t>A retrospective is conducted to capture the lessons learned from the sprint.</t>
  </si>
  <si>
    <t>The risk register is not graphical.</t>
  </si>
  <si>
    <t>This question describes a positive risk, which is known as an opportunity, and this is added to the risk register.</t>
  </si>
  <si>
    <t>The risk register is used to list all the risks that can affect the project and how the project team would respond to them.</t>
  </si>
  <si>
    <t>The risk register keeps track of the risk on the project.</t>
  </si>
  <si>
    <t>A scatter diagram is used to show a relation between two variables.</t>
  </si>
  <si>
    <t>Sideways influence is for those who are your peers such as other project managers.</t>
  </si>
  <si>
    <t>A sprint planning meeting is held to determine what requirements will be met in the next sprint.</t>
  </si>
  <si>
    <t>Statistical sampling is a measurement that is not just pass/fail; it also has a middle ground, such as good, very good, bad, or very bad.</t>
  </si>
  <si>
    <t>The process being completed in this question is develop team. The output is team performance assessments.</t>
  </si>
  <si>
    <t>Theory Y refers to when a manager believes people want to do the work and trusts them.</t>
  </si>
  <si>
    <t>Theory Z refers to when employees are committed to a business and will generally stay with that business for a long period of time.</t>
  </si>
  <si>
    <t>Statistical independence is a term used in probability that means one event cannot affect the other event.</t>
  </si>
  <si>
    <t>A time and materials contract is where the buyer pays all the work expenses and then pays the sellers for the time they spent doing the work, and this contract has the highest risk to the buyers.</t>
  </si>
  <si>
    <t>Once a change has been denied, the next step is to update the change log with the status of the change. That can include whether it was approved or denied. Because this change was denied, it is not considered an issue on the project.</t>
  </si>
  <si>
    <t>Upwards influence is for stakeholders above you such as senior management.</t>
  </si>
  <si>
    <t>Validate scope is done to get formal acceptance from the stakeholders.</t>
  </si>
  <si>
    <t>Validate scope is a process where stakeholders formally accept the project deliverables.</t>
  </si>
  <si>
    <t>The process of quality control is when the deliverables are inspected to see if they meet the quality requirements. The output of this process is verified deliverables.</t>
  </si>
  <si>
    <t>The conflict resolution technique Illustrated in this question is withdrawal, which is when they postpone the issue to a later date to be better prepared.</t>
  </si>
  <si>
    <t>Work performance reports are an input to the process of performing integrated change control, as it will show the overall status of the project.</t>
  </si>
  <si>
    <t>Related</t>
  </si>
  <si>
    <t>Lessons learned register</t>
  </si>
  <si>
    <t>Risk-adjusted backlog</t>
  </si>
  <si>
    <t>LOGS AND REGISTERS</t>
  </si>
  <si>
    <t>In</t>
  </si>
  <si>
    <t>Compromize</t>
  </si>
  <si>
    <t>Conflict Model</t>
  </si>
  <si>
    <t>4.2.7.1</t>
  </si>
  <si>
    <t>Confronting/problem solving</t>
  </si>
  <si>
    <t>Collaborating</t>
  </si>
  <si>
    <t>Smoothing/accommodating</t>
  </si>
  <si>
    <t>Forcing</t>
  </si>
  <si>
    <t>Withdrawal/avoiding</t>
  </si>
  <si>
    <t>🧭 PMBOK 7 Performance Domains vs PMBOK 6 Processes</t>
  </si>
  <si>
    <t>PMBOK 7 Domain</t>
  </si>
  <si>
    <t>Relevant PMBOK 6 Processes</t>
  </si>
  <si>
    <t>- Identify Stakeholders</t>
  </si>
  <si>
    <t>- Plan Stakeholder Engagement</t>
  </si>
  <si>
    <t>- Manage Stakeholder Engagement</t>
  </si>
  <si>
    <t>- Monitor Stakeholder Engagement</t>
  </si>
  <si>
    <t>- Plan Resource Management</t>
  </si>
  <si>
    <t>- Estimate Activity Resources</t>
  </si>
  <si>
    <t>- Acquire Resources</t>
  </si>
  <si>
    <t>- Develop Team</t>
  </si>
  <si>
    <t>- Manage Team</t>
  </si>
  <si>
    <t>Development Approach &amp; Life Cycle</t>
  </si>
  <si>
    <t>- Develop Project Charter</t>
  </si>
  <si>
    <t>- Develop Project Management Plan</t>
  </si>
  <si>
    <t>- Define Activities</t>
  </si>
  <si>
    <t>- Sequence Activities</t>
  </si>
  <si>
    <t>Planning</t>
  </si>
  <si>
    <t>- All planning processes across knowledge areas (Scope, Schedule, Cost, Quality, Risk, etc.)</t>
  </si>
  <si>
    <t>Project Work</t>
  </si>
  <si>
    <t>- Direct and Manage Project Work</t>
  </si>
  <si>
    <t>- Manage Project Knowledge</t>
  </si>
  <si>
    <t>Delivery</t>
  </si>
  <si>
    <t>- Validate Scope</t>
  </si>
  <si>
    <t>- Control Quality</t>
  </si>
  <si>
    <t>- Manage Quality</t>
  </si>
  <si>
    <t>Measurement</t>
  </si>
  <si>
    <t>- Monitor and Control Project Work</t>
  </si>
  <si>
    <t>- Perform Integrated Change Control</t>
  </si>
  <si>
    <t>- Control Scope</t>
  </si>
  <si>
    <t>- Control Schedule</t>
  </si>
  <si>
    <t>- Control Costs</t>
  </si>
  <si>
    <t>- Plan Risk Management</t>
  </si>
  <si>
    <t>- Identify Risks</t>
  </si>
  <si>
    <t>- Perform Qualitative Risk Analysis</t>
  </si>
  <si>
    <t>- Perform Quantitative Risk Analysis</t>
  </si>
  <si>
    <t>- Plan Risk Responses</t>
  </si>
  <si>
    <t>- Monitor Risks</t>
  </si>
  <si>
    <t>- Plan Communications Management</t>
  </si>
  <si>
    <t>- Manage Communications</t>
  </si>
  <si>
    <t>- Monitor Communications</t>
  </si>
  <si>
    <t>- Plan Procurement Management</t>
  </si>
  <si>
    <t>- Conduct Procurements</t>
  </si>
  <si>
    <t>- Control Procurements</t>
  </si>
  <si>
    <t>While PMs may have experience and want to maintain project momentum, the team that
will execute the work has the best understanding of what's actually required to complete it.</t>
  </si>
  <si>
    <t>New organizational changes, role changes, or people joining/leaving during a project require
immediate stakeholder analysis updates.</t>
  </si>
  <si>
    <t>When stakeholder engagement drops using one communication method, the solution isn't to
intensify that same method but to diversify communication channels.</t>
  </si>
  <si>
    <t>Emotional intelligence involves reading between the lines of what stakeholders say and
observing changes in behavior, tone, and engagement.</t>
  </si>
  <si>
    <t>Anyone whose work, processes, or outcomes are affected by the project should be
considered a stakeholder and managed accordingly.</t>
  </si>
  <si>
    <t>Customer requests, even those that seem disruptive or late in the project, should first be
evaluated for their business value and strategic importance.</t>
  </si>
  <si>
    <t>In agile methodology, changes are managed through backlog prioritization rather than
formal change control processes.</t>
  </si>
  <si>
    <t>Even when changes come from high-authority stakeholders (like sponsors) or seem obviously
necessary (like regulatory compliance), the formal change control process must be followed.</t>
  </si>
  <si>
    <t>What seems "easy" often has hidden complexities or downstream effects that only become
apparent through systematic analysis.</t>
  </si>
  <si>
    <t>Emergency situations create pressure to "do something quickly," but this is precisely when
planning becomes most critical.</t>
  </si>
  <si>
    <t>Even when PMs feel confident in their analysis, the project team's expertise and hands-on
experience often reveal critical insights that aren't apparent from high-level planning.</t>
  </si>
  <si>
    <t>Value-driven decision making requires considering both immediate and long-term impacts
on all stakeholders.</t>
  </si>
  <si>
    <t>Conflicts that appear to be about specific issues are often symptoms of deeper problems like
communication gaps, role confusion, competing priorities, or unmet needs.</t>
  </si>
  <si>
    <t>When issues are found, it is important to first add to the issue log.</t>
  </si>
  <si>
    <t>Demonstrating leadership doesn't mean making decisions independently when specialized
knowledge is required.</t>
  </si>
  <si>
    <t>Taking time to gather information, even when clients demand immediate responses, leads to
more effective and appropriate solutions than reactive decisions.</t>
  </si>
  <si>
    <t>Tangible outputs like prototypes, MVPs, or working components provide concrete evidence
that the project is progressing and that the final deliverable will meet expectations.</t>
  </si>
  <si>
    <t>Taking ownership of problem resolution demonstrates leadership and prevents unnecessary
escalation fatigue.</t>
  </si>
  <si>
    <t>When teams struggle, the servant leader's role is to create conditions for learning, growth,
and success rather than taking over or bringing in external solutions.</t>
  </si>
  <si>
    <t>Project managers must think beyond individual functional areas and focus on how all pieces
fit together.</t>
  </si>
  <si>
    <t>While PMs may have experience with similar projects, each team has unique technical
constraints, working styles, and efficiency patterns.</t>
  </si>
  <si>
    <t>Before implementing corrective measures, effective PMs seek to understand what drives
each team member and what might be affecting their motivation.</t>
  </si>
  <si>
    <t>Project managers have a responsibility to address ethical violations directly and consistently,
regardless of the potential impact on project schedules or team dynamics.</t>
  </si>
  <si>
    <t>Creating psychological safety for constructive conflict requires establishing explicit norms
and modeling appropriate behavior.</t>
  </si>
  <si>
    <t>The PM must be the barrier that prevents well-intentioned but disruptive requests from
impacting team performance.</t>
  </si>
  <si>
    <t>By implementing peer learning sessions, the project manager maximizes existing team
knowledge and accelerates skill development in a project-relevant context.</t>
  </si>
  <si>
    <t>By addressing performance concerns privately first, the project manager demonstrates
respectful leadership and creates the best opportunity for positive behavioral change.</t>
  </si>
  <si>
    <t>The product owner role in documenting and prioritizing features cannot be delegated to
other team members, even under time pressure.</t>
  </si>
  <si>
    <t>While distributed teams can work effectively with good tools and processes, certain
collaborative activities benefit significantly from physical co-location.</t>
  </si>
  <si>
    <t>Pilot projects allow organizations to learn how new methodologies work in their specific context, identify
implementation challenges, train change champions, and refine approaches before broader rollout.</t>
  </si>
  <si>
    <t>Customer feedback is not optional in agile - it's a core requirement for success!</t>
  </si>
  <si>
    <t>QUALITY &amp; DELIVERY</t>
  </si>
  <si>
    <t>Quality requirements are as important as functional requirements and must be defined early
because they influence fundamental design and architecture decisions.</t>
  </si>
  <si>
    <t>Customer validation is not just a formality - it's an essential quality gate that ensures
deliverables truly meet business needs and user expectations.</t>
  </si>
  <si>
    <t>Inclusive tools remove barriers to participation and enable all team members to contribute
effectively regardless of their technical proficiency.</t>
  </si>
  <si>
    <t>Bottom-up estimating requires more time and effort upfront but produces more accurate
results because it leverages the detailed knowledge of the people who will perform the work.</t>
  </si>
  <si>
    <t>RISK &amp; PROCUREMENT</t>
  </si>
  <si>
    <t>While stakeholders may see risk assessment as delaying benefits, thorough early risk
identification prevents much more costly delays and failures later.</t>
  </si>
  <si>
    <t>Documenting opportunities in the risk register with specific response strategies helps ensure
they're properly evaluated, planned for, and managed.</t>
  </si>
  <si>
    <t>When vendors face excessive risk or minimal profit margins, they may cut corners, become
adversarial, or perform poorly despite contractual obligations.</t>
  </si>
  <si>
    <t>PROJECT LIFECYCLE &amp; CLOSURE</t>
  </si>
  <si>
    <t>Lessons learned are most valuable when documented immediately and made available to
current and future work.</t>
  </si>
  <si>
    <t>The short-term pressure to reassign resources quickly is often outweighed by the long-term
problems created by incomplete closure activities.</t>
  </si>
  <si>
    <t>CONTINUOUS IMPROVEMENT</t>
  </si>
  <si>
    <t>Regular vision reinforcement helps team members understand how their daily work
contributes to larger goals and enables better decision-making.</t>
  </si>
  <si>
    <t>When stakeholders have different interpretations of project goals, the PM must facilitate
agreement on specific, measurable criteria that define success.</t>
  </si>
  <si>
    <t>Retrospectives are valuable even when teams are performing well because they enable
continuous improvement and help prevent small issues from becoming larger problems.</t>
  </si>
  <si>
    <t>When teams identify specific improvements from completed work, those insights should be
incorporated into ongoing work to prevent repeating the same mistakes.</t>
  </si>
  <si>
    <t>COST &amp; SCHEDULE MANAGEMENT</t>
  </si>
  <si>
    <t>When projects face both budget and schedule pressures simultaneously, budget issues should typically be
addressed first because cost overruns often have more severe organizational impact than schedule delays.</t>
  </si>
  <si>
    <t>When multiple activities are delayed, the critical path determines which delays actually
impact project completion.</t>
  </si>
  <si>
    <t>EXAM STRATEGY &amp; DECISION GUIDELINES</t>
  </si>
  <si>
    <t>The correct answers usually involve tailored, situational approaches rather than rigid rules
that apply in all circumstances.</t>
  </si>
  <si>
    <t>When problems or risks are identified, even if they seem minor or temporary, effective
project managers take proactive action rather than hoping issues will resolve themselves.</t>
  </si>
  <si>
    <t>Sometimes all available options have drawbacks, and you must choose the least problematic
option rather than seeking a perfect solution that isn't available.</t>
  </si>
  <si>
    <t>Not every project situation has one obviously correct solution. In these cases, make your best
choice based on sound PM principles and don't second-guess yourself endlessly.</t>
  </si>
  <si>
    <t>STAKEHOLDER MANAGEMENT</t>
  </si>
  <si>
    <t>CHANGE MANAGEMENT</t>
  </si>
  <si>
    <t>DECISION MAKING &amp; PROBLEM SOLVING</t>
  </si>
  <si>
    <t>TEAM LEADERSHIP &amp; COLLABORATION</t>
  </si>
  <si>
    <t>Module</t>
  </si>
  <si>
    <t>Pmism's</t>
  </si>
  <si>
    <t>x5</t>
  </si>
  <si>
    <t>x2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</si>
</sst>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font>
      <sz val="11"/>
      <color theme="1"/>
      <name val="Aptos Narrow"/>
      <family val="2"/>
      <scheme val="minor"/>
    </font>
    <font>
      <sz val="9"/>
      <color theme="1"/>
      <name val="Aptos Narrow"/>
      <family val="2"/>
      <scheme val="minor"/>
    </font>
    <font>
      <b/>
      <sz val="9"/>
      <color theme="1"/>
      <name val="Aptos Narrow"/>
      <family val="2"/>
      <scheme val="minor"/>
    </font>
    <font>
      <sz val="8"/>
      <color theme="1"/>
      <name val="Aptos Narrow"/>
      <family val="2"/>
      <scheme val="minor"/>
    </font>
    <font>
      <sz val="8"/>
      <color rgb="FF424242"/>
      <name val="Segoe UI"/>
      <family val="2"/>
    </font>
    <font>
      <sz val="10"/>
      <color rgb="FF424242"/>
      <name val="Segoe UI"/>
      <family val="2"/>
    </font>
    <font>
      <sz val="8"/>
      <color rgb="FF424242"/>
      <name val="Segoe UI"/>
      <family val="2"/>
    </font>
    <font>
      <sz val="9"/>
      <color rgb="FF424242"/>
      <name val="Segoe UI"/>
      <family val="2"/>
    </font>
    <font>
      <sz val="9"/>
      <color rgb="FF424242"/>
      <name val="Times New Roman"/>
      <family val="1"/>
    </font>
    <font>
      <i/>
      <sz val="9"/>
      <color rgb="FF424242"/>
      <name val="KaTeX_Math"/>
    </font>
    <font>
      <sz val="9"/>
      <color rgb="FF424242"/>
      <name val="Segoe UI"/>
      <family val="2"/>
    </font>
    <font>
      <i/>
      <sz val="9"/>
      <color rgb="FF424242"/>
      <name val="Segoe UI"/>
      <family val="2"/>
    </font>
    <font>
      <sz val="12"/>
      <color rgb="FF424242"/>
      <name val="Segoe UI"/>
      <family val="2"/>
    </font>
    <font>
      <sz val="11"/>
      <color theme="1"/>
      <name val="Segoe UI"/>
      <family val="2"/>
    </font>
    <font>
      <sz val="11"/>
      <color theme="1"/>
      <name val="Segoe UI"/>
      <family val="2"/>
    </font>
    <font>
      <sz val="8"/>
      <color rgb="FF424242"/>
      <name val="Segoe UI"/>
      <family val="2"/>
    </font>
    <font>
      <sz val="6"/>
      <color rgb="FF424242"/>
      <name val="Segoe UI"/>
      <family val="2"/>
    </font>
    <font>
      <b/>
      <sz val="8"/>
      <color theme="1"/>
      <name val="Aptos Narrow"/>
      <family val="2"/>
      <scheme val="minor"/>
    </font>
    <font>
      <sz val="8"/>
      <color rgb="FF00B050"/>
      <name val="Aptos Narrow"/>
      <family val="2"/>
      <scheme val="minor"/>
    </font>
    <font>
      <sz val="8"/>
      <color rgb="FFFF0000"/>
      <name val="Aptos Narrow"/>
      <family val="2"/>
      <scheme val="minor"/>
    </font>
    <font>
      <sz val="8"/>
      <color rgb="FF0070C0"/>
      <name val="Aptos Narrow"/>
      <family val="2"/>
      <scheme val="minor"/>
    </font>
    <font>
      <b/>
      <sz val="9"/>
      <color theme="1"/>
      <name val="Calibri"/>
      <family val="2"/>
    </font>
    <font>
      <sz val="9"/>
      <color theme="1"/>
      <name val="Calibri"/>
      <family val="2"/>
    </font>
    <font>
      <sz val="9"/>
      <color rgb="FF424242"/>
      <name val="Segoe UI"/>
      <family val="2"/>
    </font>
    <font>
      <sz val="9"/>
      <color theme="1"/>
      <name val="Segoe UI"/>
      <family val="2"/>
    </font>
    <font>
      <sz val="9"/>
      <color theme="1"/>
      <name val="Segoe UI"/>
      <family val="2"/>
    </font>
    <font>
      <sz val="10"/>
      <color theme="1"/>
      <name val="Aptos Narrow"/>
      <family val="2"/>
      <scheme val="minor"/>
    </font>
    <font>
      <b/>
      <sz val="10"/>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F5F5F5"/>
        <bgColor indexed="64"/>
      </patternFill>
    </fill>
    <fill>
      <patternFill patternType="solid">
        <fgColor theme="0" tint="-0.14999847407452621"/>
        <bgColor indexed="64"/>
      </patternFill>
    </fill>
    <fill>
      <patternFill patternType="solid">
        <fgColor theme="5"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rgb="FFE6E6E6"/>
      </left>
      <right style="medium">
        <color rgb="FFE6E6E6"/>
      </right>
      <top style="medium">
        <color rgb="FFE6E6E6"/>
      </top>
      <bottom style="medium">
        <color rgb="FFE6E6E6"/>
      </bottom>
      <diagonal/>
    </border>
    <border>
      <left/>
      <right style="medium">
        <color rgb="FFE6E6E6"/>
      </right>
      <top style="medium">
        <color rgb="FFE6E6E6"/>
      </top>
      <bottom style="medium">
        <color rgb="FFE6E6E6"/>
      </bottom>
      <diagonal/>
    </border>
    <border>
      <left style="medium">
        <color rgb="FFE6E6E6"/>
      </left>
      <right style="medium">
        <color rgb="FFE6E6E6"/>
      </right>
      <top/>
      <bottom style="medium">
        <color rgb="FFE6E6E6"/>
      </bottom>
      <diagonal/>
    </border>
    <border>
      <left/>
      <right style="medium">
        <color rgb="FFE6E6E6"/>
      </right>
      <top/>
      <bottom style="medium">
        <color rgb="FFE6E6E6"/>
      </bottom>
      <diagonal/>
    </border>
    <border>
      <left style="medium">
        <color rgb="FFE6E6E6"/>
      </left>
      <right style="medium">
        <color rgb="FFE6E6E6"/>
      </right>
      <top/>
      <bottom/>
      <diagonal/>
    </border>
    <border>
      <left/>
      <right style="medium">
        <color rgb="FFE6E6E6"/>
      </right>
      <top/>
      <bottom/>
      <diagonal/>
    </border>
    <border>
      <left style="medium">
        <color rgb="FFE6E6E6"/>
      </left>
      <right style="medium">
        <color rgb="FFE6E6E6"/>
      </right>
      <top style="medium">
        <color rgb="FFE6E6E6"/>
      </top>
      <bottom/>
      <diagonal/>
    </border>
  </borders>
  <cellStyleXfs count="1">
    <xf numFmtId="0" fontId="0" fillId="0" borderId="0"/>
  </cellStyleXfs>
  <cellXfs count="80">
    <xf numFmtId="0" fontId="0" fillId="0" borderId="0" xfId="0"/>
    <xf numFmtId="0" fontId="1" fillId="0" borderId="0" xfId="0" applyFont="1"/>
    <xf numFmtId="0" fontId="2" fillId="0" borderId="0" xfId="0" applyFont="1"/>
    <xf numFmtId="0" fontId="1" fillId="0" borderId="1" xfId="0" applyFont="1" applyBorder="1"/>
    <xf numFmtId="0" fontId="2" fillId="3" borderId="1" xfId="0" applyFont="1" applyFill="1" applyBorder="1"/>
    <xf numFmtId="0" fontId="2" fillId="3" borderId="1" xfId="0" applyFont="1" applyFill="1" applyBorder="1" applyAlignment="1">
      <alignment wrapText="1"/>
    </xf>
    <xf numFmtId="0" fontId="1" fillId="0" borderId="1" xfId="0" applyFont="1" applyBorder="1" applyAlignment="1">
      <alignment wrapText="1"/>
    </xf>
    <xf numFmtId="0" fontId="0" fillId="0" borderId="0" xfId="0" applyAlignment="1">
      <alignment horizontal="center"/>
    </xf>
    <xf numFmtId="0" fontId="0" fillId="0" borderId="0" xfId="0" applyAlignment="1">
      <alignment wrapText="1"/>
    </xf>
    <xf numFmtId="0" fontId="1"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3" fillId="0" borderId="0" xfId="0" applyFont="1" applyAlignment="1">
      <alignment wrapText="1"/>
    </xf>
    <xf numFmtId="0" fontId="5" fillId="0" borderId="0" xfId="0" applyFont="1" applyAlignment="1">
      <alignment vertical="center" wrapText="1"/>
    </xf>
    <xf numFmtId="0" fontId="4" fillId="0" borderId="0" xfId="0" applyFont="1" applyAlignment="1">
      <alignment horizontal="left" vertical="center" wrapText="1" indent="1"/>
    </xf>
    <xf numFmtId="0" fontId="7" fillId="0" borderId="0" xfId="0" applyFont="1" applyAlignment="1">
      <alignment vertical="center" wrapText="1"/>
    </xf>
    <xf numFmtId="0" fontId="7" fillId="0" borderId="0" xfId="0" applyFont="1" applyAlignment="1">
      <alignment horizontal="left" vertical="center" wrapText="1" indent="1"/>
    </xf>
    <xf numFmtId="0" fontId="8" fillId="0" borderId="0" xfId="0" applyFont="1" applyAlignment="1">
      <alignment horizontal="left" vertical="center" wrapText="1" indent="1"/>
    </xf>
    <xf numFmtId="0" fontId="10" fillId="0" borderId="0" xfId="0" applyFont="1" applyAlignment="1">
      <alignment horizontal="left" vertical="center" wrapText="1" indent="1"/>
    </xf>
    <xf numFmtId="0" fontId="10" fillId="0" borderId="0" xfId="0" applyFont="1" applyAlignment="1">
      <alignment horizontal="left" vertical="center" wrapText="1" indent="2"/>
    </xf>
    <xf numFmtId="0" fontId="12" fillId="0" borderId="0" xfId="0" applyFont="1" applyAlignment="1">
      <alignment vertical="center" wrapText="1"/>
    </xf>
    <xf numFmtId="0" fontId="6" fillId="0" borderId="0" xfId="0" applyFont="1" applyAlignment="1">
      <alignment vertical="center" wrapText="1"/>
    </xf>
    <xf numFmtId="0" fontId="4" fillId="4" borderId="0" xfId="0" applyFont="1" applyFill="1" applyAlignment="1">
      <alignment horizontal="left" vertical="center" wrapText="1" indent="1"/>
    </xf>
    <xf numFmtId="0" fontId="13" fillId="5" borderId="2" xfId="0" applyFont="1" applyFill="1" applyBorder="1" applyAlignment="1">
      <alignment horizontal="left" vertical="top" wrapText="1" indent="1"/>
    </xf>
    <xf numFmtId="0" fontId="13" fillId="5" borderId="3" xfId="0" applyFont="1" applyFill="1" applyBorder="1" applyAlignment="1">
      <alignment horizontal="left" vertical="top" wrapText="1" indent="1"/>
    </xf>
    <xf numFmtId="0" fontId="14" fillId="0" borderId="4" xfId="0" applyFont="1" applyBorder="1" applyAlignment="1">
      <alignment horizontal="left" vertical="top" wrapText="1" indent="1"/>
    </xf>
    <xf numFmtId="0" fontId="14" fillId="0" borderId="5" xfId="0" applyFont="1" applyBorder="1" applyAlignment="1">
      <alignment horizontal="left" vertical="top" wrapText="1" indent="1"/>
    </xf>
    <xf numFmtId="0" fontId="2" fillId="3" borderId="1" xfId="0" applyFont="1" applyFill="1" applyBorder="1" applyAlignment="1">
      <alignmen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15" fillId="0" borderId="0" xfId="0" applyFont="1" applyAlignment="1">
      <alignment horizontal="left" vertical="center" wrapText="1" indent="1"/>
    </xf>
    <xf numFmtId="0" fontId="16" fillId="0" borderId="0" xfId="0" applyFont="1" applyAlignment="1">
      <alignment horizontal="left" vertical="center" wrapText="1" indent="1"/>
    </xf>
    <xf numFmtId="0" fontId="3" fillId="2" borderId="0" xfId="0" applyFont="1" applyFill="1" applyAlignment="1">
      <alignment wrapText="1"/>
    </xf>
    <xf numFmtId="49" fontId="1" fillId="0" borderId="0" xfId="0" applyNumberFormat="1" applyFont="1"/>
    <xf numFmtId="49" fontId="2" fillId="0" borderId="0" xfId="0" applyNumberFormat="1" applyFont="1"/>
    <xf numFmtId="0" fontId="1" fillId="0" borderId="0" xfId="0" applyFont="1" applyAlignment="1">
      <alignment wrapText="1"/>
    </xf>
    <xf numFmtId="49" fontId="2" fillId="3" borderId="0" xfId="0" applyNumberFormat="1" applyFont="1" applyFill="1"/>
    <xf numFmtId="0" fontId="17" fillId="0" borderId="0" xfId="0" applyFont="1" applyAlignment="1">
      <alignment horizontal="center" vertical="center"/>
    </xf>
    <xf numFmtId="164" fontId="0" fillId="0" borderId="0" xfId="0" applyNumberFormat="1" applyAlignment="1">
      <alignment wrapText="1"/>
    </xf>
    <xf numFmtId="0" fontId="1" fillId="2" borderId="1" xfId="0" applyFont="1" applyFill="1" applyBorder="1" applyAlignment="1">
      <alignment horizontal="left" vertical="center" wrapText="1"/>
    </xf>
    <xf numFmtId="0" fontId="3" fillId="0" borderId="0" xfId="0" applyFont="1" applyAlignment="1">
      <alignment vertical="center" wrapText="1"/>
    </xf>
    <xf numFmtId="0" fontId="17" fillId="6" borderId="1" xfId="0" applyFont="1" applyFill="1" applyBorder="1" applyAlignment="1">
      <alignment vertical="center" wrapText="1"/>
    </xf>
    <xf numFmtId="0" fontId="3" fillId="0" borderId="1" xfId="0" applyFont="1" applyBorder="1" applyAlignment="1">
      <alignment vertical="center" wrapText="1"/>
    </xf>
    <xf numFmtId="0" fontId="3" fillId="0" borderId="1" xfId="0" quotePrefix="1" applyFont="1" applyBorder="1" applyAlignment="1">
      <alignment vertical="center" wrapText="1"/>
    </xf>
    <xf numFmtId="0" fontId="2" fillId="6" borderId="1" xfId="0" applyFont="1" applyFill="1" applyBorder="1"/>
    <xf numFmtId="0" fontId="2" fillId="0" borderId="1" xfId="0" applyFont="1" applyBorder="1"/>
    <xf numFmtId="0" fontId="21" fillId="0" borderId="0" xfId="0" applyFont="1"/>
    <xf numFmtId="0" fontId="21" fillId="0" borderId="0" xfId="0" applyFont="1" applyAlignment="1">
      <alignment vertical="center"/>
    </xf>
    <xf numFmtId="0" fontId="22" fillId="0" borderId="0" xfId="0" applyFont="1" applyAlignment="1">
      <alignment vertical="center"/>
    </xf>
    <xf numFmtId="0" fontId="22" fillId="0" borderId="0" xfId="0" applyFont="1"/>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pivotButton="1" applyFont="1" applyAlignment="1">
      <alignment wrapText="1"/>
    </xf>
    <xf numFmtId="0" fontId="1" fillId="2" borderId="0" xfId="0" applyFont="1" applyFill="1" applyAlignment="1">
      <alignment wrapText="1"/>
    </xf>
    <xf numFmtId="0" fontId="23" fillId="0" borderId="0" xfId="0" applyFont="1" applyAlignment="1">
      <alignment vertical="center" wrapText="1"/>
    </xf>
    <xf numFmtId="0" fontId="24" fillId="5" borderId="2" xfId="0" applyFont="1" applyFill="1" applyBorder="1" applyAlignment="1">
      <alignment horizontal="left" vertical="top" wrapText="1" indent="1"/>
    </xf>
    <xf numFmtId="0" fontId="24" fillId="5" borderId="3" xfId="0" applyFont="1" applyFill="1" applyBorder="1" applyAlignment="1">
      <alignment horizontal="left" vertical="top" wrapText="1" indent="1"/>
    </xf>
    <xf numFmtId="0" fontId="25" fillId="0" borderId="7" xfId="0" applyFont="1" applyBorder="1" applyAlignment="1">
      <alignment horizontal="left" vertical="top" wrapText="1" indent="1"/>
    </xf>
    <xf numFmtId="0" fontId="24" fillId="0" borderId="4" xfId="0" applyFont="1" applyBorder="1" applyAlignment="1">
      <alignment horizontal="left" vertical="top" wrapText="1" indent="1"/>
    </xf>
    <xf numFmtId="0" fontId="25" fillId="0" borderId="5" xfId="0" applyFont="1" applyBorder="1" applyAlignment="1">
      <alignment horizontal="left" vertical="top" wrapText="1" indent="1"/>
    </xf>
    <xf numFmtId="0" fontId="25" fillId="7" borderId="7" xfId="0" applyFont="1" applyFill="1" applyBorder="1" applyAlignment="1">
      <alignment horizontal="left" vertical="top" wrapText="1" indent="1"/>
    </xf>
    <xf numFmtId="0" fontId="25" fillId="7" borderId="5" xfId="0" applyFont="1" applyFill="1" applyBorder="1" applyAlignment="1">
      <alignment horizontal="left" vertical="top" wrapText="1" indent="1"/>
    </xf>
    <xf numFmtId="0" fontId="26" fillId="0" borderId="0" xfId="0" applyFont="1" applyAlignment="1">
      <alignment wrapText="1"/>
    </xf>
    <xf numFmtId="0" fontId="26" fillId="0" borderId="1" xfId="0" applyFont="1" applyBorder="1" applyAlignment="1">
      <alignment wrapText="1"/>
    </xf>
    <xf numFmtId="0" fontId="27" fillId="6" borderId="1" xfId="0" applyFont="1" applyFill="1" applyBorder="1" applyAlignment="1">
      <alignment wrapText="1"/>
    </xf>
    <xf numFmtId="0" fontId="0" fillId="0" borderId="0" xfId="0" pivotButton="1" applyAlignment="1">
      <alignment wrapText="1"/>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center"/>
    </xf>
    <xf numFmtId="0" fontId="0" fillId="6" borderId="0" xfId="0" applyFill="1" applyAlignment="1">
      <alignment wrapText="1"/>
    </xf>
    <xf numFmtId="0" fontId="0" fillId="0" borderId="0" xfId="0" applyAlignment="1">
      <alignment horizontal="center" vertical="center"/>
    </xf>
    <xf numFmtId="0" fontId="26" fillId="0" borderId="0" xfId="0" applyFont="1"/>
    <xf numFmtId="0" fontId="26" fillId="2" borderId="0" xfId="0" applyFont="1" applyFill="1"/>
    <xf numFmtId="0" fontId="0" fillId="2" borderId="0" xfId="0" applyFill="1"/>
    <xf numFmtId="0" fontId="24" fillId="7" borderId="8" xfId="0" applyFont="1" applyFill="1" applyBorder="1" applyAlignment="1">
      <alignment horizontal="left" vertical="top" wrapText="1" indent="1"/>
    </xf>
    <xf numFmtId="0" fontId="24" fillId="7" borderId="6" xfId="0" applyFont="1" applyFill="1" applyBorder="1" applyAlignment="1">
      <alignment horizontal="left" vertical="top" wrapText="1" indent="1"/>
    </xf>
    <xf numFmtId="0" fontId="24" fillId="7" borderId="4" xfId="0" applyFont="1" applyFill="1" applyBorder="1" applyAlignment="1">
      <alignment horizontal="left" vertical="top" wrapText="1" indent="1"/>
    </xf>
    <xf numFmtId="0" fontId="24" fillId="0" borderId="8" xfId="0" applyFont="1" applyBorder="1" applyAlignment="1">
      <alignment horizontal="left" vertical="top" wrapText="1" indent="1"/>
    </xf>
    <xf numFmtId="0" fontId="24" fillId="0" borderId="6" xfId="0" applyFont="1" applyBorder="1" applyAlignment="1">
      <alignment horizontal="left" vertical="top" wrapText="1" indent="1"/>
    </xf>
    <xf numFmtId="0" fontId="24" fillId="0" borderId="4" xfId="0" applyFont="1" applyBorder="1" applyAlignment="1">
      <alignment horizontal="left" vertical="top" wrapText="1" indent="1"/>
    </xf>
  </cellXfs>
  <cellStyles count="1">
    <cellStyle name="Normal" xfId="0" builtinId="0"/>
  </cellStyles>
  <dxfs count="1993">
    <dxf>
      <fill>
        <patternFill patternType="solid">
          <bgColor rgb="FFFFFF00"/>
        </patternFill>
      </fill>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i Bharaj" refreshedDate="45873.108278819447" createdVersion="8" refreshedVersion="8" minRefreshableVersion="3" recordCount="335" xr:uid="{2EEF9A96-2F09-4A5D-A0CD-8E4A15A8CA32}">
  <cacheSource type="worksheet">
    <worksheetSource ref="C1:E336" sheet="Terms"/>
  </cacheSource>
  <cacheFields count="3">
    <cacheField name="Scope" numFmtId="0">
      <sharedItems count="9">
        <s v="Project Management Fundamental Terms"/>
        <s v="Project Manager Role"/>
        <s v="Project Integration Management Terms"/>
        <s v="Project Scope Management Terms"/>
        <s v="Project Quality Management Terms"/>
        <s v="Project Resources Management Terms"/>
        <s v="Project Communications Management Terms"/>
        <s v="Project Risk Management Terms"/>
        <s v="Project Stakeholder Management Terms"/>
      </sharedItems>
    </cacheField>
    <cacheField name="Term" numFmtId="0">
      <sharedItems/>
    </cacheField>
    <cacheField name="Defination" numFmtId="0">
      <sharedItems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i Bharaj" refreshedDate="45890.06455127315" createdVersion="8" refreshedVersion="8" minRefreshableVersion="3" recordCount="386" xr:uid="{B247657D-2E13-497D-B674-2282A3151750}">
  <cacheSource type="worksheet">
    <worksheetSource ref="C2:D388" sheet="Tests"/>
  </cacheSource>
  <cacheFields count="2">
    <cacheField name="Term" numFmtId="0">
      <sharedItems count="308">
        <s v="A way to categorize the risks   "/>
        <s v="Acceptance testing"/>
        <s v="Accepted deliverables   "/>
        <s v="Access controls   "/>
        <s v="Accommodating   "/>
        <s v="Active listening"/>
        <s v="Add it to the product backlog"/>
        <s v="Add the feature and hope the sponsor approves the budget   "/>
        <s v="Add the feature as an exclusion to the scope statement   "/>
        <s v="Add the security system to the datacenter   "/>
        <s v="Adding leads to activities   "/>
        <s v="Affinity diagram"/>
        <s v="Agile project planning"/>
        <s v="Analogous estimates   "/>
        <s v="Analogous   "/>
        <s v="Approve the changes himself"/>
        <s v="Approve the changes himself with the help of the project team"/>
        <s v="Ask the agile project manager for permission to add it to the product backlog"/>
        <s v="Ask the product owner when he would like the changes to be implemented"/>
        <s v="Ask the project sponsor to approve or deny the changes"/>
        <s v="Ask the team members to implement the change right away "/>
        <s v="Ask the team to review the deliverable   "/>
        <s v="Assess how this change impacts the project management plan   "/>
        <s v="Assumption log   "/>
        <s v="Assumptions analysis   "/>
        <s v="Attribute sampling   "/>
        <s v="Availability calendar   "/>
        <s v="Best tracking"/>
        <s v="Bidder Conference   "/>
        <s v="Bottom-up estimation   "/>
        <s v="Bottom-up   "/>
        <s v="Bubble chart   "/>
        <s v="Burndown charts"/>
        <s v="Change request   "/>
        <s v="Changes are not allowed on agile projects"/>
        <s v="Check the deliverable for quality requirements   "/>
        <s v="Check-in analysis"/>
        <s v="Close project or phase   "/>
        <s v="Close the project   "/>
        <s v="Closing   "/>
        <s v="Collect requirements   "/>
        <s v="Communication models   "/>
        <s v="Communication technology   "/>
        <s v="Communications management "/>
        <s v="Communications management   "/>
        <s v="Compromise   "/>
        <s v="Compromising   "/>
        <s v="Conduct a bidder conference   "/>
        <s v="Conduct communication   "/>
        <s v="Conduct perform integrated control   "/>
        <s v="Conduct procurement   "/>
        <s v="Contact claims administration   "/>
        <s v="Continue to educate the product owner"/>
        <s v="Continuous improvement   "/>
        <s v="Control Chart   "/>
        <s v="Control communication   "/>
        <s v="Control procurement   "/>
        <s v="Control quality   "/>
        <s v="Control resources   "/>
        <s v="Control Scope   "/>
        <s v="Cost aggregation   "/>
        <s v="Cost of quality only includes the inspection cost"/>
        <s v="Cost plus contractor fee   "/>
        <s v="Cost plus fixed fee"/>
        <s v="Cost plus fixed fee   "/>
        <s v="Cost plus project fee   "/>
        <s v="Cost reimbursable   "/>
        <s v="Crashing   "/>
        <s v="Create a request for proposal   "/>
        <s v="Create a request for quotation   "/>
        <s v="Create scope baseline   "/>
        <s v="Create the WBS   "/>
        <s v="Create WBS   "/>
        <s v="Critical path method   "/>
        <s v="Daily standup meetings"/>
        <s v="Decomposition   "/>
        <s v="Define activities   "/>
        <s v="Define Scope   "/>
        <s v="Determine budget   "/>
        <s v="Determine project financing   "/>
        <s v="Develop project charter   "/>
        <s v="Develop project management plan   "/>
        <s v="Develop schedule   "/>
        <s v="Develop team   "/>
        <s v="Direct and manage project work"/>
        <s v="Direct and manage project work   "/>
        <s v="Don’t worry too much about the specifics it’s more important to get the relative prioritization correct"/>
        <s v="Downwards   "/>
        <s v="Elaborate planning"/>
        <s v="Emotional intelligence"/>
        <s v="Encryption   "/>
        <s v="Establish a change control board for the project"/>
        <s v="Estimate activity resources   "/>
        <s v="Executing   "/>
        <s v="Expert judgment   "/>
        <s v="Facilitation"/>
        <s v="Fast tracking   "/>
        <s v="Fill out a change request form"/>
        <s v="Financing   "/>
        <s v="Fishbone analysis"/>
        <s v="Fishbone diagram   "/>
        <s v="Fixed price "/>
        <s v="Fixed price   "/>
        <s v="Float   "/>
        <s v="Flowchart   "/>
        <s v="Forcing   "/>
        <s v="Forming   "/>
        <s v="Free float   "/>
        <s v="Funding limit reconciliation   "/>
        <s v="Gantt chart"/>
        <s v="Gantt chart   "/>
        <s v="Get acceptance from the project sponsor   "/>
        <s v="Get all deliverables accepted   "/>
        <s v="Group project risks   "/>
        <s v="Have the team prioritize the product backlog"/>
        <s v="High-grade is more important than high-quality"/>
        <s v="High-grade, low quality is okay"/>
        <s v="High-level risks   "/>
        <s v="High-probability risks   "/>
        <s v="Histogram"/>
        <s v="Histogram   "/>
        <s v="Histograms   "/>
        <s v="Hold a kickoff meeting     "/>
        <s v="How large is the story"/>
        <s v="How many points the team completed in the past iterations"/>
        <s v="Hybrid processes"/>
        <s v="Implement the project cost reduction program   "/>
        <s v="Independent estimate   "/>
        <s v="Individual and team assessments   "/>
        <s v="Inform senior management   "/>
        <s v="Inform the change control board   "/>
        <s v="Inform the contractor that the project does not have the additional funds to cover the work   "/>
        <s v="Inform the customers the change cannot be done   "/>
        <s v="Inform the product owner of the potential risk of each change"/>
        <s v="Inform the sponsor   "/>
        <s v="Initiating   "/>
        <s v="Inspection and audits   "/>
        <s v="Inspection leads to less prevention   "/>
        <s v="Inspections   "/>
        <s v="Integration testing"/>
        <s v="Ishikawa Diagram"/>
        <s v="Ishikawa diagram   "/>
        <s v="Issue log "/>
        <s v="Issue log   "/>
        <s v="Iteration backlog"/>
        <s v="Iteration planning"/>
        <s v="Iteration review"/>
        <s v="Iteration review meeting"/>
        <s v="Kanban development"/>
        <s v="Knowledge management register   "/>
        <s v="Lag   "/>
        <s v="Lead   "/>
        <s v="Lessons learned register   "/>
        <s v="Low-grade, high quality is okay"/>
        <s v="Low-grade, low quality is okay"/>
        <s v="Make sure to include cost in the use of any prioritization technique"/>
        <s v="Make sure to include timing in the use of any prioritization technique"/>
        <s v="Manage communication   "/>
        <s v="Manage procurement   "/>
        <s v="Manage quality   "/>
        <s v="Manage scope   "/>
        <s v="Manage team   "/>
        <s v="Maslow’s hierarchy of needs   "/>
        <s v="Meet with the stakeholders to gather their requirements   "/>
        <s v="Meet with the team to determine where money can be saved on the project   "/>
        <s v="Metaphors"/>
        <s v="Milestone chart   "/>
        <s v="Monitor and control project work   "/>
        <s v="Monitor resources   "/>
        <s v="Monitor scope   "/>
        <s v="Monitoring and controlling   "/>
        <s v="Mutually exclusive   "/>
        <s v="Negotiation"/>
        <s v="Network diagram   "/>
        <s v="Non-agile processes"/>
        <s v="Norming   "/>
        <s v="Not informing the PMO about releasing the team   "/>
        <s v="Nothing, these are the normal steps to closing a project     "/>
        <s v="Opportunity register   "/>
        <s v="Outwards   "/>
        <s v="Overall project risks   "/>
        <s v="Pair programming"/>
        <s v="Parametric estimates   "/>
        <s v="Parametric estimation   "/>
        <s v="Parametric   "/>
        <s v="Pareto chart   "/>
        <s v="Perform additional analysis on the requested change   "/>
        <s v="Perform integrated change control   "/>
        <s v="Perform qualitative risk analysis   "/>
        <s v="Perform quantitative risk analysis   "/>
        <s v="Performing   "/>
        <s v="Plan communication management   "/>
        <s v="Plan cost management   "/>
        <s v="Plan procurement management   "/>
        <s v="Plan risk management   "/>
        <s v="Plan risk response   "/>
        <s v="Planning   "/>
        <s v="Positive risks that could affect the project   "/>
        <s v="Postponing   "/>
        <s v="Prioritization techniques are not needed on agile projects"/>
        <s v="Prioritize the product backlog for the product owner"/>
        <s v="Problem solving   "/>
        <s v="Process analysis"/>
        <s v="Process design chart   "/>
        <s v="Process tailoring"/>
        <s v="Progressive elaboration"/>
        <s v="Progressive management"/>
        <s v="Progressive planning"/>
        <s v="Project Charter   "/>
        <s v="Project communications   "/>
        <s v="Project management plan   "/>
        <s v="Project schedule   "/>
        <s v="Project scope statement   "/>
        <s v="Project team calendar   "/>
        <s v="Prototype   "/>
        <s v="Qualitative risk analysis   "/>
        <s v="Quality is about more inspection than prevention"/>
        <s v="Quality is about prevention"/>
        <s v="Quantitative risk analysis   "/>
        <s v="Rank Risk   "/>
        <s v="Release feedback   "/>
        <s v="Releasing the team and then doing lessons learned"/>
        <s v="Replace the product owner"/>
        <s v="Requirements documentation   "/>
        <s v="Requirements gathering"/>
        <s v="Requirements traceability Matrix   "/>
        <s v="Resource breakdown structure   "/>
        <s v="Resource calendar   "/>
        <s v="Resource category matrix   "/>
        <s v="Resource leveling   "/>
        <s v="Resource register   "/>
        <s v="Resource requirements"/>
        <s v="Resource smoothing"/>
        <s v="Resubmit the change request for additional consideration   "/>
        <s v="Retrospective"/>
        <s v="Retrospective   "/>
        <s v="Retrospectives"/>
        <s v="Rewrite the scope statement   "/>
        <s v="Risk register   "/>
        <s v="Risk summary chart   "/>
        <s v="Roles and responsibilities for the project team concerning risks processes   "/>
        <s v="Rolling wave planning"/>
        <s v="Scatter diagram   "/>
        <s v="Schedule variance   "/>
        <s v="Scope Baseline   "/>
        <s v="Scope reduction   "/>
        <s v="Scope statement   "/>
        <s v="Screening system   "/>
        <s v="Sequence activities   "/>
        <s v="Sequence Activity   "/>
        <s v="Shared vision"/>
        <s v="Short subjects"/>
        <s v="Sideways   "/>
        <s v="Slack "/>
        <s v="SMART goals"/>
        <s v="Smoothing   "/>
        <s v="Sprint planning meeting   "/>
        <s v="Sprint review"/>
        <s v="Sprint review   "/>
        <s v="Stakeholder management   "/>
        <s v="Stakeholder register   "/>
        <s v="Statistical independence   "/>
        <s v="Statistical sampling   "/>
        <s v="Storming   "/>
        <s v="Team performance assessments   "/>
        <s v="Tell the contractor they should not have done additional work   "/>
        <s v="Tell the stakeholders the feature will be added after the project is done   "/>
        <s v="Tell the stakeholders to submit a change request   "/>
        <s v="Tell the team they should not have committed to doing these changes until they were ready to implement them"/>
        <s v="The methodology used to manage risks   "/>
        <s v="The product scope describes the features and functionality of a product, whereas the project scope describes how to get the features and functionality from the product.   "/>
        <s v="The project manager plans product scope, and the project team plans the project scope.   "/>
        <s v="The project scope describes the features and functionality of the product, whereas the product scope describes how to get the features and functionality from the product.   "/>
        <s v="Theory X   "/>
        <s v="Theory Y   "/>
        <s v="Theory Z   "/>
        <s v="There are statistically independent"/>
        <s v="There is no difference.   "/>
        <s v="They are mutually exclusive"/>
        <s v="They are not statistically independent"/>
        <s v="They are statistically insignificant"/>
        <s v="Time and material   "/>
        <s v="Time and materials   "/>
        <s v="Top-down   "/>
        <s v="Unit testing"/>
        <s v="Update change log   "/>
        <s v="Update project management plan   "/>
        <s v="Update the change log   "/>
        <s v="Update the functional managers   "/>
        <s v="Update the issue log   "/>
        <s v="Update the lessons learned register   "/>
        <s v="Update the project management plan   "/>
        <s v="Upwards   "/>
        <s v="Validate scope   "/>
        <s v="Verified deliverables   "/>
        <s v="Verify scope   "/>
        <s v="Virtual teams   "/>
        <s v="WBS   "/>
        <s v="Weighing system   "/>
        <s v="Which story has the least risks"/>
        <s v="Which story is most valuable to the customer"/>
        <s v="Whiteboard"/>
        <s v="Withdrawal   "/>
        <s v="Work breakdown structure   "/>
        <s v="Work performance data   "/>
        <s v="Work performance information   "/>
        <s v="Work performance reports   "/>
        <s v="Writing the final report after the lessons learned   "/>
      </sharedItems>
    </cacheField>
    <cacheField name="Answer" numFmtId="0">
      <sharedItems containsBlank="1" count="332" longText="1">
        <s v=""/>
        <s v="When a customer would like to add a change to an agile project, they simply added to the product backlog. That new feature will then be prioritized based on its value in the product backlog."/>
        <s v="A project scope statement not only contains the project’s deliverables but also the exclusions, which are features the project will not accomplish. Mark should not add the feature due to the company’s inability to install it."/>
        <s v="You should not add changes to a project management plan without it being first approved"/>
        <s v="An affinity diagram is used to group large numbers of ideas to be analyzed."/>
        <s v="Analogous estimates are based on historical information to estimate the cost of each activity."/>
        <s v="Top-down and analogous are the same and are high-level estimates based on historical data."/>
        <s v="On a very small project, the project manager may ask the sponsor to approve or deny changes. The project manager’s main job is to document and assess changes to the project."/>
        <s v="The assumption log will only document assumptions that are made on a project"/>
        <s v="Assumptions analysis involves analyzing assumptions"/>
        <s v="An attribute sample is a measurement that is usually pass/fail or good/bad."/>
        <s v="Project team calendar and availability calendar are made-up terms."/>
        <s v="Best tracking is a made-up term."/>
        <s v="A bidder conference is held by inviting all the potential sellers and reviewing the requirements for the project with them. This will ensure that no vendor receives more or less information than the others."/>
        <s v="The tools of bottom-up estimation and parametric estimation are not used to determine a budget"/>
        <s v="Bottom-up involves breaking down the work and then adding it back up."/>
        <s v="Bubble charts are tools in the perform quantitative risk analysis process and can show the probability, impact, and ranking of risk."/>
        <s v="A change request is only issued when parts of the project management plan or document must be updated."/>
        <s v="Once a deliverable is complete in the process of direct and manage project work, the next process would be to control quality; the deliverable should be checked for quality requirements so it can be accepted by a customer or sponsor. The project should not be closed until the deliverable has been accepted. There is no need to have the project team review the deliverable since they have deemed it completed and handed it to the project manager."/>
        <s v="During the closing process, the project or phase is brought to formal closure"/>
        <s v="The output for closing would be the final product service or result transition and the final report."/>
        <s v="Communication models are used when looking at the communication processes."/>
        <s v="Communication technology factors include sensitivity and confidentiality of the information on the project, which will require the project manager to assess the security needs of the project information"/>
        <s v="Communication technology factors include sensitivity and confidentiality of the information on the project, which will require the project manager to assess the security needs of the project information."/>
        <s v="Compromise is when the two sides reach an agreement but both sides have to give up something"/>
        <s v="Compromise is when the two sides reach an agreement but both sides have to give up something."/>
        <s v="Compromising is when both sides in a conflict give up something to come up with a solution."/>
        <s v="Conducting a bidder conference will not come up with solutions to the problem with the project"/>
        <s v="Control and conduct communication are made-up processes."/>
        <s v="Conduct procurement is done to select a seller and award a contract."/>
        <s v="When there is a dispute between a buyer and a seller for additional funds, the dispute should be resolved by going to the claims administration, who can then facilitate the dispute. The other choices will not resolve the dispute between the buyer and the seller."/>
        <s v="One of the core task of being an agile project manager is to educate and promote the values of agile practices even when stakeholders are reluctant to follow those principles."/>
        <s v="Continuous improvement is a theory that is used to continuously improve a product over its life cycle."/>
        <s v="A control chart will show if a process is in “control” by illustrating the rule of 7."/>
        <s v="Control procurement is when the agreement has already been signed, the contractor is completing the work, and the contractor should be paid according to the terms in the contract."/>
        <s v="Control quality is done to check the deliverables to ensure they meet the quality requirements."/>
        <s v="monitoring and controlling processes that will be used to measure the work against the project management plan."/>
        <s v="Control quality is generally done before the process of validate scope, where the deliverables will be inspected by the customers for a formal acceptance."/>
        <s v="Control resources is a process which ensures that physical resources are being utilized correctly."/>
        <s v="Control scope is a process where you compare the work that has been completed to the project management plan to see if they line up. If there is a variance, the project manager should initiate actions to fix the variance."/>
        <s v="If the activities have been assigned costs, then the process of estimate costs has been completed. The next process would be to determine budget and use the cost aggregation tool to integrate all the activities into the overall budget of the project"/>
        <s v="The cost of quality includes all prevention and inspection costs."/>
        <s v="A cost-plus-fixed-fee contract is where the buyer pays all the work expenses and then pays a fixed price for the work."/>
        <s v="A cost plus fixed fee contract is a type of cost reimbursable contract."/>
        <s v="cost reimbursable and time and material will have more risks for the buyers than the sellers."/>
        <s v="Crashing adds resources to the project and will generally increase the cost. Since the team will be working overtime, this will result in additional costs to the project."/>
        <s v="Crashing involves adding more resources to a project to decrease the schedule. In this scenario, the project is 7% over budget but is 10% ahead of schedule"/>
        <s v="Crashing is a scheduled compression method where you add more resources to complete the project sooner."/>
        <s v="A request for proposal is used when there’s a problem on the project, and the solution is not easy to determine. This is generally a formal request made by project vendors to understand how they would rewrite the scope statement"/>
        <s v="A request for quotation is made to understand how a vendor develops satisfied requirements and how much it will cost."/>
        <s v="Create scope baseline is a made-up term."/>
        <s v="Once the project charter is created, the next step would be to collect the requirements and then create the scope statement and the WBS."/>
        <s v="The create WBS process is generally done after the scope statement has been created, as it will decompose the deliverables in the scope statement. You cannot define activities or sequence activities until the WBS is complete, as you will need to know work packages to create the activities."/>
        <s v="The create WBS process is generally done after the scope statement has been created, as it will decompose the deliverables in the scope statement"/>
        <s v="Creating WBS and defining scope will come before defining activities."/>
        <s v="The critical path method is about creating a network diagram and finding the critical path."/>
        <s v="Decomposition is a tool used to break work down into more detailed activities."/>
        <s v="You cannot define activities or sequence activities until the WBS is complete, as you will need to know work packages to create the activities"/>
        <s v="The determine budget process is where the tool of financing is used to seek funding for the project."/>
        <s v="Determine project financing is a made-up process."/>
        <s v="Develop project charter is used to get the project authorized."/>
        <s v="Develop project charter is used to get the project authorized"/>
        <s v="Work performance data is an output of the integration process of direct and manage project work."/>
        <s v="Manage team and develop team are used to manage the project team and not the physical resources."/>
        <s v="Once a change has been approved, it is then moved to the direct and manage project work process for implementation"/>
        <s v="Once a change has been approved, it is time to execute the change, which is done in the executing process of direct and manage project work."/>
        <s v="Once a change has been approved, it is time to execute the change, which is done in the executing process of direct and manage project work"/>
        <s v="Once a change has been approved, it is then moved to the direct and manage project work process for implementation."/>
        <s v="When using any prioritization technique, it is important the customer understands not to worry too much about the specifics of the technique but rather to prioritize the features based on relative value."/>
        <s v="Downward influence is for those below you such as team members."/>
        <s v="Emotional intelligence is defined as the ability to identify, assess, and influence emotions of ourselves and others around us."/>
        <s v="Encryption is not a tool in the PMBOK."/>
        <s v="Since this is a large project that will affect a large population, it would be best to establish a change control board for the project to have the changes reviewed and approved."/>
        <s v="Since this is a large project that will affect a large population, it would be best to establish a change control board for the project to have the changes reviewed and approved. On a very small project, the project manager may ask the sponsor to approve or deny changes. The project manager’s main job is to document and assess changes to the project."/>
        <s v="The process of estimate activity resources will output the resource breakdown structure, which is a hierarchal breakdown of resources by their categories and types. No other choice will output this project document."/>
        <s v="The process of estimate activity resources will output the resource breakdown structure, which is a hierarchal breakdown of resources by their categories and types."/>
        <s v="In the executing process group, the team completes the deliverables."/>
        <s v="The outputs of all the executed processes combined, including directly executing the process and managing project work, are the project deliverables."/>
        <s v="During the executing process group, the project manager will assess the team’s performance and try to improve it through the process of developing and managing the team."/>
        <s v="An expert may help in determining the costs, but not to aggregate them."/>
        <s v="Fast tracking is when you run activities in parallel."/>
        <s v="Fast tracking and resource leveling generally do not increase costs."/>
        <s v="Fast tracking is about running activities in parallel."/>
        <s v="Fast tracking is when you run activities in parallel. Adding leads to activities will overlap activities"/>
        <s v="Financing is a tool used in the process of determine budget. This is when a company looks at external sources to fund the project."/>
        <s v="A Fishbone analysis is done during the generate insight step in a retrospective to show the reasons for why something failed."/>
        <s v="A fishbone diagram is used to help identify potential causes of defects"/>
        <s v="A fixed price contract will have the lowest risk for the project, since the costs of the labor and material are known up front."/>
        <s v="Slack and floats refer to the same thing: the amount of time you can delay an activity without delaying the project."/>
        <s v="A flowchart is used to visually follow the steps in a process or multiple processes."/>
        <s v="A flowchart is a tool that is used to help visually display a process. It can show decision points, loops, or paths."/>
        <s v="forcing is when one side completely wins and the other side completely loses."/>
        <s v="The team is currently in the forming stage and will move next to the storming stage. The stages are forming, storming, norming, performing and adjourning."/>
        <s v="Free float is the amount of time you can delay an activity without delaying the next activity"/>
        <s v="Free float is the amount of time you can delay an activity without delaying the next activity."/>
        <s v="Funding limit reconciliation is done when there are limited funds to spend on the project and work may need to be rescheduled"/>
        <s v="All other choices would give you a detailed view of the project schedule and work."/>
        <s v="It’s more important to have high quality than high grade."/>
        <s v="Low quality is never okay."/>
        <s v="A histogram is a bar chart that usually shows frequency of something."/>
        <s v="A histogram is a bar chart and a flowchart is used to represent a process graphically."/>
        <s v="histogram, such as a Pareto chart, is a bar chart that shows the frequency of things."/>
        <s v="histograms are used to show the frequency of defects"/>
        <s v="A project kickoff meeting is generally done after planning a large project to bring the team together and inform them of the project requirements"/>
        <s v="When determining how much story work can get done in an iteration, the team should look at its velocity, which is based on how many points they were able to get done in previous iterations."/>
        <s v="There is no such thing as a cost reduction program in PMBOK."/>
        <s v="An independent estimate is usually done by an outside entity to help give the project manager a more independent understanding of what certain project work will cost."/>
        <s v="There is no need to inform senior management, as they approved the plan"/>
        <s v="there is no need to inform the change control board again since its members have already denied it."/>
        <s v="The best thing to do in this scenario would be to inform the customer that the change cannot be added due to the fact that it was already rejected by the change control board"/>
        <s v="The process of identifying stakeholders is part of the initiating process group"/>
        <s v="The process of identifying stakeholders is part of the initiating process group."/>
        <s v="Inspections and audits are done after the seller is selected to ensure the work stays on contract."/>
        <s v="Prevention leads to less inspection."/>
        <s v="and inspections are used to see if a deliverable has met its requirements."/>
        <s v="Ishikawa diagrams, or cause-and-effect diagrams, are used to identify probable causes and sub-causes of a particular problem."/>
        <s v="An Ishikawa diagram, also known as a cause-and-effect diagram, is used to list the many different probabilities for a project’s defect."/>
        <s v="The issue log is used to keep track of all issues in the project. The delay of a server will mean the project might be delayed, so it should be entered into the issue log immediately. After that the project manager might implement a change request to extend the schedule baseline and update the project management plan"/>
        <s v="and the issue log will have a list of issues that are currently taking place on a project."/>
        <s v="the issue log will have a list of issues that are currently taking place on a project."/>
        <s v="Kanban development involves the use of a signboard that is used to help track the work in progress and limit the work in progress."/>
        <s v="Opportunity and knowledge management registers are made-up terms."/>
        <s v="Lag is the amount of time you need to delay an activity before the next activity starts."/>
        <s v="A lag is a delay between activities."/>
        <s v="A lead is an overlap between activities."/>
        <s v="The lessons learned register is used to keep track of all new knowledge gained during the project."/>
        <s v="Any time new knowledge is gained on a project, it should be added to the lessons learned register to be used throughout the project and on future projects."/>
        <s v="A low-grade, high-quality project is acceptable. The grade just represents the number of features a project had."/>
        <s v="Manage communication is done in the executing section of the project to update the stakeholders on the project’s progress."/>
        <s v="Manage procurement is not a PMBOK process."/>
        <s v="Manage quality is an executing process where you will improve processes by conducting audits and process analysis."/>
        <s v="Monitor and manage scope are made-up processes."/>
        <s v="Maslow’s hierarchy of needs specifies what a company must have in order for employees to stay motivated."/>
        <s v="You cannot meet with the team to reduce cost if you don’t know the requirements."/>
        <s v="A metaphor is using XP to explain designs and create a shared vision between customers and the development team."/>
        <s v="A milestone chart is a high-level view of major accomplishments on a project. These are best used when presenting a quick view of data and the project schedule to management personnel."/>
        <s v="Monitor resources is a made-up process."/>
        <s v="During the monitoring and controlling processes, the deliverables are accepted by the stakeholders."/>
        <s v="The output for monitoring and controlling would be the accepted deliverables and the work performance reports."/>
        <s v="mutually exclusive is a term that is used when two events cannot happen at the same time."/>
        <s v="Outwards influence is for those who are external, such as vendors."/>
        <s v="Risk generally falls into two levels on a project: individual project risks and overall project risks. All other terms are not different types of risks."/>
        <s v="Pair programming is defined as when one programmer writes the code and another inspects the code as it’s being written. This leads to the code being inspected in seconds."/>
        <s v="Parametric estimates are a type of mathematical estimates done to estimate the cost of each activity."/>
        <s v="Parametric estimates are based on a data set such as cost per feet or time per task."/>
        <s v="Pareto charts are used for quality, not risk."/>
        <s v="Perform integrated change control is done to assess and approve a change request."/>
        <s v="Perform qualitative risk analysis is a process used to rank risks according to probability and/or impact."/>
        <s v="Perform quantitative analysis is done in order to assign values to the risk."/>
        <s v="Plan communication management is used to create the communication management plan that describes how communication will take place on the project."/>
        <s v="Plan cost management is used to create the cost management plan."/>
        <s v="Plan procurement management is done to select what needs to be procured and how to conduct the procurement"/>
        <s v="Plan risk management is done to create the risk management plan, which will document how to conduct all the risk management processes."/>
        <s v="Plan risk response describes the strategies that would be used if a risk were to materialize."/>
        <s v="During the planning process, the project management plan is created."/>
        <s v="The output for planning would be the project management plan."/>
        <s v="The risk register lists both positive and negative risks, not the risk management plan."/>
        <s v="Postponing is a made-up term."/>
        <s v="Problem-solving is the best way, but that would require both sides to come up with a solution in which they both win."/>
        <s v="A process design chart is a made-up term."/>
        <s v="Process tailoring is done to amend the agile methodology to better fit the project environment."/>
        <s v="Progressive elaboration occurs when more detailed information emerges over time."/>
        <s v="The project charter has a high-level list of requirements."/>
        <s v="Project communications are the actual communications taking place during the project."/>
        <s v="The project management plan, accepted deliverables, and requirements documentation are not outputs of the control quality process."/>
        <s v="The project scope statement, scope baseline, and requirements documentation will not include where requirements came from."/>
        <s v="The project scope statement includes a list of all the project deliverables as well as any requirements that should be excluded from the scope."/>
        <s v="A prototype is a functional model of a product given to customers for their feedback."/>
        <s v="A qualitative risk process is done to rank the risk that has been identified in the identify risk process."/>
        <s v="More prevention will lead to less inspection. Quality management is about preventing defects from getting into the hands of the customers."/>
        <s v="Quantitative risk analysis is done to assign a value to the risk."/>
        <s v="Rank risks is not a valid process."/>
        <s v="Feedback release is a made-up term."/>
        <s v="Lessons learned should be done with the team and not just by the project manager. The steps in closing usually involve conducting the lesson learned, releasing the team, and then writing the final report."/>
        <s v="The scope statement, requirements traceability matrix, and requirements documentation are generally written before vendors are invited to learn about the project."/>
        <s v="The requirements documentation lists requirements provided by customers that they would like to be done."/>
        <s v="The requirements documentation would be the output of the process of collect requirements, not a tool."/>
        <s v="The requirements traceability matrix will trace the requirements back to their origins. The project scope statement, scope baseline, and requirements documentation will not include where requirements came from."/>
        <s v="The requirements traceability matrix will trace the requirements back to their origins."/>
        <s v="The resource breakdown structure is a breakdown of the resources by categories or types"/>
        <s v="The resource calendar shows the availability of resources, both physical and team."/>
        <s v="The resource register and resource category matrix are made-up terms."/>
        <s v="Resource leveling is a technique used when resources are limited or over-allocated. Resource leveling ensures that no resource is assigned to more than one activity at a time, ensuring that no resource is overworked."/>
        <s v="The resource requirements describe all the resources needed to complete an activity."/>
        <s v="Resource smoothing may accomplish the same task, but it only works if there is slack available on the activities."/>
        <s v="The Change Control Board has already denied the change, so there is no need to perform additional analyses or resubmit it."/>
        <s v="A retrospective is done after each iteration so the team can reflect and plan improvements for the next iteration."/>
        <s v="A retrospective is conducted to capture the lessons learned from the sprint."/>
        <s v="The risk register is not graphical."/>
        <s v="This question describes a positive risk, which is known as an opportunity, and this is added to the risk register."/>
        <s v="The risk register is used to list all the risks that can affect the project and how the project team would respond to them."/>
        <s v="The risk register keeps track of the risk on the project."/>
        <s v="Risk summary charts is a made-up term."/>
        <s v="Rolling wave planning is when planning is done at multiple points in time as data becomes available."/>
        <s v="A scatter diagram is used to show a relation between two variables."/>
        <s v="Screening and weighing systems are done to help select sellers."/>
        <s v="After the team has created the activity list in the process of define activity, the next process should be sequencing the activities. This should be done before the team develops a schedule"/>
        <s v="Sideways influence is for those who are your peers such as other project managers."/>
        <s v="Smoothing is when the problem is pushed aside"/>
        <s v="A sprint planning meeting is held to determine what requirements will be met in the next sprint."/>
        <s v="During a sprint review, the customers review the partially finished product and give the team their feedback"/>
        <s v="The stakeholder register can be updated at any point during the project. It contains a list of all stakeholders and their contact information, communication requirements, and impact on the project. Once this is done, then the project manager can update the communication management plan to add the new stakeholder. This is a change, not an issue on a project, so there is no need to update the issue log"/>
        <s v="Statistical independence means that an outcome of two events cannot affect each other"/>
        <s v="Statistical sampling is a measurement that is not just pass/fail; it also has a middle ground, such as good, very good, bad, or very bad."/>
        <s v="The process being completed in this question is develop team. The output is team performance assessments."/>
        <s v="One of the core principles of agile is to defer decisions. This means not making decisions about potential changes or features until the very last minute."/>
        <s v="The risk management plan includes the risk breakdown structure that categorizes risks, roles, and responsibilities for the team members and the methodology they would use to perform the risk processes on the project."/>
        <s v="The product scope describes the features and functionality of the product, whereas the project scope describes how to get the features and functionality from that product."/>
        <s v="Theory X is a management theory in which the manager does not trust his or her workers and will micromanage them. This theory generally leads to the team being unhappy."/>
        <s v="Theory Y refers to when a manager believes people want to do the work and trusts them."/>
        <s v="Theory Z refers to when employees are committed to a business and will generally stay with that business for a long period of time."/>
        <s v="Statistical independence is a term used in probability that means one event cannot affect the other event."/>
        <s v="Statistical independence is a term used in probability that means one event cannot affect the other event"/>
        <s v="Mutually exclusive is a term used when two events cannot happen at the same time"/>
        <s v="A time and materials contract is where the buyer pays all the work expenses and then pays the sellers for the time they spent doing the work, and this contract has the highest risk to the buyers."/>
        <s v="Update project management plan and change log are not processes"/>
        <s v="Update project management plan and change log are not processes."/>
        <s v="Once a change is approved or denied, the project manager should update the change log to list the status of the change. If a change is approved, the project management should be updated."/>
        <s v="Once a change has been denied, the next step is to update the change log with the status of the change. That can include whether it was approved or denied. Because this change was denied, it is not considered an issue on the project."/>
        <s v="Upwards influence is for stakeholders above you such as senior management."/>
        <s v="Validate scope is done to get formal acceptance from the stakeholders."/>
        <s v="Validate scope is a process where stakeholders formally accept the project deliverables"/>
        <s v="Validate scope is a process where stakeholders formally accept the project deliverables."/>
        <s v="The process of quality control is when the deliverables are inspected to see if they meet the quality requirements. The output of this process is verified deliverables."/>
        <s v="Verify scope is done when all the deliverables are completed and require stakeholders’ acceptance."/>
        <s v="The conflict resolution technique Illustrated in this question is withdrawal, which is when they postpone the issue to a later date to be better prepared."/>
        <s v="The work breakdown structure does not show work by time."/>
        <s v="Work listed in the work breakdown structure will need to get done on the project"/>
        <s v="Work performance reports are an input to the process of performing integrated change control, as it will show the overall status of the project."/>
        <s v="Work performance reports are an input to the process of performing integrated change control, as it will show the overall status of the project. The other choices are not inputs to this process."/>
        <m u="1"/>
        <s v="An affinity diagram is used to group large numbers of ideas to be analyzed. " u="1"/>
        <s v="Top-down and analogous are the same and are high-level estimates based on historical data. " u="1"/>
        <s v="An attribute sample is a measurement that is usually pass/fail or good/bad. " u="1"/>
        <s v="A bidder conference is held by inviting all the potential sellers and reviewing the requirements for the project with them. This will ensure that no vendor receives more or less information than the others. " u="1"/>
        <s v="Bubble charts are tools in the perform quantitative risk analysis process and can show the probability, impact, and ranking of risk. " u="1"/>
        <s v="The output for closing would be the final product service or result transition and the final report. " u="1"/>
        <s v="Communication models are used when looking at the communication processes. " u="1"/>
        <s v="Communication technology factors include sensitivity and confidentiality of the information on the project, which will require the project manager to assess the security needs of the project information. " u="1"/>
        <s v="Compromise is when the two sides reach an agreement but both sides have to give up something. " u="1"/>
        <s v="Compromising is when both sides in a conflict give up something to come up with a solution. " u="1"/>
        <s v="Conduct procurement is done to select a seller and award a contract. " u="1"/>
        <s v="A control chart will show if a process is in “control” by illustrating the rule of 7. " u="1"/>
        <s v="Control procurement is when the agreement has already been signed, the contractor is completing the work, and the contractor should be paid according to the terms in the contract. " u="1"/>
        <s v="Control quality is done to check the deliverables to ensure they meet the quality requirements. " u="1"/>
        <s v="Control quality is generally done before the process of validate scope, where the deliverables will be inspected by the customers for a formal acceptance. " u="1"/>
        <s v="Control resources is a process which ensures that physical resources are being utilized correctly. " u="1"/>
        <s v="Control scope is a process where you compare the work that has been completed to the project management plan to see if they line up. If there is a variance, the project manager should initiate actions to fix the variance. " u="1"/>
        <s v="A cost-plus-fixed-fee contract is where the buyer pays all the work expenses and then pays a fixed price for the work. " u="1"/>
        <s v="cost reimbursable and time and material will have more risks for the buyers than the sellers. " u="1"/>
        <s v="Crashing adds resources to the project and will generally increase the cost. Since the team will be working overtime, this will result in additional costs to the project. " u="1"/>
        <s v="Crashing is a scheduled compression method where you add more resources to complete the project sooner. " u="1"/>
        <s v="Once the project charter is created, the next step would be to collect the requirements and then create the scope statement and the WBS. " u="1"/>
        <s v="Decomposition is a tool used to break work down into more detailed activities. " u="1"/>
        <s v="The determine budget process is where the tool of financing is used to seek funding for the project. " u="1"/>
        <s v="Develop project charter is used to get the project authorized. " u="1"/>
        <s v="Manage team and develop team are used to manage the project team and not the physical resources. " u="1"/>
        <s v="Once a change has been approved, it is time to execute the change, which is done in the executing process of direct and manage project work. " u="1"/>
        <s v="Once a change has been approved, it is then moved to the direct and manage project work process for implementation. " u="1"/>
        <s v="Downward influence is for those below you such as team members. " u="1"/>
        <s v="Since this is a large project that will affect a large population, it would be best to establish a change control board for the project to have the changes reviewed and approved. " u="1"/>
        <s v="The process of estimate activity resources will output the resource breakdown structure, which is a hierarchal breakdown of resources by their categories and types. " u="1"/>
        <s v="The outputs of all the executed processes combined, including directly executing the process and managing project work, are the project deliverables. " u="1"/>
        <s v="Fast tracking is when you run activities in parallel. " u="1"/>
        <s v="Fast tracking and resource leveling generally do not increase costs. " u="1"/>
        <s v="Fast tracking is about running activities in parallel. " u="1"/>
        <s v="Financing is a tool used in the process of determine budget. This is when a company looks at external sources to fund the project. " u="1"/>
        <s v="A fixed price contract will have the lowest risk for the project, since the costs of the labor and material are known up front. " u="1"/>
        <s v="A flowchart is used to visually follow the steps in a process or multiple processes. " u="1"/>
        <s v="A flowchart is a tool that is used to help visually display a process. It can show decision points, loops, or paths. " u="1"/>
        <s v="Free float is the amount of time you can delay an activity without delaying the next activity. " u="1"/>
        <s v="It’s more important to have high quality than high grade. " u="1"/>
        <s v="Low quality is never okay. " u="1"/>
        <s v="A histogram is a bar chart that usually shows frequency of something. " u="1"/>
        <s v="A histogram is a bar chart and a flowchart is used to represent a process graphically. " u="1"/>
        <s v="An independent estimate is usually done by an outside entity to help give the project manager a more independent understanding of what certain project work will cost. " u="1"/>
        <s v="Inspections and audits are done after the seller is selected to ensure the work stays on contract. " u="1"/>
        <s v="Ishikawa diagrams, or cause-and-effect diagrams, are used to identify probable causes and sub-causes of a particular problem. " u="1"/>
        <s v="An Ishikawa diagram, also known as a cause-and-effect diagram, is used to list the many different probabilities for a project’s defect. " u="1"/>
        <s v="the issue log will have a list of issues that are currently taking place on a project. " u="1"/>
        <s v="A lag is a delay between activities. " u="1"/>
        <s v="A lead is an overlap between activities. " u="1"/>
        <s v="Any time new knowledge is gained on a project, it should be added to the lessons learned register to be used throughout the project and on future projects. " u="1"/>
        <s v="A low-grade, high-quality project is acceptable. The grade just represents the number of features a project had. " u="1"/>
        <s v="Manage communication is done in the executing section of the project to update the stakeholders on the project’s progress. " u="1"/>
        <s v="Manage quality is an executing process where you will improve processes by conducting audits and process analysis. " u="1"/>
        <s v="You cannot meet with the team to reduce cost if you don’t know the requirements. " u="1"/>
        <s v="A milestone chart is a high-level view of major accomplishments on a project. These are best used when presenting a quick view of data and the project schedule to management personnel. " u="1"/>
        <s v="Parametric estimates are based on a data set such as cost per feet or time per task. " u="1"/>
        <s v="Pareto charts are used for quality, not risk. " u="1"/>
        <s v="Perform qualitative risk analysis is a process used to rank risks according to probability and/or impact. " u="1"/>
        <s v="Perform quantitative analysis is done in order to assign values to the risk. " u="1"/>
        <s v="Plan communication management is used to create the communication management plan that describes how communication will take place on the project. " u="1"/>
        <s v="Plan cost management is used to create the cost management plan. " u="1"/>
        <s v="Plan risk response describes the strategies that would be used if a risk were to materialize. " u="1"/>
        <s v="During the planning process, the project management plan is created. " u="1"/>
        <s v="The output for planning would be the project management plan. " u="1"/>
        <s v="The risk register lists both positive and negative risks, not the risk management plan. " u="1"/>
        <s v="The project charter has a high-level list of requirements. " u="1"/>
        <s v="The project scope statement includes a list of all the project deliverables as well as any requirements that should be excluded from the scope. " u="1"/>
        <s v="A prototype is a functional model of a product given to customers for their feedback. " u="1"/>
        <s v="A qualitative risk process is done to rank the risk that has been identified in the identify risk process. " u="1"/>
        <s v="More prevention will lead to less inspection. Quality management is about preventing defects from getting into the hands of the customers. " u="1"/>
        <s v="Quantitative risk analysis is done to assign a value to the risk. " u="1"/>
        <s v="The requirements traceability matrix will trace the requirements back to their origins. " u="1"/>
        <s v="The resource calendar shows the availability of resources, both physical and team. " u="1"/>
        <s v="Resource leveling is a technique used when resources are limited or over-allocated. Resource leveling ensures that no resource is assigned to more than one activity at a time, ensuring that no resource is overworked. " u="1"/>
        <s v="The resource requirements describe all the resources needed to complete an activity. " u="1"/>
        <s v="Resource smoothing may accomplish the same task, but it only works if there is slack available on the activities. " u="1"/>
        <s v="A retrospective is conducted to capture the lessons learned from the sprint. " u="1"/>
        <s v="The risk register is not graphical. " u="1"/>
        <s v="This question describes a positive risk, which is known as an opportunity, and this is added to the risk register. " u="1"/>
        <s v="The risk register is used to list all the risks that can affect the project and how the project team would respond to them. " u="1"/>
        <s v="The risk register keeps track of the risk on the project. " u="1"/>
        <s v="A scatter diagram is used to show a relation between two variables. " u="1"/>
        <s v="Sideways influence is for those who are your peers such as other project managers. " u="1"/>
        <s v="A sprint planning meeting is held to determine what requirements will be met in the next sprint. " u="1"/>
        <s v="Statistical sampling is a measurement that is not just pass/fail; it also has a middle ground, such as good, very good, bad, or very bad. " u="1"/>
        <s v="The process being completed in this question is develop team. The output is team performance assessments. " u="1"/>
        <s v="Theory X is a management theory in which the manager does not trust his or her workers and will micromanage them. This theory generally leads to the team being unhappy. " u="1"/>
        <s v="Theory Y refers to when a manager believes people want to do the work and trusts them. " u="1"/>
        <s v="Theory Z refers to when employees are committed to a business and will generally stay with that business for a long period of time. " u="1"/>
        <s v="Statistical independence is a term used in probability that means one event cannot affect the other event. " u="1"/>
        <s v="A time and materials contract is where the buyer pays all the work expenses and then pays the sellers for the time they spent doing the work, and this contract has the highest risk to the buyers. " u="1"/>
        <s v="Once a change has been denied, the next step is to update the change log with the status of the change. That can include whether it was approved or denied. Because this change was denied, it is not considered an issue on the project. " u="1"/>
        <s v="Upwards influence is for stakeholders above you such as senior management. " u="1"/>
        <s v="Validate scope is done to get formal acceptance from the stakeholders. " u="1"/>
        <s v="Validate scope is a process where stakeholders formally accept the project deliverables. " u="1"/>
        <s v="The process of quality control is when the deliverables are inspected to see if they meet the quality requirements. The output of this process is verified deliverables. " u="1"/>
        <s v="Verify scope is done when all the deliverables are completed and require stakeholders’ acceptance. " u="1"/>
        <s v="The conflict resolution technique Illustrated in this question is withdrawal, which is when they postpone the issue to a later date to be better prepared. " u="1"/>
        <s v="Work performance reports are an input to the process of performing integrated change control, as it will show the overall status of the project. "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i Bharaj" refreshedDate="45985.913020138891" createdVersion="8" refreshedVersion="8" minRefreshableVersion="3" recordCount="1722" xr:uid="{3A77C72D-62E7-474E-AAAA-056BC5E7E3C2}">
  <cacheSource type="worksheet">
    <worksheetSource ref="C1:W1723" sheet="Data"/>
  </cacheSource>
  <cacheFields count="21">
    <cacheField name="x" numFmtId="0">
      <sharedItems count="10">
        <s v="Project Management Fundamental Terms"/>
        <s v="Project Manager Role"/>
        <s v="Project Integration Management Terms"/>
        <s v="Project Scope Management Terms"/>
        <s v="Project Cost Management Terms"/>
        <s v="Project Quality Management Terms"/>
        <s v="Project Resources Management Terms"/>
        <s v="Project Communications Management Terms"/>
        <s v="Project Risk Management Terms"/>
        <s v="Project Stakeholder Management Terms"/>
      </sharedItems>
    </cacheField>
    <cacheField name="x2" numFmtId="0">
      <sharedItems count="1674" longText="1">
        <s v="Project Management Fundamental Terms"/>
        <s v="A Guide to the Project Management Body of Knowledge (PMBOK Guide)"/>
        <s v="The PMI publication that defines widely accepted project management practices. The CAPM and the PMP exam are based on this book."/>
        <s v="Application areas"/>
        <s v="The areas of expertise, industry, or function where a project is centered. Examples of application areas include architecture, IT, health care, and manufacturing."/>
        <s v="Business value"/>
        <s v="A quantifiable return on investment. The return can be tangible, such as equipment, money, or market share. The return can also be intangible, such as brand recognition, trademarks, and reputation."/>
        <s v="Certified Associate in Project Management (CAPM)"/>
        <s v="A person who has slightly less project management experience than a PMP, but who has qualified for and then passed the CAPM examination."/>
        <s v="Cultural and social environment"/>
        <s v="Defines how a project affects people and how those people may affect the project. Cultural and social environments include the economic, educational, ethical, religious, demographic, and ethnic composition of the people affected by the project."/>
        <s v="Deliverable"/>
        <s v="A product, service, or result created by a project. Projects can have multiple deliverables."/>
        <s v="General management skills"/>
        <s v="These include the application of accounting, procurement, sales and marketing, contracting, manufacturing, logistics, strategic planning, human resource management, standards and regulations, and information technology."/>
        <s v="International and political environment"/>
        <s v="The consideration of the local and international laws, languages, communication challenges, time zone differences, and other non-collocated issues that affect a project’s ability to progress."/>
        <s v="Interpersonal skills"/>
        <s v="The ability to interact, lead, motivate, and manage people."/>
        <s v="Iron Triangle of Project Management"/>
        <s v="A triangle with the characteristics of time, cost, and scope. Time, cost, and scope each constitute one side of the triangle; if any side of the Iron Triangle is not in balance with the other sides, the project will suffer. The Iron Triangle of Project Management is also known as the Triple Constraints of Project Management, as all projects are constrained by time, cost, and scope."/>
        <s v="Physical environment"/>
        <s v="The physical structure and surroundings that affect a project’s work."/>
        <s v="Process groups"/>
        <s v="A collection of related processes in project management. There are five process groups and 49 project management processes. The five process groups are Initiating, Planning, Executing, Monitoring and Controlling, and Closing."/>
        <s v="Program"/>
        <s v="A collection of related projects working in unison toward a common deliverable."/>
        <s v="Progressive elaboration"/>
        <s v="The process of gathering project details. This process uses deductive reasoning, logic, and a series of information-gathering techniques to identify details about a project, product, or solution."/>
        <s v="Project"/>
        <s v="A temporary endeavor to create a unique product, service, or result. The end result of a project is also called a deliverable."/>
        <s v="Project benefits management plan"/>
        <s v="A documented created and maintained by the project sponsor and the project manager. The project benefits management plan defines what benefits the project will create, when the benefits will be realized, and how the benefits will be measured."/>
        <s v="Project business case"/>
        <s v="Created and maintained by the project sponsor and shows the financial validity of why a project is chartered and launched within the organization. Typically, the project business case is created before the launch of the project and may be used as a go/no-go decision point."/>
        <s v="Project environment"/>
        <s v="The location and culture of the environment where the project work will reside. The project environment includes the social, economic, and environmental variables the project must work with or around."/>
        <s v="Project Management Institute (PMI)"/>
        <s v="An organization of project management professionals from around the world, supporting and promoting the careers, values, and concerns of project managers."/>
        <s v="Project life cycle"/>
        <s v="The phases that make up the project. Project life cycles are unique to the type of work being performed and are not universal to all projects."/>
        <s v="Project management office (PMO)"/>
        <s v="A central office that oversees all projects within an organization or within a functional department. A PMO supports the project manager through software, training, templates, policies, communication, dispute resolution, and other services."/>
        <s v="Project Management Professional (PMP)"/>
        <s v="A person who has proven project management experience and has qualified for and then passed the PMP examination."/>
        <s v="Project portfolio management"/>
        <s v="The management and selection of projects that support an organization’s vision and mission. It is the balance of project priority, risk, reward, and return on investment. This is a senior management process."/>
        <s v="Subprojects"/>
        <s v="A smaller project managed within a larger, parent project. Subprojects are often contracted work whose deliverable allows the larger project to progress."/>
        <s v="Triple Constraints of Project Management"/>
        <s v="Also known as the Iron Triangle. This theory posits that time, cost, and scope are three constraints that every project has."/>
        <s v="Work performance data"/>
        <s v="Raw data, observations, and measurements about project components. Work performance data is gathered and stored in the project management information system."/>
        <s v="Work performance information"/>
        <s v="Work performance information is the processed and analyzed data that will help the project manager make project decisions."/>
        <s v="Work performance reports"/>
        <s v="Work performance reports is the formatted communication of work performance information. Work performance reports communicate what’s happening in the project through status reports, memos, dashboards, or other modalities."/>
        <s v="Hybrid structure An organization that creates a blend of the functional, matrix, and project-oriented structures. Multidivisional structure Describe organizations that have duplication of efforts within the organization, but not within each department or division of the organization. Project manager has little authority in this structure and the functional manager controls the project budget. Organic or simple Describes a loosely organized business or organization. There likely aren’t big formal departments and people work alongside one another regardless of roles and titles. The project manager likely has little control over the project resources and may not be called a project manager. Organizational process assets Organizational process assets include organizational processes, policies, procedures, and items from a corporate knowledge base. Organizational process assets are grouped into two categories to consider: processes, policies and procedures, and organizational knowledge bases. Organizational Knowledge Repositories Organizational knowledge repositories are the databases, files, and historical information that you can use to help better plan and manage your projects. This is an organizational process asset that is created internally to your organization through the ongoing work of operations and other projects."/>
        <s v="Organizational System A system can create things by working with multiple components that the individual components could not create if they worked alone. The structure of the organization and the governance framework creates constraints that affect how the project manager makes decisions within the project. The organizational system directly affects how the project manager utilizes their power, influence, leadership, and even political capital, to get things done in the environment. Project management office (PMO) A business unit that centralizes the operations and procedures of all projects within the organization. The PMO can be supportive, controlling, or directive. Project-oriented structure An organization that assigns a project team to one project for the duration of the project life cycle. The project manager has high-to-almost-complete project power. Strong matrix structure An organization where organizational resources are pooled into one project team, but the functional managers have less project power than the project manager. Virtual organization Uses a network structure to communicate and interact with other groups and departments. A point of contact exists for each department and these department point of contact receive and send all messages for the department. Weak matrix structure An organization where organizational resources are pooled into one project team, but the functional managers have more project power than the project manager."/>
        <s v="active listening"/>
        <s v="The message receiver restates what’s"/>
        <s v="been said to fully understand and confirm"/>
        <s v="the message and it provides an"/>
        <s v="opportunity for the sender to clarify the"/>
        <s v="message if needed."/>
        <s v="active problem solving"/>
        <s v="Active problem solving begins with"/>
        <s v="problem definition. Problem definition is"/>
        <s v="the ability to discern between the cause"/>
        <s v="and effect of the problem. Root-cause"/>
        <s v="analysis looks beyond the immediate"/>
        <s v="symptoms to the cause of the"/>
        <s v="symptoms—which then affords"/>
        <s v="opportunities for solutions."/>
        <s v="avoiding power"/>
        <s v="The project manager refuses to act, get"/>
        <s v="involved, or make decisions."/>
        <s v="charismatic leadership"/>
        <s v="The leader is motivating, has highenergy,"/>
        <s v="and inspires the team through"/>
        <s v="strong convictions about what’s possible"/>
        <s v="and what the team can achieve. Positive"/>
        <s v="thinking and a can-do mentality are"/>
        <s v="characteristics of a charismatic leader."/>
        <s v="expert power"/>
        <s v="The project manager has deep skills and"/>
        <s v="experience in a discipline (for example,"/>
        <s v="years of working in IT helps an IT project"/>
        <s v="manager better manage IT projects)."/>
        <s v="ingratiating power"/>
        <s v="The project manager aims to gain favor"/>
        <s v="with the project team and stakeholders"/>
        <s v="through flattery."/>
        <s v="informational power"/>
        <s v="The individual has power and control of"/>
        <s v="the data gathering and distribution of"/>
        <s v="information."/>
        <s v="interactional leadership The leader is a hybrid of transactional, transformational, and charismatic leaders. The interactional leader wants the team to act, is excited and inspired about the project work, yet still holds the team accountable for their results. guilt-based power The project manager can make the team and stakeholders feel guilty to gain compliance in the project. leadership Leadership is about aligning, motivating, and inspiring the project team members to do the right thing, build trust, think creatively, and to challenge the status quo. laissez-faire leadership The leader takes a “hands-off” approach to the project. This means the project team makes decisions, takes initiative in the actions, and creates goals. While this approach can provide autonomy, it can make the leader appear absent when it comes to project decisions. management Management utilizes positional power to maintain, administrate, control, and focus on getting things done without challenging the status quo of the project and organization. media selection Based on the audience and the message being sent, the media should be in alignment with the message. meeting management Meetings are forms of communication. How the meeting is led, managed, and controlled all influence the message being delivered. Agendas, minutes, and order are mandatory for effective communications within a meeting. personal or charismatic power The project manager has a warm personality that others like."/>
        <s v="presentation"/>
        <s v="In formal presentations, the presenter’s"/>
        <s v="oral and body language, visual aids, and"/>
        <s v="handouts all influence the message being"/>
        <s v="delivered."/>
        <s v="pressure-based power"/>
        <s v="The project manager can restrict choices"/>
        <s v="to get the project team to perform and do"/>
        <s v="the project work."/>
        <s v="PMI Talent Triangle"/>
        <s v="Defines three areas of PDUs for PMI"/>
        <s v="certified professionals to maintain their"/>
        <s v="certification. The PMI Talent Triangle"/>
        <s v="includes technical project management,"/>
        <s v="leadership, and strategic and business"/>
        <s v="management."/>
        <s v="positional power"/>
        <s v="The project manager’s power is because"/>
        <s v="of the position she has as the project"/>
        <s v="manager. This is also known as formal,"/>
        <s v="authoritative, and legitimate power."/>
        <s v="Professional Development Units (PDUs)"/>
        <s v="PDUs are earned after the PMP to"/>
        <s v="maintain the PMP certification. PMPs are"/>
        <s v="required to earn 60 PDUs per three-year"/>
        <s v="certification cycle. Of the 60 PDUs, a"/>
        <s v="minimum of 35 hours must come from"/>
        <s v="educational opportunities."/>
        <s v="project manager"/>
        <s v="The role of leading the project team and"/>
        <s v="managing the project resources to"/>
        <s v="effectively achieve the objectives of the"/>
        <s v="project."/>
        <s v="punitive or coercive power"/>
        <s v="The project manager can punish the"/>
        <s v="project team."/>
        <s v="referent power"/>
        <s v="The project manager is respected or"/>
        <s v="admired because of the team’s past"/>
        <s v="experiences with the project manager."/>
        <s v="This is about the project manager’s"/>
        <s v="credibility in the organization."/>
        <s v="reward power"/>
        <s v="The project manager can reward the"/>
        <s v="sender-receiver models Communication requires a sender and a receiver. Within this model may be multiple avenues to complete the flow of communication, but barriers to effective communication may be present as well. servant leadership The leader puts others first and focuses on the needs of the people he serves. Servant leaders provide opportunity for growth, education, autonomy within the project, and the well-being of others. The primary focus of servant leadership is service to others. situational power The project manager has power because of certain situations in the organization. style The tone, structure, and formality of the message being sent should be in alignment with the audience and the content of the message. transactional leadership The leader emphasizes the goals of the project and rewards and disincentives for the project team. This is sometimes called management by exception as it’s the exception that is reward or punished. transformational leadership The leader inspires and motivates the project team to achieve the project goals. Transformational leaders aim to empower the project team to act, be innovative in the project work, and accomplish through ambition."/>
        <s v="or fold page in half. Read the term, recite"/>
        <s v="the definition, and then look at this side of"/>
        <s v="Assumption log"/>
        <s v="An assumption is something that is"/>
        <s v="believed to be true or false, but it has not"/>
        <s v="yet been proven to be true or false."/>
        <s v="Assumptions that prove wrong can"/>
        <s v="become risks for the project. All identified"/>
        <s v="project assumptions are recorded in the"/>
        <s v="assumption log for testing and analysis,"/>
        <s v="and the outcomes are recorded."/>
        <s v="Benefit/cost ratio (BCR) models"/>
        <s v="This is an example of a benefits"/>
        <s v="comparison model. It examines the"/>
        <s v="benefit-to-cost ratio."/>
        <s v="Change control board (CCB)"/>
        <s v="A committee that evaluates the"/>
        <s v="worthiness of a proposed change and"/>
        <s v="either approves or rejects the proposed"/>
        <s v="change."/>
        <s v="Change control system (CCS)"/>
        <s v="The change control system communicates"/>
        <s v="the process for controlling changes to the"/>
        <s v="project deliverables. This system works"/>
        <s v="with the configuration management"/>
        <s v="system and seeks to control and"/>
        <s v="document proposals to change the"/>
        <s v="project’s product."/>
        <s v="Change log"/>
        <s v="All changes that enter into a project are"/>
        <s v="recorded in the change log. The"/>
        <s v="characteristics of the change, such as the"/>
        <s v="time, cost, risk, and scope details, are"/>
        <s v="also recorded."/>
        <s v="Change management plan"/>
        <s v="This plan details the project procedures"/>
        <s v="for entertaining change requests: how"/>
        <s v="change requests are managed,"/>
        <s v="documented, approved, or declined."/>
        <s v="Closure processes"/>
        <s v="This final process group of the project"/>
        <s v="management life cycle is responsible for"/>
        <s v="closing the project phase or project. This"/>
        <s v="is where project documentation is"/>
        <s v="archived and project contracts are also"/>
        <s v="closed."/>
        <s v="Communications management plan"/>
        <s v="This plan defines who will get what"/>
        <s v="information, how they will receive it, and"/>
        <s v="in what modality the communication will"/>
        <s v="take place."/>
        <s v="Configuration identification"/>
        <s v="This includes the labeling of the"/>
        <s v="components, how changes are made to"/>
        <s v="the product, and the accountability of the"/>
        <s v="changes."/>
        <s v="Configuration management plan"/>
        <s v="This plan is an input to the control scope"/>
        <s v="process. It defines how changes to the"/>
        <s v="features and functions of the project"/>
        <s v="deliverable, the product scope, may enter"/>
        <s v="the project."/>
        <s v="Configuration management system"/>
        <s v="This system defines how stakeholders are"/>
        <s v="allowed to submit change requests, the"/>
        <s v="conditions for approving a change"/>
        <s v="request, and how approved change"/>
        <s v="requests are validated in the project"/>
        <s v="scope. Configuration management also"/>
        <s v="documents the characteristics and"/>
        <s v="functions of the project’s products and"/>
        <s v="any changes to a product’s"/>
        <s v="characteristics."/>
        <s v="Configuration status accounting"/>
        <s v="The organization of the product materials,"/>
        <s v="details, and prior product documentation."/>
        <s v="Configuration verification and auditing"/>
        <s v="The scope verification and completeness"/>
        <s v="auditing of project or phase deliverables"/>
        <s v="to ensure that they are in alignment with"/>
        <s v="the project plan."/>
        <s v="Contract closure"/>
        <s v="The formal verification of the contract"/>
        <s v="completeness by the vendor and the"/>
        <s v="performing organization."/>
        <s v="Cost baseline"/>
        <s v="This is the aggregated costs of all of the"/>
        <s v="work packages within the work"/>
        <s v="breakdown structure (WBS)."/>
        <s v="Cost management plan"/>
        <s v="This plan details how the project costs"/>
        <s v="will be planned for, estimated, budgeted,"/>
        <s v="and then monitored and controlled."/>
        <s v="Explicit knowledge"/>
        <s v="Knowledge that can be quickly and easily"/>
        <s v="expressed through conversations,"/>
        <s v="documentation, figures, or numbers, is"/>
        <s v="easily communicated."/>
        <s v="Future value"/>
        <s v="A benefit comparison model to determine"/>
        <s v="a future value of money. The formula to"/>
        <s v="calculate future value is FV = PV(1 + I)n,"/>
        <s v="where PV is present value, I is the given"/>
        <s v="interest rate, and n is the number of"/>
        <s v="periods."/>
        <s v="Integrated change control"/>
        <s v="A process to consider and control the"/>
        <s v="impact of a proposed change on the"/>
        <s v="project’s knowledge areas."/>
        <s v="Issue log"/>
        <s v="Issues are points of contention where"/>
        <s v="some question of the project’s direction"/>
        <s v="needs to be resolved. All identified issues"/>
        <s v="are documented in the issue log, along"/>
        <s v="with an issue owner and a deadline to"/>
        <s v="resolve the issue. The outcome of the"/>
        <s v="issue is also recorded."/>
        <s v="Mathematical model"/>
        <s v="A project selection method to determine"/>
        <s v="the likelihood of success. These models"/>
        <s v="include linear programming, nonlinear"/>
        <s v="programming, dynamic programming,"/>
        <s v="integer programming, and multiobjective"/>
        <s v="programming."/>
        <s v="Milestone"/>
        <s v="Milestones are significant points or"/>
        <s v="events in the project’s progress that"/>
        <s v="represent accomplishment in the project."/>
        <s v="Projects usually create milestones as the"/>
        <s v="result of completing phases within the"/>
        <s v="Milestone list"/>
        <s v="This list details the project milestones and"/>
        <s v="their attributes. It is used for several"/>
        <s v="areas of project planning, but also helps"/>
        <s v="determine how quickly the project may be"/>
        <s v="achieving its objectives."/>
        <s v="Murder boards"/>
        <s v="These are committees that ask every"/>
        <s v="conceivable negative question about the"/>
        <s v="proposed project. Their goals are to"/>
        <s v="expose the project’s strengths and"/>
        <s v="weaknesses, and to kill the project if it’s"/>
        <s v="deemed unworthy for the organization to"/>
        <s v="commit to. Also known as project steering"/>
        <s v="committees or project selection"/>
        <s v="committees."/>
        <s v="Net present value"/>
        <s v="Evaluates the monies returned on a"/>
        <s v="project for each period the project lasts."/>
        <s v="Payback period"/>
        <s v="An estimate to predict how long it will"/>
        <s v="take a project to pay back an organization"/>
        <s v="for the project’s investment of capital."/>
        <s v="Present value"/>
        <s v="the present value of a future amount of"/>
        <s v="money. The formula to calculate present"/>
        <s v="value is PV = FV ÷ (1 + i)n, where FV is"/>
        <s v="future value, I is the given interest rate,"/>
        <s v="and n is the number of periods."/>
        <s v="Procurement management plan"/>
        <s v="The procurement management plan"/>
        <s v="controls how the project will acquire"/>
        <s v="goods and services."/>
        <s v="Project charter"/>
        <s v="This document authorizes the project. It"/>
        <s v="defines the initial requirements of the"/>
        <s v="project stakeholders. The project charter"/>
        <s v="is endorsed by an entity outside of the"/>
        <s v="project boundaries."/>
        <s v="Project management plan"/>
        <s v="The documented approach of how a"/>
        <s v="project will be planned, executed,"/>
        <s v="monitored and controlled, and then"/>
        <s v="closed. This document is a collection of"/>
        <s v="subsidiary management plans and related"/>
        <s v="documents."/>
        <s v="Project scope management plan"/>
        <s v="Defines how the project scope will be"/>
        <s v="planned, managed, and controlled."/>
        <s v="Quality baseline"/>
        <s v="Documents the quality objectives for the"/>
        <s v="project, including the metrics for"/>
        <s v="stakeholder acceptance of the project"/>
        <s v="deliverable."/>
        <s v="Quality management plan"/>
        <s v="This plan defines what quality means for"/>
        <s v="the project, how the project will achieve"/>
        <s v="quality, and how the project will map to"/>
        <s v="organizational procedures pertaining to"/>
        <s v="quality."/>
        <s v="Regression analysis"/>
        <s v="A mathematical model to examine the"/>
        <s v="relationship among project variables, like"/>
        <s v="cost, time, labor, and other project"/>
        <s v="metrics."/>
        <s v="Risk management plan"/>
        <s v="Risk is an uncertain event or condition"/>
        <s v="that may affect the project outcome. The"/>
        <s v="risk management plan defines how the"/>
        <s v="project will manage risk."/>
        <s v="Risk register"/>
        <s v="The risk register is a centralized database"/>
        <s v="consisting of the outcome of all the other"/>
        <s v="risk management processes, such as the"/>
        <s v="outcome of risk identification, qualitative"/>
        <s v="analysis, and quantitative analysis."/>
        <s v="Risk response plan"/>
        <s v="This subsidiary plan defines the risk"/>
        <s v="responses that are to be used in the"/>
        <s v="project for both positive and negative"/>
        <s v="risks."/>
        <s v="Schedule baseline"/>
        <s v="This is the planned start and finish of the"/>
        <s v="project. The comparison of what was"/>
        <s v="planned and what was experienced is the"/>
        <s v="schedule variance."/>
        <s v="Schedule management plan"/>
        <s v="Defines how the project schedule will be"/>
        <s v="created and managed."/>
        <s v="Scope baseline"/>
        <s v="The scope baseline is a combination of"/>
        <s v="three project documents: the project"/>
        <s v="scope statement, the work breakdown"/>
        <s v="structure, and the WBS dictionary. The"/>
        <s v="creation of the project deliverable will be"/>
        <s v="measured against the scope baseline to"/>
        <s v="show any variances from what was"/>
        <s v="expected and what the project team has"/>
        <s v="created."/>
        <s v="Scoring models"/>
        <s v="These models use a common set of"/>
        <s v="values for all of the projects up for"/>
        <s v="selection. For example, values can be"/>
        <s v="profitability, complexity, customer"/>
        <s v="demand, and so on."/>
        <s v="tacit knowledge"/>
        <s v="Knowledge that’s more difficult to express"/>
        <s v="because it’s personal beliefs, values,"/>
        <s v="knowledge gain from experience, and"/>
        <s v="“know-how” when doing a task."/>
        <s v="8/80 Rule"/>
        <s v="A planning heuristic for creating the"/>
        <s v="WBS. This rule states that the work"/>
        <s v="package in a WBS must take no more"/>
        <s v="than 80 hours of labor to create and no"/>
        <s v="fewer than 8 hours of labor to create."/>
        <s v="Active observation"/>
        <s v="The observer interacts with the worker to"/>
        <s v="ask questions and understand each step"/>
        <s v="of the work being completed. In some"/>
        <s v="instances, the observer could serve as an"/>
        <s v="assistant in doing the work."/>
        <s v="Affinity diagrams"/>
        <s v="When stakeholders create a large"/>
        <s v="number of ideas, you can use an affinity"/>
        <s v="diagram to cluster similar ideas together"/>
        <s v="for further analysis."/>
        <s v="Alternatives generation"/>
        <s v="A scope definition process of finding"/>
        <s v="alternative solutions for the project"/>
        <s v="customer while considering the"/>
        <s v="customer’s satisfaction, the cost of the"/>
        <s v="solution, and how the customer may use"/>
        <s v="the product in operations."/>
        <s v="Autocratic"/>
        <s v="A decision method where only one"/>
        <s v="individual makes the decision for the"/>
        <s v="group."/>
        <s v="Brainstorming"/>
        <s v="This approach encourages participants to"/>
        <s v="generate as many ideas as possible"/>
        <s v="about the project requirements. No idea"/>
        <s v="is judged or dismissed during the"/>
        <s v="brainstorming session."/>
        <s v="Documented in the scope management"/>
        <s v="plan, this system defines how changes to"/>
        <s v="the project scope are managed and"/>
        <s v="controlled."/>
        <s v="Change management plan This subsidiary plan defines how changes will be allowed and managed within the project. Code of accounts A numbering system for each item in the WBS. The PMBOK is a good example of a code of accounts, as each chapter and its subheadings follow a logical numbering scheme. For example, PMBOK 5.3.3.2 identifies an exact paragraph in the PMBOK. Configuration management plan This subsidiary plan defines how changes to the features and functions of the project deliverables will be monitored and controlled within the project. Context diagram These diagrams show the relationship between elements of an environment. For example, a context diagram would illustrate the networks, servers, workstations, and people that interact with the elements of the environment. Focus groups A moderator-led requirements collection method to elicit requirements from stakeholders. Functional analysis This is the study of the functions within a system, project, or, what’s more likely in the project scope statement, the product the project will be creating. Functional analysis studies the goals of the product, how the product will be used, and the expectations the customer has of the product once it leaves the project and moves into operations. Functional analysis may also consider the cost of the product in operations, which is known as life-cycle costing. Funding limit Most projects have a determined budget in relation to the project scope. There may be a qualifier on this budget, such as plus or minus 10 percent based on the type of cost estimate created."/>
        <s v="Interviews"/>
        <s v="A requirements collection method used to"/>
        <s v="elicit requirements from stakeholders in a"/>
        <s v="one-on-one conversation."/>
        <s v="Majority"/>
        <s v="A group decision method where more"/>
        <s v="than 50 percent of the group must be in"/>
        <s v="agreement."/>
        <s v="Mind mapping"/>
        <s v="This approach maps ideas to show the"/>
        <s v="relationship among requirements and the"/>
        <s v="differences between requirements. The"/>
        <s v="map can be reviewed to identify new"/>
        <s v="solutions or to rank the identified"/>
        <s v="requirements."/>
        <s v="Nominal group technique"/>
        <s v="As with brainstorming, participants are"/>
        <s v="encouraged to generate as many ideas"/>
        <s v="as possible, but the suggested ideas are"/>
        <s v="ranked by a voting process."/>
        <s v="Passive observation"/>
        <s v="The observer records information about"/>
        <s v="the work being completed without"/>
        <s v="interrupting the process; sometimes"/>
        <s v="called the invisible observer."/>
        <s v="Plurality"/>
        <s v="A group-decision method where the"/>
        <s v="largest part of the group makes the"/>
        <s v="decision when it’s less than 50 percent of"/>
        <s v="the total. (Consider three or four factions"/>
        <s v="within the stakeholders.)"/>
        <s v="Product acceptance criteria"/>
        <s v="This project scope statement component"/>
        <s v="works with the project requirements, but"/>
        <s v="focuses specifically on the product and"/>
        <s v="what the conditions and processes are"/>
        <s v="for formal acceptance of the product."/>
        <s v="Product breakdown"/>
        <s v="A scope definition technique that breaks"/>
        <s v="down a product into a hierarchical"/>
        <s v="structure, much like a WBS breaks down"/>
        <s v="a project scope."/>
        <s v="Product scope description"/>
        <s v="This is a narrative description of what the"/>
        <s v="project is creating as a deliverable for the"/>
        <s v="project customer."/>
        <s v="Product scope Defines the product or service that will come about as a result of completing the project. It defines the features and functions that characterize the product. Project assumptions A project assumption is a factor in the planning process that is held to be true but not proven to be true. Project boundaries A project boundary clearly states what is included with the project and what’s excluded from the project. This helps to eliminate assumptions between the project management team and the project customer. Project constraints A constraint is anything that limits the project manager’s options. Consider a predetermined budget, deadline, resources, or materials the project manager must use within the project—these are all examples of project constraints. Project objectives These are the measurable goals that determine a project’s acceptability to the project customer and the overall success of the project. Objectives often include the cost, schedule, technical requirements, and quality demands. Project requirements These are the demands set by the customer, regulations, or the performing organization that must exist for the project deliverables to be acceptable. Requirements are often prioritized in a number of ways, from “must have” to “should have” to “would like to have.” Project scope This defines all of the work, and only the required work, to complete the project objectives."/>
        <s v="This project management subsidiary plan"/>
        <s v="controls how the scope will be defined,"/>
        <s v="how the project scope statement will be"/>
        <s v="created, how the WBS will be created,"/>
        <s v="how scope validation will proceed, and"/>
        <s v="how the project scope will be controlled"/>
        <s v="throughout the project."/>
        <s v="Requirements documentation"/>
        <s v="This documentation of what the"/>
        <s v="stakeholders expected in the project"/>
        <s v="defines all of the requirements that must"/>
        <s v="be present for the work to be accepted by"/>
        <s v="the stakeholders."/>
        <s v="Requirements management plan"/>
        <s v="This subsidiary plan defines how"/>
        <s v="changes to the project requirements will"/>
        <s v="be permitted, how requirements will be"/>
        <s v="tracked, and how changes to the"/>
        <s v="requirements will be approved."/>
        <s v="Requirements traceability matrix (RTM)"/>
        <s v="This is a table that maps the"/>
        <s v="requirements throughout the project all"/>
        <s v="the way to their completion."/>
        <s v="Schedule milestones"/>
        <s v="The project customer may have specific"/>
        <s v="dates when phases of the project should"/>
        <s v="be completed. These milestones are"/>
        <s v="often treated as project constraints."/>
        <s v="Scope creep"/>
        <s v="Undocumented, unapproved changes to"/>
        <s v="the project scope."/>
        <s v="Scope validation"/>
        <s v="The formal inspection of the project"/>
        <s v="deliverables, which leads to project"/>
        <s v="acceptance."/>
        <s v="Stakeholder analysis"/>
        <s v="A scope definition process where the"/>
        <s v="project management team interviews the"/>
        <s v="stakeholders and categorizes, prioritizes,"/>
        <s v="and documents what the project"/>
        <s v="customer wants and needs. The analysis"/>
        <s v="is to determine, quantify, and prioritize"/>
        <s v="the interests of the stakeholders."/>
        <s v="Stakeholder analysis demands"/>
        <s v="quantification of stakeholder objectives;"/>
        <s v="goals such as “good,” “satisfaction,” and"/>
        <s v="“speedy” aren’t quantifiable."/>
        <s v="Systems analysis"/>
        <s v="A scope definition approach that studies"/>
        <s v="and analyzes a system, its components,"/>
        <s v="and the relationship of the components"/>
        <s v="within the system."/>
        <s v="Systems engineering"/>
        <s v="This project scope statement creation"/>
        <s v="process studies how a system should"/>
        <s v="work, designs and creates a system"/>
        <s v="model, and then enacts the working"/>
        <s v="system based on the project’s goals and"/>
        <s v="the customer’s expectations. Systems"/>
        <s v="engineering aims to balance the time and"/>
        <s v="cost of the project in relation to the scope"/>
        <s v="of the project."/>
        <s v="Unanimity"/>
        <s v="A group decision method where everyone"/>
        <s v="must be in agreement."/>
        <s v="Value analysis"/>
        <s v="As with value engineering, this approach"/>
        <s v="examines the functions of the project’s"/>
        <s v="product in relation to the cost of the"/>
        <s v="features and functions. This is where, to"/>
        <s v="some extent, the grade of the product is"/>
        <s v="in relationship to the cost of the product."/>
        <s v="Value engineering"/>
        <s v="This approach to project scope statement"/>
        <s v="creation attempts to find the correct level"/>
        <s v="of quality in relation to a reasonable"/>
        <s v="budget for the project deliverable while"/>
        <s v="still achieving an acceptable level of"/>
        <s v="performance of the product."/>
        <s v="WBS dictionary"/>
        <s v="A WBS companion document that"/>
        <s v="defines all of the characteristics of each"/>
        <s v="element within the WBS."/>
        <s v="WBS template"/>
        <s v="A prepopulated WBS for repetitive"/>
        <s v="projects. Previous projects’ WBSs are"/>
        <s v="often used as templates for current"/>
        <s v="similar projects."/>
        <s v="Work breakdown structure (WBS)"/>
        <s v="A deliverables-oriented breakdown of the"/>
        <s v="project scope."/>
        <s v="Work package The smallest item in the WBS."/>
        <s v="Status of the deliverables: the work that’s"/>
        <s v="been started, finished, or has yet to"/>
        <s v="begin."/>
        <s v="Control threshold A predetermined range of acceptable variances, such as +/–10 percent off schedule. Should the variance exceed the threshold, then project control processes and corrected actions will be enacted. Crashing A schedule compression approach that adds more resources to activities on the critical path to complete the project earlier. When crashing a project, costs are added because the associated labor and sometimes resources (such as faster equipment) cause costs to increase. Critical path The path in the project network diagram that cannot be delayed, otherwise the project completion date will be late. There can be more than one critical path. Activities in the critical path have no float. Discretionary dependencies These dependencies are the preferred order of activities. Project managers should use these relationships at their discretion and should document the logic behind the decision. Discretionary dependencies allow activities to happen in a preferred order because of best practices, conditions unique to the project work, or external events. Also known as preferential or soft logic. Early finish The earliest a project activity can finish. Used in the forward pass procedure to discover the critical path and the project float. Early start The earliest a project activity can begin. Used in the forward pass procedure to discover the critical path and the project float."/>
        <s v="External dependencies As the name implies, these are dependencies outside of the project’s control. Examples include the delivery of equipment from a vendor, the deliverable of another project, or the decision of a committee, lawsuit, or expected new law. Fast tracking A schedule compression method that changes the relationship of activities. With fast tracking, activities that would normally be done in sequence are allowed to be done in parallel or with some overlap. Fast tracking can be accomplished by changing the relation of activities from FS to SS or even FF or by adding lead time to downstream activities. However, fast tracking does add risk to the project. Finish-to-finish An activity relationship type that requires the current activity to be finished before its successor can finish. Finish-to-start An activity relationship type that requires the current activity to be finished before its successor can start. Fragnet A representation of a project network diagram that is often used for outsourced portions of a project, repetitive work within a project, or a subproject. Also called a subnet. Free float This is the total time a single activity can be delayed without affecting the early start of its immediately following successor activities. Hard logic Logic that describes activities that must happen in a particular order. For example, the dirt must be excavated before the foundation can be built. The foundation must be in place before the framing can begin. Also known as a mandatory dependency."/>
        <s v="Internal dependencies Internal relationships to the project or the organization. For example, the project team must create the software as part of the project’s deliverable before the software can be tested for quality control. Lag time Positive time that moves two or more activities further apart. Late finish The latest a project activity can finish. Used in the backward pass procedure to discover the critical path and the project float. Late start The latest a project activity can begin. Used in the backward pass procedure to discover the critical path and the project float. Lead time Negative time that allows two or more activities to overlap where ordinarily these activities would be sequential. Management reserve A percentage of the project duration to combat Parkinson’s Law. When project activities become late, their lateness is subtracted from the management reserve. Mandatory dependencies These dependencies are the natural order of activities. For example, you can’t begin building your house until your foundation is in place. These relationships are called hard logic."/>
        <s v="Monte Carlo analysis"/>
        <s v="A project simulation approach named"/>
        <s v="after the world-famous gambling district in"/>
        <s v="Monaco. This predicts how scenarios"/>
        <s v="may work out, given any number of"/>
        <s v="variables. The process doesn’t actually"/>
        <s v="churn out a specific answer, but a range"/>
        <s v="of possible answers. When Monte Carlo"/>
        <s v="analysis is applied to a schedule, it can"/>
        <s v="examine, for example, the optimistic"/>
        <s v="completion date, the pessimistic"/>
        <s v="completion date, and the most likely"/>
        <s v="completion date for each activity in the"/>
        <s v="project and then predict a mean for the"/>
        <s v="project schedule."/>
        <s v="Parametric estimate"/>
        <s v="A quantitatively based duration estimate"/>
        <s v="that uses mathematical formulas to"/>
        <s v="predict how long an activity will take"/>
        <s v="based on the quantities of work to be"/>
        <s v="completed."/>
        <s v="Parkinson’s Law"/>
        <s v="A theory that states: “Work expands so"/>
        <s v="as to fill the time available for its"/>
        <s v="completion.” It is considered with time"/>
        <s v="estimating, because bloated or padded"/>
        <s v="activity estimates will fill the amount of"/>
        <s v="time allotted to the activity."/>
        <s v="Planning package"/>
        <s v="A WBS entry located below a control"/>
        <s v="account and above the work packages. A"/>
        <s v="planning package signifies that there is"/>
        <s v="more planning that needs to be"/>
        <s v="completed for this specific deliverable."/>
        <s v="Precedence diagramming method"/>
        <s v="A network diagram that shows activities"/>
        <s v="in nodes and the relationship between"/>
        <s v="each activity. Predecessors come before"/>
        <s v="the current activity, and successors come"/>
        <s v="after the current activity."/>
        <s v="Project calendars"/>
        <s v="Calendars that identify when the project"/>
        <s v="work will occur."/>
        <s v="Project float"/>
        <s v="This is the total time the project can be"/>
        <s v="delayed without passing the customerexpected"/>
        <s v="completion date."/>
        <s v="Project network diagram"/>
        <s v="A diagram that visualizes the flow of the"/>
        <s v="project activities and their relationships to"/>
        <s v="other project activities."/>
        <s v="Refinement"/>
        <s v="An update to the work breakdown"/>
        <s v="structure."/>
        <s v="Resource breakdown structure (RBS)"/>
        <s v="This is a hierarchical breakdown of the"/>
        <s v="project resources by category and"/>
        <s v="resource type. For example, you could"/>
        <s v="have a category of equipment, a category"/>
        <s v="of human resources, and a category of"/>
        <s v="materials. Within each category, you"/>
        <s v="could identify the types of equipment your"/>
        <s v="project will use, the types of human"/>
        <s v="resources, and the types of materials."/>
        <s v="Resource calendars"/>
        <s v="Calendars that identify when project"/>
        <s v="resources are available for the project"/>
        <s v="work."/>
        <s v="Resource-leveling heuristic"/>
        <s v="A method to flatten the schedule when"/>
        <s v="resources are overallocated. Resource"/>
        <s v="leveling can be applied using different"/>
        <s v="methods to accomplish different goals."/>
        <s v="One of the most common methods is to"/>
        <s v="ensure that workers are not"/>
        <s v="overextended on activities."/>
        <s v="Rolling wave planning"/>
        <s v="The imminent work is planned in detail,"/>
        <s v="while the work in the future is planned at"/>
        <s v="a high level. This is a form of progressive"/>
        <s v="elaboration."/>
        <s v="A subsidiary plan in the project"/>
        <s v="management plan. It defines how the"/>
        <s v="project schedule will be created,"/>
        <s v="estimated, controlled, and managed."/>
        <s v="Soft logic"/>
        <s v="The activities don’t necessarily have to"/>
        <s v="happen in a specific order. For example,"/>
        <s v="you could install the light fixtures first,"/>
        <s v="then the carpet, and then paint the room."/>
        <s v="The project manager could use soft logic"/>
        <s v="to change the order of the activities if so"/>
        <s v="desired."/>
        <s v="Start-to-finish"/>
        <s v="An activity relationship that requires an"/>
        <s v="activity to start so that its successor can"/>
        <s v="finish. This is the most unusual of all the"/>
        <s v="activity relationship types."/>
        <s v="Start-to-start"/>
        <s v="An activity relationship type that requires"/>
        <s v="the current activity to start before its"/>
        <s v="successor can start."/>
        <s v="Subnet"/>
        <s v="A representation of a project network"/>
        <s v="diagram that is often used for outsourced"/>
        <s v="portions of projects, repetitive work within"/>
        <s v="a project, or a subproject. Also called a"/>
        <s v="fragnet."/>
        <s v="Template"/>
        <s v="A previous project that can be adapted"/>
        <s v="for the current project and forms that are"/>
        <s v="pre-populated with organizational-specific"/>
        <s v="Three-point estimate"/>
        <s v="An estimating technique for each activity"/>
        <s v="that requires optimistic, most likely, and"/>
        <s v="pessimistic estimates to be created."/>
        <s v="Based on these three estimates, an"/>
        <s v="average can be created to predict how"/>
        <s v="long the activity should take."/>
        <s v="Total float"/>
        <s v="This is the total time an activity can be"/>
        <s v="delayed without delaying project"/>
        <s v="completion."/>
        <s v="Work package"/>
        <s v="The smallest item in the work breakdown"/>
        <s v="Cost aggregation Costs are parallel to each WBS work package. The costs of each work package are aggregated to their corresponding control accounts. Each control account then is aggregated to the sum of the project costs. Cost baseline A time-lapse exposure of when the project monies are to be spent in relation to cumulative values of the work completed in the project. Cost budgeting The cost aggregation achieved by assigning specific dollar amounts for each of the scheduled activities or, more likely, for each of the work packages in the WBS. Cost budgeting applies the cost estimates over time. Cost change control system A system that examines any changes associated with scope changes, the cost of materials, and the cost of any other resources, and the associated impact on the overall project cost. Cost management plan The cost management plan dictates how cost variances will be managed. Cost of poor quality The monies spent to recover from not adhering to the expected level of quality. Examples may include rework, defect repair, loss of life or limb because safety precautions were not taken, loss of sales, and loss of customers. This is also known as the cost of nonconformance to quality. Cost of quality The monies spent to attain the expected level of quality within a project. Examples include training, testing, and safety precautions. Cost performance index (CPI) Measures the project based on its financial performance. The formula is CPI = EV/AC."/>
        <s v="Cost variance (CV)"/>
        <s v="The difference of the earned value"/>
        <s v="amount and the cumulative actual costs"/>
        <s v="of the project. The formula is CV = EV –"/>
        <s v="AC."/>
        <s v="Definitive estimate"/>
        <s v="This estimate type is one of the most"/>
        <s v="accurate. It’s used late in the planning"/>
        <s v="processes and is associated with bottomup"/>
        <s v="estimating. You need the WBS in"/>
        <s v="order to create the definitive estimate."/>
        <s v="The range of variance for the estimate"/>
        <s v="can be from –5 percent to +10 percent."/>
        <s v="Direct costs"/>
        <s v="Costs are attributed directly to the project"/>
        <s v="work and cannot be shared among"/>
        <s v="projects (for example, airfare, hotels,"/>
        <s v="long-distance phone charges, and so on)."/>
        <s v="Earned value (EV)"/>
        <s v="Earned value is the physical work"/>
        <s v="completed to date and the authorized"/>
        <s v="budget for that work. It is the percentage"/>
        <s v="of the BAC that represents the actual"/>
        <s v="work completed in the project."/>
        <s v="Estimate at completion (EAC)"/>
        <s v="These forecasting formulas predict the"/>
        <s v="likely completed costs of the project"/>
        <s v="based on current scenarios within the"/>
        <s v="Estimate to complete (ETC)"/>
        <s v="An earned value management formula"/>
        <s v="that predicts how much funding the"/>
        <s v="project will require to be completed."/>
        <s v="Three variations of this formula are based"/>
        <s v="on conditions the project may be"/>
        <s v="experiencing."/>
        <s v="Fixed costs"/>
        <s v="Costs that remain constant throughout"/>
        <s v="the life of the project (the cost of a piece"/>
        <s v="of rented equipment for the project, the"/>
        <s v="cost of a consultant brought on to the"/>
        <s v="project, and so on)."/>
        <s v="Funding limit reconciliation"/>
        <s v="An organization’s approach to managing"/>
        <s v="cash flow against the project deliverables"/>
        <s v="based on a schedule, milestone"/>
        <s v="accomplishment, or data constraints."/>
        <s v="Indirect costs"/>
        <s v="Costs that are representative of more"/>
        <s v="than one project (for example, utilities for"/>
        <s v="the performing organization, access to a"/>
        <s v="training room, project management"/>
        <s v="software license, and so on)."/>
        <s v="Known unknown"/>
        <s v="An event that will likely happen within the"/>
        <s v="project, but when it will happen and to"/>
        <s v="what degree is unknown. These events,"/>
        <s v="such as delays, are usually risk-related."/>
        <s v="Learning curve"/>
        <s v="An approach that assumes the cost per"/>
        <s v="unit decreases the more units workers"/>
        <s v="complete, because workers learn as they"/>
        <s v="complete the required work."/>
        <s v="Oligopoly"/>
        <s v="A market condition where the market is"/>
        <s v="so tight that the actions of one vendor"/>
        <s v="affect the actions of all the others."/>
        <s v="Opportunity cost"/>
        <s v="The total cost of the opportunity that is"/>
        <s v="refused to realize an opposing"/>
        <s v="opportunity."/>
        <s v="Parametric estimating"/>
        <s v="An approach using a parametric model to"/>
        <s v="extrapolate what costs will be needed for"/>
        <s v="a project (for example, cost per hour and"/>
        <s v="cost per unit). It can include variables and"/>
        <s v="points based on conditions."/>
        <s v="Planned value (PV)"/>
        <s v="Planned value is the work scheduled and"/>
        <s v="the budget authorized to accomplish that"/>
        <s v="work. It is the percentage of the BAC that"/>
        <s v="reflects where the project should be at"/>
        <s v="this point in time."/>
        <s v="Project variance"/>
        <s v="The final variance, which is discovered"/>
        <s v="only at the project’s completion. The"/>
        <s v="formula is VAR = BAC – AC."/>
        <s v="This is a statistical approach to predicting"/>
        <s v="what future values may be, based on"/>
        <s v="historical values. Regression analysis"/>
        <s v="creates quantitative predictions based on"/>
        <s v="variables within one value to predict"/>
        <s v="variables in another. This form of"/>
        <s v="estimating relies solely on pure statistical"/>
        <s v="math to reveal relationships between"/>
        <s v="variables and to predict future values."/>
        <s v="Reserve analysis"/>
        <s v="Cost reserves are for unknown unknowns"/>
        <s v="within a project. The management"/>
        <s v="reserve is not part of the project cost"/>
        <s v="baseline, but is included as part of the"/>
        <s v="project budget."/>
        <s v="Rough order of magnitude"/>
        <s v="This rough estimate is used during the"/>
        <s v="initiating processes and in top-down"/>
        <s v="estimates. The range of variance for the"/>
        <s v="estimate can be from –25 percent to +75"/>
        <s v="percent."/>
        <s v="Schedule performance index (SPI)"/>
        <s v="Measures the project based on its"/>
        <s v="schedule performance. The formula is"/>
        <s v="SPI = EV/PV."/>
        <s v="Schedule variance (SV)"/>
        <s v="The difference between the earned value"/>
        <s v="and the planned value. The formulas is"/>
        <s v="SV = EV – PV."/>
        <s v="Single source"/>
        <s v="Many vendors can provide what your"/>
        <s v="project needs to purchase, but you prefer"/>
        <s v="to work with a specific vendor."/>
        <s v="Sole source"/>
        <s v="Only one vendor can provide what your"/>
        <s v="project needs to purchase. Examples"/>
        <s v="include a specific consultant, specialized"/>
        <s v="service, or unique type of material."/>
        <s v="Sunk costs"/>
        <s v="Monies that have already been invested"/>
        <s v="in a project."/>
        <s v="To-Complete Performance Index"/>
        <s v="A formula to forecast the likelihood of a"/>
        <s v="project to achieve its goals based on"/>
        <s v="what’s happening in the project right now."/>
        <s v="There are two different flavors for the"/>
        <s v="TCPI, depending on what you want to"/>
        <s v="accomplish. If you want to see if your"/>
        <s v="project can meet the budget at"/>
        <s v="completion, you’ll use this formula: TCPI"/>
        <s v="= (BAC – EV)/(BAC – AC). If you want to"/>
        <s v="see if your project can meet the newly"/>
        <s v="created estimate at completion, you’ll use"/>
        <s v="this version of the formula: TCPI = (BAC"/>
        <s v="– EV)/(EAC – AC)."/>
        <s v="Variable costs"/>
        <s v="Costs that change based on the"/>
        <s v="conditions applied in the project (the"/>
        <s v="number of meeting participants, the"/>
        <s v="supply of and demand for materials, and"/>
        <s v="so on)."/>
        <s v="Variance"/>
        <s v="The difference between what was"/>
        <s v="expected and what was experienced."/>
        <s v="Variance at completion (VAC)"/>
        <s v="A forecasting formula that predicts how"/>
        <s v="much of a variance the project will likely"/>
        <s v="have based on current conditions within"/>
        <s v="the project. The formula is VAC = BAC –"/>
        <s v="EAC."/>
        <s v="Activity network diagram"/>
        <s v="These diagrams, such as the project network"/>
        <s v="diagram, show the flow of the project work."/>
        <s v="Affinity diagram"/>
        <s v="This diagram breaks down ideas, solutions,"/>
        <s v="causes, and project components and groups"/>
        <s v="them together with other similar ideas and"/>
        <s v="components."/>
        <s v="Benchmarking"/>
        <s v="Comparing any two similar entities to measure"/>
        <s v="their performance."/>
        <s v="Cause-and-effect diagrams"/>
        <s v="Diagrams that show the relationship between"/>
        <s v="variables within a process and how those"/>
        <s v="relationships may contribute to inadequate"/>
        <s v="quality. The diagrams can help organize both the"/>
        <s v="process and team opinions, as well as generate"/>
        <s v="discussion on finding a solution to ensure quality."/>
        <s v="Checklist"/>
        <s v="A simple approach to ensure that work is"/>
        <s v="completed according to the quality policy."/>
        <s v="Control chart"/>
        <s v="A quality control chart that maps the"/>
        <s v="performance of project work over time."/>
        <s v="Control quality"/>
        <s v="An inspection-driven process that measures work"/>
        <s v="results to confirm that the project is meeting the"/>
        <s v="relevant quality standards."/>
        <s v="Cost of conformance"/>
        <s v="This is the cost associated with the monies spent"/>
        <s v="to attain the expected level of quality. It is also"/>
        <s v="known as the cost of quality."/>
        <s v="Cost of nonconformance to quality"/>
        <s v="The cost associated with not satisfying quality"/>
        <s v="expectations. This is also known as the cost of"/>
        <s v="poor quality."/>
        <s v="Cost-benefit analysis"/>
        <s v="A process to study the trade-offs between costs"/>
        <s v="and the benefits realized from those costs."/>
        <s v="Design of experiments"/>
        <s v="An approach that relies on statistical scenarios to"/>
        <s v="determine what variables within a project will"/>
        <s v="result in the best outcome."/>
        <s v="External QA"/>
        <s v="Assurance provided to the external customers of"/>
        <s v="Flowchart"/>
        <s v="A diagram illustrating how components within a"/>
        <s v="system are related. Flowcharts show the relation"/>
        <s v="between components, as well as help the project"/>
        <s v="team determine where quality issues may be"/>
        <s v="present and, once done, plan accordingly."/>
        <s v="Internal QA"/>
        <s v="Assurance provided to management and the"/>
        <s v="ISO"/>
        <s v="The abbreviation for the International"/>
        <s v="Organization for Standardization. ISO is Greek for"/>
        <s v="“equal,” while “International Organization for"/>
        <s v="Standardization” in a different language would"/>
        <s v="be abbreviated differently. The organization"/>
        <s v="elected to use “ISO” for all languages."/>
        <s v="Matrix diagram"/>
        <s v="A data analysis table that shows the strength"/>
        <s v="between variables and relationships in the"/>
        <s v="matrix."/>
        <s v="Pareto diagram"/>
        <s v="A histogram that illustrates and ranks categories"/>
        <s v="of failure within a project."/>
        <s v="Quality"/>
        <s v="According to ASQ, the degree to which a set of"/>
        <s v="inherent characteristics fulfills requirements."/>
        <s v="Quality assurance"/>
        <s v="A management process that defines the quality"/>
        <s v="system or quality policy that a project must"/>
        <s v="adhere to. QA aims to plan quality into the"/>
        <s v="project rather than to inspect quality into a"/>
        <s v="This plan defines how the project team will"/>
        <s v="implement and fulfill the quality policy of the"/>
        <s v="Quality metrics"/>
        <s v="The operational definitions that specify the"/>
        <s v="measurements within a project and the expected"/>
        <s v="targets for quality and performance."/>
        <s v="Quality planning"/>
        <s v="The process of first determining which quality"/>
        <s v="standards are relevant to your project and then"/>
        <s v="finding out the best methods of adhering to"/>
        <s v="those quality standards."/>
        <s v="Rule of Seven"/>
        <s v="A component of a control chart that illustrates"/>
        <s v="the results of seven measurements on one side"/>
        <s v="of the mean, which is considered “out of control”"/>
        <s v="in the project."/>
        <s v="Run chart"/>
        <s v="A quality control tool that shows the results of"/>
        <s v="inspection in the order in which they’ve"/>
        <s v="occurred. The goal of a run chart is first to"/>
        <s v="demonstrate the results of a process over time"/>
        <s v="and then to use trend analysis to predict when"/>
        <s v="certain trends may reemerge."/>
        <s v="Scatter diagram"/>
        <s v="A quality control tool that tracks the relationship"/>
        <s v="between two variables over time. The two"/>
        <s v="variables are considered related the closer they"/>
        <s v="track against a diagonal line."/>
        <s v="Seven basic quality tools"/>
        <s v="These seven tools are used in quality planning"/>
        <s v="and in quality control: cause-and-effect diagrams,"/>
        <s v="flowcharts, check sheets, Pareto diagrams,"/>
        <s v="histograms, control charts, and scatter diagrams."/>
        <s v="Statistical sampling"/>
        <s v="A process of choosing a percentage of results at"/>
        <s v="random. For example, a project creating a"/>
        <s v="medical device may have 20 percent of all units"/>
        <s v="randomly selected to check for quality."/>
        <s v="System or process flowcharts"/>
        <s v="Flowcharts that illustrate the flow of a process"/>
        <s v="through a system, such as a project change"/>
        <s v="request through the change control system, or"/>
        <s v="work authorization through a quality control"/>
        <s v="process."/>
        <s v="Tree diagram"/>
        <s v="Tree diagrams show the hierarchies and"/>
        <s v="decomposition of a solution, an organization, or a"/>
        <s v="project team. The WBS and an org chart are"/>
        <s v="examples of tree diagrams."/>
        <s v="Trend analysis"/>
        <s v="The science of using past results to predict future"/>
        <s v="performance."/>
        <s v="Work performance information The results of the project work as needed. This includes technical performance measures, project status, information on what the project has created to date, corrective actions, and performance reports."/>
        <s v="Adjourning"/>
        <s v="Once the project is done, either the team moves"/>
        <s v="onto other assignments as a unit, or the project"/>
        <s v="team is disbanded and individual team members"/>
        <s v="go on to other work."/>
        <s v="Authority power"/>
        <s v="Project management team members may have"/>
        <s v="authority over other project team members, may"/>
        <s v="have the ability to make decisions, and perhaps"/>
        <s v="even sign approvals for project work and"/>
        <s v="purchases."/>
        <s v="Coercive power"/>
        <s v="The project manager has the authority to"/>
        <s v="discipline the project team members. This is also"/>
        <s v="known as penalty power."/>
        <s v="Collaborate/Problem solving"/>
        <s v="This approach confronts the problem head-on"/>
        <s v="and is the preferred method of conflict"/>
        <s v="resolution. Multiple viewpoints and perspectives"/>
        <s v="contribute to the solution."/>
        <s v="Collective bargaining agreement constraints"/>
        <s v="Contracts and agreements with unions or other"/>
        <s v="employee groups may serve as constraints on the"/>
        <s v="Competency"/>
        <s v="This attribute defines what talents, skills, and"/>
        <s v="capabilities are needed to complete the project"/>
        <s v="Compromising"/>
        <s v="This approach requires that both parties give up"/>
        <s v="something."/>
        <s v="Vroom’s Expectancy Theory"/>
        <s v="This theory states that people will behave based"/>
        <s v="on what they expect as a result of their behavior."/>
        <s v="In other words, people will work in relation to"/>
        <s v="the expected reward."/>
        <s v="The project manager’s authority comes both"/>
        <s v="from experience with the technology the project"/>
        <s v="focuses on and from expertise in managing"/>
        <s v="projects."/>
        <s v="Forcing power The person with the power makes the decision."/>
        <s v="Formal power"/>
        <s v="The project manager has been assigned the role"/>
        <s v="of project manager by senior management and is"/>
        <s v="in charge of the project."/>
        <s v="Forming"/>
        <s v="The project team meets and learns about their"/>
        <s v="roles and responsibilities on the project. Little"/>
        <s v="interaction among the project team happens in"/>
        <s v="this stage as the team is learning about the"/>
        <s v="project and project manager."/>
        <s v="Herzberg’s Theory of Motivation"/>
        <s v="Frederick Herzberg’s theory of the motivating"/>
        <s v="agents and hygiene agents that affect a person’s"/>
        <s v="willingness to excel in his career."/>
        <s v="Hierarchical organizational chart"/>
        <s v="A chart showing the relationship between"/>
        <s v="superior and subordinate employees, groups,"/>
        <s v="disciplines, and even departments."/>
        <s v="A logbook of the issues the project team has"/>
        <s v="identified and dates as to when the issues must"/>
        <s v="be resolved by. The issue log may also include"/>
        <s v="team members or stakeholders who are"/>
        <s v="responsible for finding a solution to the identified"/>
        <s v="issues."/>
        <s v="Maslow’s Hierarchy of Needs"/>
        <s v="Abraham Maslow’s theory of the five needs all"/>
        <s v="humans have and work toward."/>
        <s v="McClelland’s Theory of Needs"/>
        <s v="David McClelland developed this theory, which"/>
        <s v="states our needs are acquired and developed by"/>
        <s v="our experiences over time. All people are,"/>
        <s v="according to this theory, driven by one of three"/>
        <s v="needs: achievement, affiliation, or power."/>
        <s v="McGregor’s Theory of X and Y"/>
        <s v="Douglas McGregor’s theory that states"/>
        <s v="management views workers in the Y category as"/>
        <s v="competent and self-led and workers in the X"/>
        <s v="category as incompetent and needing to be"/>
        <s v="micromanaged."/>
        <s v="Multicriteria Decision Analysis"/>
        <s v="A method to rate potential project team"/>
        <s v="members based on criteria such as education,"/>
        <s v="experience, skills, knowledge, and more."/>
        <s v="Norming"/>
        <s v="Project team members go about getting the"/>
        <s v="project work, begin to rely on one another, and"/>
        <s v="generally complete their project assignments."/>
        <s v="Organization chart"/>
        <s v="Traditional chart that depicts how the"/>
        <s v="organization is broken down by department and"/>
        <s v="disciplines. This chart is sometimes called the"/>
        <s v="organizational breakdown structure (OBS) and is"/>
        <s v="arranged by departments, units, or teams."/>
        <s v="Ouchi’s Theory Z"/>
        <s v="William Ouchi’s theory is based on the"/>
        <s v="participative management style of the Japanese."/>
        <s v="This theory states that workers are motivated by"/>
        <s v="a sense of commitment, opportunity, and"/>
        <s v="advancement."/>
        <s v="Performing"/>
        <s v="If a project team can reach the performing stage"/>
        <s v="of team development, they trust one another,"/>
        <s v="work well together, and issues and problems get"/>
        <s v="resolved quickly and effectively."/>
        <s v="Political interfaces"/>
        <s v="The hidden goals, personal agendas, and"/>
        <s v="alliances among the project team members and"/>
        <s v="RACI chart"/>
        <s v="A RACI chart is a matrix chart that only uses the"/>
        <s v="activities of responsible, accountable, consult,"/>
        <s v="and inform."/>
        <s v="The project team personally knows the project"/>
        <s v="manager. Referent can also mean that the"/>
        <s v="project manager refers to the person who"/>
        <s v="assigned him the position."/>
        <s v="This hierarchical chart can decompose the"/>
        <s v="project by the type of resources used throughout"/>
        <s v="it."/>
        <s v="Responsibility assignment matrix (RAM)"/>
        <s v="A RAM chart shows the correlation between"/>
        <s v="project team members and the work they’ve"/>
        <s v="been assigned to complete."/>
        <s v="Responsibility A responsibility is the work that a role performs."/>
        <s v="Resource management plan"/>
        <s v="This plan defines staff acquisition, the timetable"/>
        <s v="for staff acquisition, the staff release plan,"/>
        <s v="training needs for the project team, any"/>
        <s v="organizational compliance issues, rewards and"/>
        <s v="recognitions, and safety concerns for the project team doing the project work. Reward The project manager has the authority to reward the project team. Role This denotes what a person is specifically responsible for in a project. Roles are usually tied to job titles, such as network engineer, mechanical engineer, and electrician. Smoothing This approach smooths out the conflict by minimizing the perceived size of the problem. It is a temporary solution, but can calm team relations and boisterous discussions. Storming The project team struggles for project positions, leadership, and project direction. The project team can become hostile toward the project leader, challenge ideas, and try to establish and claim positions about the project work. The amount of debate and fury can vary depending on if the project team is willing to work together, the nature of the project, and the control of the project manager. Technical interfaces The project team identifies the disciplines and specialties that the project will require to complete the project scope statement. The technical interfaces are the resources that will be doing the project work. Withdrawal This conflict resolution method sees one side of the argument walking away from the problem, usually in disgust."/>
        <s v="Acknowledgment"/>
        <s v="The receiver signals that the message has been"/>
        <s v="received. An acknowledgment shows receipt of"/>
        <s v="the message, but not necessarily agreement with"/>
        <s v="the message."/>
        <s v="The receiver confirms that the message is being"/>
        <s v="received through feedback, questions, prompts"/>
        <s v="for clarity, and other signs of confirmation."/>
        <s v="Choice of media"/>
        <s v="The best modality to use when communicating"/>
        <s v="that is relevant to the information being"/>
        <s v="communicated."/>
        <s v="Communication assumptions"/>
        <s v="Anything that the project management team"/>
        <s v="believes to be true but hasn’t proven to be true."/>
        <s v="For example, the project management team may"/>
        <s v="assume that all of the project team can be"/>
        <s v="reached via cell phone, but parts of the world, as"/>
        <s v="of this writing, don’t have a cell signal."/>
        <s v="Communication barrier"/>
        <s v="Anything that prohibits communication from"/>
        <s v="occurring."/>
        <s v="Communication channels formula"/>
        <s v="N(N – 1)/2, where N represents the number of"/>
        <s v="identified stakeholders. This formula reveals the"/>
        <s v="total number of communication channels within"/>
        <s v="a project."/>
        <s v="Communication constraints"/>
        <s v="Anything that limits the project management"/>
        <s v="team’s options. When it comes to"/>
        <s v="communication constraints, geographical locales,"/>
        <s v="incompatible communications software, and"/>
        <s v="even limited communications technology can"/>
        <s v="constrain the project team."/>
        <s v="A project management subsidiary plan that"/>
        <s v="defines the stakeholders who need specific"/>
        <s v="information, the person who will supply the"/>
        <s v="information, the schedule for the information to"/>
        <s v="be supplied, and the approved modality to"/>
        <s v="provide the information."/>
        <s v="Decoder"/>
        <s v="The device that decodes a message as it is being"/>
        <s v="received."/>
        <s v="Effective listening"/>
        <s v="The receiver is involved in the listening"/>
        <s v="experience by paying attention to visual cues"/>
        <s v="from the speaker and paralingual characteristics,"/>
        <s v="and by asking relevant questions."/>
        <s v="Encoder The device that encodes the message being sent."/>
        <s v="Feedback"/>
        <s v="The sender confirms that the receiver"/>
        <s v="understands the message by directly asking for a"/>
        <s v="response, questions for clarification, or other"/>
        <s v="confirmation."/>
        <s v="Influence/impact grid"/>
        <s v="Stakeholders are mapped on a grid based on"/>
        <s v="their influence over the project in relation to"/>
        <s v="their influence over the project execution."/>
        <s v="Information presentation tools"/>
        <s v="A software package that allows the project"/>
        <s v="management team to present the project’s"/>
        <s v="health through graphics, spreadsheets, and text."/>
        <s v="(Think of Microsoft Project.)"/>
        <s v="Information retrieval system"/>
        <s v="A system to quickly and effectively store, archive,"/>
        <s v="and access project information."/>
        <s v="Interactive communication"/>
        <s v="This is the most common and most effective"/>
        <s v="approach to communication. It’s where two or"/>
        <s v="more people exchange information. Consider"/>
        <s v="status meetings, ad-hoc meetings, phone calls,"/>
        <s v="and videoconferences."/>
        <s v="Lessons learned"/>
        <s v="This is documentation of what did and did not"/>
        <s v="work in the project implementation. Lessons"/>
        <s v="learned documentation is created throughout"/>
        <s v="the project by the entire project team. When"/>
        <s v="lessons learned sessions are completed, they’re"/>
        <s v="available to be used and applied by the entire"/>
        <s v="organization. They are now part of the"/>
        <s v="organizational process assets."/>
        <s v="Medium"/>
        <s v="The device or technology that transports a"/>
        <s v="message."/>
        <s v="Noise"/>
        <s v="Anything that interferes with or disrupts a"/>
        <s v="Nonverbal"/>
        <s v="Facial expressions, hand gestures, and body"/>
        <s v="language are nonverbal cues that contribute to a"/>
        <s v="message. Approximately 55 percent of"/>
        <s v="communication is nonverbal."/>
        <s v="Paralingual"/>
        <s v="The pitch, tone, and inflections in the sender’s"/>
        <s v="voice affecting the message being sent."/>
        <s v="Performance report"/>
        <s v="A report that depicts how well a project is"/>
        <s v="performing. Often, the performance report is"/>
        <s v="based on earned value management and may"/>
        <s v="include cost or schedule variance reports."/>
        <s v="Project presentations"/>
        <s v="Presentations are useful in providing information"/>
        <s v="to customers, management, the project team,"/>
        <s v="and other stakeholders."/>
        <s v="Project records"/>
        <s v="All the business of the project communications is"/>
        <s v="also part of the organizational process assets."/>
        <s v="This includes e-mails, memos, letters, and faxes."/>
        <s v="Project reports"/>
        <s v="Reports are formal communications on project"/>
        <s v="activities, their status, and conditions."/>
        <s v="Pull communication"/>
        <s v="This approach pulls the information from a"/>
        <s v="central repository, like a database of information."/>
        <s v="Pull communications are good for large groups of"/>
        <s v="stakeholders who want to access project"/>
        <s v="information at their discretion. Consider a project"/>
        <s v="web site where stakeholders can periodically"/>
        <s v="drop by for a quick update on the project status."/>
        <s v="Push communication"/>
        <s v="This approach pushes the information from the"/>
        <s v="sender to the receiver without any real"/>
        <s v="acknowledgment that the information was really"/>
        <s v="received or understood. Consider letters, faxes,"/>
        <s v="voicemail messages, e-mails, and other"/>
        <s v="communications modalities that the sender"/>
        <s v="packages and sends to receivers through some"/>
        <s v="intermediary network."/>
        <s v="Receiver The person who receives the message."/>
        <s v="Sender The person who is sending the message. Sender–receiver models Feedback loops and barriers to communications. Stakeholder notifications Notices to the stakeholders about resolved issues, approved changes, and the overall health of the project. Status review meeting A regularly scheduled meeting to discuss the status of the project and its progress toward completing the project scope statement. Time reporting system A system to record the actual time to complete project activities."/>
        <s v="Acceptance"/>
        <s v="A risk response appropriate for both positive and"/>
        <s v="negative risks, but often used for smaller risks"/>
        <s v="within a project."/>
        <s v="Ambiguity risks"/>
        <s v="Risks that have an uncertain, unclear nature, such"/>
        <s v="as new laws or regulations, the marketplace"/>
        <s v="conditions, and other risks that are nearly"/>
        <s v="impossible to predict."/>
        <s v="Avoidance A risk response to avoid the risk."/>
        <s v="The most common approach to risk"/>
        <s v="identification; usually completed by a project"/>
        <s v="team with subject matter experts to identify the"/>
        <s v="risks within the project."/>
        <s v="Business risks"/>
        <s v="These risks may have negative or positive"/>
        <s v="outcomes. Examples include using a less"/>
        <s v="experienced worker to complete a task, allowing"/>
        <s v="phases or activities to overlap, or forgoing the"/>
        <s v="expense of formal training for on-the-job"/>
        <s v="education."/>
        <s v="Cardinal scales"/>
        <s v="A ranking approach to identify the probability"/>
        <s v="and impact by using a numerical value, from .01"/>
        <s v="(very low) to 1.0 (certain)."/>
        <s v="Checklists"/>
        <s v="A quick and cost-effective risk identification"/>
        <s v="approach."/>
        <s v="Data precision"/>
        <s v="The consideration of the risk ranking scores that"/>
        <s v="takes into account any bias, the accuracy of the"/>
        <s v="data submitted, and the reliability of the nature"/>
        <s v="of the data submitted."/>
        <s v="Decision tree"/>
        <s v="A method to determine which of two or more"/>
        <s v="decisions is the best one. The model examines"/>
        <s v="the costs and benefits of each decision’s outcome"/>
        <s v="and weighs the probability of success for each of"/>
        <s v="the decisions."/>
        <s v="Delphi Technique"/>
        <s v="An anonymous method of querying experts about"/>
        <s v="foreseeable risks within a project, phase, or"/>
        <s v="component of a project. The results of the survey"/>
        <s v="are analyzed by a third party, organized, and then"/>
        <s v="circulated to the experts. There can be several"/>
        <s v="rounds of anonymous discussion with the Delphi"/>
        <s v="Technique, without fear of backlash or offending"/>
        <s v="other participants in the process. The goal is to"/>
        <s v="gain consensus on project risks within the"/>
        <s v="Enhancing"/>
        <s v="A risk response that attempts to enhance the"/>
        <s v="conditions to ensure that a positive risk event will"/>
        <s v="likely happen."/>
        <s v="Escalating"/>
        <s v="A risk response that is appropriate for both"/>
        <s v="positive and negative risk events that may"/>
        <s v="outside of the project manager’s authority to act"/>
        <s v="upon."/>
        <s v="Expected monetary value (EMV)"/>
        <s v="The monetary value of a risk exposure based on"/>
        <s v="the risk’s probability and impact in the risk"/>
        <s v="matrix. This approach is typically used in"/>
        <s v="quantitative risk analysis because it quantifies the"/>
        <s v="risk exposure."/>
        <s v="Exploit"/>
        <s v="A risk response that takes advantage of the"/>
        <s v="positive risks within a project."/>
        <s v="External risks"/>
        <s v="These risks are outside of the project, but directly"/>
        <s v="affect it—for example, legal issues, labor issues, a"/>
        <s v="shift in project priorities, or weather. “Force"/>
        <s v="majeure” risks call for disaster recovery rather"/>
        <s v="than project management. These are risks caused"/>
        <s v="by earthquakes, tornadoes, floods, civil unrest,"/>
        <s v="and other disasters."/>
        <s v="Flowcharts"/>
        <s v="System or process flowcharts show the"/>
        <s v="relationship between components and how the"/>
        <s v="overall process works. These are useful for"/>
        <s v="identifying risks between system components."/>
        <s v="Influence diagrams"/>
        <s v="An influence diagram charts out a decision"/>
        <s v="problem. It identifies all of the elements,"/>
        <s v="variables, decisions, and objectives and also how"/>
        <s v="each factor may influence another."/>
        <s v="Ishikawa diagrams"/>
        <s v="These cause-and-effect diagrams are also called"/>
        <s v="fishbone diagrams and are used to find the root"/>
        <s v="cause of factors that are causing risks within the"/>
        <s v="Low-priority risk watch list"/>
        <s v="Low-priority risks are identified and assigned to a"/>
        <s v="watch list for periodic monitoring."/>
        <s v="Mitigation"/>
        <s v="A risk response effort to reduce the probability"/>
        <s v="and/or impact of an identified risk in the project."/>
        <s v="Monte Carlo technique"/>
        <s v="A simulation technique that got its name from"/>
        <s v="the casinos of Monte Carlo, Monaco. The"/>
        <s v="simulation is completed using a computer"/>
        <s v="software program that can simulate a project,"/>
        <s v="using values for all possible variables, to predict"/>
        <s v="the most likely model."/>
        <s v="Ordinal scales"/>
        <s v="A ranking approach that identifies and ranks the"/>
        <s v="risks from very high to very unlikely or to some"/>
        <s v="other value."/>
        <s v="Organizational risks"/>
        <s v="The performing organization can contribute to"/>
        <s v="the project’s risks through unreasonable cost,"/>
        <s v="time, and scope expectations; poor project"/>
        <s v="prioritization; inadequate funding or the"/>
        <s v="disruption of funding; and competition with other"/>
        <s v="projects for internal resources."/>
        <s v="PESTLE"/>
        <s v="A prompt list used for risk identification. PESTLE"/>
        <s v="examines risks in the Political, Economic, Social,"/>
        <s v="Technological, Legal, and Environmental"/>
        <s v="domains."/>
        <s v="Probability and impact matrix"/>
        <s v="A matrix that ranks the probability of a risk event"/>
        <s v="occurring and its impact on the project if the"/>
        <s v="event does happen; used in qualitative and"/>
        <s v="quantitative risk analyses."/>
        <s v="Project management risks"/>
        <s v="These risks deal with faults in the management of"/>
        <s v="the project: the unsuccessful allocation of time,"/>
        <s v="resources, and scheduling; unacceptable work"/>
        <s v="results; and poor project management."/>
        <s v="Pure risks"/>
        <s v="These risks have only a negative outcome."/>
        <s v="Examples include loss of life or limb, fire, theft,"/>
        <s v="natural disasters, and the like."/>
        <s v="Qualitative risk analysis"/>
        <s v="This approach “qualifies” the risks that have been"/>
        <s v="identified in the project. Specifically, qualitative"/>
        <s v="risk analysis examines and prioritizes risks based"/>
        <s v="on their probability of occurring and their impact"/>
        <s v="on the project should they occur."/>
        <s v="Quantitative risk analysis"/>
        <s v="This approach attempts to numerically assess the"/>
        <s v="probability and impact of the identified risks. It"/>
        <s v="also creates an overall risk score for the project."/>
        <s v="This method is more in-depth than qualitative"/>
        <s v="risk analysis and relies on several different tools"/>
        <s v="to accomplish its goal."/>
        <s v="RAG rating"/>
        <s v="An ordinal scale that uses red, amber, and green"/>
        <s v="(RAG) to capture the probability, impact, and risk"/>
        <s v="score."/>
        <s v="Residual risks"/>
        <s v="Risks that are expected to remain after a risk"/>
        <s v="response."/>
        <s v="Risk"/>
        <s v="A project risk is an uncertain event or condition"/>
        <s v="that can have a positive or negative impact on"/>
        <s v="Risk identification"/>
        <s v="The systematic process of combing through the"/>
        <s v="project, the project plan, the work breakdown"/>
        <s v="structure, and all supporting documentation to"/>
        <s v="identify as many risks that may affect the project"/>
        <s v="as possible."/>
        <s v="defines how risks will be identified, analyzed,"/>
        <s v="responded to, and monitored within the project."/>
        <s v="The plan also defines the iterative risk"/>
        <s v="management process that the project is expected"/>
        <s v="to adhere to."/>
        <s v="Risk management planning"/>
        <s v="The agreed-upon approach to the management"/>
        <s v="of the project risk processes."/>
        <s v="Risk owners"/>
        <s v="The individuals or entities that are responsible for"/>
        <s v="monitoring and responding to an identified risk"/>
        <s v="within the project."/>
        <s v="The risk register is a project plan component that"/>
        <s v="contains all of the information related to the risk"/>
        <s v="management activities. It’s updated as risk"/>
        <s v="management activities are conducted to reflect"/>
        <s v="the status, progress, and nature of the project"/>
        <s v="Risk report"/>
        <s v="The risk report explains the overall project risks"/>
        <s v="and provides summaries about the individual"/>
        <s v="project risks."/>
        <s v="Risk response audit"/>
        <s v="An audit to test the validity of the established risk"/>
        <s v="responses."/>
        <s v="Risk responsibilities"/>
        <s v="The level of ownership an individual or entity has"/>
        <s v="over a project risk."/>
        <s v="Risk score"/>
        <s v="The calculated score based on each risk’s"/>
        <s v="probability and impact. The approach can be"/>
        <s v="used in both qualitative and quantitative risk"/>
        <s v="analysis."/>
        <s v="Root cause identification"/>
        <s v="Root cause identification aims to find out why a"/>
        <s v="risk event may be occurring, the causal factors for"/>
        <s v="the risk events, and then, eventually, how the"/>
        <s v="events can be mitigated or eliminated."/>
        <s v="Secondary risks"/>
        <s v="New risks that are created as a result of a risk"/>
        <s v="Sensitivity analysis"/>
        <s v="A quantitative risk analysis tool that examines"/>
        <s v="each risk to determine which one has the largest"/>
        <s v="impact on the project’s success."/>
        <s v="Sharing"/>
        <s v="A risk response that shares the advantages of a"/>
        <s v="positive risk within a project."/>
        <s v="SWOT analysis"/>
        <s v="SWOT analysis is the process of examining the"/>
        <s v="project from the perspective of each"/>
        <s v="characteristic: strengths, weaknesses,"/>
        <s v="opportunities, and threats."/>
        <s v="TECOP"/>
        <s v="A prompt list used in risk identification to"/>
        <s v="examine the Technical, Environmental,"/>
        <s v="Commercial, Operational, and Political factors of"/>
        <s v="Technical, quality, or performance risks"/>
        <s v="Technical risks are associated with new,"/>
        <s v="unproven, or complex technologies being used on"/>
        <s v="the project. Changes to the technology during the"/>
        <s v="project implementation can also be a risk. Quality"/>
        <s v="risks are the levels set for expectations of"/>
        <s v="impractical quality and performance."/>
        <s v="Transference"/>
        <s v="A risk response that transfers the ownership of"/>
        <s v="the risk to another party. Insurance, licensed"/>
        <s v="contractors, or other project teams are good"/>
        <s v="examples of transference. A fee and contractual"/>
        <s v="relationships are typically involved with the"/>
        <s v="transference of a risk."/>
        <s v="Variability risks"/>
        <s v="A type of risk based on the variations that may"/>
        <s v="occur in the project, such as production, number"/>
        <s v="of quality errors, or even the weather."/>
        <s v="VUCA"/>
        <s v="A prompt list used in risk identification that"/>
        <s v="examines the Volatility, Uncertainty, Complexity,"/>
        <s v="and Ambiguity of risk factors within the project."/>
        <s v="Contract change control system This defines the procedures for how the contract may be changed. The process for changing the contract includes the forms; documented communications; tracking; conditions within the project, business, or marketplace that justify the needed change; dispute resolution procedures; and the procedures for getting the changes approved within the performing organization. Contract statement of work (SOW also CSOW) This document requires that the seller fully describe the work to be completed and/or the product to be supplied. The SOW becomes part of the contract between the buyer and the seller. Cost plus award fee contract A contract that pays the vendor all costs for the project, but also includes a buyer-determined award fee for the project work. Cost plus fixed fee contract A contract that requires the buyer to pay for the cost of the goods and services procured plus a fixed fee for the contracted work. The buyer assumes the risk of a cost overrun. Cost plus incentive fee A contract type that requires the buyer to pay a cost for the procured work, plus an incentive fee, or a bonus, for the work if terms and conditions are met. Cost plus percentage of costs A contract that requires the buyer to pay for the costs of the goods and services procured plus a percentage of the costs. The buyer assumes all of the risks for cost overruns. Direct costs These are costs incurred by the project in order for the project to exist. Examples include the equipment needed to complete the project work, salaries of the project team, and other expenses tied directly to the project’s existence."/>
        <s v="Fixed-price contracts"/>
        <s v="Also known as firm fixed-price and lumpsum"/>
        <s v="contracts, these are agreements that"/>
        <s v="define a total price for the product the"/>
        <s v="seller is to provide."/>
        <s v="Fixed-price incentive fee"/>
        <s v="A fixed-price contract with opportunities"/>
        <s v="for bonuses for meeting goals on costs,"/>
        <s v="schedule, and other objectives. These"/>
        <s v="contracts usually have a price ceiling for"/>
        <s v="costs and associated bonuses."/>
        <s v="Fixed-price with economic price"/>
        <s v="adjustments"/>
        <s v="A fixed-price contract with a special"/>
        <s v="allowance for price increases based on"/>
        <s v="economic reasons such as inflation or the"/>
        <s v="cost of raw materials."/>
        <s v="Force majeure"/>
        <s v="An “act of God” that may have a negative"/>
        <s v="impact on the project. Examples include"/>
        <s v="fire, hurricanes, tornadoes, and"/>
        <s v="earthquakes."/>
        <s v="Independent estimates"/>
        <s v="These estimates are often referred to as"/>
        <s v="“should cost” estimates. They are created"/>
        <s v="by the performing organization or outside"/>
        <s v="experts to predict what the cost of the"/>
        <s v="procured product should be."/>
        <s v="These are costs attributed to the cost of"/>
        <s v="doing business. Examples include"/>
        <s v="utilities, office space, and other overhead"/>
        <s v="costs."/>
        <s v="Invitation for Bid (IFB)"/>
        <s v="From buyer to seller. Requests the seller"/>
        <s v="to provide a price for the procured"/>
        <s v="product or service."/>
        <s v="Letter contract"/>
        <s v="A letter contract allows the vendor to"/>
        <s v="begin working on the project immediately."/>
        <s v="It is often used as a stopgap solution."/>
        <s v="Letter of intent"/>
        <s v="A letter of intent is not a contract, but a"/>
        <s v="letter stating that the buyer is intending to"/>
        <s v="create a contractual relationship with the"/>
        <s v="seller."/>
        <s v="Make-or-buy decision"/>
        <s v="A process in which the project"/>
        <s v="management team determines the costeffectiveness,"/>
        <s v="benefits, and feasibility of"/>
        <s v="making a product or buying it from a"/>
        <s v="vendor."/>
        <s v="Privity"/>
        <s v="The contractual relationship between the"/>
        <s v="buyer and the seller is often considered"/>
        <s v="confidential and secret."/>
        <s v="A project management subsidiary plan"/>
        <s v="that documents the decisions made in the"/>
        <s v="procurement planning processes."/>
        <s v="Procurement planning"/>
        <s v="A process to identify which parts of the"/>
        <s v="project warrant procurement from a"/>
        <s v="vendor by the buyer."/>
        <s v="Proposal"/>
        <s v="A document the seller provides to the"/>
        <s v="buyer. The proposal includes more than"/>
        <s v="just a fee for the proposed work. It also"/>
        <s v="includes information on the vendor’s"/>
        <s v="skills, the vendor’s reputation, and ideas"/>
        <s v="on how the vendor can complete the"/>
        <s v="contracted work for the buyer."/>
        <s v="Purchase order (PO)"/>
        <s v="A purchase order is a form of unilateral"/>
        <s v="contract that the buyer provides to the"/>
        <s v="vendor showing that the purchase has"/>
        <s v="been approved by the buyer’s"/>
        <s v="organization."/>
        <s v="Quotation"/>
        <s v="From seller to buyer. Price is the"/>
        <s v="determining factor in the decision-making"/>
        <s v="Request for Proposal (RFP)"/>
        <s v="to provide a proposal to complete the"/>
        <s v="procured work or to provide the procured"/>
        <s v="product."/>
        <s v="Request for Quote (RFQ)"/>
        <s v="Risk-related contractual agreements"/>
        <s v="When the project management team"/>
        <s v="decides to use transference to respond to"/>
        <s v="a risk, a risk-related contractual"/>
        <s v="agreement is created between the buyer"/>
        <s v="and the seller."/>
        <s v="Screening system"/>
        <s v="A tool that filters or screens out vendors"/>
        <s v="that don’t qualify for the contract."/>
        <s v="Seller rating systems"/>
        <s v="These are used by organizations to rate"/>
        <s v="prior experience with each vendor that"/>
        <s v="they have worked with in the past. The"/>
        <s v="seller rating system can track"/>
        <s v="performance, quality ratings, delivery,"/>
        <s v="and even contract compliance."/>
        <s v="Terms of Reference"/>
        <s v="Defines the obligations for the seller,"/>
        <s v="what the seller will provide, and all of the"/>
        <s v="particulars of the contracted work. Terms"/>
        <s v="of reference is similar to the statement of"/>
        <s v="Time and materials contract"/>
        <s v="A contract type in which the buyer pays"/>
        <s v="for the time and materials for the"/>
        <s v="procured work. This is a simple contract,"/>
        <s v="usually for smaller procurement"/>
        <s v="conditions. These contract types require"/>
        <s v="a not-to-exceed clause, or the buyer"/>
        <s v="assumes the risk for cost overruns."/>
        <s v="Weighting system"/>
        <s v="This takes out the personal preferences"/>
        <s v="of the decision maker in the organization"/>
        <s v="to ensure that the best seller is awarded"/>
        <s v="the contract. Weights are assigned to the"/>
        <s v="values of the proposals, and each"/>
        <s v="proposal is scored."/>
        <s v="Interactive communications"/>
        <s v="This type of communication means that"/>
        <s v="information is happening among stakeholders,"/>
        <s v="like in a forum. Examples of interactive"/>
        <s v="communications are meetings, videoconferences,"/>
        <s v="phone calls, and ad-hoc conversations."/>
        <s v="Interactive communications means that the"/>
        <s v="participants are actively communicating with one"/>
        <s v="another."/>
        <s v="Brain writing"/>
        <s v="A data gathering technique that’s similar to"/>
        <s v="brainstorming, but provides brainstorming"/>
        <s v="meeting participants with the questions and"/>
        <s v="topics for brainstorming before the stakeholder"/>
        <s v="identification meeting."/>
        <s v="Key stakeholder"/>
        <s v="Stakeholders—such as management, the project"/>
        <s v="manager, program manager, or customers—that"/>
        <s v="have the authority to make decisions in the"/>
        <s v="Leading stakeholder status"/>
        <s v="Part of stakeholder analysis classification. A"/>
        <s v="leading stakeholder is aware of your project, they"/>
        <s v="want your project to be successful, and the"/>
        <s v="stakeholder is working to make certain the"/>
        <s v="project is a success."/>
        <s v="Negative stakeholder"/>
        <s v="A stakeholder who does not want the project to"/>
        <s v="exist and is opposed to the project."/>
        <s v="Neutral stakeholder"/>
        <s v="A stakeholder who has neither a positive nor"/>
        <s v="negative attitude about the project’s existence."/>
        <s v="Neutral stakeholder status"/>
        <s v="neutral stakeholder is aware of your project and"/>
        <s v="is not concerned if the project succeeds or fails."/>
        <s v="Positive stakeholder"/>
        <s v="A stakeholder who sees the benefits of the"/>
        <s v="project and is in favor of the change the project is"/>
        <s v="to bring about."/>
        <s v="Profile analysis meeting This is an analysis meeting to examine and document the roles in the project. The role’s interests, concerns, influence, project knowledge, and attitude are documented. Pull communications This type of communication pulls information from a central repository. Pull communications allow stakeholders to retrieve information from a central source as needed. Push communications This type of communication happens when the sender pushes the same message to multiple people. Good examples of push communications are broadcast text messages, faxes, press releases, and group e-mails. Reporting system A reporting system is a software program to store and analyze project data for reporting. A common reporting system will take project data, allow the project manager to pass the data through earned value management, for example, and then create forecasting reports about the project costs and schedule. Resistant stakeholder status Part of stakeholder analysis classification. A resistant stakeholder is aware of your project, but they do not support the changes your project will create. Stakeholder Anyone who is affected by the existence of the project or who can affect the project’s existence. Stakeholders can enter and exit the project as conditions change within the project. Stakeholder analysis An activity that ranks stakeholders based on their influence, interests, and expectations of the project. Stakeholders are identified and ranked, and then their needs and expectations are documented and addressed. Stakeholder classification models These are charts and diagrams that help the project manager determine the influence of stakeholders in relation to their interest in the project. Common classification models include the power/interest grid, the power/influence grid, the influence/impact grid, and the salience model."/>
        <s v="Stakeholder engagement"/>
        <s v="The project manager works to keep the project"/>
        <s v="stakeholders interested, involved, and supportive"/>
        <s v="of the project. Through communication,"/>
        <s v="management skills, and interpersonal skills, the"/>
        <s v="project manager can work to keep the project"/>
        <s v="stakeholders engaged and interested in the"/>
        <s v="Stakeholder identification"/>
        <s v="A project initiation activity to identify, document,"/>
        <s v="and classify the project stakeholders as early as"/>
        <s v="possible in the project."/>
        <s v="Stakeholder management"/>
        <s v="The project management knowledge area that"/>
        <s v="focuses on the management and engagement of"/>
        <s v="the project stakeholders. There are four"/>
        <s v="processes in this knowledge area: identify"/>
        <s v="stakeholders, plan stakeholder management,"/>
        <s v="manage stakeholder engagement, and Monitor"/>
        <s v="Stakeholder Engagement."/>
        <s v="Stakeholder engagement plan"/>
        <s v="The stakeholder engagement plan documents a"/>
        <s v="strategy for managing the engagement of project"/>
        <s v="stakeholders. The stakeholder engagement plan"/>
        <s v="establishes stakeholder engagement and defines"/>
        <s v="how the project manager can increase and"/>
        <s v="improve stakeholder engagement."/>
        <s v="Stakeholder engagement planning"/>
        <s v="The project manager works with the project"/>
        <s v="team and subject matter experts to create a"/>
        <s v="strategy to manage the project stakeholders."/>
        <s v="Stakeholder register"/>
        <s v="A documentation of each stakeholder’s contact"/>
        <s v="information, position, concerns, interests, and"/>
        <s v="attitude toward the project. The project manager"/>
        <s v="updates the register as new stakeholders are"/>
        <s v="identified and when stakeholders leave the"/>
        <s v="Supportive stakeholder status"/>
        <s v="This is part of stakeholder analysis classification."/>
        <s v="A supportive stakeholder is aware of your project"/>
        <s v="and is supportive and hopeful that the project"/>
        <s v="will be successful."/>
        <s v="Unaware stakeholder status"/>
      </sharedItems>
    </cacheField>
    <cacheField name="x3" numFmtId="0">
      <sharedItems containsSemiMixedTypes="0" containsString="0" containsNumber="1" containsInteger="1" minValue="3" maxValue="1859"/>
    </cacheField>
    <cacheField name="x4" numFmtId="0">
      <sharedItems containsBlank="1" containsMixedTypes="1" containsNumber="1" containsInteger="1" minValue="1" maxValue="1"/>
    </cacheField>
    <cacheField name="x5" numFmtId="0">
      <sharedItems containsMixedTypes="1" containsNumber="1" containsInteger="1" minValue="1" maxValue="15" count="16">
        <s v="x"/>
        <n v="1"/>
        <n v="2"/>
        <n v="3"/>
        <n v="4"/>
        <n v="5"/>
        <n v="6"/>
        <n v="7"/>
        <n v="8"/>
        <n v="9"/>
        <n v="10"/>
        <n v="11"/>
        <n v="12"/>
        <n v="13"/>
        <n v="14"/>
        <n v="15"/>
      </sharedItems>
    </cacheField>
    <cacheField name="1" numFmtId="0">
      <sharedItems/>
    </cacheField>
    <cacheField name="2" numFmtId="0">
      <sharedItems longText="1"/>
    </cacheField>
    <cacheField name="3" numFmtId="0">
      <sharedItems longText="1"/>
    </cacheField>
    <cacheField name="4" numFmtId="0">
      <sharedItems containsBlank="1" longText="1"/>
    </cacheField>
    <cacheField name="5" numFmtId="0">
      <sharedItems containsBlank="1" longText="1"/>
    </cacheField>
    <cacheField name="6" numFmtId="0">
      <sharedItems containsBlank="1" longText="1"/>
    </cacheField>
    <cacheField name="7" numFmtId="0">
      <sharedItems containsBlank="1" longText="1"/>
    </cacheField>
    <cacheField name="8" numFmtId="0">
      <sharedItems containsBlank="1"/>
    </cacheField>
    <cacheField name="9" numFmtId="0">
      <sharedItems containsBlank="1"/>
    </cacheField>
    <cacheField name="10" numFmtId="0">
      <sharedItems containsBlank="1"/>
    </cacheField>
    <cacheField name="11" numFmtId="0">
      <sharedItems containsBlank="1" longText="1"/>
    </cacheField>
    <cacheField name="12" numFmtId="0">
      <sharedItems containsBlank="1"/>
    </cacheField>
    <cacheField name="13" numFmtId="0">
      <sharedItems containsBlank="1"/>
    </cacheField>
    <cacheField name="14" numFmtId="0">
      <sharedItems containsBlank="1"/>
    </cacheField>
    <cacheField name="15" numFmtId="0">
      <sharedItems containsBlank="1"/>
    </cacheField>
    <cacheField name="a" numFmtId="0">
      <sharedItems containsBlank="1" count="337" longText="1">
        <m/>
        <s v="A Guide to the Project Management Body of Knowledge (PMBOK Guide) The PMI publication that defines widely accepted project management practices. The CAPM and the PMP exam are based on this book.             "/>
        <s v="              "/>
        <s v="Application areas The areas of expertise, industry, or function where a project is centered. Examples of application areas include architecture, IT, health care, and manufacturing.             "/>
        <s v="Business value A quantifiable return on investment. The return can be tangible, such as equipment, money, or market share. The return can also be intangible, such as brand recognition, trademarks, and reputation.             "/>
        <s v="Certified Associate in Project Management (CAPM) A person who has slightly less project management experience than a PMP, but who has qualified for and then passed the CAPM examination.             "/>
        <s v="Cultural and social environment Defines how a project affects people and how those people may affect the project. Cultural and social environments include the economic, educational, ethical, religious, demographic, and ethnic composition of the people affected by the project.             "/>
        <s v="Deliverable A product, service, or result created by a project. Projects can have multiple deliverables.             "/>
        <s v="General management skills These include the application of accounting, procurement, sales and marketing, contracting, manufacturing, logistics, strategic planning, human resource management, standards and regulations, and information technology. International and political environment The consideration of the local and international laws, languages, communication challenges, time zone differences, and other non-collocated issues that affect a project’s ability to progress.           "/>
        <s v="Interpersonal skills The ability to interact, lead, motivate, and manage people.             "/>
        <s v="Iron Triangle of Project Management A triangle with the characteristics of time, cost, and scope. Time, cost, and scope each constitute one side of the triangle; if any side of the Iron Triangle is not in balance with the other sides, the project will suffer. The Iron Triangle of Project Management is also known as the Triple Constraints of Project Management, as all projects are constrained by time, cost, and scope.             "/>
        <s v="Physical environment The physical structure and surroundings that affect a project’s work.             "/>
        <s v="Process groups A collection of related processes in project management. There are five process groups and 49 project management processes. The five process groups are Initiating, Planning, Executing, Monitoring and Controlling, and Closing.             "/>
        <s v="Program A collection of related projects working in unison toward a common deliverable.             "/>
        <s v="Progressive elaboration The process of gathering project details. This process uses deductive reasoning, logic, and a series of information-gathering techniques to identify details about a project, product, or solution.             "/>
        <s v="Project A temporary endeavor to create a unique product, service, or result. The end result of a project is also called a deliverable.             "/>
        <s v="Project benefits management plan A documented created and maintained by the project sponsor and the project manager. The project benefits management plan defines what benefits the project will create, when the benefits will be realized, and how the benefits will be measured.             "/>
        <s v="Project business case Created and maintained by the project sponsor and shows the financial validity of why a project is chartered and launched within the organization. Typically, the project business case is created before the launch of the project and may be used as a go/no-go decision point.             "/>
        <s v="Project environment The location and culture of the environment where the project work will reside. The project environment includes the social, economic, and environmental variables the project must work with or around.             "/>
        <s v="Project Management Institute (PMI) An organization of project management professionals from around the world, supporting and promoting the careers, values, and concerns of project managers.             "/>
        <s v="Project life cycle The phases that make up the project. Project life cycles are unique to the type of work being performed and are not universal to all projects.             "/>
        <s v="Project management office (PMO) A central office that oversees all projects within an organization or within a functional department. A PMO supports the project manager through software, training, templates, policies, communication, dispute resolution, and other services.             "/>
        <s v="Project Management Professional (PMP) A person who has proven project management experience and has qualified for and then passed the PMP examination.             "/>
        <s v="Project portfolio management The management and selection of projects that support an organization’s vision and mission. It is the balance of project priority, risk, reward, and return on investment. This is a senior management process.             "/>
        <s v="Subprojects A smaller project managed within a larger, parent project. Subprojects are often contracted work whose deliverable allows the larger project to progress. Triple Constraints of Project Management Also known as the Iron Triangle. This theory posits that time, cost, and scope are three constraints that every project has.           "/>
        <s v="Work performance data Raw data, observations, and measurements about project components. Work performance data is gathered and stored in the project management information system.             "/>
        <s v="Work performance information Work performance information is the processed and analyzed data that will help the project manager make project decisions.             "/>
        <s v="Work performance reports Work performance reports is the formatted communication of work performance information. Work performance reports communicate what’s happening in the project through status reports, memos, dashboards, or other modalities. Hybrid structure An organization that creates a blend of the functional, matrix, and project-oriented structures. Multidivisional structure Describe organizations that have duplication of efforts within the organization, but not within each department or division of the organization. Project manager has little authority in this structure and the functional manager controls the project budget. Organic or simple Describes a loosely organized business or organization. There likely aren’t big formal departments and people work alongside one another regardless of roles and titles. The project manager likely has little control over the project resources and may not be called a project manager. Organizational process assets Organizational process assets include organizational processes, policies, procedures, and items from a corporate knowledge base. Organizational process assets are grouped into two categories to consider: processes, policies and procedures, and organizational knowledge bases. Organizational Knowledge Repositories Organizational knowledge repositories are the databases, files, and historical information that you can use to help better plan and manage your projects. This is an organizational process asset that is created internally to your organization through the ongoing work of operations and other projects. Organizational System A system can create things by working with multiple components that the individual components could not create if they worked alone. The structure of the organization and the governance framework creates constraints that affect how the project manager makes decisions within the project. The organizational system directly affects how the project manager utilizes their power, influence, leadership, and even political capital, to get things done in the environment. Project management office (PMO) A business unit that centralizes the operations and procedures of all projects within the organization. The PMO can be supportive, controlling, or directive. Project-oriented structure An organization that assigns a project team to one project for the duration of the project life cycle. The project manager has high-to-almost-complete project power. Strong matrix structure An organization where organizational resources are pooled into one project team, but the functional managers have less project power than the project manager. Virtual organization Uses a network structure to communicate and interact with other groups and departments. A point of contact exists for each department and these department point of contact receive and send all messages for the department. Weak matrix structure An organization where organizational resources are pooled into one project team, but the functional managers have more project power than the project manager.           "/>
        <s v="active listening The message receiver restates what’s been said to fully understand and confirm the message and it provides an opportunity for the sender to clarify the message if needed.         "/>
        <s v="active problem solving Active problem solving begins with problem definition. Problem definition is the ability to discern between the cause and effect of the problem. Root-cause analysis looks beyond the immediate symptoms to the cause of the symptoms—which then affords opportunities for solutions.      "/>
        <s v="avoiding power The project manager refuses to act, get involved, or make decisions.            "/>
        <s v="charismatic leadership The leader is motivating, has highenergy, and inspires the team through strong convictions about what’s possible and what the team can achieve. Positive thinking and a can-do mentality are characteristics of a charismatic leader.        "/>
        <s v="expert power The project manager has deep skills and experience in a discipline (for example, years of working in IT helps an IT project manager better manage IT projects). ingratiating power The project manager aims to gain favor with the project team and stakeholders through flattery.      "/>
        <s v="informational power The individual has power and control of the data gathering and distribution of information. interactional leadership The leader is a hybrid of transactional, transformational, and charismatic leaders. The interactional leader wants the team to act, is excited and inspired about the project work, yet still holds the team accountable for their results. guilt-based power The project manager can make the team and stakeholders feel guilty to gain compliance in the project. leadership Leadership is about aligning, motivating, and inspiring the project team members to do the right thing, build trust, think creatively, and to challenge the status quo. laissez-faire leadership The leader takes a “hands-off” approach to the project. This means the project team makes decisions, takes initiative in the actions, and creates goals. While this approach can provide autonomy, it can make the leader appear absent when it comes to project decisions. management Management utilizes positional power to maintain, administrate, control, and focus on getting things done without challenging the status quo of the project and organization. media selection Based on the audience and the message being sent, the media should be in alignment with the message. meeting management Meetings are forms of communication. How the meeting is led, managed, and controlled all influence the message being delivered. Agendas, minutes, and order are mandatory for effective communications within a meeting. personal or charismatic power The project manager has a warm personality that others like. presentation In formal presentations, the presenter’s oral and body language, visual aids, and handouts all influence the message being delivered.     "/>
        <s v="pressure-based power The project manager can restrict choices to get the project team to perform and do the project work.           "/>
        <s v="PMI Talent Triangle Defines three areas of PDUs for PMI certified professionals to maintain their certification. The PMI Talent Triangle includes technical project management, leadership, and strategic and business management.        "/>
        <s v="positional power The project manager’s power is because of the position she has as the project manager. This is also known as formal, authoritative, and legitimate power.          "/>
        <s v="Professional Development Units (PDUs) PDUs are earned after the PMP to maintain the PMP certification. PMPs are required to earn 60 PDUs per three-year certification cycle. Of the 60 PDUs, a minimum of 35 hours must come from educational opportunities.        "/>
        <s v="project manager The role of leading the project team and managing the project resources to effectively achieve the objectives of the project. punitive or coercive power The project manager can punish the project team.       "/>
        <s v="referent power The project manager is respected or admired because of the team’s past experiences with the project manager. This is about the project manager’s credibility in the organization.         "/>
        <s v="reward power The project manager can reward the project team. sender-receiver models Communication requires a sender and a receiver. Within this model may be multiple avenues to complete the flow of communication, but barriers to effective communication may be present as well. servant leadership The leader puts others first and focuses on the needs of the people he serves. Servant leaders provide opportunity for growth, education, autonomy within the project, and the well-being of others. The primary focus of servant leadership is service to others. situational power The project manager has power because of certain situations in the organization. style The tone, structure, and formality of the message being sent should be in alignment with the audience and the content of the message. transactional leadership The leader emphasizes the goals of the project and rewards and disincentives for the project team. This is sometimes called management by exception as it’s the exception that is reward or punished. transformational leadership The leader inspires and motivates the project team to achieve the project goals. Transformational leaders aim to empower the project team to act, be innovative in the project work, and accomplish through ambition. or fold page in half. Read the term, recite the definition, and then look at this side of         "/>
        <s v="Assumption log An assumption is something that is believed to be true or false, but it has not yet been proven to be true or false. Assumptions that prove wrong can become risks for the project. All identified project assumptions are recorded in the assumption log for testing and analysis, and the outcomes are recorded.      "/>
        <s v="Benefit/cost ratio (BCR) models This is an example of a benefits comparison model. It examines the benefit-to-cost ratio.           "/>
        <s v="Change control board (CCB) A committee that evaluates the worthiness of a proposed change and either approves or rejects the proposed change.          "/>
        <s v="Change control system (CCS) The change control system communicates the process for controlling changes to the project deliverables. This system works with the configuration management system and seeks to control and document proposals to change the project’s product.       "/>
        <s v="Change log All changes that enter into a project are recorded in the change log. The characteristics of the change, such as the time, cost, risk, and scope details, are also recorded.         "/>
        <s v="Change management plan This plan details the project procedures for entertaining change requests: how change requests are managed, documented, approved, or declined.          "/>
        <s v="Closure processes This final process group of the project management life cycle is responsible for closing the project phase or project. This is where project documentation is archived and project contracts are also closed.        "/>
        <s v="Communications management plan This plan defines who will get what information, how they will receive it, and in what modality the communication will take place.          "/>
        <s v="Configuration identification This includes the labeling of the components, how changes are made to the product, and the accountability of the changes.          "/>
        <s v="Configuration management plan This plan is an input to the control scope process. It defines how changes to the features and functions of the project deliverable, the product scope, may enter the project.         "/>
        <s v="Configuration management system This system defines how stakeholders are allowed to submit change requests, the conditions for approving a change request, and how approved change requests are validated in the project scope. Configuration management also documents the characteristics and functions of the project’s products and any changes to a product’s characteristics.    "/>
        <s v="Configuration status accounting The organization of the product materials, details, and prior product documentation. Configuration verification and auditing The scope verification and completeness auditing of project or phase deliverables to ensure that they are in alignment with the project plan.       "/>
        <s v="Contract closure The formal verification of the contract completeness by the vendor and the performing organization.           "/>
        <s v="Cost baseline This is the aggregated costs of all of the work packages within the work breakdown structure (WBS).           "/>
        <s v="Cost management plan This plan details how the project costs will be planned for, estimated, budgeted, and then monitored and controlled.           "/>
        <s v="Explicit knowledge Knowledge that can be quickly and easily expressed through conversations, documentation, figures, or numbers, is easily communicated.          "/>
        <s v="Future value A benefit comparison model to determine a future value of money. The formula to calculate future value is FV = PV(1 + I)n, where PV is present value, I is the given interest rate, and n is the number of periods.        "/>
        <s v="Integrated change control A process to consider and control the impact of a proposed change on the project’s knowledge areas.           "/>
        <s v="Issue log Issues are points of contention where some question of the project’s direction needs to be resolved. All identified issues are documented in the issue log, along with an issue owner and a deadline to resolve the issue. The outcome of the issue is also recorded.       "/>
        <s v="Mathematical model A project selection method to determine the likelihood of success. These models include linear programming, nonlinear programming, dynamic programming, integer programming, and multiobjective programming.        "/>
        <s v="Milestone Milestones are significant points or events in the project’s progress that represent accomplishment in the project. Projects usually create milestones as the result of completing phases within the project.        "/>
        <s v="Milestone list This list details the project milestones and their attributes. It is used for several areas of project planning, but also helps determine how quickly the project may be achieving its objectives.         "/>
        <s v="Murder boards These are committees that ask every conceivable negative question about the proposed project. Their goals are to expose the project’s strengths and weaknesses, and to kill the project if it’s deemed unworthy for the organization to commit to. Also known as project steering committees or project selection committees.     "/>
        <s v="Net present value Evaluates the monies returned on a project for each period the project lasts.            "/>
        <s v="Payback period An estimate to predict how long it will take a project to pay back an organization for the project’s investment of capital.           "/>
        <s v="Present value A benefit comparison model to determine the present value of a future amount of money. The formula to calculate present value is PV = FV ÷ (1 + i)n, where FV is future value, I is the given interest rate, and n is the number of periods.        "/>
        <s v="Procurement management plan The procurement management plan controls how the project will acquire goods and services.           "/>
        <s v="Project charter This document authorizes the project. It defines the initial requirements of the project stakeholders. The project charter is endorsed by an entity outside of the project boundaries.         "/>
        <s v="Project management plan The documented approach of how a project will be planned, executed, monitored and controlled, and then closed. This document is a collection of subsidiary management plans and related documents.        "/>
        <s v="Project scope management plan Defines how the project scope will be planned, managed, and controlled.            "/>
        <s v="Quality baseline Documents the quality objectives for the project, including the metrics for stakeholder acceptance of the project deliverable.          "/>
        <s v="Quality management plan This plan defines what quality means for the project, how the project will achieve quality, and how the project will map to organizational procedures pertaining to quality.         "/>
        <s v="Regression analysis A mathematical model to examine the relationship among project variables, like cost, time, labor, and other project metrics.          "/>
        <s v="Risk management plan Risk is an uncertain event or condition that may affect the project outcome. The risk management plan defines how the project will manage risk.          "/>
        <s v="Risk register The risk register is a centralized database consisting of the outcome of all the other risk management processes, such as the outcome of risk identification, qualitative analysis, and quantitative analysis.         "/>
        <s v="Risk response plan This subsidiary plan defines the risk responses that are to be used in the project for both positive and negative risks.          "/>
        <s v="Schedule baseline This is the planned start and finish of the project. The comparison of what was planned and what was experienced is the schedule variance.          "/>
        <s v="Schedule management plan Defines how the project schedule will be created and managed.            "/>
        <s v="Scope baseline The scope baseline is a combination of three project documents: the project scope statement, the work breakdown structure, and the WBS dictionary. The creation of the project deliverable will be measured against the scope baseline to show any variances from what was expected and what the project team has created.     "/>
        <s v="Scoring models These models use a common set of values for all of the projects up for selection. For example, values can be profitability, complexity, customer demand, and so on. tacit knowledge Knowledge that’s more difficult to express because it’s personal beliefs, values, knowledge gain from experience, and “know-how” when doing a task.    "/>
        <s v="8/80 Rule A planning heuristic for creating the WBS. This rule states that the work package in a WBS must take no more than 80 hours of labor to create and no fewer than 8 hours of labor to create.         "/>
        <s v="Active observation The observer interacts with the worker to ask questions and understand each step of the work being completed. In some instances, the observer could serve as an assistant in doing the work.         "/>
        <s v="Affinity diagrams When stakeholders create a large number of ideas, you can use an affinity diagram to cluster similar ideas together for further analysis.          "/>
        <s v="Alternatives generation A scope definition process of finding alternative solutions for the project customer while considering the customer’s satisfaction, the cost of the solution, and how the customer may use the product in operations.        "/>
        <s v="Autocratic A decision method where only one individual makes the decision for the group.           "/>
        <s v="Brainstorming This approach encourages participants to generate as many ideas as possible about the project requirements. No idea is judged or dismissed during the brainstorming session.         "/>
        <s v="Change control system (CCS) Documented in the scope management plan, this system defines how changes to the project scope are managed and controlled. Change management plan This subsidiary plan defines how changes will be allowed and managed within the project. Code of accounts A numbering system for each item in the WBS. The PMBOK is a good example of a code of accounts, as each chapter and its subheadings follow a logical numbering scheme. For example, PMBOK 5.3.3.2 identifies an exact paragraph in the PMBOK. Configuration management plan This subsidiary plan defines how changes to the features and functions of the project deliverables will be monitored and controlled within the project. Context diagram These diagrams show the relationship between elements of an environment. For example, a context diagram would illustrate the networks, servers, workstations, and people that interact with the elements of the environment. Focus groups A moderator-led requirements collection method to elicit requirements from stakeholders. Functional analysis This is the study of the functions within a system, project, or, what’s more likely in the project scope statement, the product the project will be creating. Functional analysis studies the goals of the product, how the product will be used, and the expectations the customer has of the product once it leaves the project and moves into operations. Functional analysis may also consider the cost of the product in operations, which is known as life-cycle costing. Funding limit Most projects have a determined budget in relation to the project scope. There may be a qualifier on this budget, such as plus or minus 10 percent based on the type of cost estimate created.         "/>
        <s v="Interviews A requirements collection method used to elicit requirements from stakeholders in a one-on-one conversation.           "/>
        <s v="Majority A group decision method where more than 50 percent of the group must be in agreement.           "/>
        <s v="Mind mapping This approach maps ideas to show the relationship among requirements and the differences between requirements. The map can be reviewed to identify new solutions or to rank the identified requirements.        "/>
        <s v="Nominal group technique As with brainstorming, participants are encouraged to generate as many ideas as possible, but the suggested ideas are ranked by a voting process.          "/>
        <s v="Passive observation The observer records information about the work being completed without interrupting the process; sometimes called the invisible observer.          "/>
        <s v="Plurality A group-decision method where the largest part of the group makes the decision when it’s less than 50 percent of the total. (Consider three or four factions within the stakeholders.)         "/>
        <s v="Product acceptance criteria This project scope statement component works with the project requirements, but focuses specifically on the product and what the conditions and processes are for formal acceptance of the product.         "/>
        <s v="Product breakdown A scope definition technique that breaks down a product into a hierarchical structure, much like a WBS breaks down a project scope.          "/>
        <s v="Product scope description This is a narrative description of what the project is creating as a deliverable for the project customer. Product scope Defines the product or service that will come about as a result of completing the project. It defines the features and functions that characterize the product. Project assumptions A project assumption is a factor in the planning process that is held to be true but not proven to be true. Project boundaries A project boundary clearly states what is included with the project and what’s excluded from the project. This helps to eliminate assumptions between the project management team and the project customer. Project constraints A constraint is anything that limits the project manager’s options. Consider a predetermined budget, deadline, resources, or materials the project manager must use within the project—these are all examples of project constraints. Project objectives These are the measurable goals that determine a project’s acceptability to the project customer and the overall success of the project. Objectives often include the cost, schedule, technical requirements, and quality demands. Project requirements These are the demands set by the customer, regulations, or the performing organization that must exist for the project deliverables to be acceptable. Requirements are often prioritized in a number of ways, from “must have” to “should have” to “would like to have.” Project scope This defines all of the work, and only the required work, to complete the project objectives.          "/>
        <s v="Project scope management plan This project management subsidiary plan controls how the scope will be defined, how the project scope statement will be created, how the WBS will be created, how scope validation will proceed, and how the project scope will be controlled throughout the project.       "/>
        <s v="Requirements documentation This documentation of what the stakeholders expected in the project defines all of the requirements that must be present for the work to be accepted by the stakeholders.         "/>
        <s v="Requirements management plan This subsidiary plan defines how changes to the project requirements will be permitted, how requirements will be tracked, and how changes to the requirements will be approved.         "/>
        <s v="Requirements traceability matrix (RTM) This is a table that maps the requirements throughout the project all the way to their completion.           "/>
        <s v="Schedule milestones The project customer may have specific dates when phases of the project should be completed. These milestones are often treated as project constraints.          "/>
        <s v="Scope creep Undocumented, unapproved changes to the project scope.            "/>
        <s v="Scope validation The formal inspection of the project deliverables, which leads to project acceptance.           "/>
        <s v="Stakeholder analysis A scope definition process where the project management team interviews the stakeholders and categorizes, prioritizes, and documents what the project customer wants and needs. The analysis is to determine, quantify, and prioritize the interests of the stakeholders.       "/>
        <s v="Stakeholder analysis demands quantification of stakeholder objectives; goals such as “good,” “satisfaction,” and “speedy” aren’t quantifiable.           "/>
        <s v="Systems analysis A scope definition approach that studies and analyzes a system, its components, and the relationship of the components within the system.          "/>
        <s v="Systems engineering This project scope statement creation process studies how a system should work, designs and creates a system model, and then enacts the working system based on the project’s goals and the customer’s expectations. Systems engineering aims to balance the time and cost of the project in relation to the scope of the project.     "/>
        <s v="Unanimity A group decision method where everyone must be in agreement.            "/>
        <s v="Value analysis As with value engineering, this approach examines the functions of the project’s product in relation to the cost of the features and functions. This is where, to some extent, the grade of the product is in relationship to the cost of the product.        "/>
        <s v="Value engineering This approach to project scope statement creation attempts to find the correct level of quality in relation to a reasonable budget for the project deliverable while still achieving an acceptable level of performance of the product.        "/>
        <s v="WBS dictionary A WBS companion document that defines all of the characteristics of each element within the WBS.           "/>
        <s v="WBS template A prepopulated WBS for repetitive projects. Previous projects’ WBSs are often used as templates for current similar projects.          "/>
        <s v="Work breakdown structure (WBS) A deliverables-oriented breakdown of the project scope. Work package The smallest item in the WBS.           "/>
        <s v="Work performance information Status of the deliverables: the work that’s been started, finished, or has yet to begin. Control threshold A predetermined range of acceptable variances, such as +/–10 percent off schedule. Should the variance exceed the threshold, then project control processes and corrected actions will be enacted. Crashing A schedule compression approach that adds more resources to activities on the critical path to complete the project earlier. When crashing a project, costs are added because the associated labor and sometimes resources (such as faster equipment) cause costs to increase. Critical path The path in the project network diagram that cannot be delayed, otherwise the project completion date will be late. There can be more than one critical path. Activities in the critical path have no float. Discretionary dependencies These dependencies are the preferred order of activities. Project managers should use these relationships at their discretion and should document the logic behind the decision. Discretionary dependencies allow activities to happen in a preferred order because of best practices, conditions unique to the project work, or external events. Also known as preferential or soft logic. Early finish The earliest a project activity can finish. Used in the forward pass procedure to discover the critical path and the project float. Early start The earliest a project activity can begin. Used in the forward pass procedure to discover the critical path and the project float. External dependencies As the name implies, these are dependencies outside of the project’s control. Examples include the delivery of equipment from a vendor, the deliverable of another project, or the decision of a committee, lawsuit, or expected new law. Fast tracking A schedule compression method that changes the relationship of activities. With fast tracking, activities that would normally be done in sequence are allowed to be done in parallel or with some overlap. Fast tracking can be accomplished by changing the relation of activities from FS to SS or even FF or by adding lead time to downstream activities. However, fast tracking does add risk to the project. Finish-to-finish An activity relationship type that requires the current activity to be finished before its successor can finish. Finish-to-start An activity relationship type that requires the current activity to be finished before its successor can start. Fragnet A representation of a project network diagram that is often used for outsourced portions of a project, repetitive work within a project, or a subproject. Also called a subnet. Free float This is the total time a single activity can be delayed without affecting the early start of its immediately following successor activities. Hard logic Logic that describes activities that must happen in a particular order. For example, the dirt must be excavated before the foundation can be built. The foundation must be in place before the framing can begin. Also known as a mandatory dependency. Internal dependencies Internal relationships to the project or the organization. For example, the project team must create the software as part of the project’s deliverable before the software can be tested for quality control. Lag time Positive time that moves two or more activities further apart. Late finish The latest a project activity can finish. Used in the backward pass procedure to discover the critical path and the project float. Late start The latest a project activity can begin. Used in the backward pass procedure to discover the critical path and the project float. Lead time Negative time that allows two or more activities to overlap where ordinarily these activities would be sequential. Management reserve A percentage of the project duration to combat Parkinson’s Law. When project activities become late, their lateness is subtracted from the management reserve. Mandatory dependencies These dependencies are the natural order of activities. For example, you can’t begin building your house until your foundation is in place. These relationships are called hard logic.        "/>
        <s v="Monte Carlo analysis A project simulation approach named after the world-famous gambling district in Monaco. This predicts how scenarios may work out, given any number of variables. The process doesn’t actually churn out a specific answer, but a range of possible answers. When Monte Carlo analysis is applied to a schedule, it can examine, for example, the optimistic completion date, the pessimistic completion date, and the most likely completion date for each activity in the project and then predict a mean for the project schedule."/>
        <s v="Parametric estimate A quantitatively based duration estimate that uses mathematical formulas to predict how long an activity will take based on the quantities of work to be completed.         "/>
        <s v="Parkinson’s Law A theory that states: “Work expands so as to fill the time available for its completion.” It is considered with time estimating, because bloated or padded activity estimates will fill the amount of time allotted to the activity.        "/>
        <s v="Planning package A WBS entry located below a control account and above the work packages. A planning package signifies that there is more planning that needs to be completed for this specific deliverable.         "/>
        <s v="Precedence diagramming method A network diagram that shows activities in nodes and the relationship between each activity. Predecessors come before the current activity, and successors come after the current activity.         "/>
        <s v="Project calendars Calendars that identify when the project work will occur.            "/>
        <s v="Project float This is the total time the project can be delayed without passing the customerexpected completion date.           "/>
        <s v="Project network diagram A diagram that visualizes the flow of the project activities and their relationships to other project activities.           "/>
        <s v="Refinement An update to the work breakdown structure.            "/>
        <s v="Resource breakdown structure (RBS) This is a hierarchical breakdown of the project resources by category and resource type. For example, you could have a category of equipment, a category of human resources, and a category of materials. Within each category, you could identify the types of equipment your project will use, the types of human resources, and the types of materials.     "/>
        <s v="Resource calendars Calendars that identify when project resources are available for the project work.           "/>
        <s v="Resource-leveling heuristic A method to flatten the schedule when resources are overallocated. Resource leveling can be applied using different methods to accomplish different goals. One of the most common methods is to ensure that workers are not overextended on activities.       "/>
        <s v="Rolling wave planning The imminent work is planned in detail, while the work in the future is planned at a high level. This is a form of progressive elaboration.          "/>
        <s v="Schedule management plan A subsidiary plan in the project management plan. It defines how the project schedule will be created, estimated, controlled, and managed.          "/>
        <s v="Soft logic The activities don’t necessarily have to happen in a specific order. For example, you could install the light fixtures first, then the carpet, and then paint the room. The project manager could use soft logic to change the order of the activities if so desired.       "/>
        <s v="Start-to-finish An activity relationship that requires an activity to start so that its successor can finish. This is the most unusual of all the activity relationship types.          "/>
        <s v="Start-to-start An activity relationship type that requires the current activity to start before its successor can start.           "/>
        <s v="Subnet A representation of a project network diagram that is often used for outsourced portions of projects, repetitive work within a project, or a subproject. Also called a fragnet.         "/>
        <s v="Template A previous project that can be adapted for the current project and forms that are pre-populated with organizational-specific information.          "/>
        <s v="Three-point estimate An estimating technique for each activity that requires optimistic, most likely, and pessimistic estimates to be created. Based on these three estimates, an average can be created to predict how long the activity should take.        "/>
        <s v="Total float This is the total time an activity can be delayed without delaying project completion.           "/>
        <s v="Work package The smallest item in the work breakdown structure. Cost aggregation Costs are parallel to each WBS work package. The costs of each work package are aggregated to their corresponding control accounts. Each control account then is aggregated to the sum of the project costs. Cost baseline A time-lapse exposure of when the project monies are to be spent in relation to cumulative values of the work completed in the project. Cost budgeting The cost aggregation achieved by assigning specific dollar amounts for each of the scheduled activities or, more likely, for each of the work packages in the WBS. Cost budgeting applies the cost estimates over time. Cost change control system A system that examines any changes associated with scope changes, the cost of materials, and the cost of any other resources, and the associated impact on the overall project cost. Cost management plan The cost management plan dictates how cost variances will be managed. Cost of poor quality The monies spent to recover from not adhering to the expected level of quality. Examples may include rework, defect repair, loss of life or limb because safety precautions were not taken, loss of sales, and loss of customers. This is also known as the cost of nonconformance to quality. Cost of quality The monies spent to attain the expected level of quality within a project. Examples include training, testing, and safety precautions. Cost performance index (CPI) Measures the project based on its financial performance. The formula is CPI = EV/AC.           "/>
        <s v="Cost variance (CV) The difference of the earned value amount and the cumulative actual costs of the project. The formula is CV = EV – AC.          "/>
        <s v="Definitive estimate This estimate type is one of the most accurate. It’s used late in the planning processes and is associated with bottomup estimating. You need the WBS in order to create the definitive estimate. The range of variance for the estimate can be from –5 percent to +10 percent.       "/>
        <s v="Direct costs Costs are attributed directly to the project work and cannot be shared among projects (for example, airfare, hotels, long-distance phone charges, and so on).          "/>
        <s v="Earned value (EV) Earned value is the physical work completed to date and the authorized budget for that work. It is the percentage of the BAC that represents the actual work completed in the project.         "/>
        <s v="Estimate at completion (EAC) These forecasting formulas predict the likely completed costs of the project based on current scenarios within the project.          "/>
        <s v="Estimate to complete (ETC) An earned value management formula that predicts how much funding the project will require to be completed. Three variations of this formula are based on conditions the project may be experiencing.        "/>
        <s v="Fixed costs Costs that remain constant throughout the life of the project (the cost of a piece of rented equipment for the project, the cost of a consultant brought on to the project, and so on).         "/>
        <s v="Funding limit reconciliation An organization’s approach to managing cash flow against the project deliverables based on a schedule, milestone accomplishment, or data constraints.          "/>
        <s v="Indirect costs Costs that are representative of more than one project (for example, utilities for the performing organization, access to a training room, project management software license, and so on).         "/>
        <s v="Known unknown An event that will likely happen within the project, but when it will happen and to what degree is unknown. These events, such as delays, are usually risk-related.          "/>
        <s v="Learning curve An approach that assumes the cost per unit decreases the more units workers complete, because workers learn as they complete the required work.          "/>
        <s v="Oligopoly A market condition where the market is so tight that the actions of one vendor affect the actions of all the others.           "/>
        <s v="Opportunity cost The total cost of the opportunity that is refused to realize an opposing opportunity.           "/>
        <s v="Parametric estimating An approach using a parametric model to extrapolate what costs will be needed for a project (for example, cost per hour and cost per unit). It can include variables and points based on conditions.         "/>
        <s v="Planned value (PV) Planned value is the work scheduled and the budget authorized to accomplish that work. It is the percentage of the BAC that reflects where the project should be at this point in time.         "/>
        <s v="Project variance The final variance, which is discovered only at the project’s completion. The formula is VAR = BAC – AC.           "/>
        <s v="Regression analysis This is a statistical approach to predicting what future values may be, based on historical values. Regression analysis creates quantitative predictions based on variables within one value to predict variables in another. This form of estimating relies solely on pure statistical math to reveal relationships between variables and to predict future values.     "/>
        <s v="Reserve analysis Cost reserves are for unknown unknowns within a project. The management reserve is not part of the project cost baseline, but is included as part of the project budget.         "/>
        <s v="Rough order of magnitude This rough estimate is used during the initiating processes and in top-down estimates. The range of variance for the estimate can be from –25 percent to +75 percent.         "/>
        <s v="Schedule performance index (SPI) Measures the project based on its schedule performance. The formula is SPI = EV/PV.           "/>
        <s v="Schedule variance (SV) The difference between the earned value and the planned value. The formulas is SV = EV – PV.           "/>
        <s v="Single source Many vendors can provide what your project needs to purchase, but you prefer to work with a specific vendor.           "/>
        <s v="Sole source Only one vendor can provide what your project needs to purchase. Examples include a specific consultant, specialized service, or unique type of material.          "/>
        <s v="Sunk costs Monies that have already been invested in a project.            "/>
        <s v="To-Complete Performance Index A formula to forecast the likelihood of a project to achieve its goals based on what’s happening in the project right now. There are two different flavors for the TCPI, depending on what you want to accomplish. If you want to see if your project can meet the budget at completion, you’ll use this formula: TCPI = (BAC – EV)/(BAC – AC). If you want to see if your project can meet the newly created estimate at completion, you’ll use this version of the formula: TCPI = (BAC – EV)/(EAC – AC). "/>
        <s v="Variable costs Costs that change based on the conditions applied in the project (the number of meeting participants, the supply of and demand for materials, and so on).         "/>
        <s v="Variance The difference between what was expected and what was experienced.            "/>
        <s v="Variance at completion (VAC) A forecasting formula that predicts how much of a variance the project will likely have based on current conditions within the project. The formula is VAC = BAC – EAC.         "/>
        <s v="Activity network diagram These diagrams, such as the project network diagram, show the flow of the project work.            "/>
        <s v="Affinity diagram This diagram breaks down ideas, solutions, causes, and project components and groups them together with other similar ideas and components.          "/>
        <s v="Benchmarking Comparing any two similar entities to measure their performance.            "/>
        <s v="Cause-and-effect diagrams Diagrams that show the relationship between variables within a process and how those relationships may contribute to inadequate quality. The diagrams can help organize both the process and team opinions, as well as generate discussion on finding a solution to ensure quality.        "/>
        <s v="Checklist A simple approach to ensure that work is completed according to the quality policy.            "/>
        <s v="Control chart A quality control chart that maps the performance of project work over time.            "/>
        <s v="Control quality An inspection-driven process that measures work results to confirm that the project is meeting the relevant quality standards.           "/>
        <s v="Cost of conformance This is the cost associated with the monies spent to attain the expected level of quality. It is also known as the cost of quality.           "/>
        <s v="Cost of nonconformance to quality The cost associated with not satisfying quality expectations. This is also known as the cost of poor quality.           "/>
        <s v="Cost-benefit analysis A process to study the trade-offs between costs and the benefits realized from those costs.            "/>
        <s v="Design of experiments An approach that relies on statistical scenarios to determine what variables within a project will result in the best outcome.           "/>
        <s v="External QA Assurance provided to the external customers of the project.            "/>
        <s v="Flowchart A diagram illustrating how components within a system are related. Flowcharts show the relation between components, as well as help the project team determine where quality issues may be present and, once done, plan accordingly.         "/>
        <s v="Internal QA Assurance provided to management and the project team.            "/>
        <s v="ISO The abbreviation for the International Organization for Standardization. ISO is Greek for “equal,” while “International Organization for Standardization” in a different language would be abbreviated differently. The organization elected to use “ISO” for all languages.        "/>
        <s v="Matrix diagram A data analysis table that shows the strength between variables and relationships in the matrix.           "/>
        <s v="Pareto diagram A histogram that illustrates and ranks categories of failure within a project.            "/>
        <s v="Quality According to ASQ, the degree to which a set of inherent characteristics fulfills requirements.            "/>
        <s v="Quality assurance A management process that defines the quality system or quality policy that a project must adhere to. QA aims to plan quality into the project rather than to inspect quality into a deliverable.         "/>
        <s v="Quality management plan This plan defines how the project team will implement and fulfill the quality policy of the performing organization.           "/>
        <s v="Quality metrics The operational definitions that specify the measurements within a project and the expected targets for quality and performance.           "/>
        <s v="Quality planning The process of first determining which quality standards are relevant to your project and then finding out the best methods of adhering to those quality standards.          "/>
        <s v="Rule of Seven A component of a control chart that illustrates the results of seven measurements on one side of the mean, which is considered “out of control” in the project.          "/>
        <s v="Run chart A quality control tool that shows the results of inspection in the order in which they’ve occurred. The goal of a run chart is first to demonstrate the results of a process over time and then to use trend analysis to predict when certain trends may reemerge.        "/>
        <s v="Scatter diagram A quality control tool that tracks the relationship between two variables over time. The two variables are considered related the closer they track against a diagonal line.          "/>
        <s v="Seven basic quality tools These seven tools are used in quality planning and in quality control: cause-and-effect diagrams, flowcharts, check sheets, Pareto diagrams, histograms, control charts, and scatter diagrams.          "/>
        <s v="Statistical sampling A process of choosing a percentage of results at random. For example, a project creating a medical device may have 20 percent of all units randomly selected to check for quality.          "/>
        <s v="System or process flowcharts Flowcharts that illustrate the flow of a process through a system, such as a project change request through the change control system, or work authorization through a quality control process.         "/>
        <s v="Tree diagram Tree diagrams show the hierarchies and decomposition of a solution, an organization, or a project team. The WBS and an org chart are examples of tree diagrams.          "/>
        <s v="Trend analysis The science of using past results to predict future performance. Work performance information The results of the project work as needed. This includes technical performance measures, project status, information on what the project has created to date, corrective actions, and performance reports.           "/>
        <s v="Adjourning Once the project is done, either the team moves onto other assignments as a unit, or the project team is disbanded and individual team members go on to other work.          "/>
        <s v="Authority power Project management team members may have authority over other project team members, may have the ability to make decisions, and perhaps even sign approvals for project work and purchases.         "/>
        <s v="Coercive power The project manager has the authority to discipline the project team members. This is also known as penalty power.           "/>
        <s v="Collaborate/Problem solving This approach confronts the problem head-on and is the preferred method of conflict resolution. Multiple viewpoints and perspectives contribute to the solution.          "/>
        <s v="Collective bargaining agreement constraints Contracts and agreements with unions or other employee groups may serve as constraints on the project.           "/>
        <s v="Competency This attribute defines what talents, skills, and capabilities are needed to complete the project work.           "/>
        <s v="Compromising This approach requires that both parties give up something.            "/>
        <s v="Vroom’s Expectancy Theory This theory states that people will behave based on what they expect as a result of their behavior. In other words, people will work in relation to the expected reward.          "/>
        <s v="Expert power The project manager’s authority comes both from experience with the technology the project focuses on and from expertise in managing projects. Forcing power The person with the power makes the decision.         "/>
        <s v="Formal power The project manager has been assigned the role of project manager by senior management and is in charge of the project.           "/>
        <s v="Forming The project team meets and learns about their roles and responsibilities on the project. Little interaction among the project team happens in this stage as the team is learning about the project and project manager.         "/>
        <s v="Herzberg’s Theory of Motivation Frederick Herzberg’s theory of the motivating agents and hygiene agents that affect a person’s willingness to excel in his career.           "/>
        <s v="Hierarchical organizational chart A chart showing the relationship between superior and subordinate employees, groups, disciplines, and even departments.           "/>
        <s v="Issue log A logbook of the issues the project team has identified and dates as to when the issues must be resolved by. The issue log may also include team members or stakeholders who are responsible for finding a solution to the identified issues.        "/>
        <s v="Maslow’s Hierarchy of Needs Abraham Maslow’s theory of the five needs all humans have and work toward.            "/>
        <s v="McClelland’s Theory of Needs David McClelland developed this theory, which states our needs are acquired and developed by our experiences over time. All people are, according to this theory, driven by one of three needs: achievement, affiliation, or power.         "/>
        <s v="McGregor’s Theory of X and Y Douglas McGregor’s theory that states management views workers in the Y category as competent and self-led and workers in the X category as incompetent and needing to be micromanaged.         "/>
        <s v="Multicriteria Decision Analysis A method to rate potential project team members based on criteria such as education, experience, skills, knowledge, and more.           "/>
        <s v="Norming Project team members go about getting the project work, begin to rely on one another, and generally complete their project assignments.           "/>
        <s v="Organization chart Traditional chart that depicts how the organization is broken down by department and disciplines. This chart is sometimes called the organizational breakdown structure (OBS) and is arranged by departments, units, or teams.         "/>
        <s v="Ouchi’s Theory Z William Ouchi’s theory is based on the participative management style of the Japanese. This theory states that workers are motivated by a sense of commitment, opportunity, and advancement.         "/>
        <s v="Performing If a project team can reach the performing stage of team development, they trust one another, work well together, and issues and problems get resolved quickly and effectively.          "/>
        <s v="Political interfaces The hidden goals, personal agendas, and alliances among the project team members and the stakeholders.           "/>
        <s v="RACI chart A RACI chart is a matrix chart that only uses the activities of responsible, accountable, consult, and inform.           "/>
        <s v="Referent power The project team personally knows the project manager. Referent can also mean that the project manager refers to the person who assigned him the position.          "/>
        <s v="Resource breakdown structure (RBS) This hierarchical chart can decompose the project by the type of resources used throughout it.           "/>
        <s v="Responsibility assignment matrix (RAM) A RAM chart shows the correlation between project team members and the work they’ve been assigned to complete. Responsibility A responsibility is the work that a role performs.          "/>
        <s v="Resource management plan This plan defines staff acquisition, the timetable for staff acquisition, the staff release plan, training needs for the project team, any organizational compliance issues, rewards and recognitions, and safety concerns for the project team doing the project work. Reward The project manager has the authority to reward the project team. Role This denotes what a person is specifically responsible for in a project. Roles are usually tied to job titles, such as network engineer, mechanical engineer, and electrician. Smoothing This approach smooths out the conflict by minimizing the perceived size of the problem. It is a temporary solution, but can calm team relations and boisterous discussions. Storming The project team struggles for project positions, leadership, and project direction. The project team can become hostile toward the project leader, challenge ideas, and try to establish and claim positions about the project work. The amount of debate and fury can vary depending on if the project team is willing to work together, the nature of the project, and the control of the project manager. Technical interfaces The project team identifies the disciplines and specialties that the project will require to complete the project scope statement. The technical interfaces are the resources that will be doing the project work. Withdrawal This conflict resolution method sees one side of the argument walking away from the problem, usually in disgust.         "/>
        <s v="Acknowledgment The receiver signals that the message has been received. An acknowledgment shows receipt of the message, but not necessarily agreement with the message.          "/>
        <s v="Active listening The receiver confirms that the message is being received through feedback, questions, prompts for clarity, and other signs of confirmation.           "/>
        <s v="Choice of media The best modality to use when communicating that is relevant to the information being communicated.           "/>
        <s v="Communication assumptions Anything that the project management team believes to be true but hasn’t proven to be true. For example, the project management team may assume that all of the project team can be reached via cell phone, but parts of the world, as of this writing, don’t have a cell signal.        "/>
        <s v="Communication barrier Anything that prohibits communication from occurring.            "/>
        <s v="Communication channels formula N(N – 1)/2, where N represents the number of identified stakeholders. This formula reveals the total number of communication channels within a project.          "/>
        <s v="Communication constraints Anything that limits the project management team’s options. When it comes to communication constraints, geographical locales, incompatible communications software, and even limited communications technology can constrain the project team.        "/>
        <s v="Communications management plan A project management subsidiary plan that defines the stakeholders who need specific information, the person who will supply the information, the schedule for the information to be supplied, and the approved modality to provide the information.        "/>
        <s v="Decoder The device that decodes a message as it is being received.            "/>
        <s v="Effective listening The receiver is involved in the listening experience by paying attention to visual cues from the speaker and paralingual characteristics, and by asking relevant questions. Encoder The device that encodes the message being sent.         "/>
        <s v="Feedback The sender confirms that the receiver understands the message by directly asking for a response, questions for clarification, or other confirmation.          "/>
        <s v="Influence/impact grid Stakeholders are mapped on a grid based on their influence over the project in relation to their influence over the project execution.           "/>
        <s v="Information presentation tools A software package that allows the project management team to present the project’s health through graphics, spreadsheets, and text. (Think of Microsoft Project.)          "/>
        <s v="Information retrieval system A system to quickly and effectively store, archive, and access project information.            "/>
        <s v="Interactive communication This is the most common and most effective approach to communication. It’s where two or more people exchange information. Consider status meetings, ad-hoc meetings, phone calls, and videoconferences.         "/>
        <s v="Lessons learned This is documentation of what did and did not work in the project implementation. Lessons learned documentation is created throughout the project by the entire project team. When lessons learned sessions are completed, they’re available to be used and applied by the entire organization. They are now part of the organizational process assets.      "/>
        <s v="Medium The device or technology that transports a message.            "/>
        <s v="Noise Anything that interferes with or disrupts a message.            "/>
        <s v="Nonverbal Facial expressions, hand gestures, and body language are nonverbal cues that contribute to a message. Approximately 55 percent of communication is nonverbal.          "/>
        <s v="Paralingual The pitch, tone, and inflections in the sender’s voice affecting the message being sent.            "/>
        <s v="Performance report A report that depicts how well a project is performing. Often, the performance report is based on earned value management and may include cost or schedule variance reports.          "/>
        <s v="Project presentations Presentations are useful in providing information to customers, management, the project team, and other stakeholders.           "/>
        <s v="Project records All the business of the project communications is also part of the organizational process assets. This includes e-mails, memos, letters, and faxes.           "/>
        <s v="Project reports Reports are formal communications on project activities, their status, and conditions.            "/>
        <s v="Pull communication This approach pulls the information from a central repository, like a database of information. Pull communications are good for large groups of stakeholders who want to access project information at their discretion. Consider a project web site where stakeholders can periodically drop by for a quick update on the project status.       "/>
        <s v="Push communication This approach pushes the information from the sender to the receiver without any real acknowledgment that the information was really received or understood. Consider letters, faxes, voicemail messages, e-mails, and other communications modalities that the sender packages and sends to receivers through some intermediary network. Receiver The person who receives the message. Sender The person who is sending the message. Sender–receiver models Feedback loops and barriers to communications. Stakeholder notifications Notices to the stakeholders about resolved issues, approved changes, and the overall health of the project. Status review meeting A regularly scheduled meeting to discuss the status of the project and its progress toward completing the project scope statement. Time reporting system A system to record the actual time to complete project activities.    "/>
        <s v="Acceptance A risk response appropriate for both positive and negative risks, but often used for smaller risks within a project.           "/>
        <s v="Ambiguity risks Risks that have an uncertain, unclear nature, such as new laws or regulations, the marketplace conditions, and other risks that are nearly impossible to predict. Avoidance A risk response to avoid the risk.         "/>
        <s v="Brainstorming The most common approach to risk identification; usually completed by a project team with subject matter experts to identify the risks within the project.          "/>
        <s v="Business risks These risks may have negative or positive outcomes. Examples include using a less experienced worker to complete a task, allowing phases or activities to overlap, or forgoing the expense of formal training for on-the-job education.        "/>
        <s v="Cardinal scales A ranking approach to identify the probability and impact by using a numerical value, from .01 (very low) to 1.0 (certain).           "/>
        <s v="Checklists A quick and cost-effective risk identification approach.            "/>
        <s v="Data precision The consideration of the risk ranking scores that takes into account any bias, the accuracy of the data submitted, and the reliability of the nature of the data submitted.          "/>
        <s v="Decision tree A method to determine which of two or more decisions is the best one. The model examines the costs and benefits of each decision’s outcome and weighs the probability of success for each of the decisions.         "/>
        <s v="Delphi Technique An anonymous method of querying experts about foreseeable risks within a project, phase, or component of a project. The results of the survey are analyzed by a third party, organized, and then circulated to the experts. There can be several rounds of anonymous discussion with the Delphi Technique, without fear of backlash or offending other participants in the process. The goal is to gain consensus on project risks within the project.    "/>
        <s v="Enhancing A risk response that attempts to enhance the conditions to ensure that a positive risk event will likely happen.           "/>
        <s v="Escalating A risk response that is appropriate for both positive and negative risk events that may outside of the project manager’s authority to act upon.          "/>
        <s v="Expected monetary value (EMV) The monetary value of a risk exposure based on the risk’s probability and impact in the risk matrix. This approach is typically used in quantitative risk analysis because it quantifies the risk exposure.         "/>
        <s v="Exploit A risk response that takes advantage of the positive risks within a project.            "/>
        <s v="External risks These risks are outside of the project, but directly affect it—for example, legal issues, labor issues, a shift in project priorities, or weather. “Force majeure” risks call for disaster recovery rather than project management. These are risks caused by earthquakes, tornadoes, floods, civil unrest, and other disasters.       "/>
        <s v="Flowcharts System or process flowcharts show the relationship between components and how the overall process works. These are useful for identifying risks between system components.          "/>
        <s v="Influence diagrams An influence diagram charts out a decision problem. It identifies all of the elements, variables, decisions, and objectives and also how each factor may influence another.          "/>
        <s v="Ishikawa diagrams These cause-and-effect diagrams are also called fishbone diagrams and are used to find the root cause of factors that are causing risks within the project.          "/>
        <s v="Low-priority risk watch list Low-priority risks are identified and assigned to a watch list for periodic monitoring.            "/>
        <s v="Mitigation A risk response effort to reduce the probability and/or impact of an identified risk in the project.            "/>
        <s v="Monte Carlo technique A simulation technique that got its name from the casinos of Monte Carlo, Monaco. The simulation is completed using a computer software program that can simulate a project, using values for all possible variables, to predict the most likely model.        "/>
        <s v="Ordinal scales A ranking approach that identifies and ranks the risks from very high to very unlikely or to some other value.           "/>
        <s v="Organizational risks The performing organization can contribute to the project’s risks through unreasonable cost, time, and scope expectations; poor project prioritization; inadequate funding or the disruption of funding; and competition with other projects for internal resources.        "/>
        <s v="PESTLE A prompt list used for risk identification. PESTLE examines risks in the Political, Economic, Social, Technological, Legal, and Environmental domains.          "/>
        <s v="Probability and impact matrix A matrix that ranks the probability of a risk event occurring and its impact on the project if the event does happen; used in qualitative and quantitative risk analyses.          "/>
        <s v="Project management risks These risks deal with faults in the management of the project: the unsuccessful allocation of time, resources, and scheduling; unacceptable work results; and poor project management.          "/>
        <s v="Pure risks These risks have only a negative outcome. Examples include loss of life or limb, fire, theft, natural disasters, and the like.           "/>
        <s v="Qualitative risk analysis This approach “qualifies” the risks that have been identified in the project. Specifically, qualitative risk analysis examines and prioritizes risks based on their probability of occurring and their impact on the project should they occur.         "/>
        <s v="Quantitative risk analysis This approach attempts to numerically assess the probability and impact of the identified risks. It also creates an overall risk score for the project. This method is more in-depth than qualitative risk analysis and relies on several different tools to accomplish its goal.        "/>
        <s v="RAG rating An ordinal scale that uses red, amber, and green (RAG) to capture the probability, impact, and risk score.           "/>
        <s v="Residual risks Risks that are expected to remain after a risk response.            "/>
        <s v="Risk A project risk is an uncertain event or condition that can have a positive or negative impact on the project.           "/>
        <s v="Risk identification The systematic process of combing through the project, the project plan, the work breakdown structure, and all supporting documentation to identify as many risks that may affect the project as possible.         "/>
        <s v="Risk management plan A project management subsidiary plan that defines how risks will be identified, analyzed, responded to, and monitored within the project. The plan also defines the iterative risk management process that the project is expected to adhere to.        "/>
        <s v="Risk management planning The agreed-upon approach to the management of the project risk processes.            "/>
        <s v="Risk owners The individuals or entities that are responsible for monitoring and responding to an identified risk within the project.           "/>
        <s v="Risk register The risk register is a project plan component that contains all of the information related to the risk management activities. It’s updated as risk management activities are conducted to reflect the status, progress, and nature of the project risks.        "/>
        <s v="Risk report The risk report explains the overall project risks and provides summaries about the individual project risks.           "/>
        <s v="Risk response audit An audit to test the validity of the established risk responses.            "/>
        <s v="Risk responsibilities The level of ownership an individual or entity has over a project risk.            "/>
        <s v="Risk score The calculated score based on each risk’s probability and impact. The approach can be used in both qualitative and quantitative risk analysis.          "/>
        <s v="Root cause identification Root cause identification aims to find out why a risk event may be occurring, the causal factors for the risk events, and then, eventually, how the events can be mitigated or eliminated.          "/>
        <s v="Secondary risks New risks that are created as a result of a risk response.            "/>
        <s v="Sensitivity analysis A quantitative risk analysis tool that examines each risk to determine which one has the largest impact on the project’s success.           "/>
        <s v="Sharing A risk response that shares the advantages of a positive risk within a project.            "/>
        <s v="SWOT analysis SWOT analysis is the process of examining the project from the perspective of each characteristic: strengths, weaknesses, opportunities, and threats.          "/>
        <s v="TECOP A prompt list used in risk identification to examine the Technical, Environmental, Commercial, Operational, and Political factors of the project. Technical, quality, or performance risks Technical risks are associated with new, unproven, or complex technologies being used on the project. Changes to the technology during the project implementation can also be a risk. Quality risks are the levels set for expectations of impractical quality and performance.   "/>
        <s v="Transference A risk response that transfers the ownership of the risk to another party. Insurance, licensed contractors, or other project teams are good examples of transference. A fee and contractual relationships are typically involved with the transference of a risk.        "/>
        <s v="Variability risks A type of risk based on the variations that may occur in the project, such as production, number of quality errors, or even the weather.           "/>
        <s v="VUCA A prompt list used in risk identification that examines the Volatility, Uncertainty, Complexity, and Ambiguity of risk factors within the project. Contract change control system This defines the procedures for how the contract may be changed. The process for changing the contract includes the forms; documented communications; tracking; conditions within the project, business, or marketplace that justify the needed change; dispute resolution procedures; and the procedures for getting the changes approved within the performing organization. Contract statement of work (SOW also CSOW) This document requires that the seller fully describe the work to be completed and/or the product to be supplied. The SOW becomes part of the contract between the buyer and the seller. Cost plus award fee contract A contract that pays the vendor all costs for the project, but also includes a buyer-determined award fee for the project work. Cost plus fixed fee contract A contract that requires the buyer to pay for the cost of the goods and services procured plus a fixed fee for the contracted work. The buyer assumes the risk of a cost overrun. Cost plus incentive fee A contract type that requires the buyer to pay a cost for the procured work, plus an incentive fee, or a bonus, for the work if terms and conditions are met. Cost plus percentage of costs A contract that requires the buyer to pay for the costs of the goods and services procured plus a percentage of the costs. The buyer assumes all of the risks for cost overruns. Direct costs These are costs incurred by the project in order for the project to exist. Examples include the equipment needed to complete the project work, salaries of the project team, and other expenses tied directly to the project’s existence.          "/>
        <s v="Fixed-price contracts Also known as firm fixed-price and lumpsum contracts, these are agreements that define a total price for the product the seller is to provide.          "/>
        <s v="Fixed-price incentive fee A fixed-price contract with opportunities for bonuses for meeting goals on costs, schedule, and other objectives. These contracts usually have a price ceiling for costs and associated bonuses. Fixed-price with economic price adjustments A fixed-price contract with a special allowance for price increases based on economic reasons such as inflation or the cost of raw materials.   "/>
        <s v="Force majeure An “act of God” that may have a negative impact on the project. Examples include fire, hurricanes, tornadoes, and earthquakes.          "/>
        <s v="Independent estimates These estimates are often referred to as “should cost” estimates. They are created by the performing organization or outside experts to predict what the cost of the procured product should be.         "/>
        <s v="Indirect costs These are costs attributed to the cost of doing business. Examples include utilities, office space, and other overhead costs.          "/>
        <s v="Invitation for Bid (IFB) From buyer to seller. Requests the seller to provide a price for the procured product or service.           "/>
        <s v="Letter contract A letter contract allows the vendor to begin working on the project immediately. It is often used as a stopgap solution.           "/>
        <s v="Letter of intent A letter of intent is not a contract, but a letter stating that the buyer is intending to create a contractual relationship with the seller.          "/>
        <s v="Make-or-buy decision A process in which the project management team determines the costeffectiveness, benefits, and feasibility of making a product or buying it from a vendor.         "/>
        <s v="Privity The contractual relationship between the buyer and the seller is often considered confidential and secret.           "/>
        <s v="Procurement management plan A project management subsidiary plan that documents the decisions made in the procurement planning processes.           "/>
        <s v="Procurement planning A process to identify which parts of the project warrant procurement from a vendor by the buyer.           "/>
        <s v="Proposal A document the seller provides to the buyer. The proposal includes more than just a fee for the proposed work. It also includes information on the vendor’s skills, the vendor’s reputation, and ideas on how the vendor can complete the contracted work for the buyer.       "/>
        <s v="Purchase order (PO) A purchase order is a form of unilateral contract that the buyer provides to the vendor showing that the purchase has been approved by the buyer’s organization.         "/>
        <s v="Quotation From seller to buyer. Price is the determining factor in the decision-making process.           "/>
        <s v="Request for Proposal (RFP) From buyer to seller. Requests the seller to provide a proposal to complete the procured work or to provide the procured product.          "/>
        <s v="Request for Quote (RFQ) From buyer to seller. Requests the seller to provide a price for the procured product or service.           "/>
        <s v="Risk-related contractual agreements When the project management team decides to use transference to respond to a risk, a risk-related contractual agreement is created between the buyer and the seller.         "/>
        <s v="Screening system A tool that filters or screens out vendors that don’t qualify for the contract.            "/>
        <s v="Seller rating systems These are used by organizations to rate prior experience with each vendor that they have worked with in the past. The seller rating system can track performance, quality ratings, delivery, and even contract compliance.        "/>
        <s v="Terms of Reference Defines the obligations for the seller, what the seller will provide, and all of the particulars of the contracted work. Terms of reference is similar to the statement of work.         "/>
        <s v="Time and materials contract A contract type in which the buyer pays for the time and materials for the procured work. This is a simple contract, usually for smaller procurement conditions. These contract types require a not-to-exceed clause, or the buyer assumes the risk for cost overruns.       "/>
        <s v="Weighting system This takes out the personal preferences of the decision maker in the organization to ensure that the best seller is awarded the contract. Weights are assigned to the values of the proposals, and each proposal is scored.        "/>
        <s v="Interactive communications This type of communication means that information is happening among stakeholders, like in a forum. Examples of interactive communications are meetings, videoconferences, phone calls, and ad-hoc conversations. Interactive communications means that the participants are actively communicating with one another.      "/>
        <s v="Brain writing A data gathering technique that’s similar to brainstorming, but provides brainstorming meeting participants with the questions and topics for brainstorming before the stakeholder identification meeting.         "/>
        <s v="Key stakeholder Stakeholders—such as management, the project manager, program manager, or customers—that have the authority to make decisions in the project.          "/>
        <s v="Leading stakeholder status Part of stakeholder analysis classification. A leading stakeholder is aware of your project, they want your project to be successful, and the stakeholder is working to make certain the project is a success.         "/>
        <s v="Negative stakeholder A stakeholder who does not want the project to exist and is opposed to the project.            "/>
        <s v="Neutral stakeholder A stakeholder who has neither a positive nor negative attitude about the project’s existence.            "/>
        <s v="Neutral stakeholder status Part of stakeholder analysis classification. A neutral stakeholder is aware of your project and is not concerned if the project succeeds or fails.           "/>
        <s v="Positive stakeholder A stakeholder who sees the benefits of the project and is in favor of the change the project is to bring about. Profile analysis meeting This is an analysis meeting to examine and document the roles in the project. The role’s interests, concerns, influence, project knowledge, and attitude are documented. Pull communications This type of communication pulls information from a central repository. Pull communications allow stakeholders to retrieve information from a central source as needed. Push communications This type of communication happens when the sender pushes the same message to multiple people. Good examples of push communications are broadcast text messages, faxes, press releases, and group e-mails. Reporting system A reporting system is a software program to store and analyze project data for reporting. A common reporting system will take project data, allow the project manager to pass the data through earned value management, for example, and then create forecasting reports about the project costs and schedule. Resistant stakeholder status Part of stakeholder analysis classification. A resistant stakeholder is aware of your project, but they do not support the changes your project will create. Stakeholder Anyone who is affected by the existence of the project or who can affect the project’s existence. Stakeholders can enter and exit the project as conditions change within the project. Stakeholder analysis An activity that ranks stakeholders based on their influence, interests, and expectations of the project. Stakeholders are identified and ranked, and then their needs and expectations are documented and addressed. Stakeholder classification models These are charts and diagrams that help the project manager determine the influence of stakeholders in relation to their interest in the project. Common classification models include the power/interest grid, the power/influence grid, the influence/impact grid, and the salience model.          "/>
        <s v="Stakeholder engagement The project manager works to keep the project stakeholders interested, involved, and supportive of the project. Through communication, management skills, and interpersonal skills, the project manager can work to keep the project stakeholders engaged and interested in the project.       "/>
        <s v="Stakeholder identification A project initiation activity to identify, document, and classify the project stakeholders as early as possible in the project.           "/>
        <s v="Stakeholder management The project management knowledge area that focuses on the management and engagement of the project stakeholders. There are four processes in this knowledge area: identify stakeholders, plan stakeholder management, manage stakeholder engagement, and Monitor Stakeholder Engagement.       "/>
        <s v="Stakeholder engagement plan The stakeholder engagement plan documents a strategy for managing the engagement of project stakeholders. The stakeholder engagement plan establishes stakeholder engagement and defines how the project manager can increase and improve stakeholder engagement.        "/>
        <s v="Stakeholder engagement planning The project manager works with the project team and subject matter experts to create a strategy to manage the project stakeholders.           "/>
        <s v="Stakeholder register A documentation of each stakeholder’s contact information, position, concerns, interests, and attitude toward the project. The project manager updates the register as new stakeholders are identified and when stakeholders leave the project.        "/>
        <s v="Supportive stakeholder status This is part of stakeholder analysis classification. A supportive stakeholder is aware of your project and is supportive and hopeful that the project will be successful.          "/>
        <s v="Unaware stakeholder status Part of stakeholder analysis classification. An unaware status means the stakeholder doesn’t know about the project and the effect the project may create on the stakeholder.          "/>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5">
  <r>
    <x v="0"/>
    <s v="A Guide to the Project Management Body of Knowledge (PMBOK Guide)"/>
    <s v="A Guide to the Project Management Body of Knowledge (PMBOK Guide) The PMI publication that defines widely accepted project management practices. The CAPM and the PMP exam are based on this book.             "/>
  </r>
  <r>
    <x v="0"/>
    <s v="Application areas"/>
    <s v="Application areas The areas of expertise, industry, or function where a project is centered. Examples of application areas include architecture, IT, health care, and manufacturing.             "/>
  </r>
  <r>
    <x v="0"/>
    <s v="Business value"/>
    <s v="Business value A quantifiable return on investment. The return can be tangible, such as equipment, money, or market share. The return can also be intangible, such as brand recognition, trademarks, and reputation.             "/>
  </r>
  <r>
    <x v="0"/>
    <s v="Certified Associate in Project Management (CAPM)"/>
    <s v="Certified Associate in Project Management (CAPM) A person who has slightly less project management experience than a PMP, but who has qualified for and then passed the CAPM examination.             "/>
  </r>
  <r>
    <x v="0"/>
    <s v="Cultural and social environment"/>
    <s v="Cultural and social environment Defines how a project affects people and how those people may affect the project. Cultural and social environments include the economic, educational, ethical, religious, demographic, and ethnic composition of the people affected by the project.             "/>
  </r>
  <r>
    <x v="0"/>
    <s v="Deliverable"/>
    <s v="Deliverable A product, service, or result created by a project. Projects can have multiple deliverables.             "/>
  </r>
  <r>
    <x v="0"/>
    <s v="General management skills"/>
    <s v="General management skills These include the application of accounting, procurement, sales and marketing, contracting, manufacturing, logistics, strategic planning, human resource management, standards and regulations, and information technology. International and political environment The consideration of the local and international laws, languages, communication challenges, time zone differences, and other non-collocated issues that affect a project’s ability to progress.           "/>
  </r>
  <r>
    <x v="0"/>
    <s v="Interpersonal skills"/>
    <s v="Interpersonal skills The ability to interact, lead, motivate, and manage people.             "/>
  </r>
  <r>
    <x v="0"/>
    <s v="Iron Triangle of Project Management"/>
    <s v="Iron Triangle of Project Management A triangle with the characteristics of time, cost, and scope. Time, cost, and scope each constitute one side of the triangle; if any side of the Iron Triangle is not in balance with the other sides, the project will suffer. The Iron Triangle of Project Management is also known as the Triple Constraints of Project Management, as all projects are constrained by time, cost, and scope.             "/>
  </r>
  <r>
    <x v="0"/>
    <s v="Physical environment"/>
    <s v="Physical environment The physical structure and surroundings that affect a project’s work.             "/>
  </r>
  <r>
    <x v="0"/>
    <s v="Process groups"/>
    <s v="Process groups A collection of related processes in project management. There are five process groups and 49 project management processes. The five process groups are Initiating, Planning, Executing, Monitoring and Controlling, and Closing.             "/>
  </r>
  <r>
    <x v="0"/>
    <s v="Program"/>
    <s v="Program A collection of related projects working in unison toward a common deliverable.             "/>
  </r>
  <r>
    <x v="0"/>
    <s v="Progressive elaboration"/>
    <s v="Progressive elaboration The process of gathering project details. This process uses deductive reasoning, logic, and a series of information-gathering techniques to identify details about a project, product, or solution.             "/>
  </r>
  <r>
    <x v="0"/>
    <s v="Project"/>
    <s v="Project A temporary endeavor to create a unique product, service, or result. The end result of a project is also called a deliverable.             "/>
  </r>
  <r>
    <x v="0"/>
    <s v="Project benefits management plan"/>
    <s v="Project benefits management plan A documented created and maintained by the project sponsor and the project manager. The project benefits management plan defines what benefits the project will create, when the benefits will be realized, and how the benefits will be measured.             "/>
  </r>
  <r>
    <x v="0"/>
    <s v="Project business case"/>
    <s v="Project business case Created and maintained by the project sponsor and shows the financial validity of why a project is chartered and launched within the organization. Typically, the project business case is created before the launch of the project and may be used as a go/no-go decision point.             "/>
  </r>
  <r>
    <x v="0"/>
    <s v="Project environment"/>
    <s v="Project environment The location and culture of the environment where the project work will reside. The project environment includes the social, economic, and environmental variables the project must work with or around.             "/>
  </r>
  <r>
    <x v="0"/>
    <s v="Project Management Institute (PMI)"/>
    <s v="Project Management Institute (PMI) An organization of project management professionals from around the world, supporting and promoting the careers, values, and concerns of project managers.             "/>
  </r>
  <r>
    <x v="0"/>
    <s v="Project life cycle"/>
    <s v="Project life cycle The phases that make up the project. Project life cycles are unique to the type of work being performed and are not universal to all projects.             "/>
  </r>
  <r>
    <x v="0"/>
    <s v="Project management office (PMO)"/>
    <s v="Project management office (PMO) A central office that oversees all projects within an organization or within a functional department. A PMO supports the project manager through software, training, templates, policies, communication, dispute resolution, and other services.             "/>
  </r>
  <r>
    <x v="0"/>
    <s v="Project Management Professional (PMP)"/>
    <s v="Project Management Professional (PMP) A person who has proven project management experience and has qualified for and then passed the PMP examination.             "/>
  </r>
  <r>
    <x v="0"/>
    <s v="Project portfolio management"/>
    <s v="Project portfolio management The management and selection of projects that support an organization’s vision and mission. It is the balance of project priority, risk, reward, and return on investment. This is a senior management process.             "/>
  </r>
  <r>
    <x v="0"/>
    <s v="Subprojects"/>
    <s v="Subprojects A smaller project managed within a larger, parent project. Subprojects are often contracted work whose deliverable allows the larger project to progress. Triple Constraints of Project Management Also known as the Iron Triangle. This theory posits that time, cost, and scope are three constraints that every project has.           "/>
  </r>
  <r>
    <x v="0"/>
    <s v="Work performance data"/>
    <s v="Work performance data Raw data, observations, and measurements about project components. Work performance data is gathered and stored in the project management information system.             "/>
  </r>
  <r>
    <x v="0"/>
    <s v="Work performance information"/>
    <s v="Work performance information Work performance information is the processed and analyzed data that will help the project manager make project decisions.             "/>
  </r>
  <r>
    <x v="0"/>
    <s v="Work performance reports"/>
    <s v="Work performance reports Work performance reports is the formatted communication of work performance information. Work performance reports communicate what’s happening in the project through status reports, memos, dashboards, or other modalities. Hybrid structure An organization that creates a blend of the functional, matrix, and project-oriented structures. Multidivisional structure Describe organizations that have duplication of efforts within the organization, but not within each department or division of the organization. Project manager has little authority in this structure and the functional manager controls the project budget. Organic or simple Describes a loosely organized business or organization. There likely aren’t big formal departments and people work alongside one another regardless of roles and titles. The project manager likely has little control over the project resources and may not be called a project manager. Organizational process assets Organizational process assets include organizational processes, policies, procedures, and items from a corporate knowledge base. Organizational process assets are grouped into two categories to consider: processes, policies and procedures, and organizational knowledge bases. Organizational Knowledge Repositories Organizational knowledge repositories are the databases, files, and historical information that you can use to help better plan and manage your projects. This is an organizational process asset that is created internally to your organization through the ongoing work of operations and other projects. Organizational System A system can create things by working with multiple components that the individual components could not create if they worked alone. The structure of the organization and the governance framework creates constraints that affect how the project manager makes decisions within the project. The organizational system directly affects how the project manager utilizes their power, influence, leadership, and even political capital, to get things done in the environment. Project management office (PMO) A business unit that centralizes the operations and procedures of all projects within the organization. The PMO can be supportive, controlling, or directive. Project-oriented structure An organization that assigns a project team to one project for the duration of the project life cycle. The project manager has high-to-almost-complete project power. Strong matrix structure An organization where organizational resources are pooled into one project team, but the functional managers have less project power than the project manager. Virtual organization Uses a network structure to communicate and interact with other groups and departments. A point of contact exists for each department and these department point of contact receive and send all messages for the department. Weak matrix structure An organization where organizational resources are pooled into one project team, but the functional managers have more project power than the project manager.           "/>
  </r>
  <r>
    <x v="1"/>
    <s v="active listening"/>
    <s v="active listening The message receiver restates what’s been said to fully understand and confirm the message and it provides an opportunity for the sender to clarify the message if needed.         "/>
  </r>
  <r>
    <x v="1"/>
    <s v="active problem solving"/>
    <s v="active problem solving Active problem solving begins with problem definition. Problem definition is the ability to discern between the cause and effect of the problem. Root-cause analysis looks beyond the immediate symptoms to the cause of the symptoms—which then affords opportunities for solutions.      "/>
  </r>
  <r>
    <x v="1"/>
    <s v="avoiding power"/>
    <s v="avoiding power The project manager refuses to act, get involved, or make decisions.            "/>
  </r>
  <r>
    <x v="1"/>
    <s v="charismatic leadership"/>
    <s v="charismatic leadership The leader is motivating, has highenergy, and inspires the team through strong convictions about what’s possible and what the team can achieve. Positive thinking and a can-do mentality are characteristics of a charismatic leader.        "/>
  </r>
  <r>
    <x v="1"/>
    <s v="expert power"/>
    <s v="expert power The project manager has deep skills and experience in a discipline (for example, years of working in IT helps an IT project manager better manage IT projects). ingratiating power The project manager aims to gain favor with the project team and stakeholders through flattery.      "/>
  </r>
  <r>
    <x v="1"/>
    <s v="informational power"/>
    <s v="informational power The individual has power and control of the data gathering and distribution of information. interactional leadership The leader is a hybrid of transactional, transformational, and charismatic leaders. The interactional leader wants the team to act, is excited and inspired about the project work, yet still holds the team accountable for their results. guilt-based power The project manager can make the team and stakeholders feel guilty to gain compliance in the project. leadership Leadership is about aligning, motivating, and inspiring the project team members to do the right thing, build trust, think creatively, and to challenge the status quo. laissez-faire leadership The leader takes a “hands-off” approach to the project. This means the project team makes decisions, takes initiative in the actions, and creates goals. While this approach can provide autonomy, it can make the leader appear absent when it comes to project decisions. management Management utilizes positional power to maintain, administrate, control, and focus on getting things done without challenging the status quo of the project and organization. media selection Based on the audience and the message being sent, the media should be in alignment with the message. meeting management Meetings are forms of communication. How the meeting is led, managed, and controlled all influence the message being delivered. Agendas, minutes, and order are mandatory for effective communications within a meeting. personal or charismatic power The project manager has a warm personality that others like. presentation In formal presentations, the presenter’s oral and body language, visual aids, and handouts all influence the message being delivered.     "/>
  </r>
  <r>
    <x v="1"/>
    <s v="pressure-based power"/>
    <s v="pressure-based power The project manager can restrict choices to get the project team to perform and do the project work.           "/>
  </r>
  <r>
    <x v="1"/>
    <s v="PMI Talent Triangle"/>
    <s v="PMI Talent Triangle Defines three areas of PDUs for PMI certified professionals to maintain their certification. The PMI Talent Triangle includes technical project management, leadership, and strategic and business management.        "/>
  </r>
  <r>
    <x v="1"/>
    <s v="positional power"/>
    <s v="positional power The project manager’s power is because of the position she has as the project manager. This is also known as formal, authoritative, and legitimate power.          "/>
  </r>
  <r>
    <x v="1"/>
    <s v="Professional Development Units (PDUs)"/>
    <s v="Professional Development Units (PDUs) PDUs are earned after the PMP to maintain the PMP certification. PMPs are required to earn 60 PDUs per three-year certification cycle. Of the 60 PDUs, a minimum of 35 hours must come from educational opportunities.        "/>
  </r>
  <r>
    <x v="1"/>
    <s v="project manager"/>
    <s v="project manager The role of leading the project team and managing the project resources to effectively achieve the objectives of the project. punitive or coercive power The project manager can punish the project team.       "/>
  </r>
  <r>
    <x v="1"/>
    <s v="referent power"/>
    <s v="referent power The project manager is respected or admired because of the team’s past experiences with the project manager. This is about the project manager’s credibility in the organization.         "/>
  </r>
  <r>
    <x v="1"/>
    <s v="reward power"/>
    <s v="reward power The project manager can reward the project team. sender-receiver models Communication requires a sender and a receiver. Within this model may be multiple avenues to complete the flow of communication, but barriers to effective communication may be present as well. servant leadership The leader puts others first and focuses on the needs of the people he serves. Servant leaders provide opportunity for growth, education, autonomy within the project, and the well-being of others. The primary focus of servant leadership is service to others. situational power The project manager has power because of certain situations in the organization. style The tone, structure, and formality of the message being sent should be in alignment with the audience and the content of the message. transactional leadership The leader emphasizes the goals of the project and rewards and disincentives for the project team. This is sometimes called management by exception as it’s the exception that is reward or punished. transformational leadership The leader inspires and motivates the project team to achieve the project goals. Transformational leaders aim to empower the project team to act, be innovative in the project work, and accomplish through ambition. or fold page in half. Read the term, recite the definition, and then look at this side of         "/>
  </r>
  <r>
    <x v="2"/>
    <s v="Assumption log"/>
    <s v="Assumption log An assumption is something that is believed to be true or false, but it has not yet been proven to be true or false. Assumptions that prove wrong can become risks for the project. All identified project assumptions are recorded in the assumption log for testing and analysis, and the outcomes are recorded.      "/>
  </r>
  <r>
    <x v="2"/>
    <s v="Benefit/cost ratio (BCR) models"/>
    <s v="Benefit/cost ratio (BCR) models This is an example of a benefits comparison model. It examines the benefit-to-cost ratio.           "/>
  </r>
  <r>
    <x v="2"/>
    <s v="Change control board (CCB)"/>
    <s v="Change control board (CCB) A committee that evaluates the worthiness of a proposed change and either approves or rejects the proposed change.          "/>
  </r>
  <r>
    <x v="2"/>
    <s v="Change control system (CCS)"/>
    <s v="Change control system (CCS) The change control system communicates the process for controlling changes to the project deliverables. This system works with the configuration management system and seeks to control and document proposals to change the project’s product.       "/>
  </r>
  <r>
    <x v="2"/>
    <s v="Change log"/>
    <s v="Change log All changes that enter into a project are recorded in the change log. The characteristics of the change, such as the time, cost, risk, and scope details, are also recorded.         "/>
  </r>
  <r>
    <x v="2"/>
    <s v="Change management plan"/>
    <s v="Change management plan This plan details the project procedures for entertaining change requests: how change requests are managed, documented, approved, or declined.          "/>
  </r>
  <r>
    <x v="2"/>
    <s v="Closure processes"/>
    <s v="Closure processes This final process group of the project management life cycle is responsible for closing the project phase or project. This is where project documentation is archived and project contracts are also closed.        "/>
  </r>
  <r>
    <x v="2"/>
    <s v="Communications management plan"/>
    <s v="Communications management plan This plan defines who will get what information, how they will receive it, and in what modality the communication will take place.          "/>
  </r>
  <r>
    <x v="2"/>
    <s v="Configuration identification"/>
    <s v="Configuration identification This includes the labeling of the components, how changes are made to the product, and the accountability of the changes.          "/>
  </r>
  <r>
    <x v="2"/>
    <s v="Configuration management plan"/>
    <s v="Configuration management plan This plan is an input to the control scope process. It defines how changes to the features and functions of the project deliverable, the product scope, may enter the project.         "/>
  </r>
  <r>
    <x v="2"/>
    <s v="Configuration management system"/>
    <s v="Configuration management system This system defines how stakeholders are allowed to submit change requests, the conditions for approving a change request, and how approved change requests are validated in the project scope. Configuration management also documents the characteristics and functions of the project’s products and any changes to a product’s characteristics.    "/>
  </r>
  <r>
    <x v="2"/>
    <s v="Configuration status accounting"/>
    <s v="Configuration status accounting The organization of the product materials, details, and prior product documentation. Configuration verification and auditing The scope verification and completeness auditing of project or phase deliverables to ensure that they are in alignment with the project plan.       "/>
  </r>
  <r>
    <x v="2"/>
    <s v="Contract closure"/>
    <s v="Contract closure The formal verification of the contract completeness by the vendor and the performing organization.           "/>
  </r>
  <r>
    <x v="2"/>
    <s v="Cost baseline"/>
    <s v="Cost baseline This is the aggregated costs of all of the work packages within the work breakdown structure (WBS).           "/>
  </r>
  <r>
    <x v="2"/>
    <s v="Cost management plan"/>
    <s v="Cost management plan This plan details how the project costs will be planned for, estimated, budgeted, and then monitored and controlled.           "/>
  </r>
  <r>
    <x v="2"/>
    <s v="Explicit knowledge"/>
    <s v="Explicit knowledge Knowledge that can be quickly and easily expressed through conversations, documentation, figures, or numbers, is easily communicated.          "/>
  </r>
  <r>
    <x v="2"/>
    <s v="Future value"/>
    <s v="Future value A benefit comparison model to determine a future value of money. The formula to calculate future value is FV = PV(1 + I)n, where PV is present value, I is the given interest rate, and n is the number of periods.        "/>
  </r>
  <r>
    <x v="2"/>
    <s v="Integrated change control"/>
    <s v="Integrated change control A process to consider and control the impact of a proposed change on the project’s knowledge areas.           "/>
  </r>
  <r>
    <x v="2"/>
    <s v="Issue log"/>
    <s v="Issue log Issues are points of contention where some question of the project’s direction needs to be resolved. All identified issues are documented in the issue log, along with an issue owner and a deadline to resolve the issue. The outcome of the issue is also recorded.       "/>
  </r>
  <r>
    <x v="2"/>
    <s v="Mathematical model"/>
    <s v="Mathematical model A project selection method to determine the likelihood of success. These models include linear programming, nonlinear programming, dynamic programming, integer programming, and multiobjective programming.        "/>
  </r>
  <r>
    <x v="2"/>
    <s v="Milestone"/>
    <s v="Milestone Milestones are significant points or events in the project’s progress that represent accomplishment in the project. Projects usually create milestones as the result of completing phases within the project.        "/>
  </r>
  <r>
    <x v="2"/>
    <s v="Milestone list"/>
    <s v="Milestone list This list details the project milestones and their attributes. It is used for several areas of project planning, but also helps determine how quickly the project may be achieving its objectives.         "/>
  </r>
  <r>
    <x v="2"/>
    <s v="Murder boards"/>
    <s v="Murder boards These are committees that ask every conceivable negative question about the proposed project. Their goals are to expose the project’s strengths and weaknesses, and to kill the project if it’s deemed unworthy for the organization to commit to. Also known as project steering committees or project selection committees.     "/>
  </r>
  <r>
    <x v="2"/>
    <s v="Net present value"/>
    <s v="Net present value Evaluates the monies returned on a project for each period the project lasts.            "/>
  </r>
  <r>
    <x v="2"/>
    <s v="Payback period"/>
    <s v="Payback period An estimate to predict how long it will take a project to pay back an organization for the project’s investment of capital.           "/>
  </r>
  <r>
    <x v="2"/>
    <s v="Present value"/>
    <s v="Present value A benefit comparison model to determine the present value of a future amount of money. The formula to calculate present value is PV = FV ÷ (1 + i)n, where FV is future value, I is the given interest rate, and n is the number of periods.        "/>
  </r>
  <r>
    <x v="2"/>
    <s v="Procurement management plan"/>
    <s v="Procurement management plan The procurement management plan controls how the project will acquire goods and services.           "/>
  </r>
  <r>
    <x v="2"/>
    <s v="Project charter"/>
    <s v="Project charter This document authorizes the project. It defines the initial requirements of the project stakeholders. The project charter is endorsed by an entity outside of the project boundaries.         "/>
  </r>
  <r>
    <x v="2"/>
    <s v="Project management plan"/>
    <s v="Project management plan The documented approach of how a project will be planned, executed, monitored and controlled, and then closed. This document is a collection of subsidiary management plans and related documents.        "/>
  </r>
  <r>
    <x v="2"/>
    <s v="Project scope management plan"/>
    <s v="Project scope management plan Defines how the project scope will be planned, managed, and controlled.            "/>
  </r>
  <r>
    <x v="2"/>
    <s v="Quality baseline"/>
    <s v="Quality baseline Documents the quality objectives for the project, including the metrics for stakeholder acceptance of the project deliverable.          "/>
  </r>
  <r>
    <x v="2"/>
    <s v="Quality management plan"/>
    <s v="Quality management plan This plan defines what quality means for the project, how the project will achieve quality, and how the project will map to organizational procedures pertaining to quality.         "/>
  </r>
  <r>
    <x v="2"/>
    <s v="Regression analysis"/>
    <s v="Regression analysis A mathematical model to examine the relationship among project variables, like cost, time, labor, and other project metrics.          "/>
  </r>
  <r>
    <x v="2"/>
    <s v="Risk management plan"/>
    <s v="Risk management plan Risk is an uncertain event or condition that may affect the project outcome. The risk management plan defines how the project will manage risk.          "/>
  </r>
  <r>
    <x v="2"/>
    <s v="Risk register"/>
    <s v="Risk register The risk register is a centralized database consisting of the outcome of all the other risk management processes, such as the outcome of risk identification, qualitative analysis, and quantitative analysis.         "/>
  </r>
  <r>
    <x v="2"/>
    <s v="Risk response plan"/>
    <s v="Risk response plan This subsidiary plan defines the risk responses that are to be used in the project for both positive and negative risks.          "/>
  </r>
  <r>
    <x v="2"/>
    <s v="Schedule baseline"/>
    <s v="Schedule baseline This is the planned start and finish of the project. The comparison of what was planned and what was experienced is the schedule variance.          "/>
  </r>
  <r>
    <x v="2"/>
    <s v="Schedule management plan"/>
    <s v="Schedule management plan Defines how the project schedule will be created and managed.            "/>
  </r>
  <r>
    <x v="2"/>
    <s v="Scope baseline"/>
    <s v="Scope baseline The scope baseline is a combination of three project documents: the project scope statement, the work breakdown structure, and the WBS dictionary. The creation of the project deliverable will be measured against the scope baseline to show any variances from what was expected and what the project team has created.     "/>
  </r>
  <r>
    <x v="2"/>
    <s v="Scoring models"/>
    <s v="Scoring models These models use a common set of values for all of the projects up for selection. For example, values can be profitability, complexity, customer demand, and so on. tacit knowledge Knowledge that’s more difficult to express because it’s personal beliefs, values, knowledge gain from experience, and “know-how” when doing a task.    "/>
  </r>
  <r>
    <x v="3"/>
    <s v="8/80 Rule"/>
    <s v="8/80 Rule A planning heuristic for creating the WBS. This rule states that the work package in a WBS must take no more than 80 hours of labor to create and no fewer than 8 hours of labor to create.         "/>
  </r>
  <r>
    <x v="3"/>
    <s v="Active observation"/>
    <s v="Active observation The observer interacts with the worker to ask questions and understand each step of the work being completed. In some instances, the observer could serve as an assistant in doing the work.         "/>
  </r>
  <r>
    <x v="3"/>
    <s v="Affinity diagrams"/>
    <s v="Affinity diagrams When stakeholders create a large number of ideas, you can use an affinity diagram to cluster similar ideas together for further analysis.          "/>
  </r>
  <r>
    <x v="3"/>
    <s v="Alternatives generation"/>
    <s v="Alternatives generation A scope definition process of finding alternative solutions for the project customer while considering the customer’s satisfaction, the cost of the solution, and how the customer may use the product in operations.        "/>
  </r>
  <r>
    <x v="3"/>
    <s v="Autocratic"/>
    <s v="Autocratic A decision method where only one individual makes the decision for the group.           "/>
  </r>
  <r>
    <x v="3"/>
    <s v="Brainstorming"/>
    <s v="Brainstorming This approach encourages participants to generate as many ideas as possible about the project requirements. No idea is judged or dismissed during the brainstorming session.         "/>
  </r>
  <r>
    <x v="3"/>
    <s v="Change control system (CCS)"/>
    <s v="Change control system (CCS) Documented in the scope management plan, this system defines how changes to the project scope are managed and controlled. Change management plan This subsidiary plan defines how changes will be allowed and managed within the project. Code of accounts A numbering system for each item in the WBS. The PMBOK is a good example of a code of accounts, as each chapter and its subheadings follow a logical numbering scheme. For example, PMBOK 5.3.3.2 identifies an exact paragraph in the PMBOK. Configuration management plan This subsidiary plan defines how changes to the features and functions of the project deliverables will be monitored and controlled within the project. Context diagram These diagrams show the relationship between elements of an environment. For example, a context diagram would illustrate the networks, servers, workstations, and people that interact with the elements of the environment. Focus groups A moderator-led requirements collection method to elicit requirements from stakeholders. Functional analysis This is the study of the functions within a system, project, or, what’s more likely in the project scope statement, the product the project will be creating. Functional analysis studies the goals of the product, how the product will be used, and the expectations the customer has of the product once it leaves the project and moves into operations. Functional analysis may also consider the cost of the product in operations, which is known as life-cycle costing. Funding limit Most projects have a determined budget in relation to the project scope. There may be a qualifier on this budget, such as plus or minus 10 percent based on the type of cost estimate created.         "/>
  </r>
  <r>
    <x v="3"/>
    <s v="Interviews"/>
    <s v="Interviews A requirements collection method used to elicit requirements from stakeholders in a one-on-one conversation.           "/>
  </r>
  <r>
    <x v="3"/>
    <s v="Majority"/>
    <s v="Majority A group decision method where more than 50 percent of the group must be in agreement.           "/>
  </r>
  <r>
    <x v="3"/>
    <s v="Mind mapping"/>
    <s v="Mind mapping This approach maps ideas to show the relationship among requirements and the differences between requirements. The map can be reviewed to identify new solutions or to rank the identified requirements.        "/>
  </r>
  <r>
    <x v="3"/>
    <s v="Nominal group technique"/>
    <s v="Nominal group technique As with brainstorming, participants are encouraged to generate as many ideas as possible, but the suggested ideas are ranked by a voting process.          "/>
  </r>
  <r>
    <x v="3"/>
    <s v="Passive observation"/>
    <s v="Passive observation The observer records information about the work being completed without interrupting the process; sometimes called the invisible observer.          "/>
  </r>
  <r>
    <x v="3"/>
    <s v="Plurality"/>
    <s v="Plurality A group-decision method where the largest part of the group makes the decision when it’s less than 50 percent of the total. (Consider three or four factions within the stakeholders.)         "/>
  </r>
  <r>
    <x v="3"/>
    <s v="Product acceptance criteria"/>
    <s v="Product acceptance criteria This project scope statement component works with the project requirements, but focuses specifically on the product and what the conditions and processes are for formal acceptance of the product.         "/>
  </r>
  <r>
    <x v="3"/>
    <s v="Product breakdown"/>
    <s v="Product breakdown A scope definition technique that breaks down a product into a hierarchical structure, much like a WBS breaks down a project scope.          "/>
  </r>
  <r>
    <x v="3"/>
    <s v="Product scope description"/>
    <s v="Product scope description This is a narrative description of what the project is creating as a deliverable for the project customer. Product scope Defines the product or service that will come about as a result of completing the project. It defines the features and functions that characterize the product. Project assumptions A project assumption is a factor in the planning process that is held to be true but not proven to be true. Project boundaries A project boundary clearly states what is included with the project and what’s excluded from the project. This helps to eliminate assumptions between the project management team and the project customer. Project constraints A constraint is anything that limits the project manager’s options. Consider a predetermined budget, deadline, resources, or materials the project manager must use within the project—these are all examples of project constraints. Project objectives These are the measurable goals that determine a project’s acceptability to the project customer and the overall success of the project. Objectives often include the cost, schedule, technical requirements, and quality demands. Project requirements These are the demands set by the customer, regulations, or the performing organization that must exist for the project deliverables to be acceptable. Requirements are often prioritized in a number of ways, from “must have” to “should have” to “would like to have.” Project scope This defines all of the work, and only the required work, to complete the project objectives.          "/>
  </r>
  <r>
    <x v="3"/>
    <s v="Project scope management plan"/>
    <s v="Project scope management plan This project management subsidiary plan controls how the scope will be defined, how the project scope statement will be created, how the WBS will be created, how scope validation will proceed, and how the project scope will be controlled throughout the project.       "/>
  </r>
  <r>
    <x v="3"/>
    <s v="Requirements documentation"/>
    <s v="Requirements documentation This documentation of what the stakeholders expected in the project defines all of the requirements that must be present for the work to be accepted by the stakeholders.         "/>
  </r>
  <r>
    <x v="3"/>
    <s v="Requirements management plan"/>
    <s v="Requirements management plan This subsidiary plan defines how changes to the project requirements will be permitted, how requirements will be tracked, and how changes to the requirements will be approved.         "/>
  </r>
  <r>
    <x v="3"/>
    <s v="Requirements traceability matrix (RTM)"/>
    <s v="Requirements traceability matrix (RTM) This is a table that maps the requirements throughout the project all the way to their completion.           "/>
  </r>
  <r>
    <x v="3"/>
    <s v="Schedule milestones"/>
    <s v="Schedule milestones The project customer may have specific dates when phases of the project should be completed. These milestones are often treated as project constraints.          "/>
  </r>
  <r>
    <x v="3"/>
    <s v="Scope creep"/>
    <s v="Scope creep Undocumented, unapproved changes to the project scope.            "/>
  </r>
  <r>
    <x v="3"/>
    <s v="Scope validation"/>
    <s v="Scope validation The formal inspection of the project deliverables, which leads to project acceptance.           "/>
  </r>
  <r>
    <x v="3"/>
    <s v="Stakeholder analysis"/>
    <s v="Stakeholder analysis A scope definition process where the project management team interviews the stakeholders and categorizes, prioritizes, and documents what the project customer wants and needs. The analysis is to determine, quantify, and prioritize the interests of the stakeholders.       "/>
  </r>
  <r>
    <x v="3"/>
    <s v="Stakeholder analysis demands"/>
    <s v="Stakeholder analysis demands quantification of stakeholder objectives; goals such as “good,” “satisfaction,” and “speedy” aren’t quantifiable.           "/>
  </r>
  <r>
    <x v="3"/>
    <s v="Systems analysis"/>
    <s v="Systems analysis A scope definition approach that studies and analyzes a system, its components, and the relationship of the components within the system.          "/>
  </r>
  <r>
    <x v="3"/>
    <s v="Systems engineering"/>
    <s v="Systems engineering This project scope statement creation process studies how a system should work, designs and creates a system model, and then enacts the working system based on the project’s goals and the customer’s expectations. Systems engineering aims to balance the time and cost of the project in relation to the scope of the project.     "/>
  </r>
  <r>
    <x v="3"/>
    <s v="Unanimity"/>
    <s v="Unanimity A group decision method where everyone must be in agreement.            "/>
  </r>
  <r>
    <x v="3"/>
    <s v="Value analysis"/>
    <s v="Value analysis As with value engineering, this approach examines the functions of the project’s product in relation to the cost of the features and functions. This is where, to some extent, the grade of the product is in relationship to the cost of the product.        "/>
  </r>
  <r>
    <x v="3"/>
    <s v="Value engineering"/>
    <s v="Value engineering This approach to project scope statement creation attempts to find the correct level of quality in relation to a reasonable budget for the project deliverable while still achieving an acceptable level of performance of the product.        "/>
  </r>
  <r>
    <x v="3"/>
    <s v="WBS dictionary"/>
    <s v="WBS dictionary A WBS companion document that defines all of the characteristics of each element within the WBS.           "/>
  </r>
  <r>
    <x v="3"/>
    <s v="WBS template"/>
    <s v="WBS template A prepopulated WBS for repetitive projects. Previous projects’ WBSs are often used as templates for current similar projects.          "/>
  </r>
  <r>
    <x v="3"/>
    <s v="Work breakdown structure (WBS)"/>
    <s v="Work breakdown structure (WBS) A deliverables-oriented breakdown of the project scope. Work package The smallest item in the WBS.           "/>
  </r>
  <r>
    <x v="3"/>
    <s v="Work performance information"/>
    <s v="Work performance information Status of the deliverables: the work that’s been started, finished, or has yet to begin. Control threshold A predetermined range of acceptable variances, such as +/–10 percent off schedule. Should the variance exceed the threshold, then project control processes and corrected actions will be enacted. Crashing A schedule compression approach that adds more resources to activities on the critical path to complete the project earlier. When crashing a project, costs are added because the associated labor and sometimes resources (such as faster equipment) cause costs to increase. Critical path The path in the project network diagram that cannot be delayed, otherwise the project completion date will be late. There can be more than one critical path. Activities in the critical path have no float. Discretionary dependencies These dependencies are the preferred order of activities. Project managers should use these relationships at their discretion and should document the logic behind the decision. Discretionary dependencies allow activities to happen in a preferred order because of best practices, conditions unique to the project work, or external events. Also known as preferential or soft logic. Early finish The earliest a project activity can finish. Used in the forward pass procedure to discover the critical path and the project float. Early start The earliest a project activity can begin. Used in the forward pass procedure to discover the critical path and the project float. External dependencies As the name implies, these are dependencies outside of the project’s control. Examples include the delivery of equipment from a vendor, the deliverable of another project, or the decision of a committee, lawsuit, or expected new law. Fast tracking A schedule compression method that changes the relationship of activities. With fast tracking, activities that would normally be done in sequence are allowed to be done in parallel or with some overlap. Fast tracking can be accomplished by changing the relation of activities from FS to SS or even FF or by adding lead time to downstream activities. However, fast tracking does add risk to the project. Finish-to-finish An activity relationship type that requires the current activity to be finished before its successor can finish. Finish-to-start An activity relationship type that requires the current activity to be finished before its successor can start. Fragnet A representation of a project network diagram that is often used for outsourced portions of a project, repetitive work within a project, or a subproject. Also called a subnet. Free float This is the total time a single activity can be delayed without affecting the early start of its immediately following successor activities. Hard logic Logic that describes activities that must happen in a particular order. For example, the dirt must be excavated before the foundation can be built. The foundation must be in place before the framing can begin. Also known as a mandatory dependency. Internal dependencies Internal relationships to the project or the organization. For example, the project team must create the software as part of the project’s deliverable before the software can be tested for quality control. Lag time Positive time that moves two or more activities further apart. Late finish The latest a project activity can finish. Used in the backward pass procedure to discover the critical path and the project float. Late start The latest a project activity can begin. Used in the backward pass procedure to discover the critical path and the project float. Lead time Negative time that allows two or more activities to overlap where ordinarily these activities would be sequential. Management reserve A percentage of the project duration to combat Parkinson’s Law. When project activities become late, their lateness is subtracted from the management reserve. Mandatory dependencies These dependencies are the natural order of activities. For example, you can’t begin building your house until your foundation is in place. These relationships are called hard logic.        "/>
  </r>
  <r>
    <x v="3"/>
    <s v="Monte Carlo analysis"/>
    <s v="Monte Carlo analysis A project simulation approach named after the world-famous gambling district in Monaco. This predicts how scenarios may work out, given any number of variables. The process doesn’t actually churn out a specific answer, but a range of possible answers. When Monte Carlo analysis is applied to a schedule, it can examine, for example, the optimistic completion date, the pessimistic completion date, and the most likely completion date for each activity in the project and then predict a mean for the project schedule."/>
  </r>
  <r>
    <x v="3"/>
    <s v="Parametric estimate"/>
    <s v="Parametric estimate A quantitatively based duration estimate that uses mathematical formulas to predict how long an activity will take based on the quantities of work to be completed.         "/>
  </r>
  <r>
    <x v="3"/>
    <s v="Parkinson’s Law"/>
    <s v="Parkinson’s Law A theory that states: “Work expands so as to fill the time available for its completion.” It is considered with time estimating, because bloated or padded activity estimates will fill the amount of time allotted to the activity.        "/>
  </r>
  <r>
    <x v="3"/>
    <s v="Planning package"/>
    <s v="Planning package A WBS entry located below a control account and above the work packages. A planning package signifies that there is more planning that needs to be completed for this specific deliverable.         "/>
  </r>
  <r>
    <x v="3"/>
    <s v="Precedence diagramming method"/>
    <s v="Precedence diagramming method A network diagram that shows activities in nodes and the relationship between each activity. Predecessors come before the current activity, and successors come after the current activity.         "/>
  </r>
  <r>
    <x v="3"/>
    <s v="Project calendars"/>
    <s v="Project calendars Calendars that identify when the project work will occur.            "/>
  </r>
  <r>
    <x v="3"/>
    <s v="Project float"/>
    <s v="Project float This is the total time the project can be delayed without passing the customerexpected completion date.           "/>
  </r>
  <r>
    <x v="3"/>
    <s v="Project network diagram"/>
    <s v="Project network diagram A diagram that visualizes the flow of the project activities and their relationships to other project activities.           "/>
  </r>
  <r>
    <x v="3"/>
    <s v="Refinement"/>
    <s v="Refinement An update to the work breakdown structure.            "/>
  </r>
  <r>
    <x v="3"/>
    <s v="Resource breakdown structure (RBS)"/>
    <s v="Resource breakdown structure (RBS) This is a hierarchical breakdown of the project resources by category and resource type. For example, you could have a category of equipment, a category of human resources, and a category of materials. Within each category, you could identify the types of equipment your project will use, the types of human resources, and the types of materials.     "/>
  </r>
  <r>
    <x v="3"/>
    <s v="Resource calendars"/>
    <s v="Resource calendars Calendars that identify when project resources are available for the project work.           "/>
  </r>
  <r>
    <x v="3"/>
    <s v="Resource-leveling heuristic"/>
    <s v="Resource-leveling heuristic A method to flatten the schedule when resources are overallocated. Resource leveling can be applied using different methods to accomplish different goals. One of the most common methods is to ensure that workers are not overextended on activities.       "/>
  </r>
  <r>
    <x v="3"/>
    <s v="Rolling wave planning"/>
    <s v="Rolling wave planning The imminent work is planned in detail, while the work in the future is planned at a high level. This is a form of progressive elaboration.          "/>
  </r>
  <r>
    <x v="3"/>
    <s v="Schedule management plan"/>
    <s v="Schedule management plan A subsidiary plan in the project management plan. It defines how the project schedule will be created, estimated, controlled, and managed.          "/>
  </r>
  <r>
    <x v="3"/>
    <s v="Soft logic"/>
    <s v="Soft logic The activities don’t necessarily have to happen in a specific order. For example, you could install the light fixtures first, then the carpet, and then paint the room. The project manager could use soft logic to change the order of the activities if so desired.       "/>
  </r>
  <r>
    <x v="3"/>
    <s v="Start-to-finish"/>
    <s v="Start-to-finish An activity relationship that requires an activity to start so that its successor can finish. This is the most unusual of all the activity relationship types.          "/>
  </r>
  <r>
    <x v="3"/>
    <s v="Start-to-start"/>
    <s v="Start-to-start An activity relationship type that requires the current activity to start before its successor can start.           "/>
  </r>
  <r>
    <x v="3"/>
    <s v="Subnet"/>
    <s v="Subnet A representation of a project network diagram that is often used for outsourced portions of projects, repetitive work within a project, or a subproject. Also called a fragnet.         "/>
  </r>
  <r>
    <x v="3"/>
    <s v="Template"/>
    <s v="Template A previous project that can be adapted for the current project and forms that are pre-populated with organizational-specific information.          "/>
  </r>
  <r>
    <x v="3"/>
    <s v="Three-point estimate"/>
    <s v="Three-point estimate An estimating technique for each activity that requires optimistic, most likely, and pessimistic estimates to be created. Based on these three estimates, an average can be created to predict how long the activity should take.        "/>
  </r>
  <r>
    <x v="3"/>
    <s v="Total float"/>
    <s v="Total float This is the total time an activity can be delayed without delaying project completion.           "/>
  </r>
  <r>
    <x v="3"/>
    <s v="Work package"/>
    <s v="Work package The smallest item in the work breakdown structure. Cost aggregation Costs are parallel to each WBS work package. The costs of each work package are aggregated to their corresponding control accounts. Each control account then is aggregated to the sum of the project costs. Cost baseline A time-lapse exposure of when the project monies are to be spent in relation to cumulative values of the work completed in the project. Cost budgeting The cost aggregation achieved by assigning specific dollar amounts for each of the scheduled activities or, more likely, for each of the work packages in the WBS. Cost budgeting applies the cost estimates over time. Cost change control system A system that examines any changes associated with scope changes, the cost of materials, and the cost of any other resources, and the associated impact on the overall project cost. Cost management plan The cost management plan dictates how cost variances will be managed. Cost of poor quality The monies spent to recover from not adhering to the expected level of quality. Examples may include rework, defect repair, loss of life or limb because safety precautions were not taken, loss of sales, and loss of customers. This is also known as the cost of nonconformance to quality. Cost of quality The monies spent to attain the expected level of quality within a project. Examples include training, testing, and safety precautions. Cost performance index (CPI) Measures the project based on its financial performance. The formula is CPI = EV/AC.           "/>
  </r>
  <r>
    <x v="3"/>
    <s v="Cost variance (CV)"/>
    <s v="Cost variance (CV) The difference of the earned value amount and the cumulative actual costs of the project. The formula is CV = EV – AC.          "/>
  </r>
  <r>
    <x v="3"/>
    <s v="Definitive estimate"/>
    <s v="Definitive estimate This estimate type is one of the most accurate. It’s used late in the planning processes and is associated with bottomup estimating. You need the WBS in order to create the definitive estimate. The range of variance for the estimate can be from –5 percent to +10 percent.       "/>
  </r>
  <r>
    <x v="3"/>
    <s v="Direct costs"/>
    <s v="Direct costs Costs are attributed directly to the project work and cannot be shared among projects (for example, airfare, hotels, long-distance phone charges, and so on).          "/>
  </r>
  <r>
    <x v="3"/>
    <s v="Earned value (EV)"/>
    <s v="Earned value (EV) Earned value is the physical work completed to date and the authorized budget for that work. It is the percentage of the BAC that represents the actual work completed in the project.         "/>
  </r>
  <r>
    <x v="3"/>
    <s v="Estimate at completion (EAC)"/>
    <s v="Estimate at completion (EAC) These forecasting formulas predict the likely completed costs of the project based on current scenarios within the project.          "/>
  </r>
  <r>
    <x v="3"/>
    <s v="Estimate to complete (ETC)"/>
    <s v="Estimate to complete (ETC) An earned value management formula that predicts how much funding the project will require to be completed. Three variations of this formula are based on conditions the project may be experiencing.        "/>
  </r>
  <r>
    <x v="3"/>
    <s v="Fixed costs"/>
    <s v="Fixed costs Costs that remain constant throughout the life of the project (the cost of a piece of rented equipment for the project, the cost of a consultant brought on to the project, and so on).         "/>
  </r>
  <r>
    <x v="3"/>
    <s v="Funding limit reconciliation"/>
    <s v="Funding limit reconciliation An organization’s approach to managing cash flow against the project deliverables based on a schedule, milestone accomplishment, or data constraints.          "/>
  </r>
  <r>
    <x v="3"/>
    <s v="Indirect costs"/>
    <s v="Indirect costs Costs that are representative of more than one project (for example, utilities for the performing organization, access to a training room, project management software license, and so on).         "/>
  </r>
  <r>
    <x v="3"/>
    <s v="Known unknown"/>
    <s v="Known unknown An event that will likely happen within the project, but when it will happen and to what degree is unknown. These events, such as delays, are usually risk-related.          "/>
  </r>
  <r>
    <x v="3"/>
    <s v="Learning curve"/>
    <s v="Learning curve An approach that assumes the cost per unit decreases the more units workers complete, because workers learn as they complete the required work.          "/>
  </r>
  <r>
    <x v="3"/>
    <s v="Oligopoly"/>
    <s v="Oligopoly A market condition where the market is so tight that the actions of one vendor affect the actions of all the others.           "/>
  </r>
  <r>
    <x v="3"/>
    <s v="Opportunity cost"/>
    <s v="Opportunity cost The total cost of the opportunity that is refused to realize an opposing opportunity.           "/>
  </r>
  <r>
    <x v="3"/>
    <s v="Parametric estimating"/>
    <s v="Parametric estimating An approach using a parametric model to extrapolate what costs will be needed for a project (for example, cost per hour and cost per unit). It can include variables and points based on conditions.         "/>
  </r>
  <r>
    <x v="3"/>
    <s v="Planned value (PV)"/>
    <s v="Planned value (PV) Planned value is the work scheduled and the budget authorized to accomplish that work. It is the percentage of the BAC that reflects where the project should be at this point in time.         "/>
  </r>
  <r>
    <x v="3"/>
    <s v="Project variance"/>
    <s v="Project variance The final variance, which is discovered only at the project’s completion. The formula is VAR = BAC – AC.           "/>
  </r>
  <r>
    <x v="3"/>
    <s v="Regression analysis"/>
    <s v="Regression analysis This is a statistical approach to predicting what future values may be, based on historical values. Regression analysis creates quantitative predictions based on variables within one value to predict variables in another. This form of estimating relies solely on pure statistical math to reveal relationships between variables and to predict future values.     "/>
  </r>
  <r>
    <x v="3"/>
    <s v="Reserve analysis"/>
    <s v="Reserve analysis Cost reserves are for unknown unknowns within a project. The management reserve is not part of the project cost baseline, but is included as part of the project budget.         "/>
  </r>
  <r>
    <x v="3"/>
    <s v="Rough order of magnitude"/>
    <s v="Rough order of magnitude This rough estimate is used during the initiating processes and in top-down estimates. The range of variance for the estimate can be from –25 percent to +75 percent.         "/>
  </r>
  <r>
    <x v="3"/>
    <s v="Schedule performance index (SPI)"/>
    <s v="Schedule performance index (SPI) Measures the project based on its schedule performance. The formula is SPI = EV/PV.           "/>
  </r>
  <r>
    <x v="3"/>
    <s v="Schedule variance (SV)"/>
    <s v="Schedule variance (SV) The difference between the earned value and the planned value. The formulas is SV = EV – PV.           "/>
  </r>
  <r>
    <x v="3"/>
    <s v="Single source"/>
    <s v="Single source Many vendors can provide what your project needs to purchase, but you prefer to work with a specific vendor.           "/>
  </r>
  <r>
    <x v="3"/>
    <s v="Sole source"/>
    <s v="Sole source Only one vendor can provide what your project needs to purchase. Examples include a specific consultant, specialized service, or unique type of material.          "/>
  </r>
  <r>
    <x v="3"/>
    <s v="Sunk costs"/>
    <s v="Sunk costs Monies that have already been invested in a project.            "/>
  </r>
  <r>
    <x v="3"/>
    <s v="To-Complete Performance Index"/>
    <s v="To-Complete Performance Index A formula to forecast the likelihood of a project to achieve its goals based on what’s happening in the project right now. There are two different flavors for the TCPI, depending on what you want to accomplish. If you want to see if your project can meet the budget at completion, you’ll use this formula: TCPI = (BAC – EV)/(BAC – AC). If you want to see if your project can meet the newly created estimate at completion, you’ll use this version of the formula: TCPI = (BAC – EV)/(EAC – AC). "/>
  </r>
  <r>
    <x v="3"/>
    <s v="Variable costs"/>
    <s v="Variable costs Costs that change based on the conditions applied in the project (the number of meeting participants, the supply of and demand for materials, and so on).         "/>
  </r>
  <r>
    <x v="3"/>
    <s v="Variance"/>
    <s v="Variance The difference between what was expected and what was experienced.            "/>
  </r>
  <r>
    <x v="3"/>
    <s v="Variance at completion (VAC)"/>
    <s v="Variance at completion (VAC) A forecasting formula that predicts how much of a variance the project will likely have based on current conditions within the project. The formula is VAC = BAC – EAC.         "/>
  </r>
  <r>
    <x v="4"/>
    <s v="Activity network diagram"/>
    <s v="Activity network diagram These diagrams, such as the project network diagram, show the flow of the project work.            "/>
  </r>
  <r>
    <x v="4"/>
    <s v="Affinity diagram"/>
    <s v="Affinity diagram This diagram breaks down ideas, solutions, causes, and project components and groups them together with other similar ideas and components.          "/>
  </r>
  <r>
    <x v="4"/>
    <s v="Benchmarking"/>
    <s v="Benchmarking Comparing any two similar entities to measure their performance.            "/>
  </r>
  <r>
    <x v="4"/>
    <s v="Cause-and-effect diagrams"/>
    <s v="Cause-and-effect diagrams Diagrams that show the relationship between variables within a process and how those relationships may contribute to inadequate quality. The diagrams can help organize both the process and team opinions, as well as generate discussion on finding a solution to ensure quality.        "/>
  </r>
  <r>
    <x v="4"/>
    <s v="Checklist"/>
    <s v="Checklist A simple approach to ensure that work is completed according to the quality policy.            "/>
  </r>
  <r>
    <x v="4"/>
    <s v="Control chart"/>
    <s v="Control chart A quality control chart that maps the performance of project work over time.            "/>
  </r>
  <r>
    <x v="4"/>
    <s v="Control quality"/>
    <s v="Control quality An inspection-driven process that measures work results to confirm that the project is meeting the relevant quality standards.           "/>
  </r>
  <r>
    <x v="4"/>
    <s v="Cost of conformance"/>
    <s v="Cost of conformance This is the cost associated with the monies spent to attain the expected level of quality. It is also known as the cost of quality.           "/>
  </r>
  <r>
    <x v="4"/>
    <s v="Cost of nonconformance to quality"/>
    <s v="Cost of nonconformance to quality The cost associated with not satisfying quality expectations. This is also known as the cost of poor quality.           "/>
  </r>
  <r>
    <x v="4"/>
    <s v="Cost-benefit analysis"/>
    <s v="Cost-benefit analysis A process to study the trade-offs between costs and the benefits realized from those costs.            "/>
  </r>
  <r>
    <x v="4"/>
    <s v="Design of experiments"/>
    <s v="Design of experiments An approach that relies on statistical scenarios to determine what variables within a project will result in the best outcome.           "/>
  </r>
  <r>
    <x v="4"/>
    <s v="External QA"/>
    <s v="External QA Assurance provided to the external customers of the project.            "/>
  </r>
  <r>
    <x v="4"/>
    <s v="Flowchart"/>
    <s v="Flowchart A diagram illustrating how components within a system are related. Flowcharts show the relation between components, as well as help the project team determine where quality issues may be present and, once done, plan accordingly.         "/>
  </r>
  <r>
    <x v="4"/>
    <s v="Internal QA"/>
    <s v="Internal QA Assurance provided to management and the project team.            "/>
  </r>
  <r>
    <x v="4"/>
    <s v="ISO"/>
    <s v="ISO The abbreviation for the International Organization for Standardization. ISO is Greek for “equal,” while “International Organization for Standardization” in a different language would be abbreviated differently. The organization elected to use “ISO” for all languages.        "/>
  </r>
  <r>
    <x v="4"/>
    <s v="Matrix diagram"/>
    <s v="Matrix diagram A data analysis table that shows the strength between variables and relationships in the matrix.           "/>
  </r>
  <r>
    <x v="4"/>
    <s v="Pareto diagram"/>
    <s v="Pareto diagram A histogram that illustrates and ranks categories of failure within a project.            "/>
  </r>
  <r>
    <x v="4"/>
    <s v="Quality"/>
    <s v="Quality According to ASQ, the degree to which a set of inherent characteristics fulfills requirements.            "/>
  </r>
  <r>
    <x v="4"/>
    <s v="Quality assurance"/>
    <s v="Quality assurance A management process that defines the quality system or quality policy that a project must adhere to. QA aims to plan quality into the project rather than to inspect quality into a deliverable.         "/>
  </r>
  <r>
    <x v="4"/>
    <s v="Quality management plan"/>
    <s v="Quality management plan This plan defines how the project team will implement and fulfill the quality policy of the performing organization.           "/>
  </r>
  <r>
    <x v="4"/>
    <s v="Quality metrics"/>
    <s v="Quality metrics The operational definitions that specify the measurements within a project and the expected targets for quality and performance.           "/>
  </r>
  <r>
    <x v="4"/>
    <s v="Quality planning"/>
    <s v="Quality planning The process of first determining which quality standards are relevant to your project and then finding out the best methods of adhering to those quality standards.          "/>
  </r>
  <r>
    <x v="4"/>
    <s v="Rule of Seven"/>
    <s v="Rule of Seven A component of a control chart that illustrates the results of seven measurements on one side of the mean, which is considered “out of control” in the project.          "/>
  </r>
  <r>
    <x v="4"/>
    <s v="Run chart"/>
    <s v="Run chart A quality control tool that shows the results of inspection in the order in which they’ve occurred. The goal of a run chart is first to demonstrate the results of a process over time and then to use trend analysis to predict when certain trends may reemerge.        "/>
  </r>
  <r>
    <x v="4"/>
    <s v="Scatter diagram"/>
    <s v="Scatter diagram A quality control tool that tracks the relationship between two variables over time. The two variables are considered related the closer they track against a diagonal line.          "/>
  </r>
  <r>
    <x v="4"/>
    <s v="Seven basic quality tools"/>
    <s v="Seven basic quality tools These seven tools are used in quality planning and in quality control: cause-and-effect diagrams, flowcharts, check sheets, Pareto diagrams, histograms, control charts, and scatter diagrams.          "/>
  </r>
  <r>
    <x v="4"/>
    <s v="Statistical sampling"/>
    <s v="Statistical sampling A process of choosing a percentage of results at random. For example, a project creating a medical device may have 20 percent of all units randomly selected to check for quality.          "/>
  </r>
  <r>
    <x v="4"/>
    <s v="System or process flowcharts"/>
    <s v="System or process flowcharts Flowcharts that illustrate the flow of a process through a system, such as a project change request through the change control system, or work authorization through a quality control process.         "/>
  </r>
  <r>
    <x v="4"/>
    <s v="Tree diagram"/>
    <s v="Tree diagram Tree diagrams show the hierarchies and decomposition of a solution, an organization, or a project team. The WBS and an org chart are examples of tree diagrams.          "/>
  </r>
  <r>
    <x v="4"/>
    <s v="Trend analysis"/>
    <s v="Trend analysis The science of using past results to predict future performance. Work performance information The results of the project work as needed. This includes technical performance measures, project status, information on what the project has created to date, corrective actions, and performance reports.           "/>
  </r>
  <r>
    <x v="5"/>
    <s v="Adjourning"/>
    <s v="Adjourning Once the project is done, either the team moves onto other assignments as a unit, or the project team is disbanded and individual team members go on to other work.          "/>
  </r>
  <r>
    <x v="5"/>
    <s v="Authority power"/>
    <s v="Authority power Project management team members may have authority over other project team members, may have the ability to make decisions, and perhaps even sign approvals for project work and purchases.         "/>
  </r>
  <r>
    <x v="5"/>
    <s v="Coercive power"/>
    <s v="Coercive power The project manager has the authority to discipline the project team members. This is also known as penalty power.           "/>
  </r>
  <r>
    <x v="5"/>
    <s v="Collaborate/Problem solving"/>
    <s v="Collaborate/Problem solving This approach confronts the problem head-on and is the preferred method of conflict resolution. Multiple viewpoints and perspectives contribute to the solution.          "/>
  </r>
  <r>
    <x v="5"/>
    <s v="Collective bargaining agreement constraints"/>
    <s v="Collective bargaining agreement constraints Contracts and agreements with unions or other employee groups may serve as constraints on the project.           "/>
  </r>
  <r>
    <x v="5"/>
    <s v="Competency"/>
    <s v="Competency This attribute defines what talents, skills, and capabilities are needed to complete the project work.           "/>
  </r>
  <r>
    <x v="5"/>
    <s v="Compromising"/>
    <s v="Compromising This approach requires that both parties give up something.            "/>
  </r>
  <r>
    <x v="5"/>
    <s v="Vroom’s Expectancy Theory"/>
    <s v="Vroom’s Expectancy Theory This theory states that people will behave based on what they expect as a result of their behavior. In other words, people will work in relation to the expected reward.          "/>
  </r>
  <r>
    <x v="5"/>
    <s v="Expert power"/>
    <s v="Expert power The project manager’s authority comes both from experience with the technology the project focuses on and from expertise in managing projects. Forcing power The person with the power makes the decision.         "/>
  </r>
  <r>
    <x v="5"/>
    <s v="Formal power"/>
    <s v="Formal power The project manager has been assigned the role of project manager by senior management and is in charge of the project.           "/>
  </r>
  <r>
    <x v="5"/>
    <s v="Forming"/>
    <s v="Forming The project team meets and learns about their roles and responsibilities on the project. Little interaction among the project team happens in this stage as the team is learning about the project and project manager.         "/>
  </r>
  <r>
    <x v="5"/>
    <s v="Herzberg’s Theory of Motivation"/>
    <s v="Herzberg’s Theory of Motivation Frederick Herzberg’s theory of the motivating agents and hygiene agents that affect a person’s willingness to excel in his career.           "/>
  </r>
  <r>
    <x v="5"/>
    <s v="Hierarchical organizational chart"/>
    <s v="Hierarchical organizational chart A chart showing the relationship between superior and subordinate employees, groups, disciplines, and even departments.           "/>
  </r>
  <r>
    <x v="5"/>
    <s v="Issue log"/>
    <s v="Issue log A logbook of the issues the project team has identified and dates as to when the issues must be resolved by. The issue log may also include team members or stakeholders who are responsible for finding a solution to the identified issues.        "/>
  </r>
  <r>
    <x v="5"/>
    <s v="Maslow’s Hierarchy of Needs"/>
    <s v="Maslow’s Hierarchy of Needs Abraham Maslow’s theory of the five needs all humans have and work toward.            "/>
  </r>
  <r>
    <x v="5"/>
    <s v="McClelland’s Theory of Needs"/>
    <s v="McClelland’s Theory of Needs David McClelland developed this theory, which states our needs are acquired and developed by our experiences over time. All people are, according to this theory, driven by one of three needs: achievement, affiliation, or power.         "/>
  </r>
  <r>
    <x v="5"/>
    <s v="McGregor’s Theory of X and Y"/>
    <s v="McGregor’s Theory of X and Y Douglas McGregor’s theory that states management views workers in the Y category as competent and self-led and workers in the X category as incompetent and needing to be micromanaged.         "/>
  </r>
  <r>
    <x v="5"/>
    <s v="Multicriteria Decision Analysis"/>
    <s v="Multicriteria Decision Analysis A method to rate potential project team members based on criteria such as education, experience, skills, knowledge, and more.           "/>
  </r>
  <r>
    <x v="5"/>
    <s v="Norming"/>
    <s v="Norming Project team members go about getting the project work, begin to rely on one another, and generally complete their project assignments.           "/>
  </r>
  <r>
    <x v="5"/>
    <s v="Organization chart"/>
    <s v="Organization chart Traditional chart that depicts how the organization is broken down by department and disciplines. This chart is sometimes called the organizational breakdown structure (OBS) and is arranged by departments, units, or teams.         "/>
  </r>
  <r>
    <x v="5"/>
    <s v="Ouchi’s Theory Z"/>
    <s v="Ouchi’s Theory Z William Ouchi’s theory is based on the participative management style of the Japanese. This theory states that workers are motivated by a sense of commitment, opportunity, and advancement.         "/>
  </r>
  <r>
    <x v="5"/>
    <s v="Performing"/>
    <s v="Performing If a project team can reach the performing stage of team development, they trust one another, work well together, and issues and problems get resolved quickly and effectively.          "/>
  </r>
  <r>
    <x v="5"/>
    <s v="Political interfaces"/>
    <s v="Political interfaces The hidden goals, personal agendas, and alliances among the project team members and the stakeholders.           "/>
  </r>
  <r>
    <x v="5"/>
    <s v="RACI chart"/>
    <s v="RACI chart A RACI chart is a matrix chart that only uses the activities of responsible, accountable, consult, and inform.           "/>
  </r>
  <r>
    <x v="5"/>
    <s v="Referent power"/>
    <s v="Referent power The project team personally knows the project manager. Referent can also mean that the project manager refers to the person who assigned him the position.          "/>
  </r>
  <r>
    <x v="5"/>
    <s v="Resource breakdown structure (RBS)"/>
    <s v="Resource breakdown structure (RBS) This hierarchical chart can decompose the project by the type of resources used throughout it.           "/>
  </r>
  <r>
    <x v="5"/>
    <s v="Responsibility assignment matrix (RAM)"/>
    <s v="Responsibility assignment matrix (RAM) A RAM chart shows the correlation between project team members and the work they’ve been assigned to complete. Responsibility A responsibility is the work that a role performs.          "/>
  </r>
  <r>
    <x v="5"/>
    <s v="Resource management plan"/>
    <s v="Resource management plan This plan defines staff acquisition, the timetable for staff acquisition, the staff release plan, training needs for the project team, any organizational compliance issues, rewards and recognitions, and safety concerns for the project team doing the project work. Reward The project manager has the authority to reward the project team. Role This denotes what a person is specifically responsible for in a project. Roles are usually tied to job titles, such as network engineer, mechanical engineer, and electrician. Smoothing This approach smooths out the conflict by minimizing the perceived size of the problem. It is a temporary solution, but can calm team relations and boisterous discussions. Storming The project team struggles for project positions, leadership, and project direction. The project team can become hostile toward the project leader, challenge ideas, and try to establish and claim positions about the project work. The amount of debate and fury can vary depending on if the project team is willing to work together, the nature of the project, and the control of the project manager. Technical interfaces The project team identifies the disciplines and specialties that the project will require to complete the project scope statement. The technical interfaces are the resources that will be doing the project work. Withdrawal This conflict resolution method sees one side of the argument walking away from the problem, usually in disgust.         "/>
  </r>
  <r>
    <x v="6"/>
    <s v="Acknowledgment"/>
    <s v="Acknowledgment The receiver signals that the message has been received. An acknowledgment shows receipt of the message, but not necessarily agreement with the message.          "/>
  </r>
  <r>
    <x v="6"/>
    <s v="Active listening"/>
    <s v="Active listening The receiver confirms that the message is being received through feedback, questions, prompts for clarity, and other signs of confirmation.           "/>
  </r>
  <r>
    <x v="6"/>
    <s v="Choice of media"/>
    <s v="Choice of media The best modality to use when communicating that is relevant to the information being communicated.           "/>
  </r>
  <r>
    <x v="6"/>
    <s v="Communication assumptions"/>
    <s v="Communication assumptions Anything that the project management team believes to be true but hasn’t proven to be true. For example, the project management team may assume that all of the project team can be reached via cell phone, but parts of the world, as of this writing, don’t have a cell signal.        "/>
  </r>
  <r>
    <x v="6"/>
    <s v="Communication barrier"/>
    <s v="Communication barrier Anything that prohibits communication from occurring.            "/>
  </r>
  <r>
    <x v="6"/>
    <s v="Communication channels formula"/>
    <s v="Communication channels formula N(N – 1)/2, where N represents the number of identified stakeholders. This formula reveals the total number of communication channels within a project.          "/>
  </r>
  <r>
    <x v="6"/>
    <s v="Communication constraints"/>
    <s v="Communication constraints Anything that limits the project management team’s options. When it comes to communication constraints, geographical locales, incompatible communications software, and even limited communications technology can constrain the project team.        "/>
  </r>
  <r>
    <x v="6"/>
    <s v="Communications management plan"/>
    <s v="Communications management plan A project management subsidiary plan that defines the stakeholders who need specific information, the person who will supply the information, the schedule for the information to be supplied, and the approved modality to provide the information.        "/>
  </r>
  <r>
    <x v="6"/>
    <s v="Decoder"/>
    <s v="Decoder The device that decodes a message as it is being received.            "/>
  </r>
  <r>
    <x v="6"/>
    <s v="Effective listening"/>
    <s v="Effective listening The receiver is involved in the listening experience by paying attention to visual cues from the speaker and paralingual characteristics, and by asking relevant questions. Encoder The device that encodes the message being sent.         "/>
  </r>
  <r>
    <x v="6"/>
    <s v="Feedback"/>
    <s v="Feedback The sender confirms that the receiver understands the message by directly asking for a response, questions for clarification, or other confirmation.          "/>
  </r>
  <r>
    <x v="6"/>
    <s v="Influence/impact grid"/>
    <s v="Influence/impact grid Stakeholders are mapped on a grid based on their influence over the project in relation to their influence over the project execution.           "/>
  </r>
  <r>
    <x v="6"/>
    <s v="Information presentation tools"/>
    <s v="Information presentation tools A software package that allows the project management team to present the project’s health through graphics, spreadsheets, and text. (Think of Microsoft Project.)          "/>
  </r>
  <r>
    <x v="6"/>
    <s v="Information retrieval system"/>
    <s v="Information retrieval system A system to quickly and effectively store, archive, and access project information.            "/>
  </r>
  <r>
    <x v="6"/>
    <s v="Interactive communication"/>
    <s v="Interactive communication This is the most common and most effective approach to communication. It’s where two or more people exchange information. Consider status meetings, ad-hoc meetings, phone calls, and videoconferences.         "/>
  </r>
  <r>
    <x v="6"/>
    <s v="Lessons learned"/>
    <s v="Lessons learned This is documentation of what did and did not work in the project implementation. Lessons learned documentation is created throughout the project by the entire project team. When lessons learned sessions are completed, they’re available to be used and applied by the entire organization. They are now part of the organizational process assets.      "/>
  </r>
  <r>
    <x v="6"/>
    <s v="Medium"/>
    <s v="Medium The device or technology that transports a message.            "/>
  </r>
  <r>
    <x v="6"/>
    <s v="Noise"/>
    <s v="Noise Anything that interferes with or disrupts a message.            "/>
  </r>
  <r>
    <x v="6"/>
    <s v="Nonverbal"/>
    <s v="Nonverbal Facial expressions, hand gestures, and body language are nonverbal cues that contribute to a message. Approximately 55 percent of communication is nonverbal.          "/>
  </r>
  <r>
    <x v="6"/>
    <s v="Paralingual"/>
    <s v="Paralingual The pitch, tone, and inflections in the sender’s voice affecting the message being sent.            "/>
  </r>
  <r>
    <x v="6"/>
    <s v="Performance report"/>
    <s v="Performance report A report that depicts how well a project is performing. Often, the performance report is based on earned value management and may include cost or schedule variance reports.          "/>
  </r>
  <r>
    <x v="6"/>
    <s v="Project presentations"/>
    <s v="Project presentations Presentations are useful in providing information to customers, management, the project team, and other stakeholders.           "/>
  </r>
  <r>
    <x v="6"/>
    <s v="Project records"/>
    <s v="Project records All the business of the project communications is also part of the organizational process assets. This includes e-mails, memos, letters, and faxes.           "/>
  </r>
  <r>
    <x v="6"/>
    <s v="Project reports"/>
    <s v="Project reports Reports are formal communications on project activities, their status, and conditions.            "/>
  </r>
  <r>
    <x v="6"/>
    <s v="Pull communication"/>
    <s v="Pull communication This approach pulls the information from a central repository, like a database of information. Pull communications are good for large groups of stakeholders who want to access project information at their discretion. Consider a project web site where stakeholders can periodically drop by for a quick update on the project status.       "/>
  </r>
  <r>
    <x v="6"/>
    <s v="Push communication"/>
    <s v="Push communication This approach pushes the information from the sender to the receiver without any real acknowledgment that the information was really received or understood. Consider letters, faxes, voicemail messages, e-mails, and other communications modalities that the sender packages and sends to receivers through some intermediary network. Receiver The person who receives the message. Sender The person who is sending the message. Sender–receiver models Feedback loops and barriers to communications. Stakeholder notifications Notices to the stakeholders about resolved issues, approved changes, and the overall health of the project. Status review meeting A regularly scheduled meeting to discuss the status of the project and its progress toward completing the project scope statement. Time reporting system A system to record the actual time to complete project activities.    "/>
  </r>
  <r>
    <x v="7"/>
    <s v="Acceptance"/>
    <s v="Acceptance A risk response appropriate for both positive and negative risks, but often used for smaller risks within a project.           "/>
  </r>
  <r>
    <x v="7"/>
    <s v="Ambiguity risks"/>
    <s v="Ambiguity risks Risks that have an uncertain, unclear nature, such as new laws or regulations, the marketplace conditions, and other risks that are nearly impossible to predict. Avoidance A risk response to avoid the risk.         "/>
  </r>
  <r>
    <x v="7"/>
    <s v="Brainstorming"/>
    <s v="Brainstorming The most common approach to risk identification; usually completed by a project team with subject matter experts to identify the risks within the project.          "/>
  </r>
  <r>
    <x v="7"/>
    <s v="Business risks"/>
    <s v="Business risks These risks may have negative or positive outcomes. Examples include using a less experienced worker to complete a task, allowing phases or activities to overlap, or forgoing the expense of formal training for on-the-job education.        "/>
  </r>
  <r>
    <x v="7"/>
    <s v="Cardinal scales"/>
    <s v="Cardinal scales A ranking approach to identify the probability and impact by using a numerical value, from .01 (very low) to 1.0 (certain).           "/>
  </r>
  <r>
    <x v="7"/>
    <s v="Checklists"/>
    <s v="Checklists A quick and cost-effective risk identification approach.            "/>
  </r>
  <r>
    <x v="7"/>
    <s v="Data precision"/>
    <s v="Data precision The consideration of the risk ranking scores that takes into account any bias, the accuracy of the data submitted, and the reliability of the nature of the data submitted.          "/>
  </r>
  <r>
    <x v="7"/>
    <s v="Decision tree"/>
    <s v="Decision tree A method to determine which of two or more decisions is the best one. The model examines the costs and benefits of each decision’s outcome and weighs the probability of success for each of the decisions.         "/>
  </r>
  <r>
    <x v="7"/>
    <s v="Delphi Technique"/>
    <s v="Delphi Technique An anonymous method of querying experts about foreseeable risks within a project, phase, or component of a project. The results of the survey are analyzed by a third party, organized, and then circulated to the experts. There can be several rounds of anonymous discussion with the Delphi Technique, without fear of backlash or offending other participants in the process. The goal is to gain consensus on project risks within the project.    "/>
  </r>
  <r>
    <x v="7"/>
    <s v="Enhancing"/>
    <s v="Enhancing A risk response that attempts to enhance the conditions to ensure that a positive risk event will likely happen.           "/>
  </r>
  <r>
    <x v="7"/>
    <s v="Escalating"/>
    <s v="Escalating A risk response that is appropriate for both positive and negative risk events that may outside of the project manager’s authority to act upon.          "/>
  </r>
  <r>
    <x v="7"/>
    <s v="Expected monetary value (EMV)"/>
    <s v="Expected monetary value (EMV) The monetary value of a risk exposure based on the risk’s probability and impact in the risk matrix. This approach is typically used in quantitative risk analysis because it quantifies the risk exposure.         "/>
  </r>
  <r>
    <x v="7"/>
    <s v="Exploit"/>
    <s v="Exploit A risk response that takes advantage of the positive risks within a project.            "/>
  </r>
  <r>
    <x v="7"/>
    <s v="External risks"/>
    <s v="External risks These risks are outside of the project, but directly affect it—for example, legal issues, labor issues, a shift in project priorities, or weather. “Force majeure” risks call for disaster recovery rather than project management. These are risks caused by earthquakes, tornadoes, floods, civil unrest, and other disasters.       "/>
  </r>
  <r>
    <x v="7"/>
    <s v="Flowcharts"/>
    <s v="Flowcharts System or process flowcharts show the relationship between components and how the overall process works. These are useful for identifying risks between system components.          "/>
  </r>
  <r>
    <x v="7"/>
    <s v="Influence diagrams"/>
    <s v="Influence diagrams An influence diagram charts out a decision problem. It identifies all of the elements, variables, decisions, and objectives and also how each factor may influence another.          "/>
  </r>
  <r>
    <x v="7"/>
    <s v="Ishikawa diagrams"/>
    <s v="Ishikawa diagrams These cause-and-effect diagrams are also called fishbone diagrams and are used to find the root cause of factors that are causing risks within the project.          "/>
  </r>
  <r>
    <x v="7"/>
    <s v="Low-priority risk watch list"/>
    <s v="Low-priority risk watch list Low-priority risks are identified and assigned to a watch list for periodic monitoring.            "/>
  </r>
  <r>
    <x v="7"/>
    <s v="Mitigation"/>
    <s v="Mitigation A risk response effort to reduce the probability and/or impact of an identified risk in the project.            "/>
  </r>
  <r>
    <x v="7"/>
    <s v="Monte Carlo technique"/>
    <s v="Monte Carlo technique A simulation technique that got its name from the casinos of Monte Carlo, Monaco. The simulation is completed using a computer software program that can simulate a project, using values for all possible variables, to predict the most likely model.        "/>
  </r>
  <r>
    <x v="7"/>
    <s v="Ordinal scales"/>
    <s v="Ordinal scales A ranking approach that identifies and ranks the risks from very high to very unlikely or to some other value.           "/>
  </r>
  <r>
    <x v="7"/>
    <s v="Organizational risks"/>
    <s v="Organizational risks The performing organization can contribute to the project’s risks through unreasonable cost, time, and scope expectations; poor project prioritization; inadequate funding or the disruption of funding; and competition with other projects for internal resources.        "/>
  </r>
  <r>
    <x v="7"/>
    <s v="PESTLE"/>
    <s v="PESTLE A prompt list used for risk identification. PESTLE examines risks in the Political, Economic, Social, Technological, Legal, and Environmental domains.          "/>
  </r>
  <r>
    <x v="7"/>
    <s v="Probability and impact matrix"/>
    <s v="Probability and impact matrix A matrix that ranks the probability of a risk event occurring and its impact on the project if the event does happen; used in qualitative and quantitative risk analyses.          "/>
  </r>
  <r>
    <x v="7"/>
    <s v="Project management risks"/>
    <s v="Project management risks These risks deal with faults in the management of the project: the unsuccessful allocation of time, resources, and scheduling; unacceptable work results; and poor project management.          "/>
  </r>
  <r>
    <x v="7"/>
    <s v="Pure risks"/>
    <s v="Pure risks These risks have only a negative outcome. Examples include loss of life or limb, fire, theft, natural disasters, and the like.           "/>
  </r>
  <r>
    <x v="7"/>
    <s v="Qualitative risk analysis"/>
    <s v="Qualitative risk analysis This approach “qualifies” the risks that have been identified in the project. Specifically, qualitative risk analysis examines and prioritizes risks based on their probability of occurring and their impact on the project should they occur.         "/>
  </r>
  <r>
    <x v="7"/>
    <s v="Quantitative risk analysis"/>
    <s v="Quantitative risk analysis This approach attempts to numerically assess the probability and impact of the identified risks. It also creates an overall risk score for the project. This method is more in-depth than qualitative risk analysis and relies on several different tools to accomplish its goal.        "/>
  </r>
  <r>
    <x v="7"/>
    <s v="RAG rating"/>
    <s v="RAG rating An ordinal scale that uses red, amber, and green (RAG) to capture the probability, impact, and risk score.           "/>
  </r>
  <r>
    <x v="7"/>
    <s v="Residual risks"/>
    <s v="Residual risks Risks that are expected to remain after a risk response.            "/>
  </r>
  <r>
    <x v="7"/>
    <s v="Risk"/>
    <s v="Risk A project risk is an uncertain event or condition that can have a positive or negative impact on the project.           "/>
  </r>
  <r>
    <x v="7"/>
    <s v="Risk identification"/>
    <s v="Risk identification The systematic process of combing through the project, the project plan, the work breakdown structure, and all supporting documentation to identify as many risks that may affect the project as possible.         "/>
  </r>
  <r>
    <x v="7"/>
    <s v="Risk management plan"/>
    <s v="Risk management plan A project management subsidiary plan that defines how risks will be identified, analyzed, responded to, and monitored within the project. The plan also defines the iterative risk management process that the project is expected to adhere to.        "/>
  </r>
  <r>
    <x v="7"/>
    <s v="Risk management planning"/>
    <s v="Risk management planning The agreed-upon approach to the management of the project risk processes.            "/>
  </r>
  <r>
    <x v="7"/>
    <s v="Risk owners"/>
    <s v="Risk owners The individuals or entities that are responsible for monitoring and responding to an identified risk within the project.           "/>
  </r>
  <r>
    <x v="7"/>
    <s v="Risk register"/>
    <s v="Risk register The risk register is a project plan component that contains all of the information related to the risk management activities. It’s updated as risk management activities are conducted to reflect the status, progress, and nature of the project risks.        "/>
  </r>
  <r>
    <x v="7"/>
    <s v="Risk report"/>
    <s v="Risk report The risk report explains the overall project risks and provides summaries about the individual project risks.           "/>
  </r>
  <r>
    <x v="7"/>
    <s v="Risk response audit"/>
    <s v="Risk response audit An audit to test the validity of the established risk responses.            "/>
  </r>
  <r>
    <x v="7"/>
    <s v="Risk responsibilities"/>
    <s v="Risk responsibilities The level of ownership an individual or entity has over a project risk.            "/>
  </r>
  <r>
    <x v="7"/>
    <s v="Risk score"/>
    <s v="Risk score The calculated score based on each risk’s probability and impact. The approach can be used in both qualitative and quantitative risk analysis.          "/>
  </r>
  <r>
    <x v="7"/>
    <s v="Root cause identification"/>
    <s v="Root cause identification Root cause identification aims to find out why a risk event may be occurring, the causal factors for the risk events, and then, eventually, how the events can be mitigated or eliminated.          "/>
  </r>
  <r>
    <x v="7"/>
    <s v="Secondary risks"/>
    <s v="Secondary risks New risks that are created as a result of a risk response.            "/>
  </r>
  <r>
    <x v="7"/>
    <s v="Sensitivity analysis"/>
    <s v="Sensitivity analysis A quantitative risk analysis tool that examines each risk to determine which one has the largest impact on the project’s success.           "/>
  </r>
  <r>
    <x v="7"/>
    <s v="Sharing"/>
    <s v="Sharing A risk response that shares the advantages of a positive risk within a project.            "/>
  </r>
  <r>
    <x v="7"/>
    <s v="SWOT analysis"/>
    <s v="SWOT analysis SWOT analysis is the process of examining the project from the perspective of each characteristic: strengths, weaknesses, opportunities, and threats.          "/>
  </r>
  <r>
    <x v="7"/>
    <s v="TECOP"/>
    <s v="TECOP A prompt list used in risk identification to examine the Technical, Environmental, Commercial, Operational, and Political factors of the project. Technical, quality, or performance risks Technical risks are associated with new, unproven, or complex technologies being used on the project. Changes to the technology during the project implementation can also be a risk. Quality risks are the levels set for expectations of impractical quality and performance.   "/>
  </r>
  <r>
    <x v="7"/>
    <s v="Transference"/>
    <s v="Transference A risk response that transfers the ownership of the risk to another party. Insurance, licensed contractors, or other project teams are good examples of transference. A fee and contractual relationships are typically involved with the transference of a risk.        "/>
  </r>
  <r>
    <x v="7"/>
    <s v="Variability risks"/>
    <s v="Variability risks A type of risk based on the variations that may occur in the project, such as production, number of quality errors, or even the weather.           "/>
  </r>
  <r>
    <x v="7"/>
    <s v="VUCA"/>
    <s v="VUCA A prompt list used in risk identification that examines the Volatility, Uncertainty, Complexity, and Ambiguity of risk factors within the project. Contract change control system This defines the procedures for how the contract may be changed. The process for changing the contract includes the forms; documented communications; tracking; conditions within the project, business, or marketplace that justify the needed change; dispute resolution procedures; and the procedures for getting the changes approved within the performing organization. Contract statement of work (SOW also CSOW) This document requires that the seller fully describe the work to be completed and/or the product to be supplied. The SOW becomes part of the contract between the buyer and the seller. Cost plus award fee contract A contract that pays the vendor all costs for the project, but also includes a buyer-determined award fee for the project work. Cost plus fixed fee contract A contract that requires the buyer to pay for the cost of the goods and services procured plus a fixed fee for the contracted work. The buyer assumes the risk of a cost overrun. Cost plus incentive fee A contract type that requires the buyer to pay a cost for the procured work, plus an incentive fee, or a bonus, for the work if terms and conditions are met. Cost plus percentage of costs A contract that requires the buyer to pay for the costs of the goods and services procured plus a percentage of the costs. The buyer assumes all of the risks for cost overruns. Direct costs These are costs incurred by the project in order for the project to exist. Examples include the equipment needed to complete the project work, salaries of the project team, and other expenses tied directly to the project’s existence.          "/>
  </r>
  <r>
    <x v="7"/>
    <s v="Fixed-price contracts"/>
    <s v="Fixed-price contracts Also known as firm fixed-price and lumpsum contracts, these are agreements that define a total price for the product the seller is to provide.          "/>
  </r>
  <r>
    <x v="7"/>
    <s v="Fixed-price incentive fee"/>
    <s v="Fixed-price incentive fee A fixed-price contract with opportunities for bonuses for meeting goals on costs, schedule, and other objectives. These contracts usually have a price ceiling for costs and associated bonuses. Fixed-price with economic price adjustments A fixed-price contract with a special allowance for price increases based on economic reasons such as inflation or the cost of raw materials.   "/>
  </r>
  <r>
    <x v="7"/>
    <s v="Force majeure"/>
    <s v="Force majeure An “act of God” that may have a negative impact on the project. Examples include fire, hurricanes, tornadoes, and earthquakes.          "/>
  </r>
  <r>
    <x v="7"/>
    <s v="Independent estimates"/>
    <s v="Independent estimates These estimates are often referred to as “should cost” estimates. They are created by the performing organization or outside experts to predict what the cost of the procured product should be.         "/>
  </r>
  <r>
    <x v="7"/>
    <s v="Indirect costs"/>
    <s v="Indirect costs These are costs attributed to the cost of doing business. Examples include utilities, office space, and other overhead costs.          "/>
  </r>
  <r>
    <x v="7"/>
    <s v="Invitation for Bid (IFB)"/>
    <s v="Invitation for Bid (IFB) From buyer to seller. Requests the seller to provide a price for the procured product or service.           "/>
  </r>
  <r>
    <x v="7"/>
    <s v="Letter contract"/>
    <s v="Letter contract A letter contract allows the vendor to begin working on the project immediately. It is often used as a stopgap solution.           "/>
  </r>
  <r>
    <x v="7"/>
    <s v="Letter of intent"/>
    <s v="Letter of intent A letter of intent is not a contract, but a letter stating that the buyer is intending to create a contractual relationship with the seller.          "/>
  </r>
  <r>
    <x v="7"/>
    <s v="Make-or-buy decision"/>
    <s v="Make-or-buy decision A process in which the project management team determines the costeffectiveness, benefits, and feasibility of making a product or buying it from a vendor.         "/>
  </r>
  <r>
    <x v="7"/>
    <s v="Privity"/>
    <s v="Privity The contractual relationship between the buyer and the seller is often considered confidential and secret.           "/>
  </r>
  <r>
    <x v="7"/>
    <s v="Procurement management plan"/>
    <s v="Procurement management plan A project management subsidiary plan that documents the decisions made in the procurement planning processes.           "/>
  </r>
  <r>
    <x v="7"/>
    <s v="Procurement planning"/>
    <s v="Procurement planning A process to identify which parts of the project warrant procurement from a vendor by the buyer.           "/>
  </r>
  <r>
    <x v="7"/>
    <s v="Proposal"/>
    <s v="Proposal A document the seller provides to the buyer. The proposal includes more than just a fee for the proposed work. It also includes information on the vendor’s skills, the vendor’s reputation, and ideas on how the vendor can complete the contracted work for the buyer.       "/>
  </r>
  <r>
    <x v="7"/>
    <s v="Purchase order (PO)"/>
    <s v="Purchase order (PO) A purchase order is a form of unilateral contract that the buyer provides to the vendor showing that the purchase has been approved by the buyer’s organization.         "/>
  </r>
  <r>
    <x v="7"/>
    <s v="Quotation"/>
    <s v="Quotation From seller to buyer. Price is the determining factor in the decision-making process.           "/>
  </r>
  <r>
    <x v="7"/>
    <s v="Request for Proposal (RFP)"/>
    <s v="Request for Proposal (RFP) From buyer to seller. Requests the seller to provide a proposal to complete the procured work or to provide the procured product.          "/>
  </r>
  <r>
    <x v="7"/>
    <s v="Request for Quote (RFQ)"/>
    <s v="Request for Quote (RFQ) From buyer to seller. Requests the seller to provide a price for the procured product or service.           "/>
  </r>
  <r>
    <x v="7"/>
    <s v="Risk-related contractual agreements"/>
    <s v="Risk-related contractual agreements When the project management team decides to use transference to respond to a risk, a risk-related contractual agreement is created between the buyer and the seller.         "/>
  </r>
  <r>
    <x v="7"/>
    <s v="Screening system"/>
    <s v="Screening system A tool that filters or screens out vendors that don’t qualify for the contract.            "/>
  </r>
  <r>
    <x v="7"/>
    <s v="Seller rating systems"/>
    <s v="Seller rating systems These are used by organizations to rate prior experience with each vendor that they have worked with in the past. The seller rating system can track performance, quality ratings, delivery, and even contract compliance.        "/>
  </r>
  <r>
    <x v="7"/>
    <s v="Terms of Reference"/>
    <s v="Terms of Reference Defines the obligations for the seller, what the seller will provide, and all of the particulars of the contracted work. Terms of reference is similar to the statement of work.         "/>
  </r>
  <r>
    <x v="7"/>
    <s v="Time and materials contract"/>
    <s v="Time and materials contract A contract type in which the buyer pays for the time and materials for the procured work. This is a simple contract, usually for smaller procurement conditions. These contract types require a not-to-exceed clause, or the buyer assumes the risk for cost overruns.       "/>
  </r>
  <r>
    <x v="7"/>
    <s v="Weighting system"/>
    <s v="Weighting system This takes out the personal preferences of the decision maker in the organization to ensure that the best seller is awarded the contract. Weights are assigned to the values of the proposals, and each proposal is scored.        "/>
  </r>
  <r>
    <x v="8"/>
    <s v="Interactive communications"/>
    <s v="Interactive communications This type of communication means that information is happening among stakeholders, like in a forum. Examples of interactive communications are meetings, videoconferences, phone calls, and ad-hoc conversations. Interactive communications means that the participants are actively communicating with one another.      "/>
  </r>
  <r>
    <x v="8"/>
    <s v="Brain writing"/>
    <s v="Brain writing A data gathering technique that’s similar to brainstorming, but provides brainstorming meeting participants with the questions and topics for brainstorming before the stakeholder identification meeting.         "/>
  </r>
  <r>
    <x v="8"/>
    <s v="Key stakeholder"/>
    <s v="Key stakeholder Stakeholders—such as management, the project manager, program manager, or customers—that have the authority to make decisions in the project.          "/>
  </r>
  <r>
    <x v="8"/>
    <s v="Leading stakeholder status"/>
    <s v="Leading stakeholder status Part of stakeholder analysis classification. A leading stakeholder is aware of your project, they want your project to be successful, and the stakeholder is working to make certain the project is a success.         "/>
  </r>
  <r>
    <x v="8"/>
    <s v="Negative stakeholder"/>
    <s v="Negative stakeholder A stakeholder who does not want the project to exist and is opposed to the project.            "/>
  </r>
  <r>
    <x v="8"/>
    <s v="Neutral stakeholder"/>
    <s v="Neutral stakeholder A stakeholder who has neither a positive nor negative attitude about the project’s existence.            "/>
  </r>
  <r>
    <x v="8"/>
    <s v="Neutral stakeholder status"/>
    <s v="Neutral stakeholder status Part of stakeholder analysis classification. A neutral stakeholder is aware of your project and is not concerned if the project succeeds or fails.           "/>
  </r>
  <r>
    <x v="8"/>
    <s v="Positive stakeholder"/>
    <s v="Positive stakeholder A stakeholder who sees the benefits of the project and is in favor of the change the project is to bring about. Profile analysis meeting This is an analysis meeting to examine and document the roles in the project. The role’s interests, concerns, influence, project knowledge, and attitude are documented. Pull communications This type of communication pulls information from a central repository. Pull communications allow stakeholders to retrieve information from a central source as needed. Push communications This type of communication happens when the sender pushes the same message to multiple people. Good examples of push communications are broadcast text messages, faxes, press releases, and group e-mails. Reporting system A reporting system is a software program to store and analyze project data for reporting. A common reporting system will take project data, allow the project manager to pass the data through earned value management, for example, and then create forecasting reports about the project costs and schedule. Resistant stakeholder status Part of stakeholder analysis classification. A resistant stakeholder is aware of your project, but they do not support the changes your project will create. Stakeholder Anyone who is affected by the existence of the project or who can affect the project’s existence. Stakeholders can enter and exit the project as conditions change within the project. Stakeholder analysis An activity that ranks stakeholders based on their influence, interests, and expectations of the project. Stakeholders are identified and ranked, and then their needs and expectations are documented and addressed. Stakeholder classification models These are charts and diagrams that help the project manager determine the influence of stakeholders in relation to their interest in the project. Common classification models include the power/interest grid, the power/influence grid, the influence/impact grid, and the salience model.          "/>
  </r>
  <r>
    <x v="8"/>
    <s v="Stakeholder engagement"/>
    <s v="Stakeholder engagement The project manager works to keep the project stakeholders interested, involved, and supportive of the project. Through communication, management skills, and interpersonal skills, the project manager can work to keep the project stakeholders engaged and interested in the project.       "/>
  </r>
  <r>
    <x v="8"/>
    <s v="Stakeholder identification"/>
    <s v="Stakeholder identification A project initiation activity to identify, document, and classify the project stakeholders as early as possible in the project.           "/>
  </r>
  <r>
    <x v="8"/>
    <s v="Stakeholder management"/>
    <s v="Stakeholder management The project management knowledge area that focuses on the management and engagement of the project stakeholders. There are four processes in this knowledge area: identify stakeholders, plan stakeholder management, manage stakeholder engagement, and Monitor Stakeholder Engagement.       "/>
  </r>
  <r>
    <x v="8"/>
    <s v="Stakeholder engagement plan"/>
    <s v="Stakeholder engagement plan The stakeholder engagement plan documents a strategy for managing the engagement of project stakeholders. The stakeholder engagement plan establishes stakeholder engagement and defines how the project manager can increase and improve stakeholder engagement.        "/>
  </r>
  <r>
    <x v="8"/>
    <s v="Stakeholder engagement planning"/>
    <s v="Stakeholder engagement planning The project manager works with the project team and subject matter experts to create a strategy to manage the project stakeholders.           "/>
  </r>
  <r>
    <x v="8"/>
    <s v="Stakeholder register"/>
    <s v="Stakeholder register A documentation of each stakeholder’s contact information, position, concerns, interests, and attitude toward the project. The project manager updates the register as new stakeholders are identified and when stakeholders leave the project.        "/>
  </r>
  <r>
    <x v="8"/>
    <s v="Supportive stakeholder status"/>
    <s v="Supportive stakeholder status This is part of stakeholder analysis classification. A supportive stakeholder is aware of your project and is supportive and hopeful that the project will be successful.          "/>
  </r>
  <r>
    <x v="8"/>
    <s v="Unaware stakeholder status"/>
    <s v="Unaware stakeholder status Part of stakeholder analysis classification. An unaware status means the stakeholder doesn’t know about the project and the effect the project may create on the stakeholder.          "/>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6">
  <r>
    <x v="0"/>
    <x v="0"/>
  </r>
  <r>
    <x v="1"/>
    <x v="0"/>
  </r>
  <r>
    <x v="2"/>
    <x v="0"/>
  </r>
  <r>
    <x v="3"/>
    <x v="0"/>
  </r>
  <r>
    <x v="4"/>
    <x v="0"/>
  </r>
  <r>
    <x v="5"/>
    <x v="0"/>
  </r>
  <r>
    <x v="6"/>
    <x v="1"/>
  </r>
  <r>
    <x v="7"/>
    <x v="0"/>
  </r>
  <r>
    <x v="8"/>
    <x v="2"/>
  </r>
  <r>
    <x v="9"/>
    <x v="3"/>
  </r>
  <r>
    <x v="10"/>
    <x v="0"/>
  </r>
  <r>
    <x v="11"/>
    <x v="4"/>
  </r>
  <r>
    <x v="12"/>
    <x v="0"/>
  </r>
  <r>
    <x v="13"/>
    <x v="5"/>
  </r>
  <r>
    <x v="14"/>
    <x v="6"/>
  </r>
  <r>
    <x v="15"/>
    <x v="7"/>
  </r>
  <r>
    <x v="15"/>
    <x v="0"/>
  </r>
  <r>
    <x v="16"/>
    <x v="7"/>
  </r>
  <r>
    <x v="16"/>
    <x v="0"/>
  </r>
  <r>
    <x v="17"/>
    <x v="0"/>
  </r>
  <r>
    <x v="18"/>
    <x v="0"/>
  </r>
  <r>
    <x v="19"/>
    <x v="0"/>
  </r>
  <r>
    <x v="20"/>
    <x v="0"/>
  </r>
  <r>
    <x v="21"/>
    <x v="0"/>
  </r>
  <r>
    <x v="22"/>
    <x v="0"/>
  </r>
  <r>
    <x v="23"/>
    <x v="8"/>
  </r>
  <r>
    <x v="24"/>
    <x v="9"/>
  </r>
  <r>
    <x v="25"/>
    <x v="10"/>
  </r>
  <r>
    <x v="26"/>
    <x v="11"/>
  </r>
  <r>
    <x v="27"/>
    <x v="12"/>
  </r>
  <r>
    <x v="28"/>
    <x v="13"/>
  </r>
  <r>
    <x v="29"/>
    <x v="14"/>
  </r>
  <r>
    <x v="30"/>
    <x v="15"/>
  </r>
  <r>
    <x v="31"/>
    <x v="16"/>
  </r>
  <r>
    <x v="32"/>
    <x v="0"/>
  </r>
  <r>
    <x v="33"/>
    <x v="0"/>
  </r>
  <r>
    <x v="33"/>
    <x v="17"/>
  </r>
  <r>
    <x v="34"/>
    <x v="0"/>
  </r>
  <r>
    <x v="35"/>
    <x v="18"/>
  </r>
  <r>
    <x v="36"/>
    <x v="0"/>
  </r>
  <r>
    <x v="37"/>
    <x v="0"/>
  </r>
  <r>
    <x v="38"/>
    <x v="0"/>
  </r>
  <r>
    <x v="39"/>
    <x v="19"/>
  </r>
  <r>
    <x v="39"/>
    <x v="20"/>
  </r>
  <r>
    <x v="40"/>
    <x v="0"/>
  </r>
  <r>
    <x v="41"/>
    <x v="21"/>
  </r>
  <r>
    <x v="42"/>
    <x v="22"/>
  </r>
  <r>
    <x v="42"/>
    <x v="23"/>
  </r>
  <r>
    <x v="43"/>
    <x v="0"/>
  </r>
  <r>
    <x v="44"/>
    <x v="0"/>
  </r>
  <r>
    <x v="45"/>
    <x v="24"/>
  </r>
  <r>
    <x v="45"/>
    <x v="25"/>
  </r>
  <r>
    <x v="46"/>
    <x v="26"/>
  </r>
  <r>
    <x v="47"/>
    <x v="27"/>
  </r>
  <r>
    <x v="48"/>
    <x v="28"/>
  </r>
  <r>
    <x v="49"/>
    <x v="0"/>
  </r>
  <r>
    <x v="50"/>
    <x v="29"/>
  </r>
  <r>
    <x v="51"/>
    <x v="30"/>
  </r>
  <r>
    <x v="52"/>
    <x v="31"/>
  </r>
  <r>
    <x v="53"/>
    <x v="32"/>
  </r>
  <r>
    <x v="54"/>
    <x v="33"/>
  </r>
  <r>
    <x v="54"/>
    <x v="33"/>
  </r>
  <r>
    <x v="55"/>
    <x v="28"/>
  </r>
  <r>
    <x v="56"/>
    <x v="34"/>
  </r>
  <r>
    <x v="57"/>
    <x v="35"/>
  </r>
  <r>
    <x v="57"/>
    <x v="36"/>
  </r>
  <r>
    <x v="57"/>
    <x v="37"/>
  </r>
  <r>
    <x v="58"/>
    <x v="38"/>
  </r>
  <r>
    <x v="59"/>
    <x v="0"/>
  </r>
  <r>
    <x v="59"/>
    <x v="39"/>
  </r>
  <r>
    <x v="60"/>
    <x v="40"/>
  </r>
  <r>
    <x v="61"/>
    <x v="0"/>
  </r>
  <r>
    <x v="61"/>
    <x v="41"/>
  </r>
  <r>
    <x v="62"/>
    <x v="0"/>
  </r>
  <r>
    <x v="63"/>
    <x v="42"/>
  </r>
  <r>
    <x v="64"/>
    <x v="43"/>
  </r>
  <r>
    <x v="65"/>
    <x v="0"/>
  </r>
  <r>
    <x v="66"/>
    <x v="44"/>
  </r>
  <r>
    <x v="67"/>
    <x v="45"/>
  </r>
  <r>
    <x v="67"/>
    <x v="46"/>
  </r>
  <r>
    <x v="67"/>
    <x v="47"/>
  </r>
  <r>
    <x v="68"/>
    <x v="48"/>
  </r>
  <r>
    <x v="69"/>
    <x v="49"/>
  </r>
  <r>
    <x v="70"/>
    <x v="50"/>
  </r>
  <r>
    <x v="71"/>
    <x v="0"/>
  </r>
  <r>
    <x v="71"/>
    <x v="51"/>
  </r>
  <r>
    <x v="72"/>
    <x v="52"/>
  </r>
  <r>
    <x v="72"/>
    <x v="0"/>
  </r>
  <r>
    <x v="72"/>
    <x v="53"/>
  </r>
  <r>
    <x v="72"/>
    <x v="54"/>
  </r>
  <r>
    <x v="73"/>
    <x v="55"/>
  </r>
  <r>
    <x v="74"/>
    <x v="0"/>
  </r>
  <r>
    <x v="75"/>
    <x v="56"/>
  </r>
  <r>
    <x v="76"/>
    <x v="0"/>
  </r>
  <r>
    <x v="76"/>
    <x v="57"/>
  </r>
  <r>
    <x v="77"/>
    <x v="0"/>
  </r>
  <r>
    <x v="77"/>
    <x v="54"/>
  </r>
  <r>
    <x v="78"/>
    <x v="58"/>
  </r>
  <r>
    <x v="79"/>
    <x v="59"/>
  </r>
  <r>
    <x v="80"/>
    <x v="60"/>
  </r>
  <r>
    <x v="80"/>
    <x v="61"/>
  </r>
  <r>
    <x v="81"/>
    <x v="62"/>
  </r>
  <r>
    <x v="81"/>
    <x v="0"/>
  </r>
  <r>
    <x v="82"/>
    <x v="0"/>
  </r>
  <r>
    <x v="83"/>
    <x v="63"/>
  </r>
  <r>
    <x v="83"/>
    <x v="0"/>
  </r>
  <r>
    <x v="84"/>
    <x v="64"/>
  </r>
  <r>
    <x v="85"/>
    <x v="0"/>
  </r>
  <r>
    <x v="85"/>
    <x v="65"/>
  </r>
  <r>
    <x v="85"/>
    <x v="62"/>
  </r>
  <r>
    <x v="85"/>
    <x v="66"/>
  </r>
  <r>
    <x v="85"/>
    <x v="67"/>
  </r>
  <r>
    <x v="86"/>
    <x v="68"/>
  </r>
  <r>
    <x v="87"/>
    <x v="69"/>
  </r>
  <r>
    <x v="87"/>
    <x v="69"/>
  </r>
  <r>
    <x v="88"/>
    <x v="0"/>
  </r>
  <r>
    <x v="89"/>
    <x v="70"/>
  </r>
  <r>
    <x v="90"/>
    <x v="71"/>
  </r>
  <r>
    <x v="91"/>
    <x v="72"/>
  </r>
  <r>
    <x v="91"/>
    <x v="73"/>
  </r>
  <r>
    <x v="92"/>
    <x v="74"/>
  </r>
  <r>
    <x v="92"/>
    <x v="75"/>
  </r>
  <r>
    <x v="93"/>
    <x v="76"/>
  </r>
  <r>
    <x v="93"/>
    <x v="77"/>
  </r>
  <r>
    <x v="93"/>
    <x v="78"/>
  </r>
  <r>
    <x v="94"/>
    <x v="79"/>
  </r>
  <r>
    <x v="95"/>
    <x v="0"/>
  </r>
  <r>
    <x v="96"/>
    <x v="80"/>
  </r>
  <r>
    <x v="96"/>
    <x v="81"/>
  </r>
  <r>
    <x v="96"/>
    <x v="82"/>
  </r>
  <r>
    <x v="96"/>
    <x v="83"/>
  </r>
  <r>
    <x v="97"/>
    <x v="0"/>
  </r>
  <r>
    <x v="98"/>
    <x v="84"/>
  </r>
  <r>
    <x v="99"/>
    <x v="85"/>
  </r>
  <r>
    <x v="100"/>
    <x v="86"/>
  </r>
  <r>
    <x v="101"/>
    <x v="87"/>
  </r>
  <r>
    <x v="102"/>
    <x v="87"/>
  </r>
  <r>
    <x v="103"/>
    <x v="88"/>
  </r>
  <r>
    <x v="104"/>
    <x v="89"/>
  </r>
  <r>
    <x v="104"/>
    <x v="0"/>
  </r>
  <r>
    <x v="104"/>
    <x v="90"/>
  </r>
  <r>
    <x v="104"/>
    <x v="90"/>
  </r>
  <r>
    <x v="105"/>
    <x v="91"/>
  </r>
  <r>
    <x v="106"/>
    <x v="92"/>
  </r>
  <r>
    <x v="107"/>
    <x v="93"/>
  </r>
  <r>
    <x v="107"/>
    <x v="94"/>
  </r>
  <r>
    <x v="108"/>
    <x v="95"/>
  </r>
  <r>
    <x v="109"/>
    <x v="0"/>
  </r>
  <r>
    <x v="110"/>
    <x v="96"/>
  </r>
  <r>
    <x v="111"/>
    <x v="0"/>
  </r>
  <r>
    <x v="112"/>
    <x v="0"/>
  </r>
  <r>
    <x v="113"/>
    <x v="0"/>
  </r>
  <r>
    <x v="114"/>
    <x v="0"/>
  </r>
  <r>
    <x v="115"/>
    <x v="0"/>
  </r>
  <r>
    <x v="115"/>
    <x v="97"/>
  </r>
  <r>
    <x v="116"/>
    <x v="98"/>
  </r>
  <r>
    <x v="117"/>
    <x v="0"/>
  </r>
  <r>
    <x v="118"/>
    <x v="0"/>
  </r>
  <r>
    <x v="119"/>
    <x v="99"/>
  </r>
  <r>
    <x v="120"/>
    <x v="100"/>
  </r>
  <r>
    <x v="120"/>
    <x v="101"/>
  </r>
  <r>
    <x v="121"/>
    <x v="102"/>
  </r>
  <r>
    <x v="122"/>
    <x v="103"/>
  </r>
  <r>
    <x v="123"/>
    <x v="0"/>
  </r>
  <r>
    <x v="124"/>
    <x v="104"/>
  </r>
  <r>
    <x v="125"/>
    <x v="0"/>
  </r>
  <r>
    <x v="126"/>
    <x v="105"/>
  </r>
  <r>
    <x v="127"/>
    <x v="106"/>
  </r>
  <r>
    <x v="128"/>
    <x v="0"/>
  </r>
  <r>
    <x v="129"/>
    <x v="107"/>
  </r>
  <r>
    <x v="130"/>
    <x v="108"/>
  </r>
  <r>
    <x v="131"/>
    <x v="0"/>
  </r>
  <r>
    <x v="132"/>
    <x v="109"/>
  </r>
  <r>
    <x v="133"/>
    <x v="0"/>
  </r>
  <r>
    <x v="134"/>
    <x v="0"/>
  </r>
  <r>
    <x v="135"/>
    <x v="110"/>
  </r>
  <r>
    <x v="135"/>
    <x v="0"/>
  </r>
  <r>
    <x v="135"/>
    <x v="111"/>
  </r>
  <r>
    <x v="136"/>
    <x v="112"/>
  </r>
  <r>
    <x v="137"/>
    <x v="113"/>
  </r>
  <r>
    <x v="138"/>
    <x v="114"/>
  </r>
  <r>
    <x v="139"/>
    <x v="0"/>
  </r>
  <r>
    <x v="140"/>
    <x v="115"/>
  </r>
  <r>
    <x v="141"/>
    <x v="116"/>
  </r>
  <r>
    <x v="142"/>
    <x v="117"/>
  </r>
  <r>
    <x v="143"/>
    <x v="118"/>
  </r>
  <r>
    <x v="143"/>
    <x v="119"/>
  </r>
  <r>
    <x v="143"/>
    <x v="0"/>
  </r>
  <r>
    <x v="144"/>
    <x v="0"/>
  </r>
  <r>
    <x v="145"/>
    <x v="0"/>
  </r>
  <r>
    <x v="146"/>
    <x v="0"/>
  </r>
  <r>
    <x v="147"/>
    <x v="0"/>
  </r>
  <r>
    <x v="148"/>
    <x v="120"/>
  </r>
  <r>
    <x v="149"/>
    <x v="121"/>
  </r>
  <r>
    <x v="150"/>
    <x v="122"/>
  </r>
  <r>
    <x v="150"/>
    <x v="123"/>
  </r>
  <r>
    <x v="151"/>
    <x v="124"/>
  </r>
  <r>
    <x v="152"/>
    <x v="125"/>
  </r>
  <r>
    <x v="152"/>
    <x v="126"/>
  </r>
  <r>
    <x v="153"/>
    <x v="127"/>
  </r>
  <r>
    <x v="154"/>
    <x v="98"/>
  </r>
  <r>
    <x v="155"/>
    <x v="0"/>
  </r>
  <r>
    <x v="156"/>
    <x v="0"/>
  </r>
  <r>
    <x v="157"/>
    <x v="128"/>
  </r>
  <r>
    <x v="158"/>
    <x v="129"/>
  </r>
  <r>
    <x v="159"/>
    <x v="130"/>
  </r>
  <r>
    <x v="160"/>
    <x v="131"/>
  </r>
  <r>
    <x v="161"/>
    <x v="63"/>
  </r>
  <r>
    <x v="162"/>
    <x v="132"/>
  </r>
  <r>
    <x v="163"/>
    <x v="51"/>
  </r>
  <r>
    <x v="164"/>
    <x v="133"/>
  </r>
  <r>
    <x v="164"/>
    <x v="133"/>
  </r>
  <r>
    <x v="165"/>
    <x v="134"/>
  </r>
  <r>
    <x v="166"/>
    <x v="135"/>
  </r>
  <r>
    <x v="167"/>
    <x v="0"/>
  </r>
  <r>
    <x v="167"/>
    <x v="36"/>
  </r>
  <r>
    <x v="168"/>
    <x v="136"/>
  </r>
  <r>
    <x v="169"/>
    <x v="131"/>
  </r>
  <r>
    <x v="170"/>
    <x v="137"/>
  </r>
  <r>
    <x v="170"/>
    <x v="138"/>
  </r>
  <r>
    <x v="170"/>
    <x v="0"/>
  </r>
  <r>
    <x v="171"/>
    <x v="139"/>
  </r>
  <r>
    <x v="172"/>
    <x v="0"/>
  </r>
  <r>
    <x v="173"/>
    <x v="96"/>
  </r>
  <r>
    <x v="174"/>
    <x v="0"/>
  </r>
  <r>
    <x v="175"/>
    <x v="0"/>
  </r>
  <r>
    <x v="176"/>
    <x v="0"/>
  </r>
  <r>
    <x v="177"/>
    <x v="0"/>
  </r>
  <r>
    <x v="178"/>
    <x v="121"/>
  </r>
  <r>
    <x v="179"/>
    <x v="140"/>
  </r>
  <r>
    <x v="180"/>
    <x v="141"/>
  </r>
  <r>
    <x v="181"/>
    <x v="142"/>
  </r>
  <r>
    <x v="182"/>
    <x v="143"/>
  </r>
  <r>
    <x v="183"/>
    <x v="14"/>
  </r>
  <r>
    <x v="184"/>
    <x v="144"/>
  </r>
  <r>
    <x v="185"/>
    <x v="145"/>
  </r>
  <r>
    <x v="186"/>
    <x v="0"/>
  </r>
  <r>
    <x v="187"/>
    <x v="146"/>
  </r>
  <r>
    <x v="188"/>
    <x v="147"/>
  </r>
  <r>
    <x v="189"/>
    <x v="148"/>
  </r>
  <r>
    <x v="190"/>
    <x v="0"/>
  </r>
  <r>
    <x v="191"/>
    <x v="149"/>
  </r>
  <r>
    <x v="192"/>
    <x v="150"/>
  </r>
  <r>
    <x v="193"/>
    <x v="151"/>
  </r>
  <r>
    <x v="194"/>
    <x v="152"/>
  </r>
  <r>
    <x v="195"/>
    <x v="153"/>
  </r>
  <r>
    <x v="196"/>
    <x v="154"/>
  </r>
  <r>
    <x v="196"/>
    <x v="0"/>
  </r>
  <r>
    <x v="196"/>
    <x v="155"/>
  </r>
  <r>
    <x v="197"/>
    <x v="156"/>
  </r>
  <r>
    <x v="198"/>
    <x v="157"/>
  </r>
  <r>
    <x v="199"/>
    <x v="0"/>
  </r>
  <r>
    <x v="200"/>
    <x v="0"/>
  </r>
  <r>
    <x v="201"/>
    <x v="158"/>
  </r>
  <r>
    <x v="202"/>
    <x v="0"/>
  </r>
  <r>
    <x v="203"/>
    <x v="159"/>
  </r>
  <r>
    <x v="204"/>
    <x v="160"/>
  </r>
  <r>
    <x v="205"/>
    <x v="161"/>
  </r>
  <r>
    <x v="206"/>
    <x v="0"/>
  </r>
  <r>
    <x v="207"/>
    <x v="0"/>
  </r>
  <r>
    <x v="208"/>
    <x v="162"/>
  </r>
  <r>
    <x v="209"/>
    <x v="163"/>
  </r>
  <r>
    <x v="210"/>
    <x v="164"/>
  </r>
  <r>
    <x v="211"/>
    <x v="0"/>
  </r>
  <r>
    <x v="212"/>
    <x v="0"/>
  </r>
  <r>
    <x v="212"/>
    <x v="165"/>
  </r>
  <r>
    <x v="212"/>
    <x v="166"/>
  </r>
  <r>
    <x v="213"/>
    <x v="11"/>
  </r>
  <r>
    <x v="214"/>
    <x v="167"/>
  </r>
  <r>
    <x v="215"/>
    <x v="168"/>
  </r>
  <r>
    <x v="216"/>
    <x v="0"/>
  </r>
  <r>
    <x v="216"/>
    <x v="169"/>
  </r>
  <r>
    <x v="217"/>
    <x v="0"/>
  </r>
  <r>
    <x v="218"/>
    <x v="170"/>
  </r>
  <r>
    <x v="219"/>
    <x v="171"/>
  </r>
  <r>
    <x v="220"/>
    <x v="172"/>
  </r>
  <r>
    <x v="221"/>
    <x v="173"/>
  </r>
  <r>
    <x v="222"/>
    <x v="0"/>
  </r>
  <r>
    <x v="223"/>
    <x v="0"/>
  </r>
  <r>
    <x v="223"/>
    <x v="165"/>
  </r>
  <r>
    <x v="223"/>
    <x v="174"/>
  </r>
  <r>
    <x v="223"/>
    <x v="164"/>
  </r>
  <r>
    <x v="223"/>
    <x v="175"/>
  </r>
  <r>
    <x v="223"/>
    <x v="176"/>
  </r>
  <r>
    <x v="224"/>
    <x v="0"/>
  </r>
  <r>
    <x v="225"/>
    <x v="177"/>
  </r>
  <r>
    <x v="225"/>
    <x v="178"/>
  </r>
  <r>
    <x v="225"/>
    <x v="174"/>
  </r>
  <r>
    <x v="226"/>
    <x v="179"/>
  </r>
  <r>
    <x v="227"/>
    <x v="180"/>
  </r>
  <r>
    <x v="228"/>
    <x v="181"/>
  </r>
  <r>
    <x v="229"/>
    <x v="81"/>
  </r>
  <r>
    <x v="229"/>
    <x v="182"/>
  </r>
  <r>
    <x v="230"/>
    <x v="181"/>
  </r>
  <r>
    <x v="231"/>
    <x v="183"/>
  </r>
  <r>
    <x v="232"/>
    <x v="184"/>
  </r>
  <r>
    <x v="233"/>
    <x v="185"/>
  </r>
  <r>
    <x v="234"/>
    <x v="186"/>
  </r>
  <r>
    <x v="235"/>
    <x v="187"/>
  </r>
  <r>
    <x v="236"/>
    <x v="0"/>
  </r>
  <r>
    <x v="237"/>
    <x v="0"/>
  </r>
  <r>
    <x v="238"/>
    <x v="188"/>
  </r>
  <r>
    <x v="238"/>
    <x v="189"/>
  </r>
  <r>
    <x v="238"/>
    <x v="190"/>
  </r>
  <r>
    <x v="238"/>
    <x v="191"/>
  </r>
  <r>
    <x v="239"/>
    <x v="192"/>
  </r>
  <r>
    <x v="240"/>
    <x v="0"/>
  </r>
  <r>
    <x v="241"/>
    <x v="193"/>
  </r>
  <r>
    <x v="242"/>
    <x v="194"/>
  </r>
  <r>
    <x v="243"/>
    <x v="0"/>
  </r>
  <r>
    <x v="244"/>
    <x v="0"/>
  </r>
  <r>
    <x v="244"/>
    <x v="165"/>
  </r>
  <r>
    <x v="245"/>
    <x v="0"/>
  </r>
  <r>
    <x v="246"/>
    <x v="174"/>
  </r>
  <r>
    <x v="247"/>
    <x v="195"/>
  </r>
  <r>
    <x v="248"/>
    <x v="0"/>
  </r>
  <r>
    <x v="248"/>
    <x v="57"/>
  </r>
  <r>
    <x v="249"/>
    <x v="196"/>
  </r>
  <r>
    <x v="250"/>
    <x v="0"/>
  </r>
  <r>
    <x v="251"/>
    <x v="0"/>
  </r>
  <r>
    <x v="252"/>
    <x v="197"/>
  </r>
  <r>
    <x v="253"/>
    <x v="88"/>
  </r>
  <r>
    <x v="254"/>
    <x v="0"/>
  </r>
  <r>
    <x v="255"/>
    <x v="198"/>
  </r>
  <r>
    <x v="256"/>
    <x v="199"/>
  </r>
  <r>
    <x v="257"/>
    <x v="200"/>
  </r>
  <r>
    <x v="258"/>
    <x v="200"/>
  </r>
  <r>
    <x v="259"/>
    <x v="0"/>
  </r>
  <r>
    <x v="260"/>
    <x v="201"/>
  </r>
  <r>
    <x v="261"/>
    <x v="202"/>
  </r>
  <r>
    <x v="262"/>
    <x v="203"/>
  </r>
  <r>
    <x v="263"/>
    <x v="0"/>
  </r>
  <r>
    <x v="264"/>
    <x v="204"/>
  </r>
  <r>
    <x v="265"/>
    <x v="0"/>
  </r>
  <r>
    <x v="266"/>
    <x v="0"/>
  </r>
  <r>
    <x v="267"/>
    <x v="0"/>
  </r>
  <r>
    <x v="268"/>
    <x v="205"/>
  </r>
  <r>
    <x v="269"/>
    <x v="206"/>
  </r>
  <r>
    <x v="270"/>
    <x v="207"/>
  </r>
  <r>
    <x v="271"/>
    <x v="0"/>
  </r>
  <r>
    <x v="272"/>
    <x v="0"/>
  </r>
  <r>
    <x v="273"/>
    <x v="208"/>
  </r>
  <r>
    <x v="273"/>
    <x v="208"/>
  </r>
  <r>
    <x v="274"/>
    <x v="209"/>
  </r>
  <r>
    <x v="275"/>
    <x v="210"/>
  </r>
  <r>
    <x v="276"/>
    <x v="211"/>
  </r>
  <r>
    <x v="276"/>
    <x v="212"/>
  </r>
  <r>
    <x v="277"/>
    <x v="0"/>
  </r>
  <r>
    <x v="278"/>
    <x v="213"/>
  </r>
  <r>
    <x v="279"/>
    <x v="0"/>
  </r>
  <r>
    <x v="280"/>
    <x v="0"/>
  </r>
  <r>
    <x v="281"/>
    <x v="44"/>
  </r>
  <r>
    <x v="282"/>
    <x v="214"/>
  </r>
  <r>
    <x v="283"/>
    <x v="6"/>
  </r>
  <r>
    <x v="284"/>
    <x v="0"/>
  </r>
  <r>
    <x v="285"/>
    <x v="215"/>
  </r>
  <r>
    <x v="285"/>
    <x v="216"/>
  </r>
  <r>
    <x v="286"/>
    <x v="215"/>
  </r>
  <r>
    <x v="286"/>
    <x v="216"/>
  </r>
  <r>
    <x v="287"/>
    <x v="217"/>
  </r>
  <r>
    <x v="287"/>
    <x v="218"/>
  </r>
  <r>
    <x v="288"/>
    <x v="0"/>
  </r>
  <r>
    <x v="289"/>
    <x v="0"/>
  </r>
  <r>
    <x v="290"/>
    <x v="0"/>
  </r>
  <r>
    <x v="291"/>
    <x v="0"/>
  </r>
  <r>
    <x v="292"/>
    <x v="219"/>
  </r>
  <r>
    <x v="293"/>
    <x v="220"/>
  </r>
  <r>
    <x v="293"/>
    <x v="221"/>
  </r>
  <r>
    <x v="293"/>
    <x v="222"/>
  </r>
  <r>
    <x v="294"/>
    <x v="223"/>
  </r>
  <r>
    <x v="295"/>
    <x v="224"/>
  </r>
  <r>
    <x v="295"/>
    <x v="224"/>
  </r>
  <r>
    <x v="296"/>
    <x v="0"/>
  </r>
  <r>
    <x v="297"/>
    <x v="96"/>
  </r>
  <r>
    <x v="298"/>
    <x v="195"/>
  </r>
  <r>
    <x v="299"/>
    <x v="0"/>
  </r>
  <r>
    <x v="300"/>
    <x v="0"/>
  </r>
  <r>
    <x v="301"/>
    <x v="0"/>
  </r>
  <r>
    <x v="302"/>
    <x v="225"/>
  </r>
  <r>
    <x v="303"/>
    <x v="226"/>
  </r>
  <r>
    <x v="303"/>
    <x v="227"/>
  </r>
  <r>
    <x v="304"/>
    <x v="0"/>
  </r>
  <r>
    <x v="305"/>
    <x v="0"/>
  </r>
  <r>
    <x v="306"/>
    <x v="228"/>
  </r>
  <r>
    <x v="306"/>
    <x v="229"/>
  </r>
  <r>
    <x v="307"/>
    <x v="17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2">
  <r>
    <x v="0"/>
    <x v="0"/>
    <n v="36"/>
    <s v="x"/>
    <x v="0"/>
    <s v="x"/>
    <s v="x"/>
    <s v="x"/>
    <m/>
    <m/>
    <m/>
    <m/>
    <m/>
    <m/>
    <m/>
    <m/>
    <m/>
    <m/>
    <m/>
    <m/>
    <x v="0"/>
  </r>
  <r>
    <x v="0"/>
    <x v="1"/>
    <n v="65"/>
    <n v="1"/>
    <x v="1"/>
    <s v="A Guide to the Project Management Body of Knowledge (PMBOK Guide)"/>
    <s v="The PMI publication that defines widely accepted project management practices. The CAPM and the PMP exam are based on this book."/>
    <s v=""/>
    <s v=""/>
    <s v=""/>
    <s v=""/>
    <s v=""/>
    <s v=""/>
    <s v=""/>
    <s v=""/>
    <s v=""/>
    <s v=""/>
    <s v=""/>
    <s v=""/>
    <s v=""/>
    <x v="1"/>
  </r>
  <r>
    <x v="0"/>
    <x v="2"/>
    <n v="128"/>
    <m/>
    <x v="2"/>
    <s v=""/>
    <s v=""/>
    <s v=""/>
    <s v=""/>
    <s v=""/>
    <s v=""/>
    <s v=""/>
    <s v=""/>
    <s v=""/>
    <s v=""/>
    <s v=""/>
    <s v=""/>
    <s v=""/>
    <s v=""/>
    <s v=""/>
    <x v="2"/>
  </r>
  <r>
    <x v="0"/>
    <x v="3"/>
    <n v="17"/>
    <n v="1"/>
    <x v="1"/>
    <s v="Application areas"/>
    <s v="The areas of expertise, industry, or function where a project is centered. Examples of application areas include architecture, IT, health care, and manufacturing."/>
    <s v=""/>
    <s v=""/>
    <s v=""/>
    <s v=""/>
    <s v=""/>
    <s v=""/>
    <s v=""/>
    <s v=""/>
    <s v=""/>
    <s v=""/>
    <s v=""/>
    <s v=""/>
    <s v=""/>
    <x v="3"/>
  </r>
  <r>
    <x v="0"/>
    <x v="4"/>
    <n v="162"/>
    <m/>
    <x v="2"/>
    <s v=""/>
    <s v=""/>
    <s v=""/>
    <s v=""/>
    <s v=""/>
    <s v=""/>
    <s v=""/>
    <s v=""/>
    <s v=""/>
    <s v=""/>
    <s v=""/>
    <s v=""/>
    <s v=""/>
    <s v=""/>
    <s v=""/>
    <x v="2"/>
  </r>
  <r>
    <x v="0"/>
    <x v="5"/>
    <n v="14"/>
    <n v="1"/>
    <x v="1"/>
    <s v="Business value"/>
    <s v="A quantifiable return on investment. The return can be tangible, such as equipment, money, or market share. The return can also be intangible, such as brand recognition, trademarks, and reputation."/>
    <s v=""/>
    <s v=""/>
    <s v=""/>
    <s v=""/>
    <s v=""/>
    <s v=""/>
    <s v=""/>
    <s v=""/>
    <s v=""/>
    <s v=""/>
    <s v=""/>
    <s v=""/>
    <s v=""/>
    <x v="4"/>
  </r>
  <r>
    <x v="0"/>
    <x v="6"/>
    <n v="197"/>
    <m/>
    <x v="2"/>
    <s v=""/>
    <s v=""/>
    <s v=""/>
    <s v=""/>
    <s v=""/>
    <s v=""/>
    <s v=""/>
    <s v=""/>
    <s v=""/>
    <s v=""/>
    <s v=""/>
    <s v=""/>
    <s v=""/>
    <s v=""/>
    <s v=""/>
    <x v="2"/>
  </r>
  <r>
    <x v="0"/>
    <x v="7"/>
    <n v="48"/>
    <n v="1"/>
    <x v="1"/>
    <s v="Certified Associate in Project Management (CAPM)"/>
    <s v="A person who has slightly less project management experience than a PMP, but who has qualified for and then passed the CAPM examination."/>
    <s v=""/>
    <s v=""/>
    <s v=""/>
    <s v=""/>
    <s v=""/>
    <s v=""/>
    <s v=""/>
    <s v=""/>
    <s v=""/>
    <s v=""/>
    <s v=""/>
    <s v=""/>
    <s v=""/>
    <x v="5"/>
  </r>
  <r>
    <x v="0"/>
    <x v="8"/>
    <n v="136"/>
    <m/>
    <x v="2"/>
    <s v=""/>
    <s v=""/>
    <s v=""/>
    <s v=""/>
    <s v=""/>
    <s v=""/>
    <s v=""/>
    <s v=""/>
    <s v=""/>
    <s v=""/>
    <s v=""/>
    <s v=""/>
    <s v=""/>
    <s v=""/>
    <s v=""/>
    <x v="2"/>
  </r>
  <r>
    <x v="0"/>
    <x v="9"/>
    <n v="31"/>
    <n v="1"/>
    <x v="1"/>
    <s v="Cultural and social environment"/>
    <s v="Defines how a project affects people and how those people may affect the project. Cultural and social environments include the economic, educational, ethical, religious, demographic, and ethnic composition of the people affected by the project."/>
    <s v=""/>
    <s v=""/>
    <s v=""/>
    <s v=""/>
    <s v=""/>
    <s v=""/>
    <s v=""/>
    <s v=""/>
    <s v=""/>
    <s v=""/>
    <s v=""/>
    <s v=""/>
    <s v=""/>
    <x v="6"/>
  </r>
  <r>
    <x v="0"/>
    <x v="10"/>
    <n v="244"/>
    <m/>
    <x v="2"/>
    <s v=""/>
    <s v=""/>
    <s v=""/>
    <s v=""/>
    <s v=""/>
    <s v=""/>
    <s v=""/>
    <s v=""/>
    <s v=""/>
    <s v=""/>
    <s v=""/>
    <s v=""/>
    <s v=""/>
    <s v=""/>
    <s v=""/>
    <x v="2"/>
  </r>
  <r>
    <x v="0"/>
    <x v="11"/>
    <n v="11"/>
    <n v="1"/>
    <x v="1"/>
    <s v="Deliverable"/>
    <s v="A product, service, or result created by a project. Projects can have multiple deliverables."/>
    <s v=""/>
    <s v=""/>
    <s v=""/>
    <s v=""/>
    <s v=""/>
    <s v=""/>
    <s v=""/>
    <s v=""/>
    <s v=""/>
    <s v=""/>
    <s v=""/>
    <s v=""/>
    <s v=""/>
    <x v="7"/>
  </r>
  <r>
    <x v="0"/>
    <x v="12"/>
    <n v="92"/>
    <m/>
    <x v="2"/>
    <s v=""/>
    <s v=""/>
    <s v=""/>
    <s v=""/>
    <s v=""/>
    <s v=""/>
    <s v=""/>
    <s v=""/>
    <s v=""/>
    <s v=""/>
    <s v=""/>
    <s v=""/>
    <s v=""/>
    <s v=""/>
    <s v=""/>
    <x v="2"/>
  </r>
  <r>
    <x v="0"/>
    <x v="13"/>
    <n v="25"/>
    <n v="1"/>
    <x v="1"/>
    <s v="General management skills"/>
    <s v="These include the application of accounting, procurement, sales and marketing, contracting, manufacturing, logistics, strategic planning, human resource management, standards and regulations, and information technology."/>
    <s v="International and political environment"/>
    <s v="The consideration of the local and international laws, languages, communication challenges, time zone differences, and other non-collocated issues that affect a project’s ability to progress."/>
    <s v=""/>
    <s v=""/>
    <s v=""/>
    <s v=""/>
    <s v=""/>
    <s v=""/>
    <s v=""/>
    <s v=""/>
    <s v=""/>
    <s v=""/>
    <s v=""/>
    <x v="8"/>
  </r>
  <r>
    <x v="0"/>
    <x v="14"/>
    <n v="219"/>
    <m/>
    <x v="2"/>
    <s v=""/>
    <s v=""/>
    <s v=""/>
    <s v=""/>
    <s v=""/>
    <s v=""/>
    <s v=""/>
    <s v=""/>
    <s v=""/>
    <s v=""/>
    <s v=""/>
    <s v=""/>
    <s v=""/>
    <s v=""/>
    <s v=""/>
    <x v="2"/>
  </r>
  <r>
    <x v="0"/>
    <x v="15"/>
    <n v="39"/>
    <m/>
    <x v="3"/>
    <s v=""/>
    <s v=""/>
    <s v=""/>
    <s v=""/>
    <s v=""/>
    <s v=""/>
    <s v=""/>
    <s v=""/>
    <s v=""/>
    <s v=""/>
    <s v=""/>
    <s v=""/>
    <s v=""/>
    <s v=""/>
    <s v=""/>
    <x v="2"/>
  </r>
  <r>
    <x v="0"/>
    <x v="16"/>
    <n v="191"/>
    <m/>
    <x v="4"/>
    <s v=""/>
    <s v=""/>
    <s v=""/>
    <s v=""/>
    <s v=""/>
    <s v=""/>
    <s v=""/>
    <s v=""/>
    <s v=""/>
    <s v=""/>
    <s v=""/>
    <s v=""/>
    <s v=""/>
    <s v=""/>
    <s v=""/>
    <x v="2"/>
  </r>
  <r>
    <x v="0"/>
    <x v="17"/>
    <n v="20"/>
    <n v="1"/>
    <x v="1"/>
    <s v="Interpersonal skills"/>
    <s v="The ability to interact, lead, motivate, and manage people."/>
    <s v=""/>
    <s v=""/>
    <s v=""/>
    <s v=""/>
    <s v=""/>
    <s v=""/>
    <s v=""/>
    <s v=""/>
    <s v=""/>
    <s v=""/>
    <s v=""/>
    <s v=""/>
    <s v=""/>
    <x v="9"/>
  </r>
  <r>
    <x v="0"/>
    <x v="18"/>
    <n v="59"/>
    <m/>
    <x v="2"/>
    <s v=""/>
    <s v=""/>
    <s v=""/>
    <s v=""/>
    <s v=""/>
    <s v=""/>
    <s v=""/>
    <s v=""/>
    <s v=""/>
    <s v=""/>
    <s v=""/>
    <s v=""/>
    <s v=""/>
    <s v=""/>
    <s v=""/>
    <x v="2"/>
  </r>
  <r>
    <x v="0"/>
    <x v="19"/>
    <n v="35"/>
    <n v="1"/>
    <x v="1"/>
    <s v="Iron Triangle of Project Management"/>
    <s v="A triangle with the characteristics of time, cost, and scope. Time, cost, and scope each constitute one side of the triangle; if any side of the Iron Triangle is not in balance with the other sides, the project will suffer. The Iron Triangle of Project Management is also known as the Triple Constraints of Project Management, as all projects are constrained by time, cost, and scope."/>
    <s v=""/>
    <s v=""/>
    <s v=""/>
    <s v=""/>
    <s v=""/>
    <s v=""/>
    <s v=""/>
    <s v=""/>
    <s v=""/>
    <s v=""/>
    <s v=""/>
    <s v=""/>
    <s v=""/>
    <x v="10"/>
  </r>
  <r>
    <x v="0"/>
    <x v="20"/>
    <n v="384"/>
    <m/>
    <x v="2"/>
    <s v=""/>
    <s v=""/>
    <s v=""/>
    <s v=""/>
    <s v=""/>
    <s v=""/>
    <s v=""/>
    <s v=""/>
    <s v=""/>
    <s v=""/>
    <s v=""/>
    <s v=""/>
    <s v=""/>
    <s v=""/>
    <s v=""/>
    <x v="2"/>
  </r>
  <r>
    <x v="0"/>
    <x v="21"/>
    <n v="20"/>
    <n v="1"/>
    <x v="1"/>
    <s v="Physical environment"/>
    <s v="The physical structure and surroundings that affect a project’s work."/>
    <s v=""/>
    <s v=""/>
    <s v=""/>
    <s v=""/>
    <s v=""/>
    <s v=""/>
    <s v=""/>
    <s v=""/>
    <s v=""/>
    <s v=""/>
    <s v=""/>
    <s v=""/>
    <s v=""/>
    <x v="11"/>
  </r>
  <r>
    <x v="0"/>
    <x v="22"/>
    <n v="69"/>
    <m/>
    <x v="2"/>
    <s v=""/>
    <s v=""/>
    <s v=""/>
    <s v=""/>
    <s v=""/>
    <s v=""/>
    <s v=""/>
    <s v=""/>
    <s v=""/>
    <s v=""/>
    <s v=""/>
    <s v=""/>
    <s v=""/>
    <s v=""/>
    <s v=""/>
    <x v="2"/>
  </r>
  <r>
    <x v="0"/>
    <x v="23"/>
    <n v="14"/>
    <n v="1"/>
    <x v="1"/>
    <s v="Process groups"/>
    <s v="A collection of related processes in project management. There are five process groups and 49 project management processes. The five process groups are Initiating, Planning, Executing, Monitoring and Controlling, and Closing."/>
    <s v=""/>
    <s v=""/>
    <s v=""/>
    <s v=""/>
    <s v=""/>
    <s v=""/>
    <s v=""/>
    <s v=""/>
    <s v=""/>
    <s v=""/>
    <s v=""/>
    <s v=""/>
    <s v=""/>
    <x v="12"/>
  </r>
  <r>
    <x v="0"/>
    <x v="24"/>
    <n v="225"/>
    <m/>
    <x v="2"/>
    <s v=""/>
    <s v=""/>
    <s v=""/>
    <s v=""/>
    <s v=""/>
    <s v=""/>
    <s v=""/>
    <s v=""/>
    <s v=""/>
    <s v=""/>
    <s v=""/>
    <s v=""/>
    <s v=""/>
    <s v=""/>
    <s v=""/>
    <x v="2"/>
  </r>
  <r>
    <x v="0"/>
    <x v="25"/>
    <n v="7"/>
    <n v="1"/>
    <x v="1"/>
    <s v="Program"/>
    <s v="A collection of related projects working in unison toward a common deliverable."/>
    <s v=""/>
    <s v=""/>
    <s v=""/>
    <s v=""/>
    <s v=""/>
    <s v=""/>
    <s v=""/>
    <s v=""/>
    <s v=""/>
    <s v=""/>
    <s v=""/>
    <s v=""/>
    <s v=""/>
    <x v="13"/>
  </r>
  <r>
    <x v="0"/>
    <x v="26"/>
    <n v="79"/>
    <m/>
    <x v="2"/>
    <s v=""/>
    <s v=""/>
    <s v=""/>
    <s v=""/>
    <s v=""/>
    <s v=""/>
    <s v=""/>
    <s v=""/>
    <s v=""/>
    <s v=""/>
    <s v=""/>
    <s v=""/>
    <s v=""/>
    <s v=""/>
    <s v=""/>
    <x v="2"/>
  </r>
  <r>
    <x v="0"/>
    <x v="27"/>
    <n v="23"/>
    <n v="1"/>
    <x v="1"/>
    <s v="Progressive elaboration"/>
    <s v="The process of gathering project details. This process uses deductive reasoning, logic, and a series of information-gathering techniques to identify details about a project, product, or solution."/>
    <s v=""/>
    <s v=""/>
    <s v=""/>
    <s v=""/>
    <s v=""/>
    <s v=""/>
    <s v=""/>
    <s v=""/>
    <s v=""/>
    <s v=""/>
    <s v=""/>
    <s v=""/>
    <s v=""/>
    <x v="14"/>
  </r>
  <r>
    <x v="0"/>
    <x v="28"/>
    <n v="195"/>
    <m/>
    <x v="2"/>
    <s v=""/>
    <s v=""/>
    <s v=""/>
    <s v=""/>
    <s v=""/>
    <s v=""/>
    <s v=""/>
    <s v=""/>
    <s v=""/>
    <s v=""/>
    <s v=""/>
    <s v=""/>
    <s v=""/>
    <s v=""/>
    <s v=""/>
    <x v="2"/>
  </r>
  <r>
    <x v="0"/>
    <x v="29"/>
    <n v="7"/>
    <n v="1"/>
    <x v="1"/>
    <s v="Project"/>
    <s v="A temporary endeavor to create a unique product, service, or result. The end result of a project is also called a deliverable."/>
    <s v=""/>
    <s v=""/>
    <s v=""/>
    <s v=""/>
    <s v=""/>
    <s v=""/>
    <s v=""/>
    <s v=""/>
    <s v=""/>
    <s v=""/>
    <s v=""/>
    <s v=""/>
    <s v=""/>
    <x v="15"/>
  </r>
  <r>
    <x v="0"/>
    <x v="30"/>
    <n v="126"/>
    <m/>
    <x v="2"/>
    <s v=""/>
    <s v=""/>
    <s v=""/>
    <s v=""/>
    <s v=""/>
    <s v=""/>
    <s v=""/>
    <s v=""/>
    <s v=""/>
    <s v=""/>
    <s v=""/>
    <s v=""/>
    <s v=""/>
    <s v=""/>
    <s v=""/>
    <x v="2"/>
  </r>
  <r>
    <x v="0"/>
    <x v="31"/>
    <n v="32"/>
    <n v="1"/>
    <x v="1"/>
    <s v="Project benefits management plan"/>
    <s v="A documented created and maintained by the project sponsor and the project manager. The project benefits management plan defines what benefits the project will create, when the benefits will be realized, and how the benefits will be measured."/>
    <s v=""/>
    <s v=""/>
    <s v=""/>
    <s v=""/>
    <s v=""/>
    <s v=""/>
    <s v=""/>
    <s v=""/>
    <s v=""/>
    <s v=""/>
    <s v=""/>
    <s v=""/>
    <s v=""/>
    <x v="16"/>
  </r>
  <r>
    <x v="0"/>
    <x v="32"/>
    <n v="242"/>
    <m/>
    <x v="2"/>
    <s v=""/>
    <s v=""/>
    <s v=""/>
    <s v=""/>
    <s v=""/>
    <s v=""/>
    <s v=""/>
    <s v=""/>
    <s v=""/>
    <s v=""/>
    <s v=""/>
    <s v=""/>
    <s v=""/>
    <s v=""/>
    <s v=""/>
    <x v="2"/>
  </r>
  <r>
    <x v="0"/>
    <x v="33"/>
    <n v="21"/>
    <n v="1"/>
    <x v="1"/>
    <s v="Project business case"/>
    <s v="Created and maintained by the project sponsor and shows the financial validity of why a project is chartered and launched within the organization. Typically, the project business case is created before the launch of the project and may be used as a go/no-go decision point."/>
    <s v=""/>
    <s v=""/>
    <s v=""/>
    <s v=""/>
    <s v=""/>
    <s v=""/>
    <s v=""/>
    <s v=""/>
    <s v=""/>
    <s v=""/>
    <s v=""/>
    <s v=""/>
    <s v=""/>
    <x v="17"/>
  </r>
  <r>
    <x v="0"/>
    <x v="34"/>
    <n v="273"/>
    <m/>
    <x v="2"/>
    <s v=""/>
    <s v=""/>
    <s v=""/>
    <s v=""/>
    <s v=""/>
    <s v=""/>
    <s v=""/>
    <s v=""/>
    <s v=""/>
    <s v=""/>
    <s v=""/>
    <s v=""/>
    <s v=""/>
    <s v=""/>
    <s v=""/>
    <x v="2"/>
  </r>
  <r>
    <x v="0"/>
    <x v="35"/>
    <n v="19"/>
    <n v="1"/>
    <x v="1"/>
    <s v="Project environment"/>
    <s v="The location and culture of the environment where the project work will reside. The project environment includes the social, economic, and environmental variables the project must work with or around."/>
    <s v=""/>
    <s v=""/>
    <s v=""/>
    <s v=""/>
    <s v=""/>
    <s v=""/>
    <s v=""/>
    <s v=""/>
    <s v=""/>
    <s v=""/>
    <s v=""/>
    <s v=""/>
    <s v=""/>
    <x v="18"/>
  </r>
  <r>
    <x v="0"/>
    <x v="36"/>
    <n v="200"/>
    <m/>
    <x v="2"/>
    <s v=""/>
    <s v=""/>
    <s v=""/>
    <s v=""/>
    <s v=""/>
    <s v=""/>
    <s v=""/>
    <s v=""/>
    <s v=""/>
    <s v=""/>
    <s v=""/>
    <s v=""/>
    <s v=""/>
    <s v=""/>
    <s v=""/>
    <x v="2"/>
  </r>
  <r>
    <x v="0"/>
    <x v="37"/>
    <n v="34"/>
    <n v="1"/>
    <x v="1"/>
    <s v="Project Management Institute (PMI)"/>
    <s v="An organization of project management professionals from around the world, supporting and promoting the careers, values, and concerns of project managers."/>
    <s v=""/>
    <s v=""/>
    <s v=""/>
    <s v=""/>
    <s v=""/>
    <s v=""/>
    <s v=""/>
    <s v=""/>
    <s v=""/>
    <s v=""/>
    <s v=""/>
    <s v=""/>
    <s v=""/>
    <x v="19"/>
  </r>
  <r>
    <x v="0"/>
    <x v="38"/>
    <n v="154"/>
    <m/>
    <x v="2"/>
    <s v=""/>
    <s v=""/>
    <s v=""/>
    <s v=""/>
    <s v=""/>
    <s v=""/>
    <s v=""/>
    <s v=""/>
    <s v=""/>
    <s v=""/>
    <s v=""/>
    <s v=""/>
    <s v=""/>
    <s v=""/>
    <s v=""/>
    <x v="2"/>
  </r>
  <r>
    <x v="0"/>
    <x v="39"/>
    <n v="18"/>
    <n v="1"/>
    <x v="1"/>
    <s v="Project life cycle"/>
    <s v="The phases that make up the project. Project life cycles are unique to the type of work being performed and are not universal to all projects."/>
    <s v=""/>
    <s v=""/>
    <s v=""/>
    <s v=""/>
    <s v=""/>
    <s v=""/>
    <s v=""/>
    <s v=""/>
    <s v=""/>
    <s v=""/>
    <s v=""/>
    <s v=""/>
    <s v=""/>
    <x v="20"/>
  </r>
  <r>
    <x v="0"/>
    <x v="40"/>
    <n v="142"/>
    <m/>
    <x v="2"/>
    <s v=""/>
    <s v=""/>
    <s v=""/>
    <s v=""/>
    <s v=""/>
    <s v=""/>
    <s v=""/>
    <s v=""/>
    <s v=""/>
    <s v=""/>
    <s v=""/>
    <s v=""/>
    <s v=""/>
    <s v=""/>
    <s v=""/>
    <x v="2"/>
  </r>
  <r>
    <x v="0"/>
    <x v="41"/>
    <n v="31"/>
    <n v="1"/>
    <x v="1"/>
    <s v="Project management office (PMO)"/>
    <s v="A central office that oversees all projects within an organization or within a functional department. A PMO supports the project manager through software, training, templates, policies, communication, dispute resolution, and other services."/>
    <s v=""/>
    <s v=""/>
    <s v=""/>
    <s v=""/>
    <s v=""/>
    <s v=""/>
    <s v=""/>
    <s v=""/>
    <s v=""/>
    <s v=""/>
    <s v=""/>
    <s v=""/>
    <s v=""/>
    <x v="21"/>
  </r>
  <r>
    <x v="0"/>
    <x v="42"/>
    <n v="240"/>
    <m/>
    <x v="2"/>
    <s v=""/>
    <s v=""/>
    <s v=""/>
    <s v=""/>
    <s v=""/>
    <s v=""/>
    <s v=""/>
    <s v=""/>
    <s v=""/>
    <s v=""/>
    <s v=""/>
    <s v=""/>
    <s v=""/>
    <s v=""/>
    <s v=""/>
    <x v="2"/>
  </r>
  <r>
    <x v="0"/>
    <x v="43"/>
    <n v="37"/>
    <n v="1"/>
    <x v="1"/>
    <s v="Project Management Professional (PMP)"/>
    <s v="A person who has proven project management experience and has qualified for and then passed the PMP examination."/>
    <s v=""/>
    <s v=""/>
    <s v=""/>
    <s v=""/>
    <s v=""/>
    <s v=""/>
    <s v=""/>
    <s v=""/>
    <s v=""/>
    <s v=""/>
    <s v=""/>
    <s v=""/>
    <s v=""/>
    <x v="22"/>
  </r>
  <r>
    <x v="0"/>
    <x v="44"/>
    <n v="112"/>
    <m/>
    <x v="2"/>
    <s v=""/>
    <s v=""/>
    <s v=""/>
    <s v=""/>
    <s v=""/>
    <s v=""/>
    <s v=""/>
    <s v=""/>
    <s v=""/>
    <s v=""/>
    <s v=""/>
    <s v=""/>
    <s v=""/>
    <s v=""/>
    <s v=""/>
    <x v="2"/>
  </r>
  <r>
    <x v="0"/>
    <x v="45"/>
    <n v="28"/>
    <n v="1"/>
    <x v="1"/>
    <s v="Project portfolio management"/>
    <s v="The management and selection of projects that support an organization’s vision and mission. It is the balance of project priority, risk, reward, and return on investment. This is a senior management process."/>
    <s v=""/>
    <s v=""/>
    <s v=""/>
    <s v=""/>
    <s v=""/>
    <s v=""/>
    <s v=""/>
    <s v=""/>
    <s v=""/>
    <s v=""/>
    <s v=""/>
    <s v=""/>
    <s v=""/>
    <x v="23"/>
  </r>
  <r>
    <x v="0"/>
    <x v="46"/>
    <n v="207"/>
    <m/>
    <x v="2"/>
    <s v=""/>
    <s v=""/>
    <s v=""/>
    <s v=""/>
    <s v=""/>
    <s v=""/>
    <s v=""/>
    <s v=""/>
    <s v=""/>
    <s v=""/>
    <s v=""/>
    <s v=""/>
    <s v=""/>
    <s v=""/>
    <s v=""/>
    <x v="2"/>
  </r>
  <r>
    <x v="0"/>
    <x v="47"/>
    <n v="11"/>
    <n v="1"/>
    <x v="1"/>
    <s v="Subprojects"/>
    <s v="A smaller project managed within a larger, parent project. Subprojects are often contracted work whose deliverable allows the larger project to progress."/>
    <s v="Triple Constraints of Project Management"/>
    <s v="Also known as the Iron Triangle. This theory posits that time, cost, and scope are three constraints that every project has."/>
    <s v=""/>
    <s v=""/>
    <s v=""/>
    <s v=""/>
    <s v=""/>
    <s v=""/>
    <s v=""/>
    <s v=""/>
    <s v=""/>
    <s v=""/>
    <s v=""/>
    <x v="24"/>
  </r>
  <r>
    <x v="0"/>
    <x v="48"/>
    <n v="153"/>
    <m/>
    <x v="2"/>
    <s v=""/>
    <s v=""/>
    <s v=""/>
    <s v=""/>
    <s v=""/>
    <s v=""/>
    <s v=""/>
    <s v=""/>
    <s v=""/>
    <s v=""/>
    <s v=""/>
    <s v=""/>
    <s v=""/>
    <s v=""/>
    <s v=""/>
    <x v="2"/>
  </r>
  <r>
    <x v="0"/>
    <x v="49"/>
    <n v="40"/>
    <m/>
    <x v="3"/>
    <s v=""/>
    <s v=""/>
    <s v=""/>
    <s v=""/>
    <s v=""/>
    <s v=""/>
    <s v=""/>
    <s v=""/>
    <s v=""/>
    <s v=""/>
    <s v=""/>
    <s v=""/>
    <s v=""/>
    <s v=""/>
    <s v=""/>
    <x v="2"/>
  </r>
  <r>
    <x v="0"/>
    <x v="50"/>
    <n v="124"/>
    <m/>
    <x v="4"/>
    <s v=""/>
    <s v=""/>
    <s v=""/>
    <s v=""/>
    <s v=""/>
    <s v=""/>
    <s v=""/>
    <s v=""/>
    <s v=""/>
    <s v=""/>
    <s v=""/>
    <s v=""/>
    <s v=""/>
    <s v=""/>
    <s v=""/>
    <x v="2"/>
  </r>
  <r>
    <x v="0"/>
    <x v="51"/>
    <n v="21"/>
    <n v="1"/>
    <x v="1"/>
    <s v="Work performance data"/>
    <s v="Raw data, observations, and measurements about project components. Work performance data is gathered and stored in the project management information system."/>
    <s v=""/>
    <s v=""/>
    <s v=""/>
    <s v=""/>
    <s v=""/>
    <s v=""/>
    <s v=""/>
    <s v=""/>
    <s v=""/>
    <s v=""/>
    <s v=""/>
    <s v=""/>
    <s v=""/>
    <x v="25"/>
  </r>
  <r>
    <x v="0"/>
    <x v="52"/>
    <n v="157"/>
    <m/>
    <x v="2"/>
    <s v=""/>
    <s v=""/>
    <s v=""/>
    <s v=""/>
    <s v=""/>
    <s v=""/>
    <s v=""/>
    <s v=""/>
    <s v=""/>
    <s v=""/>
    <s v=""/>
    <s v=""/>
    <s v=""/>
    <s v=""/>
    <s v=""/>
    <x v="2"/>
  </r>
  <r>
    <x v="0"/>
    <x v="53"/>
    <n v="28"/>
    <n v="1"/>
    <x v="1"/>
    <s v="Work performance information"/>
    <s v="Work performance information is the processed and analyzed data that will help the project manager make project decisions."/>
    <s v=""/>
    <s v=""/>
    <s v=""/>
    <s v=""/>
    <s v=""/>
    <s v=""/>
    <s v=""/>
    <s v=""/>
    <s v=""/>
    <s v=""/>
    <s v=""/>
    <s v=""/>
    <s v=""/>
    <x v="26"/>
  </r>
  <r>
    <x v="0"/>
    <x v="54"/>
    <n v="122"/>
    <m/>
    <x v="2"/>
    <s v=""/>
    <s v=""/>
    <s v=""/>
    <s v=""/>
    <s v=""/>
    <s v=""/>
    <s v=""/>
    <s v=""/>
    <s v=""/>
    <s v=""/>
    <s v=""/>
    <s v=""/>
    <s v=""/>
    <s v=""/>
    <s v=""/>
    <x v="2"/>
  </r>
  <r>
    <x v="0"/>
    <x v="55"/>
    <n v="24"/>
    <n v="1"/>
    <x v="1"/>
    <s v="Work performance reports"/>
    <s v="Work performance reports is the formatted communication of work performance information. Work performance reports communicate what’s happening in the project through status reports, memos, dashboards, or other modalities."/>
    <s v="Hybrid structure An organization that creates a blend of the functional, matrix, and project-oriented structures. Multidivisional structure Describe organizations that have duplication of efforts within the organization, but not within each department or division of the organization. Project manager has little authority in this structure and the functional manager controls the project budget. Organic or simple Describes a loosely organized business or organization. There likely aren’t big formal departments and people work alongside one another regardless of roles and titles. The project manager likely has little control over the project resources and may not be called a project manager. Organizational process assets Organizational process assets include organizational processes, policies, procedures, and items from a corporate knowledge base. Organizational process assets are grouped into two categories to consider: processes, policies and procedures, and organizational knowledge bases. Organizational Knowledge Repositories Organizational knowledge repositories are the databases, files, and historical information that you can use to help better plan and manage your projects. This is an organizational process asset that is created internally to your organization through the ongoing work of operations and other projects."/>
    <s v="Organizational System A system can create things by working with multiple components that the individual components could not create if they worked alone. The structure of the organization and the governance framework creates constraints that affect how the project manager makes decisions within the project. The organizational system directly affects how the project manager utilizes their power, influence, leadership, and even political capital, to get things done in the environment. Project management office (PMO) A business unit that centralizes the operations and procedures of all projects within the organization. The PMO can be supportive, controlling, or directive. Project-oriented structure An organization that assigns a project team to one project for the duration of the project life cycle. The project manager has high-to-almost-complete project power. Strong matrix structure An organization where organizational resources are pooled into one project team, but the functional managers have less project power than the project manager. Virtual organization Uses a network structure to communicate and interact with other groups and departments. A point of contact exists for each department and these department point of contact receive and send all messages for the department. Weak matrix structure An organization where organizational resources are pooled into one project team, but the functional managers have more project power than the project manager."/>
    <s v=""/>
    <s v=""/>
    <s v=""/>
    <s v=""/>
    <s v=""/>
    <s v=""/>
    <s v=""/>
    <s v=""/>
    <s v=""/>
    <s v=""/>
    <s v=""/>
    <x v="27"/>
  </r>
  <r>
    <x v="0"/>
    <x v="56"/>
    <n v="221"/>
    <m/>
    <x v="2"/>
    <s v=""/>
    <s v=""/>
    <s v=""/>
    <s v=""/>
    <s v=""/>
    <s v=""/>
    <s v=""/>
    <s v=""/>
    <s v=""/>
    <s v=""/>
    <s v=""/>
    <s v=""/>
    <s v=""/>
    <s v=""/>
    <s v=""/>
    <x v="2"/>
  </r>
  <r>
    <x v="0"/>
    <x v="57"/>
    <n v="1341"/>
    <m/>
    <x v="3"/>
    <s v=""/>
    <s v=""/>
    <s v=""/>
    <s v=""/>
    <s v=""/>
    <s v=""/>
    <s v=""/>
    <s v=""/>
    <s v=""/>
    <s v=""/>
    <s v=""/>
    <s v=""/>
    <s v=""/>
    <s v=""/>
    <s v=""/>
    <x v="2"/>
  </r>
  <r>
    <x v="0"/>
    <x v="58"/>
    <n v="1478"/>
    <m/>
    <x v="4"/>
    <s v=""/>
    <s v=""/>
    <s v=""/>
    <s v=""/>
    <s v=""/>
    <s v=""/>
    <s v=""/>
    <s v=""/>
    <s v=""/>
    <s v=""/>
    <s v=""/>
    <s v=""/>
    <s v=""/>
    <s v=""/>
    <s v=""/>
    <x v="2"/>
  </r>
  <r>
    <x v="1"/>
    <x v="59"/>
    <n v="16"/>
    <n v="1"/>
    <x v="1"/>
    <s v="active listening"/>
    <s v="The message receiver restates what’s"/>
    <s v="been said to fully understand and confirm"/>
    <s v="the message and it provides an"/>
    <s v="opportunity for the sender to clarify the"/>
    <s v="message if needed."/>
    <s v=""/>
    <s v=""/>
    <s v=""/>
    <s v=""/>
    <s v=""/>
    <s v=""/>
    <s v=""/>
    <s v=""/>
    <s v=""/>
    <x v="28"/>
  </r>
  <r>
    <x v="1"/>
    <x v="60"/>
    <n v="36"/>
    <m/>
    <x v="2"/>
    <s v=""/>
    <s v=""/>
    <s v=""/>
    <s v=""/>
    <s v=""/>
    <s v=""/>
    <s v=""/>
    <s v=""/>
    <s v=""/>
    <s v=""/>
    <s v=""/>
    <s v=""/>
    <s v=""/>
    <s v=""/>
    <s v=""/>
    <x v="2"/>
  </r>
  <r>
    <x v="1"/>
    <x v="61"/>
    <n v="41"/>
    <m/>
    <x v="3"/>
    <s v=""/>
    <s v=""/>
    <s v=""/>
    <s v=""/>
    <s v=""/>
    <s v=""/>
    <s v=""/>
    <s v=""/>
    <s v=""/>
    <s v=""/>
    <s v=""/>
    <s v=""/>
    <s v=""/>
    <s v=""/>
    <s v=""/>
    <x v="2"/>
  </r>
  <r>
    <x v="1"/>
    <x v="62"/>
    <n v="30"/>
    <m/>
    <x v="4"/>
    <s v=""/>
    <s v=""/>
    <s v=""/>
    <s v=""/>
    <s v=""/>
    <s v=""/>
    <s v=""/>
    <s v=""/>
    <s v=""/>
    <s v=""/>
    <s v=""/>
    <s v=""/>
    <s v=""/>
    <s v=""/>
    <s v=""/>
    <x v="2"/>
  </r>
  <r>
    <x v="1"/>
    <x v="63"/>
    <n v="41"/>
    <m/>
    <x v="5"/>
    <s v=""/>
    <s v=""/>
    <s v=""/>
    <s v=""/>
    <s v=""/>
    <s v=""/>
    <s v=""/>
    <s v=""/>
    <s v=""/>
    <s v=""/>
    <s v=""/>
    <s v=""/>
    <s v=""/>
    <s v=""/>
    <s v=""/>
    <x v="2"/>
  </r>
  <r>
    <x v="1"/>
    <x v="64"/>
    <n v="18"/>
    <m/>
    <x v="6"/>
    <s v=""/>
    <s v=""/>
    <s v=""/>
    <s v=""/>
    <s v=""/>
    <s v=""/>
    <s v=""/>
    <s v=""/>
    <s v=""/>
    <s v=""/>
    <s v=""/>
    <s v=""/>
    <s v=""/>
    <s v=""/>
    <s v=""/>
    <x v="2"/>
  </r>
  <r>
    <x v="1"/>
    <x v="65"/>
    <n v="22"/>
    <n v="1"/>
    <x v="1"/>
    <s v="active problem solving"/>
    <s v="Active problem solving begins with"/>
    <s v="problem definition. Problem definition is"/>
    <s v="the ability to discern between the cause"/>
    <s v="and effect of the problem. Root-cause"/>
    <s v="analysis looks beyond the immediate"/>
    <s v="symptoms to the cause of the"/>
    <s v="symptoms—which then affords"/>
    <s v="opportunities for solutions."/>
    <s v=""/>
    <s v=""/>
    <s v=""/>
    <s v=""/>
    <s v=""/>
    <s v=""/>
    <x v="29"/>
  </r>
  <r>
    <x v="1"/>
    <x v="66"/>
    <n v="34"/>
    <m/>
    <x v="2"/>
    <s v=""/>
    <s v=""/>
    <s v=""/>
    <s v=""/>
    <s v=""/>
    <s v=""/>
    <s v=""/>
    <s v=""/>
    <s v=""/>
    <s v=""/>
    <s v=""/>
    <s v=""/>
    <s v=""/>
    <s v=""/>
    <s v=""/>
    <x v="2"/>
  </r>
  <r>
    <x v="1"/>
    <x v="67"/>
    <n v="41"/>
    <m/>
    <x v="3"/>
    <s v=""/>
    <s v=""/>
    <s v=""/>
    <s v=""/>
    <s v=""/>
    <s v=""/>
    <s v=""/>
    <s v=""/>
    <s v=""/>
    <s v=""/>
    <s v=""/>
    <s v=""/>
    <s v=""/>
    <s v=""/>
    <s v=""/>
    <x v="2"/>
  </r>
  <r>
    <x v="1"/>
    <x v="68"/>
    <n v="40"/>
    <m/>
    <x v="4"/>
    <s v=""/>
    <s v=""/>
    <s v=""/>
    <s v=""/>
    <s v=""/>
    <s v=""/>
    <s v=""/>
    <s v=""/>
    <s v=""/>
    <s v=""/>
    <s v=""/>
    <s v=""/>
    <s v=""/>
    <s v=""/>
    <s v=""/>
    <x v="2"/>
  </r>
  <r>
    <x v="1"/>
    <x v="69"/>
    <n v="37"/>
    <m/>
    <x v="5"/>
    <s v=""/>
    <s v=""/>
    <s v=""/>
    <s v=""/>
    <s v=""/>
    <s v=""/>
    <s v=""/>
    <s v=""/>
    <s v=""/>
    <s v=""/>
    <s v=""/>
    <s v=""/>
    <s v=""/>
    <s v=""/>
    <s v=""/>
    <x v="2"/>
  </r>
  <r>
    <x v="1"/>
    <x v="70"/>
    <n v="35"/>
    <m/>
    <x v="6"/>
    <s v=""/>
    <s v=""/>
    <s v=""/>
    <s v=""/>
    <s v=""/>
    <s v=""/>
    <s v=""/>
    <s v=""/>
    <s v=""/>
    <s v=""/>
    <s v=""/>
    <s v=""/>
    <s v=""/>
    <s v=""/>
    <s v=""/>
    <x v="2"/>
  </r>
  <r>
    <x v="1"/>
    <x v="71"/>
    <n v="28"/>
    <m/>
    <x v="7"/>
    <s v=""/>
    <s v=""/>
    <s v=""/>
    <s v=""/>
    <s v=""/>
    <s v=""/>
    <s v=""/>
    <s v=""/>
    <s v=""/>
    <s v=""/>
    <s v=""/>
    <s v=""/>
    <s v=""/>
    <s v=""/>
    <s v=""/>
    <x v="2"/>
  </r>
  <r>
    <x v="1"/>
    <x v="72"/>
    <n v="27"/>
    <m/>
    <x v="8"/>
    <s v=""/>
    <s v=""/>
    <s v=""/>
    <s v=""/>
    <s v=""/>
    <s v=""/>
    <s v=""/>
    <s v=""/>
    <s v=""/>
    <s v=""/>
    <s v=""/>
    <s v=""/>
    <s v=""/>
    <s v=""/>
    <s v=""/>
    <x v="2"/>
  </r>
  <r>
    <x v="1"/>
    <x v="73"/>
    <n v="28"/>
    <m/>
    <x v="9"/>
    <s v=""/>
    <s v=""/>
    <s v=""/>
    <s v=""/>
    <s v=""/>
    <s v=""/>
    <s v=""/>
    <s v=""/>
    <s v=""/>
    <s v=""/>
    <s v=""/>
    <s v=""/>
    <s v=""/>
    <s v=""/>
    <s v=""/>
    <x v="2"/>
  </r>
  <r>
    <x v="1"/>
    <x v="74"/>
    <n v="14"/>
    <n v="1"/>
    <x v="1"/>
    <s v="avoiding power"/>
    <s v="The project manager refuses to act, get"/>
    <s v="involved, or make decisions."/>
    <s v=""/>
    <s v=""/>
    <s v=""/>
    <s v=""/>
    <s v=""/>
    <s v=""/>
    <s v=""/>
    <s v=""/>
    <s v=""/>
    <s v=""/>
    <s v=""/>
    <s v=""/>
    <x v="30"/>
  </r>
  <r>
    <x v="1"/>
    <x v="75"/>
    <n v="39"/>
    <m/>
    <x v="2"/>
    <s v=""/>
    <s v=""/>
    <s v=""/>
    <s v=""/>
    <s v=""/>
    <s v=""/>
    <s v=""/>
    <s v=""/>
    <s v=""/>
    <s v=""/>
    <s v=""/>
    <s v=""/>
    <s v=""/>
    <s v=""/>
    <s v=""/>
    <x v="2"/>
  </r>
  <r>
    <x v="1"/>
    <x v="76"/>
    <n v="28"/>
    <m/>
    <x v="3"/>
    <s v=""/>
    <s v=""/>
    <s v=""/>
    <s v=""/>
    <s v=""/>
    <s v=""/>
    <s v=""/>
    <s v=""/>
    <s v=""/>
    <s v=""/>
    <s v=""/>
    <s v=""/>
    <s v=""/>
    <s v=""/>
    <s v=""/>
    <x v="2"/>
  </r>
  <r>
    <x v="1"/>
    <x v="77"/>
    <n v="22"/>
    <n v="1"/>
    <x v="1"/>
    <s v="charismatic leadership"/>
    <s v="The leader is motivating, has highenergy,"/>
    <s v="and inspires the team through"/>
    <s v="strong convictions about what’s possible"/>
    <s v="and what the team can achieve. Positive"/>
    <s v="thinking and a can-do mentality are"/>
    <s v="characteristics of a charismatic leader."/>
    <s v=""/>
    <s v=""/>
    <s v=""/>
    <s v=""/>
    <s v=""/>
    <s v=""/>
    <s v=""/>
    <s v=""/>
    <x v="31"/>
  </r>
  <r>
    <x v="1"/>
    <x v="78"/>
    <n v="41"/>
    <m/>
    <x v="2"/>
    <s v=""/>
    <s v=""/>
    <s v=""/>
    <s v=""/>
    <s v=""/>
    <s v=""/>
    <s v=""/>
    <s v=""/>
    <s v=""/>
    <s v=""/>
    <s v=""/>
    <s v=""/>
    <s v=""/>
    <s v=""/>
    <s v=""/>
    <x v="2"/>
  </r>
  <r>
    <x v="1"/>
    <x v="79"/>
    <n v="29"/>
    <m/>
    <x v="3"/>
    <s v=""/>
    <s v=""/>
    <s v=""/>
    <s v=""/>
    <s v=""/>
    <s v=""/>
    <s v=""/>
    <s v=""/>
    <s v=""/>
    <s v=""/>
    <s v=""/>
    <s v=""/>
    <s v=""/>
    <s v=""/>
    <s v=""/>
    <x v="2"/>
  </r>
  <r>
    <x v="1"/>
    <x v="80"/>
    <n v="40"/>
    <m/>
    <x v="4"/>
    <s v=""/>
    <s v=""/>
    <s v=""/>
    <s v=""/>
    <s v=""/>
    <s v=""/>
    <s v=""/>
    <s v=""/>
    <s v=""/>
    <s v=""/>
    <s v=""/>
    <s v=""/>
    <s v=""/>
    <s v=""/>
    <s v=""/>
    <x v="2"/>
  </r>
  <r>
    <x v="1"/>
    <x v="81"/>
    <n v="39"/>
    <m/>
    <x v="5"/>
    <s v=""/>
    <s v=""/>
    <s v=""/>
    <s v=""/>
    <s v=""/>
    <s v=""/>
    <s v=""/>
    <s v=""/>
    <s v=""/>
    <s v=""/>
    <s v=""/>
    <s v=""/>
    <s v=""/>
    <s v=""/>
    <s v=""/>
    <x v="2"/>
  </r>
  <r>
    <x v="1"/>
    <x v="82"/>
    <n v="35"/>
    <m/>
    <x v="6"/>
    <s v=""/>
    <s v=""/>
    <s v=""/>
    <s v=""/>
    <s v=""/>
    <s v=""/>
    <s v=""/>
    <s v=""/>
    <s v=""/>
    <s v=""/>
    <s v=""/>
    <s v=""/>
    <s v=""/>
    <s v=""/>
    <s v=""/>
    <x v="2"/>
  </r>
  <r>
    <x v="1"/>
    <x v="83"/>
    <n v="40"/>
    <m/>
    <x v="7"/>
    <s v=""/>
    <s v=""/>
    <s v=""/>
    <s v=""/>
    <s v=""/>
    <s v=""/>
    <s v=""/>
    <s v=""/>
    <s v=""/>
    <s v=""/>
    <s v=""/>
    <s v=""/>
    <s v=""/>
    <s v=""/>
    <s v=""/>
    <x v="2"/>
  </r>
  <r>
    <x v="1"/>
    <x v="84"/>
    <n v="12"/>
    <n v="1"/>
    <x v="1"/>
    <s v="expert power"/>
    <s v="The project manager has deep skills and"/>
    <s v="experience in a discipline (for example,"/>
    <s v="years of working in IT helps an IT project"/>
    <s v="manager better manage IT projects)."/>
    <s v="ingratiating power"/>
    <s v="The project manager aims to gain favor"/>
    <s v="with the project team and stakeholders"/>
    <s v="through flattery."/>
    <s v=""/>
    <s v=""/>
    <s v=""/>
    <s v=""/>
    <s v=""/>
    <s v=""/>
    <x v="32"/>
  </r>
  <r>
    <x v="1"/>
    <x v="85"/>
    <n v="39"/>
    <m/>
    <x v="2"/>
    <s v=""/>
    <s v=""/>
    <s v=""/>
    <s v=""/>
    <s v=""/>
    <s v=""/>
    <s v=""/>
    <s v=""/>
    <s v=""/>
    <s v=""/>
    <s v=""/>
    <s v=""/>
    <s v=""/>
    <s v=""/>
    <s v=""/>
    <x v="2"/>
  </r>
  <r>
    <x v="1"/>
    <x v="86"/>
    <n v="40"/>
    <m/>
    <x v="3"/>
    <s v=""/>
    <s v=""/>
    <s v=""/>
    <s v=""/>
    <s v=""/>
    <s v=""/>
    <s v=""/>
    <s v=""/>
    <s v=""/>
    <s v=""/>
    <s v=""/>
    <s v=""/>
    <s v=""/>
    <s v=""/>
    <s v=""/>
    <x v="2"/>
  </r>
  <r>
    <x v="1"/>
    <x v="87"/>
    <n v="42"/>
    <m/>
    <x v="4"/>
    <s v=""/>
    <s v=""/>
    <s v=""/>
    <s v=""/>
    <s v=""/>
    <s v=""/>
    <s v=""/>
    <s v=""/>
    <s v=""/>
    <s v=""/>
    <s v=""/>
    <s v=""/>
    <s v=""/>
    <s v=""/>
    <s v=""/>
    <x v="2"/>
  </r>
  <r>
    <x v="1"/>
    <x v="88"/>
    <n v="35"/>
    <m/>
    <x v="5"/>
    <s v=""/>
    <s v=""/>
    <s v=""/>
    <s v=""/>
    <s v=""/>
    <s v=""/>
    <s v=""/>
    <s v=""/>
    <s v=""/>
    <s v=""/>
    <s v=""/>
    <s v=""/>
    <s v=""/>
    <s v=""/>
    <s v=""/>
    <x v="2"/>
  </r>
  <r>
    <x v="1"/>
    <x v="89"/>
    <n v="18"/>
    <m/>
    <x v="6"/>
    <s v=""/>
    <s v=""/>
    <s v=""/>
    <s v=""/>
    <s v=""/>
    <s v=""/>
    <s v=""/>
    <s v=""/>
    <s v=""/>
    <s v=""/>
    <s v=""/>
    <s v=""/>
    <s v=""/>
    <s v=""/>
    <s v=""/>
    <x v="2"/>
  </r>
  <r>
    <x v="1"/>
    <x v="90"/>
    <n v="38"/>
    <m/>
    <x v="7"/>
    <s v=""/>
    <s v=""/>
    <s v=""/>
    <s v=""/>
    <s v=""/>
    <s v=""/>
    <s v=""/>
    <s v=""/>
    <s v=""/>
    <s v=""/>
    <s v=""/>
    <s v=""/>
    <s v=""/>
    <s v=""/>
    <s v=""/>
    <x v="2"/>
  </r>
  <r>
    <x v="1"/>
    <x v="91"/>
    <n v="38"/>
    <m/>
    <x v="8"/>
    <s v=""/>
    <s v=""/>
    <s v=""/>
    <s v=""/>
    <s v=""/>
    <s v=""/>
    <s v=""/>
    <s v=""/>
    <s v=""/>
    <s v=""/>
    <s v=""/>
    <s v=""/>
    <s v=""/>
    <s v=""/>
    <s v=""/>
    <x v="2"/>
  </r>
  <r>
    <x v="1"/>
    <x v="92"/>
    <n v="17"/>
    <m/>
    <x v="9"/>
    <s v=""/>
    <s v=""/>
    <s v=""/>
    <s v=""/>
    <s v=""/>
    <s v=""/>
    <s v=""/>
    <s v=""/>
    <s v=""/>
    <s v=""/>
    <s v=""/>
    <s v=""/>
    <s v=""/>
    <s v=""/>
    <s v=""/>
    <x v="2"/>
  </r>
  <r>
    <x v="1"/>
    <x v="93"/>
    <n v="19"/>
    <n v="1"/>
    <x v="1"/>
    <s v="informational power"/>
    <s v="The individual has power and control of"/>
    <s v="the data gathering and distribution of"/>
    <s v="information."/>
    <s v="interactional leadership The leader is a hybrid of transactional, transformational, and charismatic leaders. The interactional leader wants the team to act, is excited and inspired about the project work, yet still holds the team accountable for their results. guilt-based power The project manager can make the team and stakeholders feel guilty to gain compliance in the project. leadership Leadership is about aligning, motivating, and inspiring the project team members to do the right thing, build trust, think creatively, and to challenge the status quo. laissez-faire leadership The leader takes a “hands-off” approach to the project. This means the project team makes decisions, takes initiative in the actions, and creates goals. While this approach can provide autonomy, it can make the leader appear absent when it comes to project decisions. management Management utilizes positional power to maintain, administrate, control, and focus on getting things done without challenging the status quo of the project and organization. media selection Based on the audience and the message being sent, the media should be in alignment with the message. meeting management Meetings are forms of communication. How the meeting is led, managed, and controlled all influence the message being delivered. Agendas, minutes, and order are mandatory for effective communications within a meeting. personal or charismatic power The project manager has a warm personality that others like."/>
    <s v="presentation"/>
    <s v="In formal presentations, the presenter’s"/>
    <s v="oral and body language, visual aids, and"/>
    <s v="handouts all influence the message being"/>
    <s v="delivered."/>
    <s v=""/>
    <s v=""/>
    <s v=""/>
    <s v=""/>
    <s v=""/>
    <x v="33"/>
  </r>
  <r>
    <x v="1"/>
    <x v="94"/>
    <n v="39"/>
    <m/>
    <x v="2"/>
    <s v=""/>
    <s v=""/>
    <s v=""/>
    <s v=""/>
    <s v=""/>
    <s v=""/>
    <s v=""/>
    <s v=""/>
    <s v=""/>
    <s v=""/>
    <s v=""/>
    <s v=""/>
    <s v=""/>
    <s v=""/>
    <s v=""/>
    <x v="2"/>
  </r>
  <r>
    <x v="1"/>
    <x v="95"/>
    <n v="38"/>
    <m/>
    <x v="3"/>
    <s v=""/>
    <s v=""/>
    <s v=""/>
    <s v=""/>
    <s v=""/>
    <s v=""/>
    <s v=""/>
    <s v=""/>
    <s v=""/>
    <s v=""/>
    <s v=""/>
    <s v=""/>
    <s v=""/>
    <s v=""/>
    <s v=""/>
    <x v="2"/>
  </r>
  <r>
    <x v="1"/>
    <x v="96"/>
    <n v="12"/>
    <m/>
    <x v="4"/>
    <s v=""/>
    <s v=""/>
    <s v=""/>
    <s v=""/>
    <s v=""/>
    <s v=""/>
    <s v=""/>
    <s v=""/>
    <s v=""/>
    <s v=""/>
    <s v=""/>
    <s v=""/>
    <s v=""/>
    <s v=""/>
    <s v=""/>
    <x v="2"/>
  </r>
  <r>
    <x v="1"/>
    <x v="97"/>
    <n v="1481"/>
    <m/>
    <x v="5"/>
    <s v=""/>
    <s v=""/>
    <s v=""/>
    <s v=""/>
    <s v=""/>
    <s v=""/>
    <s v=""/>
    <s v=""/>
    <s v=""/>
    <s v=""/>
    <s v=""/>
    <s v=""/>
    <s v=""/>
    <s v=""/>
    <s v=""/>
    <x v="2"/>
  </r>
  <r>
    <x v="1"/>
    <x v="98"/>
    <n v="12"/>
    <m/>
    <x v="6"/>
    <s v=""/>
    <s v=""/>
    <s v=""/>
    <s v=""/>
    <s v=""/>
    <s v=""/>
    <s v=""/>
    <s v=""/>
    <s v=""/>
    <s v=""/>
    <s v=""/>
    <s v=""/>
    <s v=""/>
    <s v=""/>
    <s v=""/>
    <x v="2"/>
  </r>
  <r>
    <x v="1"/>
    <x v="99"/>
    <n v="40"/>
    <m/>
    <x v="7"/>
    <s v=""/>
    <s v=""/>
    <s v=""/>
    <s v=""/>
    <s v=""/>
    <s v=""/>
    <s v=""/>
    <s v=""/>
    <s v=""/>
    <s v=""/>
    <s v=""/>
    <s v=""/>
    <s v=""/>
    <s v=""/>
    <s v=""/>
    <x v="2"/>
  </r>
  <r>
    <x v="1"/>
    <x v="100"/>
    <n v="40"/>
    <m/>
    <x v="8"/>
    <s v=""/>
    <s v=""/>
    <s v=""/>
    <s v=""/>
    <s v=""/>
    <s v=""/>
    <s v=""/>
    <s v=""/>
    <s v=""/>
    <s v=""/>
    <s v=""/>
    <s v=""/>
    <s v=""/>
    <s v=""/>
    <s v=""/>
    <x v="2"/>
  </r>
  <r>
    <x v="1"/>
    <x v="101"/>
    <n v="40"/>
    <m/>
    <x v="9"/>
    <s v=""/>
    <s v=""/>
    <s v=""/>
    <s v=""/>
    <s v=""/>
    <s v=""/>
    <s v=""/>
    <s v=""/>
    <s v=""/>
    <s v=""/>
    <s v=""/>
    <s v=""/>
    <s v=""/>
    <s v=""/>
    <s v=""/>
    <x v="2"/>
  </r>
  <r>
    <x v="1"/>
    <x v="102"/>
    <n v="10"/>
    <m/>
    <x v="10"/>
    <s v=""/>
    <s v=""/>
    <s v=""/>
    <s v=""/>
    <s v=""/>
    <s v=""/>
    <s v=""/>
    <s v=""/>
    <s v=""/>
    <s v=""/>
    <s v=""/>
    <s v=""/>
    <s v=""/>
    <s v=""/>
    <s v=""/>
    <x v="2"/>
  </r>
  <r>
    <x v="1"/>
    <x v="103"/>
    <n v="20"/>
    <n v="1"/>
    <x v="1"/>
    <s v="pressure-based power"/>
    <s v="The project manager can restrict choices"/>
    <s v="to get the project team to perform and do"/>
    <s v="the project work."/>
    <s v=""/>
    <s v=""/>
    <s v=""/>
    <s v=""/>
    <s v=""/>
    <s v=""/>
    <s v=""/>
    <s v=""/>
    <s v=""/>
    <s v=""/>
    <s v=""/>
    <x v="34"/>
  </r>
  <r>
    <x v="1"/>
    <x v="104"/>
    <n v="40"/>
    <m/>
    <x v="2"/>
    <s v=""/>
    <s v=""/>
    <s v=""/>
    <s v=""/>
    <s v=""/>
    <s v=""/>
    <s v=""/>
    <s v=""/>
    <s v=""/>
    <s v=""/>
    <s v=""/>
    <s v=""/>
    <s v=""/>
    <s v=""/>
    <s v=""/>
    <x v="2"/>
  </r>
  <r>
    <x v="1"/>
    <x v="105"/>
    <n v="41"/>
    <m/>
    <x v="3"/>
    <s v=""/>
    <s v=""/>
    <s v=""/>
    <s v=""/>
    <s v=""/>
    <s v=""/>
    <s v=""/>
    <s v=""/>
    <s v=""/>
    <s v=""/>
    <s v=""/>
    <s v=""/>
    <s v=""/>
    <s v=""/>
    <s v=""/>
    <x v="2"/>
  </r>
  <r>
    <x v="1"/>
    <x v="106"/>
    <n v="17"/>
    <m/>
    <x v="4"/>
    <s v=""/>
    <s v=""/>
    <s v=""/>
    <s v=""/>
    <s v=""/>
    <s v=""/>
    <s v=""/>
    <s v=""/>
    <s v=""/>
    <s v=""/>
    <s v=""/>
    <s v=""/>
    <s v=""/>
    <s v=""/>
    <s v=""/>
    <x v="2"/>
  </r>
  <r>
    <x v="1"/>
    <x v="107"/>
    <n v="19"/>
    <n v="1"/>
    <x v="1"/>
    <s v="PMI Talent Triangle"/>
    <s v="Defines three areas of PDUs for PMI"/>
    <s v="certified professionals to maintain their"/>
    <s v="certification. The PMI Talent Triangle"/>
    <s v="includes technical project management,"/>
    <s v="leadership, and strategic and business"/>
    <s v="management."/>
    <s v=""/>
    <s v=""/>
    <s v=""/>
    <s v=""/>
    <s v=""/>
    <s v=""/>
    <s v=""/>
    <s v=""/>
    <x v="35"/>
  </r>
  <r>
    <x v="1"/>
    <x v="108"/>
    <n v="35"/>
    <m/>
    <x v="2"/>
    <s v=""/>
    <s v=""/>
    <s v=""/>
    <s v=""/>
    <s v=""/>
    <s v=""/>
    <s v=""/>
    <s v=""/>
    <s v=""/>
    <s v=""/>
    <s v=""/>
    <s v=""/>
    <s v=""/>
    <s v=""/>
    <s v=""/>
    <x v="2"/>
  </r>
  <r>
    <x v="1"/>
    <x v="109"/>
    <n v="41"/>
    <m/>
    <x v="3"/>
    <s v=""/>
    <s v=""/>
    <s v=""/>
    <s v=""/>
    <s v=""/>
    <s v=""/>
    <s v=""/>
    <s v=""/>
    <s v=""/>
    <s v=""/>
    <s v=""/>
    <s v=""/>
    <s v=""/>
    <s v=""/>
    <s v=""/>
    <x v="2"/>
  </r>
  <r>
    <x v="1"/>
    <x v="110"/>
    <n v="38"/>
    <m/>
    <x v="4"/>
    <s v=""/>
    <s v=""/>
    <s v=""/>
    <s v=""/>
    <s v=""/>
    <s v=""/>
    <s v=""/>
    <s v=""/>
    <s v=""/>
    <s v=""/>
    <s v=""/>
    <s v=""/>
    <s v=""/>
    <s v=""/>
    <s v=""/>
    <x v="2"/>
  </r>
  <r>
    <x v="1"/>
    <x v="111"/>
    <n v="38"/>
    <m/>
    <x v="5"/>
    <s v=""/>
    <s v=""/>
    <s v=""/>
    <s v=""/>
    <s v=""/>
    <s v=""/>
    <s v=""/>
    <s v=""/>
    <s v=""/>
    <s v=""/>
    <s v=""/>
    <s v=""/>
    <s v=""/>
    <s v=""/>
    <s v=""/>
    <x v="2"/>
  </r>
  <r>
    <x v="1"/>
    <x v="112"/>
    <n v="38"/>
    <m/>
    <x v="6"/>
    <s v=""/>
    <s v=""/>
    <s v=""/>
    <s v=""/>
    <s v=""/>
    <s v=""/>
    <s v=""/>
    <s v=""/>
    <s v=""/>
    <s v=""/>
    <s v=""/>
    <s v=""/>
    <s v=""/>
    <s v=""/>
    <s v=""/>
    <x v="2"/>
  </r>
  <r>
    <x v="1"/>
    <x v="113"/>
    <n v="11"/>
    <m/>
    <x v="7"/>
    <s v=""/>
    <s v=""/>
    <s v=""/>
    <s v=""/>
    <s v=""/>
    <s v=""/>
    <s v=""/>
    <s v=""/>
    <s v=""/>
    <s v=""/>
    <s v=""/>
    <s v=""/>
    <s v=""/>
    <s v=""/>
    <s v=""/>
    <x v="2"/>
  </r>
  <r>
    <x v="1"/>
    <x v="114"/>
    <n v="16"/>
    <n v="1"/>
    <x v="1"/>
    <s v="positional power"/>
    <s v="The project manager’s power is because"/>
    <s v="of the position she has as the project"/>
    <s v="manager. This is also known as formal,"/>
    <s v="authoritative, and legitimate power."/>
    <s v=""/>
    <s v=""/>
    <s v=""/>
    <s v=""/>
    <s v=""/>
    <s v=""/>
    <s v=""/>
    <s v=""/>
    <s v=""/>
    <s v=""/>
    <x v="36"/>
  </r>
  <r>
    <x v="1"/>
    <x v="115"/>
    <n v="38"/>
    <m/>
    <x v="2"/>
    <s v=""/>
    <s v=""/>
    <s v=""/>
    <s v=""/>
    <s v=""/>
    <s v=""/>
    <s v=""/>
    <s v=""/>
    <s v=""/>
    <s v=""/>
    <s v=""/>
    <s v=""/>
    <s v=""/>
    <s v=""/>
    <s v=""/>
    <x v="2"/>
  </r>
  <r>
    <x v="1"/>
    <x v="116"/>
    <n v="38"/>
    <m/>
    <x v="3"/>
    <s v=""/>
    <s v=""/>
    <s v=""/>
    <s v=""/>
    <s v=""/>
    <s v=""/>
    <s v=""/>
    <s v=""/>
    <s v=""/>
    <s v=""/>
    <s v=""/>
    <s v=""/>
    <s v=""/>
    <s v=""/>
    <s v=""/>
    <x v="2"/>
  </r>
  <r>
    <x v="1"/>
    <x v="117"/>
    <n v="38"/>
    <m/>
    <x v="4"/>
    <s v=""/>
    <s v=""/>
    <s v=""/>
    <s v=""/>
    <s v=""/>
    <s v=""/>
    <s v=""/>
    <s v=""/>
    <s v=""/>
    <s v=""/>
    <s v=""/>
    <s v=""/>
    <s v=""/>
    <s v=""/>
    <s v=""/>
    <x v="2"/>
  </r>
  <r>
    <x v="1"/>
    <x v="118"/>
    <n v="36"/>
    <m/>
    <x v="5"/>
    <s v=""/>
    <s v=""/>
    <s v=""/>
    <s v=""/>
    <s v=""/>
    <s v=""/>
    <s v=""/>
    <s v=""/>
    <s v=""/>
    <s v=""/>
    <s v=""/>
    <s v=""/>
    <s v=""/>
    <s v=""/>
    <s v=""/>
    <x v="2"/>
  </r>
  <r>
    <x v="1"/>
    <x v="119"/>
    <n v="37"/>
    <n v="1"/>
    <x v="1"/>
    <s v="Professional Development Units (PDUs)"/>
    <s v="PDUs are earned after the PMP to"/>
    <s v="maintain the PMP certification. PMPs are"/>
    <s v="required to earn 60 PDUs per three-year"/>
    <s v="certification cycle. Of the 60 PDUs, a"/>
    <s v="minimum of 35 hours must come from"/>
    <s v="educational opportunities."/>
    <s v=""/>
    <s v=""/>
    <s v=""/>
    <s v=""/>
    <s v=""/>
    <s v=""/>
    <s v=""/>
    <s v=""/>
    <x v="37"/>
  </r>
  <r>
    <x v="1"/>
    <x v="120"/>
    <n v="32"/>
    <m/>
    <x v="2"/>
    <s v=""/>
    <s v=""/>
    <s v=""/>
    <s v=""/>
    <s v=""/>
    <s v=""/>
    <s v=""/>
    <s v=""/>
    <s v=""/>
    <s v=""/>
    <s v=""/>
    <s v=""/>
    <s v=""/>
    <s v=""/>
    <s v=""/>
    <x v="2"/>
  </r>
  <r>
    <x v="1"/>
    <x v="121"/>
    <n v="40"/>
    <m/>
    <x v="3"/>
    <s v=""/>
    <s v=""/>
    <s v=""/>
    <s v=""/>
    <s v=""/>
    <s v=""/>
    <s v=""/>
    <s v=""/>
    <s v=""/>
    <s v=""/>
    <s v=""/>
    <s v=""/>
    <s v=""/>
    <s v=""/>
    <s v=""/>
    <x v="2"/>
  </r>
  <r>
    <x v="1"/>
    <x v="122"/>
    <n v="39"/>
    <m/>
    <x v="4"/>
    <s v=""/>
    <s v=""/>
    <s v=""/>
    <s v=""/>
    <s v=""/>
    <s v=""/>
    <s v=""/>
    <s v=""/>
    <s v=""/>
    <s v=""/>
    <s v=""/>
    <s v=""/>
    <s v=""/>
    <s v=""/>
    <s v=""/>
    <x v="2"/>
  </r>
  <r>
    <x v="1"/>
    <x v="123"/>
    <n v="38"/>
    <m/>
    <x v="5"/>
    <s v=""/>
    <s v=""/>
    <s v=""/>
    <s v=""/>
    <s v=""/>
    <s v=""/>
    <s v=""/>
    <s v=""/>
    <s v=""/>
    <s v=""/>
    <s v=""/>
    <s v=""/>
    <s v=""/>
    <s v=""/>
    <s v=""/>
    <x v="2"/>
  </r>
  <r>
    <x v="1"/>
    <x v="124"/>
    <n v="34"/>
    <m/>
    <x v="6"/>
    <s v=""/>
    <s v=""/>
    <s v=""/>
    <s v=""/>
    <s v=""/>
    <s v=""/>
    <s v=""/>
    <s v=""/>
    <s v=""/>
    <s v=""/>
    <s v=""/>
    <s v=""/>
    <s v=""/>
    <s v=""/>
    <s v=""/>
    <x v="2"/>
  </r>
  <r>
    <x v="1"/>
    <x v="125"/>
    <n v="26"/>
    <m/>
    <x v="7"/>
    <s v=""/>
    <s v=""/>
    <s v=""/>
    <s v=""/>
    <s v=""/>
    <s v=""/>
    <s v=""/>
    <s v=""/>
    <s v=""/>
    <s v=""/>
    <s v=""/>
    <s v=""/>
    <s v=""/>
    <s v=""/>
    <s v=""/>
    <x v="2"/>
  </r>
  <r>
    <x v="1"/>
    <x v="126"/>
    <n v="15"/>
    <n v="1"/>
    <x v="1"/>
    <s v="project manager"/>
    <s v="The role of leading the project team and"/>
    <s v="managing the project resources to"/>
    <s v="effectively achieve the objectives of the"/>
    <s v="project."/>
    <s v="punitive or coercive power"/>
    <s v="The project manager can punish the"/>
    <s v="project team."/>
    <s v=""/>
    <s v=""/>
    <s v=""/>
    <s v=""/>
    <s v=""/>
    <s v=""/>
    <s v=""/>
    <x v="38"/>
  </r>
  <r>
    <x v="1"/>
    <x v="127"/>
    <n v="40"/>
    <m/>
    <x v="2"/>
    <s v=""/>
    <s v=""/>
    <s v=""/>
    <s v=""/>
    <s v=""/>
    <s v=""/>
    <s v=""/>
    <s v=""/>
    <s v=""/>
    <s v=""/>
    <s v=""/>
    <s v=""/>
    <s v=""/>
    <s v=""/>
    <s v=""/>
    <x v="2"/>
  </r>
  <r>
    <x v="1"/>
    <x v="128"/>
    <n v="33"/>
    <m/>
    <x v="3"/>
    <s v=""/>
    <s v=""/>
    <s v=""/>
    <s v=""/>
    <s v=""/>
    <s v=""/>
    <s v=""/>
    <s v=""/>
    <s v=""/>
    <s v=""/>
    <s v=""/>
    <s v=""/>
    <s v=""/>
    <s v=""/>
    <s v=""/>
    <x v="2"/>
  </r>
  <r>
    <x v="1"/>
    <x v="129"/>
    <n v="41"/>
    <m/>
    <x v="4"/>
    <s v=""/>
    <s v=""/>
    <s v=""/>
    <s v=""/>
    <s v=""/>
    <s v=""/>
    <s v=""/>
    <s v=""/>
    <s v=""/>
    <s v=""/>
    <s v=""/>
    <s v=""/>
    <s v=""/>
    <s v=""/>
    <s v=""/>
    <x v="2"/>
  </r>
  <r>
    <x v="1"/>
    <x v="130"/>
    <n v="8"/>
    <m/>
    <x v="5"/>
    <s v=""/>
    <s v=""/>
    <s v=""/>
    <s v=""/>
    <s v=""/>
    <s v=""/>
    <s v=""/>
    <s v=""/>
    <s v=""/>
    <s v=""/>
    <s v=""/>
    <s v=""/>
    <s v=""/>
    <s v=""/>
    <s v=""/>
    <x v="2"/>
  </r>
  <r>
    <x v="1"/>
    <x v="131"/>
    <n v="26"/>
    <m/>
    <x v="6"/>
    <s v=""/>
    <s v=""/>
    <s v=""/>
    <s v=""/>
    <s v=""/>
    <s v=""/>
    <s v=""/>
    <s v=""/>
    <s v=""/>
    <s v=""/>
    <s v=""/>
    <s v=""/>
    <s v=""/>
    <s v=""/>
    <s v=""/>
    <x v="2"/>
  </r>
  <r>
    <x v="1"/>
    <x v="132"/>
    <n v="34"/>
    <m/>
    <x v="7"/>
    <s v=""/>
    <s v=""/>
    <s v=""/>
    <s v=""/>
    <s v=""/>
    <s v=""/>
    <s v=""/>
    <s v=""/>
    <s v=""/>
    <s v=""/>
    <s v=""/>
    <s v=""/>
    <s v=""/>
    <s v=""/>
    <s v=""/>
    <x v="2"/>
  </r>
  <r>
    <x v="1"/>
    <x v="133"/>
    <n v="13"/>
    <m/>
    <x v="8"/>
    <s v=""/>
    <s v=""/>
    <s v=""/>
    <s v=""/>
    <s v=""/>
    <s v=""/>
    <s v=""/>
    <s v=""/>
    <s v=""/>
    <s v=""/>
    <s v=""/>
    <s v=""/>
    <s v=""/>
    <s v=""/>
    <s v=""/>
    <x v="2"/>
  </r>
  <r>
    <x v="1"/>
    <x v="134"/>
    <n v="14"/>
    <n v="1"/>
    <x v="1"/>
    <s v="referent power"/>
    <s v="The project manager is respected or"/>
    <s v="admired because of the team’s past"/>
    <s v="experiences with the project manager."/>
    <s v="This is about the project manager’s"/>
    <s v="credibility in the organization."/>
    <s v=""/>
    <s v=""/>
    <s v=""/>
    <s v=""/>
    <s v=""/>
    <s v=""/>
    <s v=""/>
    <s v=""/>
    <s v=""/>
    <x v="39"/>
  </r>
  <r>
    <x v="1"/>
    <x v="135"/>
    <n v="35"/>
    <m/>
    <x v="2"/>
    <s v=""/>
    <s v=""/>
    <s v=""/>
    <s v=""/>
    <s v=""/>
    <s v=""/>
    <s v=""/>
    <s v=""/>
    <s v=""/>
    <s v=""/>
    <s v=""/>
    <s v=""/>
    <s v=""/>
    <s v=""/>
    <s v=""/>
    <x v="2"/>
  </r>
  <r>
    <x v="1"/>
    <x v="136"/>
    <n v="34"/>
    <m/>
    <x v="3"/>
    <s v=""/>
    <s v=""/>
    <s v=""/>
    <s v=""/>
    <s v=""/>
    <s v=""/>
    <s v=""/>
    <s v=""/>
    <s v=""/>
    <s v=""/>
    <s v=""/>
    <s v=""/>
    <s v=""/>
    <s v=""/>
    <s v=""/>
    <x v="2"/>
  </r>
  <r>
    <x v="1"/>
    <x v="137"/>
    <n v="37"/>
    <m/>
    <x v="4"/>
    <s v=""/>
    <s v=""/>
    <s v=""/>
    <s v=""/>
    <s v=""/>
    <s v=""/>
    <s v=""/>
    <s v=""/>
    <s v=""/>
    <s v=""/>
    <s v=""/>
    <s v=""/>
    <s v=""/>
    <s v=""/>
    <s v=""/>
    <x v="2"/>
  </r>
  <r>
    <x v="1"/>
    <x v="138"/>
    <n v="35"/>
    <m/>
    <x v="5"/>
    <s v=""/>
    <s v=""/>
    <s v=""/>
    <s v=""/>
    <s v=""/>
    <s v=""/>
    <s v=""/>
    <s v=""/>
    <s v=""/>
    <s v=""/>
    <s v=""/>
    <s v=""/>
    <s v=""/>
    <s v=""/>
    <s v=""/>
    <x v="2"/>
  </r>
  <r>
    <x v="1"/>
    <x v="139"/>
    <n v="32"/>
    <m/>
    <x v="6"/>
    <s v=""/>
    <s v=""/>
    <s v=""/>
    <s v=""/>
    <s v=""/>
    <s v=""/>
    <s v=""/>
    <s v=""/>
    <s v=""/>
    <s v=""/>
    <s v=""/>
    <s v=""/>
    <s v=""/>
    <s v=""/>
    <s v=""/>
    <x v="2"/>
  </r>
  <r>
    <x v="1"/>
    <x v="140"/>
    <n v="12"/>
    <n v="1"/>
    <x v="1"/>
    <s v="reward power"/>
    <s v="The project manager can reward the"/>
    <s v="project team."/>
    <s v="sender-receiver models Communication requires a sender and a receiver. Within this model may be multiple avenues to complete the flow of communication, but barriers to effective communication may be present as well. servant leadership The leader puts others first and focuses on the needs of the people he serves. Servant leaders provide opportunity for growth, education, autonomy within the project, and the well-being of others. The primary focus of servant leadership is service to others. situational power The project manager has power because of certain situations in the organization. style The tone, structure, and formality of the message being sent should be in alignment with the audience and the content of the message. transactional leadership The leader emphasizes the goals of the project and rewards and disincentives for the project team. This is sometimes called management by exception as it’s the exception that is reward or punished. transformational leadership The leader inspires and motivates the project team to achieve the project goals. Transformational leaders aim to empower the project team to act, be innovative in the project work, and accomplish through ambition."/>
    <s v="or fold page in half. Read the term, recite"/>
    <s v="the definition, and then look at this side of"/>
    <s v=""/>
    <s v=""/>
    <s v=""/>
    <s v=""/>
    <s v=""/>
    <s v=""/>
    <s v=""/>
    <s v=""/>
    <s v=""/>
    <x v="40"/>
  </r>
  <r>
    <x v="1"/>
    <x v="141"/>
    <n v="34"/>
    <m/>
    <x v="2"/>
    <s v=""/>
    <s v=""/>
    <s v=""/>
    <s v=""/>
    <s v=""/>
    <s v=""/>
    <s v=""/>
    <s v=""/>
    <s v=""/>
    <s v=""/>
    <s v=""/>
    <s v=""/>
    <s v=""/>
    <s v=""/>
    <s v=""/>
    <x v="2"/>
  </r>
  <r>
    <x v="1"/>
    <x v="133"/>
    <n v="13"/>
    <m/>
    <x v="3"/>
    <s v=""/>
    <s v=""/>
    <s v=""/>
    <s v=""/>
    <s v=""/>
    <s v=""/>
    <s v=""/>
    <s v=""/>
    <s v=""/>
    <s v=""/>
    <s v=""/>
    <s v=""/>
    <s v=""/>
    <s v=""/>
    <s v=""/>
    <x v="2"/>
  </r>
  <r>
    <x v="1"/>
    <x v="142"/>
    <n v="1197"/>
    <m/>
    <x v="4"/>
    <s v=""/>
    <s v=""/>
    <s v=""/>
    <s v=""/>
    <s v=""/>
    <s v=""/>
    <s v=""/>
    <s v=""/>
    <s v=""/>
    <s v=""/>
    <s v=""/>
    <s v=""/>
    <s v=""/>
    <s v=""/>
    <s v=""/>
    <x v="2"/>
  </r>
  <r>
    <x v="2"/>
    <x v="143"/>
    <n v="43"/>
    <m/>
    <x v="5"/>
    <s v=""/>
    <s v=""/>
    <s v=""/>
    <s v=""/>
    <s v=""/>
    <s v=""/>
    <s v=""/>
    <s v=""/>
    <s v=""/>
    <s v=""/>
    <s v=""/>
    <s v=""/>
    <s v=""/>
    <s v=""/>
    <s v=""/>
    <x v="2"/>
  </r>
  <r>
    <x v="2"/>
    <x v="144"/>
    <n v="45"/>
    <m/>
    <x v="6"/>
    <s v=""/>
    <s v=""/>
    <s v=""/>
    <s v=""/>
    <s v=""/>
    <s v=""/>
    <s v=""/>
    <s v=""/>
    <s v=""/>
    <s v=""/>
    <s v=""/>
    <s v=""/>
    <s v=""/>
    <s v=""/>
    <s v=""/>
    <x v="2"/>
  </r>
  <r>
    <x v="2"/>
    <x v="145"/>
    <n v="14"/>
    <n v="1"/>
    <x v="1"/>
    <s v="Assumption log"/>
    <s v="An assumption is something that is"/>
    <s v="believed to be true or false, but it has not"/>
    <s v="yet been proven to be true or false."/>
    <s v="Assumptions that prove wrong can"/>
    <s v="become risks for the project. All identified"/>
    <s v="project assumptions are recorded in the"/>
    <s v="assumption log for testing and analysis,"/>
    <s v="and the outcomes are recorded."/>
    <s v=""/>
    <s v=""/>
    <s v=""/>
    <s v=""/>
    <s v=""/>
    <s v=""/>
    <x v="41"/>
  </r>
  <r>
    <x v="2"/>
    <x v="146"/>
    <n v="34"/>
    <m/>
    <x v="2"/>
    <s v=""/>
    <s v=""/>
    <s v=""/>
    <s v=""/>
    <s v=""/>
    <s v=""/>
    <s v=""/>
    <s v=""/>
    <s v=""/>
    <s v=""/>
    <s v=""/>
    <s v=""/>
    <s v=""/>
    <s v=""/>
    <s v=""/>
    <x v="2"/>
  </r>
  <r>
    <x v="2"/>
    <x v="147"/>
    <n v="44"/>
    <m/>
    <x v="3"/>
    <s v=""/>
    <s v=""/>
    <s v=""/>
    <s v=""/>
    <s v=""/>
    <s v=""/>
    <s v=""/>
    <s v=""/>
    <s v=""/>
    <s v=""/>
    <s v=""/>
    <s v=""/>
    <s v=""/>
    <s v=""/>
    <s v=""/>
    <x v="2"/>
  </r>
  <r>
    <x v="2"/>
    <x v="148"/>
    <n v="36"/>
    <m/>
    <x v="4"/>
    <s v=""/>
    <s v=""/>
    <s v=""/>
    <s v=""/>
    <s v=""/>
    <s v=""/>
    <s v=""/>
    <s v=""/>
    <s v=""/>
    <s v=""/>
    <s v=""/>
    <s v=""/>
    <s v=""/>
    <s v=""/>
    <s v=""/>
    <x v="2"/>
  </r>
  <r>
    <x v="2"/>
    <x v="149"/>
    <n v="32"/>
    <m/>
    <x v="5"/>
    <s v=""/>
    <s v=""/>
    <s v=""/>
    <s v=""/>
    <s v=""/>
    <s v=""/>
    <s v=""/>
    <s v=""/>
    <s v=""/>
    <s v=""/>
    <s v=""/>
    <s v=""/>
    <s v=""/>
    <s v=""/>
    <s v=""/>
    <x v="2"/>
  </r>
  <r>
    <x v="2"/>
    <x v="150"/>
    <n v="44"/>
    <m/>
    <x v="6"/>
    <s v=""/>
    <s v=""/>
    <s v=""/>
    <s v=""/>
    <s v=""/>
    <s v=""/>
    <s v=""/>
    <s v=""/>
    <s v=""/>
    <s v=""/>
    <s v=""/>
    <s v=""/>
    <s v=""/>
    <s v=""/>
    <s v=""/>
    <x v="2"/>
  </r>
  <r>
    <x v="2"/>
    <x v="151"/>
    <n v="39"/>
    <m/>
    <x v="7"/>
    <s v=""/>
    <s v=""/>
    <s v=""/>
    <s v=""/>
    <s v=""/>
    <s v=""/>
    <s v=""/>
    <s v=""/>
    <s v=""/>
    <s v=""/>
    <s v=""/>
    <s v=""/>
    <s v=""/>
    <s v=""/>
    <s v=""/>
    <x v="2"/>
  </r>
  <r>
    <x v="2"/>
    <x v="152"/>
    <n v="40"/>
    <m/>
    <x v="8"/>
    <s v=""/>
    <s v=""/>
    <s v=""/>
    <s v=""/>
    <s v=""/>
    <s v=""/>
    <s v=""/>
    <s v=""/>
    <s v=""/>
    <s v=""/>
    <s v=""/>
    <s v=""/>
    <s v=""/>
    <s v=""/>
    <s v=""/>
    <x v="2"/>
  </r>
  <r>
    <x v="2"/>
    <x v="153"/>
    <n v="30"/>
    <m/>
    <x v="9"/>
    <s v=""/>
    <s v=""/>
    <s v=""/>
    <s v=""/>
    <s v=""/>
    <s v=""/>
    <s v=""/>
    <s v=""/>
    <s v=""/>
    <s v=""/>
    <s v=""/>
    <s v=""/>
    <s v=""/>
    <s v=""/>
    <s v=""/>
    <x v="2"/>
  </r>
  <r>
    <x v="2"/>
    <x v="154"/>
    <n v="31"/>
    <n v="1"/>
    <x v="1"/>
    <s v="Benefit/cost ratio (BCR) models"/>
    <s v="This is an example of a benefits"/>
    <s v="comparison model. It examines the"/>
    <s v="benefit-to-cost ratio."/>
    <s v=""/>
    <s v=""/>
    <s v=""/>
    <s v=""/>
    <s v=""/>
    <s v=""/>
    <s v=""/>
    <s v=""/>
    <s v=""/>
    <s v=""/>
    <s v=""/>
    <x v="42"/>
  </r>
  <r>
    <x v="2"/>
    <x v="155"/>
    <n v="32"/>
    <m/>
    <x v="2"/>
    <s v=""/>
    <s v=""/>
    <s v=""/>
    <s v=""/>
    <s v=""/>
    <s v=""/>
    <s v=""/>
    <s v=""/>
    <s v=""/>
    <s v=""/>
    <s v=""/>
    <s v=""/>
    <s v=""/>
    <s v=""/>
    <s v=""/>
    <x v="2"/>
  </r>
  <r>
    <x v="2"/>
    <x v="156"/>
    <n v="33"/>
    <m/>
    <x v="3"/>
    <s v=""/>
    <s v=""/>
    <s v=""/>
    <s v=""/>
    <s v=""/>
    <s v=""/>
    <s v=""/>
    <s v=""/>
    <s v=""/>
    <s v=""/>
    <s v=""/>
    <s v=""/>
    <s v=""/>
    <s v=""/>
    <s v=""/>
    <x v="2"/>
  </r>
  <r>
    <x v="2"/>
    <x v="157"/>
    <n v="22"/>
    <m/>
    <x v="4"/>
    <s v=""/>
    <s v=""/>
    <s v=""/>
    <s v=""/>
    <s v=""/>
    <s v=""/>
    <s v=""/>
    <s v=""/>
    <s v=""/>
    <s v=""/>
    <s v=""/>
    <s v=""/>
    <s v=""/>
    <s v=""/>
    <s v=""/>
    <x v="2"/>
  </r>
  <r>
    <x v="2"/>
    <x v="158"/>
    <n v="26"/>
    <n v="1"/>
    <x v="1"/>
    <s v="Change control board (CCB)"/>
    <s v="A committee that evaluates the"/>
    <s v="worthiness of a proposed change and"/>
    <s v="either approves or rejects the proposed"/>
    <s v="change."/>
    <s v=""/>
    <s v=""/>
    <s v=""/>
    <s v=""/>
    <s v=""/>
    <s v=""/>
    <s v=""/>
    <s v=""/>
    <s v=""/>
    <s v=""/>
    <x v="43"/>
  </r>
  <r>
    <x v="2"/>
    <x v="159"/>
    <n v="30"/>
    <m/>
    <x v="2"/>
    <s v=""/>
    <s v=""/>
    <s v=""/>
    <s v=""/>
    <s v=""/>
    <s v=""/>
    <s v=""/>
    <s v=""/>
    <s v=""/>
    <s v=""/>
    <s v=""/>
    <s v=""/>
    <s v=""/>
    <s v=""/>
    <s v=""/>
    <x v="2"/>
  </r>
  <r>
    <x v="2"/>
    <x v="160"/>
    <n v="35"/>
    <m/>
    <x v="3"/>
    <s v=""/>
    <s v=""/>
    <s v=""/>
    <s v=""/>
    <s v=""/>
    <s v=""/>
    <s v=""/>
    <s v=""/>
    <s v=""/>
    <s v=""/>
    <s v=""/>
    <s v=""/>
    <s v=""/>
    <s v=""/>
    <s v=""/>
    <x v="2"/>
  </r>
  <r>
    <x v="2"/>
    <x v="161"/>
    <n v="39"/>
    <m/>
    <x v="4"/>
    <s v=""/>
    <s v=""/>
    <s v=""/>
    <s v=""/>
    <s v=""/>
    <s v=""/>
    <s v=""/>
    <s v=""/>
    <s v=""/>
    <s v=""/>
    <s v=""/>
    <s v=""/>
    <s v=""/>
    <s v=""/>
    <s v=""/>
    <x v="2"/>
  </r>
  <r>
    <x v="2"/>
    <x v="162"/>
    <n v="7"/>
    <m/>
    <x v="5"/>
    <s v=""/>
    <s v=""/>
    <s v=""/>
    <s v=""/>
    <s v=""/>
    <s v=""/>
    <s v=""/>
    <s v=""/>
    <s v=""/>
    <s v=""/>
    <s v=""/>
    <s v=""/>
    <s v=""/>
    <s v=""/>
    <s v=""/>
    <x v="2"/>
  </r>
  <r>
    <x v="2"/>
    <x v="163"/>
    <n v="27"/>
    <n v="1"/>
    <x v="1"/>
    <s v="Change control system (CCS)"/>
    <s v="The change control system communicates"/>
    <s v="the process for controlling changes to the"/>
    <s v="project deliverables. This system works"/>
    <s v="with the configuration management"/>
    <s v="system and seeks to control and"/>
    <s v="document proposals to change the"/>
    <s v="project’s product."/>
    <s v=""/>
    <s v=""/>
    <s v=""/>
    <s v=""/>
    <s v=""/>
    <s v=""/>
    <s v=""/>
    <x v="44"/>
  </r>
  <r>
    <x v="2"/>
    <x v="164"/>
    <n v="38"/>
    <m/>
    <x v="2"/>
    <s v=""/>
    <s v=""/>
    <s v=""/>
    <s v=""/>
    <s v=""/>
    <s v=""/>
    <s v=""/>
    <s v=""/>
    <s v=""/>
    <s v=""/>
    <s v=""/>
    <s v=""/>
    <s v=""/>
    <s v=""/>
    <s v=""/>
    <x v="2"/>
  </r>
  <r>
    <x v="2"/>
    <x v="165"/>
    <n v="42"/>
    <m/>
    <x v="3"/>
    <s v=""/>
    <s v=""/>
    <s v=""/>
    <s v=""/>
    <s v=""/>
    <s v=""/>
    <s v=""/>
    <s v=""/>
    <s v=""/>
    <s v=""/>
    <s v=""/>
    <s v=""/>
    <s v=""/>
    <s v=""/>
    <s v=""/>
    <x v="2"/>
  </r>
  <r>
    <x v="2"/>
    <x v="166"/>
    <n v="39"/>
    <m/>
    <x v="4"/>
    <s v=""/>
    <s v=""/>
    <s v=""/>
    <s v=""/>
    <s v=""/>
    <s v=""/>
    <s v=""/>
    <s v=""/>
    <s v=""/>
    <s v=""/>
    <s v=""/>
    <s v=""/>
    <s v=""/>
    <s v=""/>
    <s v=""/>
    <x v="2"/>
  </r>
  <r>
    <x v="2"/>
    <x v="167"/>
    <n v="33"/>
    <m/>
    <x v="5"/>
    <s v=""/>
    <s v=""/>
    <s v=""/>
    <s v=""/>
    <s v=""/>
    <s v=""/>
    <s v=""/>
    <s v=""/>
    <s v=""/>
    <s v=""/>
    <s v=""/>
    <s v=""/>
    <s v=""/>
    <s v=""/>
    <s v=""/>
    <x v="2"/>
  </r>
  <r>
    <x v="2"/>
    <x v="168"/>
    <n v="31"/>
    <m/>
    <x v="6"/>
    <s v=""/>
    <s v=""/>
    <s v=""/>
    <s v=""/>
    <s v=""/>
    <s v=""/>
    <s v=""/>
    <s v=""/>
    <s v=""/>
    <s v=""/>
    <s v=""/>
    <s v=""/>
    <s v=""/>
    <s v=""/>
    <s v=""/>
    <x v="2"/>
  </r>
  <r>
    <x v="2"/>
    <x v="169"/>
    <n v="32"/>
    <m/>
    <x v="7"/>
    <s v=""/>
    <s v=""/>
    <s v=""/>
    <s v=""/>
    <s v=""/>
    <s v=""/>
    <s v=""/>
    <s v=""/>
    <s v=""/>
    <s v=""/>
    <s v=""/>
    <s v=""/>
    <s v=""/>
    <s v=""/>
    <s v=""/>
    <x v="2"/>
  </r>
  <r>
    <x v="2"/>
    <x v="170"/>
    <n v="18"/>
    <m/>
    <x v="8"/>
    <s v=""/>
    <s v=""/>
    <s v=""/>
    <s v=""/>
    <s v=""/>
    <s v=""/>
    <s v=""/>
    <s v=""/>
    <s v=""/>
    <s v=""/>
    <s v=""/>
    <s v=""/>
    <s v=""/>
    <s v=""/>
    <s v=""/>
    <x v="2"/>
  </r>
  <r>
    <x v="2"/>
    <x v="171"/>
    <n v="10"/>
    <n v="1"/>
    <x v="1"/>
    <s v="Change log"/>
    <s v="All changes that enter into a project are"/>
    <s v="recorded in the change log. The"/>
    <s v="characteristics of the change, such as the"/>
    <s v="time, cost, risk, and scope details, are"/>
    <s v="also recorded."/>
    <s v=""/>
    <s v=""/>
    <s v=""/>
    <s v=""/>
    <s v=""/>
    <s v=""/>
    <s v=""/>
    <s v=""/>
    <s v=""/>
    <x v="45"/>
  </r>
  <r>
    <x v="2"/>
    <x v="172"/>
    <n v="41"/>
    <m/>
    <x v="2"/>
    <s v=""/>
    <s v=""/>
    <s v=""/>
    <s v=""/>
    <s v=""/>
    <s v=""/>
    <s v=""/>
    <s v=""/>
    <s v=""/>
    <s v=""/>
    <s v=""/>
    <s v=""/>
    <s v=""/>
    <s v=""/>
    <s v=""/>
    <x v="2"/>
  </r>
  <r>
    <x v="2"/>
    <x v="173"/>
    <n v="31"/>
    <m/>
    <x v="3"/>
    <s v=""/>
    <s v=""/>
    <s v=""/>
    <s v=""/>
    <s v=""/>
    <s v=""/>
    <s v=""/>
    <s v=""/>
    <s v=""/>
    <s v=""/>
    <s v=""/>
    <s v=""/>
    <s v=""/>
    <s v=""/>
    <s v=""/>
    <x v="2"/>
  </r>
  <r>
    <x v="2"/>
    <x v="174"/>
    <n v="42"/>
    <m/>
    <x v="4"/>
    <s v=""/>
    <s v=""/>
    <s v=""/>
    <s v=""/>
    <s v=""/>
    <s v=""/>
    <s v=""/>
    <s v=""/>
    <s v=""/>
    <s v=""/>
    <s v=""/>
    <s v=""/>
    <s v=""/>
    <s v=""/>
    <s v=""/>
    <x v="2"/>
  </r>
  <r>
    <x v="2"/>
    <x v="175"/>
    <n v="40"/>
    <m/>
    <x v="5"/>
    <s v=""/>
    <s v=""/>
    <s v=""/>
    <s v=""/>
    <s v=""/>
    <s v=""/>
    <s v=""/>
    <s v=""/>
    <s v=""/>
    <s v=""/>
    <s v=""/>
    <s v=""/>
    <s v=""/>
    <s v=""/>
    <s v=""/>
    <x v="2"/>
  </r>
  <r>
    <x v="2"/>
    <x v="176"/>
    <n v="14"/>
    <m/>
    <x v="6"/>
    <s v=""/>
    <s v=""/>
    <s v=""/>
    <s v=""/>
    <s v=""/>
    <s v=""/>
    <s v=""/>
    <s v=""/>
    <s v=""/>
    <s v=""/>
    <s v=""/>
    <s v=""/>
    <s v=""/>
    <s v=""/>
    <s v=""/>
    <x v="2"/>
  </r>
  <r>
    <x v="2"/>
    <x v="177"/>
    <n v="22"/>
    <n v="1"/>
    <x v="1"/>
    <s v="Change management plan"/>
    <s v="This plan details the project procedures"/>
    <s v="for entertaining change requests: how"/>
    <s v="change requests are managed,"/>
    <s v="documented, approved, or declined."/>
    <s v=""/>
    <s v=""/>
    <s v=""/>
    <s v=""/>
    <s v=""/>
    <s v=""/>
    <s v=""/>
    <s v=""/>
    <s v=""/>
    <s v=""/>
    <x v="46"/>
  </r>
  <r>
    <x v="2"/>
    <x v="178"/>
    <n v="40"/>
    <m/>
    <x v="2"/>
    <s v=""/>
    <s v=""/>
    <s v=""/>
    <s v=""/>
    <s v=""/>
    <s v=""/>
    <s v=""/>
    <s v=""/>
    <s v=""/>
    <s v=""/>
    <s v=""/>
    <s v=""/>
    <s v=""/>
    <s v=""/>
    <s v=""/>
    <x v="2"/>
  </r>
  <r>
    <x v="2"/>
    <x v="179"/>
    <n v="37"/>
    <m/>
    <x v="3"/>
    <s v=""/>
    <s v=""/>
    <s v=""/>
    <s v=""/>
    <s v=""/>
    <s v=""/>
    <s v=""/>
    <s v=""/>
    <s v=""/>
    <s v=""/>
    <s v=""/>
    <s v=""/>
    <s v=""/>
    <s v=""/>
    <s v=""/>
    <x v="2"/>
  </r>
  <r>
    <x v="2"/>
    <x v="180"/>
    <n v="28"/>
    <m/>
    <x v="4"/>
    <s v=""/>
    <s v=""/>
    <s v=""/>
    <s v=""/>
    <s v=""/>
    <s v=""/>
    <s v=""/>
    <s v=""/>
    <s v=""/>
    <s v=""/>
    <s v=""/>
    <s v=""/>
    <s v=""/>
    <s v=""/>
    <s v=""/>
    <x v="2"/>
  </r>
  <r>
    <x v="2"/>
    <x v="181"/>
    <n v="34"/>
    <m/>
    <x v="5"/>
    <s v=""/>
    <s v=""/>
    <s v=""/>
    <s v=""/>
    <s v=""/>
    <s v=""/>
    <s v=""/>
    <s v=""/>
    <s v=""/>
    <s v=""/>
    <s v=""/>
    <s v=""/>
    <s v=""/>
    <s v=""/>
    <s v=""/>
    <x v="2"/>
  </r>
  <r>
    <x v="2"/>
    <x v="182"/>
    <n v="17"/>
    <n v="1"/>
    <x v="1"/>
    <s v="Closure processes"/>
    <s v="This final process group of the project"/>
    <s v="management life cycle is responsible for"/>
    <s v="closing the project phase or project. This"/>
    <s v="is where project documentation is"/>
    <s v="archived and project contracts are also"/>
    <s v="closed."/>
    <s v=""/>
    <s v=""/>
    <s v=""/>
    <s v=""/>
    <s v=""/>
    <s v=""/>
    <s v=""/>
    <s v=""/>
    <x v="47"/>
  </r>
  <r>
    <x v="2"/>
    <x v="183"/>
    <n v="39"/>
    <m/>
    <x v="2"/>
    <s v=""/>
    <s v=""/>
    <s v=""/>
    <s v=""/>
    <s v=""/>
    <s v=""/>
    <s v=""/>
    <s v=""/>
    <s v=""/>
    <s v=""/>
    <s v=""/>
    <s v=""/>
    <s v=""/>
    <s v=""/>
    <s v=""/>
    <x v="2"/>
  </r>
  <r>
    <x v="2"/>
    <x v="184"/>
    <n v="40"/>
    <m/>
    <x v="3"/>
    <s v=""/>
    <s v=""/>
    <s v=""/>
    <s v=""/>
    <s v=""/>
    <s v=""/>
    <s v=""/>
    <s v=""/>
    <s v=""/>
    <s v=""/>
    <s v=""/>
    <s v=""/>
    <s v=""/>
    <s v=""/>
    <s v=""/>
    <x v="2"/>
  </r>
  <r>
    <x v="2"/>
    <x v="185"/>
    <n v="42"/>
    <m/>
    <x v="4"/>
    <s v=""/>
    <s v=""/>
    <s v=""/>
    <s v=""/>
    <s v=""/>
    <s v=""/>
    <s v=""/>
    <s v=""/>
    <s v=""/>
    <s v=""/>
    <s v=""/>
    <s v=""/>
    <s v=""/>
    <s v=""/>
    <s v=""/>
    <x v="2"/>
  </r>
  <r>
    <x v="2"/>
    <x v="186"/>
    <n v="33"/>
    <m/>
    <x v="5"/>
    <s v=""/>
    <s v=""/>
    <s v=""/>
    <s v=""/>
    <s v=""/>
    <s v=""/>
    <s v=""/>
    <s v=""/>
    <s v=""/>
    <s v=""/>
    <s v=""/>
    <s v=""/>
    <s v=""/>
    <s v=""/>
    <s v=""/>
    <x v="2"/>
  </r>
  <r>
    <x v="2"/>
    <x v="187"/>
    <n v="39"/>
    <m/>
    <x v="6"/>
    <s v=""/>
    <s v=""/>
    <s v=""/>
    <s v=""/>
    <s v=""/>
    <s v=""/>
    <s v=""/>
    <s v=""/>
    <s v=""/>
    <s v=""/>
    <s v=""/>
    <s v=""/>
    <s v=""/>
    <s v=""/>
    <s v=""/>
    <x v="2"/>
  </r>
  <r>
    <x v="2"/>
    <x v="188"/>
    <n v="7"/>
    <m/>
    <x v="7"/>
    <s v=""/>
    <s v=""/>
    <s v=""/>
    <s v=""/>
    <s v=""/>
    <s v=""/>
    <s v=""/>
    <s v=""/>
    <s v=""/>
    <s v=""/>
    <s v=""/>
    <s v=""/>
    <s v=""/>
    <s v=""/>
    <s v=""/>
    <x v="2"/>
  </r>
  <r>
    <x v="2"/>
    <x v="189"/>
    <n v="30"/>
    <n v="1"/>
    <x v="1"/>
    <s v="Communications management plan"/>
    <s v="This plan defines who will get what"/>
    <s v="information, how they will receive it, and"/>
    <s v="in what modality the communication will"/>
    <s v="take place."/>
    <s v=""/>
    <s v=""/>
    <s v=""/>
    <s v=""/>
    <s v=""/>
    <s v=""/>
    <s v=""/>
    <s v=""/>
    <s v=""/>
    <s v=""/>
    <x v="48"/>
  </r>
  <r>
    <x v="2"/>
    <x v="190"/>
    <n v="35"/>
    <m/>
    <x v="2"/>
    <s v=""/>
    <s v=""/>
    <s v=""/>
    <s v=""/>
    <s v=""/>
    <s v=""/>
    <s v=""/>
    <s v=""/>
    <s v=""/>
    <s v=""/>
    <s v=""/>
    <s v=""/>
    <s v=""/>
    <s v=""/>
    <s v=""/>
    <x v="2"/>
  </r>
  <r>
    <x v="2"/>
    <x v="191"/>
    <n v="42"/>
    <m/>
    <x v="3"/>
    <s v=""/>
    <s v=""/>
    <s v=""/>
    <s v=""/>
    <s v=""/>
    <s v=""/>
    <s v=""/>
    <s v=""/>
    <s v=""/>
    <s v=""/>
    <s v=""/>
    <s v=""/>
    <s v=""/>
    <s v=""/>
    <s v=""/>
    <x v="2"/>
  </r>
  <r>
    <x v="2"/>
    <x v="192"/>
    <n v="39"/>
    <m/>
    <x v="4"/>
    <s v=""/>
    <s v=""/>
    <s v=""/>
    <s v=""/>
    <s v=""/>
    <s v=""/>
    <s v=""/>
    <s v=""/>
    <s v=""/>
    <s v=""/>
    <s v=""/>
    <s v=""/>
    <s v=""/>
    <s v=""/>
    <s v=""/>
    <x v="2"/>
  </r>
  <r>
    <x v="2"/>
    <x v="193"/>
    <n v="11"/>
    <m/>
    <x v="5"/>
    <s v=""/>
    <s v=""/>
    <s v=""/>
    <s v=""/>
    <s v=""/>
    <s v=""/>
    <s v=""/>
    <s v=""/>
    <s v=""/>
    <s v=""/>
    <s v=""/>
    <s v=""/>
    <s v=""/>
    <s v=""/>
    <s v=""/>
    <x v="2"/>
  </r>
  <r>
    <x v="2"/>
    <x v="194"/>
    <n v="28"/>
    <n v="1"/>
    <x v="1"/>
    <s v="Configuration identification"/>
    <s v="This includes the labeling of the"/>
    <s v="components, how changes are made to"/>
    <s v="the product, and the accountability of the"/>
    <s v="changes."/>
    <s v=""/>
    <s v=""/>
    <s v=""/>
    <s v=""/>
    <s v=""/>
    <s v=""/>
    <s v=""/>
    <s v=""/>
    <s v=""/>
    <s v=""/>
    <x v="49"/>
  </r>
  <r>
    <x v="2"/>
    <x v="195"/>
    <n v="33"/>
    <m/>
    <x v="2"/>
    <s v=""/>
    <s v=""/>
    <s v=""/>
    <s v=""/>
    <s v=""/>
    <s v=""/>
    <s v=""/>
    <s v=""/>
    <s v=""/>
    <s v=""/>
    <s v=""/>
    <s v=""/>
    <s v=""/>
    <s v=""/>
    <s v=""/>
    <x v="2"/>
  </r>
  <r>
    <x v="2"/>
    <x v="196"/>
    <n v="35"/>
    <m/>
    <x v="3"/>
    <s v=""/>
    <s v=""/>
    <s v=""/>
    <s v=""/>
    <s v=""/>
    <s v=""/>
    <s v=""/>
    <s v=""/>
    <s v=""/>
    <s v=""/>
    <s v=""/>
    <s v=""/>
    <s v=""/>
    <s v=""/>
    <s v=""/>
    <x v="2"/>
  </r>
  <r>
    <x v="2"/>
    <x v="197"/>
    <n v="42"/>
    <m/>
    <x v="4"/>
    <s v=""/>
    <s v=""/>
    <s v=""/>
    <s v=""/>
    <s v=""/>
    <s v=""/>
    <s v=""/>
    <s v=""/>
    <s v=""/>
    <s v=""/>
    <s v=""/>
    <s v=""/>
    <s v=""/>
    <s v=""/>
    <s v=""/>
    <x v="2"/>
  </r>
  <r>
    <x v="2"/>
    <x v="198"/>
    <n v="8"/>
    <m/>
    <x v="5"/>
    <s v=""/>
    <s v=""/>
    <s v=""/>
    <s v=""/>
    <s v=""/>
    <s v=""/>
    <s v=""/>
    <s v=""/>
    <s v=""/>
    <s v=""/>
    <s v=""/>
    <s v=""/>
    <s v=""/>
    <s v=""/>
    <s v=""/>
    <x v="2"/>
  </r>
  <r>
    <x v="2"/>
    <x v="199"/>
    <n v="29"/>
    <n v="1"/>
    <x v="1"/>
    <s v="Configuration management plan"/>
    <s v="This plan is an input to the control scope"/>
    <s v="process. It defines how changes to the"/>
    <s v="features and functions of the project"/>
    <s v="deliverable, the product scope, may enter"/>
    <s v="the project."/>
    <s v=""/>
    <s v=""/>
    <s v=""/>
    <s v=""/>
    <s v=""/>
    <s v=""/>
    <s v=""/>
    <s v=""/>
    <s v=""/>
    <x v="50"/>
  </r>
  <r>
    <x v="2"/>
    <x v="200"/>
    <n v="42"/>
    <m/>
    <x v="2"/>
    <s v=""/>
    <s v=""/>
    <s v=""/>
    <s v=""/>
    <s v=""/>
    <s v=""/>
    <s v=""/>
    <s v=""/>
    <s v=""/>
    <s v=""/>
    <s v=""/>
    <s v=""/>
    <s v=""/>
    <s v=""/>
    <s v=""/>
    <x v="2"/>
  </r>
  <r>
    <x v="2"/>
    <x v="201"/>
    <n v="38"/>
    <m/>
    <x v="3"/>
    <s v=""/>
    <s v=""/>
    <s v=""/>
    <s v=""/>
    <s v=""/>
    <s v=""/>
    <s v=""/>
    <s v=""/>
    <s v=""/>
    <s v=""/>
    <s v=""/>
    <s v=""/>
    <s v=""/>
    <s v=""/>
    <s v=""/>
    <x v="2"/>
  </r>
  <r>
    <x v="2"/>
    <x v="202"/>
    <n v="37"/>
    <m/>
    <x v="4"/>
    <s v=""/>
    <s v=""/>
    <s v=""/>
    <s v=""/>
    <s v=""/>
    <s v=""/>
    <s v=""/>
    <s v=""/>
    <s v=""/>
    <s v=""/>
    <s v=""/>
    <s v=""/>
    <s v=""/>
    <s v=""/>
    <s v=""/>
    <x v="2"/>
  </r>
  <r>
    <x v="2"/>
    <x v="203"/>
    <n v="41"/>
    <m/>
    <x v="5"/>
    <s v=""/>
    <s v=""/>
    <s v=""/>
    <s v=""/>
    <s v=""/>
    <s v=""/>
    <s v=""/>
    <s v=""/>
    <s v=""/>
    <s v=""/>
    <s v=""/>
    <s v=""/>
    <s v=""/>
    <s v=""/>
    <s v=""/>
    <x v="2"/>
  </r>
  <r>
    <x v="2"/>
    <x v="204"/>
    <n v="12"/>
    <m/>
    <x v="6"/>
    <s v=""/>
    <s v=""/>
    <s v=""/>
    <s v=""/>
    <s v=""/>
    <s v=""/>
    <s v=""/>
    <s v=""/>
    <s v=""/>
    <s v=""/>
    <s v=""/>
    <s v=""/>
    <s v=""/>
    <s v=""/>
    <s v=""/>
    <x v="2"/>
  </r>
  <r>
    <x v="2"/>
    <x v="205"/>
    <n v="31"/>
    <n v="1"/>
    <x v="1"/>
    <s v="Configuration management system"/>
    <s v="This system defines how stakeholders are"/>
    <s v="allowed to submit change requests, the"/>
    <s v="conditions for approving a change"/>
    <s v="request, and how approved change"/>
    <s v="requests are validated in the project"/>
    <s v="scope. Configuration management also"/>
    <s v="documents the characteristics and"/>
    <s v="functions of the project’s products and"/>
    <s v="any changes to a product’s"/>
    <s v="characteristics."/>
    <s v=""/>
    <s v=""/>
    <s v=""/>
    <s v=""/>
    <x v="51"/>
  </r>
  <r>
    <x v="2"/>
    <x v="206"/>
    <n v="40"/>
    <m/>
    <x v="2"/>
    <s v=""/>
    <s v=""/>
    <s v=""/>
    <s v=""/>
    <s v=""/>
    <s v=""/>
    <s v=""/>
    <s v=""/>
    <s v=""/>
    <s v=""/>
    <s v=""/>
    <s v=""/>
    <s v=""/>
    <s v=""/>
    <s v=""/>
    <x v="2"/>
  </r>
  <r>
    <x v="2"/>
    <x v="207"/>
    <n v="38"/>
    <m/>
    <x v="3"/>
    <s v=""/>
    <s v=""/>
    <s v=""/>
    <s v=""/>
    <s v=""/>
    <s v=""/>
    <s v=""/>
    <s v=""/>
    <s v=""/>
    <s v=""/>
    <s v=""/>
    <s v=""/>
    <s v=""/>
    <s v=""/>
    <s v=""/>
    <x v="2"/>
  </r>
  <r>
    <x v="2"/>
    <x v="208"/>
    <n v="33"/>
    <m/>
    <x v="4"/>
    <s v=""/>
    <s v=""/>
    <s v=""/>
    <s v=""/>
    <s v=""/>
    <s v=""/>
    <s v=""/>
    <s v=""/>
    <s v=""/>
    <s v=""/>
    <s v=""/>
    <s v=""/>
    <s v=""/>
    <s v=""/>
    <s v=""/>
    <x v="2"/>
  </r>
  <r>
    <x v="2"/>
    <x v="209"/>
    <n v="32"/>
    <m/>
    <x v="5"/>
    <s v=""/>
    <s v=""/>
    <s v=""/>
    <s v=""/>
    <s v=""/>
    <s v=""/>
    <s v=""/>
    <s v=""/>
    <s v=""/>
    <s v=""/>
    <s v=""/>
    <s v=""/>
    <s v=""/>
    <s v=""/>
    <s v=""/>
    <x v="2"/>
  </r>
  <r>
    <x v="2"/>
    <x v="210"/>
    <n v="37"/>
    <m/>
    <x v="6"/>
    <s v=""/>
    <s v=""/>
    <s v=""/>
    <s v=""/>
    <s v=""/>
    <s v=""/>
    <s v=""/>
    <s v=""/>
    <s v=""/>
    <s v=""/>
    <s v=""/>
    <s v=""/>
    <s v=""/>
    <s v=""/>
    <s v=""/>
    <x v="2"/>
  </r>
  <r>
    <x v="2"/>
    <x v="211"/>
    <n v="36"/>
    <m/>
    <x v="7"/>
    <s v=""/>
    <s v=""/>
    <s v=""/>
    <s v=""/>
    <s v=""/>
    <s v=""/>
    <s v=""/>
    <s v=""/>
    <s v=""/>
    <s v=""/>
    <s v=""/>
    <s v=""/>
    <s v=""/>
    <s v=""/>
    <s v=""/>
    <x v="2"/>
  </r>
  <r>
    <x v="2"/>
    <x v="212"/>
    <n v="33"/>
    <m/>
    <x v="8"/>
    <s v=""/>
    <s v=""/>
    <s v=""/>
    <s v=""/>
    <s v=""/>
    <s v=""/>
    <s v=""/>
    <s v=""/>
    <s v=""/>
    <s v=""/>
    <s v=""/>
    <s v=""/>
    <s v=""/>
    <s v=""/>
    <s v=""/>
    <x v="2"/>
  </r>
  <r>
    <x v="2"/>
    <x v="213"/>
    <n v="39"/>
    <m/>
    <x v="9"/>
    <s v=""/>
    <s v=""/>
    <s v=""/>
    <s v=""/>
    <s v=""/>
    <s v=""/>
    <s v=""/>
    <s v=""/>
    <s v=""/>
    <s v=""/>
    <s v=""/>
    <s v=""/>
    <s v=""/>
    <s v=""/>
    <s v=""/>
    <x v="2"/>
  </r>
  <r>
    <x v="2"/>
    <x v="214"/>
    <n v="26"/>
    <m/>
    <x v="10"/>
    <s v=""/>
    <s v=""/>
    <s v=""/>
    <s v=""/>
    <s v=""/>
    <s v=""/>
    <s v=""/>
    <s v=""/>
    <s v=""/>
    <s v=""/>
    <s v=""/>
    <s v=""/>
    <s v=""/>
    <s v=""/>
    <s v=""/>
    <x v="2"/>
  </r>
  <r>
    <x v="2"/>
    <x v="215"/>
    <n v="16"/>
    <m/>
    <x v="11"/>
    <s v=""/>
    <s v=""/>
    <s v=""/>
    <s v=""/>
    <s v=""/>
    <s v=""/>
    <s v=""/>
    <s v=""/>
    <s v=""/>
    <s v=""/>
    <s v=""/>
    <s v=""/>
    <s v=""/>
    <s v=""/>
    <s v=""/>
    <x v="2"/>
  </r>
  <r>
    <x v="2"/>
    <x v="216"/>
    <n v="31"/>
    <n v="1"/>
    <x v="1"/>
    <s v="Configuration status accounting"/>
    <s v="The organization of the product materials,"/>
    <s v="details, and prior product documentation."/>
    <s v="Configuration verification and auditing"/>
    <s v="The scope verification and completeness"/>
    <s v="auditing of project or phase deliverables"/>
    <s v="to ensure that they are in alignment with"/>
    <s v="the project plan."/>
    <s v=""/>
    <s v=""/>
    <s v=""/>
    <s v=""/>
    <s v=""/>
    <s v=""/>
    <s v=""/>
    <x v="52"/>
  </r>
  <r>
    <x v="2"/>
    <x v="217"/>
    <n v="42"/>
    <m/>
    <x v="2"/>
    <s v=""/>
    <s v=""/>
    <s v=""/>
    <s v=""/>
    <s v=""/>
    <s v=""/>
    <s v=""/>
    <s v=""/>
    <s v=""/>
    <s v=""/>
    <s v=""/>
    <s v=""/>
    <s v=""/>
    <s v=""/>
    <s v=""/>
    <x v="2"/>
  </r>
  <r>
    <x v="2"/>
    <x v="218"/>
    <n v="41"/>
    <m/>
    <x v="3"/>
    <s v=""/>
    <s v=""/>
    <s v=""/>
    <s v=""/>
    <s v=""/>
    <s v=""/>
    <s v=""/>
    <s v=""/>
    <s v=""/>
    <s v=""/>
    <s v=""/>
    <s v=""/>
    <s v=""/>
    <s v=""/>
    <s v=""/>
    <x v="2"/>
  </r>
  <r>
    <x v="2"/>
    <x v="219"/>
    <n v="39"/>
    <m/>
    <x v="4"/>
    <s v=""/>
    <s v=""/>
    <s v=""/>
    <s v=""/>
    <s v=""/>
    <s v=""/>
    <s v=""/>
    <s v=""/>
    <s v=""/>
    <s v=""/>
    <s v=""/>
    <s v=""/>
    <s v=""/>
    <s v=""/>
    <s v=""/>
    <x v="2"/>
  </r>
  <r>
    <x v="2"/>
    <x v="220"/>
    <n v="39"/>
    <m/>
    <x v="5"/>
    <s v=""/>
    <s v=""/>
    <s v=""/>
    <s v=""/>
    <s v=""/>
    <s v=""/>
    <s v=""/>
    <s v=""/>
    <s v=""/>
    <s v=""/>
    <s v=""/>
    <s v=""/>
    <s v=""/>
    <s v=""/>
    <s v=""/>
    <x v="2"/>
  </r>
  <r>
    <x v="2"/>
    <x v="221"/>
    <n v="41"/>
    <m/>
    <x v="6"/>
    <s v=""/>
    <s v=""/>
    <s v=""/>
    <s v=""/>
    <s v=""/>
    <s v=""/>
    <s v=""/>
    <s v=""/>
    <s v=""/>
    <s v=""/>
    <s v=""/>
    <s v=""/>
    <s v=""/>
    <s v=""/>
    <s v=""/>
    <x v="2"/>
  </r>
  <r>
    <x v="2"/>
    <x v="222"/>
    <n v="41"/>
    <m/>
    <x v="7"/>
    <s v=""/>
    <s v=""/>
    <s v=""/>
    <s v=""/>
    <s v=""/>
    <s v=""/>
    <s v=""/>
    <s v=""/>
    <s v=""/>
    <s v=""/>
    <s v=""/>
    <s v=""/>
    <s v=""/>
    <s v=""/>
    <s v=""/>
    <x v="2"/>
  </r>
  <r>
    <x v="2"/>
    <x v="223"/>
    <n v="17"/>
    <m/>
    <x v="8"/>
    <s v=""/>
    <s v=""/>
    <s v=""/>
    <s v=""/>
    <s v=""/>
    <s v=""/>
    <s v=""/>
    <s v=""/>
    <s v=""/>
    <s v=""/>
    <s v=""/>
    <s v=""/>
    <s v=""/>
    <s v=""/>
    <s v=""/>
    <x v="2"/>
  </r>
  <r>
    <x v="2"/>
    <x v="224"/>
    <n v="16"/>
    <n v="1"/>
    <x v="1"/>
    <s v="Contract closure"/>
    <s v="The formal verification of the contract"/>
    <s v="completeness by the vendor and the"/>
    <s v="performing organization."/>
    <s v=""/>
    <s v=""/>
    <s v=""/>
    <s v=""/>
    <s v=""/>
    <s v=""/>
    <s v=""/>
    <s v=""/>
    <s v=""/>
    <s v=""/>
    <s v=""/>
    <x v="53"/>
  </r>
  <r>
    <x v="2"/>
    <x v="225"/>
    <n v="39"/>
    <m/>
    <x v="2"/>
    <s v=""/>
    <s v=""/>
    <s v=""/>
    <s v=""/>
    <s v=""/>
    <s v=""/>
    <s v=""/>
    <s v=""/>
    <s v=""/>
    <s v=""/>
    <s v=""/>
    <s v=""/>
    <s v=""/>
    <s v=""/>
    <s v=""/>
    <x v="2"/>
  </r>
  <r>
    <x v="2"/>
    <x v="226"/>
    <n v="34"/>
    <m/>
    <x v="3"/>
    <s v=""/>
    <s v=""/>
    <s v=""/>
    <s v=""/>
    <s v=""/>
    <s v=""/>
    <s v=""/>
    <s v=""/>
    <s v=""/>
    <s v=""/>
    <s v=""/>
    <s v=""/>
    <s v=""/>
    <s v=""/>
    <s v=""/>
    <x v="2"/>
  </r>
  <r>
    <x v="2"/>
    <x v="227"/>
    <n v="24"/>
    <m/>
    <x v="4"/>
    <s v=""/>
    <s v=""/>
    <s v=""/>
    <s v=""/>
    <s v=""/>
    <s v=""/>
    <s v=""/>
    <s v=""/>
    <s v=""/>
    <s v=""/>
    <s v=""/>
    <s v=""/>
    <s v=""/>
    <s v=""/>
    <s v=""/>
    <x v="2"/>
  </r>
  <r>
    <x v="2"/>
    <x v="228"/>
    <n v="13"/>
    <n v="1"/>
    <x v="1"/>
    <s v="Cost baseline"/>
    <s v="This is the aggregated costs of all of the"/>
    <s v="work packages within the work"/>
    <s v="breakdown structure (WBS)."/>
    <s v=""/>
    <s v=""/>
    <s v=""/>
    <s v=""/>
    <s v=""/>
    <s v=""/>
    <s v=""/>
    <s v=""/>
    <s v=""/>
    <s v=""/>
    <s v=""/>
    <x v="54"/>
  </r>
  <r>
    <x v="2"/>
    <x v="229"/>
    <n v="42"/>
    <m/>
    <x v="2"/>
    <s v=""/>
    <s v=""/>
    <s v=""/>
    <s v=""/>
    <s v=""/>
    <s v=""/>
    <s v=""/>
    <s v=""/>
    <s v=""/>
    <s v=""/>
    <s v=""/>
    <s v=""/>
    <s v=""/>
    <s v=""/>
    <s v=""/>
    <x v="2"/>
  </r>
  <r>
    <x v="2"/>
    <x v="230"/>
    <n v="29"/>
    <m/>
    <x v="3"/>
    <s v=""/>
    <s v=""/>
    <s v=""/>
    <s v=""/>
    <s v=""/>
    <s v=""/>
    <s v=""/>
    <s v=""/>
    <s v=""/>
    <s v=""/>
    <s v=""/>
    <s v=""/>
    <s v=""/>
    <s v=""/>
    <s v=""/>
    <x v="2"/>
  </r>
  <r>
    <x v="2"/>
    <x v="231"/>
    <n v="26"/>
    <m/>
    <x v="4"/>
    <s v=""/>
    <s v=""/>
    <s v=""/>
    <s v=""/>
    <s v=""/>
    <s v=""/>
    <s v=""/>
    <s v=""/>
    <s v=""/>
    <s v=""/>
    <s v=""/>
    <s v=""/>
    <s v=""/>
    <s v=""/>
    <s v=""/>
    <x v="2"/>
  </r>
  <r>
    <x v="2"/>
    <x v="232"/>
    <n v="20"/>
    <n v="1"/>
    <x v="1"/>
    <s v="Cost management plan"/>
    <s v="This plan details how the project costs"/>
    <s v="will be planned for, estimated, budgeted,"/>
    <s v="and then monitored and controlled."/>
    <s v=""/>
    <s v=""/>
    <s v=""/>
    <s v=""/>
    <s v=""/>
    <s v=""/>
    <s v=""/>
    <s v=""/>
    <s v=""/>
    <s v=""/>
    <s v=""/>
    <x v="55"/>
  </r>
  <r>
    <x v="2"/>
    <x v="233"/>
    <n v="39"/>
    <m/>
    <x v="2"/>
    <s v=""/>
    <s v=""/>
    <s v=""/>
    <s v=""/>
    <s v=""/>
    <s v=""/>
    <s v=""/>
    <s v=""/>
    <s v=""/>
    <s v=""/>
    <s v=""/>
    <s v=""/>
    <s v=""/>
    <s v=""/>
    <s v=""/>
    <x v="2"/>
  </r>
  <r>
    <x v="2"/>
    <x v="234"/>
    <n v="41"/>
    <m/>
    <x v="3"/>
    <s v=""/>
    <s v=""/>
    <s v=""/>
    <s v=""/>
    <s v=""/>
    <s v=""/>
    <s v=""/>
    <s v=""/>
    <s v=""/>
    <s v=""/>
    <s v=""/>
    <s v=""/>
    <s v=""/>
    <s v=""/>
    <s v=""/>
    <x v="2"/>
  </r>
  <r>
    <x v="2"/>
    <x v="235"/>
    <n v="34"/>
    <m/>
    <x v="4"/>
    <s v=""/>
    <s v=""/>
    <s v=""/>
    <s v=""/>
    <s v=""/>
    <s v=""/>
    <s v=""/>
    <s v=""/>
    <s v=""/>
    <s v=""/>
    <s v=""/>
    <s v=""/>
    <s v=""/>
    <s v=""/>
    <s v=""/>
    <x v="2"/>
  </r>
  <r>
    <x v="2"/>
    <x v="236"/>
    <n v="18"/>
    <n v="1"/>
    <x v="1"/>
    <s v="Explicit knowledge"/>
    <s v="Knowledge that can be quickly and easily"/>
    <s v="expressed through conversations,"/>
    <s v="documentation, figures, or numbers, is"/>
    <s v="easily communicated."/>
    <s v=""/>
    <s v=""/>
    <s v=""/>
    <s v=""/>
    <s v=""/>
    <s v=""/>
    <s v=""/>
    <s v=""/>
    <s v=""/>
    <s v=""/>
    <x v="56"/>
  </r>
  <r>
    <x v="2"/>
    <x v="237"/>
    <n v="40"/>
    <m/>
    <x v="2"/>
    <s v=""/>
    <s v=""/>
    <s v=""/>
    <s v=""/>
    <s v=""/>
    <s v=""/>
    <s v=""/>
    <s v=""/>
    <s v=""/>
    <s v=""/>
    <s v=""/>
    <s v=""/>
    <s v=""/>
    <s v=""/>
    <s v=""/>
    <x v="2"/>
  </r>
  <r>
    <x v="2"/>
    <x v="238"/>
    <n v="32"/>
    <m/>
    <x v="3"/>
    <s v=""/>
    <s v=""/>
    <s v=""/>
    <s v=""/>
    <s v=""/>
    <s v=""/>
    <s v=""/>
    <s v=""/>
    <s v=""/>
    <s v=""/>
    <s v=""/>
    <s v=""/>
    <s v=""/>
    <s v=""/>
    <s v=""/>
    <x v="2"/>
  </r>
  <r>
    <x v="2"/>
    <x v="239"/>
    <n v="38"/>
    <m/>
    <x v="4"/>
    <s v=""/>
    <s v=""/>
    <s v=""/>
    <s v=""/>
    <s v=""/>
    <s v=""/>
    <s v=""/>
    <s v=""/>
    <s v=""/>
    <s v=""/>
    <s v=""/>
    <s v=""/>
    <s v=""/>
    <s v=""/>
    <s v=""/>
    <x v="2"/>
  </r>
  <r>
    <x v="2"/>
    <x v="240"/>
    <n v="20"/>
    <m/>
    <x v="5"/>
    <s v=""/>
    <s v=""/>
    <s v=""/>
    <s v=""/>
    <s v=""/>
    <s v=""/>
    <s v=""/>
    <s v=""/>
    <s v=""/>
    <s v=""/>
    <s v=""/>
    <s v=""/>
    <s v=""/>
    <s v=""/>
    <s v=""/>
    <x v="2"/>
  </r>
  <r>
    <x v="2"/>
    <x v="241"/>
    <n v="12"/>
    <n v="1"/>
    <x v="1"/>
    <s v="Future value"/>
    <s v="A benefit comparison model to determine"/>
    <s v="a future value of money. The formula to"/>
    <s v="calculate future value is FV = PV(1 + I)n,"/>
    <s v="where PV is present value, I is the given"/>
    <s v="interest rate, and n is the number of"/>
    <s v="periods."/>
    <s v=""/>
    <s v=""/>
    <s v=""/>
    <s v=""/>
    <s v=""/>
    <s v=""/>
    <s v=""/>
    <s v=""/>
    <x v="57"/>
  </r>
  <r>
    <x v="2"/>
    <x v="242"/>
    <n v="39"/>
    <m/>
    <x v="2"/>
    <s v=""/>
    <s v=""/>
    <s v=""/>
    <s v=""/>
    <s v=""/>
    <s v=""/>
    <s v=""/>
    <s v=""/>
    <s v=""/>
    <s v=""/>
    <s v=""/>
    <s v=""/>
    <s v=""/>
    <s v=""/>
    <s v=""/>
    <x v="2"/>
  </r>
  <r>
    <x v="2"/>
    <x v="243"/>
    <n v="39"/>
    <m/>
    <x v="3"/>
    <s v=""/>
    <s v=""/>
    <s v=""/>
    <s v=""/>
    <s v=""/>
    <s v=""/>
    <s v=""/>
    <s v=""/>
    <s v=""/>
    <s v=""/>
    <s v=""/>
    <s v=""/>
    <s v=""/>
    <s v=""/>
    <s v=""/>
    <x v="2"/>
  </r>
  <r>
    <x v="2"/>
    <x v="244"/>
    <n v="42"/>
    <m/>
    <x v="4"/>
    <s v=""/>
    <s v=""/>
    <s v=""/>
    <s v=""/>
    <s v=""/>
    <s v=""/>
    <s v=""/>
    <s v=""/>
    <s v=""/>
    <s v=""/>
    <s v=""/>
    <s v=""/>
    <s v=""/>
    <s v=""/>
    <s v=""/>
    <x v="2"/>
  </r>
  <r>
    <x v="2"/>
    <x v="245"/>
    <n v="41"/>
    <m/>
    <x v="5"/>
    <s v=""/>
    <s v=""/>
    <s v=""/>
    <s v=""/>
    <s v=""/>
    <s v=""/>
    <s v=""/>
    <s v=""/>
    <s v=""/>
    <s v=""/>
    <s v=""/>
    <s v=""/>
    <s v=""/>
    <s v=""/>
    <s v=""/>
    <x v="2"/>
  </r>
  <r>
    <x v="2"/>
    <x v="246"/>
    <n v="37"/>
    <m/>
    <x v="6"/>
    <s v=""/>
    <s v=""/>
    <s v=""/>
    <s v=""/>
    <s v=""/>
    <s v=""/>
    <s v=""/>
    <s v=""/>
    <s v=""/>
    <s v=""/>
    <s v=""/>
    <s v=""/>
    <s v=""/>
    <s v=""/>
    <s v=""/>
    <x v="2"/>
  </r>
  <r>
    <x v="2"/>
    <x v="247"/>
    <n v="8"/>
    <m/>
    <x v="7"/>
    <s v=""/>
    <s v=""/>
    <s v=""/>
    <s v=""/>
    <s v=""/>
    <s v=""/>
    <s v=""/>
    <s v=""/>
    <s v=""/>
    <s v=""/>
    <s v=""/>
    <s v=""/>
    <s v=""/>
    <s v=""/>
    <s v=""/>
    <x v="2"/>
  </r>
  <r>
    <x v="2"/>
    <x v="248"/>
    <n v="25"/>
    <n v="1"/>
    <x v="1"/>
    <s v="Integrated change control"/>
    <s v="A process to consider and control the"/>
    <s v="impact of a proposed change on the"/>
    <s v="project’s knowledge areas."/>
    <s v=""/>
    <s v=""/>
    <s v=""/>
    <s v=""/>
    <s v=""/>
    <s v=""/>
    <s v=""/>
    <s v=""/>
    <s v=""/>
    <s v=""/>
    <s v=""/>
    <x v="58"/>
  </r>
  <r>
    <x v="2"/>
    <x v="249"/>
    <n v="37"/>
    <m/>
    <x v="2"/>
    <s v=""/>
    <s v=""/>
    <s v=""/>
    <s v=""/>
    <s v=""/>
    <s v=""/>
    <s v=""/>
    <s v=""/>
    <s v=""/>
    <s v=""/>
    <s v=""/>
    <s v=""/>
    <s v=""/>
    <s v=""/>
    <s v=""/>
    <x v="2"/>
  </r>
  <r>
    <x v="2"/>
    <x v="250"/>
    <n v="34"/>
    <m/>
    <x v="3"/>
    <s v=""/>
    <s v=""/>
    <s v=""/>
    <s v=""/>
    <s v=""/>
    <s v=""/>
    <s v=""/>
    <s v=""/>
    <s v=""/>
    <s v=""/>
    <s v=""/>
    <s v=""/>
    <s v=""/>
    <s v=""/>
    <s v=""/>
    <x v="2"/>
  </r>
  <r>
    <x v="2"/>
    <x v="251"/>
    <n v="26"/>
    <m/>
    <x v="4"/>
    <s v=""/>
    <s v=""/>
    <s v=""/>
    <s v=""/>
    <s v=""/>
    <s v=""/>
    <s v=""/>
    <s v=""/>
    <s v=""/>
    <s v=""/>
    <s v=""/>
    <s v=""/>
    <s v=""/>
    <s v=""/>
    <s v=""/>
    <x v="2"/>
  </r>
  <r>
    <x v="2"/>
    <x v="252"/>
    <n v="9"/>
    <n v="1"/>
    <x v="1"/>
    <s v="Issue log"/>
    <s v="Issues are points of contention where"/>
    <s v="some question of the project’s direction"/>
    <s v="needs to be resolved. All identified issues"/>
    <s v="are documented in the issue log, along"/>
    <s v="with an issue owner and a deadline to"/>
    <s v="resolve the issue. The outcome of the"/>
    <s v="issue is also recorded."/>
    <s v=""/>
    <s v=""/>
    <s v=""/>
    <s v=""/>
    <s v=""/>
    <s v=""/>
    <s v=""/>
    <x v="59"/>
  </r>
  <r>
    <x v="2"/>
    <x v="253"/>
    <n v="37"/>
    <m/>
    <x v="2"/>
    <s v=""/>
    <s v=""/>
    <s v=""/>
    <s v=""/>
    <s v=""/>
    <s v=""/>
    <s v=""/>
    <s v=""/>
    <s v=""/>
    <s v=""/>
    <s v=""/>
    <s v=""/>
    <s v=""/>
    <s v=""/>
    <s v=""/>
    <x v="2"/>
  </r>
  <r>
    <x v="2"/>
    <x v="254"/>
    <n v="40"/>
    <m/>
    <x v="3"/>
    <s v=""/>
    <s v=""/>
    <s v=""/>
    <s v=""/>
    <s v=""/>
    <s v=""/>
    <s v=""/>
    <s v=""/>
    <s v=""/>
    <s v=""/>
    <s v=""/>
    <s v=""/>
    <s v=""/>
    <s v=""/>
    <s v=""/>
    <x v="2"/>
  </r>
  <r>
    <x v="2"/>
    <x v="255"/>
    <n v="43"/>
    <m/>
    <x v="4"/>
    <s v=""/>
    <s v=""/>
    <s v=""/>
    <s v=""/>
    <s v=""/>
    <s v=""/>
    <s v=""/>
    <s v=""/>
    <s v=""/>
    <s v=""/>
    <s v=""/>
    <s v=""/>
    <s v=""/>
    <s v=""/>
    <s v=""/>
    <x v="2"/>
  </r>
  <r>
    <x v="2"/>
    <x v="256"/>
    <n v="38"/>
    <m/>
    <x v="5"/>
    <s v=""/>
    <s v=""/>
    <s v=""/>
    <s v=""/>
    <s v=""/>
    <s v=""/>
    <s v=""/>
    <s v=""/>
    <s v=""/>
    <s v=""/>
    <s v=""/>
    <s v=""/>
    <s v=""/>
    <s v=""/>
    <s v=""/>
    <x v="2"/>
  </r>
  <r>
    <x v="2"/>
    <x v="257"/>
    <n v="37"/>
    <m/>
    <x v="6"/>
    <s v=""/>
    <s v=""/>
    <s v=""/>
    <s v=""/>
    <s v=""/>
    <s v=""/>
    <s v=""/>
    <s v=""/>
    <s v=""/>
    <s v=""/>
    <s v=""/>
    <s v=""/>
    <s v=""/>
    <s v=""/>
    <s v=""/>
    <x v="2"/>
  </r>
  <r>
    <x v="2"/>
    <x v="258"/>
    <n v="37"/>
    <m/>
    <x v="7"/>
    <s v=""/>
    <s v=""/>
    <s v=""/>
    <s v=""/>
    <s v=""/>
    <s v=""/>
    <s v=""/>
    <s v=""/>
    <s v=""/>
    <s v=""/>
    <s v=""/>
    <s v=""/>
    <s v=""/>
    <s v=""/>
    <s v=""/>
    <x v="2"/>
  </r>
  <r>
    <x v="2"/>
    <x v="259"/>
    <n v="23"/>
    <m/>
    <x v="8"/>
    <s v=""/>
    <s v=""/>
    <s v=""/>
    <s v=""/>
    <s v=""/>
    <s v=""/>
    <s v=""/>
    <s v=""/>
    <s v=""/>
    <s v=""/>
    <s v=""/>
    <s v=""/>
    <s v=""/>
    <s v=""/>
    <s v=""/>
    <x v="2"/>
  </r>
  <r>
    <x v="2"/>
    <x v="260"/>
    <n v="18"/>
    <n v="1"/>
    <x v="1"/>
    <s v="Mathematical model"/>
    <s v="A project selection method to determine"/>
    <s v="the likelihood of success. These models"/>
    <s v="include linear programming, nonlinear"/>
    <s v="programming, dynamic programming,"/>
    <s v="integer programming, and multiobjective"/>
    <s v="programming."/>
    <s v=""/>
    <s v=""/>
    <s v=""/>
    <s v=""/>
    <s v=""/>
    <s v=""/>
    <s v=""/>
    <s v=""/>
    <x v="60"/>
  </r>
  <r>
    <x v="2"/>
    <x v="261"/>
    <n v="39"/>
    <m/>
    <x v="2"/>
    <s v=""/>
    <s v=""/>
    <s v=""/>
    <s v=""/>
    <s v=""/>
    <s v=""/>
    <s v=""/>
    <s v=""/>
    <s v=""/>
    <s v=""/>
    <s v=""/>
    <s v=""/>
    <s v=""/>
    <s v=""/>
    <s v=""/>
    <x v="2"/>
  </r>
  <r>
    <x v="2"/>
    <x v="262"/>
    <n v="39"/>
    <m/>
    <x v="3"/>
    <s v=""/>
    <s v=""/>
    <s v=""/>
    <s v=""/>
    <s v=""/>
    <s v=""/>
    <s v=""/>
    <s v=""/>
    <s v=""/>
    <s v=""/>
    <s v=""/>
    <s v=""/>
    <s v=""/>
    <s v=""/>
    <s v=""/>
    <x v="2"/>
  </r>
  <r>
    <x v="2"/>
    <x v="263"/>
    <n v="37"/>
    <m/>
    <x v="4"/>
    <s v=""/>
    <s v=""/>
    <s v=""/>
    <s v=""/>
    <s v=""/>
    <s v=""/>
    <s v=""/>
    <s v=""/>
    <s v=""/>
    <s v=""/>
    <s v=""/>
    <s v=""/>
    <s v=""/>
    <s v=""/>
    <s v=""/>
    <x v="2"/>
  </r>
  <r>
    <x v="2"/>
    <x v="264"/>
    <n v="33"/>
    <m/>
    <x v="5"/>
    <s v=""/>
    <s v=""/>
    <s v=""/>
    <s v=""/>
    <s v=""/>
    <s v=""/>
    <s v=""/>
    <s v=""/>
    <s v=""/>
    <s v=""/>
    <s v=""/>
    <s v=""/>
    <s v=""/>
    <s v=""/>
    <s v=""/>
    <x v="2"/>
  </r>
  <r>
    <x v="2"/>
    <x v="265"/>
    <n v="39"/>
    <m/>
    <x v="6"/>
    <s v=""/>
    <s v=""/>
    <s v=""/>
    <s v=""/>
    <s v=""/>
    <s v=""/>
    <s v=""/>
    <s v=""/>
    <s v=""/>
    <s v=""/>
    <s v=""/>
    <s v=""/>
    <s v=""/>
    <s v=""/>
    <s v=""/>
    <x v="2"/>
  </r>
  <r>
    <x v="2"/>
    <x v="266"/>
    <n v="12"/>
    <m/>
    <x v="7"/>
    <s v=""/>
    <s v=""/>
    <s v=""/>
    <s v=""/>
    <s v=""/>
    <s v=""/>
    <s v=""/>
    <s v=""/>
    <s v=""/>
    <s v=""/>
    <s v=""/>
    <s v=""/>
    <s v=""/>
    <s v=""/>
    <s v=""/>
    <x v="2"/>
  </r>
  <r>
    <x v="2"/>
    <x v="267"/>
    <n v="9"/>
    <n v="1"/>
    <x v="1"/>
    <s v="Milestone"/>
    <s v="Milestones are significant points or"/>
    <s v="events in the project’s progress that"/>
    <s v="represent accomplishment in the project."/>
    <s v="Projects usually create milestones as the"/>
    <s v="result of completing phases within the"/>
    <s v="project."/>
    <s v=""/>
    <s v=""/>
    <s v=""/>
    <s v=""/>
    <s v=""/>
    <s v=""/>
    <s v=""/>
    <s v=""/>
    <x v="61"/>
  </r>
  <r>
    <x v="2"/>
    <x v="268"/>
    <n v="36"/>
    <m/>
    <x v="2"/>
    <s v=""/>
    <s v=""/>
    <s v=""/>
    <s v=""/>
    <s v=""/>
    <s v=""/>
    <s v=""/>
    <s v=""/>
    <s v=""/>
    <s v=""/>
    <s v=""/>
    <s v=""/>
    <s v=""/>
    <s v=""/>
    <s v=""/>
    <x v="2"/>
  </r>
  <r>
    <x v="2"/>
    <x v="269"/>
    <n v="37"/>
    <m/>
    <x v="3"/>
    <s v=""/>
    <s v=""/>
    <s v=""/>
    <s v=""/>
    <s v=""/>
    <s v=""/>
    <s v=""/>
    <s v=""/>
    <s v=""/>
    <s v=""/>
    <s v=""/>
    <s v=""/>
    <s v=""/>
    <s v=""/>
    <s v=""/>
    <x v="2"/>
  </r>
  <r>
    <x v="2"/>
    <x v="270"/>
    <n v="40"/>
    <m/>
    <x v="4"/>
    <s v=""/>
    <s v=""/>
    <s v=""/>
    <s v=""/>
    <s v=""/>
    <s v=""/>
    <s v=""/>
    <s v=""/>
    <s v=""/>
    <s v=""/>
    <s v=""/>
    <s v=""/>
    <s v=""/>
    <s v=""/>
    <s v=""/>
    <x v="2"/>
  </r>
  <r>
    <x v="2"/>
    <x v="271"/>
    <n v="41"/>
    <m/>
    <x v="5"/>
    <s v=""/>
    <s v=""/>
    <s v=""/>
    <s v=""/>
    <s v=""/>
    <s v=""/>
    <s v=""/>
    <s v=""/>
    <s v=""/>
    <s v=""/>
    <s v=""/>
    <s v=""/>
    <s v=""/>
    <s v=""/>
    <s v=""/>
    <x v="2"/>
  </r>
  <r>
    <x v="2"/>
    <x v="272"/>
    <n v="38"/>
    <m/>
    <x v="6"/>
    <s v=""/>
    <s v=""/>
    <s v=""/>
    <s v=""/>
    <s v=""/>
    <s v=""/>
    <s v=""/>
    <s v=""/>
    <s v=""/>
    <s v=""/>
    <s v=""/>
    <s v=""/>
    <s v=""/>
    <s v=""/>
    <s v=""/>
    <x v="2"/>
  </r>
  <r>
    <x v="2"/>
    <x v="130"/>
    <n v="8"/>
    <m/>
    <x v="7"/>
    <s v=""/>
    <s v=""/>
    <s v=""/>
    <s v=""/>
    <s v=""/>
    <s v=""/>
    <s v=""/>
    <s v=""/>
    <s v=""/>
    <s v=""/>
    <s v=""/>
    <s v=""/>
    <s v=""/>
    <s v=""/>
    <s v=""/>
    <x v="2"/>
  </r>
  <r>
    <x v="2"/>
    <x v="273"/>
    <n v="14"/>
    <n v="1"/>
    <x v="1"/>
    <s v="Milestone list"/>
    <s v="This list details the project milestones and"/>
    <s v="their attributes. It is used for several"/>
    <s v="areas of project planning, but also helps"/>
    <s v="determine how quickly the project may be"/>
    <s v="achieving its objectives."/>
    <s v=""/>
    <s v=""/>
    <s v=""/>
    <s v=""/>
    <s v=""/>
    <s v=""/>
    <s v=""/>
    <s v=""/>
    <s v=""/>
    <x v="62"/>
  </r>
  <r>
    <x v="2"/>
    <x v="274"/>
    <n v="44"/>
    <m/>
    <x v="2"/>
    <s v=""/>
    <s v=""/>
    <s v=""/>
    <s v=""/>
    <s v=""/>
    <s v=""/>
    <s v=""/>
    <s v=""/>
    <s v=""/>
    <s v=""/>
    <s v=""/>
    <s v=""/>
    <s v=""/>
    <s v=""/>
    <s v=""/>
    <x v="2"/>
  </r>
  <r>
    <x v="2"/>
    <x v="275"/>
    <n v="40"/>
    <m/>
    <x v="3"/>
    <s v=""/>
    <s v=""/>
    <s v=""/>
    <s v=""/>
    <s v=""/>
    <s v=""/>
    <s v=""/>
    <s v=""/>
    <s v=""/>
    <s v=""/>
    <s v=""/>
    <s v=""/>
    <s v=""/>
    <s v=""/>
    <s v=""/>
    <x v="2"/>
  </r>
  <r>
    <x v="2"/>
    <x v="276"/>
    <n v="41"/>
    <m/>
    <x v="4"/>
    <s v=""/>
    <s v=""/>
    <s v=""/>
    <s v=""/>
    <s v=""/>
    <s v=""/>
    <s v=""/>
    <s v=""/>
    <s v=""/>
    <s v=""/>
    <s v=""/>
    <s v=""/>
    <s v=""/>
    <s v=""/>
    <s v=""/>
    <x v="2"/>
  </r>
  <r>
    <x v="2"/>
    <x v="277"/>
    <n v="40"/>
    <m/>
    <x v="5"/>
    <s v=""/>
    <s v=""/>
    <s v=""/>
    <s v=""/>
    <s v=""/>
    <s v=""/>
    <s v=""/>
    <s v=""/>
    <s v=""/>
    <s v=""/>
    <s v=""/>
    <s v=""/>
    <s v=""/>
    <s v=""/>
    <s v=""/>
    <x v="2"/>
  </r>
  <r>
    <x v="2"/>
    <x v="278"/>
    <n v="25"/>
    <m/>
    <x v="6"/>
    <s v=""/>
    <s v=""/>
    <s v=""/>
    <s v=""/>
    <s v=""/>
    <s v=""/>
    <s v=""/>
    <s v=""/>
    <s v=""/>
    <s v=""/>
    <s v=""/>
    <s v=""/>
    <s v=""/>
    <s v=""/>
    <s v=""/>
    <x v="2"/>
  </r>
  <r>
    <x v="2"/>
    <x v="279"/>
    <n v="13"/>
    <n v="1"/>
    <x v="1"/>
    <s v="Murder boards"/>
    <s v="These are committees that ask every"/>
    <s v="conceivable negative question about the"/>
    <s v="proposed project. Their goals are to"/>
    <s v="expose the project’s strengths and"/>
    <s v="weaknesses, and to kill the project if it’s"/>
    <s v="deemed unworthy for the organization to"/>
    <s v="commit to. Also known as project steering"/>
    <s v="committees or project selection"/>
    <s v="committees."/>
    <s v=""/>
    <s v=""/>
    <s v=""/>
    <s v=""/>
    <s v=""/>
    <x v="63"/>
  </r>
  <r>
    <x v="2"/>
    <x v="280"/>
    <n v="35"/>
    <m/>
    <x v="2"/>
    <s v=""/>
    <s v=""/>
    <s v=""/>
    <s v=""/>
    <s v=""/>
    <s v=""/>
    <s v=""/>
    <s v=""/>
    <s v=""/>
    <s v=""/>
    <s v=""/>
    <s v=""/>
    <s v=""/>
    <s v=""/>
    <s v=""/>
    <x v="2"/>
  </r>
  <r>
    <x v="2"/>
    <x v="281"/>
    <n v="39"/>
    <m/>
    <x v="3"/>
    <s v=""/>
    <s v=""/>
    <s v=""/>
    <s v=""/>
    <s v=""/>
    <s v=""/>
    <s v=""/>
    <s v=""/>
    <s v=""/>
    <s v=""/>
    <s v=""/>
    <s v=""/>
    <s v=""/>
    <s v=""/>
    <s v=""/>
    <x v="2"/>
  </r>
  <r>
    <x v="2"/>
    <x v="282"/>
    <n v="36"/>
    <m/>
    <x v="4"/>
    <s v=""/>
    <s v=""/>
    <s v=""/>
    <s v=""/>
    <s v=""/>
    <s v=""/>
    <s v=""/>
    <s v=""/>
    <s v=""/>
    <s v=""/>
    <s v=""/>
    <s v=""/>
    <s v=""/>
    <s v=""/>
    <s v=""/>
    <x v="2"/>
  </r>
  <r>
    <x v="2"/>
    <x v="283"/>
    <n v="34"/>
    <m/>
    <x v="5"/>
    <s v=""/>
    <s v=""/>
    <s v=""/>
    <s v=""/>
    <s v=""/>
    <s v=""/>
    <s v=""/>
    <s v=""/>
    <s v=""/>
    <s v=""/>
    <s v=""/>
    <s v=""/>
    <s v=""/>
    <s v=""/>
    <s v=""/>
    <x v="2"/>
  </r>
  <r>
    <x v="2"/>
    <x v="284"/>
    <n v="43"/>
    <m/>
    <x v="6"/>
    <s v=""/>
    <s v=""/>
    <s v=""/>
    <s v=""/>
    <s v=""/>
    <s v=""/>
    <s v=""/>
    <s v=""/>
    <s v=""/>
    <s v=""/>
    <s v=""/>
    <s v=""/>
    <s v=""/>
    <s v=""/>
    <s v=""/>
    <x v="2"/>
  </r>
  <r>
    <x v="2"/>
    <x v="285"/>
    <n v="39"/>
    <m/>
    <x v="7"/>
    <s v=""/>
    <s v=""/>
    <s v=""/>
    <s v=""/>
    <s v=""/>
    <s v=""/>
    <s v=""/>
    <s v=""/>
    <s v=""/>
    <s v=""/>
    <s v=""/>
    <s v=""/>
    <s v=""/>
    <s v=""/>
    <s v=""/>
    <x v="2"/>
  </r>
  <r>
    <x v="2"/>
    <x v="286"/>
    <n v="41"/>
    <m/>
    <x v="8"/>
    <s v=""/>
    <s v=""/>
    <s v=""/>
    <s v=""/>
    <s v=""/>
    <s v=""/>
    <s v=""/>
    <s v=""/>
    <s v=""/>
    <s v=""/>
    <s v=""/>
    <s v=""/>
    <s v=""/>
    <s v=""/>
    <s v=""/>
    <x v="2"/>
  </r>
  <r>
    <x v="2"/>
    <x v="287"/>
    <n v="31"/>
    <m/>
    <x v="9"/>
    <s v=""/>
    <s v=""/>
    <s v=""/>
    <s v=""/>
    <s v=""/>
    <s v=""/>
    <s v=""/>
    <s v=""/>
    <s v=""/>
    <s v=""/>
    <s v=""/>
    <s v=""/>
    <s v=""/>
    <s v=""/>
    <s v=""/>
    <x v="2"/>
  </r>
  <r>
    <x v="2"/>
    <x v="288"/>
    <n v="11"/>
    <m/>
    <x v="10"/>
    <s v=""/>
    <s v=""/>
    <s v=""/>
    <s v=""/>
    <s v=""/>
    <s v=""/>
    <s v=""/>
    <s v=""/>
    <s v=""/>
    <s v=""/>
    <s v=""/>
    <s v=""/>
    <s v=""/>
    <s v=""/>
    <s v=""/>
    <x v="2"/>
  </r>
  <r>
    <x v="2"/>
    <x v="289"/>
    <n v="17"/>
    <n v="1"/>
    <x v="1"/>
    <s v="Net present value"/>
    <s v="Evaluates the monies returned on a"/>
    <s v="project for each period the project lasts."/>
    <s v=""/>
    <s v=""/>
    <s v=""/>
    <s v=""/>
    <s v=""/>
    <s v=""/>
    <s v=""/>
    <s v=""/>
    <s v=""/>
    <s v=""/>
    <s v=""/>
    <s v=""/>
    <x v="64"/>
  </r>
  <r>
    <x v="2"/>
    <x v="290"/>
    <n v="34"/>
    <m/>
    <x v="2"/>
    <s v=""/>
    <s v=""/>
    <s v=""/>
    <s v=""/>
    <s v=""/>
    <s v=""/>
    <s v=""/>
    <s v=""/>
    <s v=""/>
    <s v=""/>
    <s v=""/>
    <s v=""/>
    <s v=""/>
    <s v=""/>
    <s v=""/>
    <x v="2"/>
  </r>
  <r>
    <x v="2"/>
    <x v="291"/>
    <n v="42"/>
    <m/>
    <x v="3"/>
    <s v=""/>
    <s v=""/>
    <s v=""/>
    <s v=""/>
    <s v=""/>
    <s v=""/>
    <s v=""/>
    <s v=""/>
    <s v=""/>
    <s v=""/>
    <s v=""/>
    <s v=""/>
    <s v=""/>
    <s v=""/>
    <s v=""/>
    <x v="2"/>
  </r>
  <r>
    <x v="2"/>
    <x v="292"/>
    <n v="14"/>
    <n v="1"/>
    <x v="1"/>
    <s v="Payback period"/>
    <s v="An estimate to predict how long it will"/>
    <s v="take a project to pay back an organization"/>
    <s v="for the project’s investment of capital."/>
    <s v=""/>
    <s v=""/>
    <s v=""/>
    <s v=""/>
    <s v=""/>
    <s v=""/>
    <s v=""/>
    <s v=""/>
    <s v=""/>
    <s v=""/>
    <s v=""/>
    <x v="65"/>
  </r>
  <r>
    <x v="2"/>
    <x v="293"/>
    <n v="39"/>
    <m/>
    <x v="2"/>
    <s v=""/>
    <s v=""/>
    <s v=""/>
    <s v=""/>
    <s v=""/>
    <s v=""/>
    <s v=""/>
    <s v=""/>
    <s v=""/>
    <s v=""/>
    <s v=""/>
    <s v=""/>
    <s v=""/>
    <s v=""/>
    <s v=""/>
    <x v="2"/>
  </r>
  <r>
    <x v="2"/>
    <x v="294"/>
    <n v="42"/>
    <m/>
    <x v="3"/>
    <s v=""/>
    <s v=""/>
    <s v=""/>
    <s v=""/>
    <s v=""/>
    <s v=""/>
    <s v=""/>
    <s v=""/>
    <s v=""/>
    <s v=""/>
    <s v=""/>
    <s v=""/>
    <s v=""/>
    <s v=""/>
    <s v=""/>
    <x v="2"/>
  </r>
  <r>
    <x v="2"/>
    <x v="295"/>
    <n v="40"/>
    <m/>
    <x v="4"/>
    <s v=""/>
    <s v=""/>
    <s v=""/>
    <s v=""/>
    <s v=""/>
    <s v=""/>
    <s v=""/>
    <s v=""/>
    <s v=""/>
    <s v=""/>
    <s v=""/>
    <s v=""/>
    <s v=""/>
    <s v=""/>
    <s v=""/>
    <x v="2"/>
  </r>
  <r>
    <x v="2"/>
    <x v="296"/>
    <n v="13"/>
    <n v="1"/>
    <x v="1"/>
    <s v="Present value"/>
    <s v="A benefit comparison model to determine"/>
    <s v="the present value of a future amount of"/>
    <s v="money. The formula to calculate present"/>
    <s v="value is PV = FV ÷ (1 + i)n, where FV is"/>
    <s v="future value, I is the given interest rate,"/>
    <s v="and n is the number of periods."/>
    <s v=""/>
    <s v=""/>
    <s v=""/>
    <s v=""/>
    <s v=""/>
    <s v=""/>
    <s v=""/>
    <s v=""/>
    <x v="66"/>
  </r>
  <r>
    <x v="2"/>
    <x v="242"/>
    <n v="39"/>
    <m/>
    <x v="2"/>
    <s v=""/>
    <s v=""/>
    <s v=""/>
    <s v=""/>
    <s v=""/>
    <s v=""/>
    <s v=""/>
    <s v=""/>
    <s v=""/>
    <s v=""/>
    <s v=""/>
    <s v=""/>
    <s v=""/>
    <s v=""/>
    <s v=""/>
    <x v="2"/>
  </r>
  <r>
    <x v="2"/>
    <x v="297"/>
    <n v="39"/>
    <m/>
    <x v="3"/>
    <s v=""/>
    <s v=""/>
    <s v=""/>
    <s v=""/>
    <s v=""/>
    <s v=""/>
    <s v=""/>
    <s v=""/>
    <s v=""/>
    <s v=""/>
    <s v=""/>
    <s v=""/>
    <s v=""/>
    <s v=""/>
    <s v=""/>
    <x v="2"/>
  </r>
  <r>
    <x v="2"/>
    <x v="298"/>
    <n v="39"/>
    <m/>
    <x v="4"/>
    <s v=""/>
    <s v=""/>
    <s v=""/>
    <s v=""/>
    <s v=""/>
    <s v=""/>
    <s v=""/>
    <s v=""/>
    <s v=""/>
    <s v=""/>
    <s v=""/>
    <s v=""/>
    <s v=""/>
    <s v=""/>
    <s v=""/>
    <x v="2"/>
  </r>
  <r>
    <x v="2"/>
    <x v="299"/>
    <n v="40"/>
    <m/>
    <x v="5"/>
    <s v=""/>
    <s v=""/>
    <s v=""/>
    <s v=""/>
    <s v=""/>
    <s v=""/>
    <s v=""/>
    <s v=""/>
    <s v=""/>
    <s v=""/>
    <s v=""/>
    <s v=""/>
    <s v=""/>
    <s v=""/>
    <s v=""/>
    <x v="2"/>
  </r>
  <r>
    <x v="2"/>
    <x v="300"/>
    <n v="43"/>
    <m/>
    <x v="6"/>
    <s v=""/>
    <s v=""/>
    <s v=""/>
    <s v=""/>
    <s v=""/>
    <s v=""/>
    <s v=""/>
    <s v=""/>
    <s v=""/>
    <s v=""/>
    <s v=""/>
    <s v=""/>
    <s v=""/>
    <s v=""/>
    <s v=""/>
    <x v="2"/>
  </r>
  <r>
    <x v="2"/>
    <x v="301"/>
    <n v="31"/>
    <m/>
    <x v="7"/>
    <s v=""/>
    <s v=""/>
    <s v=""/>
    <s v=""/>
    <s v=""/>
    <s v=""/>
    <s v=""/>
    <s v=""/>
    <s v=""/>
    <s v=""/>
    <s v=""/>
    <s v=""/>
    <s v=""/>
    <s v=""/>
    <s v=""/>
    <x v="2"/>
  </r>
  <r>
    <x v="2"/>
    <x v="302"/>
    <n v="27"/>
    <n v="1"/>
    <x v="1"/>
    <s v="Procurement management plan"/>
    <s v="The procurement management plan"/>
    <s v="controls how the project will acquire"/>
    <s v="goods and services."/>
    <s v=""/>
    <s v=""/>
    <s v=""/>
    <s v=""/>
    <s v=""/>
    <s v=""/>
    <s v=""/>
    <s v=""/>
    <s v=""/>
    <s v=""/>
    <s v=""/>
    <x v="67"/>
  </r>
  <r>
    <x v="2"/>
    <x v="303"/>
    <n v="31"/>
    <m/>
    <x v="2"/>
    <s v=""/>
    <s v=""/>
    <s v=""/>
    <s v=""/>
    <s v=""/>
    <s v=""/>
    <s v=""/>
    <s v=""/>
    <s v=""/>
    <s v=""/>
    <s v=""/>
    <s v=""/>
    <s v=""/>
    <s v=""/>
    <s v=""/>
    <x v="2"/>
  </r>
  <r>
    <x v="2"/>
    <x v="304"/>
    <n v="37"/>
    <m/>
    <x v="3"/>
    <s v=""/>
    <s v=""/>
    <s v=""/>
    <s v=""/>
    <s v=""/>
    <s v=""/>
    <s v=""/>
    <s v=""/>
    <s v=""/>
    <s v=""/>
    <s v=""/>
    <s v=""/>
    <s v=""/>
    <s v=""/>
    <s v=""/>
    <x v="2"/>
  </r>
  <r>
    <x v="2"/>
    <x v="305"/>
    <n v="19"/>
    <m/>
    <x v="4"/>
    <s v=""/>
    <s v=""/>
    <s v=""/>
    <s v=""/>
    <s v=""/>
    <s v=""/>
    <s v=""/>
    <s v=""/>
    <s v=""/>
    <s v=""/>
    <s v=""/>
    <s v=""/>
    <s v=""/>
    <s v=""/>
    <s v=""/>
    <x v="2"/>
  </r>
  <r>
    <x v="2"/>
    <x v="306"/>
    <n v="15"/>
    <n v="1"/>
    <x v="1"/>
    <s v="Project charter"/>
    <s v="This document authorizes the project. It"/>
    <s v="defines the initial requirements of the"/>
    <s v="project stakeholders. The project charter"/>
    <s v="is endorsed by an entity outside of the"/>
    <s v="project boundaries."/>
    <s v=""/>
    <s v=""/>
    <s v=""/>
    <s v=""/>
    <s v=""/>
    <s v=""/>
    <s v=""/>
    <s v=""/>
    <s v=""/>
    <x v="68"/>
  </r>
  <r>
    <x v="2"/>
    <x v="307"/>
    <n v="40"/>
    <m/>
    <x v="2"/>
    <s v=""/>
    <s v=""/>
    <s v=""/>
    <s v=""/>
    <s v=""/>
    <s v=""/>
    <s v=""/>
    <s v=""/>
    <s v=""/>
    <s v=""/>
    <s v=""/>
    <s v=""/>
    <s v=""/>
    <s v=""/>
    <s v=""/>
    <x v="2"/>
  </r>
  <r>
    <x v="2"/>
    <x v="308"/>
    <n v="39"/>
    <m/>
    <x v="3"/>
    <s v=""/>
    <s v=""/>
    <s v=""/>
    <s v=""/>
    <s v=""/>
    <s v=""/>
    <s v=""/>
    <s v=""/>
    <s v=""/>
    <s v=""/>
    <s v=""/>
    <s v=""/>
    <s v=""/>
    <s v=""/>
    <s v=""/>
    <x v="2"/>
  </r>
  <r>
    <x v="2"/>
    <x v="309"/>
    <n v="41"/>
    <m/>
    <x v="4"/>
    <s v=""/>
    <s v=""/>
    <s v=""/>
    <s v=""/>
    <s v=""/>
    <s v=""/>
    <s v=""/>
    <s v=""/>
    <s v=""/>
    <s v=""/>
    <s v=""/>
    <s v=""/>
    <s v=""/>
    <s v=""/>
    <s v=""/>
    <x v="2"/>
  </r>
  <r>
    <x v="2"/>
    <x v="310"/>
    <n v="39"/>
    <m/>
    <x v="5"/>
    <s v=""/>
    <s v=""/>
    <s v=""/>
    <s v=""/>
    <s v=""/>
    <s v=""/>
    <s v=""/>
    <s v=""/>
    <s v=""/>
    <s v=""/>
    <s v=""/>
    <s v=""/>
    <s v=""/>
    <s v=""/>
    <s v=""/>
    <x v="2"/>
  </r>
  <r>
    <x v="2"/>
    <x v="311"/>
    <n v="19"/>
    <m/>
    <x v="6"/>
    <s v=""/>
    <s v=""/>
    <s v=""/>
    <s v=""/>
    <s v=""/>
    <s v=""/>
    <s v=""/>
    <s v=""/>
    <s v=""/>
    <s v=""/>
    <s v=""/>
    <s v=""/>
    <s v=""/>
    <s v=""/>
    <s v=""/>
    <x v="2"/>
  </r>
  <r>
    <x v="2"/>
    <x v="312"/>
    <n v="23"/>
    <n v="1"/>
    <x v="1"/>
    <s v="Project management plan"/>
    <s v="The documented approach of how a"/>
    <s v="project will be planned, executed,"/>
    <s v="monitored and controlled, and then"/>
    <s v="closed. This document is a collection of"/>
    <s v="subsidiary management plans and related"/>
    <s v="documents."/>
    <s v=""/>
    <s v=""/>
    <s v=""/>
    <s v=""/>
    <s v=""/>
    <s v=""/>
    <s v=""/>
    <s v=""/>
    <x v="69"/>
  </r>
  <r>
    <x v="2"/>
    <x v="313"/>
    <n v="32"/>
    <m/>
    <x v="2"/>
    <s v=""/>
    <s v=""/>
    <s v=""/>
    <s v=""/>
    <s v=""/>
    <s v=""/>
    <s v=""/>
    <s v=""/>
    <s v=""/>
    <s v=""/>
    <s v=""/>
    <s v=""/>
    <s v=""/>
    <s v=""/>
    <s v=""/>
    <x v="2"/>
  </r>
  <r>
    <x v="2"/>
    <x v="314"/>
    <n v="34"/>
    <m/>
    <x v="3"/>
    <s v=""/>
    <s v=""/>
    <s v=""/>
    <s v=""/>
    <s v=""/>
    <s v=""/>
    <s v=""/>
    <s v=""/>
    <s v=""/>
    <s v=""/>
    <s v=""/>
    <s v=""/>
    <s v=""/>
    <s v=""/>
    <s v=""/>
    <x v="2"/>
  </r>
  <r>
    <x v="2"/>
    <x v="315"/>
    <n v="34"/>
    <m/>
    <x v="4"/>
    <s v=""/>
    <s v=""/>
    <s v=""/>
    <s v=""/>
    <s v=""/>
    <s v=""/>
    <s v=""/>
    <s v=""/>
    <s v=""/>
    <s v=""/>
    <s v=""/>
    <s v=""/>
    <s v=""/>
    <s v=""/>
    <s v=""/>
    <x v="2"/>
  </r>
  <r>
    <x v="2"/>
    <x v="316"/>
    <n v="40"/>
    <m/>
    <x v="5"/>
    <s v=""/>
    <s v=""/>
    <s v=""/>
    <s v=""/>
    <s v=""/>
    <s v=""/>
    <s v=""/>
    <s v=""/>
    <s v=""/>
    <s v=""/>
    <s v=""/>
    <s v=""/>
    <s v=""/>
    <s v=""/>
    <s v=""/>
    <x v="2"/>
  </r>
  <r>
    <x v="2"/>
    <x v="317"/>
    <n v="39"/>
    <m/>
    <x v="6"/>
    <s v=""/>
    <s v=""/>
    <s v=""/>
    <s v=""/>
    <s v=""/>
    <s v=""/>
    <s v=""/>
    <s v=""/>
    <s v=""/>
    <s v=""/>
    <s v=""/>
    <s v=""/>
    <s v=""/>
    <s v=""/>
    <s v=""/>
    <x v="2"/>
  </r>
  <r>
    <x v="2"/>
    <x v="318"/>
    <n v="10"/>
    <m/>
    <x v="7"/>
    <s v=""/>
    <s v=""/>
    <s v=""/>
    <s v=""/>
    <s v=""/>
    <s v=""/>
    <s v=""/>
    <s v=""/>
    <s v=""/>
    <s v=""/>
    <s v=""/>
    <s v=""/>
    <s v=""/>
    <s v=""/>
    <s v=""/>
    <x v="2"/>
  </r>
  <r>
    <x v="2"/>
    <x v="319"/>
    <n v="29"/>
    <n v="1"/>
    <x v="1"/>
    <s v="Project scope management plan"/>
    <s v="Defines how the project scope will be"/>
    <s v="planned, managed, and controlled."/>
    <s v=""/>
    <s v=""/>
    <s v=""/>
    <s v=""/>
    <s v=""/>
    <s v=""/>
    <s v=""/>
    <s v=""/>
    <s v=""/>
    <s v=""/>
    <s v=""/>
    <s v=""/>
    <x v="70"/>
  </r>
  <r>
    <x v="2"/>
    <x v="320"/>
    <n v="37"/>
    <m/>
    <x v="2"/>
    <s v=""/>
    <s v=""/>
    <s v=""/>
    <s v=""/>
    <s v=""/>
    <s v=""/>
    <s v=""/>
    <s v=""/>
    <s v=""/>
    <s v=""/>
    <s v=""/>
    <s v=""/>
    <s v=""/>
    <s v=""/>
    <s v=""/>
    <x v="2"/>
  </r>
  <r>
    <x v="2"/>
    <x v="321"/>
    <n v="33"/>
    <m/>
    <x v="3"/>
    <s v=""/>
    <s v=""/>
    <s v=""/>
    <s v=""/>
    <s v=""/>
    <s v=""/>
    <s v=""/>
    <s v=""/>
    <s v=""/>
    <s v=""/>
    <s v=""/>
    <s v=""/>
    <s v=""/>
    <s v=""/>
    <s v=""/>
    <x v="2"/>
  </r>
  <r>
    <x v="2"/>
    <x v="322"/>
    <n v="16"/>
    <n v="1"/>
    <x v="1"/>
    <s v="Quality baseline"/>
    <s v="Documents the quality objectives for the"/>
    <s v="project, including the metrics for"/>
    <s v="stakeholder acceptance of the project"/>
    <s v="deliverable."/>
    <s v=""/>
    <s v=""/>
    <s v=""/>
    <s v=""/>
    <s v=""/>
    <s v=""/>
    <s v=""/>
    <s v=""/>
    <s v=""/>
    <s v=""/>
    <x v="71"/>
  </r>
  <r>
    <x v="2"/>
    <x v="323"/>
    <n v="40"/>
    <m/>
    <x v="2"/>
    <s v=""/>
    <s v=""/>
    <s v=""/>
    <s v=""/>
    <s v=""/>
    <s v=""/>
    <s v=""/>
    <s v=""/>
    <s v=""/>
    <s v=""/>
    <s v=""/>
    <s v=""/>
    <s v=""/>
    <s v=""/>
    <s v=""/>
    <x v="2"/>
  </r>
  <r>
    <x v="2"/>
    <x v="324"/>
    <n v="34"/>
    <m/>
    <x v="3"/>
    <s v=""/>
    <s v=""/>
    <s v=""/>
    <s v=""/>
    <s v=""/>
    <s v=""/>
    <s v=""/>
    <s v=""/>
    <s v=""/>
    <s v=""/>
    <s v=""/>
    <s v=""/>
    <s v=""/>
    <s v=""/>
    <s v=""/>
    <x v="2"/>
  </r>
  <r>
    <x v="2"/>
    <x v="325"/>
    <n v="37"/>
    <m/>
    <x v="4"/>
    <s v=""/>
    <s v=""/>
    <s v=""/>
    <s v=""/>
    <s v=""/>
    <s v=""/>
    <s v=""/>
    <s v=""/>
    <s v=""/>
    <s v=""/>
    <s v=""/>
    <s v=""/>
    <s v=""/>
    <s v=""/>
    <s v=""/>
    <x v="2"/>
  </r>
  <r>
    <x v="2"/>
    <x v="326"/>
    <n v="12"/>
    <m/>
    <x v="5"/>
    <s v=""/>
    <s v=""/>
    <s v=""/>
    <s v=""/>
    <s v=""/>
    <s v=""/>
    <s v=""/>
    <s v=""/>
    <s v=""/>
    <s v=""/>
    <s v=""/>
    <s v=""/>
    <s v=""/>
    <s v=""/>
    <s v=""/>
    <x v="2"/>
  </r>
  <r>
    <x v="2"/>
    <x v="327"/>
    <n v="23"/>
    <n v="1"/>
    <x v="1"/>
    <s v="Quality management plan"/>
    <s v="This plan defines what quality means for"/>
    <s v="the project, how the project will achieve"/>
    <s v="quality, and how the project will map to"/>
    <s v="organizational procedures pertaining to"/>
    <s v="quality."/>
    <s v=""/>
    <s v=""/>
    <s v=""/>
    <s v=""/>
    <s v=""/>
    <s v=""/>
    <s v=""/>
    <s v=""/>
    <s v=""/>
    <x v="72"/>
  </r>
  <r>
    <x v="2"/>
    <x v="328"/>
    <n v="40"/>
    <m/>
    <x v="2"/>
    <s v=""/>
    <s v=""/>
    <s v=""/>
    <s v=""/>
    <s v=""/>
    <s v=""/>
    <s v=""/>
    <s v=""/>
    <s v=""/>
    <s v=""/>
    <s v=""/>
    <s v=""/>
    <s v=""/>
    <s v=""/>
    <s v=""/>
    <x v="2"/>
  </r>
  <r>
    <x v="2"/>
    <x v="329"/>
    <n v="41"/>
    <m/>
    <x v="3"/>
    <s v=""/>
    <s v=""/>
    <s v=""/>
    <s v=""/>
    <s v=""/>
    <s v=""/>
    <s v=""/>
    <s v=""/>
    <s v=""/>
    <s v=""/>
    <s v=""/>
    <s v=""/>
    <s v=""/>
    <s v=""/>
    <s v=""/>
    <x v="2"/>
  </r>
  <r>
    <x v="2"/>
    <x v="330"/>
    <n v="40"/>
    <m/>
    <x v="4"/>
    <s v=""/>
    <s v=""/>
    <s v=""/>
    <s v=""/>
    <s v=""/>
    <s v=""/>
    <s v=""/>
    <s v=""/>
    <s v=""/>
    <s v=""/>
    <s v=""/>
    <s v=""/>
    <s v=""/>
    <s v=""/>
    <s v=""/>
    <x v="2"/>
  </r>
  <r>
    <x v="2"/>
    <x v="331"/>
    <n v="39"/>
    <m/>
    <x v="5"/>
    <s v=""/>
    <s v=""/>
    <s v=""/>
    <s v=""/>
    <s v=""/>
    <s v=""/>
    <s v=""/>
    <s v=""/>
    <s v=""/>
    <s v=""/>
    <s v=""/>
    <s v=""/>
    <s v=""/>
    <s v=""/>
    <s v=""/>
    <x v="2"/>
  </r>
  <r>
    <x v="2"/>
    <x v="332"/>
    <n v="8"/>
    <m/>
    <x v="6"/>
    <s v=""/>
    <s v=""/>
    <s v=""/>
    <s v=""/>
    <s v=""/>
    <s v=""/>
    <s v=""/>
    <s v=""/>
    <s v=""/>
    <s v=""/>
    <s v=""/>
    <s v=""/>
    <s v=""/>
    <s v=""/>
    <s v=""/>
    <x v="2"/>
  </r>
  <r>
    <x v="2"/>
    <x v="333"/>
    <n v="19"/>
    <n v="1"/>
    <x v="1"/>
    <s v="Regression analysis"/>
    <s v="A mathematical model to examine the"/>
    <s v="relationship among project variables, like"/>
    <s v="cost, time, labor, and other project"/>
    <s v="metrics."/>
    <s v=""/>
    <s v=""/>
    <s v=""/>
    <s v=""/>
    <s v=""/>
    <s v=""/>
    <s v=""/>
    <s v=""/>
    <s v=""/>
    <s v=""/>
    <x v="73"/>
  </r>
  <r>
    <x v="2"/>
    <x v="334"/>
    <n v="35"/>
    <m/>
    <x v="2"/>
    <s v=""/>
    <s v=""/>
    <s v=""/>
    <s v=""/>
    <s v=""/>
    <s v=""/>
    <s v=""/>
    <s v=""/>
    <s v=""/>
    <s v=""/>
    <s v=""/>
    <s v=""/>
    <s v=""/>
    <s v=""/>
    <s v=""/>
    <x v="2"/>
  </r>
  <r>
    <x v="2"/>
    <x v="335"/>
    <n v="42"/>
    <m/>
    <x v="3"/>
    <s v=""/>
    <s v=""/>
    <s v=""/>
    <s v=""/>
    <s v=""/>
    <s v=""/>
    <s v=""/>
    <s v=""/>
    <s v=""/>
    <s v=""/>
    <s v=""/>
    <s v=""/>
    <s v=""/>
    <s v=""/>
    <s v=""/>
    <x v="2"/>
  </r>
  <r>
    <x v="2"/>
    <x v="336"/>
    <n v="36"/>
    <m/>
    <x v="4"/>
    <s v=""/>
    <s v=""/>
    <s v=""/>
    <s v=""/>
    <s v=""/>
    <s v=""/>
    <s v=""/>
    <s v=""/>
    <s v=""/>
    <s v=""/>
    <s v=""/>
    <s v=""/>
    <s v=""/>
    <s v=""/>
    <s v=""/>
    <x v="2"/>
  </r>
  <r>
    <x v="2"/>
    <x v="337"/>
    <n v="8"/>
    <m/>
    <x v="5"/>
    <s v=""/>
    <s v=""/>
    <s v=""/>
    <s v=""/>
    <s v=""/>
    <s v=""/>
    <s v=""/>
    <s v=""/>
    <s v=""/>
    <s v=""/>
    <s v=""/>
    <s v=""/>
    <s v=""/>
    <s v=""/>
    <s v=""/>
    <x v="2"/>
  </r>
  <r>
    <x v="2"/>
    <x v="338"/>
    <n v="20"/>
    <n v="1"/>
    <x v="1"/>
    <s v="Risk management plan"/>
    <s v="Risk is an uncertain event or condition"/>
    <s v="that may affect the project outcome. The"/>
    <s v="risk management plan defines how the"/>
    <s v="project will manage risk."/>
    <s v=""/>
    <s v=""/>
    <s v=""/>
    <s v=""/>
    <s v=""/>
    <s v=""/>
    <s v=""/>
    <s v=""/>
    <s v=""/>
    <s v=""/>
    <x v="74"/>
  </r>
  <r>
    <x v="2"/>
    <x v="339"/>
    <n v="39"/>
    <m/>
    <x v="2"/>
    <s v=""/>
    <s v=""/>
    <s v=""/>
    <s v=""/>
    <s v=""/>
    <s v=""/>
    <s v=""/>
    <s v=""/>
    <s v=""/>
    <s v=""/>
    <s v=""/>
    <s v=""/>
    <s v=""/>
    <s v=""/>
    <s v=""/>
    <x v="2"/>
  </r>
  <r>
    <x v="2"/>
    <x v="340"/>
    <n v="40"/>
    <m/>
    <x v="3"/>
    <s v=""/>
    <s v=""/>
    <s v=""/>
    <s v=""/>
    <s v=""/>
    <s v=""/>
    <s v=""/>
    <s v=""/>
    <s v=""/>
    <s v=""/>
    <s v=""/>
    <s v=""/>
    <s v=""/>
    <s v=""/>
    <s v=""/>
    <x v="2"/>
  </r>
  <r>
    <x v="2"/>
    <x v="341"/>
    <n v="36"/>
    <m/>
    <x v="4"/>
    <s v=""/>
    <s v=""/>
    <s v=""/>
    <s v=""/>
    <s v=""/>
    <s v=""/>
    <s v=""/>
    <s v=""/>
    <s v=""/>
    <s v=""/>
    <s v=""/>
    <s v=""/>
    <s v=""/>
    <s v=""/>
    <s v=""/>
    <x v="2"/>
  </r>
  <r>
    <x v="2"/>
    <x v="342"/>
    <n v="25"/>
    <m/>
    <x v="5"/>
    <s v=""/>
    <s v=""/>
    <s v=""/>
    <s v=""/>
    <s v=""/>
    <s v=""/>
    <s v=""/>
    <s v=""/>
    <s v=""/>
    <s v=""/>
    <s v=""/>
    <s v=""/>
    <s v=""/>
    <s v=""/>
    <s v=""/>
    <x v="2"/>
  </r>
  <r>
    <x v="2"/>
    <x v="343"/>
    <n v="13"/>
    <n v="1"/>
    <x v="1"/>
    <s v="Risk register"/>
    <s v="The risk register is a centralized database"/>
    <s v="consisting of the outcome of all the other"/>
    <s v="risk management processes, such as the"/>
    <s v="outcome of risk identification, qualitative"/>
    <s v="analysis, and quantitative analysis."/>
    <s v=""/>
    <s v=""/>
    <s v=""/>
    <s v=""/>
    <s v=""/>
    <s v=""/>
    <s v=""/>
    <s v=""/>
    <s v=""/>
    <x v="75"/>
  </r>
  <r>
    <x v="2"/>
    <x v="344"/>
    <n v="43"/>
    <m/>
    <x v="2"/>
    <s v=""/>
    <s v=""/>
    <s v=""/>
    <s v=""/>
    <s v=""/>
    <s v=""/>
    <s v=""/>
    <s v=""/>
    <s v=""/>
    <s v=""/>
    <s v=""/>
    <s v=""/>
    <s v=""/>
    <s v=""/>
    <s v=""/>
    <x v="2"/>
  </r>
  <r>
    <x v="2"/>
    <x v="345"/>
    <n v="42"/>
    <m/>
    <x v="3"/>
    <s v=""/>
    <s v=""/>
    <s v=""/>
    <s v=""/>
    <s v=""/>
    <s v=""/>
    <s v=""/>
    <s v=""/>
    <s v=""/>
    <s v=""/>
    <s v=""/>
    <s v=""/>
    <s v=""/>
    <s v=""/>
    <s v=""/>
    <x v="2"/>
  </r>
  <r>
    <x v="2"/>
    <x v="346"/>
    <n v="38"/>
    <m/>
    <x v="4"/>
    <s v=""/>
    <s v=""/>
    <s v=""/>
    <s v=""/>
    <s v=""/>
    <s v=""/>
    <s v=""/>
    <s v=""/>
    <s v=""/>
    <s v=""/>
    <s v=""/>
    <s v=""/>
    <s v=""/>
    <s v=""/>
    <s v=""/>
    <x v="2"/>
  </r>
  <r>
    <x v="2"/>
    <x v="347"/>
    <n v="43"/>
    <m/>
    <x v="5"/>
    <s v=""/>
    <s v=""/>
    <s v=""/>
    <s v=""/>
    <s v=""/>
    <s v=""/>
    <s v=""/>
    <s v=""/>
    <s v=""/>
    <s v=""/>
    <s v=""/>
    <s v=""/>
    <s v=""/>
    <s v=""/>
    <s v=""/>
    <x v="2"/>
  </r>
  <r>
    <x v="2"/>
    <x v="348"/>
    <n v="36"/>
    <m/>
    <x v="6"/>
    <s v=""/>
    <s v=""/>
    <s v=""/>
    <s v=""/>
    <s v=""/>
    <s v=""/>
    <s v=""/>
    <s v=""/>
    <s v=""/>
    <s v=""/>
    <s v=""/>
    <s v=""/>
    <s v=""/>
    <s v=""/>
    <s v=""/>
    <x v="2"/>
  </r>
  <r>
    <x v="2"/>
    <x v="349"/>
    <n v="18"/>
    <n v="1"/>
    <x v="1"/>
    <s v="Risk response plan"/>
    <s v="This subsidiary plan defines the risk"/>
    <s v="responses that are to be used in the"/>
    <s v="project for both positive and negative"/>
    <s v="risks."/>
    <s v=""/>
    <s v=""/>
    <s v=""/>
    <s v=""/>
    <s v=""/>
    <s v=""/>
    <s v=""/>
    <s v=""/>
    <s v=""/>
    <s v=""/>
    <x v="76"/>
  </r>
  <r>
    <x v="2"/>
    <x v="350"/>
    <n v="37"/>
    <m/>
    <x v="2"/>
    <s v=""/>
    <s v=""/>
    <s v=""/>
    <s v=""/>
    <s v=""/>
    <s v=""/>
    <s v=""/>
    <s v=""/>
    <s v=""/>
    <s v=""/>
    <s v=""/>
    <s v=""/>
    <s v=""/>
    <s v=""/>
    <s v=""/>
    <x v="2"/>
  </r>
  <r>
    <x v="2"/>
    <x v="351"/>
    <n v="36"/>
    <m/>
    <x v="3"/>
    <s v=""/>
    <s v=""/>
    <s v=""/>
    <s v=""/>
    <s v=""/>
    <s v=""/>
    <s v=""/>
    <s v=""/>
    <s v=""/>
    <s v=""/>
    <s v=""/>
    <s v=""/>
    <s v=""/>
    <s v=""/>
    <s v=""/>
    <x v="2"/>
  </r>
  <r>
    <x v="2"/>
    <x v="352"/>
    <n v="38"/>
    <m/>
    <x v="4"/>
    <s v=""/>
    <s v=""/>
    <s v=""/>
    <s v=""/>
    <s v=""/>
    <s v=""/>
    <s v=""/>
    <s v=""/>
    <s v=""/>
    <s v=""/>
    <s v=""/>
    <s v=""/>
    <s v=""/>
    <s v=""/>
    <s v=""/>
    <x v="2"/>
  </r>
  <r>
    <x v="2"/>
    <x v="353"/>
    <n v="6"/>
    <m/>
    <x v="5"/>
    <s v=""/>
    <s v=""/>
    <s v=""/>
    <s v=""/>
    <s v=""/>
    <s v=""/>
    <s v=""/>
    <s v=""/>
    <s v=""/>
    <s v=""/>
    <s v=""/>
    <s v=""/>
    <s v=""/>
    <s v=""/>
    <s v=""/>
    <x v="2"/>
  </r>
  <r>
    <x v="2"/>
    <x v="354"/>
    <n v="17"/>
    <n v="1"/>
    <x v="1"/>
    <s v="Schedule baseline"/>
    <s v="This is the planned start and finish of the"/>
    <s v="project. The comparison of what was"/>
    <s v="planned and what was experienced is the"/>
    <s v="schedule variance."/>
    <s v=""/>
    <s v=""/>
    <s v=""/>
    <s v=""/>
    <s v=""/>
    <s v=""/>
    <s v=""/>
    <s v=""/>
    <s v=""/>
    <s v=""/>
    <x v="77"/>
  </r>
  <r>
    <x v="2"/>
    <x v="355"/>
    <n v="43"/>
    <m/>
    <x v="2"/>
    <s v=""/>
    <s v=""/>
    <s v=""/>
    <s v=""/>
    <s v=""/>
    <s v=""/>
    <s v=""/>
    <s v=""/>
    <s v=""/>
    <s v=""/>
    <s v=""/>
    <s v=""/>
    <s v=""/>
    <s v=""/>
    <s v=""/>
    <x v="2"/>
  </r>
  <r>
    <x v="2"/>
    <x v="356"/>
    <n v="35"/>
    <m/>
    <x v="3"/>
    <s v=""/>
    <s v=""/>
    <s v=""/>
    <s v=""/>
    <s v=""/>
    <s v=""/>
    <s v=""/>
    <s v=""/>
    <s v=""/>
    <s v=""/>
    <s v=""/>
    <s v=""/>
    <s v=""/>
    <s v=""/>
    <s v=""/>
    <x v="2"/>
  </r>
  <r>
    <x v="2"/>
    <x v="357"/>
    <n v="39"/>
    <m/>
    <x v="4"/>
    <s v=""/>
    <s v=""/>
    <s v=""/>
    <s v=""/>
    <s v=""/>
    <s v=""/>
    <s v=""/>
    <s v=""/>
    <s v=""/>
    <s v=""/>
    <s v=""/>
    <s v=""/>
    <s v=""/>
    <s v=""/>
    <s v=""/>
    <x v="2"/>
  </r>
  <r>
    <x v="2"/>
    <x v="358"/>
    <n v="18"/>
    <m/>
    <x v="5"/>
    <s v=""/>
    <s v=""/>
    <s v=""/>
    <s v=""/>
    <s v=""/>
    <s v=""/>
    <s v=""/>
    <s v=""/>
    <s v=""/>
    <s v=""/>
    <s v=""/>
    <s v=""/>
    <s v=""/>
    <s v=""/>
    <s v=""/>
    <x v="2"/>
  </r>
  <r>
    <x v="2"/>
    <x v="359"/>
    <n v="24"/>
    <n v="1"/>
    <x v="1"/>
    <s v="Schedule management plan"/>
    <s v="Defines how the project schedule will be"/>
    <s v="created and managed."/>
    <s v=""/>
    <s v=""/>
    <s v=""/>
    <s v=""/>
    <s v=""/>
    <s v=""/>
    <s v=""/>
    <s v=""/>
    <s v=""/>
    <s v=""/>
    <s v=""/>
    <s v=""/>
    <x v="78"/>
  </r>
  <r>
    <x v="2"/>
    <x v="360"/>
    <n v="40"/>
    <m/>
    <x v="2"/>
    <s v=""/>
    <s v=""/>
    <s v=""/>
    <s v=""/>
    <s v=""/>
    <s v=""/>
    <s v=""/>
    <s v=""/>
    <s v=""/>
    <s v=""/>
    <s v=""/>
    <s v=""/>
    <s v=""/>
    <s v=""/>
    <s v=""/>
    <x v="2"/>
  </r>
  <r>
    <x v="2"/>
    <x v="361"/>
    <n v="20"/>
    <m/>
    <x v="3"/>
    <s v=""/>
    <s v=""/>
    <s v=""/>
    <s v=""/>
    <s v=""/>
    <s v=""/>
    <s v=""/>
    <s v=""/>
    <s v=""/>
    <s v=""/>
    <s v=""/>
    <s v=""/>
    <s v=""/>
    <s v=""/>
    <s v=""/>
    <x v="2"/>
  </r>
  <r>
    <x v="2"/>
    <x v="362"/>
    <n v="14"/>
    <n v="1"/>
    <x v="1"/>
    <s v="Scope baseline"/>
    <s v="The scope baseline is a combination of"/>
    <s v="three project documents: the project"/>
    <s v="scope statement, the work breakdown"/>
    <s v="structure, and the WBS dictionary. The"/>
    <s v="creation of the project deliverable will be"/>
    <s v="measured against the scope baseline to"/>
    <s v="show any variances from what was"/>
    <s v="expected and what the project team has"/>
    <s v="created."/>
    <s v=""/>
    <s v=""/>
    <s v=""/>
    <s v=""/>
    <s v=""/>
    <x v="79"/>
  </r>
  <r>
    <x v="2"/>
    <x v="363"/>
    <n v="38"/>
    <m/>
    <x v="2"/>
    <s v=""/>
    <s v=""/>
    <s v=""/>
    <s v=""/>
    <s v=""/>
    <s v=""/>
    <s v=""/>
    <s v=""/>
    <s v=""/>
    <s v=""/>
    <s v=""/>
    <s v=""/>
    <s v=""/>
    <s v=""/>
    <s v=""/>
    <x v="2"/>
  </r>
  <r>
    <x v="2"/>
    <x v="364"/>
    <n v="36"/>
    <m/>
    <x v="3"/>
    <s v=""/>
    <s v=""/>
    <s v=""/>
    <s v=""/>
    <s v=""/>
    <s v=""/>
    <s v=""/>
    <s v=""/>
    <s v=""/>
    <s v=""/>
    <s v=""/>
    <s v=""/>
    <s v=""/>
    <s v=""/>
    <s v=""/>
    <x v="2"/>
  </r>
  <r>
    <x v="2"/>
    <x v="365"/>
    <n v="35"/>
    <m/>
    <x v="4"/>
    <s v=""/>
    <s v=""/>
    <s v=""/>
    <s v=""/>
    <s v=""/>
    <s v=""/>
    <s v=""/>
    <s v=""/>
    <s v=""/>
    <s v=""/>
    <s v=""/>
    <s v=""/>
    <s v=""/>
    <s v=""/>
    <s v=""/>
    <x v="2"/>
  </r>
  <r>
    <x v="2"/>
    <x v="366"/>
    <n v="38"/>
    <m/>
    <x v="5"/>
    <s v=""/>
    <s v=""/>
    <s v=""/>
    <s v=""/>
    <s v=""/>
    <s v=""/>
    <s v=""/>
    <s v=""/>
    <s v=""/>
    <s v=""/>
    <s v=""/>
    <s v=""/>
    <s v=""/>
    <s v=""/>
    <s v=""/>
    <x v="2"/>
  </r>
  <r>
    <x v="2"/>
    <x v="367"/>
    <n v="43"/>
    <m/>
    <x v="6"/>
    <s v=""/>
    <s v=""/>
    <s v=""/>
    <s v=""/>
    <s v=""/>
    <s v=""/>
    <s v=""/>
    <s v=""/>
    <s v=""/>
    <s v=""/>
    <s v=""/>
    <s v=""/>
    <s v=""/>
    <s v=""/>
    <s v=""/>
    <x v="2"/>
  </r>
  <r>
    <x v="2"/>
    <x v="368"/>
    <n v="38"/>
    <m/>
    <x v="7"/>
    <s v=""/>
    <s v=""/>
    <s v=""/>
    <s v=""/>
    <s v=""/>
    <s v=""/>
    <s v=""/>
    <s v=""/>
    <s v=""/>
    <s v=""/>
    <s v=""/>
    <s v=""/>
    <s v=""/>
    <s v=""/>
    <s v=""/>
    <x v="2"/>
  </r>
  <r>
    <x v="2"/>
    <x v="369"/>
    <n v="32"/>
    <m/>
    <x v="8"/>
    <s v=""/>
    <s v=""/>
    <s v=""/>
    <s v=""/>
    <s v=""/>
    <s v=""/>
    <s v=""/>
    <s v=""/>
    <s v=""/>
    <s v=""/>
    <s v=""/>
    <s v=""/>
    <s v=""/>
    <s v=""/>
    <s v=""/>
    <x v="2"/>
  </r>
  <r>
    <x v="2"/>
    <x v="370"/>
    <n v="38"/>
    <m/>
    <x v="9"/>
    <s v=""/>
    <s v=""/>
    <s v=""/>
    <s v=""/>
    <s v=""/>
    <s v=""/>
    <s v=""/>
    <s v=""/>
    <s v=""/>
    <s v=""/>
    <s v=""/>
    <s v=""/>
    <s v=""/>
    <s v=""/>
    <s v=""/>
    <x v="2"/>
  </r>
  <r>
    <x v="2"/>
    <x v="371"/>
    <n v="8"/>
    <m/>
    <x v="10"/>
    <s v=""/>
    <s v=""/>
    <s v=""/>
    <s v=""/>
    <s v=""/>
    <s v=""/>
    <s v=""/>
    <s v=""/>
    <s v=""/>
    <s v=""/>
    <s v=""/>
    <s v=""/>
    <s v=""/>
    <s v=""/>
    <s v=""/>
    <x v="2"/>
  </r>
  <r>
    <x v="2"/>
    <x v="372"/>
    <n v="14"/>
    <n v="1"/>
    <x v="1"/>
    <s v="Scoring models"/>
    <s v="These models use a common set of"/>
    <s v="values for all of the projects up for"/>
    <s v="selection. For example, values can be"/>
    <s v="profitability, complexity, customer"/>
    <s v="demand, and so on."/>
    <s v="tacit knowledge"/>
    <s v="Knowledge that’s more difficult to express"/>
    <s v="because it’s personal beliefs, values,"/>
    <s v="knowledge gain from experience, and"/>
    <s v="“know-how” when doing a task."/>
    <s v=""/>
    <s v=""/>
    <s v=""/>
    <s v=""/>
    <x v="80"/>
  </r>
  <r>
    <x v="2"/>
    <x v="373"/>
    <n v="32"/>
    <m/>
    <x v="2"/>
    <s v=""/>
    <s v=""/>
    <s v=""/>
    <s v=""/>
    <s v=""/>
    <s v=""/>
    <s v=""/>
    <s v=""/>
    <s v=""/>
    <s v=""/>
    <s v=""/>
    <s v=""/>
    <s v=""/>
    <s v=""/>
    <s v=""/>
    <x v="2"/>
  </r>
  <r>
    <x v="2"/>
    <x v="374"/>
    <n v="37"/>
    <m/>
    <x v="3"/>
    <s v=""/>
    <s v=""/>
    <s v=""/>
    <s v=""/>
    <s v=""/>
    <s v=""/>
    <s v=""/>
    <s v=""/>
    <s v=""/>
    <s v=""/>
    <s v=""/>
    <s v=""/>
    <s v=""/>
    <s v=""/>
    <s v=""/>
    <x v="2"/>
  </r>
  <r>
    <x v="2"/>
    <x v="375"/>
    <n v="37"/>
    <m/>
    <x v="4"/>
    <s v=""/>
    <s v=""/>
    <s v=""/>
    <s v=""/>
    <s v=""/>
    <s v=""/>
    <s v=""/>
    <s v=""/>
    <s v=""/>
    <s v=""/>
    <s v=""/>
    <s v=""/>
    <s v=""/>
    <s v=""/>
    <s v=""/>
    <x v="2"/>
  </r>
  <r>
    <x v="2"/>
    <x v="376"/>
    <n v="35"/>
    <m/>
    <x v="5"/>
    <s v=""/>
    <s v=""/>
    <s v=""/>
    <s v=""/>
    <s v=""/>
    <s v=""/>
    <s v=""/>
    <s v=""/>
    <s v=""/>
    <s v=""/>
    <s v=""/>
    <s v=""/>
    <s v=""/>
    <s v=""/>
    <s v=""/>
    <x v="2"/>
  </r>
  <r>
    <x v="2"/>
    <x v="377"/>
    <n v="18"/>
    <m/>
    <x v="6"/>
    <s v=""/>
    <s v=""/>
    <s v=""/>
    <s v=""/>
    <s v=""/>
    <s v=""/>
    <s v=""/>
    <s v=""/>
    <s v=""/>
    <s v=""/>
    <s v=""/>
    <s v=""/>
    <s v=""/>
    <s v=""/>
    <s v=""/>
    <x v="2"/>
  </r>
  <r>
    <x v="2"/>
    <x v="378"/>
    <n v="15"/>
    <m/>
    <x v="7"/>
    <s v=""/>
    <s v=""/>
    <s v=""/>
    <s v=""/>
    <s v=""/>
    <s v=""/>
    <s v=""/>
    <s v=""/>
    <s v=""/>
    <s v=""/>
    <s v=""/>
    <s v=""/>
    <s v=""/>
    <s v=""/>
    <s v=""/>
    <x v="2"/>
  </r>
  <r>
    <x v="2"/>
    <x v="379"/>
    <n v="42"/>
    <m/>
    <x v="8"/>
    <s v=""/>
    <s v=""/>
    <s v=""/>
    <s v=""/>
    <s v=""/>
    <s v=""/>
    <s v=""/>
    <s v=""/>
    <s v=""/>
    <s v=""/>
    <s v=""/>
    <s v=""/>
    <s v=""/>
    <s v=""/>
    <s v=""/>
    <x v="2"/>
  </r>
  <r>
    <x v="2"/>
    <x v="380"/>
    <n v="38"/>
    <m/>
    <x v="9"/>
    <s v=""/>
    <s v=""/>
    <s v=""/>
    <s v=""/>
    <s v=""/>
    <s v=""/>
    <s v=""/>
    <s v=""/>
    <s v=""/>
    <s v=""/>
    <s v=""/>
    <s v=""/>
    <s v=""/>
    <s v=""/>
    <s v=""/>
    <x v="2"/>
  </r>
  <r>
    <x v="2"/>
    <x v="381"/>
    <n v="35"/>
    <m/>
    <x v="10"/>
    <s v=""/>
    <s v=""/>
    <s v=""/>
    <s v=""/>
    <s v=""/>
    <s v=""/>
    <s v=""/>
    <s v=""/>
    <s v=""/>
    <s v=""/>
    <s v=""/>
    <s v=""/>
    <s v=""/>
    <s v=""/>
    <s v=""/>
    <x v="2"/>
  </r>
  <r>
    <x v="2"/>
    <x v="382"/>
    <n v="29"/>
    <m/>
    <x v="11"/>
    <s v=""/>
    <s v=""/>
    <s v=""/>
    <s v=""/>
    <s v=""/>
    <s v=""/>
    <s v=""/>
    <s v=""/>
    <s v=""/>
    <s v=""/>
    <s v=""/>
    <s v=""/>
    <s v=""/>
    <s v=""/>
    <s v=""/>
    <x v="2"/>
  </r>
  <r>
    <x v="3"/>
    <x v="383"/>
    <n v="9"/>
    <n v="1"/>
    <x v="1"/>
    <s v="8/80 Rule"/>
    <s v="A planning heuristic for creating the"/>
    <s v="WBS. This rule states that the work"/>
    <s v="package in a WBS must take no more"/>
    <s v="than 80 hours of labor to create and no"/>
    <s v="fewer than 8 hours of labor to create."/>
    <s v=""/>
    <s v=""/>
    <s v=""/>
    <s v=""/>
    <s v=""/>
    <s v=""/>
    <s v=""/>
    <s v=""/>
    <s v=""/>
    <x v="81"/>
  </r>
  <r>
    <x v="3"/>
    <x v="384"/>
    <n v="37"/>
    <m/>
    <x v="2"/>
    <s v=""/>
    <s v=""/>
    <s v=""/>
    <s v=""/>
    <s v=""/>
    <s v=""/>
    <s v=""/>
    <s v=""/>
    <s v=""/>
    <s v=""/>
    <s v=""/>
    <s v=""/>
    <s v=""/>
    <s v=""/>
    <s v=""/>
    <x v="2"/>
  </r>
  <r>
    <x v="3"/>
    <x v="385"/>
    <n v="35"/>
    <m/>
    <x v="3"/>
    <s v=""/>
    <s v=""/>
    <s v=""/>
    <s v=""/>
    <s v=""/>
    <s v=""/>
    <s v=""/>
    <s v=""/>
    <s v=""/>
    <s v=""/>
    <s v=""/>
    <s v=""/>
    <s v=""/>
    <s v=""/>
    <s v=""/>
    <x v="2"/>
  </r>
  <r>
    <x v="3"/>
    <x v="386"/>
    <n v="34"/>
    <m/>
    <x v="4"/>
    <s v=""/>
    <s v=""/>
    <s v=""/>
    <s v=""/>
    <s v=""/>
    <s v=""/>
    <s v=""/>
    <s v=""/>
    <s v=""/>
    <s v=""/>
    <s v=""/>
    <s v=""/>
    <s v=""/>
    <s v=""/>
    <s v=""/>
    <x v="2"/>
  </r>
  <r>
    <x v="3"/>
    <x v="387"/>
    <n v="39"/>
    <m/>
    <x v="5"/>
    <s v=""/>
    <s v=""/>
    <s v=""/>
    <s v=""/>
    <s v=""/>
    <s v=""/>
    <s v=""/>
    <s v=""/>
    <s v=""/>
    <s v=""/>
    <s v=""/>
    <s v=""/>
    <s v=""/>
    <s v=""/>
    <s v=""/>
    <x v="2"/>
  </r>
  <r>
    <x v="3"/>
    <x v="388"/>
    <n v="38"/>
    <m/>
    <x v="6"/>
    <s v=""/>
    <s v=""/>
    <s v=""/>
    <s v=""/>
    <s v=""/>
    <s v=""/>
    <s v=""/>
    <s v=""/>
    <s v=""/>
    <s v=""/>
    <s v=""/>
    <s v=""/>
    <s v=""/>
    <s v=""/>
    <s v=""/>
    <x v="2"/>
  </r>
  <r>
    <x v="3"/>
    <x v="389"/>
    <n v="18"/>
    <n v="1"/>
    <x v="1"/>
    <s v="Active observation"/>
    <s v="The observer interacts with the worker to"/>
    <s v="ask questions and understand each step"/>
    <s v="of the work being completed. In some"/>
    <s v="instances, the observer could serve as an"/>
    <s v="assistant in doing the work."/>
    <s v=""/>
    <s v=""/>
    <s v=""/>
    <s v=""/>
    <s v=""/>
    <s v=""/>
    <s v=""/>
    <s v=""/>
    <s v=""/>
    <x v="82"/>
  </r>
  <r>
    <x v="3"/>
    <x v="390"/>
    <n v="41"/>
    <m/>
    <x v="2"/>
    <s v=""/>
    <s v=""/>
    <s v=""/>
    <s v=""/>
    <s v=""/>
    <s v=""/>
    <s v=""/>
    <s v=""/>
    <s v=""/>
    <s v=""/>
    <s v=""/>
    <s v=""/>
    <s v=""/>
    <s v=""/>
    <s v=""/>
    <x v="2"/>
  </r>
  <r>
    <x v="3"/>
    <x v="391"/>
    <n v="38"/>
    <m/>
    <x v="3"/>
    <s v=""/>
    <s v=""/>
    <s v=""/>
    <s v=""/>
    <s v=""/>
    <s v=""/>
    <s v=""/>
    <s v=""/>
    <s v=""/>
    <s v=""/>
    <s v=""/>
    <s v=""/>
    <s v=""/>
    <s v=""/>
    <s v=""/>
    <x v="2"/>
  </r>
  <r>
    <x v="3"/>
    <x v="392"/>
    <n v="36"/>
    <m/>
    <x v="4"/>
    <s v=""/>
    <s v=""/>
    <s v=""/>
    <s v=""/>
    <s v=""/>
    <s v=""/>
    <s v=""/>
    <s v=""/>
    <s v=""/>
    <s v=""/>
    <s v=""/>
    <s v=""/>
    <s v=""/>
    <s v=""/>
    <s v=""/>
    <x v="2"/>
  </r>
  <r>
    <x v="3"/>
    <x v="393"/>
    <n v="41"/>
    <m/>
    <x v="5"/>
    <s v=""/>
    <s v=""/>
    <s v=""/>
    <s v=""/>
    <s v=""/>
    <s v=""/>
    <s v=""/>
    <s v=""/>
    <s v=""/>
    <s v=""/>
    <s v=""/>
    <s v=""/>
    <s v=""/>
    <s v=""/>
    <s v=""/>
    <x v="2"/>
  </r>
  <r>
    <x v="3"/>
    <x v="394"/>
    <n v="28"/>
    <m/>
    <x v="6"/>
    <s v=""/>
    <s v=""/>
    <s v=""/>
    <s v=""/>
    <s v=""/>
    <s v=""/>
    <s v=""/>
    <s v=""/>
    <s v=""/>
    <s v=""/>
    <s v=""/>
    <s v=""/>
    <s v=""/>
    <s v=""/>
    <s v=""/>
    <x v="2"/>
  </r>
  <r>
    <x v="3"/>
    <x v="395"/>
    <n v="17"/>
    <n v="1"/>
    <x v="1"/>
    <s v="Affinity diagrams"/>
    <s v="When stakeholders create a large"/>
    <s v="number of ideas, you can use an affinity"/>
    <s v="diagram to cluster similar ideas together"/>
    <s v="for further analysis."/>
    <s v=""/>
    <s v=""/>
    <s v=""/>
    <s v=""/>
    <s v=""/>
    <s v=""/>
    <s v=""/>
    <s v=""/>
    <s v=""/>
    <s v=""/>
    <x v="83"/>
  </r>
  <r>
    <x v="3"/>
    <x v="396"/>
    <n v="32"/>
    <m/>
    <x v="2"/>
    <s v=""/>
    <s v=""/>
    <s v=""/>
    <s v=""/>
    <s v=""/>
    <s v=""/>
    <s v=""/>
    <s v=""/>
    <s v=""/>
    <s v=""/>
    <s v=""/>
    <s v=""/>
    <s v=""/>
    <s v=""/>
    <s v=""/>
    <x v="2"/>
  </r>
  <r>
    <x v="3"/>
    <x v="397"/>
    <n v="40"/>
    <m/>
    <x v="3"/>
    <s v=""/>
    <s v=""/>
    <s v=""/>
    <s v=""/>
    <s v=""/>
    <s v=""/>
    <s v=""/>
    <s v=""/>
    <s v=""/>
    <s v=""/>
    <s v=""/>
    <s v=""/>
    <s v=""/>
    <s v=""/>
    <s v=""/>
    <x v="2"/>
  </r>
  <r>
    <x v="3"/>
    <x v="398"/>
    <n v="41"/>
    <m/>
    <x v="4"/>
    <s v=""/>
    <s v=""/>
    <s v=""/>
    <s v=""/>
    <s v=""/>
    <s v=""/>
    <s v=""/>
    <s v=""/>
    <s v=""/>
    <s v=""/>
    <s v=""/>
    <s v=""/>
    <s v=""/>
    <s v=""/>
    <s v=""/>
    <x v="2"/>
  </r>
  <r>
    <x v="3"/>
    <x v="399"/>
    <n v="21"/>
    <m/>
    <x v="5"/>
    <s v=""/>
    <s v=""/>
    <s v=""/>
    <s v=""/>
    <s v=""/>
    <s v=""/>
    <s v=""/>
    <s v=""/>
    <s v=""/>
    <s v=""/>
    <s v=""/>
    <s v=""/>
    <s v=""/>
    <s v=""/>
    <s v=""/>
    <x v="2"/>
  </r>
  <r>
    <x v="3"/>
    <x v="400"/>
    <n v="23"/>
    <n v="1"/>
    <x v="1"/>
    <s v="Alternatives generation"/>
    <s v="A scope definition process of finding"/>
    <s v="alternative solutions for the project"/>
    <s v="customer while considering the"/>
    <s v="customer’s satisfaction, the cost of the"/>
    <s v="solution, and how the customer may use"/>
    <s v="the product in operations."/>
    <s v=""/>
    <s v=""/>
    <s v=""/>
    <s v=""/>
    <s v=""/>
    <s v=""/>
    <s v=""/>
    <s v=""/>
    <x v="84"/>
  </r>
  <r>
    <x v="3"/>
    <x v="401"/>
    <n v="37"/>
    <m/>
    <x v="2"/>
    <s v=""/>
    <s v=""/>
    <s v=""/>
    <s v=""/>
    <s v=""/>
    <s v=""/>
    <s v=""/>
    <s v=""/>
    <s v=""/>
    <s v=""/>
    <s v=""/>
    <s v=""/>
    <s v=""/>
    <s v=""/>
    <s v=""/>
    <x v="2"/>
  </r>
  <r>
    <x v="3"/>
    <x v="402"/>
    <n v="37"/>
    <m/>
    <x v="3"/>
    <s v=""/>
    <s v=""/>
    <s v=""/>
    <s v=""/>
    <s v=""/>
    <s v=""/>
    <s v=""/>
    <s v=""/>
    <s v=""/>
    <s v=""/>
    <s v=""/>
    <s v=""/>
    <s v=""/>
    <s v=""/>
    <s v=""/>
    <x v="2"/>
  </r>
  <r>
    <x v="3"/>
    <x v="403"/>
    <n v="30"/>
    <m/>
    <x v="4"/>
    <s v=""/>
    <s v=""/>
    <s v=""/>
    <s v=""/>
    <s v=""/>
    <s v=""/>
    <s v=""/>
    <s v=""/>
    <s v=""/>
    <s v=""/>
    <s v=""/>
    <s v=""/>
    <s v=""/>
    <s v=""/>
    <s v=""/>
    <x v="2"/>
  </r>
  <r>
    <x v="3"/>
    <x v="404"/>
    <n v="40"/>
    <m/>
    <x v="5"/>
    <s v=""/>
    <s v=""/>
    <s v=""/>
    <s v=""/>
    <s v=""/>
    <s v=""/>
    <s v=""/>
    <s v=""/>
    <s v=""/>
    <s v=""/>
    <s v=""/>
    <s v=""/>
    <s v=""/>
    <s v=""/>
    <s v=""/>
    <x v="2"/>
  </r>
  <r>
    <x v="3"/>
    <x v="405"/>
    <n v="38"/>
    <m/>
    <x v="6"/>
    <s v=""/>
    <s v=""/>
    <s v=""/>
    <s v=""/>
    <s v=""/>
    <s v=""/>
    <s v=""/>
    <s v=""/>
    <s v=""/>
    <s v=""/>
    <s v=""/>
    <s v=""/>
    <s v=""/>
    <s v=""/>
    <s v=""/>
    <x v="2"/>
  </r>
  <r>
    <x v="3"/>
    <x v="406"/>
    <n v="26"/>
    <m/>
    <x v="7"/>
    <s v=""/>
    <s v=""/>
    <s v=""/>
    <s v=""/>
    <s v=""/>
    <s v=""/>
    <s v=""/>
    <s v=""/>
    <s v=""/>
    <s v=""/>
    <s v=""/>
    <s v=""/>
    <s v=""/>
    <s v=""/>
    <s v=""/>
    <x v="2"/>
  </r>
  <r>
    <x v="3"/>
    <x v="407"/>
    <n v="10"/>
    <n v="1"/>
    <x v="1"/>
    <s v="Autocratic"/>
    <s v="A decision method where only one"/>
    <s v="individual makes the decision for the"/>
    <s v="group."/>
    <s v=""/>
    <s v=""/>
    <s v=""/>
    <s v=""/>
    <s v=""/>
    <s v=""/>
    <s v=""/>
    <s v=""/>
    <s v=""/>
    <s v=""/>
    <s v=""/>
    <x v="85"/>
  </r>
  <r>
    <x v="3"/>
    <x v="408"/>
    <n v="32"/>
    <m/>
    <x v="2"/>
    <s v=""/>
    <s v=""/>
    <s v=""/>
    <s v=""/>
    <s v=""/>
    <s v=""/>
    <s v=""/>
    <s v=""/>
    <s v=""/>
    <s v=""/>
    <s v=""/>
    <s v=""/>
    <s v=""/>
    <s v=""/>
    <s v=""/>
    <x v="2"/>
  </r>
  <r>
    <x v="3"/>
    <x v="409"/>
    <n v="37"/>
    <m/>
    <x v="3"/>
    <s v=""/>
    <s v=""/>
    <s v=""/>
    <s v=""/>
    <s v=""/>
    <s v=""/>
    <s v=""/>
    <s v=""/>
    <s v=""/>
    <s v=""/>
    <s v=""/>
    <s v=""/>
    <s v=""/>
    <s v=""/>
    <s v=""/>
    <x v="2"/>
  </r>
  <r>
    <x v="3"/>
    <x v="410"/>
    <n v="6"/>
    <m/>
    <x v="4"/>
    <s v=""/>
    <s v=""/>
    <s v=""/>
    <s v=""/>
    <s v=""/>
    <s v=""/>
    <s v=""/>
    <s v=""/>
    <s v=""/>
    <s v=""/>
    <s v=""/>
    <s v=""/>
    <s v=""/>
    <s v=""/>
    <s v=""/>
    <x v="2"/>
  </r>
  <r>
    <x v="3"/>
    <x v="411"/>
    <n v="13"/>
    <n v="1"/>
    <x v="1"/>
    <s v="Brainstorming"/>
    <s v="This approach encourages participants to"/>
    <s v="generate as many ideas as possible"/>
    <s v="about the project requirements. No idea"/>
    <s v="is judged or dismissed during the"/>
    <s v="brainstorming session."/>
    <s v=""/>
    <s v=""/>
    <s v=""/>
    <s v=""/>
    <s v=""/>
    <s v=""/>
    <s v=""/>
    <s v=""/>
    <s v=""/>
    <x v="86"/>
  </r>
  <r>
    <x v="3"/>
    <x v="412"/>
    <n v="40"/>
    <m/>
    <x v="2"/>
    <s v=""/>
    <s v=""/>
    <s v=""/>
    <s v=""/>
    <s v=""/>
    <s v=""/>
    <s v=""/>
    <s v=""/>
    <s v=""/>
    <s v=""/>
    <s v=""/>
    <s v=""/>
    <s v=""/>
    <s v=""/>
    <s v=""/>
    <x v="2"/>
  </r>
  <r>
    <x v="3"/>
    <x v="413"/>
    <n v="34"/>
    <m/>
    <x v="3"/>
    <s v=""/>
    <s v=""/>
    <s v=""/>
    <s v=""/>
    <s v=""/>
    <s v=""/>
    <s v=""/>
    <s v=""/>
    <s v=""/>
    <s v=""/>
    <s v=""/>
    <s v=""/>
    <s v=""/>
    <s v=""/>
    <s v=""/>
    <x v="2"/>
  </r>
  <r>
    <x v="3"/>
    <x v="414"/>
    <n v="39"/>
    <m/>
    <x v="4"/>
    <s v=""/>
    <s v=""/>
    <s v=""/>
    <s v=""/>
    <s v=""/>
    <s v=""/>
    <s v=""/>
    <s v=""/>
    <s v=""/>
    <s v=""/>
    <s v=""/>
    <s v=""/>
    <s v=""/>
    <s v=""/>
    <s v=""/>
    <x v="2"/>
  </r>
  <r>
    <x v="3"/>
    <x v="415"/>
    <n v="33"/>
    <m/>
    <x v="5"/>
    <s v=""/>
    <s v=""/>
    <s v=""/>
    <s v=""/>
    <s v=""/>
    <s v=""/>
    <s v=""/>
    <s v=""/>
    <s v=""/>
    <s v=""/>
    <s v=""/>
    <s v=""/>
    <s v=""/>
    <s v=""/>
    <s v=""/>
    <x v="2"/>
  </r>
  <r>
    <x v="3"/>
    <x v="416"/>
    <n v="22"/>
    <m/>
    <x v="6"/>
    <s v=""/>
    <s v=""/>
    <s v=""/>
    <s v=""/>
    <s v=""/>
    <s v=""/>
    <s v=""/>
    <s v=""/>
    <s v=""/>
    <s v=""/>
    <s v=""/>
    <s v=""/>
    <s v=""/>
    <s v=""/>
    <s v=""/>
    <x v="2"/>
  </r>
  <r>
    <x v="3"/>
    <x v="163"/>
    <n v="27"/>
    <n v="1"/>
    <x v="1"/>
    <s v="Change control system (CCS)"/>
    <s v="Documented in the scope management"/>
    <s v="plan, this system defines how changes to"/>
    <s v="the project scope are managed and"/>
    <s v="controlled."/>
    <s v="Change management plan This subsidiary plan defines how changes will be allowed and managed within the project. Code of accounts A numbering system for each item in the WBS. The PMBOK is a good example of a code of accounts, as each chapter and its subheadings follow a logical numbering scheme. For example, PMBOK 5.3.3.2 identifies an exact paragraph in the PMBOK. Configuration management plan This subsidiary plan defines how changes to the features and functions of the project deliverables will be monitored and controlled within the project. Context diagram These diagrams show the relationship between elements of an environment. For example, a context diagram would illustrate the networks, servers, workstations, and people that interact with the elements of the environment. Focus groups A moderator-led requirements collection method to elicit requirements from stakeholders. Functional analysis This is the study of the functions within a system, project, or, what’s more likely in the project scope statement, the product the project will be creating. Functional analysis studies the goals of the product, how the product will be used, and the expectations the customer has of the product once it leaves the project and moves into operations. Functional analysis may also consider the cost of the product in operations, which is known as life-cycle costing. Funding limit Most projects have a determined budget in relation to the project scope. There may be a qualifier on this budget, such as plus or minus 10 percent based on the type of cost estimate created."/>
    <s v=""/>
    <s v=""/>
    <s v=""/>
    <s v=""/>
    <s v=""/>
    <s v=""/>
    <s v=""/>
    <s v=""/>
    <s v=""/>
    <x v="87"/>
  </r>
  <r>
    <x v="3"/>
    <x v="417"/>
    <n v="34"/>
    <m/>
    <x v="2"/>
    <s v=""/>
    <s v=""/>
    <s v=""/>
    <s v=""/>
    <s v=""/>
    <s v=""/>
    <s v=""/>
    <s v=""/>
    <s v=""/>
    <s v=""/>
    <s v=""/>
    <s v=""/>
    <s v=""/>
    <s v=""/>
    <s v=""/>
    <x v="2"/>
  </r>
  <r>
    <x v="3"/>
    <x v="418"/>
    <n v="40"/>
    <m/>
    <x v="3"/>
    <s v=""/>
    <s v=""/>
    <s v=""/>
    <s v=""/>
    <s v=""/>
    <s v=""/>
    <s v=""/>
    <s v=""/>
    <s v=""/>
    <s v=""/>
    <s v=""/>
    <s v=""/>
    <s v=""/>
    <s v=""/>
    <s v=""/>
    <x v="2"/>
  </r>
  <r>
    <x v="3"/>
    <x v="419"/>
    <n v="33"/>
    <m/>
    <x v="4"/>
    <s v=""/>
    <s v=""/>
    <s v=""/>
    <s v=""/>
    <s v=""/>
    <s v=""/>
    <s v=""/>
    <s v=""/>
    <s v=""/>
    <s v=""/>
    <s v=""/>
    <s v=""/>
    <s v=""/>
    <s v=""/>
    <s v=""/>
    <x v="2"/>
  </r>
  <r>
    <x v="3"/>
    <x v="420"/>
    <n v="11"/>
    <m/>
    <x v="5"/>
    <s v=""/>
    <s v=""/>
    <s v=""/>
    <s v=""/>
    <s v=""/>
    <s v=""/>
    <s v=""/>
    <s v=""/>
    <s v=""/>
    <s v=""/>
    <s v=""/>
    <s v=""/>
    <s v=""/>
    <s v=""/>
    <s v=""/>
    <x v="2"/>
  </r>
  <r>
    <x v="3"/>
    <x v="421"/>
    <n v="1576"/>
    <m/>
    <x v="6"/>
    <s v=""/>
    <s v=""/>
    <s v=""/>
    <s v=""/>
    <s v=""/>
    <s v=""/>
    <s v=""/>
    <s v=""/>
    <s v=""/>
    <s v=""/>
    <s v=""/>
    <s v=""/>
    <s v=""/>
    <s v=""/>
    <s v=""/>
    <x v="2"/>
  </r>
  <r>
    <x v="3"/>
    <x v="422"/>
    <n v="10"/>
    <n v="1"/>
    <x v="1"/>
    <s v="Interviews"/>
    <s v="A requirements collection method used to"/>
    <s v="elicit requirements from stakeholders in a"/>
    <s v="one-on-one conversation."/>
    <s v=""/>
    <s v=""/>
    <s v=""/>
    <s v=""/>
    <s v=""/>
    <s v=""/>
    <s v=""/>
    <s v=""/>
    <s v=""/>
    <s v=""/>
    <s v=""/>
    <x v="88"/>
  </r>
  <r>
    <x v="3"/>
    <x v="423"/>
    <n v="40"/>
    <m/>
    <x v="2"/>
    <s v=""/>
    <s v=""/>
    <s v=""/>
    <s v=""/>
    <s v=""/>
    <s v=""/>
    <s v=""/>
    <s v=""/>
    <s v=""/>
    <s v=""/>
    <s v=""/>
    <s v=""/>
    <s v=""/>
    <s v=""/>
    <s v=""/>
    <x v="2"/>
  </r>
  <r>
    <x v="3"/>
    <x v="424"/>
    <n v="42"/>
    <m/>
    <x v="3"/>
    <s v=""/>
    <s v=""/>
    <s v=""/>
    <s v=""/>
    <s v=""/>
    <s v=""/>
    <s v=""/>
    <s v=""/>
    <s v=""/>
    <s v=""/>
    <s v=""/>
    <s v=""/>
    <s v=""/>
    <s v=""/>
    <s v=""/>
    <x v="2"/>
  </r>
  <r>
    <x v="3"/>
    <x v="425"/>
    <n v="24"/>
    <m/>
    <x v="4"/>
    <s v=""/>
    <s v=""/>
    <s v=""/>
    <s v=""/>
    <s v=""/>
    <s v=""/>
    <s v=""/>
    <s v=""/>
    <s v=""/>
    <s v=""/>
    <s v=""/>
    <s v=""/>
    <s v=""/>
    <s v=""/>
    <s v=""/>
    <x v="2"/>
  </r>
  <r>
    <x v="3"/>
    <x v="426"/>
    <n v="8"/>
    <n v="1"/>
    <x v="1"/>
    <s v="Majority"/>
    <s v="A group decision method where more"/>
    <s v="than 50 percent of the group must be in"/>
    <s v="agreement."/>
    <s v=""/>
    <s v=""/>
    <s v=""/>
    <s v=""/>
    <s v=""/>
    <s v=""/>
    <s v=""/>
    <s v=""/>
    <s v=""/>
    <s v=""/>
    <s v=""/>
    <x v="89"/>
  </r>
  <r>
    <x v="3"/>
    <x v="427"/>
    <n v="34"/>
    <m/>
    <x v="2"/>
    <s v=""/>
    <s v=""/>
    <s v=""/>
    <s v=""/>
    <s v=""/>
    <s v=""/>
    <s v=""/>
    <s v=""/>
    <s v=""/>
    <s v=""/>
    <s v=""/>
    <s v=""/>
    <s v=""/>
    <s v=""/>
    <s v=""/>
    <x v="2"/>
  </r>
  <r>
    <x v="3"/>
    <x v="428"/>
    <n v="39"/>
    <m/>
    <x v="3"/>
    <s v=""/>
    <s v=""/>
    <s v=""/>
    <s v=""/>
    <s v=""/>
    <s v=""/>
    <s v=""/>
    <s v=""/>
    <s v=""/>
    <s v=""/>
    <s v=""/>
    <s v=""/>
    <s v=""/>
    <s v=""/>
    <s v=""/>
    <x v="2"/>
  </r>
  <r>
    <x v="3"/>
    <x v="429"/>
    <n v="10"/>
    <m/>
    <x v="4"/>
    <s v=""/>
    <s v=""/>
    <s v=""/>
    <s v=""/>
    <s v=""/>
    <s v=""/>
    <s v=""/>
    <s v=""/>
    <s v=""/>
    <s v=""/>
    <s v=""/>
    <s v=""/>
    <s v=""/>
    <s v=""/>
    <s v=""/>
    <x v="2"/>
  </r>
  <r>
    <x v="3"/>
    <x v="430"/>
    <n v="12"/>
    <n v="1"/>
    <x v="1"/>
    <s v="Mind mapping"/>
    <s v="This approach maps ideas to show the"/>
    <s v="relationship among requirements and the"/>
    <s v="differences between requirements. The"/>
    <s v="map can be reviewed to identify new"/>
    <s v="solutions or to rank the identified"/>
    <s v="requirements."/>
    <s v=""/>
    <s v=""/>
    <s v=""/>
    <s v=""/>
    <s v=""/>
    <s v=""/>
    <s v=""/>
    <s v=""/>
    <x v="90"/>
  </r>
  <r>
    <x v="3"/>
    <x v="431"/>
    <n v="36"/>
    <m/>
    <x v="2"/>
    <s v=""/>
    <s v=""/>
    <s v=""/>
    <s v=""/>
    <s v=""/>
    <s v=""/>
    <s v=""/>
    <s v=""/>
    <s v=""/>
    <s v=""/>
    <s v=""/>
    <s v=""/>
    <s v=""/>
    <s v=""/>
    <s v=""/>
    <x v="2"/>
  </r>
  <r>
    <x v="3"/>
    <x v="432"/>
    <n v="39"/>
    <m/>
    <x v="3"/>
    <s v=""/>
    <s v=""/>
    <s v=""/>
    <s v=""/>
    <s v=""/>
    <s v=""/>
    <s v=""/>
    <s v=""/>
    <s v=""/>
    <s v=""/>
    <s v=""/>
    <s v=""/>
    <s v=""/>
    <s v=""/>
    <s v=""/>
    <x v="2"/>
  </r>
  <r>
    <x v="3"/>
    <x v="433"/>
    <n v="37"/>
    <m/>
    <x v="4"/>
    <s v=""/>
    <s v=""/>
    <s v=""/>
    <s v=""/>
    <s v=""/>
    <s v=""/>
    <s v=""/>
    <s v=""/>
    <s v=""/>
    <s v=""/>
    <s v=""/>
    <s v=""/>
    <s v=""/>
    <s v=""/>
    <s v=""/>
    <x v="2"/>
  </r>
  <r>
    <x v="3"/>
    <x v="434"/>
    <n v="35"/>
    <m/>
    <x v="5"/>
    <s v=""/>
    <s v=""/>
    <s v=""/>
    <s v=""/>
    <s v=""/>
    <s v=""/>
    <s v=""/>
    <s v=""/>
    <s v=""/>
    <s v=""/>
    <s v=""/>
    <s v=""/>
    <s v=""/>
    <s v=""/>
    <s v=""/>
    <x v="2"/>
  </r>
  <r>
    <x v="3"/>
    <x v="435"/>
    <n v="35"/>
    <m/>
    <x v="6"/>
    <s v=""/>
    <s v=""/>
    <s v=""/>
    <s v=""/>
    <s v=""/>
    <s v=""/>
    <s v=""/>
    <s v=""/>
    <s v=""/>
    <s v=""/>
    <s v=""/>
    <s v=""/>
    <s v=""/>
    <s v=""/>
    <s v=""/>
    <x v="2"/>
  </r>
  <r>
    <x v="3"/>
    <x v="436"/>
    <n v="13"/>
    <m/>
    <x v="7"/>
    <s v=""/>
    <s v=""/>
    <s v=""/>
    <s v=""/>
    <s v=""/>
    <s v=""/>
    <s v=""/>
    <s v=""/>
    <s v=""/>
    <s v=""/>
    <s v=""/>
    <s v=""/>
    <s v=""/>
    <s v=""/>
    <s v=""/>
    <x v="2"/>
  </r>
  <r>
    <x v="3"/>
    <x v="437"/>
    <n v="23"/>
    <n v="1"/>
    <x v="1"/>
    <s v="Nominal group technique"/>
    <s v="As with brainstorming, participants are"/>
    <s v="encouraged to generate as many ideas"/>
    <s v="as possible, but the suggested ideas are"/>
    <s v="ranked by a voting process."/>
    <s v=""/>
    <s v=""/>
    <s v=""/>
    <s v=""/>
    <s v=""/>
    <s v=""/>
    <s v=""/>
    <s v=""/>
    <s v=""/>
    <s v=""/>
    <x v="91"/>
  </r>
  <r>
    <x v="3"/>
    <x v="438"/>
    <n v="39"/>
    <m/>
    <x v="2"/>
    <s v=""/>
    <s v=""/>
    <s v=""/>
    <s v=""/>
    <s v=""/>
    <s v=""/>
    <s v=""/>
    <s v=""/>
    <s v=""/>
    <s v=""/>
    <s v=""/>
    <s v=""/>
    <s v=""/>
    <s v=""/>
    <s v=""/>
    <x v="2"/>
  </r>
  <r>
    <x v="3"/>
    <x v="439"/>
    <n v="36"/>
    <m/>
    <x v="3"/>
    <s v=""/>
    <s v=""/>
    <s v=""/>
    <s v=""/>
    <s v=""/>
    <s v=""/>
    <s v=""/>
    <s v=""/>
    <s v=""/>
    <s v=""/>
    <s v=""/>
    <s v=""/>
    <s v=""/>
    <s v=""/>
    <s v=""/>
    <x v="2"/>
  </r>
  <r>
    <x v="3"/>
    <x v="440"/>
    <n v="40"/>
    <m/>
    <x v="4"/>
    <s v=""/>
    <s v=""/>
    <s v=""/>
    <s v=""/>
    <s v=""/>
    <s v=""/>
    <s v=""/>
    <s v=""/>
    <s v=""/>
    <s v=""/>
    <s v=""/>
    <s v=""/>
    <s v=""/>
    <s v=""/>
    <s v=""/>
    <x v="2"/>
  </r>
  <r>
    <x v="3"/>
    <x v="441"/>
    <n v="27"/>
    <m/>
    <x v="5"/>
    <s v=""/>
    <s v=""/>
    <s v=""/>
    <s v=""/>
    <s v=""/>
    <s v=""/>
    <s v=""/>
    <s v=""/>
    <s v=""/>
    <s v=""/>
    <s v=""/>
    <s v=""/>
    <s v=""/>
    <s v=""/>
    <s v=""/>
    <x v="2"/>
  </r>
  <r>
    <x v="3"/>
    <x v="442"/>
    <n v="19"/>
    <n v="1"/>
    <x v="1"/>
    <s v="Passive observation"/>
    <s v="The observer records information about"/>
    <s v="the work being completed without"/>
    <s v="interrupting the process; sometimes"/>
    <s v="called the invisible observer."/>
    <s v=""/>
    <s v=""/>
    <s v=""/>
    <s v=""/>
    <s v=""/>
    <s v=""/>
    <s v=""/>
    <s v=""/>
    <s v=""/>
    <s v=""/>
    <x v="92"/>
  </r>
  <r>
    <x v="3"/>
    <x v="443"/>
    <n v="38"/>
    <m/>
    <x v="2"/>
    <s v=""/>
    <s v=""/>
    <s v=""/>
    <s v=""/>
    <s v=""/>
    <s v=""/>
    <s v=""/>
    <s v=""/>
    <s v=""/>
    <s v=""/>
    <s v=""/>
    <s v=""/>
    <s v=""/>
    <s v=""/>
    <s v=""/>
    <x v="2"/>
  </r>
  <r>
    <x v="3"/>
    <x v="444"/>
    <n v="32"/>
    <m/>
    <x v="3"/>
    <s v=""/>
    <s v=""/>
    <s v=""/>
    <s v=""/>
    <s v=""/>
    <s v=""/>
    <s v=""/>
    <s v=""/>
    <s v=""/>
    <s v=""/>
    <s v=""/>
    <s v=""/>
    <s v=""/>
    <s v=""/>
    <s v=""/>
    <x v="2"/>
  </r>
  <r>
    <x v="3"/>
    <x v="445"/>
    <n v="35"/>
    <m/>
    <x v="4"/>
    <s v=""/>
    <s v=""/>
    <s v=""/>
    <s v=""/>
    <s v=""/>
    <s v=""/>
    <s v=""/>
    <s v=""/>
    <s v=""/>
    <s v=""/>
    <s v=""/>
    <s v=""/>
    <s v=""/>
    <s v=""/>
    <s v=""/>
    <x v="2"/>
  </r>
  <r>
    <x v="3"/>
    <x v="446"/>
    <n v="30"/>
    <m/>
    <x v="5"/>
    <s v=""/>
    <s v=""/>
    <s v=""/>
    <s v=""/>
    <s v=""/>
    <s v=""/>
    <s v=""/>
    <s v=""/>
    <s v=""/>
    <s v=""/>
    <s v=""/>
    <s v=""/>
    <s v=""/>
    <s v=""/>
    <s v=""/>
    <x v="2"/>
  </r>
  <r>
    <x v="3"/>
    <x v="447"/>
    <n v="9"/>
    <n v="1"/>
    <x v="1"/>
    <s v="Plurality"/>
    <s v="A group-decision method where the"/>
    <s v="largest part of the group makes the"/>
    <s v="decision when it’s less than 50 percent of"/>
    <s v="the total. (Consider three or four factions"/>
    <s v="within the stakeholders.)"/>
    <s v=""/>
    <s v=""/>
    <s v=""/>
    <s v=""/>
    <s v=""/>
    <s v=""/>
    <s v=""/>
    <s v=""/>
    <s v=""/>
    <x v="93"/>
  </r>
  <r>
    <x v="3"/>
    <x v="448"/>
    <n v="33"/>
    <m/>
    <x v="2"/>
    <s v=""/>
    <s v=""/>
    <s v=""/>
    <s v=""/>
    <s v=""/>
    <s v=""/>
    <s v=""/>
    <s v=""/>
    <s v=""/>
    <s v=""/>
    <s v=""/>
    <s v=""/>
    <s v=""/>
    <s v=""/>
    <s v=""/>
    <x v="2"/>
  </r>
  <r>
    <x v="3"/>
    <x v="449"/>
    <n v="35"/>
    <m/>
    <x v="3"/>
    <s v=""/>
    <s v=""/>
    <s v=""/>
    <s v=""/>
    <s v=""/>
    <s v=""/>
    <s v=""/>
    <s v=""/>
    <s v=""/>
    <s v=""/>
    <s v=""/>
    <s v=""/>
    <s v=""/>
    <s v=""/>
    <s v=""/>
    <x v="2"/>
  </r>
  <r>
    <x v="3"/>
    <x v="450"/>
    <n v="42"/>
    <m/>
    <x v="4"/>
    <s v=""/>
    <s v=""/>
    <s v=""/>
    <s v=""/>
    <s v=""/>
    <s v=""/>
    <s v=""/>
    <s v=""/>
    <s v=""/>
    <s v=""/>
    <s v=""/>
    <s v=""/>
    <s v=""/>
    <s v=""/>
    <s v=""/>
    <x v="2"/>
  </r>
  <r>
    <x v="3"/>
    <x v="451"/>
    <n v="43"/>
    <m/>
    <x v="5"/>
    <s v=""/>
    <s v=""/>
    <s v=""/>
    <s v=""/>
    <s v=""/>
    <s v=""/>
    <s v=""/>
    <s v=""/>
    <s v=""/>
    <s v=""/>
    <s v=""/>
    <s v=""/>
    <s v=""/>
    <s v=""/>
    <s v=""/>
    <x v="2"/>
  </r>
  <r>
    <x v="3"/>
    <x v="452"/>
    <n v="25"/>
    <m/>
    <x v="6"/>
    <s v=""/>
    <s v=""/>
    <s v=""/>
    <s v=""/>
    <s v=""/>
    <s v=""/>
    <s v=""/>
    <s v=""/>
    <s v=""/>
    <s v=""/>
    <s v=""/>
    <s v=""/>
    <s v=""/>
    <s v=""/>
    <s v=""/>
    <x v="2"/>
  </r>
  <r>
    <x v="3"/>
    <x v="453"/>
    <n v="27"/>
    <n v="1"/>
    <x v="1"/>
    <s v="Product acceptance criteria"/>
    <s v="This project scope statement component"/>
    <s v="works with the project requirements, but"/>
    <s v="focuses specifically on the product and"/>
    <s v="what the conditions and processes are"/>
    <s v="for formal acceptance of the product."/>
    <s v=""/>
    <s v=""/>
    <s v=""/>
    <s v=""/>
    <s v=""/>
    <s v=""/>
    <s v=""/>
    <s v=""/>
    <s v=""/>
    <x v="94"/>
  </r>
  <r>
    <x v="3"/>
    <x v="454"/>
    <n v="38"/>
    <m/>
    <x v="2"/>
    <s v=""/>
    <s v=""/>
    <s v=""/>
    <s v=""/>
    <s v=""/>
    <s v=""/>
    <s v=""/>
    <s v=""/>
    <s v=""/>
    <s v=""/>
    <s v=""/>
    <s v=""/>
    <s v=""/>
    <s v=""/>
    <s v=""/>
    <x v="2"/>
  </r>
  <r>
    <x v="3"/>
    <x v="455"/>
    <n v="40"/>
    <m/>
    <x v="3"/>
    <s v=""/>
    <s v=""/>
    <s v=""/>
    <s v=""/>
    <s v=""/>
    <s v=""/>
    <s v=""/>
    <s v=""/>
    <s v=""/>
    <s v=""/>
    <s v=""/>
    <s v=""/>
    <s v=""/>
    <s v=""/>
    <s v=""/>
    <x v="2"/>
  </r>
  <r>
    <x v="3"/>
    <x v="456"/>
    <n v="39"/>
    <m/>
    <x v="4"/>
    <s v=""/>
    <s v=""/>
    <s v=""/>
    <s v=""/>
    <s v=""/>
    <s v=""/>
    <s v=""/>
    <s v=""/>
    <s v=""/>
    <s v=""/>
    <s v=""/>
    <s v=""/>
    <s v=""/>
    <s v=""/>
    <s v=""/>
    <x v="2"/>
  </r>
  <r>
    <x v="3"/>
    <x v="457"/>
    <n v="37"/>
    <m/>
    <x v="5"/>
    <s v=""/>
    <s v=""/>
    <s v=""/>
    <s v=""/>
    <s v=""/>
    <s v=""/>
    <s v=""/>
    <s v=""/>
    <s v=""/>
    <s v=""/>
    <s v=""/>
    <s v=""/>
    <s v=""/>
    <s v=""/>
    <s v=""/>
    <x v="2"/>
  </r>
  <r>
    <x v="3"/>
    <x v="458"/>
    <n v="37"/>
    <m/>
    <x v="6"/>
    <s v=""/>
    <s v=""/>
    <s v=""/>
    <s v=""/>
    <s v=""/>
    <s v=""/>
    <s v=""/>
    <s v=""/>
    <s v=""/>
    <s v=""/>
    <s v=""/>
    <s v=""/>
    <s v=""/>
    <s v=""/>
    <s v=""/>
    <x v="2"/>
  </r>
  <r>
    <x v="3"/>
    <x v="459"/>
    <n v="17"/>
    <n v="1"/>
    <x v="1"/>
    <s v="Product breakdown"/>
    <s v="A scope definition technique that breaks"/>
    <s v="down a product into a hierarchical"/>
    <s v="structure, much like a WBS breaks down"/>
    <s v="a project scope."/>
    <s v=""/>
    <s v=""/>
    <s v=""/>
    <s v=""/>
    <s v=""/>
    <s v=""/>
    <s v=""/>
    <s v=""/>
    <s v=""/>
    <s v=""/>
    <x v="95"/>
  </r>
  <r>
    <x v="3"/>
    <x v="460"/>
    <n v="40"/>
    <m/>
    <x v="2"/>
    <s v=""/>
    <s v=""/>
    <s v=""/>
    <s v=""/>
    <s v=""/>
    <s v=""/>
    <s v=""/>
    <s v=""/>
    <s v=""/>
    <s v=""/>
    <s v=""/>
    <s v=""/>
    <s v=""/>
    <s v=""/>
    <s v=""/>
    <x v="2"/>
  </r>
  <r>
    <x v="3"/>
    <x v="461"/>
    <n v="34"/>
    <m/>
    <x v="3"/>
    <s v=""/>
    <s v=""/>
    <s v=""/>
    <s v=""/>
    <s v=""/>
    <s v=""/>
    <s v=""/>
    <s v=""/>
    <s v=""/>
    <s v=""/>
    <s v=""/>
    <s v=""/>
    <s v=""/>
    <s v=""/>
    <s v=""/>
    <x v="2"/>
  </r>
  <r>
    <x v="3"/>
    <x v="462"/>
    <n v="38"/>
    <m/>
    <x v="4"/>
    <s v=""/>
    <s v=""/>
    <s v=""/>
    <s v=""/>
    <s v=""/>
    <s v=""/>
    <s v=""/>
    <s v=""/>
    <s v=""/>
    <s v=""/>
    <s v=""/>
    <s v=""/>
    <s v=""/>
    <s v=""/>
    <s v=""/>
    <x v="2"/>
  </r>
  <r>
    <x v="3"/>
    <x v="463"/>
    <n v="16"/>
    <m/>
    <x v="5"/>
    <s v=""/>
    <s v=""/>
    <s v=""/>
    <s v=""/>
    <s v=""/>
    <s v=""/>
    <s v=""/>
    <s v=""/>
    <s v=""/>
    <s v=""/>
    <s v=""/>
    <s v=""/>
    <s v=""/>
    <s v=""/>
    <s v=""/>
    <x v="2"/>
  </r>
  <r>
    <x v="3"/>
    <x v="464"/>
    <n v="25"/>
    <n v="1"/>
    <x v="1"/>
    <s v="Product scope description"/>
    <s v="This is a narrative description of what the"/>
    <s v="project is creating as a deliverable for the"/>
    <s v="project customer."/>
    <s v="Product scope Defines the product or service that will come about as a result of completing the project. It defines the features and functions that characterize the product. Project assumptions A project assumption is a factor in the planning process that is held to be true but not proven to be true. Project boundaries A project boundary clearly states what is included with the project and what’s excluded from the project. This helps to eliminate assumptions between the project management team and the project customer. Project constraints A constraint is anything that limits the project manager’s options. Consider a predetermined budget, deadline, resources, or materials the project manager must use within the project—these are all examples of project constraints. Project objectives These are the measurable goals that determine a project’s acceptability to the project customer and the overall success of the project. Objectives often include the cost, schedule, technical requirements, and quality demands. Project requirements These are the demands set by the customer, regulations, or the performing organization that must exist for the project deliverables to be acceptable. Requirements are often prioritized in a number of ways, from “must have” to “should have” to “would like to have.” Project scope This defines all of the work, and only the required work, to complete the project objectives."/>
    <s v=""/>
    <s v=""/>
    <s v=""/>
    <s v=""/>
    <s v=""/>
    <s v=""/>
    <s v=""/>
    <s v=""/>
    <s v=""/>
    <s v=""/>
    <x v="96"/>
  </r>
  <r>
    <x v="3"/>
    <x v="465"/>
    <n v="43"/>
    <m/>
    <x v="2"/>
    <s v=""/>
    <s v=""/>
    <s v=""/>
    <s v=""/>
    <s v=""/>
    <s v=""/>
    <s v=""/>
    <s v=""/>
    <s v=""/>
    <s v=""/>
    <s v=""/>
    <s v=""/>
    <s v=""/>
    <s v=""/>
    <s v=""/>
    <x v="2"/>
  </r>
  <r>
    <x v="3"/>
    <x v="466"/>
    <n v="44"/>
    <m/>
    <x v="3"/>
    <s v=""/>
    <s v=""/>
    <s v=""/>
    <s v=""/>
    <s v=""/>
    <s v=""/>
    <s v=""/>
    <s v=""/>
    <s v=""/>
    <s v=""/>
    <s v=""/>
    <s v=""/>
    <s v=""/>
    <s v=""/>
    <s v=""/>
    <x v="2"/>
  </r>
  <r>
    <x v="3"/>
    <x v="467"/>
    <n v="17"/>
    <m/>
    <x v="4"/>
    <s v=""/>
    <s v=""/>
    <s v=""/>
    <s v=""/>
    <s v=""/>
    <s v=""/>
    <s v=""/>
    <s v=""/>
    <s v=""/>
    <s v=""/>
    <s v=""/>
    <s v=""/>
    <s v=""/>
    <s v=""/>
    <s v=""/>
    <x v="2"/>
  </r>
  <r>
    <x v="3"/>
    <x v="468"/>
    <n v="1413"/>
    <m/>
    <x v="5"/>
    <s v=""/>
    <s v=""/>
    <s v=""/>
    <s v=""/>
    <s v=""/>
    <s v=""/>
    <s v=""/>
    <s v=""/>
    <s v=""/>
    <s v=""/>
    <s v=""/>
    <s v=""/>
    <s v=""/>
    <s v=""/>
    <s v=""/>
    <x v="2"/>
  </r>
  <r>
    <x v="3"/>
    <x v="319"/>
    <n v="29"/>
    <n v="1"/>
    <x v="1"/>
    <s v="Project scope management plan"/>
    <s v="This project management subsidiary plan"/>
    <s v="controls how the scope will be defined,"/>
    <s v="how the project scope statement will be"/>
    <s v="created, how the WBS will be created,"/>
    <s v="how scope validation will proceed, and"/>
    <s v="how the project scope will be controlled"/>
    <s v="throughout the project."/>
    <s v=""/>
    <s v=""/>
    <s v=""/>
    <s v=""/>
    <s v=""/>
    <s v=""/>
    <s v=""/>
    <x v="97"/>
  </r>
  <r>
    <x v="3"/>
    <x v="469"/>
    <n v="39"/>
    <m/>
    <x v="2"/>
    <s v=""/>
    <s v=""/>
    <s v=""/>
    <s v=""/>
    <s v=""/>
    <s v=""/>
    <s v=""/>
    <s v=""/>
    <s v=""/>
    <s v=""/>
    <s v=""/>
    <s v=""/>
    <s v=""/>
    <s v=""/>
    <s v=""/>
    <x v="2"/>
  </r>
  <r>
    <x v="3"/>
    <x v="470"/>
    <n v="39"/>
    <m/>
    <x v="3"/>
    <s v=""/>
    <s v=""/>
    <s v=""/>
    <s v=""/>
    <s v=""/>
    <s v=""/>
    <s v=""/>
    <s v=""/>
    <s v=""/>
    <s v=""/>
    <s v=""/>
    <s v=""/>
    <s v=""/>
    <s v=""/>
    <s v=""/>
    <x v="2"/>
  </r>
  <r>
    <x v="3"/>
    <x v="471"/>
    <n v="39"/>
    <m/>
    <x v="4"/>
    <s v=""/>
    <s v=""/>
    <s v=""/>
    <s v=""/>
    <s v=""/>
    <s v=""/>
    <s v=""/>
    <s v=""/>
    <s v=""/>
    <s v=""/>
    <s v=""/>
    <s v=""/>
    <s v=""/>
    <s v=""/>
    <s v=""/>
    <x v="2"/>
  </r>
  <r>
    <x v="3"/>
    <x v="472"/>
    <n v="37"/>
    <m/>
    <x v="5"/>
    <s v=""/>
    <s v=""/>
    <s v=""/>
    <s v=""/>
    <s v=""/>
    <s v=""/>
    <s v=""/>
    <s v=""/>
    <s v=""/>
    <s v=""/>
    <s v=""/>
    <s v=""/>
    <s v=""/>
    <s v=""/>
    <s v=""/>
    <x v="2"/>
  </r>
  <r>
    <x v="3"/>
    <x v="473"/>
    <n v="38"/>
    <m/>
    <x v="6"/>
    <s v=""/>
    <s v=""/>
    <s v=""/>
    <s v=""/>
    <s v=""/>
    <s v=""/>
    <s v=""/>
    <s v=""/>
    <s v=""/>
    <s v=""/>
    <s v=""/>
    <s v=""/>
    <s v=""/>
    <s v=""/>
    <s v=""/>
    <x v="2"/>
  </r>
  <r>
    <x v="3"/>
    <x v="474"/>
    <n v="40"/>
    <m/>
    <x v="7"/>
    <s v=""/>
    <s v=""/>
    <s v=""/>
    <s v=""/>
    <s v=""/>
    <s v=""/>
    <s v=""/>
    <s v=""/>
    <s v=""/>
    <s v=""/>
    <s v=""/>
    <s v=""/>
    <s v=""/>
    <s v=""/>
    <s v=""/>
    <x v="2"/>
  </r>
  <r>
    <x v="3"/>
    <x v="475"/>
    <n v="23"/>
    <m/>
    <x v="8"/>
    <s v=""/>
    <s v=""/>
    <s v=""/>
    <s v=""/>
    <s v=""/>
    <s v=""/>
    <s v=""/>
    <s v=""/>
    <s v=""/>
    <s v=""/>
    <s v=""/>
    <s v=""/>
    <s v=""/>
    <s v=""/>
    <s v=""/>
    <x v="2"/>
  </r>
  <r>
    <x v="3"/>
    <x v="476"/>
    <n v="26"/>
    <n v="1"/>
    <x v="1"/>
    <s v="Requirements documentation"/>
    <s v="This documentation of what the"/>
    <s v="stakeholders expected in the project"/>
    <s v="defines all of the requirements that must"/>
    <s v="be present for the work to be accepted by"/>
    <s v="the stakeholders."/>
    <s v=""/>
    <s v=""/>
    <s v=""/>
    <s v=""/>
    <s v=""/>
    <s v=""/>
    <s v=""/>
    <s v=""/>
    <s v=""/>
    <x v="98"/>
  </r>
  <r>
    <x v="3"/>
    <x v="477"/>
    <n v="30"/>
    <m/>
    <x v="2"/>
    <s v=""/>
    <s v=""/>
    <s v=""/>
    <s v=""/>
    <s v=""/>
    <s v=""/>
    <s v=""/>
    <s v=""/>
    <s v=""/>
    <s v=""/>
    <s v=""/>
    <s v=""/>
    <s v=""/>
    <s v=""/>
    <s v=""/>
    <x v="2"/>
  </r>
  <r>
    <x v="3"/>
    <x v="478"/>
    <n v="36"/>
    <m/>
    <x v="3"/>
    <s v=""/>
    <s v=""/>
    <s v=""/>
    <s v=""/>
    <s v=""/>
    <s v=""/>
    <s v=""/>
    <s v=""/>
    <s v=""/>
    <s v=""/>
    <s v=""/>
    <s v=""/>
    <s v=""/>
    <s v=""/>
    <s v=""/>
    <x v="2"/>
  </r>
  <r>
    <x v="3"/>
    <x v="479"/>
    <n v="41"/>
    <m/>
    <x v="4"/>
    <s v=""/>
    <s v=""/>
    <s v=""/>
    <s v=""/>
    <s v=""/>
    <s v=""/>
    <s v=""/>
    <s v=""/>
    <s v=""/>
    <s v=""/>
    <s v=""/>
    <s v=""/>
    <s v=""/>
    <s v=""/>
    <s v=""/>
    <x v="2"/>
  </r>
  <r>
    <x v="3"/>
    <x v="480"/>
    <n v="41"/>
    <m/>
    <x v="5"/>
    <s v=""/>
    <s v=""/>
    <s v=""/>
    <s v=""/>
    <s v=""/>
    <s v=""/>
    <s v=""/>
    <s v=""/>
    <s v=""/>
    <s v=""/>
    <s v=""/>
    <s v=""/>
    <s v=""/>
    <s v=""/>
    <s v=""/>
    <x v="2"/>
  </r>
  <r>
    <x v="3"/>
    <x v="481"/>
    <n v="17"/>
    <m/>
    <x v="6"/>
    <s v=""/>
    <s v=""/>
    <s v=""/>
    <s v=""/>
    <s v=""/>
    <s v=""/>
    <s v=""/>
    <s v=""/>
    <s v=""/>
    <s v=""/>
    <s v=""/>
    <s v=""/>
    <s v=""/>
    <s v=""/>
    <s v=""/>
    <x v="2"/>
  </r>
  <r>
    <x v="3"/>
    <x v="482"/>
    <n v="28"/>
    <n v="1"/>
    <x v="1"/>
    <s v="Requirements management plan"/>
    <s v="This subsidiary plan defines how"/>
    <s v="changes to the project requirements will"/>
    <s v="be permitted, how requirements will be"/>
    <s v="tracked, and how changes to the"/>
    <s v="requirements will be approved."/>
    <s v=""/>
    <s v=""/>
    <s v=""/>
    <s v=""/>
    <s v=""/>
    <s v=""/>
    <s v=""/>
    <s v=""/>
    <s v=""/>
    <x v="99"/>
  </r>
  <r>
    <x v="3"/>
    <x v="483"/>
    <n v="32"/>
    <m/>
    <x v="2"/>
    <s v=""/>
    <s v=""/>
    <s v=""/>
    <s v=""/>
    <s v=""/>
    <s v=""/>
    <s v=""/>
    <s v=""/>
    <s v=""/>
    <s v=""/>
    <s v=""/>
    <s v=""/>
    <s v=""/>
    <s v=""/>
    <s v=""/>
    <x v="2"/>
  </r>
  <r>
    <x v="3"/>
    <x v="484"/>
    <n v="40"/>
    <m/>
    <x v="3"/>
    <s v=""/>
    <s v=""/>
    <s v=""/>
    <s v=""/>
    <s v=""/>
    <s v=""/>
    <s v=""/>
    <s v=""/>
    <s v=""/>
    <s v=""/>
    <s v=""/>
    <s v=""/>
    <s v=""/>
    <s v=""/>
    <s v=""/>
    <x v="2"/>
  </r>
  <r>
    <x v="3"/>
    <x v="485"/>
    <n v="38"/>
    <m/>
    <x v="4"/>
    <s v=""/>
    <s v=""/>
    <s v=""/>
    <s v=""/>
    <s v=""/>
    <s v=""/>
    <s v=""/>
    <s v=""/>
    <s v=""/>
    <s v=""/>
    <s v=""/>
    <s v=""/>
    <s v=""/>
    <s v=""/>
    <s v=""/>
    <x v="2"/>
  </r>
  <r>
    <x v="3"/>
    <x v="486"/>
    <n v="31"/>
    <m/>
    <x v="5"/>
    <s v=""/>
    <s v=""/>
    <s v=""/>
    <s v=""/>
    <s v=""/>
    <s v=""/>
    <s v=""/>
    <s v=""/>
    <s v=""/>
    <s v=""/>
    <s v=""/>
    <s v=""/>
    <s v=""/>
    <s v=""/>
    <s v=""/>
    <x v="2"/>
  </r>
  <r>
    <x v="3"/>
    <x v="487"/>
    <n v="30"/>
    <m/>
    <x v="6"/>
    <s v=""/>
    <s v=""/>
    <s v=""/>
    <s v=""/>
    <s v=""/>
    <s v=""/>
    <s v=""/>
    <s v=""/>
    <s v=""/>
    <s v=""/>
    <s v=""/>
    <s v=""/>
    <s v=""/>
    <s v=""/>
    <s v=""/>
    <x v="2"/>
  </r>
  <r>
    <x v="3"/>
    <x v="488"/>
    <n v="38"/>
    <n v="1"/>
    <x v="1"/>
    <s v="Requirements traceability matrix (RTM)"/>
    <s v="This is a table that maps the"/>
    <s v="requirements throughout the project all"/>
    <s v="the way to their completion."/>
    <s v=""/>
    <s v=""/>
    <s v=""/>
    <s v=""/>
    <s v=""/>
    <s v=""/>
    <s v=""/>
    <s v=""/>
    <s v=""/>
    <s v=""/>
    <s v=""/>
    <x v="100"/>
  </r>
  <r>
    <x v="3"/>
    <x v="489"/>
    <n v="29"/>
    <m/>
    <x v="2"/>
    <s v=""/>
    <s v=""/>
    <s v=""/>
    <s v=""/>
    <s v=""/>
    <s v=""/>
    <s v=""/>
    <s v=""/>
    <s v=""/>
    <s v=""/>
    <s v=""/>
    <s v=""/>
    <s v=""/>
    <s v=""/>
    <s v=""/>
    <x v="2"/>
  </r>
  <r>
    <x v="3"/>
    <x v="490"/>
    <n v="39"/>
    <m/>
    <x v="3"/>
    <s v=""/>
    <s v=""/>
    <s v=""/>
    <s v=""/>
    <s v=""/>
    <s v=""/>
    <s v=""/>
    <s v=""/>
    <s v=""/>
    <s v=""/>
    <s v=""/>
    <s v=""/>
    <s v=""/>
    <s v=""/>
    <s v=""/>
    <x v="2"/>
  </r>
  <r>
    <x v="3"/>
    <x v="491"/>
    <n v="28"/>
    <m/>
    <x v="4"/>
    <s v=""/>
    <s v=""/>
    <s v=""/>
    <s v=""/>
    <s v=""/>
    <s v=""/>
    <s v=""/>
    <s v=""/>
    <s v=""/>
    <s v=""/>
    <s v=""/>
    <s v=""/>
    <s v=""/>
    <s v=""/>
    <s v=""/>
    <x v="2"/>
  </r>
  <r>
    <x v="3"/>
    <x v="492"/>
    <n v="19"/>
    <n v="1"/>
    <x v="1"/>
    <s v="Schedule milestones"/>
    <s v="The project customer may have specific"/>
    <s v="dates when phases of the project should"/>
    <s v="be completed. These milestones are"/>
    <s v="often treated as project constraints."/>
    <s v=""/>
    <s v=""/>
    <s v=""/>
    <s v=""/>
    <s v=""/>
    <s v=""/>
    <s v=""/>
    <s v=""/>
    <s v=""/>
    <s v=""/>
    <x v="101"/>
  </r>
  <r>
    <x v="3"/>
    <x v="493"/>
    <n v="38"/>
    <m/>
    <x v="2"/>
    <s v=""/>
    <s v=""/>
    <s v=""/>
    <s v=""/>
    <s v=""/>
    <s v=""/>
    <s v=""/>
    <s v=""/>
    <s v=""/>
    <s v=""/>
    <s v=""/>
    <s v=""/>
    <s v=""/>
    <s v=""/>
    <s v=""/>
    <x v="2"/>
  </r>
  <r>
    <x v="3"/>
    <x v="494"/>
    <n v="39"/>
    <m/>
    <x v="3"/>
    <s v=""/>
    <s v=""/>
    <s v=""/>
    <s v=""/>
    <s v=""/>
    <s v=""/>
    <s v=""/>
    <s v=""/>
    <s v=""/>
    <s v=""/>
    <s v=""/>
    <s v=""/>
    <s v=""/>
    <s v=""/>
    <s v=""/>
    <x v="2"/>
  </r>
  <r>
    <x v="3"/>
    <x v="495"/>
    <n v="34"/>
    <m/>
    <x v="4"/>
    <s v=""/>
    <s v=""/>
    <s v=""/>
    <s v=""/>
    <s v=""/>
    <s v=""/>
    <s v=""/>
    <s v=""/>
    <s v=""/>
    <s v=""/>
    <s v=""/>
    <s v=""/>
    <s v=""/>
    <s v=""/>
    <s v=""/>
    <x v="2"/>
  </r>
  <r>
    <x v="3"/>
    <x v="496"/>
    <n v="37"/>
    <m/>
    <x v="5"/>
    <s v=""/>
    <s v=""/>
    <s v=""/>
    <s v=""/>
    <s v=""/>
    <s v=""/>
    <s v=""/>
    <s v=""/>
    <s v=""/>
    <s v=""/>
    <s v=""/>
    <s v=""/>
    <s v=""/>
    <s v=""/>
    <s v=""/>
    <x v="2"/>
  </r>
  <r>
    <x v="3"/>
    <x v="497"/>
    <n v="11"/>
    <n v="1"/>
    <x v="1"/>
    <s v="Scope creep"/>
    <s v="Undocumented, unapproved changes to"/>
    <s v="the project scope."/>
    <s v=""/>
    <s v=""/>
    <s v=""/>
    <s v=""/>
    <s v=""/>
    <s v=""/>
    <s v=""/>
    <s v=""/>
    <s v=""/>
    <s v=""/>
    <s v=""/>
    <s v=""/>
    <x v="102"/>
  </r>
  <r>
    <x v="3"/>
    <x v="498"/>
    <n v="35"/>
    <m/>
    <x v="2"/>
    <s v=""/>
    <s v=""/>
    <s v=""/>
    <s v=""/>
    <s v=""/>
    <s v=""/>
    <s v=""/>
    <s v=""/>
    <s v=""/>
    <s v=""/>
    <s v=""/>
    <s v=""/>
    <s v=""/>
    <s v=""/>
    <s v=""/>
    <x v="2"/>
  </r>
  <r>
    <x v="3"/>
    <x v="499"/>
    <n v="18"/>
    <m/>
    <x v="3"/>
    <s v=""/>
    <s v=""/>
    <s v=""/>
    <s v=""/>
    <s v=""/>
    <s v=""/>
    <s v=""/>
    <s v=""/>
    <s v=""/>
    <s v=""/>
    <s v=""/>
    <s v=""/>
    <s v=""/>
    <s v=""/>
    <s v=""/>
    <x v="2"/>
  </r>
  <r>
    <x v="3"/>
    <x v="500"/>
    <n v="16"/>
    <n v="1"/>
    <x v="1"/>
    <s v="Scope validation"/>
    <s v="The formal inspection of the project"/>
    <s v="deliverables, which leads to project"/>
    <s v="acceptance."/>
    <s v=""/>
    <s v=""/>
    <s v=""/>
    <s v=""/>
    <s v=""/>
    <s v=""/>
    <s v=""/>
    <s v=""/>
    <s v=""/>
    <s v=""/>
    <s v=""/>
    <x v="103"/>
  </r>
  <r>
    <x v="3"/>
    <x v="501"/>
    <n v="36"/>
    <m/>
    <x v="2"/>
    <s v=""/>
    <s v=""/>
    <s v=""/>
    <s v=""/>
    <s v=""/>
    <s v=""/>
    <s v=""/>
    <s v=""/>
    <s v=""/>
    <s v=""/>
    <s v=""/>
    <s v=""/>
    <s v=""/>
    <s v=""/>
    <s v=""/>
    <x v="2"/>
  </r>
  <r>
    <x v="3"/>
    <x v="502"/>
    <n v="36"/>
    <m/>
    <x v="3"/>
    <s v=""/>
    <s v=""/>
    <s v=""/>
    <s v=""/>
    <s v=""/>
    <s v=""/>
    <s v=""/>
    <s v=""/>
    <s v=""/>
    <s v=""/>
    <s v=""/>
    <s v=""/>
    <s v=""/>
    <s v=""/>
    <s v=""/>
    <x v="2"/>
  </r>
  <r>
    <x v="3"/>
    <x v="503"/>
    <n v="11"/>
    <m/>
    <x v="4"/>
    <s v=""/>
    <s v=""/>
    <s v=""/>
    <s v=""/>
    <s v=""/>
    <s v=""/>
    <s v=""/>
    <s v=""/>
    <s v=""/>
    <s v=""/>
    <s v=""/>
    <s v=""/>
    <s v=""/>
    <s v=""/>
    <s v=""/>
    <x v="2"/>
  </r>
  <r>
    <x v="3"/>
    <x v="504"/>
    <n v="20"/>
    <n v="1"/>
    <x v="1"/>
    <s v="Stakeholder analysis"/>
    <s v="A scope definition process where the"/>
    <s v="project management team interviews the"/>
    <s v="stakeholders and categorizes, prioritizes,"/>
    <s v="and documents what the project"/>
    <s v="customer wants and needs. The analysis"/>
    <s v="is to determine, quantify, and prioritize"/>
    <s v="the interests of the stakeholders."/>
    <s v=""/>
    <s v=""/>
    <s v=""/>
    <s v=""/>
    <s v=""/>
    <s v=""/>
    <s v=""/>
    <x v="104"/>
  </r>
  <r>
    <x v="3"/>
    <x v="505"/>
    <n v="36"/>
    <m/>
    <x v="2"/>
    <s v=""/>
    <s v=""/>
    <s v=""/>
    <s v=""/>
    <s v=""/>
    <s v=""/>
    <s v=""/>
    <s v=""/>
    <s v=""/>
    <s v=""/>
    <s v=""/>
    <s v=""/>
    <s v=""/>
    <s v=""/>
    <s v=""/>
    <x v="2"/>
  </r>
  <r>
    <x v="3"/>
    <x v="506"/>
    <n v="38"/>
    <m/>
    <x v="3"/>
    <s v=""/>
    <s v=""/>
    <s v=""/>
    <s v=""/>
    <s v=""/>
    <s v=""/>
    <s v=""/>
    <s v=""/>
    <s v=""/>
    <s v=""/>
    <s v=""/>
    <s v=""/>
    <s v=""/>
    <s v=""/>
    <s v=""/>
    <x v="2"/>
  </r>
  <r>
    <x v="3"/>
    <x v="507"/>
    <n v="42"/>
    <m/>
    <x v="4"/>
    <s v=""/>
    <s v=""/>
    <s v=""/>
    <s v=""/>
    <s v=""/>
    <s v=""/>
    <s v=""/>
    <s v=""/>
    <s v=""/>
    <s v=""/>
    <s v=""/>
    <s v=""/>
    <s v=""/>
    <s v=""/>
    <s v=""/>
    <x v="2"/>
  </r>
  <r>
    <x v="3"/>
    <x v="508"/>
    <n v="30"/>
    <m/>
    <x v="5"/>
    <s v=""/>
    <s v=""/>
    <s v=""/>
    <s v=""/>
    <s v=""/>
    <s v=""/>
    <s v=""/>
    <s v=""/>
    <s v=""/>
    <s v=""/>
    <s v=""/>
    <s v=""/>
    <s v=""/>
    <s v=""/>
    <s v=""/>
    <x v="2"/>
  </r>
  <r>
    <x v="3"/>
    <x v="509"/>
    <n v="38"/>
    <m/>
    <x v="6"/>
    <s v=""/>
    <s v=""/>
    <s v=""/>
    <s v=""/>
    <s v=""/>
    <s v=""/>
    <s v=""/>
    <s v=""/>
    <s v=""/>
    <s v=""/>
    <s v=""/>
    <s v=""/>
    <s v=""/>
    <s v=""/>
    <s v=""/>
    <x v="2"/>
  </r>
  <r>
    <x v="3"/>
    <x v="510"/>
    <n v="41"/>
    <m/>
    <x v="7"/>
    <s v=""/>
    <s v=""/>
    <s v=""/>
    <s v=""/>
    <s v=""/>
    <s v=""/>
    <s v=""/>
    <s v=""/>
    <s v=""/>
    <s v=""/>
    <s v=""/>
    <s v=""/>
    <s v=""/>
    <s v=""/>
    <s v=""/>
    <x v="2"/>
  </r>
  <r>
    <x v="3"/>
    <x v="511"/>
    <n v="34"/>
    <m/>
    <x v="8"/>
    <s v=""/>
    <s v=""/>
    <s v=""/>
    <s v=""/>
    <s v=""/>
    <s v=""/>
    <s v=""/>
    <s v=""/>
    <s v=""/>
    <s v=""/>
    <s v=""/>
    <s v=""/>
    <s v=""/>
    <s v=""/>
    <s v=""/>
    <x v="2"/>
  </r>
  <r>
    <x v="3"/>
    <x v="512"/>
    <n v="28"/>
    <n v="1"/>
    <x v="1"/>
    <s v="Stakeholder analysis demands"/>
    <s v="quantification of stakeholder objectives;"/>
    <s v="goals such as “good,” “satisfaction,” and"/>
    <s v="“speedy” aren’t quantifiable."/>
    <s v=""/>
    <s v=""/>
    <s v=""/>
    <s v=""/>
    <s v=""/>
    <s v=""/>
    <s v=""/>
    <s v=""/>
    <s v=""/>
    <s v=""/>
    <s v=""/>
    <x v="105"/>
  </r>
  <r>
    <x v="3"/>
    <x v="513"/>
    <n v="41"/>
    <m/>
    <x v="2"/>
    <s v=""/>
    <s v=""/>
    <s v=""/>
    <s v=""/>
    <s v=""/>
    <s v=""/>
    <s v=""/>
    <s v=""/>
    <s v=""/>
    <s v=""/>
    <s v=""/>
    <s v=""/>
    <s v=""/>
    <s v=""/>
    <s v=""/>
    <x v="2"/>
  </r>
  <r>
    <x v="3"/>
    <x v="514"/>
    <n v="41"/>
    <m/>
    <x v="3"/>
    <s v=""/>
    <s v=""/>
    <s v=""/>
    <s v=""/>
    <s v=""/>
    <s v=""/>
    <s v=""/>
    <s v=""/>
    <s v=""/>
    <s v=""/>
    <s v=""/>
    <s v=""/>
    <s v=""/>
    <s v=""/>
    <s v=""/>
    <x v="2"/>
  </r>
  <r>
    <x v="3"/>
    <x v="515"/>
    <n v="29"/>
    <m/>
    <x v="4"/>
    <s v=""/>
    <s v=""/>
    <s v=""/>
    <s v=""/>
    <s v=""/>
    <s v=""/>
    <s v=""/>
    <s v=""/>
    <s v=""/>
    <s v=""/>
    <s v=""/>
    <s v=""/>
    <s v=""/>
    <s v=""/>
    <s v=""/>
    <x v="2"/>
  </r>
  <r>
    <x v="3"/>
    <x v="516"/>
    <n v="16"/>
    <n v="1"/>
    <x v="1"/>
    <s v="Systems analysis"/>
    <s v="A scope definition approach that studies"/>
    <s v="and analyzes a system, its components,"/>
    <s v="and the relationship of the components"/>
    <s v="within the system."/>
    <s v=""/>
    <s v=""/>
    <s v=""/>
    <s v=""/>
    <s v=""/>
    <s v=""/>
    <s v=""/>
    <s v=""/>
    <s v=""/>
    <s v=""/>
    <x v="106"/>
  </r>
  <r>
    <x v="3"/>
    <x v="517"/>
    <n v="40"/>
    <m/>
    <x v="2"/>
    <s v=""/>
    <s v=""/>
    <s v=""/>
    <s v=""/>
    <s v=""/>
    <s v=""/>
    <s v=""/>
    <s v=""/>
    <s v=""/>
    <s v=""/>
    <s v=""/>
    <s v=""/>
    <s v=""/>
    <s v=""/>
    <s v=""/>
    <x v="2"/>
  </r>
  <r>
    <x v="3"/>
    <x v="518"/>
    <n v="38"/>
    <m/>
    <x v="3"/>
    <s v=""/>
    <s v=""/>
    <s v=""/>
    <s v=""/>
    <s v=""/>
    <s v=""/>
    <s v=""/>
    <s v=""/>
    <s v=""/>
    <s v=""/>
    <s v=""/>
    <s v=""/>
    <s v=""/>
    <s v=""/>
    <s v=""/>
    <x v="2"/>
  </r>
  <r>
    <x v="3"/>
    <x v="519"/>
    <n v="38"/>
    <m/>
    <x v="4"/>
    <s v=""/>
    <s v=""/>
    <s v=""/>
    <s v=""/>
    <s v=""/>
    <s v=""/>
    <s v=""/>
    <s v=""/>
    <s v=""/>
    <s v=""/>
    <s v=""/>
    <s v=""/>
    <s v=""/>
    <s v=""/>
    <s v=""/>
    <x v="2"/>
  </r>
  <r>
    <x v="3"/>
    <x v="520"/>
    <n v="18"/>
    <m/>
    <x v="5"/>
    <s v=""/>
    <s v=""/>
    <s v=""/>
    <s v=""/>
    <s v=""/>
    <s v=""/>
    <s v=""/>
    <s v=""/>
    <s v=""/>
    <s v=""/>
    <s v=""/>
    <s v=""/>
    <s v=""/>
    <s v=""/>
    <s v=""/>
    <x v="2"/>
  </r>
  <r>
    <x v="3"/>
    <x v="521"/>
    <n v="19"/>
    <n v="1"/>
    <x v="1"/>
    <s v="Systems engineering"/>
    <s v="This project scope statement creation"/>
    <s v="process studies how a system should"/>
    <s v="work, designs and creates a system"/>
    <s v="model, and then enacts the working"/>
    <s v="system based on the project’s goals and"/>
    <s v="the customer’s expectations. Systems"/>
    <s v="engineering aims to balance the time and"/>
    <s v="cost of the project in relation to the scope"/>
    <s v="of the project."/>
    <s v=""/>
    <s v=""/>
    <s v=""/>
    <s v=""/>
    <s v=""/>
    <x v="107"/>
  </r>
  <r>
    <x v="3"/>
    <x v="522"/>
    <n v="37"/>
    <m/>
    <x v="2"/>
    <s v=""/>
    <s v=""/>
    <s v=""/>
    <s v=""/>
    <s v=""/>
    <s v=""/>
    <s v=""/>
    <s v=""/>
    <s v=""/>
    <s v=""/>
    <s v=""/>
    <s v=""/>
    <s v=""/>
    <s v=""/>
    <s v=""/>
    <x v="2"/>
  </r>
  <r>
    <x v="3"/>
    <x v="523"/>
    <n v="35"/>
    <m/>
    <x v="3"/>
    <s v=""/>
    <s v=""/>
    <s v=""/>
    <s v=""/>
    <s v=""/>
    <s v=""/>
    <s v=""/>
    <s v=""/>
    <s v=""/>
    <s v=""/>
    <s v=""/>
    <s v=""/>
    <s v=""/>
    <s v=""/>
    <s v=""/>
    <x v="2"/>
  </r>
  <r>
    <x v="3"/>
    <x v="524"/>
    <n v="34"/>
    <m/>
    <x v="4"/>
    <s v=""/>
    <s v=""/>
    <s v=""/>
    <s v=""/>
    <s v=""/>
    <s v=""/>
    <s v=""/>
    <s v=""/>
    <s v=""/>
    <s v=""/>
    <s v=""/>
    <s v=""/>
    <s v=""/>
    <s v=""/>
    <s v=""/>
    <x v="2"/>
  </r>
  <r>
    <x v="3"/>
    <x v="525"/>
    <n v="34"/>
    <m/>
    <x v="5"/>
    <s v=""/>
    <s v=""/>
    <s v=""/>
    <s v=""/>
    <s v=""/>
    <s v=""/>
    <s v=""/>
    <s v=""/>
    <s v=""/>
    <s v=""/>
    <s v=""/>
    <s v=""/>
    <s v=""/>
    <s v=""/>
    <s v=""/>
    <x v="2"/>
  </r>
  <r>
    <x v="3"/>
    <x v="526"/>
    <n v="39"/>
    <m/>
    <x v="6"/>
    <s v=""/>
    <s v=""/>
    <s v=""/>
    <s v=""/>
    <s v=""/>
    <s v=""/>
    <s v=""/>
    <s v=""/>
    <s v=""/>
    <s v=""/>
    <s v=""/>
    <s v=""/>
    <s v=""/>
    <s v=""/>
    <s v=""/>
    <x v="2"/>
  </r>
  <r>
    <x v="3"/>
    <x v="527"/>
    <n v="36"/>
    <m/>
    <x v="7"/>
    <s v=""/>
    <s v=""/>
    <s v=""/>
    <s v=""/>
    <s v=""/>
    <s v=""/>
    <s v=""/>
    <s v=""/>
    <s v=""/>
    <s v=""/>
    <s v=""/>
    <s v=""/>
    <s v=""/>
    <s v=""/>
    <s v=""/>
    <x v="2"/>
  </r>
  <r>
    <x v="3"/>
    <x v="528"/>
    <n v="40"/>
    <m/>
    <x v="8"/>
    <s v=""/>
    <s v=""/>
    <s v=""/>
    <s v=""/>
    <s v=""/>
    <s v=""/>
    <s v=""/>
    <s v=""/>
    <s v=""/>
    <s v=""/>
    <s v=""/>
    <s v=""/>
    <s v=""/>
    <s v=""/>
    <s v=""/>
    <x v="2"/>
  </r>
  <r>
    <x v="3"/>
    <x v="529"/>
    <n v="44"/>
    <m/>
    <x v="9"/>
    <s v=""/>
    <s v=""/>
    <s v=""/>
    <s v=""/>
    <s v=""/>
    <s v=""/>
    <s v=""/>
    <s v=""/>
    <s v=""/>
    <s v=""/>
    <s v=""/>
    <s v=""/>
    <s v=""/>
    <s v=""/>
    <s v=""/>
    <x v="2"/>
  </r>
  <r>
    <x v="3"/>
    <x v="530"/>
    <n v="15"/>
    <m/>
    <x v="10"/>
    <s v=""/>
    <s v=""/>
    <s v=""/>
    <s v=""/>
    <s v=""/>
    <s v=""/>
    <s v=""/>
    <s v=""/>
    <s v=""/>
    <s v=""/>
    <s v=""/>
    <s v=""/>
    <s v=""/>
    <s v=""/>
    <s v=""/>
    <x v="2"/>
  </r>
  <r>
    <x v="3"/>
    <x v="531"/>
    <n v="9"/>
    <n v="1"/>
    <x v="1"/>
    <s v="Unanimity"/>
    <s v="A group decision method where everyone"/>
    <s v="must be in agreement."/>
    <s v=""/>
    <s v=""/>
    <s v=""/>
    <s v=""/>
    <s v=""/>
    <s v=""/>
    <s v=""/>
    <s v=""/>
    <s v=""/>
    <s v=""/>
    <s v=""/>
    <s v=""/>
    <x v="108"/>
  </r>
  <r>
    <x v="3"/>
    <x v="532"/>
    <n v="38"/>
    <m/>
    <x v="2"/>
    <s v=""/>
    <s v=""/>
    <s v=""/>
    <s v=""/>
    <s v=""/>
    <s v=""/>
    <s v=""/>
    <s v=""/>
    <s v=""/>
    <s v=""/>
    <s v=""/>
    <s v=""/>
    <s v=""/>
    <s v=""/>
    <s v=""/>
    <x v="2"/>
  </r>
  <r>
    <x v="3"/>
    <x v="533"/>
    <n v="21"/>
    <m/>
    <x v="3"/>
    <s v=""/>
    <s v=""/>
    <s v=""/>
    <s v=""/>
    <s v=""/>
    <s v=""/>
    <s v=""/>
    <s v=""/>
    <s v=""/>
    <s v=""/>
    <s v=""/>
    <s v=""/>
    <s v=""/>
    <s v=""/>
    <s v=""/>
    <x v="2"/>
  </r>
  <r>
    <x v="3"/>
    <x v="534"/>
    <n v="14"/>
    <n v="1"/>
    <x v="1"/>
    <s v="Value analysis"/>
    <s v="As with value engineering, this approach"/>
    <s v="examines the functions of the project’s"/>
    <s v="product in relation to the cost of the"/>
    <s v="features and functions. This is where, to"/>
    <s v="some extent, the grade of the product is"/>
    <s v="in relationship to the cost of the product."/>
    <s v=""/>
    <s v=""/>
    <s v=""/>
    <s v=""/>
    <s v=""/>
    <s v=""/>
    <s v=""/>
    <s v=""/>
    <x v="109"/>
  </r>
  <r>
    <x v="3"/>
    <x v="535"/>
    <n v="40"/>
    <m/>
    <x v="2"/>
    <s v=""/>
    <s v=""/>
    <s v=""/>
    <s v=""/>
    <s v=""/>
    <s v=""/>
    <s v=""/>
    <s v=""/>
    <s v=""/>
    <s v=""/>
    <s v=""/>
    <s v=""/>
    <s v=""/>
    <s v=""/>
    <s v=""/>
    <x v="2"/>
  </r>
  <r>
    <x v="3"/>
    <x v="536"/>
    <n v="39"/>
    <m/>
    <x v="3"/>
    <s v=""/>
    <s v=""/>
    <s v=""/>
    <s v=""/>
    <s v=""/>
    <s v=""/>
    <s v=""/>
    <s v=""/>
    <s v=""/>
    <s v=""/>
    <s v=""/>
    <s v=""/>
    <s v=""/>
    <s v=""/>
    <s v=""/>
    <x v="2"/>
  </r>
  <r>
    <x v="3"/>
    <x v="537"/>
    <n v="38"/>
    <m/>
    <x v="4"/>
    <s v=""/>
    <s v=""/>
    <s v=""/>
    <s v=""/>
    <s v=""/>
    <s v=""/>
    <s v=""/>
    <s v=""/>
    <s v=""/>
    <s v=""/>
    <s v=""/>
    <s v=""/>
    <s v=""/>
    <s v=""/>
    <s v=""/>
    <x v="2"/>
  </r>
  <r>
    <x v="3"/>
    <x v="538"/>
    <n v="41"/>
    <m/>
    <x v="5"/>
    <s v=""/>
    <s v=""/>
    <s v=""/>
    <s v=""/>
    <s v=""/>
    <s v=""/>
    <s v=""/>
    <s v=""/>
    <s v=""/>
    <s v=""/>
    <s v=""/>
    <s v=""/>
    <s v=""/>
    <s v=""/>
    <s v=""/>
    <x v="2"/>
  </r>
  <r>
    <x v="3"/>
    <x v="539"/>
    <n v="40"/>
    <m/>
    <x v="6"/>
    <s v=""/>
    <s v=""/>
    <s v=""/>
    <s v=""/>
    <s v=""/>
    <s v=""/>
    <s v=""/>
    <s v=""/>
    <s v=""/>
    <s v=""/>
    <s v=""/>
    <s v=""/>
    <s v=""/>
    <s v=""/>
    <s v=""/>
    <x v="2"/>
  </r>
  <r>
    <x v="3"/>
    <x v="540"/>
    <n v="43"/>
    <m/>
    <x v="7"/>
    <s v=""/>
    <s v=""/>
    <s v=""/>
    <s v=""/>
    <s v=""/>
    <s v=""/>
    <s v=""/>
    <s v=""/>
    <s v=""/>
    <s v=""/>
    <s v=""/>
    <s v=""/>
    <s v=""/>
    <s v=""/>
    <s v=""/>
    <x v="2"/>
  </r>
  <r>
    <x v="3"/>
    <x v="541"/>
    <n v="17"/>
    <n v="1"/>
    <x v="1"/>
    <s v="Value engineering"/>
    <s v="This approach to project scope statement"/>
    <s v="creation attempts to find the correct level"/>
    <s v="of quality in relation to a reasonable"/>
    <s v="budget for the project deliverable while"/>
    <s v="still achieving an acceptable level of"/>
    <s v="performance of the product."/>
    <s v=""/>
    <s v=""/>
    <s v=""/>
    <s v=""/>
    <s v=""/>
    <s v=""/>
    <s v=""/>
    <s v=""/>
    <x v="110"/>
  </r>
  <r>
    <x v="3"/>
    <x v="542"/>
    <n v="40"/>
    <m/>
    <x v="2"/>
    <s v=""/>
    <s v=""/>
    <s v=""/>
    <s v=""/>
    <s v=""/>
    <s v=""/>
    <s v=""/>
    <s v=""/>
    <s v=""/>
    <s v=""/>
    <s v=""/>
    <s v=""/>
    <s v=""/>
    <s v=""/>
    <s v=""/>
    <x v="2"/>
  </r>
  <r>
    <x v="3"/>
    <x v="543"/>
    <n v="43"/>
    <m/>
    <x v="3"/>
    <s v=""/>
    <s v=""/>
    <s v=""/>
    <s v=""/>
    <s v=""/>
    <s v=""/>
    <s v=""/>
    <s v=""/>
    <s v=""/>
    <s v=""/>
    <s v=""/>
    <s v=""/>
    <s v=""/>
    <s v=""/>
    <s v=""/>
    <x v="2"/>
  </r>
  <r>
    <x v="3"/>
    <x v="544"/>
    <n v="38"/>
    <m/>
    <x v="4"/>
    <s v=""/>
    <s v=""/>
    <s v=""/>
    <s v=""/>
    <s v=""/>
    <s v=""/>
    <s v=""/>
    <s v=""/>
    <s v=""/>
    <s v=""/>
    <s v=""/>
    <s v=""/>
    <s v=""/>
    <s v=""/>
    <s v=""/>
    <x v="2"/>
  </r>
  <r>
    <x v="3"/>
    <x v="545"/>
    <n v="40"/>
    <m/>
    <x v="5"/>
    <s v=""/>
    <s v=""/>
    <s v=""/>
    <s v=""/>
    <s v=""/>
    <s v=""/>
    <s v=""/>
    <s v=""/>
    <s v=""/>
    <s v=""/>
    <s v=""/>
    <s v=""/>
    <s v=""/>
    <s v=""/>
    <s v=""/>
    <x v="2"/>
  </r>
  <r>
    <x v="3"/>
    <x v="546"/>
    <n v="38"/>
    <m/>
    <x v="6"/>
    <s v=""/>
    <s v=""/>
    <s v=""/>
    <s v=""/>
    <s v=""/>
    <s v=""/>
    <s v=""/>
    <s v=""/>
    <s v=""/>
    <s v=""/>
    <s v=""/>
    <s v=""/>
    <s v=""/>
    <s v=""/>
    <s v=""/>
    <x v="2"/>
  </r>
  <r>
    <x v="3"/>
    <x v="547"/>
    <n v="27"/>
    <m/>
    <x v="7"/>
    <s v=""/>
    <s v=""/>
    <s v=""/>
    <s v=""/>
    <s v=""/>
    <s v=""/>
    <s v=""/>
    <s v=""/>
    <s v=""/>
    <s v=""/>
    <s v=""/>
    <s v=""/>
    <s v=""/>
    <s v=""/>
    <s v=""/>
    <x v="2"/>
  </r>
  <r>
    <x v="3"/>
    <x v="548"/>
    <n v="14"/>
    <n v="1"/>
    <x v="1"/>
    <s v="WBS dictionary"/>
    <s v="A WBS companion document that"/>
    <s v="defines all of the characteristics of each"/>
    <s v="element within the WBS."/>
    <s v=""/>
    <s v=""/>
    <s v=""/>
    <s v=""/>
    <s v=""/>
    <s v=""/>
    <s v=""/>
    <s v=""/>
    <s v=""/>
    <s v=""/>
    <s v=""/>
    <x v="111"/>
  </r>
  <r>
    <x v="3"/>
    <x v="549"/>
    <n v="29"/>
    <m/>
    <x v="2"/>
    <s v=""/>
    <s v=""/>
    <s v=""/>
    <s v=""/>
    <s v=""/>
    <s v=""/>
    <s v=""/>
    <s v=""/>
    <s v=""/>
    <s v=""/>
    <s v=""/>
    <s v=""/>
    <s v=""/>
    <s v=""/>
    <s v=""/>
    <x v="2"/>
  </r>
  <r>
    <x v="3"/>
    <x v="550"/>
    <n v="42"/>
    <m/>
    <x v="3"/>
    <s v=""/>
    <s v=""/>
    <s v=""/>
    <s v=""/>
    <s v=""/>
    <s v=""/>
    <s v=""/>
    <s v=""/>
    <s v=""/>
    <s v=""/>
    <s v=""/>
    <s v=""/>
    <s v=""/>
    <s v=""/>
    <s v=""/>
    <x v="2"/>
  </r>
  <r>
    <x v="3"/>
    <x v="551"/>
    <n v="23"/>
    <m/>
    <x v="4"/>
    <s v=""/>
    <s v=""/>
    <s v=""/>
    <s v=""/>
    <s v=""/>
    <s v=""/>
    <s v=""/>
    <s v=""/>
    <s v=""/>
    <s v=""/>
    <s v=""/>
    <s v=""/>
    <s v=""/>
    <s v=""/>
    <s v=""/>
    <x v="2"/>
  </r>
  <r>
    <x v="3"/>
    <x v="552"/>
    <n v="12"/>
    <n v="1"/>
    <x v="1"/>
    <s v="WBS template"/>
    <s v="A prepopulated WBS for repetitive"/>
    <s v="projects. Previous projects’ WBSs are"/>
    <s v="often used as templates for current"/>
    <s v="similar projects."/>
    <s v=""/>
    <s v=""/>
    <s v=""/>
    <s v=""/>
    <s v=""/>
    <s v=""/>
    <s v=""/>
    <s v=""/>
    <s v=""/>
    <s v=""/>
    <x v="112"/>
  </r>
  <r>
    <x v="3"/>
    <x v="553"/>
    <n v="33"/>
    <m/>
    <x v="2"/>
    <s v=""/>
    <s v=""/>
    <s v=""/>
    <s v=""/>
    <s v=""/>
    <s v=""/>
    <s v=""/>
    <s v=""/>
    <s v=""/>
    <s v=""/>
    <s v=""/>
    <s v=""/>
    <s v=""/>
    <s v=""/>
    <s v=""/>
    <x v="2"/>
  </r>
  <r>
    <x v="3"/>
    <x v="554"/>
    <n v="37"/>
    <m/>
    <x v="3"/>
    <s v=""/>
    <s v=""/>
    <s v=""/>
    <s v=""/>
    <s v=""/>
    <s v=""/>
    <s v=""/>
    <s v=""/>
    <s v=""/>
    <s v=""/>
    <s v=""/>
    <s v=""/>
    <s v=""/>
    <s v=""/>
    <s v=""/>
    <x v="2"/>
  </r>
  <r>
    <x v="3"/>
    <x v="555"/>
    <n v="35"/>
    <m/>
    <x v="4"/>
    <s v=""/>
    <s v=""/>
    <s v=""/>
    <s v=""/>
    <s v=""/>
    <s v=""/>
    <s v=""/>
    <s v=""/>
    <s v=""/>
    <s v=""/>
    <s v=""/>
    <s v=""/>
    <s v=""/>
    <s v=""/>
    <s v=""/>
    <x v="2"/>
  </r>
  <r>
    <x v="3"/>
    <x v="556"/>
    <n v="17"/>
    <m/>
    <x v="5"/>
    <s v=""/>
    <s v=""/>
    <s v=""/>
    <s v=""/>
    <s v=""/>
    <s v=""/>
    <s v=""/>
    <s v=""/>
    <s v=""/>
    <s v=""/>
    <s v=""/>
    <s v=""/>
    <s v=""/>
    <s v=""/>
    <s v=""/>
    <x v="2"/>
  </r>
  <r>
    <x v="3"/>
    <x v="557"/>
    <n v="30"/>
    <n v="1"/>
    <x v="1"/>
    <s v="Work breakdown structure (WBS)"/>
    <s v="A deliverables-oriented breakdown of the"/>
    <s v="project scope."/>
    <s v="Work package The smallest item in the WBS."/>
    <s v=""/>
    <s v=""/>
    <s v=""/>
    <s v=""/>
    <s v=""/>
    <s v=""/>
    <s v=""/>
    <s v=""/>
    <s v=""/>
    <s v=""/>
    <s v=""/>
    <x v="113"/>
  </r>
  <r>
    <x v="3"/>
    <x v="558"/>
    <n v="40"/>
    <m/>
    <x v="2"/>
    <s v=""/>
    <s v=""/>
    <s v=""/>
    <s v=""/>
    <s v=""/>
    <s v=""/>
    <s v=""/>
    <s v=""/>
    <s v=""/>
    <s v=""/>
    <s v=""/>
    <s v=""/>
    <s v=""/>
    <s v=""/>
    <s v=""/>
    <x v="2"/>
  </r>
  <r>
    <x v="3"/>
    <x v="559"/>
    <n v="14"/>
    <m/>
    <x v="3"/>
    <s v=""/>
    <s v=""/>
    <s v=""/>
    <s v=""/>
    <s v=""/>
    <s v=""/>
    <s v=""/>
    <s v=""/>
    <s v=""/>
    <s v=""/>
    <s v=""/>
    <s v=""/>
    <s v=""/>
    <s v=""/>
    <s v=""/>
    <x v="2"/>
  </r>
  <r>
    <x v="3"/>
    <x v="560"/>
    <n v="42"/>
    <m/>
    <x v="4"/>
    <s v=""/>
    <s v=""/>
    <s v=""/>
    <s v=""/>
    <s v=""/>
    <s v=""/>
    <s v=""/>
    <s v=""/>
    <s v=""/>
    <s v=""/>
    <s v=""/>
    <s v=""/>
    <s v=""/>
    <s v=""/>
    <s v=""/>
    <x v="2"/>
  </r>
  <r>
    <x v="3"/>
    <x v="53"/>
    <n v="28"/>
    <n v="1"/>
    <x v="1"/>
    <s v="Work performance information"/>
    <s v="Status of the deliverables: the work that’s"/>
    <s v="been started, finished, or has yet to"/>
    <s v="begin."/>
    <s v="Control threshold A predetermined range of acceptable variances, such as +/–10 percent off schedule. Should the variance exceed the threshold, then project control processes and corrected actions will be enacted. Crashing A schedule compression approach that adds more resources to activities on the critical path to complete the project earlier. When crashing a project, costs are added because the associated labor and sometimes resources (such as faster equipment) cause costs to increase. Critical path The path in the project network diagram that cannot be delayed, otherwise the project completion date will be late. There can be more than one critical path. Activities in the critical path have no float. Discretionary dependencies These dependencies are the preferred order of activities. Project managers should use these relationships at their discretion and should document the logic behind the decision. Discretionary dependencies allow activities to happen in a preferred order because of best practices, conditions unique to the project work, or external events. Also known as preferential or soft logic. Early finish The earliest a project activity can finish. Used in the forward pass procedure to discover the critical path and the project float. Early start The earliest a project activity can begin. Used in the forward pass procedure to discover the critical path and the project float."/>
    <s v="External dependencies As the name implies, these are dependencies outside of the project’s control. Examples include the delivery of equipment from a vendor, the deliverable of another project, or the decision of a committee, lawsuit, or expected new law. Fast tracking A schedule compression method that changes the relationship of activities. With fast tracking, activities that would normally be done in sequence are allowed to be done in parallel or with some overlap. Fast tracking can be accomplished by changing the relation of activities from FS to SS or even FF or by adding lead time to downstream activities. However, fast tracking does add risk to the project. Finish-to-finish An activity relationship type that requires the current activity to be finished before its successor can finish. Finish-to-start An activity relationship type that requires the current activity to be finished before its successor can start. Fragnet A representation of a project network diagram that is often used for outsourced portions of a project, repetitive work within a project, or a subproject. Also called a subnet. Free float This is the total time a single activity can be delayed without affecting the early start of its immediately following successor activities. Hard logic Logic that describes activities that must happen in a particular order. For example, the dirt must be excavated before the foundation can be built. The foundation must be in place before the framing can begin. Also known as a mandatory dependency."/>
    <s v="Internal dependencies Internal relationships to the project or the organization. For example, the project team must create the software as part of the project’s deliverable before the software can be tested for quality control. Lag time Positive time that moves two or more activities further apart. Late finish The latest a project activity can finish. Used in the backward pass procedure to discover the critical path and the project float. Late start The latest a project activity can begin. Used in the backward pass procedure to discover the critical path and the project float. Lead time Negative time that allows two or more activities to overlap where ordinarily these activities would be sequential. Management reserve A percentage of the project duration to combat Parkinson’s Law. When project activities become late, their lateness is subtracted from the management reserve. Mandatory dependencies These dependencies are the natural order of activities. For example, you can’t begin building your house until your foundation is in place. These relationships are called hard logic."/>
    <s v=""/>
    <s v=""/>
    <s v=""/>
    <s v=""/>
    <s v=""/>
    <s v=""/>
    <s v=""/>
    <s v=""/>
    <x v="114"/>
  </r>
  <r>
    <x v="3"/>
    <x v="561"/>
    <n v="43"/>
    <m/>
    <x v="2"/>
    <s v=""/>
    <s v=""/>
    <s v=""/>
    <s v=""/>
    <s v=""/>
    <s v=""/>
    <s v=""/>
    <s v=""/>
    <s v=""/>
    <s v=""/>
    <s v=""/>
    <s v=""/>
    <s v=""/>
    <s v=""/>
    <s v=""/>
    <x v="2"/>
  </r>
  <r>
    <x v="3"/>
    <x v="562"/>
    <n v="37"/>
    <m/>
    <x v="3"/>
    <s v=""/>
    <s v=""/>
    <s v=""/>
    <s v=""/>
    <s v=""/>
    <s v=""/>
    <s v=""/>
    <s v=""/>
    <s v=""/>
    <s v=""/>
    <s v=""/>
    <s v=""/>
    <s v=""/>
    <s v=""/>
    <s v=""/>
    <x v="2"/>
  </r>
  <r>
    <x v="3"/>
    <x v="563"/>
    <n v="6"/>
    <m/>
    <x v="4"/>
    <s v=""/>
    <s v=""/>
    <s v=""/>
    <s v=""/>
    <s v=""/>
    <s v=""/>
    <s v=""/>
    <s v=""/>
    <s v=""/>
    <s v=""/>
    <s v=""/>
    <s v=""/>
    <s v=""/>
    <s v=""/>
    <s v=""/>
    <x v="2"/>
  </r>
  <r>
    <x v="3"/>
    <x v="564"/>
    <n v="1406"/>
    <m/>
    <x v="5"/>
    <s v=""/>
    <s v=""/>
    <s v=""/>
    <s v=""/>
    <s v=""/>
    <s v=""/>
    <s v=""/>
    <s v=""/>
    <s v=""/>
    <s v=""/>
    <s v=""/>
    <s v=""/>
    <s v=""/>
    <s v=""/>
    <s v=""/>
    <x v="2"/>
  </r>
  <r>
    <x v="3"/>
    <x v="565"/>
    <n v="1525"/>
    <m/>
    <x v="6"/>
    <s v=""/>
    <s v=""/>
    <s v=""/>
    <s v=""/>
    <s v=""/>
    <s v=""/>
    <s v=""/>
    <s v=""/>
    <s v=""/>
    <s v=""/>
    <s v=""/>
    <s v=""/>
    <s v=""/>
    <s v=""/>
    <s v=""/>
    <x v="2"/>
  </r>
  <r>
    <x v="3"/>
    <x v="566"/>
    <n v="1092"/>
    <m/>
    <x v="7"/>
    <s v=""/>
    <s v=""/>
    <s v=""/>
    <s v=""/>
    <s v=""/>
    <s v=""/>
    <s v=""/>
    <s v=""/>
    <s v=""/>
    <s v=""/>
    <s v=""/>
    <s v=""/>
    <s v=""/>
    <s v=""/>
    <s v=""/>
    <x v="2"/>
  </r>
  <r>
    <x v="3"/>
    <x v="567"/>
    <n v="20"/>
    <n v="1"/>
    <x v="1"/>
    <s v="Monte Carlo analysis"/>
    <s v="A project simulation approach named"/>
    <s v="after the world-famous gambling district in"/>
    <s v="Monaco. This predicts how scenarios"/>
    <s v="may work out, given any number of"/>
    <s v="variables. The process doesn’t actually"/>
    <s v="churn out a specific answer, but a range"/>
    <s v="of possible answers. When Monte Carlo"/>
    <s v="analysis is applied to a schedule, it can"/>
    <s v="examine, for example, the optimistic"/>
    <s v="completion date, the pessimistic"/>
    <s v="completion date, and the most likely"/>
    <s v="completion date for each activity in the"/>
    <s v="project and then predict a mean for the"/>
    <s v="project schedule."/>
    <x v="115"/>
  </r>
  <r>
    <x v="3"/>
    <x v="568"/>
    <n v="35"/>
    <m/>
    <x v="2"/>
    <s v=""/>
    <s v=""/>
    <s v=""/>
    <s v=""/>
    <s v=""/>
    <s v=""/>
    <s v=""/>
    <s v=""/>
    <s v=""/>
    <s v=""/>
    <s v=""/>
    <s v=""/>
    <s v=""/>
    <s v=""/>
    <s v=""/>
    <x v="2"/>
  </r>
  <r>
    <x v="3"/>
    <x v="569"/>
    <n v="43"/>
    <m/>
    <x v="3"/>
    <s v=""/>
    <s v=""/>
    <s v=""/>
    <s v=""/>
    <s v=""/>
    <s v=""/>
    <s v=""/>
    <s v=""/>
    <s v=""/>
    <s v=""/>
    <s v=""/>
    <s v=""/>
    <s v=""/>
    <s v=""/>
    <s v=""/>
    <x v="2"/>
  </r>
  <r>
    <x v="3"/>
    <x v="570"/>
    <n v="35"/>
    <m/>
    <x v="4"/>
    <s v=""/>
    <s v=""/>
    <s v=""/>
    <s v=""/>
    <s v=""/>
    <s v=""/>
    <s v=""/>
    <s v=""/>
    <s v=""/>
    <s v=""/>
    <s v=""/>
    <s v=""/>
    <s v=""/>
    <s v=""/>
    <s v=""/>
    <x v="2"/>
  </r>
  <r>
    <x v="3"/>
    <x v="571"/>
    <n v="33"/>
    <m/>
    <x v="5"/>
    <s v=""/>
    <s v=""/>
    <s v=""/>
    <s v=""/>
    <s v=""/>
    <s v=""/>
    <s v=""/>
    <s v=""/>
    <s v=""/>
    <s v=""/>
    <s v=""/>
    <s v=""/>
    <s v=""/>
    <s v=""/>
    <s v=""/>
    <x v="2"/>
  </r>
  <r>
    <x v="3"/>
    <x v="572"/>
    <n v="39"/>
    <m/>
    <x v="6"/>
    <s v=""/>
    <s v=""/>
    <s v=""/>
    <s v=""/>
    <s v=""/>
    <s v=""/>
    <s v=""/>
    <s v=""/>
    <s v=""/>
    <s v=""/>
    <s v=""/>
    <s v=""/>
    <s v=""/>
    <s v=""/>
    <s v=""/>
    <x v="2"/>
  </r>
  <r>
    <x v="3"/>
    <x v="573"/>
    <n v="40"/>
    <m/>
    <x v="7"/>
    <s v=""/>
    <s v=""/>
    <s v=""/>
    <s v=""/>
    <s v=""/>
    <s v=""/>
    <s v=""/>
    <s v=""/>
    <s v=""/>
    <s v=""/>
    <s v=""/>
    <s v=""/>
    <s v=""/>
    <s v=""/>
    <s v=""/>
    <x v="2"/>
  </r>
  <r>
    <x v="3"/>
    <x v="574"/>
    <n v="37"/>
    <m/>
    <x v="8"/>
    <s v=""/>
    <s v=""/>
    <s v=""/>
    <s v=""/>
    <s v=""/>
    <s v=""/>
    <s v=""/>
    <s v=""/>
    <s v=""/>
    <s v=""/>
    <s v=""/>
    <s v=""/>
    <s v=""/>
    <s v=""/>
    <s v=""/>
    <x v="2"/>
  </r>
  <r>
    <x v="3"/>
    <x v="575"/>
    <n v="41"/>
    <m/>
    <x v="9"/>
    <s v=""/>
    <s v=""/>
    <s v=""/>
    <s v=""/>
    <s v=""/>
    <s v=""/>
    <s v=""/>
    <s v=""/>
    <s v=""/>
    <s v=""/>
    <s v=""/>
    <s v=""/>
    <s v=""/>
    <s v=""/>
    <s v=""/>
    <x v="2"/>
  </r>
  <r>
    <x v="3"/>
    <x v="576"/>
    <n v="36"/>
    <m/>
    <x v="10"/>
    <s v=""/>
    <s v=""/>
    <s v=""/>
    <s v=""/>
    <s v=""/>
    <s v=""/>
    <s v=""/>
    <s v=""/>
    <s v=""/>
    <s v=""/>
    <s v=""/>
    <s v=""/>
    <s v=""/>
    <s v=""/>
    <s v=""/>
    <x v="2"/>
  </r>
  <r>
    <x v="3"/>
    <x v="577"/>
    <n v="32"/>
    <m/>
    <x v="11"/>
    <s v=""/>
    <s v=""/>
    <s v=""/>
    <s v=""/>
    <s v=""/>
    <s v=""/>
    <s v=""/>
    <s v=""/>
    <s v=""/>
    <s v=""/>
    <s v=""/>
    <s v=""/>
    <s v=""/>
    <s v=""/>
    <s v=""/>
    <x v="2"/>
  </r>
  <r>
    <x v="3"/>
    <x v="578"/>
    <n v="36"/>
    <m/>
    <x v="12"/>
    <s v=""/>
    <s v=""/>
    <s v=""/>
    <s v=""/>
    <s v=""/>
    <s v=""/>
    <s v=""/>
    <s v=""/>
    <s v=""/>
    <s v=""/>
    <s v=""/>
    <s v=""/>
    <s v=""/>
    <s v=""/>
    <s v=""/>
    <x v="2"/>
  </r>
  <r>
    <x v="3"/>
    <x v="579"/>
    <n v="40"/>
    <m/>
    <x v="13"/>
    <s v=""/>
    <s v=""/>
    <s v=""/>
    <s v=""/>
    <s v=""/>
    <s v=""/>
    <s v=""/>
    <s v=""/>
    <s v=""/>
    <s v=""/>
    <s v=""/>
    <s v=""/>
    <s v=""/>
    <s v=""/>
    <s v=""/>
    <x v="2"/>
  </r>
  <r>
    <x v="3"/>
    <x v="580"/>
    <n v="39"/>
    <m/>
    <x v="14"/>
    <s v=""/>
    <s v=""/>
    <s v=""/>
    <s v=""/>
    <s v=""/>
    <s v=""/>
    <s v=""/>
    <s v=""/>
    <s v=""/>
    <s v=""/>
    <s v=""/>
    <s v=""/>
    <s v=""/>
    <s v=""/>
    <s v=""/>
    <x v="2"/>
  </r>
  <r>
    <x v="3"/>
    <x v="581"/>
    <n v="17"/>
    <m/>
    <x v="15"/>
    <s v=""/>
    <s v=""/>
    <s v=""/>
    <s v=""/>
    <s v=""/>
    <s v=""/>
    <s v=""/>
    <s v=""/>
    <s v=""/>
    <s v=""/>
    <s v=""/>
    <s v=""/>
    <s v=""/>
    <s v=""/>
    <s v=""/>
    <x v="2"/>
  </r>
  <r>
    <x v="4"/>
    <x v="582"/>
    <n v="19"/>
    <n v="1"/>
    <x v="1"/>
    <s v="Parametric estimate"/>
    <s v="A quantitatively based duration estimate"/>
    <s v="that uses mathematical formulas to"/>
    <s v="predict how long an activity will take"/>
    <s v="based on the quantities of work to be"/>
    <s v="completed."/>
    <s v=""/>
    <s v=""/>
    <s v=""/>
    <s v=""/>
    <s v=""/>
    <s v=""/>
    <s v=""/>
    <s v=""/>
    <s v=""/>
    <x v="116"/>
  </r>
  <r>
    <x v="4"/>
    <x v="583"/>
    <n v="40"/>
    <m/>
    <x v="2"/>
    <s v=""/>
    <s v=""/>
    <s v=""/>
    <s v=""/>
    <s v=""/>
    <s v=""/>
    <s v=""/>
    <s v=""/>
    <s v=""/>
    <s v=""/>
    <s v=""/>
    <s v=""/>
    <s v=""/>
    <s v=""/>
    <s v=""/>
    <x v="2"/>
  </r>
  <r>
    <x v="4"/>
    <x v="584"/>
    <n v="34"/>
    <m/>
    <x v="3"/>
    <s v=""/>
    <s v=""/>
    <s v=""/>
    <s v=""/>
    <s v=""/>
    <s v=""/>
    <s v=""/>
    <s v=""/>
    <s v=""/>
    <s v=""/>
    <s v=""/>
    <s v=""/>
    <s v=""/>
    <s v=""/>
    <s v=""/>
    <x v="2"/>
  </r>
  <r>
    <x v="4"/>
    <x v="585"/>
    <n v="38"/>
    <m/>
    <x v="4"/>
    <s v=""/>
    <s v=""/>
    <s v=""/>
    <s v=""/>
    <s v=""/>
    <s v=""/>
    <s v=""/>
    <s v=""/>
    <s v=""/>
    <s v=""/>
    <s v=""/>
    <s v=""/>
    <s v=""/>
    <s v=""/>
    <s v=""/>
    <x v="2"/>
  </r>
  <r>
    <x v="4"/>
    <x v="586"/>
    <n v="37"/>
    <m/>
    <x v="5"/>
    <s v=""/>
    <s v=""/>
    <s v=""/>
    <s v=""/>
    <s v=""/>
    <s v=""/>
    <s v=""/>
    <s v=""/>
    <s v=""/>
    <s v=""/>
    <s v=""/>
    <s v=""/>
    <s v=""/>
    <s v=""/>
    <s v=""/>
    <x v="2"/>
  </r>
  <r>
    <x v="4"/>
    <x v="587"/>
    <n v="10"/>
    <m/>
    <x v="6"/>
    <s v=""/>
    <s v=""/>
    <s v=""/>
    <s v=""/>
    <s v=""/>
    <s v=""/>
    <s v=""/>
    <s v=""/>
    <s v=""/>
    <s v=""/>
    <s v=""/>
    <s v=""/>
    <s v=""/>
    <s v=""/>
    <s v=""/>
    <x v="2"/>
  </r>
  <r>
    <x v="4"/>
    <x v="588"/>
    <n v="15"/>
    <n v="1"/>
    <x v="1"/>
    <s v="Parkinson’s Law"/>
    <s v="A theory that states: “Work expands so"/>
    <s v="as to fill the time available for its"/>
    <s v="completion.” It is considered with time"/>
    <s v="estimating, because bloated or padded"/>
    <s v="activity estimates will fill the amount of"/>
    <s v="time allotted to the activity."/>
    <s v=""/>
    <s v=""/>
    <s v=""/>
    <s v=""/>
    <s v=""/>
    <s v=""/>
    <s v=""/>
    <s v=""/>
    <x v="117"/>
  </r>
  <r>
    <x v="4"/>
    <x v="589"/>
    <n v="38"/>
    <m/>
    <x v="2"/>
    <s v=""/>
    <s v=""/>
    <s v=""/>
    <s v=""/>
    <s v=""/>
    <s v=""/>
    <s v=""/>
    <s v=""/>
    <s v=""/>
    <s v=""/>
    <s v=""/>
    <s v=""/>
    <s v=""/>
    <s v=""/>
    <s v=""/>
    <x v="2"/>
  </r>
  <r>
    <x v="4"/>
    <x v="590"/>
    <n v="37"/>
    <m/>
    <x v="3"/>
    <s v=""/>
    <s v=""/>
    <s v=""/>
    <s v=""/>
    <s v=""/>
    <s v=""/>
    <s v=""/>
    <s v=""/>
    <s v=""/>
    <s v=""/>
    <s v=""/>
    <s v=""/>
    <s v=""/>
    <s v=""/>
    <s v=""/>
    <x v="2"/>
  </r>
  <r>
    <x v="4"/>
    <x v="591"/>
    <n v="39"/>
    <m/>
    <x v="4"/>
    <s v=""/>
    <s v=""/>
    <s v=""/>
    <s v=""/>
    <s v=""/>
    <s v=""/>
    <s v=""/>
    <s v=""/>
    <s v=""/>
    <s v=""/>
    <s v=""/>
    <s v=""/>
    <s v=""/>
    <s v=""/>
    <s v=""/>
    <x v="2"/>
  </r>
  <r>
    <x v="4"/>
    <x v="592"/>
    <n v="37"/>
    <m/>
    <x v="5"/>
    <s v=""/>
    <s v=""/>
    <s v=""/>
    <s v=""/>
    <s v=""/>
    <s v=""/>
    <s v=""/>
    <s v=""/>
    <s v=""/>
    <s v=""/>
    <s v=""/>
    <s v=""/>
    <s v=""/>
    <s v=""/>
    <s v=""/>
    <x v="2"/>
  </r>
  <r>
    <x v="4"/>
    <x v="593"/>
    <n v="42"/>
    <m/>
    <x v="6"/>
    <s v=""/>
    <s v=""/>
    <s v=""/>
    <s v=""/>
    <s v=""/>
    <s v=""/>
    <s v=""/>
    <s v=""/>
    <s v=""/>
    <s v=""/>
    <s v=""/>
    <s v=""/>
    <s v=""/>
    <s v=""/>
    <s v=""/>
    <x v="2"/>
  </r>
  <r>
    <x v="4"/>
    <x v="594"/>
    <n v="30"/>
    <m/>
    <x v="7"/>
    <s v=""/>
    <s v=""/>
    <s v=""/>
    <s v=""/>
    <s v=""/>
    <s v=""/>
    <s v=""/>
    <s v=""/>
    <s v=""/>
    <s v=""/>
    <s v=""/>
    <s v=""/>
    <s v=""/>
    <s v=""/>
    <s v=""/>
    <x v="2"/>
  </r>
  <r>
    <x v="4"/>
    <x v="595"/>
    <n v="16"/>
    <n v="1"/>
    <x v="1"/>
    <s v="Planning package"/>
    <s v="A WBS entry located below a control"/>
    <s v="account and above the work packages. A"/>
    <s v="planning package signifies that there is"/>
    <s v="more planning that needs to be"/>
    <s v="completed for this specific deliverable."/>
    <s v=""/>
    <s v=""/>
    <s v=""/>
    <s v=""/>
    <s v=""/>
    <s v=""/>
    <s v=""/>
    <s v=""/>
    <s v=""/>
    <x v="118"/>
  </r>
  <r>
    <x v="4"/>
    <x v="596"/>
    <n v="35"/>
    <m/>
    <x v="2"/>
    <s v=""/>
    <s v=""/>
    <s v=""/>
    <s v=""/>
    <s v=""/>
    <s v=""/>
    <s v=""/>
    <s v=""/>
    <s v=""/>
    <s v=""/>
    <s v=""/>
    <s v=""/>
    <s v=""/>
    <s v=""/>
    <s v=""/>
    <x v="2"/>
  </r>
  <r>
    <x v="4"/>
    <x v="597"/>
    <n v="38"/>
    <m/>
    <x v="3"/>
    <s v=""/>
    <s v=""/>
    <s v=""/>
    <s v=""/>
    <s v=""/>
    <s v=""/>
    <s v=""/>
    <s v=""/>
    <s v=""/>
    <s v=""/>
    <s v=""/>
    <s v=""/>
    <s v=""/>
    <s v=""/>
    <s v=""/>
    <x v="2"/>
  </r>
  <r>
    <x v="4"/>
    <x v="598"/>
    <n v="40"/>
    <m/>
    <x v="4"/>
    <s v=""/>
    <s v=""/>
    <s v=""/>
    <s v=""/>
    <s v=""/>
    <s v=""/>
    <s v=""/>
    <s v=""/>
    <s v=""/>
    <s v=""/>
    <s v=""/>
    <s v=""/>
    <s v=""/>
    <s v=""/>
    <s v=""/>
    <x v="2"/>
  </r>
  <r>
    <x v="4"/>
    <x v="599"/>
    <n v="30"/>
    <m/>
    <x v="5"/>
    <s v=""/>
    <s v=""/>
    <s v=""/>
    <s v=""/>
    <s v=""/>
    <s v=""/>
    <s v=""/>
    <s v=""/>
    <s v=""/>
    <s v=""/>
    <s v=""/>
    <s v=""/>
    <s v=""/>
    <s v=""/>
    <s v=""/>
    <x v="2"/>
  </r>
  <r>
    <x v="4"/>
    <x v="600"/>
    <n v="40"/>
    <m/>
    <x v="6"/>
    <s v=""/>
    <s v=""/>
    <s v=""/>
    <s v=""/>
    <s v=""/>
    <s v=""/>
    <s v=""/>
    <s v=""/>
    <s v=""/>
    <s v=""/>
    <s v=""/>
    <s v=""/>
    <s v=""/>
    <s v=""/>
    <s v=""/>
    <x v="2"/>
  </r>
  <r>
    <x v="4"/>
    <x v="601"/>
    <n v="29"/>
    <n v="1"/>
    <x v="1"/>
    <s v="Precedence diagramming method"/>
    <s v="A network diagram that shows activities"/>
    <s v="in nodes and the relationship between"/>
    <s v="each activity. Predecessors come before"/>
    <s v="the current activity, and successors come"/>
    <s v="after the current activity."/>
    <s v=""/>
    <s v=""/>
    <s v=""/>
    <s v=""/>
    <s v=""/>
    <s v=""/>
    <s v=""/>
    <s v=""/>
    <s v=""/>
    <x v="119"/>
  </r>
  <r>
    <x v="4"/>
    <x v="602"/>
    <n v="39"/>
    <m/>
    <x v="2"/>
    <s v=""/>
    <s v=""/>
    <s v=""/>
    <s v=""/>
    <s v=""/>
    <s v=""/>
    <s v=""/>
    <s v=""/>
    <s v=""/>
    <s v=""/>
    <s v=""/>
    <s v=""/>
    <s v=""/>
    <s v=""/>
    <s v=""/>
    <x v="2"/>
  </r>
  <r>
    <x v="4"/>
    <x v="603"/>
    <n v="37"/>
    <m/>
    <x v="3"/>
    <s v=""/>
    <s v=""/>
    <s v=""/>
    <s v=""/>
    <s v=""/>
    <s v=""/>
    <s v=""/>
    <s v=""/>
    <s v=""/>
    <s v=""/>
    <s v=""/>
    <s v=""/>
    <s v=""/>
    <s v=""/>
    <s v=""/>
    <x v="2"/>
  </r>
  <r>
    <x v="4"/>
    <x v="604"/>
    <n v="39"/>
    <m/>
    <x v="4"/>
    <s v=""/>
    <s v=""/>
    <s v=""/>
    <s v=""/>
    <s v=""/>
    <s v=""/>
    <s v=""/>
    <s v=""/>
    <s v=""/>
    <s v=""/>
    <s v=""/>
    <s v=""/>
    <s v=""/>
    <s v=""/>
    <s v=""/>
    <x v="2"/>
  </r>
  <r>
    <x v="4"/>
    <x v="605"/>
    <n v="41"/>
    <m/>
    <x v="5"/>
    <s v=""/>
    <s v=""/>
    <s v=""/>
    <s v=""/>
    <s v=""/>
    <s v=""/>
    <s v=""/>
    <s v=""/>
    <s v=""/>
    <s v=""/>
    <s v=""/>
    <s v=""/>
    <s v=""/>
    <s v=""/>
    <s v=""/>
    <x v="2"/>
  </r>
  <r>
    <x v="4"/>
    <x v="606"/>
    <n v="27"/>
    <m/>
    <x v="6"/>
    <s v=""/>
    <s v=""/>
    <s v=""/>
    <s v=""/>
    <s v=""/>
    <s v=""/>
    <s v=""/>
    <s v=""/>
    <s v=""/>
    <s v=""/>
    <s v=""/>
    <s v=""/>
    <s v=""/>
    <s v=""/>
    <s v=""/>
    <x v="2"/>
  </r>
  <r>
    <x v="4"/>
    <x v="607"/>
    <n v="17"/>
    <n v="1"/>
    <x v="1"/>
    <s v="Project calendars"/>
    <s v="Calendars that identify when the project"/>
    <s v="work will occur."/>
    <s v=""/>
    <s v=""/>
    <s v=""/>
    <s v=""/>
    <s v=""/>
    <s v=""/>
    <s v=""/>
    <s v=""/>
    <s v=""/>
    <s v=""/>
    <s v=""/>
    <s v=""/>
    <x v="120"/>
  </r>
  <r>
    <x v="4"/>
    <x v="608"/>
    <n v="40"/>
    <m/>
    <x v="2"/>
    <s v=""/>
    <s v=""/>
    <s v=""/>
    <s v=""/>
    <s v=""/>
    <s v=""/>
    <s v=""/>
    <s v=""/>
    <s v=""/>
    <s v=""/>
    <s v=""/>
    <s v=""/>
    <s v=""/>
    <s v=""/>
    <s v=""/>
    <x v="2"/>
  </r>
  <r>
    <x v="4"/>
    <x v="609"/>
    <n v="16"/>
    <m/>
    <x v="3"/>
    <s v=""/>
    <s v=""/>
    <s v=""/>
    <s v=""/>
    <s v=""/>
    <s v=""/>
    <s v=""/>
    <s v=""/>
    <s v=""/>
    <s v=""/>
    <s v=""/>
    <s v=""/>
    <s v=""/>
    <s v=""/>
    <s v=""/>
    <x v="2"/>
  </r>
  <r>
    <x v="4"/>
    <x v="610"/>
    <n v="13"/>
    <n v="1"/>
    <x v="1"/>
    <s v="Project float"/>
    <s v="This is the total time the project can be"/>
    <s v="delayed without passing the customerexpected"/>
    <s v="completion date."/>
    <s v=""/>
    <s v=""/>
    <s v=""/>
    <s v=""/>
    <s v=""/>
    <s v=""/>
    <s v=""/>
    <s v=""/>
    <s v=""/>
    <s v=""/>
    <s v=""/>
    <x v="121"/>
  </r>
  <r>
    <x v="4"/>
    <x v="611"/>
    <n v="41"/>
    <m/>
    <x v="2"/>
    <s v=""/>
    <s v=""/>
    <s v=""/>
    <s v=""/>
    <s v=""/>
    <s v=""/>
    <s v=""/>
    <s v=""/>
    <s v=""/>
    <s v=""/>
    <s v=""/>
    <s v=""/>
    <s v=""/>
    <s v=""/>
    <s v=""/>
    <x v="2"/>
  </r>
  <r>
    <x v="4"/>
    <x v="612"/>
    <n v="44"/>
    <m/>
    <x v="3"/>
    <s v=""/>
    <s v=""/>
    <s v=""/>
    <s v=""/>
    <s v=""/>
    <s v=""/>
    <s v=""/>
    <s v=""/>
    <s v=""/>
    <s v=""/>
    <s v=""/>
    <s v=""/>
    <s v=""/>
    <s v=""/>
    <s v=""/>
    <x v="2"/>
  </r>
  <r>
    <x v="4"/>
    <x v="613"/>
    <n v="16"/>
    <m/>
    <x v="4"/>
    <s v=""/>
    <s v=""/>
    <s v=""/>
    <s v=""/>
    <s v=""/>
    <s v=""/>
    <s v=""/>
    <s v=""/>
    <s v=""/>
    <s v=""/>
    <s v=""/>
    <s v=""/>
    <s v=""/>
    <s v=""/>
    <s v=""/>
    <x v="2"/>
  </r>
  <r>
    <x v="4"/>
    <x v="614"/>
    <n v="23"/>
    <n v="1"/>
    <x v="1"/>
    <s v="Project network diagram"/>
    <s v="A diagram that visualizes the flow of the"/>
    <s v="project activities and their relationships to"/>
    <s v="other project activities."/>
    <s v=""/>
    <s v=""/>
    <s v=""/>
    <s v=""/>
    <s v=""/>
    <s v=""/>
    <s v=""/>
    <s v=""/>
    <s v=""/>
    <s v=""/>
    <s v=""/>
    <x v="122"/>
  </r>
  <r>
    <x v="4"/>
    <x v="615"/>
    <n v="41"/>
    <m/>
    <x v="2"/>
    <s v=""/>
    <s v=""/>
    <s v=""/>
    <s v=""/>
    <s v=""/>
    <s v=""/>
    <s v=""/>
    <s v=""/>
    <s v=""/>
    <s v=""/>
    <s v=""/>
    <s v=""/>
    <s v=""/>
    <s v=""/>
    <s v=""/>
    <x v="2"/>
  </r>
  <r>
    <x v="4"/>
    <x v="616"/>
    <n v="45"/>
    <m/>
    <x v="3"/>
    <s v=""/>
    <s v=""/>
    <s v=""/>
    <s v=""/>
    <s v=""/>
    <s v=""/>
    <s v=""/>
    <s v=""/>
    <s v=""/>
    <s v=""/>
    <s v=""/>
    <s v=""/>
    <s v=""/>
    <s v=""/>
    <s v=""/>
    <x v="2"/>
  </r>
  <r>
    <x v="4"/>
    <x v="617"/>
    <n v="25"/>
    <m/>
    <x v="4"/>
    <s v=""/>
    <s v=""/>
    <s v=""/>
    <s v=""/>
    <s v=""/>
    <s v=""/>
    <s v=""/>
    <s v=""/>
    <s v=""/>
    <s v=""/>
    <s v=""/>
    <s v=""/>
    <s v=""/>
    <s v=""/>
    <s v=""/>
    <x v="2"/>
  </r>
  <r>
    <x v="4"/>
    <x v="618"/>
    <n v="10"/>
    <n v="1"/>
    <x v="1"/>
    <s v="Refinement"/>
    <s v="An update to the work breakdown"/>
    <s v="structure."/>
    <s v=""/>
    <s v=""/>
    <s v=""/>
    <s v=""/>
    <s v=""/>
    <s v=""/>
    <s v=""/>
    <s v=""/>
    <s v=""/>
    <s v=""/>
    <s v=""/>
    <s v=""/>
    <x v="123"/>
  </r>
  <r>
    <x v="4"/>
    <x v="619"/>
    <n v="31"/>
    <m/>
    <x v="2"/>
    <s v=""/>
    <s v=""/>
    <s v=""/>
    <s v=""/>
    <s v=""/>
    <s v=""/>
    <s v=""/>
    <s v=""/>
    <s v=""/>
    <s v=""/>
    <s v=""/>
    <s v=""/>
    <s v=""/>
    <s v=""/>
    <s v=""/>
    <x v="2"/>
  </r>
  <r>
    <x v="4"/>
    <x v="620"/>
    <n v="10"/>
    <m/>
    <x v="3"/>
    <s v=""/>
    <s v=""/>
    <s v=""/>
    <s v=""/>
    <s v=""/>
    <s v=""/>
    <s v=""/>
    <s v=""/>
    <s v=""/>
    <s v=""/>
    <s v=""/>
    <s v=""/>
    <s v=""/>
    <s v=""/>
    <s v=""/>
    <x v="2"/>
  </r>
  <r>
    <x v="4"/>
    <x v="621"/>
    <n v="34"/>
    <n v="1"/>
    <x v="1"/>
    <s v="Resource breakdown structure (RBS)"/>
    <s v="This is a hierarchical breakdown of the"/>
    <s v="project resources by category and"/>
    <s v="resource type. For example, you could"/>
    <s v="have a category of equipment, a category"/>
    <s v="of human resources, and a category of"/>
    <s v="materials. Within each category, you"/>
    <s v="could identify the types of equipment your"/>
    <s v="project will use, the types of human"/>
    <s v="resources, and the types of materials."/>
    <s v=""/>
    <s v=""/>
    <s v=""/>
    <s v=""/>
    <s v=""/>
    <x v="124"/>
  </r>
  <r>
    <x v="4"/>
    <x v="622"/>
    <n v="39"/>
    <m/>
    <x v="2"/>
    <s v=""/>
    <s v=""/>
    <s v=""/>
    <s v=""/>
    <s v=""/>
    <s v=""/>
    <s v=""/>
    <s v=""/>
    <s v=""/>
    <s v=""/>
    <s v=""/>
    <s v=""/>
    <s v=""/>
    <s v=""/>
    <s v=""/>
    <x v="2"/>
  </r>
  <r>
    <x v="4"/>
    <x v="623"/>
    <n v="33"/>
    <m/>
    <x v="3"/>
    <s v=""/>
    <s v=""/>
    <s v=""/>
    <s v=""/>
    <s v=""/>
    <s v=""/>
    <s v=""/>
    <s v=""/>
    <s v=""/>
    <s v=""/>
    <s v=""/>
    <s v=""/>
    <s v=""/>
    <s v=""/>
    <s v=""/>
    <x v="2"/>
  </r>
  <r>
    <x v="4"/>
    <x v="624"/>
    <n v="37"/>
    <m/>
    <x v="4"/>
    <s v=""/>
    <s v=""/>
    <s v=""/>
    <s v=""/>
    <s v=""/>
    <s v=""/>
    <s v=""/>
    <s v=""/>
    <s v=""/>
    <s v=""/>
    <s v=""/>
    <s v=""/>
    <s v=""/>
    <s v=""/>
    <s v=""/>
    <x v="2"/>
  </r>
  <r>
    <x v="4"/>
    <x v="625"/>
    <n v="40"/>
    <m/>
    <x v="5"/>
    <s v=""/>
    <s v=""/>
    <s v=""/>
    <s v=""/>
    <s v=""/>
    <s v=""/>
    <s v=""/>
    <s v=""/>
    <s v=""/>
    <s v=""/>
    <s v=""/>
    <s v=""/>
    <s v=""/>
    <s v=""/>
    <s v=""/>
    <x v="2"/>
  </r>
  <r>
    <x v="4"/>
    <x v="626"/>
    <n v="37"/>
    <m/>
    <x v="6"/>
    <s v=""/>
    <s v=""/>
    <s v=""/>
    <s v=""/>
    <s v=""/>
    <s v=""/>
    <s v=""/>
    <s v=""/>
    <s v=""/>
    <s v=""/>
    <s v=""/>
    <s v=""/>
    <s v=""/>
    <s v=""/>
    <s v=""/>
    <x v="2"/>
  </r>
  <r>
    <x v="4"/>
    <x v="627"/>
    <n v="36"/>
    <m/>
    <x v="7"/>
    <s v=""/>
    <s v=""/>
    <s v=""/>
    <s v=""/>
    <s v=""/>
    <s v=""/>
    <s v=""/>
    <s v=""/>
    <s v=""/>
    <s v=""/>
    <s v=""/>
    <s v=""/>
    <s v=""/>
    <s v=""/>
    <s v=""/>
    <x v="2"/>
  </r>
  <r>
    <x v="4"/>
    <x v="628"/>
    <n v="42"/>
    <m/>
    <x v="8"/>
    <s v=""/>
    <s v=""/>
    <s v=""/>
    <s v=""/>
    <s v=""/>
    <s v=""/>
    <s v=""/>
    <s v=""/>
    <s v=""/>
    <s v=""/>
    <s v=""/>
    <s v=""/>
    <s v=""/>
    <s v=""/>
    <s v=""/>
    <x v="2"/>
  </r>
  <r>
    <x v="4"/>
    <x v="629"/>
    <n v="36"/>
    <m/>
    <x v="9"/>
    <s v=""/>
    <s v=""/>
    <s v=""/>
    <s v=""/>
    <s v=""/>
    <s v=""/>
    <s v=""/>
    <s v=""/>
    <s v=""/>
    <s v=""/>
    <s v=""/>
    <s v=""/>
    <s v=""/>
    <s v=""/>
    <s v=""/>
    <x v="2"/>
  </r>
  <r>
    <x v="4"/>
    <x v="630"/>
    <n v="38"/>
    <m/>
    <x v="10"/>
    <s v=""/>
    <s v=""/>
    <s v=""/>
    <s v=""/>
    <s v=""/>
    <s v=""/>
    <s v=""/>
    <s v=""/>
    <s v=""/>
    <s v=""/>
    <s v=""/>
    <s v=""/>
    <s v=""/>
    <s v=""/>
    <s v=""/>
    <x v="2"/>
  </r>
  <r>
    <x v="4"/>
    <x v="631"/>
    <n v="18"/>
    <n v="1"/>
    <x v="1"/>
    <s v="Resource calendars"/>
    <s v="Calendars that identify when project"/>
    <s v="resources are available for the project"/>
    <s v="work."/>
    <s v=""/>
    <s v=""/>
    <s v=""/>
    <s v=""/>
    <s v=""/>
    <s v=""/>
    <s v=""/>
    <s v=""/>
    <s v=""/>
    <s v=""/>
    <s v=""/>
    <x v="125"/>
  </r>
  <r>
    <x v="4"/>
    <x v="632"/>
    <n v="36"/>
    <m/>
    <x v="2"/>
    <s v=""/>
    <s v=""/>
    <s v=""/>
    <s v=""/>
    <s v=""/>
    <s v=""/>
    <s v=""/>
    <s v=""/>
    <s v=""/>
    <s v=""/>
    <s v=""/>
    <s v=""/>
    <s v=""/>
    <s v=""/>
    <s v=""/>
    <x v="2"/>
  </r>
  <r>
    <x v="4"/>
    <x v="633"/>
    <n v="39"/>
    <m/>
    <x v="3"/>
    <s v=""/>
    <s v=""/>
    <s v=""/>
    <s v=""/>
    <s v=""/>
    <s v=""/>
    <s v=""/>
    <s v=""/>
    <s v=""/>
    <s v=""/>
    <s v=""/>
    <s v=""/>
    <s v=""/>
    <s v=""/>
    <s v=""/>
    <x v="2"/>
  </r>
  <r>
    <x v="4"/>
    <x v="634"/>
    <n v="5"/>
    <m/>
    <x v="4"/>
    <s v=""/>
    <s v=""/>
    <s v=""/>
    <s v=""/>
    <s v=""/>
    <s v=""/>
    <s v=""/>
    <s v=""/>
    <s v=""/>
    <s v=""/>
    <s v=""/>
    <s v=""/>
    <s v=""/>
    <s v=""/>
    <s v=""/>
    <x v="2"/>
  </r>
  <r>
    <x v="4"/>
    <x v="635"/>
    <n v="27"/>
    <n v="1"/>
    <x v="1"/>
    <s v="Resource-leveling heuristic"/>
    <s v="A method to flatten the schedule when"/>
    <s v="resources are overallocated. Resource"/>
    <s v="leveling can be applied using different"/>
    <s v="methods to accomplish different goals."/>
    <s v="One of the most common methods is to"/>
    <s v="ensure that workers are not"/>
    <s v="overextended on activities."/>
    <s v=""/>
    <s v=""/>
    <s v=""/>
    <s v=""/>
    <s v=""/>
    <s v=""/>
    <s v=""/>
    <x v="126"/>
  </r>
  <r>
    <x v="4"/>
    <x v="636"/>
    <n v="37"/>
    <m/>
    <x v="2"/>
    <s v=""/>
    <s v=""/>
    <s v=""/>
    <s v=""/>
    <s v=""/>
    <s v=""/>
    <s v=""/>
    <s v=""/>
    <s v=""/>
    <s v=""/>
    <s v=""/>
    <s v=""/>
    <s v=""/>
    <s v=""/>
    <s v=""/>
    <x v="2"/>
  </r>
  <r>
    <x v="4"/>
    <x v="637"/>
    <n v="37"/>
    <m/>
    <x v="3"/>
    <s v=""/>
    <s v=""/>
    <s v=""/>
    <s v=""/>
    <s v=""/>
    <s v=""/>
    <s v=""/>
    <s v=""/>
    <s v=""/>
    <s v=""/>
    <s v=""/>
    <s v=""/>
    <s v=""/>
    <s v=""/>
    <s v=""/>
    <x v="2"/>
  </r>
  <r>
    <x v="4"/>
    <x v="638"/>
    <n v="39"/>
    <m/>
    <x v="4"/>
    <s v=""/>
    <s v=""/>
    <s v=""/>
    <s v=""/>
    <s v=""/>
    <s v=""/>
    <s v=""/>
    <s v=""/>
    <s v=""/>
    <s v=""/>
    <s v=""/>
    <s v=""/>
    <s v=""/>
    <s v=""/>
    <s v=""/>
    <x v="2"/>
  </r>
  <r>
    <x v="4"/>
    <x v="639"/>
    <n v="38"/>
    <m/>
    <x v="5"/>
    <s v=""/>
    <s v=""/>
    <s v=""/>
    <s v=""/>
    <s v=""/>
    <s v=""/>
    <s v=""/>
    <s v=""/>
    <s v=""/>
    <s v=""/>
    <s v=""/>
    <s v=""/>
    <s v=""/>
    <s v=""/>
    <s v=""/>
    <x v="2"/>
  </r>
  <r>
    <x v="4"/>
    <x v="640"/>
    <n v="36"/>
    <m/>
    <x v="6"/>
    <s v=""/>
    <s v=""/>
    <s v=""/>
    <s v=""/>
    <s v=""/>
    <s v=""/>
    <s v=""/>
    <s v=""/>
    <s v=""/>
    <s v=""/>
    <s v=""/>
    <s v=""/>
    <s v=""/>
    <s v=""/>
    <s v=""/>
    <x v="2"/>
  </r>
  <r>
    <x v="4"/>
    <x v="641"/>
    <n v="27"/>
    <m/>
    <x v="7"/>
    <s v=""/>
    <s v=""/>
    <s v=""/>
    <s v=""/>
    <s v=""/>
    <s v=""/>
    <s v=""/>
    <s v=""/>
    <s v=""/>
    <s v=""/>
    <s v=""/>
    <s v=""/>
    <s v=""/>
    <s v=""/>
    <s v=""/>
    <x v="2"/>
  </r>
  <r>
    <x v="4"/>
    <x v="642"/>
    <n v="27"/>
    <m/>
    <x v="8"/>
    <s v=""/>
    <s v=""/>
    <s v=""/>
    <s v=""/>
    <s v=""/>
    <s v=""/>
    <s v=""/>
    <s v=""/>
    <s v=""/>
    <s v=""/>
    <s v=""/>
    <s v=""/>
    <s v=""/>
    <s v=""/>
    <s v=""/>
    <x v="2"/>
  </r>
  <r>
    <x v="4"/>
    <x v="643"/>
    <n v="21"/>
    <n v="1"/>
    <x v="1"/>
    <s v="Rolling wave planning"/>
    <s v="The imminent work is planned in detail,"/>
    <s v="while the work in the future is planned at"/>
    <s v="a high level. This is a form of progressive"/>
    <s v="elaboration."/>
    <s v=""/>
    <s v=""/>
    <s v=""/>
    <s v=""/>
    <s v=""/>
    <s v=""/>
    <s v=""/>
    <s v=""/>
    <s v=""/>
    <s v=""/>
    <x v="127"/>
  </r>
  <r>
    <x v="4"/>
    <x v="644"/>
    <n v="39"/>
    <m/>
    <x v="2"/>
    <s v=""/>
    <s v=""/>
    <s v=""/>
    <s v=""/>
    <s v=""/>
    <s v=""/>
    <s v=""/>
    <s v=""/>
    <s v=""/>
    <s v=""/>
    <s v=""/>
    <s v=""/>
    <s v=""/>
    <s v=""/>
    <s v=""/>
    <x v="2"/>
  </r>
  <r>
    <x v="4"/>
    <x v="645"/>
    <n v="42"/>
    <m/>
    <x v="3"/>
    <s v=""/>
    <s v=""/>
    <s v=""/>
    <s v=""/>
    <s v=""/>
    <s v=""/>
    <s v=""/>
    <s v=""/>
    <s v=""/>
    <s v=""/>
    <s v=""/>
    <s v=""/>
    <s v=""/>
    <s v=""/>
    <s v=""/>
    <x v="2"/>
  </r>
  <r>
    <x v="4"/>
    <x v="646"/>
    <n v="43"/>
    <m/>
    <x v="4"/>
    <s v=""/>
    <s v=""/>
    <s v=""/>
    <s v=""/>
    <s v=""/>
    <s v=""/>
    <s v=""/>
    <s v=""/>
    <s v=""/>
    <s v=""/>
    <s v=""/>
    <s v=""/>
    <s v=""/>
    <s v=""/>
    <s v=""/>
    <x v="2"/>
  </r>
  <r>
    <x v="4"/>
    <x v="647"/>
    <n v="12"/>
    <m/>
    <x v="5"/>
    <s v=""/>
    <s v=""/>
    <s v=""/>
    <s v=""/>
    <s v=""/>
    <s v=""/>
    <s v=""/>
    <s v=""/>
    <s v=""/>
    <s v=""/>
    <s v=""/>
    <s v=""/>
    <s v=""/>
    <s v=""/>
    <s v=""/>
    <x v="2"/>
  </r>
  <r>
    <x v="4"/>
    <x v="359"/>
    <n v="24"/>
    <n v="1"/>
    <x v="1"/>
    <s v="Schedule management plan"/>
    <s v="A subsidiary plan in the project"/>
    <s v="management plan. It defines how the"/>
    <s v="project schedule will be created,"/>
    <s v="estimated, controlled, and managed."/>
    <s v=""/>
    <s v=""/>
    <s v=""/>
    <s v=""/>
    <s v=""/>
    <s v=""/>
    <s v=""/>
    <s v=""/>
    <s v=""/>
    <s v=""/>
    <x v="128"/>
  </r>
  <r>
    <x v="4"/>
    <x v="648"/>
    <n v="32"/>
    <m/>
    <x v="2"/>
    <s v=""/>
    <s v=""/>
    <s v=""/>
    <s v=""/>
    <s v=""/>
    <s v=""/>
    <s v=""/>
    <s v=""/>
    <s v=""/>
    <s v=""/>
    <s v=""/>
    <s v=""/>
    <s v=""/>
    <s v=""/>
    <s v=""/>
    <x v="2"/>
  </r>
  <r>
    <x v="4"/>
    <x v="649"/>
    <n v="35"/>
    <m/>
    <x v="3"/>
    <s v=""/>
    <s v=""/>
    <s v=""/>
    <s v=""/>
    <s v=""/>
    <s v=""/>
    <s v=""/>
    <s v=""/>
    <s v=""/>
    <s v=""/>
    <s v=""/>
    <s v=""/>
    <s v=""/>
    <s v=""/>
    <s v=""/>
    <x v="2"/>
  </r>
  <r>
    <x v="4"/>
    <x v="650"/>
    <n v="33"/>
    <m/>
    <x v="4"/>
    <s v=""/>
    <s v=""/>
    <s v=""/>
    <s v=""/>
    <s v=""/>
    <s v=""/>
    <s v=""/>
    <s v=""/>
    <s v=""/>
    <s v=""/>
    <s v=""/>
    <s v=""/>
    <s v=""/>
    <s v=""/>
    <s v=""/>
    <x v="2"/>
  </r>
  <r>
    <x v="4"/>
    <x v="651"/>
    <n v="35"/>
    <m/>
    <x v="5"/>
    <s v=""/>
    <s v=""/>
    <s v=""/>
    <s v=""/>
    <s v=""/>
    <s v=""/>
    <s v=""/>
    <s v=""/>
    <s v=""/>
    <s v=""/>
    <s v=""/>
    <s v=""/>
    <s v=""/>
    <s v=""/>
    <s v=""/>
    <x v="2"/>
  </r>
  <r>
    <x v="4"/>
    <x v="652"/>
    <n v="10"/>
    <n v="1"/>
    <x v="1"/>
    <s v="Soft logic"/>
    <s v="The activities don’t necessarily have to"/>
    <s v="happen in a specific order. For example,"/>
    <s v="you could install the light fixtures first,"/>
    <s v="then the carpet, and then paint the room."/>
    <s v="The project manager could use soft logic"/>
    <s v="to change the order of the activities if so"/>
    <s v="desired."/>
    <s v=""/>
    <s v=""/>
    <s v=""/>
    <s v=""/>
    <s v=""/>
    <s v=""/>
    <s v=""/>
    <x v="129"/>
  </r>
  <r>
    <x v="4"/>
    <x v="653"/>
    <n v="40"/>
    <m/>
    <x v="2"/>
    <s v=""/>
    <s v=""/>
    <s v=""/>
    <s v=""/>
    <s v=""/>
    <s v=""/>
    <s v=""/>
    <s v=""/>
    <s v=""/>
    <s v=""/>
    <s v=""/>
    <s v=""/>
    <s v=""/>
    <s v=""/>
    <s v=""/>
    <x v="2"/>
  </r>
  <r>
    <x v="4"/>
    <x v="654"/>
    <n v="40"/>
    <m/>
    <x v="3"/>
    <s v=""/>
    <s v=""/>
    <s v=""/>
    <s v=""/>
    <s v=""/>
    <s v=""/>
    <s v=""/>
    <s v=""/>
    <s v=""/>
    <s v=""/>
    <s v=""/>
    <s v=""/>
    <s v=""/>
    <s v=""/>
    <s v=""/>
    <x v="2"/>
  </r>
  <r>
    <x v="4"/>
    <x v="655"/>
    <n v="43"/>
    <m/>
    <x v="4"/>
    <s v=""/>
    <s v=""/>
    <s v=""/>
    <s v=""/>
    <s v=""/>
    <s v=""/>
    <s v=""/>
    <s v=""/>
    <s v=""/>
    <s v=""/>
    <s v=""/>
    <s v=""/>
    <s v=""/>
    <s v=""/>
    <s v=""/>
    <x v="2"/>
  </r>
  <r>
    <x v="4"/>
    <x v="656"/>
    <n v="41"/>
    <m/>
    <x v="5"/>
    <s v=""/>
    <s v=""/>
    <s v=""/>
    <s v=""/>
    <s v=""/>
    <s v=""/>
    <s v=""/>
    <s v=""/>
    <s v=""/>
    <s v=""/>
    <s v=""/>
    <s v=""/>
    <s v=""/>
    <s v=""/>
    <s v=""/>
    <x v="2"/>
  </r>
  <r>
    <x v="4"/>
    <x v="657"/>
    <n v="40"/>
    <m/>
    <x v="6"/>
    <s v=""/>
    <s v=""/>
    <s v=""/>
    <s v=""/>
    <s v=""/>
    <s v=""/>
    <s v=""/>
    <s v=""/>
    <s v=""/>
    <s v=""/>
    <s v=""/>
    <s v=""/>
    <s v=""/>
    <s v=""/>
    <s v=""/>
    <x v="2"/>
  </r>
  <r>
    <x v="4"/>
    <x v="658"/>
    <n v="43"/>
    <m/>
    <x v="7"/>
    <s v=""/>
    <s v=""/>
    <s v=""/>
    <s v=""/>
    <s v=""/>
    <s v=""/>
    <s v=""/>
    <s v=""/>
    <s v=""/>
    <s v=""/>
    <s v=""/>
    <s v=""/>
    <s v=""/>
    <s v=""/>
    <s v=""/>
    <x v="2"/>
  </r>
  <r>
    <x v="4"/>
    <x v="659"/>
    <n v="8"/>
    <m/>
    <x v="8"/>
    <s v=""/>
    <s v=""/>
    <s v=""/>
    <s v=""/>
    <s v=""/>
    <s v=""/>
    <s v=""/>
    <s v=""/>
    <s v=""/>
    <s v=""/>
    <s v=""/>
    <s v=""/>
    <s v=""/>
    <s v=""/>
    <s v=""/>
    <x v="2"/>
  </r>
  <r>
    <x v="4"/>
    <x v="660"/>
    <n v="15"/>
    <n v="1"/>
    <x v="1"/>
    <s v="Start-to-finish"/>
    <s v="An activity relationship that requires an"/>
    <s v="activity to start so that its successor can"/>
    <s v="finish. This is the most unusual of all the"/>
    <s v="activity relationship types."/>
    <s v=""/>
    <s v=""/>
    <s v=""/>
    <s v=""/>
    <s v=""/>
    <s v=""/>
    <s v=""/>
    <s v=""/>
    <s v=""/>
    <s v=""/>
    <x v="130"/>
  </r>
  <r>
    <x v="4"/>
    <x v="661"/>
    <n v="41"/>
    <m/>
    <x v="2"/>
    <s v=""/>
    <s v=""/>
    <s v=""/>
    <s v=""/>
    <s v=""/>
    <s v=""/>
    <s v=""/>
    <s v=""/>
    <s v=""/>
    <s v=""/>
    <s v=""/>
    <s v=""/>
    <s v=""/>
    <s v=""/>
    <s v=""/>
    <x v="2"/>
  </r>
  <r>
    <x v="4"/>
    <x v="662"/>
    <n v="43"/>
    <m/>
    <x v="3"/>
    <s v=""/>
    <s v=""/>
    <s v=""/>
    <s v=""/>
    <s v=""/>
    <s v=""/>
    <s v=""/>
    <s v=""/>
    <s v=""/>
    <s v=""/>
    <s v=""/>
    <s v=""/>
    <s v=""/>
    <s v=""/>
    <s v=""/>
    <x v="2"/>
  </r>
  <r>
    <x v="4"/>
    <x v="663"/>
    <n v="43"/>
    <m/>
    <x v="4"/>
    <s v=""/>
    <s v=""/>
    <s v=""/>
    <s v=""/>
    <s v=""/>
    <s v=""/>
    <s v=""/>
    <s v=""/>
    <s v=""/>
    <s v=""/>
    <s v=""/>
    <s v=""/>
    <s v=""/>
    <s v=""/>
    <s v=""/>
    <x v="2"/>
  </r>
  <r>
    <x v="4"/>
    <x v="664"/>
    <n v="28"/>
    <m/>
    <x v="5"/>
    <s v=""/>
    <s v=""/>
    <s v=""/>
    <s v=""/>
    <s v=""/>
    <s v=""/>
    <s v=""/>
    <s v=""/>
    <s v=""/>
    <s v=""/>
    <s v=""/>
    <s v=""/>
    <s v=""/>
    <s v=""/>
    <s v=""/>
    <x v="2"/>
  </r>
  <r>
    <x v="4"/>
    <x v="665"/>
    <n v="14"/>
    <n v="1"/>
    <x v="1"/>
    <s v="Start-to-start"/>
    <s v="An activity relationship type that requires"/>
    <s v="the current activity to start before its"/>
    <s v="successor can start."/>
    <s v=""/>
    <s v=""/>
    <s v=""/>
    <s v=""/>
    <s v=""/>
    <s v=""/>
    <s v=""/>
    <s v=""/>
    <s v=""/>
    <s v=""/>
    <s v=""/>
    <x v="131"/>
  </r>
  <r>
    <x v="4"/>
    <x v="666"/>
    <n v="43"/>
    <m/>
    <x v="2"/>
    <s v=""/>
    <s v=""/>
    <s v=""/>
    <s v=""/>
    <s v=""/>
    <s v=""/>
    <s v=""/>
    <s v=""/>
    <s v=""/>
    <s v=""/>
    <s v=""/>
    <s v=""/>
    <s v=""/>
    <s v=""/>
    <s v=""/>
    <x v="2"/>
  </r>
  <r>
    <x v="4"/>
    <x v="667"/>
    <n v="40"/>
    <m/>
    <x v="3"/>
    <s v=""/>
    <s v=""/>
    <s v=""/>
    <s v=""/>
    <s v=""/>
    <s v=""/>
    <s v=""/>
    <s v=""/>
    <s v=""/>
    <s v=""/>
    <s v=""/>
    <s v=""/>
    <s v=""/>
    <s v=""/>
    <s v=""/>
    <x v="2"/>
  </r>
  <r>
    <x v="4"/>
    <x v="668"/>
    <n v="20"/>
    <m/>
    <x v="4"/>
    <s v=""/>
    <s v=""/>
    <s v=""/>
    <s v=""/>
    <s v=""/>
    <s v=""/>
    <s v=""/>
    <s v=""/>
    <s v=""/>
    <s v=""/>
    <s v=""/>
    <s v=""/>
    <s v=""/>
    <s v=""/>
    <s v=""/>
    <x v="2"/>
  </r>
  <r>
    <x v="4"/>
    <x v="669"/>
    <n v="6"/>
    <n v="1"/>
    <x v="1"/>
    <s v="Subnet"/>
    <s v="A representation of a project network"/>
    <s v="diagram that is often used for outsourced"/>
    <s v="portions of projects, repetitive work within"/>
    <s v="a project, or a subproject. Also called a"/>
    <s v="fragnet."/>
    <s v=""/>
    <s v=""/>
    <s v=""/>
    <s v=""/>
    <s v=""/>
    <s v=""/>
    <s v=""/>
    <s v=""/>
    <s v=""/>
    <x v="132"/>
  </r>
  <r>
    <x v="4"/>
    <x v="670"/>
    <n v="37"/>
    <m/>
    <x v="2"/>
    <s v=""/>
    <s v=""/>
    <s v=""/>
    <s v=""/>
    <s v=""/>
    <s v=""/>
    <s v=""/>
    <s v=""/>
    <s v=""/>
    <s v=""/>
    <s v=""/>
    <s v=""/>
    <s v=""/>
    <s v=""/>
    <s v=""/>
    <x v="2"/>
  </r>
  <r>
    <x v="4"/>
    <x v="671"/>
    <n v="41"/>
    <m/>
    <x v="3"/>
    <s v=""/>
    <s v=""/>
    <s v=""/>
    <s v=""/>
    <s v=""/>
    <s v=""/>
    <s v=""/>
    <s v=""/>
    <s v=""/>
    <s v=""/>
    <s v=""/>
    <s v=""/>
    <s v=""/>
    <s v=""/>
    <s v=""/>
    <x v="2"/>
  </r>
  <r>
    <x v="4"/>
    <x v="672"/>
    <n v="44"/>
    <m/>
    <x v="4"/>
    <s v=""/>
    <s v=""/>
    <s v=""/>
    <s v=""/>
    <s v=""/>
    <s v=""/>
    <s v=""/>
    <s v=""/>
    <s v=""/>
    <s v=""/>
    <s v=""/>
    <s v=""/>
    <s v=""/>
    <s v=""/>
    <s v=""/>
    <x v="2"/>
  </r>
  <r>
    <x v="4"/>
    <x v="673"/>
    <n v="41"/>
    <m/>
    <x v="5"/>
    <s v=""/>
    <s v=""/>
    <s v=""/>
    <s v=""/>
    <s v=""/>
    <s v=""/>
    <s v=""/>
    <s v=""/>
    <s v=""/>
    <s v=""/>
    <s v=""/>
    <s v=""/>
    <s v=""/>
    <s v=""/>
    <s v=""/>
    <x v="2"/>
  </r>
  <r>
    <x v="4"/>
    <x v="674"/>
    <n v="8"/>
    <m/>
    <x v="6"/>
    <s v=""/>
    <s v=""/>
    <s v=""/>
    <s v=""/>
    <s v=""/>
    <s v=""/>
    <s v=""/>
    <s v=""/>
    <s v=""/>
    <s v=""/>
    <s v=""/>
    <s v=""/>
    <s v=""/>
    <s v=""/>
    <s v=""/>
    <x v="2"/>
  </r>
  <r>
    <x v="4"/>
    <x v="675"/>
    <n v="8"/>
    <n v="1"/>
    <x v="1"/>
    <s v="Template"/>
    <s v="A previous project that can be adapted"/>
    <s v="for the current project and forms that are"/>
    <s v="pre-populated with organizational-specific"/>
    <s v="information."/>
    <s v=""/>
    <s v=""/>
    <s v=""/>
    <s v=""/>
    <s v=""/>
    <s v=""/>
    <s v=""/>
    <s v=""/>
    <s v=""/>
    <s v=""/>
    <x v="133"/>
  </r>
  <r>
    <x v="4"/>
    <x v="676"/>
    <n v="38"/>
    <m/>
    <x v="2"/>
    <s v=""/>
    <s v=""/>
    <s v=""/>
    <s v=""/>
    <s v=""/>
    <s v=""/>
    <s v=""/>
    <s v=""/>
    <s v=""/>
    <s v=""/>
    <s v=""/>
    <s v=""/>
    <s v=""/>
    <s v=""/>
    <s v=""/>
    <x v="2"/>
  </r>
  <r>
    <x v="4"/>
    <x v="677"/>
    <n v="42"/>
    <m/>
    <x v="3"/>
    <s v=""/>
    <s v=""/>
    <s v=""/>
    <s v=""/>
    <s v=""/>
    <s v=""/>
    <s v=""/>
    <s v=""/>
    <s v=""/>
    <s v=""/>
    <s v=""/>
    <s v=""/>
    <s v=""/>
    <s v=""/>
    <s v=""/>
    <x v="2"/>
  </r>
  <r>
    <x v="4"/>
    <x v="678"/>
    <n v="42"/>
    <m/>
    <x v="4"/>
    <s v=""/>
    <s v=""/>
    <s v=""/>
    <s v=""/>
    <s v=""/>
    <s v=""/>
    <s v=""/>
    <s v=""/>
    <s v=""/>
    <s v=""/>
    <s v=""/>
    <s v=""/>
    <s v=""/>
    <s v=""/>
    <s v=""/>
    <x v="2"/>
  </r>
  <r>
    <x v="4"/>
    <x v="96"/>
    <n v="12"/>
    <m/>
    <x v="5"/>
    <s v=""/>
    <s v=""/>
    <s v=""/>
    <s v=""/>
    <s v=""/>
    <s v=""/>
    <s v=""/>
    <s v=""/>
    <s v=""/>
    <s v=""/>
    <s v=""/>
    <s v=""/>
    <s v=""/>
    <s v=""/>
    <s v=""/>
    <x v="2"/>
  </r>
  <r>
    <x v="4"/>
    <x v="679"/>
    <n v="20"/>
    <n v="1"/>
    <x v="1"/>
    <s v="Three-point estimate"/>
    <s v="An estimating technique for each activity"/>
    <s v="that requires optimistic, most likely, and"/>
    <s v="pessimistic estimates to be created."/>
    <s v="Based on these three estimates, an"/>
    <s v="average can be created to predict how"/>
    <s v="long the activity should take."/>
    <s v=""/>
    <s v=""/>
    <s v=""/>
    <s v=""/>
    <s v=""/>
    <s v=""/>
    <s v=""/>
    <s v=""/>
    <x v="134"/>
  </r>
  <r>
    <x v="4"/>
    <x v="680"/>
    <n v="41"/>
    <m/>
    <x v="2"/>
    <s v=""/>
    <s v=""/>
    <s v=""/>
    <s v=""/>
    <s v=""/>
    <s v=""/>
    <s v=""/>
    <s v=""/>
    <s v=""/>
    <s v=""/>
    <s v=""/>
    <s v=""/>
    <s v=""/>
    <s v=""/>
    <s v=""/>
    <x v="2"/>
  </r>
  <r>
    <x v="4"/>
    <x v="681"/>
    <n v="42"/>
    <m/>
    <x v="3"/>
    <s v=""/>
    <s v=""/>
    <s v=""/>
    <s v=""/>
    <s v=""/>
    <s v=""/>
    <s v=""/>
    <s v=""/>
    <s v=""/>
    <s v=""/>
    <s v=""/>
    <s v=""/>
    <s v=""/>
    <s v=""/>
    <s v=""/>
    <x v="2"/>
  </r>
  <r>
    <x v="4"/>
    <x v="682"/>
    <n v="36"/>
    <m/>
    <x v="4"/>
    <s v=""/>
    <s v=""/>
    <s v=""/>
    <s v=""/>
    <s v=""/>
    <s v=""/>
    <s v=""/>
    <s v=""/>
    <s v=""/>
    <s v=""/>
    <s v=""/>
    <s v=""/>
    <s v=""/>
    <s v=""/>
    <s v=""/>
    <x v="2"/>
  </r>
  <r>
    <x v="4"/>
    <x v="683"/>
    <n v="34"/>
    <m/>
    <x v="5"/>
    <s v=""/>
    <s v=""/>
    <s v=""/>
    <s v=""/>
    <s v=""/>
    <s v=""/>
    <s v=""/>
    <s v=""/>
    <s v=""/>
    <s v=""/>
    <s v=""/>
    <s v=""/>
    <s v=""/>
    <s v=""/>
    <s v=""/>
    <x v="2"/>
  </r>
  <r>
    <x v="4"/>
    <x v="684"/>
    <n v="37"/>
    <m/>
    <x v="6"/>
    <s v=""/>
    <s v=""/>
    <s v=""/>
    <s v=""/>
    <s v=""/>
    <s v=""/>
    <s v=""/>
    <s v=""/>
    <s v=""/>
    <s v=""/>
    <s v=""/>
    <s v=""/>
    <s v=""/>
    <s v=""/>
    <s v=""/>
    <x v="2"/>
  </r>
  <r>
    <x v="4"/>
    <x v="685"/>
    <n v="30"/>
    <m/>
    <x v="7"/>
    <s v=""/>
    <s v=""/>
    <s v=""/>
    <s v=""/>
    <s v=""/>
    <s v=""/>
    <s v=""/>
    <s v=""/>
    <s v=""/>
    <s v=""/>
    <s v=""/>
    <s v=""/>
    <s v=""/>
    <s v=""/>
    <s v=""/>
    <x v="2"/>
  </r>
  <r>
    <x v="4"/>
    <x v="686"/>
    <n v="11"/>
    <n v="1"/>
    <x v="1"/>
    <s v="Total float"/>
    <s v="This is the total time an activity can be"/>
    <s v="delayed without delaying project"/>
    <s v="completion."/>
    <s v=""/>
    <s v=""/>
    <s v=""/>
    <s v=""/>
    <s v=""/>
    <s v=""/>
    <s v=""/>
    <s v=""/>
    <s v=""/>
    <s v=""/>
    <s v=""/>
    <x v="135"/>
  </r>
  <r>
    <x v="4"/>
    <x v="687"/>
    <n v="41"/>
    <m/>
    <x v="2"/>
    <s v=""/>
    <s v=""/>
    <s v=""/>
    <s v=""/>
    <s v=""/>
    <s v=""/>
    <s v=""/>
    <s v=""/>
    <s v=""/>
    <s v=""/>
    <s v=""/>
    <s v=""/>
    <s v=""/>
    <s v=""/>
    <s v=""/>
    <x v="2"/>
  </r>
  <r>
    <x v="4"/>
    <x v="688"/>
    <n v="32"/>
    <m/>
    <x v="3"/>
    <s v=""/>
    <s v=""/>
    <s v=""/>
    <s v=""/>
    <s v=""/>
    <s v=""/>
    <s v=""/>
    <s v=""/>
    <s v=""/>
    <s v=""/>
    <s v=""/>
    <s v=""/>
    <s v=""/>
    <s v=""/>
    <s v=""/>
    <x v="2"/>
  </r>
  <r>
    <x v="4"/>
    <x v="689"/>
    <n v="11"/>
    <m/>
    <x v="4"/>
    <s v=""/>
    <s v=""/>
    <s v=""/>
    <s v=""/>
    <s v=""/>
    <s v=""/>
    <s v=""/>
    <s v=""/>
    <s v=""/>
    <s v=""/>
    <s v=""/>
    <s v=""/>
    <s v=""/>
    <s v=""/>
    <s v=""/>
    <x v="2"/>
  </r>
  <r>
    <x v="4"/>
    <x v="690"/>
    <n v="12"/>
    <n v="1"/>
    <x v="1"/>
    <s v="Work package"/>
    <s v="The smallest item in the work breakdown"/>
    <s v="structure."/>
    <s v="Cost aggregation Costs are parallel to each WBS work package. The costs of each work package are aggregated to their corresponding control accounts. Each control account then is aggregated to the sum of the project costs. Cost baseline A time-lapse exposure of when the project monies are to be spent in relation to cumulative values of the work completed in the project. Cost budgeting The cost aggregation achieved by assigning specific dollar amounts for each of the scheduled activities or, more likely, for each of the work packages in the WBS. Cost budgeting applies the cost estimates over time. Cost change control system A system that examines any changes associated with scope changes, the cost of materials, and the cost of any other resources, and the associated impact on the overall project cost. Cost management plan The cost management plan dictates how cost variances will be managed. Cost of poor quality The monies spent to recover from not adhering to the expected level of quality. Examples may include rework, defect repair, loss of life or limb because safety precautions were not taken, loss of sales, and loss of customers. This is also known as the cost of nonconformance to quality. Cost of quality The monies spent to attain the expected level of quality within a project. Examples include training, testing, and safety precautions. Cost performance index (CPI) Measures the project based on its financial performance. The formula is CPI = EV/AC."/>
    <s v=""/>
    <s v=""/>
    <s v=""/>
    <s v=""/>
    <s v=""/>
    <s v=""/>
    <s v=""/>
    <s v=""/>
    <s v=""/>
    <s v=""/>
    <s v=""/>
    <x v="136"/>
  </r>
  <r>
    <x v="4"/>
    <x v="691"/>
    <n v="39"/>
    <m/>
    <x v="2"/>
    <s v=""/>
    <s v=""/>
    <s v=""/>
    <s v=""/>
    <s v=""/>
    <s v=""/>
    <s v=""/>
    <s v=""/>
    <s v=""/>
    <s v=""/>
    <s v=""/>
    <s v=""/>
    <s v=""/>
    <s v=""/>
    <s v=""/>
    <x v="2"/>
  </r>
  <r>
    <x v="4"/>
    <x v="620"/>
    <n v="10"/>
    <m/>
    <x v="3"/>
    <s v=""/>
    <s v=""/>
    <s v=""/>
    <s v=""/>
    <s v=""/>
    <s v=""/>
    <s v=""/>
    <s v=""/>
    <s v=""/>
    <s v=""/>
    <s v=""/>
    <s v=""/>
    <s v=""/>
    <s v=""/>
    <s v=""/>
    <x v="2"/>
  </r>
  <r>
    <x v="4"/>
    <x v="692"/>
    <n v="1474"/>
    <m/>
    <x v="4"/>
    <s v=""/>
    <s v=""/>
    <s v=""/>
    <s v=""/>
    <s v=""/>
    <s v=""/>
    <s v=""/>
    <s v=""/>
    <s v=""/>
    <s v=""/>
    <s v=""/>
    <s v=""/>
    <s v=""/>
    <s v=""/>
    <s v=""/>
    <x v="2"/>
  </r>
  <r>
    <x v="4"/>
    <x v="693"/>
    <n v="18"/>
    <n v="1"/>
    <x v="1"/>
    <s v="Cost variance (CV)"/>
    <s v="The difference of the earned value"/>
    <s v="amount and the cumulative actual costs"/>
    <s v="of the project. The formula is CV = EV –"/>
    <s v="AC."/>
    <s v=""/>
    <s v=""/>
    <s v=""/>
    <s v=""/>
    <s v=""/>
    <s v=""/>
    <s v=""/>
    <s v=""/>
    <s v=""/>
    <s v=""/>
    <x v="137"/>
  </r>
  <r>
    <x v="4"/>
    <x v="694"/>
    <n v="34"/>
    <m/>
    <x v="2"/>
    <s v=""/>
    <s v=""/>
    <s v=""/>
    <s v=""/>
    <s v=""/>
    <s v=""/>
    <s v=""/>
    <s v=""/>
    <s v=""/>
    <s v=""/>
    <s v=""/>
    <s v=""/>
    <s v=""/>
    <s v=""/>
    <s v=""/>
    <x v="2"/>
  </r>
  <r>
    <x v="4"/>
    <x v="695"/>
    <n v="38"/>
    <m/>
    <x v="3"/>
    <s v=""/>
    <s v=""/>
    <s v=""/>
    <s v=""/>
    <s v=""/>
    <s v=""/>
    <s v=""/>
    <s v=""/>
    <s v=""/>
    <s v=""/>
    <s v=""/>
    <s v=""/>
    <s v=""/>
    <s v=""/>
    <s v=""/>
    <x v="2"/>
  </r>
  <r>
    <x v="4"/>
    <x v="696"/>
    <n v="40"/>
    <m/>
    <x v="4"/>
    <s v=""/>
    <s v=""/>
    <s v=""/>
    <s v=""/>
    <s v=""/>
    <s v=""/>
    <s v=""/>
    <s v=""/>
    <s v=""/>
    <s v=""/>
    <s v=""/>
    <s v=""/>
    <s v=""/>
    <s v=""/>
    <s v=""/>
    <x v="2"/>
  </r>
  <r>
    <x v="4"/>
    <x v="697"/>
    <n v="3"/>
    <m/>
    <x v="5"/>
    <s v=""/>
    <s v=""/>
    <s v=""/>
    <s v=""/>
    <s v=""/>
    <s v=""/>
    <s v=""/>
    <s v=""/>
    <s v=""/>
    <s v=""/>
    <s v=""/>
    <s v=""/>
    <s v=""/>
    <s v=""/>
    <s v=""/>
    <x v="2"/>
  </r>
  <r>
    <x v="4"/>
    <x v="698"/>
    <n v="19"/>
    <n v="1"/>
    <x v="1"/>
    <s v="Definitive estimate"/>
    <s v="This estimate type is one of the most"/>
    <s v="accurate. It’s used late in the planning"/>
    <s v="processes and is associated with bottomup"/>
    <s v="estimating. You need the WBS in"/>
    <s v="order to create the definitive estimate."/>
    <s v="The range of variance for the estimate"/>
    <s v="can be from –5 percent to +10 percent."/>
    <s v=""/>
    <s v=""/>
    <s v=""/>
    <s v=""/>
    <s v=""/>
    <s v=""/>
    <s v=""/>
    <x v="138"/>
  </r>
  <r>
    <x v="4"/>
    <x v="699"/>
    <n v="37"/>
    <m/>
    <x v="2"/>
    <s v=""/>
    <s v=""/>
    <s v=""/>
    <s v=""/>
    <s v=""/>
    <s v=""/>
    <s v=""/>
    <s v=""/>
    <s v=""/>
    <s v=""/>
    <s v=""/>
    <s v=""/>
    <s v=""/>
    <s v=""/>
    <s v=""/>
    <x v="2"/>
  </r>
  <r>
    <x v="4"/>
    <x v="700"/>
    <n v="40"/>
    <m/>
    <x v="3"/>
    <s v=""/>
    <s v=""/>
    <s v=""/>
    <s v=""/>
    <s v=""/>
    <s v=""/>
    <s v=""/>
    <s v=""/>
    <s v=""/>
    <s v=""/>
    <s v=""/>
    <s v=""/>
    <s v=""/>
    <s v=""/>
    <s v=""/>
    <x v="2"/>
  </r>
  <r>
    <x v="4"/>
    <x v="701"/>
    <n v="41"/>
    <m/>
    <x v="4"/>
    <s v=""/>
    <s v=""/>
    <s v=""/>
    <s v=""/>
    <s v=""/>
    <s v=""/>
    <s v=""/>
    <s v=""/>
    <s v=""/>
    <s v=""/>
    <s v=""/>
    <s v=""/>
    <s v=""/>
    <s v=""/>
    <s v=""/>
    <x v="2"/>
  </r>
  <r>
    <x v="4"/>
    <x v="702"/>
    <n v="31"/>
    <m/>
    <x v="5"/>
    <s v=""/>
    <s v=""/>
    <s v=""/>
    <s v=""/>
    <s v=""/>
    <s v=""/>
    <s v=""/>
    <s v=""/>
    <s v=""/>
    <s v=""/>
    <s v=""/>
    <s v=""/>
    <s v=""/>
    <s v=""/>
    <s v=""/>
    <x v="2"/>
  </r>
  <r>
    <x v="4"/>
    <x v="703"/>
    <n v="40"/>
    <m/>
    <x v="6"/>
    <s v=""/>
    <s v=""/>
    <s v=""/>
    <s v=""/>
    <s v=""/>
    <s v=""/>
    <s v=""/>
    <s v=""/>
    <s v=""/>
    <s v=""/>
    <s v=""/>
    <s v=""/>
    <s v=""/>
    <s v=""/>
    <s v=""/>
    <x v="2"/>
  </r>
  <r>
    <x v="4"/>
    <x v="704"/>
    <n v="38"/>
    <m/>
    <x v="7"/>
    <s v=""/>
    <s v=""/>
    <s v=""/>
    <s v=""/>
    <s v=""/>
    <s v=""/>
    <s v=""/>
    <s v=""/>
    <s v=""/>
    <s v=""/>
    <s v=""/>
    <s v=""/>
    <s v=""/>
    <s v=""/>
    <s v=""/>
    <x v="2"/>
  </r>
  <r>
    <x v="4"/>
    <x v="705"/>
    <n v="38"/>
    <m/>
    <x v="8"/>
    <s v=""/>
    <s v=""/>
    <s v=""/>
    <s v=""/>
    <s v=""/>
    <s v=""/>
    <s v=""/>
    <s v=""/>
    <s v=""/>
    <s v=""/>
    <s v=""/>
    <s v=""/>
    <s v=""/>
    <s v=""/>
    <s v=""/>
    <x v="2"/>
  </r>
  <r>
    <x v="4"/>
    <x v="706"/>
    <n v="12"/>
    <n v="1"/>
    <x v="1"/>
    <s v="Direct costs"/>
    <s v="Costs are attributed directly to the project"/>
    <s v="work and cannot be shared among"/>
    <s v="projects (for example, airfare, hotels,"/>
    <s v="long-distance phone charges, and so on)."/>
    <s v=""/>
    <s v=""/>
    <s v=""/>
    <s v=""/>
    <s v=""/>
    <s v=""/>
    <s v=""/>
    <s v=""/>
    <s v=""/>
    <s v=""/>
    <x v="139"/>
  </r>
  <r>
    <x v="4"/>
    <x v="707"/>
    <n v="44"/>
    <m/>
    <x v="2"/>
    <s v=""/>
    <s v=""/>
    <s v=""/>
    <s v=""/>
    <s v=""/>
    <s v=""/>
    <s v=""/>
    <s v=""/>
    <s v=""/>
    <s v=""/>
    <s v=""/>
    <s v=""/>
    <s v=""/>
    <s v=""/>
    <s v=""/>
    <x v="2"/>
  </r>
  <r>
    <x v="4"/>
    <x v="708"/>
    <n v="31"/>
    <m/>
    <x v="3"/>
    <s v=""/>
    <s v=""/>
    <s v=""/>
    <s v=""/>
    <s v=""/>
    <s v=""/>
    <s v=""/>
    <s v=""/>
    <s v=""/>
    <s v=""/>
    <s v=""/>
    <s v=""/>
    <s v=""/>
    <s v=""/>
    <s v=""/>
    <x v="2"/>
  </r>
  <r>
    <x v="4"/>
    <x v="709"/>
    <n v="39"/>
    <m/>
    <x v="4"/>
    <s v=""/>
    <s v=""/>
    <s v=""/>
    <s v=""/>
    <s v=""/>
    <s v=""/>
    <s v=""/>
    <s v=""/>
    <s v=""/>
    <s v=""/>
    <s v=""/>
    <s v=""/>
    <s v=""/>
    <s v=""/>
    <s v=""/>
    <x v="2"/>
  </r>
  <r>
    <x v="4"/>
    <x v="710"/>
    <n v="40"/>
    <m/>
    <x v="5"/>
    <s v=""/>
    <s v=""/>
    <s v=""/>
    <s v=""/>
    <s v=""/>
    <s v=""/>
    <s v=""/>
    <s v=""/>
    <s v=""/>
    <s v=""/>
    <s v=""/>
    <s v=""/>
    <s v=""/>
    <s v=""/>
    <s v=""/>
    <x v="2"/>
  </r>
  <r>
    <x v="4"/>
    <x v="711"/>
    <n v="17"/>
    <n v="1"/>
    <x v="1"/>
    <s v="Earned value (EV)"/>
    <s v="Earned value is the physical work"/>
    <s v="completed to date and the authorized"/>
    <s v="budget for that work. It is the percentage"/>
    <s v="of the BAC that represents the actual"/>
    <s v="work completed in the project."/>
    <s v=""/>
    <s v=""/>
    <s v=""/>
    <s v=""/>
    <s v=""/>
    <s v=""/>
    <s v=""/>
    <s v=""/>
    <s v=""/>
    <x v="140"/>
  </r>
  <r>
    <x v="4"/>
    <x v="712"/>
    <n v="33"/>
    <m/>
    <x v="2"/>
    <s v=""/>
    <s v=""/>
    <s v=""/>
    <s v=""/>
    <s v=""/>
    <s v=""/>
    <s v=""/>
    <s v=""/>
    <s v=""/>
    <s v=""/>
    <s v=""/>
    <s v=""/>
    <s v=""/>
    <s v=""/>
    <s v=""/>
    <x v="2"/>
  </r>
  <r>
    <x v="4"/>
    <x v="713"/>
    <n v="36"/>
    <m/>
    <x v="3"/>
    <s v=""/>
    <s v=""/>
    <s v=""/>
    <s v=""/>
    <s v=""/>
    <s v=""/>
    <s v=""/>
    <s v=""/>
    <s v=""/>
    <s v=""/>
    <s v=""/>
    <s v=""/>
    <s v=""/>
    <s v=""/>
    <s v=""/>
    <x v="2"/>
  </r>
  <r>
    <x v="4"/>
    <x v="714"/>
    <n v="42"/>
    <m/>
    <x v="4"/>
    <s v=""/>
    <s v=""/>
    <s v=""/>
    <s v=""/>
    <s v=""/>
    <s v=""/>
    <s v=""/>
    <s v=""/>
    <s v=""/>
    <s v=""/>
    <s v=""/>
    <s v=""/>
    <s v=""/>
    <s v=""/>
    <s v=""/>
    <x v="2"/>
  </r>
  <r>
    <x v="4"/>
    <x v="715"/>
    <n v="37"/>
    <m/>
    <x v="5"/>
    <s v=""/>
    <s v=""/>
    <s v=""/>
    <s v=""/>
    <s v=""/>
    <s v=""/>
    <s v=""/>
    <s v=""/>
    <s v=""/>
    <s v=""/>
    <s v=""/>
    <s v=""/>
    <s v=""/>
    <s v=""/>
    <s v=""/>
    <x v="2"/>
  </r>
  <r>
    <x v="4"/>
    <x v="716"/>
    <n v="30"/>
    <m/>
    <x v="6"/>
    <s v=""/>
    <s v=""/>
    <s v=""/>
    <s v=""/>
    <s v=""/>
    <s v=""/>
    <s v=""/>
    <s v=""/>
    <s v=""/>
    <s v=""/>
    <s v=""/>
    <s v=""/>
    <s v=""/>
    <s v=""/>
    <s v=""/>
    <x v="2"/>
  </r>
  <r>
    <x v="4"/>
    <x v="717"/>
    <n v="28"/>
    <n v="1"/>
    <x v="1"/>
    <s v="Estimate at completion (EAC)"/>
    <s v="These forecasting formulas predict the"/>
    <s v="likely completed costs of the project"/>
    <s v="based on current scenarios within the"/>
    <s v="project."/>
    <s v=""/>
    <s v=""/>
    <s v=""/>
    <s v=""/>
    <s v=""/>
    <s v=""/>
    <s v=""/>
    <s v=""/>
    <s v=""/>
    <s v=""/>
    <x v="141"/>
  </r>
  <r>
    <x v="4"/>
    <x v="718"/>
    <n v="38"/>
    <m/>
    <x v="2"/>
    <s v=""/>
    <s v=""/>
    <s v=""/>
    <s v=""/>
    <s v=""/>
    <s v=""/>
    <s v=""/>
    <s v=""/>
    <s v=""/>
    <s v=""/>
    <s v=""/>
    <s v=""/>
    <s v=""/>
    <s v=""/>
    <s v=""/>
    <x v="2"/>
  </r>
  <r>
    <x v="4"/>
    <x v="719"/>
    <n v="37"/>
    <m/>
    <x v="3"/>
    <s v=""/>
    <s v=""/>
    <s v=""/>
    <s v=""/>
    <s v=""/>
    <s v=""/>
    <s v=""/>
    <s v=""/>
    <s v=""/>
    <s v=""/>
    <s v=""/>
    <s v=""/>
    <s v=""/>
    <s v=""/>
    <s v=""/>
    <x v="2"/>
  </r>
  <r>
    <x v="4"/>
    <x v="720"/>
    <n v="37"/>
    <m/>
    <x v="4"/>
    <s v=""/>
    <s v=""/>
    <s v=""/>
    <s v=""/>
    <s v=""/>
    <s v=""/>
    <s v=""/>
    <s v=""/>
    <s v=""/>
    <s v=""/>
    <s v=""/>
    <s v=""/>
    <s v=""/>
    <s v=""/>
    <s v=""/>
    <x v="2"/>
  </r>
  <r>
    <x v="4"/>
    <x v="130"/>
    <n v="8"/>
    <m/>
    <x v="5"/>
    <s v=""/>
    <s v=""/>
    <s v=""/>
    <s v=""/>
    <s v=""/>
    <s v=""/>
    <s v=""/>
    <s v=""/>
    <s v=""/>
    <s v=""/>
    <s v=""/>
    <s v=""/>
    <s v=""/>
    <s v=""/>
    <s v=""/>
    <x v="2"/>
  </r>
  <r>
    <x v="4"/>
    <x v="721"/>
    <n v="26"/>
    <n v="1"/>
    <x v="1"/>
    <s v="Estimate to complete (ETC)"/>
    <s v="An earned value management formula"/>
    <s v="that predicts how much funding the"/>
    <s v="project will require to be completed."/>
    <s v="Three variations of this formula are based"/>
    <s v="on conditions the project may be"/>
    <s v="experiencing."/>
    <s v=""/>
    <s v=""/>
    <s v=""/>
    <s v=""/>
    <s v=""/>
    <s v=""/>
    <s v=""/>
    <s v=""/>
    <x v="142"/>
  </r>
  <r>
    <x v="4"/>
    <x v="722"/>
    <n v="34"/>
    <m/>
    <x v="2"/>
    <s v=""/>
    <s v=""/>
    <s v=""/>
    <s v=""/>
    <s v=""/>
    <s v=""/>
    <s v=""/>
    <s v=""/>
    <s v=""/>
    <s v=""/>
    <s v=""/>
    <s v=""/>
    <s v=""/>
    <s v=""/>
    <s v=""/>
    <x v="2"/>
  </r>
  <r>
    <x v="4"/>
    <x v="723"/>
    <n v="34"/>
    <m/>
    <x v="3"/>
    <s v=""/>
    <s v=""/>
    <s v=""/>
    <s v=""/>
    <s v=""/>
    <s v=""/>
    <s v=""/>
    <s v=""/>
    <s v=""/>
    <s v=""/>
    <s v=""/>
    <s v=""/>
    <s v=""/>
    <s v=""/>
    <s v=""/>
    <x v="2"/>
  </r>
  <r>
    <x v="4"/>
    <x v="724"/>
    <n v="37"/>
    <m/>
    <x v="4"/>
    <s v=""/>
    <s v=""/>
    <s v=""/>
    <s v=""/>
    <s v=""/>
    <s v=""/>
    <s v=""/>
    <s v=""/>
    <s v=""/>
    <s v=""/>
    <s v=""/>
    <s v=""/>
    <s v=""/>
    <s v=""/>
    <s v=""/>
    <x v="2"/>
  </r>
  <r>
    <x v="4"/>
    <x v="725"/>
    <n v="42"/>
    <m/>
    <x v="5"/>
    <s v=""/>
    <s v=""/>
    <s v=""/>
    <s v=""/>
    <s v=""/>
    <s v=""/>
    <s v=""/>
    <s v=""/>
    <s v=""/>
    <s v=""/>
    <s v=""/>
    <s v=""/>
    <s v=""/>
    <s v=""/>
    <s v=""/>
    <x v="2"/>
  </r>
  <r>
    <x v="4"/>
    <x v="726"/>
    <n v="32"/>
    <m/>
    <x v="6"/>
    <s v=""/>
    <s v=""/>
    <s v=""/>
    <s v=""/>
    <s v=""/>
    <s v=""/>
    <s v=""/>
    <s v=""/>
    <s v=""/>
    <s v=""/>
    <s v=""/>
    <s v=""/>
    <s v=""/>
    <s v=""/>
    <s v=""/>
    <x v="2"/>
  </r>
  <r>
    <x v="4"/>
    <x v="727"/>
    <n v="13"/>
    <m/>
    <x v="7"/>
    <s v=""/>
    <s v=""/>
    <s v=""/>
    <s v=""/>
    <s v=""/>
    <s v=""/>
    <s v=""/>
    <s v=""/>
    <s v=""/>
    <s v=""/>
    <s v=""/>
    <s v=""/>
    <s v=""/>
    <s v=""/>
    <s v=""/>
    <x v="2"/>
  </r>
  <r>
    <x v="4"/>
    <x v="728"/>
    <n v="11"/>
    <n v="1"/>
    <x v="1"/>
    <s v="Fixed costs"/>
    <s v="Costs that remain constant throughout"/>
    <s v="the life of the project (the cost of a piece"/>
    <s v="of rented equipment for the project, the"/>
    <s v="cost of a consultant brought on to the"/>
    <s v="project, and so on)."/>
    <s v=""/>
    <s v=""/>
    <s v=""/>
    <s v=""/>
    <s v=""/>
    <s v=""/>
    <s v=""/>
    <s v=""/>
    <s v=""/>
    <x v="143"/>
  </r>
  <r>
    <x v="4"/>
    <x v="729"/>
    <n v="37"/>
    <m/>
    <x v="2"/>
    <s v=""/>
    <s v=""/>
    <s v=""/>
    <s v=""/>
    <s v=""/>
    <s v=""/>
    <s v=""/>
    <s v=""/>
    <s v=""/>
    <s v=""/>
    <s v=""/>
    <s v=""/>
    <s v=""/>
    <s v=""/>
    <s v=""/>
    <x v="2"/>
  </r>
  <r>
    <x v="4"/>
    <x v="730"/>
    <n v="44"/>
    <m/>
    <x v="3"/>
    <s v=""/>
    <s v=""/>
    <s v=""/>
    <s v=""/>
    <s v=""/>
    <s v=""/>
    <s v=""/>
    <s v=""/>
    <s v=""/>
    <s v=""/>
    <s v=""/>
    <s v=""/>
    <s v=""/>
    <s v=""/>
    <s v=""/>
    <x v="2"/>
  </r>
  <r>
    <x v="4"/>
    <x v="731"/>
    <n v="40"/>
    <m/>
    <x v="4"/>
    <s v=""/>
    <s v=""/>
    <s v=""/>
    <s v=""/>
    <s v=""/>
    <s v=""/>
    <s v=""/>
    <s v=""/>
    <s v=""/>
    <s v=""/>
    <s v=""/>
    <s v=""/>
    <s v=""/>
    <s v=""/>
    <s v=""/>
    <x v="2"/>
  </r>
  <r>
    <x v="4"/>
    <x v="732"/>
    <n v="38"/>
    <m/>
    <x v="5"/>
    <s v=""/>
    <s v=""/>
    <s v=""/>
    <s v=""/>
    <s v=""/>
    <s v=""/>
    <s v=""/>
    <s v=""/>
    <s v=""/>
    <s v=""/>
    <s v=""/>
    <s v=""/>
    <s v=""/>
    <s v=""/>
    <s v=""/>
    <x v="2"/>
  </r>
  <r>
    <x v="4"/>
    <x v="733"/>
    <n v="20"/>
    <m/>
    <x v="6"/>
    <s v=""/>
    <s v=""/>
    <s v=""/>
    <s v=""/>
    <s v=""/>
    <s v=""/>
    <s v=""/>
    <s v=""/>
    <s v=""/>
    <s v=""/>
    <s v=""/>
    <s v=""/>
    <s v=""/>
    <s v=""/>
    <s v=""/>
    <x v="2"/>
  </r>
  <r>
    <x v="4"/>
    <x v="734"/>
    <n v="28"/>
    <n v="1"/>
    <x v="1"/>
    <s v="Funding limit reconciliation"/>
    <s v="An organization’s approach to managing"/>
    <s v="cash flow against the project deliverables"/>
    <s v="based on a schedule, milestone"/>
    <s v="accomplishment, or data constraints."/>
    <s v=""/>
    <s v=""/>
    <s v=""/>
    <s v=""/>
    <s v=""/>
    <s v=""/>
    <s v=""/>
    <s v=""/>
    <s v=""/>
    <s v=""/>
    <x v="144"/>
  </r>
  <r>
    <x v="4"/>
    <x v="735"/>
    <n v="38"/>
    <m/>
    <x v="2"/>
    <s v=""/>
    <s v=""/>
    <s v=""/>
    <s v=""/>
    <s v=""/>
    <s v=""/>
    <s v=""/>
    <s v=""/>
    <s v=""/>
    <s v=""/>
    <s v=""/>
    <s v=""/>
    <s v=""/>
    <s v=""/>
    <s v=""/>
    <x v="2"/>
  </r>
  <r>
    <x v="4"/>
    <x v="736"/>
    <n v="42"/>
    <m/>
    <x v="3"/>
    <s v=""/>
    <s v=""/>
    <s v=""/>
    <s v=""/>
    <s v=""/>
    <s v=""/>
    <s v=""/>
    <s v=""/>
    <s v=""/>
    <s v=""/>
    <s v=""/>
    <s v=""/>
    <s v=""/>
    <s v=""/>
    <s v=""/>
    <x v="2"/>
  </r>
  <r>
    <x v="4"/>
    <x v="737"/>
    <n v="30"/>
    <m/>
    <x v="4"/>
    <s v=""/>
    <s v=""/>
    <s v=""/>
    <s v=""/>
    <s v=""/>
    <s v=""/>
    <s v=""/>
    <s v=""/>
    <s v=""/>
    <s v=""/>
    <s v=""/>
    <s v=""/>
    <s v=""/>
    <s v=""/>
    <s v=""/>
    <x v="2"/>
  </r>
  <r>
    <x v="4"/>
    <x v="738"/>
    <n v="36"/>
    <m/>
    <x v="5"/>
    <s v=""/>
    <s v=""/>
    <s v=""/>
    <s v=""/>
    <s v=""/>
    <s v=""/>
    <s v=""/>
    <s v=""/>
    <s v=""/>
    <s v=""/>
    <s v=""/>
    <s v=""/>
    <s v=""/>
    <s v=""/>
    <s v=""/>
    <x v="2"/>
  </r>
  <r>
    <x v="4"/>
    <x v="739"/>
    <n v="14"/>
    <n v="1"/>
    <x v="1"/>
    <s v="Indirect costs"/>
    <s v="Costs that are representative of more"/>
    <s v="than one project (for example, utilities for"/>
    <s v="the performing organization, access to a"/>
    <s v="training room, project management"/>
    <s v="software license, and so on)."/>
    <s v=""/>
    <s v=""/>
    <s v=""/>
    <s v=""/>
    <s v=""/>
    <s v=""/>
    <s v=""/>
    <s v=""/>
    <s v=""/>
    <x v="145"/>
  </r>
  <r>
    <x v="4"/>
    <x v="740"/>
    <n v="37"/>
    <m/>
    <x v="2"/>
    <s v=""/>
    <s v=""/>
    <s v=""/>
    <s v=""/>
    <s v=""/>
    <s v=""/>
    <s v=""/>
    <s v=""/>
    <s v=""/>
    <s v=""/>
    <s v=""/>
    <s v=""/>
    <s v=""/>
    <s v=""/>
    <s v=""/>
    <x v="2"/>
  </r>
  <r>
    <x v="4"/>
    <x v="741"/>
    <n v="44"/>
    <m/>
    <x v="3"/>
    <s v=""/>
    <s v=""/>
    <s v=""/>
    <s v=""/>
    <s v=""/>
    <s v=""/>
    <s v=""/>
    <s v=""/>
    <s v=""/>
    <s v=""/>
    <s v=""/>
    <s v=""/>
    <s v=""/>
    <s v=""/>
    <s v=""/>
    <x v="2"/>
  </r>
  <r>
    <x v="4"/>
    <x v="742"/>
    <n v="40"/>
    <m/>
    <x v="4"/>
    <s v=""/>
    <s v=""/>
    <s v=""/>
    <s v=""/>
    <s v=""/>
    <s v=""/>
    <s v=""/>
    <s v=""/>
    <s v=""/>
    <s v=""/>
    <s v=""/>
    <s v=""/>
    <s v=""/>
    <s v=""/>
    <s v=""/>
    <x v="2"/>
  </r>
  <r>
    <x v="4"/>
    <x v="743"/>
    <n v="33"/>
    <m/>
    <x v="5"/>
    <s v=""/>
    <s v=""/>
    <s v=""/>
    <s v=""/>
    <s v=""/>
    <s v=""/>
    <s v=""/>
    <s v=""/>
    <s v=""/>
    <s v=""/>
    <s v=""/>
    <s v=""/>
    <s v=""/>
    <s v=""/>
    <s v=""/>
    <x v="2"/>
  </r>
  <r>
    <x v="4"/>
    <x v="744"/>
    <n v="29"/>
    <m/>
    <x v="6"/>
    <s v=""/>
    <s v=""/>
    <s v=""/>
    <s v=""/>
    <s v=""/>
    <s v=""/>
    <s v=""/>
    <s v=""/>
    <s v=""/>
    <s v=""/>
    <s v=""/>
    <s v=""/>
    <s v=""/>
    <s v=""/>
    <s v=""/>
    <x v="2"/>
  </r>
  <r>
    <x v="4"/>
    <x v="745"/>
    <n v="13"/>
    <n v="1"/>
    <x v="1"/>
    <s v="Known unknown"/>
    <s v="An event that will likely happen within the"/>
    <s v="project, but when it will happen and to"/>
    <s v="what degree is unknown. These events,"/>
    <s v="such as delays, are usually risk-related."/>
    <s v=""/>
    <s v=""/>
    <s v=""/>
    <s v=""/>
    <s v=""/>
    <s v=""/>
    <s v=""/>
    <s v=""/>
    <s v=""/>
    <s v=""/>
    <x v="146"/>
  </r>
  <r>
    <x v="4"/>
    <x v="746"/>
    <n v="43"/>
    <m/>
    <x v="2"/>
    <s v=""/>
    <s v=""/>
    <s v=""/>
    <s v=""/>
    <s v=""/>
    <s v=""/>
    <s v=""/>
    <s v=""/>
    <s v=""/>
    <s v=""/>
    <s v=""/>
    <s v=""/>
    <s v=""/>
    <s v=""/>
    <s v=""/>
    <x v="2"/>
  </r>
  <r>
    <x v="4"/>
    <x v="747"/>
    <n v="39"/>
    <m/>
    <x v="3"/>
    <s v=""/>
    <s v=""/>
    <s v=""/>
    <s v=""/>
    <s v=""/>
    <s v=""/>
    <s v=""/>
    <s v=""/>
    <s v=""/>
    <s v=""/>
    <s v=""/>
    <s v=""/>
    <s v=""/>
    <s v=""/>
    <s v=""/>
    <x v="2"/>
  </r>
  <r>
    <x v="4"/>
    <x v="748"/>
    <n v="37"/>
    <m/>
    <x v="4"/>
    <s v=""/>
    <s v=""/>
    <s v=""/>
    <s v=""/>
    <s v=""/>
    <s v=""/>
    <s v=""/>
    <s v=""/>
    <s v=""/>
    <s v=""/>
    <s v=""/>
    <s v=""/>
    <s v=""/>
    <s v=""/>
    <s v=""/>
    <x v="2"/>
  </r>
  <r>
    <x v="4"/>
    <x v="749"/>
    <n v="41"/>
    <m/>
    <x v="5"/>
    <s v=""/>
    <s v=""/>
    <s v=""/>
    <s v=""/>
    <s v=""/>
    <s v=""/>
    <s v=""/>
    <s v=""/>
    <s v=""/>
    <s v=""/>
    <s v=""/>
    <s v=""/>
    <s v=""/>
    <s v=""/>
    <s v=""/>
    <x v="2"/>
  </r>
  <r>
    <x v="4"/>
    <x v="750"/>
    <n v="14"/>
    <n v="1"/>
    <x v="1"/>
    <s v="Learning curve"/>
    <s v="An approach that assumes the cost per"/>
    <s v="unit decreases the more units workers"/>
    <s v="complete, because workers learn as they"/>
    <s v="complete the required work."/>
    <s v=""/>
    <s v=""/>
    <s v=""/>
    <s v=""/>
    <s v=""/>
    <s v=""/>
    <s v=""/>
    <s v=""/>
    <s v=""/>
    <s v=""/>
    <x v="147"/>
  </r>
  <r>
    <x v="4"/>
    <x v="751"/>
    <n v="37"/>
    <m/>
    <x v="2"/>
    <s v=""/>
    <s v=""/>
    <s v=""/>
    <s v=""/>
    <s v=""/>
    <s v=""/>
    <s v=""/>
    <s v=""/>
    <s v=""/>
    <s v=""/>
    <s v=""/>
    <s v=""/>
    <s v=""/>
    <s v=""/>
    <s v=""/>
    <x v="2"/>
  </r>
  <r>
    <x v="4"/>
    <x v="752"/>
    <n v="37"/>
    <m/>
    <x v="3"/>
    <s v=""/>
    <s v=""/>
    <s v=""/>
    <s v=""/>
    <s v=""/>
    <s v=""/>
    <s v=""/>
    <s v=""/>
    <s v=""/>
    <s v=""/>
    <s v=""/>
    <s v=""/>
    <s v=""/>
    <s v=""/>
    <s v=""/>
    <x v="2"/>
  </r>
  <r>
    <x v="4"/>
    <x v="753"/>
    <n v="39"/>
    <m/>
    <x v="4"/>
    <s v=""/>
    <s v=""/>
    <s v=""/>
    <s v=""/>
    <s v=""/>
    <s v=""/>
    <s v=""/>
    <s v=""/>
    <s v=""/>
    <s v=""/>
    <s v=""/>
    <s v=""/>
    <s v=""/>
    <s v=""/>
    <s v=""/>
    <x v="2"/>
  </r>
  <r>
    <x v="4"/>
    <x v="754"/>
    <n v="27"/>
    <m/>
    <x v="5"/>
    <s v=""/>
    <s v=""/>
    <s v=""/>
    <s v=""/>
    <s v=""/>
    <s v=""/>
    <s v=""/>
    <s v=""/>
    <s v=""/>
    <s v=""/>
    <s v=""/>
    <s v=""/>
    <s v=""/>
    <s v=""/>
    <s v=""/>
    <x v="2"/>
  </r>
  <r>
    <x v="4"/>
    <x v="755"/>
    <n v="9"/>
    <n v="1"/>
    <x v="1"/>
    <s v="Oligopoly"/>
    <s v="A market condition where the market is"/>
    <s v="so tight that the actions of one vendor"/>
    <s v="affect the actions of all the others."/>
    <s v=""/>
    <s v=""/>
    <s v=""/>
    <s v=""/>
    <s v=""/>
    <s v=""/>
    <s v=""/>
    <s v=""/>
    <s v=""/>
    <s v=""/>
    <s v=""/>
    <x v="148"/>
  </r>
  <r>
    <x v="4"/>
    <x v="756"/>
    <n v="38"/>
    <m/>
    <x v="2"/>
    <s v=""/>
    <s v=""/>
    <s v=""/>
    <s v=""/>
    <s v=""/>
    <s v=""/>
    <s v=""/>
    <s v=""/>
    <s v=""/>
    <s v=""/>
    <s v=""/>
    <s v=""/>
    <s v=""/>
    <s v=""/>
    <s v=""/>
    <x v="2"/>
  </r>
  <r>
    <x v="4"/>
    <x v="757"/>
    <n v="39"/>
    <m/>
    <x v="3"/>
    <s v=""/>
    <s v=""/>
    <s v=""/>
    <s v=""/>
    <s v=""/>
    <s v=""/>
    <s v=""/>
    <s v=""/>
    <s v=""/>
    <s v=""/>
    <s v=""/>
    <s v=""/>
    <s v=""/>
    <s v=""/>
    <s v=""/>
    <x v="2"/>
  </r>
  <r>
    <x v="4"/>
    <x v="758"/>
    <n v="37"/>
    <m/>
    <x v="4"/>
    <s v=""/>
    <s v=""/>
    <s v=""/>
    <s v=""/>
    <s v=""/>
    <s v=""/>
    <s v=""/>
    <s v=""/>
    <s v=""/>
    <s v=""/>
    <s v=""/>
    <s v=""/>
    <s v=""/>
    <s v=""/>
    <s v=""/>
    <x v="2"/>
  </r>
  <r>
    <x v="4"/>
    <x v="759"/>
    <n v="16"/>
    <n v="1"/>
    <x v="1"/>
    <s v="Opportunity cost"/>
    <s v="The total cost of the opportunity that is"/>
    <s v="refused to realize an opposing"/>
    <s v="opportunity."/>
    <s v=""/>
    <s v=""/>
    <s v=""/>
    <s v=""/>
    <s v=""/>
    <s v=""/>
    <s v=""/>
    <s v=""/>
    <s v=""/>
    <s v=""/>
    <s v=""/>
    <x v="149"/>
  </r>
  <r>
    <x v="4"/>
    <x v="760"/>
    <n v="41"/>
    <m/>
    <x v="2"/>
    <s v=""/>
    <s v=""/>
    <s v=""/>
    <s v=""/>
    <s v=""/>
    <s v=""/>
    <s v=""/>
    <s v=""/>
    <s v=""/>
    <s v=""/>
    <s v=""/>
    <s v=""/>
    <s v=""/>
    <s v=""/>
    <s v=""/>
    <x v="2"/>
  </r>
  <r>
    <x v="4"/>
    <x v="761"/>
    <n v="30"/>
    <m/>
    <x v="3"/>
    <s v=""/>
    <s v=""/>
    <s v=""/>
    <s v=""/>
    <s v=""/>
    <s v=""/>
    <s v=""/>
    <s v=""/>
    <s v=""/>
    <s v=""/>
    <s v=""/>
    <s v=""/>
    <s v=""/>
    <s v=""/>
    <s v=""/>
    <x v="2"/>
  </r>
  <r>
    <x v="4"/>
    <x v="762"/>
    <n v="12"/>
    <m/>
    <x v="4"/>
    <s v=""/>
    <s v=""/>
    <s v=""/>
    <s v=""/>
    <s v=""/>
    <s v=""/>
    <s v=""/>
    <s v=""/>
    <s v=""/>
    <s v=""/>
    <s v=""/>
    <s v=""/>
    <s v=""/>
    <s v=""/>
    <s v=""/>
    <x v="2"/>
  </r>
  <r>
    <x v="4"/>
    <x v="763"/>
    <n v="21"/>
    <n v="1"/>
    <x v="1"/>
    <s v="Parametric estimating"/>
    <s v="An approach using a parametric model to"/>
    <s v="extrapolate what costs will be needed for"/>
    <s v="a project (for example, cost per hour and"/>
    <s v="cost per unit). It can include variables and"/>
    <s v="points based on conditions."/>
    <s v=""/>
    <s v=""/>
    <s v=""/>
    <s v=""/>
    <s v=""/>
    <s v=""/>
    <s v=""/>
    <s v=""/>
    <s v=""/>
    <x v="150"/>
  </r>
  <r>
    <x v="4"/>
    <x v="764"/>
    <n v="39"/>
    <m/>
    <x v="2"/>
    <s v=""/>
    <s v=""/>
    <s v=""/>
    <s v=""/>
    <s v=""/>
    <s v=""/>
    <s v=""/>
    <s v=""/>
    <s v=""/>
    <s v=""/>
    <s v=""/>
    <s v=""/>
    <s v=""/>
    <s v=""/>
    <s v=""/>
    <x v="2"/>
  </r>
  <r>
    <x v="4"/>
    <x v="765"/>
    <n v="41"/>
    <m/>
    <x v="3"/>
    <s v=""/>
    <s v=""/>
    <s v=""/>
    <s v=""/>
    <s v=""/>
    <s v=""/>
    <s v=""/>
    <s v=""/>
    <s v=""/>
    <s v=""/>
    <s v=""/>
    <s v=""/>
    <s v=""/>
    <s v=""/>
    <s v=""/>
    <x v="2"/>
  </r>
  <r>
    <x v="4"/>
    <x v="766"/>
    <n v="41"/>
    <m/>
    <x v="4"/>
    <s v=""/>
    <s v=""/>
    <s v=""/>
    <s v=""/>
    <s v=""/>
    <s v=""/>
    <s v=""/>
    <s v=""/>
    <s v=""/>
    <s v=""/>
    <s v=""/>
    <s v=""/>
    <s v=""/>
    <s v=""/>
    <s v=""/>
    <x v="2"/>
  </r>
  <r>
    <x v="4"/>
    <x v="767"/>
    <n v="44"/>
    <m/>
    <x v="5"/>
    <s v=""/>
    <s v=""/>
    <s v=""/>
    <s v=""/>
    <s v=""/>
    <s v=""/>
    <s v=""/>
    <s v=""/>
    <s v=""/>
    <s v=""/>
    <s v=""/>
    <s v=""/>
    <s v=""/>
    <s v=""/>
    <s v=""/>
    <x v="2"/>
  </r>
  <r>
    <x v="4"/>
    <x v="768"/>
    <n v="27"/>
    <m/>
    <x v="6"/>
    <s v=""/>
    <s v=""/>
    <s v=""/>
    <s v=""/>
    <s v=""/>
    <s v=""/>
    <s v=""/>
    <s v=""/>
    <s v=""/>
    <s v=""/>
    <s v=""/>
    <s v=""/>
    <s v=""/>
    <s v=""/>
    <s v=""/>
    <x v="2"/>
  </r>
  <r>
    <x v="4"/>
    <x v="769"/>
    <n v="18"/>
    <n v="1"/>
    <x v="1"/>
    <s v="Planned value (PV)"/>
    <s v="Planned value is the work scheduled and"/>
    <s v="the budget authorized to accomplish that"/>
    <s v="work. It is the percentage of the BAC that"/>
    <s v="reflects where the project should be at"/>
    <s v="this point in time."/>
    <s v=""/>
    <s v=""/>
    <s v=""/>
    <s v=""/>
    <s v=""/>
    <s v=""/>
    <s v=""/>
    <s v=""/>
    <s v=""/>
    <x v="151"/>
  </r>
  <r>
    <x v="4"/>
    <x v="770"/>
    <n v="39"/>
    <m/>
    <x v="2"/>
    <s v=""/>
    <s v=""/>
    <s v=""/>
    <s v=""/>
    <s v=""/>
    <s v=""/>
    <s v=""/>
    <s v=""/>
    <s v=""/>
    <s v=""/>
    <s v=""/>
    <s v=""/>
    <s v=""/>
    <s v=""/>
    <s v=""/>
    <x v="2"/>
  </r>
  <r>
    <x v="4"/>
    <x v="771"/>
    <n v="40"/>
    <m/>
    <x v="3"/>
    <s v=""/>
    <s v=""/>
    <s v=""/>
    <s v=""/>
    <s v=""/>
    <s v=""/>
    <s v=""/>
    <s v=""/>
    <s v=""/>
    <s v=""/>
    <s v=""/>
    <s v=""/>
    <s v=""/>
    <s v=""/>
    <s v=""/>
    <x v="2"/>
  </r>
  <r>
    <x v="4"/>
    <x v="772"/>
    <n v="42"/>
    <m/>
    <x v="4"/>
    <s v=""/>
    <s v=""/>
    <s v=""/>
    <s v=""/>
    <s v=""/>
    <s v=""/>
    <s v=""/>
    <s v=""/>
    <s v=""/>
    <s v=""/>
    <s v=""/>
    <s v=""/>
    <s v=""/>
    <s v=""/>
    <s v=""/>
    <x v="2"/>
  </r>
  <r>
    <x v="4"/>
    <x v="773"/>
    <n v="39"/>
    <m/>
    <x v="5"/>
    <s v=""/>
    <s v=""/>
    <s v=""/>
    <s v=""/>
    <s v=""/>
    <s v=""/>
    <s v=""/>
    <s v=""/>
    <s v=""/>
    <s v=""/>
    <s v=""/>
    <s v=""/>
    <s v=""/>
    <s v=""/>
    <s v=""/>
    <x v="2"/>
  </r>
  <r>
    <x v="4"/>
    <x v="774"/>
    <n v="19"/>
    <m/>
    <x v="6"/>
    <s v=""/>
    <s v=""/>
    <s v=""/>
    <s v=""/>
    <s v=""/>
    <s v=""/>
    <s v=""/>
    <s v=""/>
    <s v=""/>
    <s v=""/>
    <s v=""/>
    <s v=""/>
    <s v=""/>
    <s v=""/>
    <s v=""/>
    <x v="2"/>
  </r>
  <r>
    <x v="4"/>
    <x v="775"/>
    <n v="16"/>
    <n v="1"/>
    <x v="1"/>
    <s v="Project variance"/>
    <s v="The final variance, which is discovered"/>
    <s v="only at the project’s completion. The"/>
    <s v="formula is VAR = BAC – AC."/>
    <s v=""/>
    <s v=""/>
    <s v=""/>
    <s v=""/>
    <s v=""/>
    <s v=""/>
    <s v=""/>
    <s v=""/>
    <s v=""/>
    <s v=""/>
    <s v=""/>
    <x v="152"/>
  </r>
  <r>
    <x v="4"/>
    <x v="776"/>
    <n v="39"/>
    <m/>
    <x v="2"/>
    <s v=""/>
    <s v=""/>
    <s v=""/>
    <s v=""/>
    <s v=""/>
    <s v=""/>
    <s v=""/>
    <s v=""/>
    <s v=""/>
    <s v=""/>
    <s v=""/>
    <s v=""/>
    <s v=""/>
    <s v=""/>
    <s v=""/>
    <x v="2"/>
  </r>
  <r>
    <x v="4"/>
    <x v="777"/>
    <n v="37"/>
    <m/>
    <x v="3"/>
    <s v=""/>
    <s v=""/>
    <s v=""/>
    <s v=""/>
    <s v=""/>
    <s v=""/>
    <s v=""/>
    <s v=""/>
    <s v=""/>
    <s v=""/>
    <s v=""/>
    <s v=""/>
    <s v=""/>
    <s v=""/>
    <s v=""/>
    <x v="2"/>
  </r>
  <r>
    <x v="4"/>
    <x v="778"/>
    <n v="26"/>
    <m/>
    <x v="4"/>
    <s v=""/>
    <s v=""/>
    <s v=""/>
    <s v=""/>
    <s v=""/>
    <s v=""/>
    <s v=""/>
    <s v=""/>
    <s v=""/>
    <s v=""/>
    <s v=""/>
    <s v=""/>
    <s v=""/>
    <s v=""/>
    <s v=""/>
    <x v="2"/>
  </r>
  <r>
    <x v="4"/>
    <x v="333"/>
    <n v="19"/>
    <n v="1"/>
    <x v="1"/>
    <s v="Regression analysis"/>
    <s v="This is a statistical approach to predicting"/>
    <s v="what future values may be, based on"/>
    <s v="historical values. Regression analysis"/>
    <s v="creates quantitative predictions based on"/>
    <s v="variables within one value to predict"/>
    <s v="variables in another. This form of"/>
    <s v="estimating relies solely on pure statistical"/>
    <s v="math to reveal relationships between"/>
    <s v="variables and to predict future values."/>
    <s v=""/>
    <s v=""/>
    <s v=""/>
    <s v=""/>
    <s v=""/>
    <x v="153"/>
  </r>
  <r>
    <x v="4"/>
    <x v="779"/>
    <n v="44"/>
    <m/>
    <x v="2"/>
    <s v=""/>
    <s v=""/>
    <s v=""/>
    <s v=""/>
    <s v=""/>
    <s v=""/>
    <s v=""/>
    <s v=""/>
    <s v=""/>
    <s v=""/>
    <s v=""/>
    <s v=""/>
    <s v=""/>
    <s v=""/>
    <s v=""/>
    <x v="2"/>
  </r>
  <r>
    <x v="4"/>
    <x v="780"/>
    <n v="35"/>
    <m/>
    <x v="3"/>
    <s v=""/>
    <s v=""/>
    <s v=""/>
    <s v=""/>
    <s v=""/>
    <s v=""/>
    <s v=""/>
    <s v=""/>
    <s v=""/>
    <s v=""/>
    <s v=""/>
    <s v=""/>
    <s v=""/>
    <s v=""/>
    <s v=""/>
    <x v="2"/>
  </r>
  <r>
    <x v="4"/>
    <x v="781"/>
    <n v="38"/>
    <m/>
    <x v="4"/>
    <s v=""/>
    <s v=""/>
    <s v=""/>
    <s v=""/>
    <s v=""/>
    <s v=""/>
    <s v=""/>
    <s v=""/>
    <s v=""/>
    <s v=""/>
    <s v=""/>
    <s v=""/>
    <s v=""/>
    <s v=""/>
    <s v=""/>
    <x v="2"/>
  </r>
  <r>
    <x v="4"/>
    <x v="782"/>
    <n v="41"/>
    <m/>
    <x v="5"/>
    <s v=""/>
    <s v=""/>
    <s v=""/>
    <s v=""/>
    <s v=""/>
    <s v=""/>
    <s v=""/>
    <s v=""/>
    <s v=""/>
    <s v=""/>
    <s v=""/>
    <s v=""/>
    <s v=""/>
    <s v=""/>
    <s v=""/>
    <x v="2"/>
  </r>
  <r>
    <x v="4"/>
    <x v="783"/>
    <n v="37"/>
    <m/>
    <x v="6"/>
    <s v=""/>
    <s v=""/>
    <s v=""/>
    <s v=""/>
    <s v=""/>
    <s v=""/>
    <s v=""/>
    <s v=""/>
    <s v=""/>
    <s v=""/>
    <s v=""/>
    <s v=""/>
    <s v=""/>
    <s v=""/>
    <s v=""/>
    <x v="2"/>
  </r>
  <r>
    <x v="4"/>
    <x v="784"/>
    <n v="34"/>
    <m/>
    <x v="7"/>
    <s v=""/>
    <s v=""/>
    <s v=""/>
    <s v=""/>
    <s v=""/>
    <s v=""/>
    <s v=""/>
    <s v=""/>
    <s v=""/>
    <s v=""/>
    <s v=""/>
    <s v=""/>
    <s v=""/>
    <s v=""/>
    <s v=""/>
    <x v="2"/>
  </r>
  <r>
    <x v="4"/>
    <x v="785"/>
    <n v="44"/>
    <m/>
    <x v="8"/>
    <s v=""/>
    <s v=""/>
    <s v=""/>
    <s v=""/>
    <s v=""/>
    <s v=""/>
    <s v=""/>
    <s v=""/>
    <s v=""/>
    <s v=""/>
    <s v=""/>
    <s v=""/>
    <s v=""/>
    <s v=""/>
    <s v=""/>
    <x v="2"/>
  </r>
  <r>
    <x v="4"/>
    <x v="786"/>
    <n v="36"/>
    <m/>
    <x v="9"/>
    <s v=""/>
    <s v=""/>
    <s v=""/>
    <s v=""/>
    <s v=""/>
    <s v=""/>
    <s v=""/>
    <s v=""/>
    <s v=""/>
    <s v=""/>
    <s v=""/>
    <s v=""/>
    <s v=""/>
    <s v=""/>
    <s v=""/>
    <x v="2"/>
  </r>
  <r>
    <x v="4"/>
    <x v="787"/>
    <n v="39"/>
    <m/>
    <x v="10"/>
    <s v=""/>
    <s v=""/>
    <s v=""/>
    <s v=""/>
    <s v=""/>
    <s v=""/>
    <s v=""/>
    <s v=""/>
    <s v=""/>
    <s v=""/>
    <s v=""/>
    <s v=""/>
    <s v=""/>
    <s v=""/>
    <s v=""/>
    <x v="2"/>
  </r>
  <r>
    <x v="4"/>
    <x v="788"/>
    <n v="16"/>
    <n v="1"/>
    <x v="1"/>
    <s v="Reserve analysis"/>
    <s v="Cost reserves are for unknown unknowns"/>
    <s v="within a project. The management"/>
    <s v="reserve is not part of the project cost"/>
    <s v="baseline, but is included as part of the"/>
    <s v="project budget."/>
    <s v=""/>
    <s v=""/>
    <s v=""/>
    <s v=""/>
    <s v=""/>
    <s v=""/>
    <s v=""/>
    <s v=""/>
    <s v=""/>
    <x v="154"/>
  </r>
  <r>
    <x v="4"/>
    <x v="789"/>
    <n v="38"/>
    <m/>
    <x v="2"/>
    <s v=""/>
    <s v=""/>
    <s v=""/>
    <s v=""/>
    <s v=""/>
    <s v=""/>
    <s v=""/>
    <s v=""/>
    <s v=""/>
    <s v=""/>
    <s v=""/>
    <s v=""/>
    <s v=""/>
    <s v=""/>
    <s v=""/>
    <x v="2"/>
  </r>
  <r>
    <x v="4"/>
    <x v="790"/>
    <n v="32"/>
    <m/>
    <x v="3"/>
    <s v=""/>
    <s v=""/>
    <s v=""/>
    <s v=""/>
    <s v=""/>
    <s v=""/>
    <s v=""/>
    <s v=""/>
    <s v=""/>
    <s v=""/>
    <s v=""/>
    <s v=""/>
    <s v=""/>
    <s v=""/>
    <s v=""/>
    <x v="2"/>
  </r>
  <r>
    <x v="4"/>
    <x v="791"/>
    <n v="39"/>
    <m/>
    <x v="4"/>
    <s v=""/>
    <s v=""/>
    <s v=""/>
    <s v=""/>
    <s v=""/>
    <s v=""/>
    <s v=""/>
    <s v=""/>
    <s v=""/>
    <s v=""/>
    <s v=""/>
    <s v=""/>
    <s v=""/>
    <s v=""/>
    <s v=""/>
    <x v="2"/>
  </r>
  <r>
    <x v="4"/>
    <x v="792"/>
    <n v="40"/>
    <m/>
    <x v="5"/>
    <s v=""/>
    <s v=""/>
    <s v=""/>
    <s v=""/>
    <s v=""/>
    <s v=""/>
    <s v=""/>
    <s v=""/>
    <s v=""/>
    <s v=""/>
    <s v=""/>
    <s v=""/>
    <s v=""/>
    <s v=""/>
    <s v=""/>
    <x v="2"/>
  </r>
  <r>
    <x v="4"/>
    <x v="793"/>
    <n v="15"/>
    <m/>
    <x v="6"/>
    <s v=""/>
    <s v=""/>
    <s v=""/>
    <s v=""/>
    <s v=""/>
    <s v=""/>
    <s v=""/>
    <s v=""/>
    <s v=""/>
    <s v=""/>
    <s v=""/>
    <s v=""/>
    <s v=""/>
    <s v=""/>
    <s v=""/>
    <x v="2"/>
  </r>
  <r>
    <x v="4"/>
    <x v="794"/>
    <n v="24"/>
    <n v="1"/>
    <x v="1"/>
    <s v="Rough order of magnitude"/>
    <s v="This rough estimate is used during the"/>
    <s v="initiating processes and in top-down"/>
    <s v="estimates. The range of variance for the"/>
    <s v="estimate can be from –25 percent to +75"/>
    <s v="percent."/>
    <s v=""/>
    <s v=""/>
    <s v=""/>
    <s v=""/>
    <s v=""/>
    <s v=""/>
    <s v=""/>
    <s v=""/>
    <s v=""/>
    <x v="155"/>
  </r>
  <r>
    <x v="4"/>
    <x v="795"/>
    <n v="38"/>
    <m/>
    <x v="2"/>
    <s v=""/>
    <s v=""/>
    <s v=""/>
    <s v=""/>
    <s v=""/>
    <s v=""/>
    <s v=""/>
    <s v=""/>
    <s v=""/>
    <s v=""/>
    <s v=""/>
    <s v=""/>
    <s v=""/>
    <s v=""/>
    <s v=""/>
    <x v="2"/>
  </r>
  <r>
    <x v="4"/>
    <x v="796"/>
    <n v="36"/>
    <m/>
    <x v="3"/>
    <s v=""/>
    <s v=""/>
    <s v=""/>
    <s v=""/>
    <s v=""/>
    <s v=""/>
    <s v=""/>
    <s v=""/>
    <s v=""/>
    <s v=""/>
    <s v=""/>
    <s v=""/>
    <s v=""/>
    <s v=""/>
    <s v=""/>
    <x v="2"/>
  </r>
  <r>
    <x v="4"/>
    <x v="797"/>
    <n v="40"/>
    <m/>
    <x v="4"/>
    <s v=""/>
    <s v=""/>
    <s v=""/>
    <s v=""/>
    <s v=""/>
    <s v=""/>
    <s v=""/>
    <s v=""/>
    <s v=""/>
    <s v=""/>
    <s v=""/>
    <s v=""/>
    <s v=""/>
    <s v=""/>
    <s v=""/>
    <x v="2"/>
  </r>
  <r>
    <x v="4"/>
    <x v="798"/>
    <n v="39"/>
    <m/>
    <x v="5"/>
    <s v=""/>
    <s v=""/>
    <s v=""/>
    <s v=""/>
    <s v=""/>
    <s v=""/>
    <s v=""/>
    <s v=""/>
    <s v=""/>
    <s v=""/>
    <s v=""/>
    <s v=""/>
    <s v=""/>
    <s v=""/>
    <s v=""/>
    <x v="2"/>
  </r>
  <r>
    <x v="4"/>
    <x v="799"/>
    <n v="8"/>
    <m/>
    <x v="6"/>
    <s v=""/>
    <s v=""/>
    <s v=""/>
    <s v=""/>
    <s v=""/>
    <s v=""/>
    <s v=""/>
    <s v=""/>
    <s v=""/>
    <s v=""/>
    <s v=""/>
    <s v=""/>
    <s v=""/>
    <s v=""/>
    <s v=""/>
    <x v="2"/>
  </r>
  <r>
    <x v="4"/>
    <x v="800"/>
    <n v="32"/>
    <n v="1"/>
    <x v="1"/>
    <s v="Schedule performance index (SPI)"/>
    <s v="Measures the project based on its"/>
    <s v="schedule performance. The formula is"/>
    <s v="SPI = EV/PV."/>
    <s v=""/>
    <s v=""/>
    <s v=""/>
    <s v=""/>
    <s v=""/>
    <s v=""/>
    <s v=""/>
    <s v=""/>
    <s v=""/>
    <s v=""/>
    <s v=""/>
    <x v="156"/>
  </r>
  <r>
    <x v="4"/>
    <x v="801"/>
    <n v="33"/>
    <m/>
    <x v="2"/>
    <s v=""/>
    <s v=""/>
    <s v=""/>
    <s v=""/>
    <s v=""/>
    <s v=""/>
    <s v=""/>
    <s v=""/>
    <s v=""/>
    <s v=""/>
    <s v=""/>
    <s v=""/>
    <s v=""/>
    <s v=""/>
    <s v=""/>
    <x v="2"/>
  </r>
  <r>
    <x v="4"/>
    <x v="802"/>
    <n v="36"/>
    <m/>
    <x v="3"/>
    <s v=""/>
    <s v=""/>
    <s v=""/>
    <s v=""/>
    <s v=""/>
    <s v=""/>
    <s v=""/>
    <s v=""/>
    <s v=""/>
    <s v=""/>
    <s v=""/>
    <s v=""/>
    <s v=""/>
    <s v=""/>
    <s v=""/>
    <x v="2"/>
  </r>
  <r>
    <x v="4"/>
    <x v="803"/>
    <n v="12"/>
    <m/>
    <x v="4"/>
    <s v=""/>
    <s v=""/>
    <s v=""/>
    <s v=""/>
    <s v=""/>
    <s v=""/>
    <s v=""/>
    <s v=""/>
    <s v=""/>
    <s v=""/>
    <s v=""/>
    <s v=""/>
    <s v=""/>
    <s v=""/>
    <s v=""/>
    <x v="2"/>
  </r>
  <r>
    <x v="4"/>
    <x v="804"/>
    <n v="22"/>
    <n v="1"/>
    <x v="1"/>
    <s v="Schedule variance (SV)"/>
    <s v="The difference between the earned value"/>
    <s v="and the planned value. The formulas is"/>
    <s v="SV = EV – PV."/>
    <s v=""/>
    <s v=""/>
    <s v=""/>
    <s v=""/>
    <s v=""/>
    <s v=""/>
    <s v=""/>
    <s v=""/>
    <s v=""/>
    <s v=""/>
    <s v=""/>
    <x v="157"/>
  </r>
  <r>
    <x v="4"/>
    <x v="805"/>
    <n v="39"/>
    <m/>
    <x v="2"/>
    <s v=""/>
    <s v=""/>
    <s v=""/>
    <s v=""/>
    <s v=""/>
    <s v=""/>
    <s v=""/>
    <s v=""/>
    <s v=""/>
    <s v=""/>
    <s v=""/>
    <s v=""/>
    <s v=""/>
    <s v=""/>
    <s v=""/>
    <x v="2"/>
  </r>
  <r>
    <x v="4"/>
    <x v="806"/>
    <n v="38"/>
    <m/>
    <x v="3"/>
    <s v=""/>
    <s v=""/>
    <s v=""/>
    <s v=""/>
    <s v=""/>
    <s v=""/>
    <s v=""/>
    <s v=""/>
    <s v=""/>
    <s v=""/>
    <s v=""/>
    <s v=""/>
    <s v=""/>
    <s v=""/>
    <s v=""/>
    <x v="2"/>
  </r>
  <r>
    <x v="4"/>
    <x v="807"/>
    <n v="13"/>
    <m/>
    <x v="4"/>
    <s v=""/>
    <s v=""/>
    <s v=""/>
    <s v=""/>
    <s v=""/>
    <s v=""/>
    <s v=""/>
    <s v=""/>
    <s v=""/>
    <s v=""/>
    <s v=""/>
    <s v=""/>
    <s v=""/>
    <s v=""/>
    <s v=""/>
    <x v="2"/>
  </r>
  <r>
    <x v="4"/>
    <x v="808"/>
    <n v="13"/>
    <n v="1"/>
    <x v="1"/>
    <s v="Single source"/>
    <s v="Many vendors can provide what your"/>
    <s v="project needs to purchase, but you prefer"/>
    <s v="to work with a specific vendor."/>
    <s v=""/>
    <s v=""/>
    <s v=""/>
    <s v=""/>
    <s v=""/>
    <s v=""/>
    <s v=""/>
    <s v=""/>
    <s v=""/>
    <s v=""/>
    <s v=""/>
    <x v="158"/>
  </r>
  <r>
    <x v="4"/>
    <x v="809"/>
    <n v="34"/>
    <m/>
    <x v="2"/>
    <s v=""/>
    <s v=""/>
    <s v=""/>
    <s v=""/>
    <s v=""/>
    <s v=""/>
    <s v=""/>
    <s v=""/>
    <s v=""/>
    <s v=""/>
    <s v=""/>
    <s v=""/>
    <s v=""/>
    <s v=""/>
    <s v=""/>
    <x v="2"/>
  </r>
  <r>
    <x v="4"/>
    <x v="810"/>
    <n v="41"/>
    <m/>
    <x v="3"/>
    <s v=""/>
    <s v=""/>
    <s v=""/>
    <s v=""/>
    <s v=""/>
    <s v=""/>
    <s v=""/>
    <s v=""/>
    <s v=""/>
    <s v=""/>
    <s v=""/>
    <s v=""/>
    <s v=""/>
    <s v=""/>
    <s v=""/>
    <x v="2"/>
  </r>
  <r>
    <x v="4"/>
    <x v="811"/>
    <n v="31"/>
    <m/>
    <x v="4"/>
    <s v=""/>
    <s v=""/>
    <s v=""/>
    <s v=""/>
    <s v=""/>
    <s v=""/>
    <s v=""/>
    <s v=""/>
    <s v=""/>
    <s v=""/>
    <s v=""/>
    <s v=""/>
    <s v=""/>
    <s v=""/>
    <s v=""/>
    <x v="2"/>
  </r>
  <r>
    <x v="4"/>
    <x v="812"/>
    <n v="11"/>
    <n v="1"/>
    <x v="1"/>
    <s v="Sole source"/>
    <s v="Only one vendor can provide what your"/>
    <s v="project needs to purchase. Examples"/>
    <s v="include a specific consultant, specialized"/>
    <s v="service, or unique type of material."/>
    <s v=""/>
    <s v=""/>
    <s v=""/>
    <s v=""/>
    <s v=""/>
    <s v=""/>
    <s v=""/>
    <s v=""/>
    <s v=""/>
    <s v=""/>
    <x v="159"/>
  </r>
  <r>
    <x v="4"/>
    <x v="813"/>
    <n v="37"/>
    <m/>
    <x v="2"/>
    <s v=""/>
    <s v=""/>
    <s v=""/>
    <s v=""/>
    <s v=""/>
    <s v=""/>
    <s v=""/>
    <s v=""/>
    <s v=""/>
    <s v=""/>
    <s v=""/>
    <s v=""/>
    <s v=""/>
    <s v=""/>
    <s v=""/>
    <x v="2"/>
  </r>
  <r>
    <x v="4"/>
    <x v="814"/>
    <n v="35"/>
    <m/>
    <x v="3"/>
    <s v=""/>
    <s v=""/>
    <s v=""/>
    <s v=""/>
    <s v=""/>
    <s v=""/>
    <s v=""/>
    <s v=""/>
    <s v=""/>
    <s v=""/>
    <s v=""/>
    <s v=""/>
    <s v=""/>
    <s v=""/>
    <s v=""/>
    <x v="2"/>
  </r>
  <r>
    <x v="4"/>
    <x v="815"/>
    <n v="42"/>
    <m/>
    <x v="4"/>
    <s v=""/>
    <s v=""/>
    <s v=""/>
    <s v=""/>
    <s v=""/>
    <s v=""/>
    <s v=""/>
    <s v=""/>
    <s v=""/>
    <s v=""/>
    <s v=""/>
    <s v=""/>
    <s v=""/>
    <s v=""/>
    <s v=""/>
    <x v="2"/>
  </r>
  <r>
    <x v="4"/>
    <x v="816"/>
    <n v="36"/>
    <m/>
    <x v="5"/>
    <s v=""/>
    <s v=""/>
    <s v=""/>
    <s v=""/>
    <s v=""/>
    <s v=""/>
    <s v=""/>
    <s v=""/>
    <s v=""/>
    <s v=""/>
    <s v=""/>
    <s v=""/>
    <s v=""/>
    <s v=""/>
    <s v=""/>
    <x v="2"/>
  </r>
  <r>
    <x v="4"/>
    <x v="817"/>
    <n v="10"/>
    <n v="1"/>
    <x v="1"/>
    <s v="Sunk costs"/>
    <s v="Monies that have already been invested"/>
    <s v="in a project."/>
    <s v=""/>
    <s v=""/>
    <s v=""/>
    <s v=""/>
    <s v=""/>
    <s v=""/>
    <s v=""/>
    <s v=""/>
    <s v=""/>
    <s v=""/>
    <s v=""/>
    <s v=""/>
    <x v="160"/>
  </r>
  <r>
    <x v="4"/>
    <x v="818"/>
    <n v="38"/>
    <m/>
    <x v="2"/>
    <s v=""/>
    <s v=""/>
    <s v=""/>
    <s v=""/>
    <s v=""/>
    <s v=""/>
    <s v=""/>
    <s v=""/>
    <s v=""/>
    <s v=""/>
    <s v=""/>
    <s v=""/>
    <s v=""/>
    <s v=""/>
    <s v=""/>
    <x v="2"/>
  </r>
  <r>
    <x v="4"/>
    <x v="819"/>
    <n v="13"/>
    <m/>
    <x v="3"/>
    <s v=""/>
    <s v=""/>
    <s v=""/>
    <s v=""/>
    <s v=""/>
    <s v=""/>
    <s v=""/>
    <s v=""/>
    <s v=""/>
    <s v=""/>
    <s v=""/>
    <s v=""/>
    <s v=""/>
    <s v=""/>
    <s v=""/>
    <x v="2"/>
  </r>
  <r>
    <x v="4"/>
    <x v="820"/>
    <n v="29"/>
    <n v="1"/>
    <x v="1"/>
    <s v="To-Complete Performance Index"/>
    <s v="A formula to forecast the likelihood of a"/>
    <s v="project to achieve its goals based on"/>
    <s v="what’s happening in the project right now."/>
    <s v="There are two different flavors for the"/>
    <s v="TCPI, depending on what you want to"/>
    <s v="accomplish. If you want to see if your"/>
    <s v="project can meet the budget at"/>
    <s v="completion, you’ll use this formula: TCPI"/>
    <s v="= (BAC – EV)/(BAC – AC). If you want to"/>
    <s v="see if your project can meet the newly"/>
    <s v="created estimate at completion, you’ll use"/>
    <s v="this version of the formula: TCPI = (BAC"/>
    <s v="– EV)/(EAC – AC)."/>
    <s v=""/>
    <x v="161"/>
  </r>
  <r>
    <x v="4"/>
    <x v="821"/>
    <n v="41"/>
    <m/>
    <x v="2"/>
    <s v=""/>
    <s v=""/>
    <s v=""/>
    <s v=""/>
    <s v=""/>
    <s v=""/>
    <s v=""/>
    <s v=""/>
    <s v=""/>
    <s v=""/>
    <s v=""/>
    <s v=""/>
    <s v=""/>
    <s v=""/>
    <s v=""/>
    <x v="2"/>
  </r>
  <r>
    <x v="4"/>
    <x v="822"/>
    <n v="37"/>
    <m/>
    <x v="3"/>
    <s v=""/>
    <s v=""/>
    <s v=""/>
    <s v=""/>
    <s v=""/>
    <s v=""/>
    <s v=""/>
    <s v=""/>
    <s v=""/>
    <s v=""/>
    <s v=""/>
    <s v=""/>
    <s v=""/>
    <s v=""/>
    <s v=""/>
    <x v="2"/>
  </r>
  <r>
    <x v="4"/>
    <x v="823"/>
    <n v="42"/>
    <m/>
    <x v="4"/>
    <s v=""/>
    <s v=""/>
    <s v=""/>
    <s v=""/>
    <s v=""/>
    <s v=""/>
    <s v=""/>
    <s v=""/>
    <s v=""/>
    <s v=""/>
    <s v=""/>
    <s v=""/>
    <s v=""/>
    <s v=""/>
    <s v=""/>
    <x v="2"/>
  </r>
  <r>
    <x v="4"/>
    <x v="824"/>
    <n v="39"/>
    <m/>
    <x v="5"/>
    <s v=""/>
    <s v=""/>
    <s v=""/>
    <s v=""/>
    <s v=""/>
    <s v=""/>
    <s v=""/>
    <s v=""/>
    <s v=""/>
    <s v=""/>
    <s v=""/>
    <s v=""/>
    <s v=""/>
    <s v=""/>
    <s v=""/>
    <x v="2"/>
  </r>
  <r>
    <x v="4"/>
    <x v="825"/>
    <n v="35"/>
    <m/>
    <x v="6"/>
    <s v=""/>
    <s v=""/>
    <s v=""/>
    <s v=""/>
    <s v=""/>
    <s v=""/>
    <s v=""/>
    <s v=""/>
    <s v=""/>
    <s v=""/>
    <s v=""/>
    <s v=""/>
    <s v=""/>
    <s v=""/>
    <s v=""/>
    <x v="2"/>
  </r>
  <r>
    <x v="4"/>
    <x v="826"/>
    <n v="38"/>
    <m/>
    <x v="7"/>
    <s v=""/>
    <s v=""/>
    <s v=""/>
    <s v=""/>
    <s v=""/>
    <s v=""/>
    <s v=""/>
    <s v=""/>
    <s v=""/>
    <s v=""/>
    <s v=""/>
    <s v=""/>
    <s v=""/>
    <s v=""/>
    <s v=""/>
    <x v="2"/>
  </r>
  <r>
    <x v="4"/>
    <x v="827"/>
    <n v="30"/>
    <m/>
    <x v="8"/>
    <s v=""/>
    <s v=""/>
    <s v=""/>
    <s v=""/>
    <s v=""/>
    <s v=""/>
    <s v=""/>
    <s v=""/>
    <s v=""/>
    <s v=""/>
    <s v=""/>
    <s v=""/>
    <s v=""/>
    <s v=""/>
    <s v=""/>
    <x v="2"/>
  </r>
  <r>
    <x v="4"/>
    <x v="828"/>
    <n v="41"/>
    <m/>
    <x v="9"/>
    <s v=""/>
    <s v=""/>
    <s v=""/>
    <s v=""/>
    <s v=""/>
    <s v=""/>
    <s v=""/>
    <s v=""/>
    <s v=""/>
    <s v=""/>
    <s v=""/>
    <s v=""/>
    <s v=""/>
    <s v=""/>
    <s v=""/>
    <x v="2"/>
  </r>
  <r>
    <x v="4"/>
    <x v="829"/>
    <n v="39"/>
    <m/>
    <x v="10"/>
    <s v=""/>
    <s v=""/>
    <s v=""/>
    <s v=""/>
    <s v=""/>
    <s v=""/>
    <s v=""/>
    <s v=""/>
    <s v=""/>
    <s v=""/>
    <s v=""/>
    <s v=""/>
    <s v=""/>
    <s v=""/>
    <s v=""/>
    <x v="2"/>
  </r>
  <r>
    <x v="4"/>
    <x v="830"/>
    <n v="38"/>
    <m/>
    <x v="11"/>
    <s v=""/>
    <s v=""/>
    <s v=""/>
    <s v=""/>
    <s v=""/>
    <s v=""/>
    <s v=""/>
    <s v=""/>
    <s v=""/>
    <s v=""/>
    <s v=""/>
    <s v=""/>
    <s v=""/>
    <s v=""/>
    <s v=""/>
    <x v="2"/>
  </r>
  <r>
    <x v="4"/>
    <x v="831"/>
    <n v="42"/>
    <m/>
    <x v="12"/>
    <s v=""/>
    <s v=""/>
    <s v=""/>
    <s v=""/>
    <s v=""/>
    <s v=""/>
    <s v=""/>
    <s v=""/>
    <s v=""/>
    <s v=""/>
    <s v=""/>
    <s v=""/>
    <s v=""/>
    <s v=""/>
    <s v=""/>
    <x v="2"/>
  </r>
  <r>
    <x v="4"/>
    <x v="832"/>
    <n v="40"/>
    <m/>
    <x v="13"/>
    <s v=""/>
    <s v=""/>
    <s v=""/>
    <s v=""/>
    <s v=""/>
    <s v=""/>
    <s v=""/>
    <s v=""/>
    <s v=""/>
    <s v=""/>
    <s v=""/>
    <s v=""/>
    <s v=""/>
    <s v=""/>
    <s v=""/>
    <x v="2"/>
  </r>
  <r>
    <x v="4"/>
    <x v="833"/>
    <n v="17"/>
    <m/>
    <x v="14"/>
    <s v=""/>
    <s v=""/>
    <s v=""/>
    <s v=""/>
    <s v=""/>
    <s v=""/>
    <s v=""/>
    <s v=""/>
    <s v=""/>
    <s v=""/>
    <s v=""/>
    <s v=""/>
    <s v=""/>
    <s v=""/>
    <s v=""/>
    <x v="2"/>
  </r>
  <r>
    <x v="4"/>
    <x v="834"/>
    <n v="14"/>
    <n v="1"/>
    <x v="1"/>
    <s v="Variable costs"/>
    <s v="Costs that change based on the"/>
    <s v="conditions applied in the project (the"/>
    <s v="number of meeting participants, the"/>
    <s v="supply of and demand for materials, and"/>
    <s v="so on)."/>
    <s v=""/>
    <s v=""/>
    <s v=""/>
    <s v=""/>
    <s v=""/>
    <s v=""/>
    <s v=""/>
    <s v=""/>
    <s v=""/>
    <x v="162"/>
  </r>
  <r>
    <x v="4"/>
    <x v="835"/>
    <n v="30"/>
    <m/>
    <x v="2"/>
    <s v=""/>
    <s v=""/>
    <s v=""/>
    <s v=""/>
    <s v=""/>
    <s v=""/>
    <s v=""/>
    <s v=""/>
    <s v=""/>
    <s v=""/>
    <s v=""/>
    <s v=""/>
    <s v=""/>
    <s v=""/>
    <s v=""/>
    <x v="2"/>
  </r>
  <r>
    <x v="4"/>
    <x v="836"/>
    <n v="38"/>
    <m/>
    <x v="3"/>
    <s v=""/>
    <s v=""/>
    <s v=""/>
    <s v=""/>
    <s v=""/>
    <s v=""/>
    <s v=""/>
    <s v=""/>
    <s v=""/>
    <s v=""/>
    <s v=""/>
    <s v=""/>
    <s v=""/>
    <s v=""/>
    <s v=""/>
    <x v="2"/>
  </r>
  <r>
    <x v="4"/>
    <x v="837"/>
    <n v="35"/>
    <m/>
    <x v="4"/>
    <s v=""/>
    <s v=""/>
    <s v=""/>
    <s v=""/>
    <s v=""/>
    <s v=""/>
    <s v=""/>
    <s v=""/>
    <s v=""/>
    <s v=""/>
    <s v=""/>
    <s v=""/>
    <s v=""/>
    <s v=""/>
    <s v=""/>
    <x v="2"/>
  </r>
  <r>
    <x v="4"/>
    <x v="838"/>
    <n v="39"/>
    <m/>
    <x v="5"/>
    <s v=""/>
    <s v=""/>
    <s v=""/>
    <s v=""/>
    <s v=""/>
    <s v=""/>
    <s v=""/>
    <s v=""/>
    <s v=""/>
    <s v=""/>
    <s v=""/>
    <s v=""/>
    <s v=""/>
    <s v=""/>
    <s v=""/>
    <x v="2"/>
  </r>
  <r>
    <x v="4"/>
    <x v="839"/>
    <n v="7"/>
    <m/>
    <x v="6"/>
    <s v=""/>
    <s v=""/>
    <s v=""/>
    <s v=""/>
    <s v=""/>
    <s v=""/>
    <s v=""/>
    <s v=""/>
    <s v=""/>
    <s v=""/>
    <s v=""/>
    <s v=""/>
    <s v=""/>
    <s v=""/>
    <s v=""/>
    <x v="2"/>
  </r>
  <r>
    <x v="4"/>
    <x v="840"/>
    <n v="8"/>
    <n v="1"/>
    <x v="1"/>
    <s v="Variance"/>
    <s v="The difference between what was"/>
    <s v="expected and what was experienced."/>
    <s v=""/>
    <s v=""/>
    <s v=""/>
    <s v=""/>
    <s v=""/>
    <s v=""/>
    <s v=""/>
    <s v=""/>
    <s v=""/>
    <s v=""/>
    <s v=""/>
    <s v=""/>
    <x v="163"/>
  </r>
  <r>
    <x v="4"/>
    <x v="841"/>
    <n v="31"/>
    <m/>
    <x v="2"/>
    <s v=""/>
    <s v=""/>
    <s v=""/>
    <s v=""/>
    <s v=""/>
    <s v=""/>
    <s v=""/>
    <s v=""/>
    <s v=""/>
    <s v=""/>
    <s v=""/>
    <s v=""/>
    <s v=""/>
    <s v=""/>
    <s v=""/>
    <x v="2"/>
  </r>
  <r>
    <x v="4"/>
    <x v="842"/>
    <n v="34"/>
    <m/>
    <x v="3"/>
    <s v=""/>
    <s v=""/>
    <s v=""/>
    <s v=""/>
    <s v=""/>
    <s v=""/>
    <s v=""/>
    <s v=""/>
    <s v=""/>
    <s v=""/>
    <s v=""/>
    <s v=""/>
    <s v=""/>
    <s v=""/>
    <s v=""/>
    <x v="2"/>
  </r>
  <r>
    <x v="4"/>
    <x v="843"/>
    <n v="28"/>
    <n v="1"/>
    <x v="1"/>
    <s v="Variance at completion (VAC)"/>
    <s v="A forecasting formula that predicts how"/>
    <s v="much of a variance the project will likely"/>
    <s v="have based on current conditions within"/>
    <s v="the project. The formula is VAC = BAC –"/>
    <s v="EAC."/>
    <s v=""/>
    <s v=""/>
    <s v=""/>
    <s v=""/>
    <s v=""/>
    <s v=""/>
    <s v=""/>
    <s v=""/>
    <s v=""/>
    <x v="164"/>
  </r>
  <r>
    <x v="4"/>
    <x v="844"/>
    <n v="39"/>
    <m/>
    <x v="2"/>
    <s v=""/>
    <s v=""/>
    <s v=""/>
    <s v=""/>
    <s v=""/>
    <s v=""/>
    <s v=""/>
    <s v=""/>
    <s v=""/>
    <s v=""/>
    <s v=""/>
    <s v=""/>
    <s v=""/>
    <s v=""/>
    <s v=""/>
    <x v="2"/>
  </r>
  <r>
    <x v="4"/>
    <x v="845"/>
    <n v="42"/>
    <m/>
    <x v="3"/>
    <s v=""/>
    <s v=""/>
    <s v=""/>
    <s v=""/>
    <s v=""/>
    <s v=""/>
    <s v=""/>
    <s v=""/>
    <s v=""/>
    <s v=""/>
    <s v=""/>
    <s v=""/>
    <s v=""/>
    <s v=""/>
    <s v=""/>
    <x v="2"/>
  </r>
  <r>
    <x v="4"/>
    <x v="846"/>
    <n v="39"/>
    <m/>
    <x v="4"/>
    <s v=""/>
    <s v=""/>
    <s v=""/>
    <s v=""/>
    <s v=""/>
    <s v=""/>
    <s v=""/>
    <s v=""/>
    <s v=""/>
    <s v=""/>
    <s v=""/>
    <s v=""/>
    <s v=""/>
    <s v=""/>
    <s v=""/>
    <x v="2"/>
  </r>
  <r>
    <x v="4"/>
    <x v="847"/>
    <n v="39"/>
    <m/>
    <x v="5"/>
    <s v=""/>
    <s v=""/>
    <s v=""/>
    <s v=""/>
    <s v=""/>
    <s v=""/>
    <s v=""/>
    <s v=""/>
    <s v=""/>
    <s v=""/>
    <s v=""/>
    <s v=""/>
    <s v=""/>
    <s v=""/>
    <s v=""/>
    <x v="2"/>
  </r>
  <r>
    <x v="4"/>
    <x v="848"/>
    <n v="4"/>
    <m/>
    <x v="6"/>
    <s v=""/>
    <s v=""/>
    <s v=""/>
    <s v=""/>
    <s v=""/>
    <s v=""/>
    <s v=""/>
    <s v=""/>
    <s v=""/>
    <s v=""/>
    <s v=""/>
    <s v=""/>
    <s v=""/>
    <s v=""/>
    <s v=""/>
    <x v="2"/>
  </r>
  <r>
    <x v="5"/>
    <x v="849"/>
    <n v="24"/>
    <n v="1"/>
    <x v="1"/>
    <s v="Activity network diagram"/>
    <s v="These diagrams, such as the project network"/>
    <s v="diagram, show the flow of the project work."/>
    <s v=""/>
    <s v=""/>
    <s v=""/>
    <s v=""/>
    <s v=""/>
    <s v=""/>
    <s v=""/>
    <s v=""/>
    <s v=""/>
    <s v=""/>
    <s v=""/>
    <s v=""/>
    <x v="165"/>
  </r>
  <r>
    <x v="5"/>
    <x v="850"/>
    <n v="43"/>
    <m/>
    <x v="2"/>
    <s v=""/>
    <s v=""/>
    <s v=""/>
    <s v=""/>
    <s v=""/>
    <s v=""/>
    <s v=""/>
    <s v=""/>
    <s v=""/>
    <s v=""/>
    <s v=""/>
    <s v=""/>
    <s v=""/>
    <s v=""/>
    <s v=""/>
    <x v="2"/>
  </r>
  <r>
    <x v="5"/>
    <x v="851"/>
    <n v="43"/>
    <m/>
    <x v="3"/>
    <s v=""/>
    <s v=""/>
    <s v=""/>
    <s v=""/>
    <s v=""/>
    <s v=""/>
    <s v=""/>
    <s v=""/>
    <s v=""/>
    <s v=""/>
    <s v=""/>
    <s v=""/>
    <s v=""/>
    <s v=""/>
    <s v=""/>
    <x v="2"/>
  </r>
  <r>
    <x v="5"/>
    <x v="852"/>
    <n v="16"/>
    <n v="1"/>
    <x v="1"/>
    <s v="Affinity diagram"/>
    <s v="This diagram breaks down ideas, solutions,"/>
    <s v="causes, and project components and groups"/>
    <s v="them together with other similar ideas and"/>
    <s v="components."/>
    <s v=""/>
    <s v=""/>
    <s v=""/>
    <s v=""/>
    <s v=""/>
    <s v=""/>
    <s v=""/>
    <s v=""/>
    <s v=""/>
    <s v=""/>
    <x v="166"/>
  </r>
  <r>
    <x v="5"/>
    <x v="853"/>
    <n v="42"/>
    <m/>
    <x v="2"/>
    <s v=""/>
    <s v=""/>
    <s v=""/>
    <s v=""/>
    <s v=""/>
    <s v=""/>
    <s v=""/>
    <s v=""/>
    <s v=""/>
    <s v=""/>
    <s v=""/>
    <s v=""/>
    <s v=""/>
    <s v=""/>
    <s v=""/>
    <x v="2"/>
  </r>
  <r>
    <x v="5"/>
    <x v="854"/>
    <n v="41"/>
    <m/>
    <x v="3"/>
    <s v=""/>
    <s v=""/>
    <s v=""/>
    <s v=""/>
    <s v=""/>
    <s v=""/>
    <s v=""/>
    <s v=""/>
    <s v=""/>
    <s v=""/>
    <s v=""/>
    <s v=""/>
    <s v=""/>
    <s v=""/>
    <s v=""/>
    <x v="2"/>
  </r>
  <r>
    <x v="5"/>
    <x v="855"/>
    <n v="42"/>
    <m/>
    <x v="4"/>
    <s v=""/>
    <s v=""/>
    <s v=""/>
    <s v=""/>
    <s v=""/>
    <s v=""/>
    <s v=""/>
    <s v=""/>
    <s v=""/>
    <s v=""/>
    <s v=""/>
    <s v=""/>
    <s v=""/>
    <s v=""/>
    <s v=""/>
    <x v="2"/>
  </r>
  <r>
    <x v="5"/>
    <x v="856"/>
    <n v="11"/>
    <m/>
    <x v="5"/>
    <s v=""/>
    <s v=""/>
    <s v=""/>
    <s v=""/>
    <s v=""/>
    <s v=""/>
    <s v=""/>
    <s v=""/>
    <s v=""/>
    <s v=""/>
    <s v=""/>
    <s v=""/>
    <s v=""/>
    <s v=""/>
    <s v=""/>
    <x v="2"/>
  </r>
  <r>
    <x v="5"/>
    <x v="857"/>
    <n v="12"/>
    <n v="1"/>
    <x v="1"/>
    <s v="Benchmarking"/>
    <s v="Comparing any two similar entities to measure"/>
    <s v="their performance."/>
    <s v=""/>
    <s v=""/>
    <s v=""/>
    <s v=""/>
    <s v=""/>
    <s v=""/>
    <s v=""/>
    <s v=""/>
    <s v=""/>
    <s v=""/>
    <s v=""/>
    <s v=""/>
    <x v="167"/>
  </r>
  <r>
    <x v="5"/>
    <x v="858"/>
    <n v="45"/>
    <m/>
    <x v="2"/>
    <s v=""/>
    <s v=""/>
    <s v=""/>
    <s v=""/>
    <s v=""/>
    <s v=""/>
    <s v=""/>
    <s v=""/>
    <s v=""/>
    <s v=""/>
    <s v=""/>
    <s v=""/>
    <s v=""/>
    <s v=""/>
    <s v=""/>
    <x v="2"/>
  </r>
  <r>
    <x v="5"/>
    <x v="859"/>
    <n v="18"/>
    <m/>
    <x v="3"/>
    <s v=""/>
    <s v=""/>
    <s v=""/>
    <s v=""/>
    <s v=""/>
    <s v=""/>
    <s v=""/>
    <s v=""/>
    <s v=""/>
    <s v=""/>
    <s v=""/>
    <s v=""/>
    <s v=""/>
    <s v=""/>
    <s v=""/>
    <x v="2"/>
  </r>
  <r>
    <x v="5"/>
    <x v="860"/>
    <n v="25"/>
    <n v="1"/>
    <x v="1"/>
    <s v="Cause-and-effect diagrams"/>
    <s v="Diagrams that show the relationship between"/>
    <s v="variables within a process and how those"/>
    <s v="relationships may contribute to inadequate"/>
    <s v="quality. The diagrams can help organize both the"/>
    <s v="process and team opinions, as well as generate"/>
    <s v="discussion on finding a solution to ensure quality."/>
    <s v=""/>
    <s v=""/>
    <s v=""/>
    <s v=""/>
    <s v=""/>
    <s v=""/>
    <s v=""/>
    <s v=""/>
    <x v="168"/>
  </r>
  <r>
    <x v="5"/>
    <x v="861"/>
    <n v="43"/>
    <m/>
    <x v="2"/>
    <s v=""/>
    <s v=""/>
    <s v=""/>
    <s v=""/>
    <s v=""/>
    <s v=""/>
    <s v=""/>
    <s v=""/>
    <s v=""/>
    <s v=""/>
    <s v=""/>
    <s v=""/>
    <s v=""/>
    <s v=""/>
    <s v=""/>
    <x v="2"/>
  </r>
  <r>
    <x v="5"/>
    <x v="862"/>
    <n v="40"/>
    <m/>
    <x v="3"/>
    <s v=""/>
    <s v=""/>
    <s v=""/>
    <s v=""/>
    <s v=""/>
    <s v=""/>
    <s v=""/>
    <s v=""/>
    <s v=""/>
    <s v=""/>
    <s v=""/>
    <s v=""/>
    <s v=""/>
    <s v=""/>
    <s v=""/>
    <x v="2"/>
  </r>
  <r>
    <x v="5"/>
    <x v="863"/>
    <n v="42"/>
    <m/>
    <x v="4"/>
    <s v=""/>
    <s v=""/>
    <s v=""/>
    <s v=""/>
    <s v=""/>
    <s v=""/>
    <s v=""/>
    <s v=""/>
    <s v=""/>
    <s v=""/>
    <s v=""/>
    <s v=""/>
    <s v=""/>
    <s v=""/>
    <s v=""/>
    <x v="2"/>
  </r>
  <r>
    <x v="5"/>
    <x v="864"/>
    <n v="48"/>
    <m/>
    <x v="5"/>
    <s v=""/>
    <s v=""/>
    <s v=""/>
    <s v=""/>
    <s v=""/>
    <s v=""/>
    <s v=""/>
    <s v=""/>
    <s v=""/>
    <s v=""/>
    <s v=""/>
    <s v=""/>
    <s v=""/>
    <s v=""/>
    <s v=""/>
    <x v="2"/>
  </r>
  <r>
    <x v="5"/>
    <x v="865"/>
    <n v="46"/>
    <m/>
    <x v="6"/>
    <s v=""/>
    <s v=""/>
    <s v=""/>
    <s v=""/>
    <s v=""/>
    <s v=""/>
    <s v=""/>
    <s v=""/>
    <s v=""/>
    <s v=""/>
    <s v=""/>
    <s v=""/>
    <s v=""/>
    <s v=""/>
    <s v=""/>
    <x v="2"/>
  </r>
  <r>
    <x v="5"/>
    <x v="866"/>
    <n v="51"/>
    <m/>
    <x v="7"/>
    <s v=""/>
    <s v=""/>
    <s v=""/>
    <s v=""/>
    <s v=""/>
    <s v=""/>
    <s v=""/>
    <s v=""/>
    <s v=""/>
    <s v=""/>
    <s v=""/>
    <s v=""/>
    <s v=""/>
    <s v=""/>
    <s v=""/>
    <x v="2"/>
  </r>
  <r>
    <x v="5"/>
    <x v="867"/>
    <n v="9"/>
    <n v="1"/>
    <x v="1"/>
    <s v="Checklist"/>
    <s v="A simple approach to ensure that work is"/>
    <s v="completed according to the quality policy."/>
    <s v=""/>
    <s v=""/>
    <s v=""/>
    <s v=""/>
    <s v=""/>
    <s v=""/>
    <s v=""/>
    <s v=""/>
    <s v=""/>
    <s v=""/>
    <s v=""/>
    <s v=""/>
    <x v="169"/>
  </r>
  <r>
    <x v="5"/>
    <x v="868"/>
    <n v="40"/>
    <m/>
    <x v="2"/>
    <s v=""/>
    <s v=""/>
    <s v=""/>
    <s v=""/>
    <s v=""/>
    <s v=""/>
    <s v=""/>
    <s v=""/>
    <s v=""/>
    <s v=""/>
    <s v=""/>
    <s v=""/>
    <s v=""/>
    <s v=""/>
    <s v=""/>
    <x v="2"/>
  </r>
  <r>
    <x v="5"/>
    <x v="869"/>
    <n v="42"/>
    <m/>
    <x v="3"/>
    <s v=""/>
    <s v=""/>
    <s v=""/>
    <s v=""/>
    <s v=""/>
    <s v=""/>
    <s v=""/>
    <s v=""/>
    <s v=""/>
    <s v=""/>
    <s v=""/>
    <s v=""/>
    <s v=""/>
    <s v=""/>
    <s v=""/>
    <x v="2"/>
  </r>
  <r>
    <x v="5"/>
    <x v="870"/>
    <n v="13"/>
    <n v="1"/>
    <x v="1"/>
    <s v="Control chart"/>
    <s v="A quality control chart that maps the"/>
    <s v="performance of project work over time."/>
    <s v=""/>
    <s v=""/>
    <s v=""/>
    <s v=""/>
    <s v=""/>
    <s v=""/>
    <s v=""/>
    <s v=""/>
    <s v=""/>
    <s v=""/>
    <s v=""/>
    <s v=""/>
    <x v="170"/>
  </r>
  <r>
    <x v="5"/>
    <x v="871"/>
    <n v="37"/>
    <m/>
    <x v="2"/>
    <s v=""/>
    <s v=""/>
    <s v=""/>
    <s v=""/>
    <s v=""/>
    <s v=""/>
    <s v=""/>
    <s v=""/>
    <s v=""/>
    <s v=""/>
    <s v=""/>
    <s v=""/>
    <s v=""/>
    <s v=""/>
    <s v=""/>
    <x v="2"/>
  </r>
  <r>
    <x v="5"/>
    <x v="872"/>
    <n v="38"/>
    <m/>
    <x v="3"/>
    <s v=""/>
    <s v=""/>
    <s v=""/>
    <s v=""/>
    <s v=""/>
    <s v=""/>
    <s v=""/>
    <s v=""/>
    <s v=""/>
    <s v=""/>
    <s v=""/>
    <s v=""/>
    <s v=""/>
    <s v=""/>
    <s v=""/>
    <x v="2"/>
  </r>
  <r>
    <x v="5"/>
    <x v="873"/>
    <n v="15"/>
    <n v="1"/>
    <x v="1"/>
    <s v="Control quality"/>
    <s v="An inspection-driven process that measures work"/>
    <s v="results to confirm that the project is meeting the"/>
    <s v="relevant quality standards."/>
    <s v=""/>
    <s v=""/>
    <s v=""/>
    <s v=""/>
    <s v=""/>
    <s v=""/>
    <s v=""/>
    <s v=""/>
    <s v=""/>
    <s v=""/>
    <s v=""/>
    <x v="171"/>
  </r>
  <r>
    <x v="5"/>
    <x v="874"/>
    <n v="47"/>
    <m/>
    <x v="2"/>
    <s v=""/>
    <s v=""/>
    <s v=""/>
    <s v=""/>
    <s v=""/>
    <s v=""/>
    <s v=""/>
    <s v=""/>
    <s v=""/>
    <s v=""/>
    <s v=""/>
    <s v=""/>
    <s v=""/>
    <s v=""/>
    <s v=""/>
    <x v="2"/>
  </r>
  <r>
    <x v="5"/>
    <x v="875"/>
    <n v="50"/>
    <m/>
    <x v="3"/>
    <s v=""/>
    <s v=""/>
    <s v=""/>
    <s v=""/>
    <s v=""/>
    <s v=""/>
    <s v=""/>
    <s v=""/>
    <s v=""/>
    <s v=""/>
    <s v=""/>
    <s v=""/>
    <s v=""/>
    <s v=""/>
    <s v=""/>
    <x v="2"/>
  </r>
  <r>
    <x v="5"/>
    <x v="876"/>
    <n v="27"/>
    <m/>
    <x v="4"/>
    <s v=""/>
    <s v=""/>
    <s v=""/>
    <s v=""/>
    <s v=""/>
    <s v=""/>
    <s v=""/>
    <s v=""/>
    <s v=""/>
    <s v=""/>
    <s v=""/>
    <s v=""/>
    <s v=""/>
    <s v=""/>
    <s v=""/>
    <x v="2"/>
  </r>
  <r>
    <x v="5"/>
    <x v="877"/>
    <n v="19"/>
    <n v="1"/>
    <x v="1"/>
    <s v="Cost of conformance"/>
    <s v="This is the cost associated with the monies spent"/>
    <s v="to attain the expected level of quality. It is also"/>
    <s v="known as the cost of quality."/>
    <s v=""/>
    <s v=""/>
    <s v=""/>
    <s v=""/>
    <s v=""/>
    <s v=""/>
    <s v=""/>
    <s v=""/>
    <s v=""/>
    <s v=""/>
    <s v=""/>
    <x v="172"/>
  </r>
  <r>
    <x v="5"/>
    <x v="878"/>
    <n v="49"/>
    <m/>
    <x v="2"/>
    <s v=""/>
    <s v=""/>
    <s v=""/>
    <s v=""/>
    <s v=""/>
    <s v=""/>
    <s v=""/>
    <s v=""/>
    <s v=""/>
    <s v=""/>
    <s v=""/>
    <s v=""/>
    <s v=""/>
    <s v=""/>
    <s v=""/>
    <x v="2"/>
  </r>
  <r>
    <x v="5"/>
    <x v="879"/>
    <n v="51"/>
    <m/>
    <x v="3"/>
    <s v=""/>
    <s v=""/>
    <s v=""/>
    <s v=""/>
    <s v=""/>
    <s v=""/>
    <s v=""/>
    <s v=""/>
    <s v=""/>
    <s v=""/>
    <s v=""/>
    <s v=""/>
    <s v=""/>
    <s v=""/>
    <s v=""/>
    <x v="2"/>
  </r>
  <r>
    <x v="5"/>
    <x v="880"/>
    <n v="29"/>
    <m/>
    <x v="4"/>
    <s v=""/>
    <s v=""/>
    <s v=""/>
    <s v=""/>
    <s v=""/>
    <s v=""/>
    <s v=""/>
    <s v=""/>
    <s v=""/>
    <s v=""/>
    <s v=""/>
    <s v=""/>
    <s v=""/>
    <s v=""/>
    <s v=""/>
    <x v="2"/>
  </r>
  <r>
    <x v="5"/>
    <x v="881"/>
    <n v="33"/>
    <n v="1"/>
    <x v="1"/>
    <s v="Cost of nonconformance to quality"/>
    <s v="The cost associated with not satisfying quality"/>
    <s v="expectations. This is also known as the cost of"/>
    <s v="poor quality."/>
    <s v=""/>
    <s v=""/>
    <s v=""/>
    <s v=""/>
    <s v=""/>
    <s v=""/>
    <s v=""/>
    <s v=""/>
    <s v=""/>
    <s v=""/>
    <s v=""/>
    <x v="173"/>
  </r>
  <r>
    <x v="5"/>
    <x v="882"/>
    <n v="47"/>
    <m/>
    <x v="2"/>
    <s v=""/>
    <s v=""/>
    <s v=""/>
    <s v=""/>
    <s v=""/>
    <s v=""/>
    <s v=""/>
    <s v=""/>
    <s v=""/>
    <s v=""/>
    <s v=""/>
    <s v=""/>
    <s v=""/>
    <s v=""/>
    <s v=""/>
    <x v="2"/>
  </r>
  <r>
    <x v="5"/>
    <x v="883"/>
    <n v="47"/>
    <m/>
    <x v="3"/>
    <s v=""/>
    <s v=""/>
    <s v=""/>
    <s v=""/>
    <s v=""/>
    <s v=""/>
    <s v=""/>
    <s v=""/>
    <s v=""/>
    <s v=""/>
    <s v=""/>
    <s v=""/>
    <s v=""/>
    <s v=""/>
    <s v=""/>
    <x v="2"/>
  </r>
  <r>
    <x v="5"/>
    <x v="884"/>
    <n v="13"/>
    <m/>
    <x v="4"/>
    <s v=""/>
    <s v=""/>
    <s v=""/>
    <s v=""/>
    <s v=""/>
    <s v=""/>
    <s v=""/>
    <s v=""/>
    <s v=""/>
    <s v=""/>
    <s v=""/>
    <s v=""/>
    <s v=""/>
    <s v=""/>
    <s v=""/>
    <x v="2"/>
  </r>
  <r>
    <x v="5"/>
    <x v="885"/>
    <n v="21"/>
    <n v="1"/>
    <x v="1"/>
    <s v="Cost-benefit analysis"/>
    <s v="A process to study the trade-offs between costs"/>
    <s v="and the benefits realized from those costs."/>
    <s v=""/>
    <s v=""/>
    <s v=""/>
    <s v=""/>
    <s v=""/>
    <s v=""/>
    <s v=""/>
    <s v=""/>
    <s v=""/>
    <s v=""/>
    <s v=""/>
    <s v=""/>
    <x v="174"/>
  </r>
  <r>
    <x v="5"/>
    <x v="886"/>
    <n v="47"/>
    <m/>
    <x v="2"/>
    <s v=""/>
    <s v=""/>
    <s v=""/>
    <s v=""/>
    <s v=""/>
    <s v=""/>
    <s v=""/>
    <s v=""/>
    <s v=""/>
    <s v=""/>
    <s v=""/>
    <s v=""/>
    <s v=""/>
    <s v=""/>
    <s v=""/>
    <x v="2"/>
  </r>
  <r>
    <x v="5"/>
    <x v="887"/>
    <n v="43"/>
    <m/>
    <x v="3"/>
    <s v=""/>
    <s v=""/>
    <s v=""/>
    <s v=""/>
    <s v=""/>
    <s v=""/>
    <s v=""/>
    <s v=""/>
    <s v=""/>
    <s v=""/>
    <s v=""/>
    <s v=""/>
    <s v=""/>
    <s v=""/>
    <s v=""/>
    <x v="2"/>
  </r>
  <r>
    <x v="5"/>
    <x v="888"/>
    <n v="21"/>
    <n v="1"/>
    <x v="1"/>
    <s v="Design of experiments"/>
    <s v="An approach that relies on statistical scenarios to"/>
    <s v="determine what variables within a project will"/>
    <s v="result in the best outcome."/>
    <s v=""/>
    <s v=""/>
    <s v=""/>
    <s v=""/>
    <s v=""/>
    <s v=""/>
    <s v=""/>
    <s v=""/>
    <s v=""/>
    <s v=""/>
    <s v=""/>
    <x v="175"/>
  </r>
  <r>
    <x v="5"/>
    <x v="889"/>
    <n v="51"/>
    <m/>
    <x v="2"/>
    <s v=""/>
    <s v=""/>
    <s v=""/>
    <s v=""/>
    <s v=""/>
    <s v=""/>
    <s v=""/>
    <s v=""/>
    <s v=""/>
    <s v=""/>
    <s v=""/>
    <s v=""/>
    <s v=""/>
    <s v=""/>
    <s v=""/>
    <x v="2"/>
  </r>
  <r>
    <x v="5"/>
    <x v="890"/>
    <n v="46"/>
    <m/>
    <x v="3"/>
    <s v=""/>
    <s v=""/>
    <s v=""/>
    <s v=""/>
    <s v=""/>
    <s v=""/>
    <s v=""/>
    <s v=""/>
    <s v=""/>
    <s v=""/>
    <s v=""/>
    <s v=""/>
    <s v=""/>
    <s v=""/>
    <s v=""/>
    <x v="2"/>
  </r>
  <r>
    <x v="5"/>
    <x v="891"/>
    <n v="27"/>
    <m/>
    <x v="4"/>
    <s v=""/>
    <s v=""/>
    <s v=""/>
    <s v=""/>
    <s v=""/>
    <s v=""/>
    <s v=""/>
    <s v=""/>
    <s v=""/>
    <s v=""/>
    <s v=""/>
    <s v=""/>
    <s v=""/>
    <s v=""/>
    <s v=""/>
    <x v="2"/>
  </r>
  <r>
    <x v="5"/>
    <x v="892"/>
    <n v="11"/>
    <n v="1"/>
    <x v="1"/>
    <s v="External QA"/>
    <s v="Assurance provided to the external customers of"/>
    <s v="the project."/>
    <s v=""/>
    <s v=""/>
    <s v=""/>
    <s v=""/>
    <s v=""/>
    <s v=""/>
    <s v=""/>
    <s v=""/>
    <s v=""/>
    <s v=""/>
    <s v=""/>
    <s v=""/>
    <x v="176"/>
  </r>
  <r>
    <x v="5"/>
    <x v="893"/>
    <n v="47"/>
    <m/>
    <x v="2"/>
    <s v=""/>
    <s v=""/>
    <s v=""/>
    <s v=""/>
    <s v=""/>
    <s v=""/>
    <s v=""/>
    <s v=""/>
    <s v=""/>
    <s v=""/>
    <s v=""/>
    <s v=""/>
    <s v=""/>
    <s v=""/>
    <s v=""/>
    <x v="2"/>
  </r>
  <r>
    <x v="5"/>
    <x v="204"/>
    <n v="12"/>
    <m/>
    <x v="3"/>
    <s v=""/>
    <s v=""/>
    <s v=""/>
    <s v=""/>
    <s v=""/>
    <s v=""/>
    <s v=""/>
    <s v=""/>
    <s v=""/>
    <s v=""/>
    <s v=""/>
    <s v=""/>
    <s v=""/>
    <s v=""/>
    <s v=""/>
    <x v="2"/>
  </r>
  <r>
    <x v="5"/>
    <x v="894"/>
    <n v="9"/>
    <n v="1"/>
    <x v="1"/>
    <s v="Flowchart"/>
    <s v="A diagram illustrating how components within a"/>
    <s v="system are related. Flowcharts show the relation"/>
    <s v="between components, as well as help the project"/>
    <s v="team determine where quality issues may be"/>
    <s v="present and, once done, plan accordingly."/>
    <s v=""/>
    <s v=""/>
    <s v=""/>
    <s v=""/>
    <s v=""/>
    <s v=""/>
    <s v=""/>
    <s v=""/>
    <s v=""/>
    <x v="177"/>
  </r>
  <r>
    <x v="5"/>
    <x v="895"/>
    <n v="46"/>
    <m/>
    <x v="2"/>
    <s v=""/>
    <s v=""/>
    <s v=""/>
    <s v=""/>
    <s v=""/>
    <s v=""/>
    <s v=""/>
    <s v=""/>
    <s v=""/>
    <s v=""/>
    <s v=""/>
    <s v=""/>
    <s v=""/>
    <s v=""/>
    <s v=""/>
    <x v="2"/>
  </r>
  <r>
    <x v="5"/>
    <x v="896"/>
    <n v="48"/>
    <m/>
    <x v="3"/>
    <s v=""/>
    <s v=""/>
    <s v=""/>
    <s v=""/>
    <s v=""/>
    <s v=""/>
    <s v=""/>
    <s v=""/>
    <s v=""/>
    <s v=""/>
    <s v=""/>
    <s v=""/>
    <s v=""/>
    <s v=""/>
    <s v=""/>
    <x v="2"/>
  </r>
  <r>
    <x v="5"/>
    <x v="897"/>
    <n v="47"/>
    <m/>
    <x v="4"/>
    <s v=""/>
    <s v=""/>
    <s v=""/>
    <s v=""/>
    <s v=""/>
    <s v=""/>
    <s v=""/>
    <s v=""/>
    <s v=""/>
    <s v=""/>
    <s v=""/>
    <s v=""/>
    <s v=""/>
    <s v=""/>
    <s v=""/>
    <x v="2"/>
  </r>
  <r>
    <x v="5"/>
    <x v="898"/>
    <n v="42"/>
    <m/>
    <x v="5"/>
    <s v=""/>
    <s v=""/>
    <s v=""/>
    <s v=""/>
    <s v=""/>
    <s v=""/>
    <s v=""/>
    <s v=""/>
    <s v=""/>
    <s v=""/>
    <s v=""/>
    <s v=""/>
    <s v=""/>
    <s v=""/>
    <s v=""/>
    <x v="2"/>
  </r>
  <r>
    <x v="5"/>
    <x v="899"/>
    <n v="41"/>
    <m/>
    <x v="6"/>
    <s v=""/>
    <s v=""/>
    <s v=""/>
    <s v=""/>
    <s v=""/>
    <s v=""/>
    <s v=""/>
    <s v=""/>
    <s v=""/>
    <s v=""/>
    <s v=""/>
    <s v=""/>
    <s v=""/>
    <s v=""/>
    <s v=""/>
    <x v="2"/>
  </r>
  <r>
    <x v="5"/>
    <x v="900"/>
    <n v="11"/>
    <n v="1"/>
    <x v="1"/>
    <s v="Internal QA"/>
    <s v="Assurance provided to management and the"/>
    <s v="project team."/>
    <s v=""/>
    <s v=""/>
    <s v=""/>
    <s v=""/>
    <s v=""/>
    <s v=""/>
    <s v=""/>
    <s v=""/>
    <s v=""/>
    <s v=""/>
    <s v=""/>
    <s v=""/>
    <x v="178"/>
  </r>
  <r>
    <x v="5"/>
    <x v="901"/>
    <n v="40"/>
    <m/>
    <x v="2"/>
    <s v=""/>
    <s v=""/>
    <s v=""/>
    <s v=""/>
    <s v=""/>
    <s v=""/>
    <s v=""/>
    <s v=""/>
    <s v=""/>
    <s v=""/>
    <s v=""/>
    <s v=""/>
    <s v=""/>
    <s v=""/>
    <s v=""/>
    <x v="2"/>
  </r>
  <r>
    <x v="5"/>
    <x v="133"/>
    <n v="13"/>
    <m/>
    <x v="3"/>
    <s v=""/>
    <s v=""/>
    <s v=""/>
    <s v=""/>
    <s v=""/>
    <s v=""/>
    <s v=""/>
    <s v=""/>
    <s v=""/>
    <s v=""/>
    <s v=""/>
    <s v=""/>
    <s v=""/>
    <s v=""/>
    <s v=""/>
    <x v="2"/>
  </r>
  <r>
    <x v="5"/>
    <x v="902"/>
    <n v="3"/>
    <n v="1"/>
    <x v="1"/>
    <s v="ISO"/>
    <s v="The abbreviation for the International"/>
    <s v="Organization for Standardization. ISO is Greek for"/>
    <s v="“equal,” while “International Organization for"/>
    <s v="Standardization” in a different language would"/>
    <s v="be abbreviated differently. The organization"/>
    <s v="elected to use “ISO” for all languages."/>
    <s v=""/>
    <s v=""/>
    <s v=""/>
    <s v=""/>
    <s v=""/>
    <s v=""/>
    <s v=""/>
    <s v=""/>
    <x v="179"/>
  </r>
  <r>
    <x v="5"/>
    <x v="903"/>
    <n v="38"/>
    <m/>
    <x v="2"/>
    <s v=""/>
    <s v=""/>
    <s v=""/>
    <s v=""/>
    <s v=""/>
    <s v=""/>
    <s v=""/>
    <s v=""/>
    <s v=""/>
    <s v=""/>
    <s v=""/>
    <s v=""/>
    <s v=""/>
    <s v=""/>
    <s v=""/>
    <x v="2"/>
  </r>
  <r>
    <x v="5"/>
    <x v="904"/>
    <n v="50"/>
    <m/>
    <x v="3"/>
    <s v=""/>
    <s v=""/>
    <s v=""/>
    <s v=""/>
    <s v=""/>
    <s v=""/>
    <s v=""/>
    <s v=""/>
    <s v=""/>
    <s v=""/>
    <s v=""/>
    <s v=""/>
    <s v=""/>
    <s v=""/>
    <s v=""/>
    <x v="2"/>
  </r>
  <r>
    <x v="5"/>
    <x v="905"/>
    <n v="46"/>
    <m/>
    <x v="4"/>
    <s v=""/>
    <s v=""/>
    <s v=""/>
    <s v=""/>
    <s v=""/>
    <s v=""/>
    <s v=""/>
    <s v=""/>
    <s v=""/>
    <s v=""/>
    <s v=""/>
    <s v=""/>
    <s v=""/>
    <s v=""/>
    <s v=""/>
    <x v="2"/>
  </r>
  <r>
    <x v="5"/>
    <x v="906"/>
    <n v="46"/>
    <m/>
    <x v="5"/>
    <s v=""/>
    <s v=""/>
    <s v=""/>
    <s v=""/>
    <s v=""/>
    <s v=""/>
    <s v=""/>
    <s v=""/>
    <s v=""/>
    <s v=""/>
    <s v=""/>
    <s v=""/>
    <s v=""/>
    <s v=""/>
    <s v=""/>
    <x v="2"/>
  </r>
  <r>
    <x v="5"/>
    <x v="907"/>
    <n v="44"/>
    <m/>
    <x v="6"/>
    <s v=""/>
    <s v=""/>
    <s v=""/>
    <s v=""/>
    <s v=""/>
    <s v=""/>
    <s v=""/>
    <s v=""/>
    <s v=""/>
    <s v=""/>
    <s v=""/>
    <s v=""/>
    <s v=""/>
    <s v=""/>
    <s v=""/>
    <x v="2"/>
  </r>
  <r>
    <x v="5"/>
    <x v="908"/>
    <n v="39"/>
    <m/>
    <x v="7"/>
    <s v=""/>
    <s v=""/>
    <s v=""/>
    <s v=""/>
    <s v=""/>
    <s v=""/>
    <s v=""/>
    <s v=""/>
    <s v=""/>
    <s v=""/>
    <s v=""/>
    <s v=""/>
    <s v=""/>
    <s v=""/>
    <s v=""/>
    <x v="2"/>
  </r>
  <r>
    <x v="5"/>
    <x v="909"/>
    <n v="14"/>
    <n v="1"/>
    <x v="1"/>
    <s v="Matrix diagram"/>
    <s v="A data analysis table that shows the strength"/>
    <s v="between variables and relationships in the"/>
    <s v="matrix."/>
    <s v=""/>
    <s v=""/>
    <s v=""/>
    <s v=""/>
    <s v=""/>
    <s v=""/>
    <s v=""/>
    <s v=""/>
    <s v=""/>
    <s v=""/>
    <s v=""/>
    <x v="180"/>
  </r>
  <r>
    <x v="5"/>
    <x v="910"/>
    <n v="45"/>
    <m/>
    <x v="2"/>
    <s v=""/>
    <s v=""/>
    <s v=""/>
    <s v=""/>
    <s v=""/>
    <s v=""/>
    <s v=""/>
    <s v=""/>
    <s v=""/>
    <s v=""/>
    <s v=""/>
    <s v=""/>
    <s v=""/>
    <s v=""/>
    <s v=""/>
    <x v="2"/>
  </r>
  <r>
    <x v="5"/>
    <x v="911"/>
    <n v="42"/>
    <m/>
    <x v="3"/>
    <s v=""/>
    <s v=""/>
    <s v=""/>
    <s v=""/>
    <s v=""/>
    <s v=""/>
    <s v=""/>
    <s v=""/>
    <s v=""/>
    <s v=""/>
    <s v=""/>
    <s v=""/>
    <s v=""/>
    <s v=""/>
    <s v=""/>
    <x v="2"/>
  </r>
  <r>
    <x v="5"/>
    <x v="912"/>
    <n v="7"/>
    <m/>
    <x v="4"/>
    <s v=""/>
    <s v=""/>
    <s v=""/>
    <s v=""/>
    <s v=""/>
    <s v=""/>
    <s v=""/>
    <s v=""/>
    <s v=""/>
    <s v=""/>
    <s v=""/>
    <s v=""/>
    <s v=""/>
    <s v=""/>
    <s v=""/>
    <x v="2"/>
  </r>
  <r>
    <x v="5"/>
    <x v="913"/>
    <n v="14"/>
    <n v="1"/>
    <x v="1"/>
    <s v="Pareto diagram"/>
    <s v="A histogram that illustrates and ranks categories"/>
    <s v="of failure within a project."/>
    <s v=""/>
    <s v=""/>
    <s v=""/>
    <s v=""/>
    <s v=""/>
    <s v=""/>
    <s v=""/>
    <s v=""/>
    <s v=""/>
    <s v=""/>
    <s v=""/>
    <s v=""/>
    <x v="181"/>
  </r>
  <r>
    <x v="5"/>
    <x v="914"/>
    <n v="49"/>
    <m/>
    <x v="2"/>
    <s v=""/>
    <s v=""/>
    <s v=""/>
    <s v=""/>
    <s v=""/>
    <s v=""/>
    <s v=""/>
    <s v=""/>
    <s v=""/>
    <s v=""/>
    <s v=""/>
    <s v=""/>
    <s v=""/>
    <s v=""/>
    <s v=""/>
    <x v="2"/>
  </r>
  <r>
    <x v="5"/>
    <x v="915"/>
    <n v="28"/>
    <m/>
    <x v="3"/>
    <s v=""/>
    <s v=""/>
    <s v=""/>
    <s v=""/>
    <s v=""/>
    <s v=""/>
    <s v=""/>
    <s v=""/>
    <s v=""/>
    <s v=""/>
    <s v=""/>
    <s v=""/>
    <s v=""/>
    <s v=""/>
    <s v=""/>
    <x v="2"/>
  </r>
  <r>
    <x v="5"/>
    <x v="916"/>
    <n v="7"/>
    <n v="1"/>
    <x v="1"/>
    <s v="Quality"/>
    <s v="According to ASQ, the degree to which a set of"/>
    <s v="inherent characteristics fulfills requirements."/>
    <s v=""/>
    <s v=""/>
    <s v=""/>
    <s v=""/>
    <s v=""/>
    <s v=""/>
    <s v=""/>
    <s v=""/>
    <s v=""/>
    <s v=""/>
    <s v=""/>
    <s v=""/>
    <x v="182"/>
  </r>
  <r>
    <x v="5"/>
    <x v="917"/>
    <n v="46"/>
    <m/>
    <x v="2"/>
    <s v=""/>
    <s v=""/>
    <s v=""/>
    <s v=""/>
    <s v=""/>
    <s v=""/>
    <s v=""/>
    <s v=""/>
    <s v=""/>
    <s v=""/>
    <s v=""/>
    <s v=""/>
    <s v=""/>
    <s v=""/>
    <s v=""/>
    <x v="2"/>
  </r>
  <r>
    <x v="5"/>
    <x v="918"/>
    <n v="47"/>
    <m/>
    <x v="3"/>
    <s v=""/>
    <s v=""/>
    <s v=""/>
    <s v=""/>
    <s v=""/>
    <s v=""/>
    <s v=""/>
    <s v=""/>
    <s v=""/>
    <s v=""/>
    <s v=""/>
    <s v=""/>
    <s v=""/>
    <s v=""/>
    <s v=""/>
    <x v="2"/>
  </r>
  <r>
    <x v="5"/>
    <x v="919"/>
    <n v="17"/>
    <n v="1"/>
    <x v="1"/>
    <s v="Quality assurance"/>
    <s v="A management process that defines the quality"/>
    <s v="system or quality policy that a project must"/>
    <s v="adhere to. QA aims to plan quality into the"/>
    <s v="project rather than to inspect quality into a"/>
    <s v="deliverable."/>
    <s v=""/>
    <s v=""/>
    <s v=""/>
    <s v=""/>
    <s v=""/>
    <s v=""/>
    <s v=""/>
    <s v=""/>
    <s v=""/>
    <x v="183"/>
  </r>
  <r>
    <x v="5"/>
    <x v="920"/>
    <n v="45"/>
    <m/>
    <x v="2"/>
    <s v=""/>
    <s v=""/>
    <s v=""/>
    <s v=""/>
    <s v=""/>
    <s v=""/>
    <s v=""/>
    <s v=""/>
    <s v=""/>
    <s v=""/>
    <s v=""/>
    <s v=""/>
    <s v=""/>
    <s v=""/>
    <s v=""/>
    <x v="2"/>
  </r>
  <r>
    <x v="5"/>
    <x v="921"/>
    <n v="44"/>
    <m/>
    <x v="3"/>
    <s v=""/>
    <s v=""/>
    <s v=""/>
    <s v=""/>
    <s v=""/>
    <s v=""/>
    <s v=""/>
    <s v=""/>
    <s v=""/>
    <s v=""/>
    <s v=""/>
    <s v=""/>
    <s v=""/>
    <s v=""/>
    <s v=""/>
    <x v="2"/>
  </r>
  <r>
    <x v="5"/>
    <x v="922"/>
    <n v="43"/>
    <m/>
    <x v="4"/>
    <s v=""/>
    <s v=""/>
    <s v=""/>
    <s v=""/>
    <s v=""/>
    <s v=""/>
    <s v=""/>
    <s v=""/>
    <s v=""/>
    <s v=""/>
    <s v=""/>
    <s v=""/>
    <s v=""/>
    <s v=""/>
    <s v=""/>
    <x v="2"/>
  </r>
  <r>
    <x v="5"/>
    <x v="923"/>
    <n v="45"/>
    <m/>
    <x v="5"/>
    <s v=""/>
    <s v=""/>
    <s v=""/>
    <s v=""/>
    <s v=""/>
    <s v=""/>
    <s v=""/>
    <s v=""/>
    <s v=""/>
    <s v=""/>
    <s v=""/>
    <s v=""/>
    <s v=""/>
    <s v=""/>
    <s v=""/>
    <x v="2"/>
  </r>
  <r>
    <x v="5"/>
    <x v="326"/>
    <n v="12"/>
    <m/>
    <x v="6"/>
    <s v=""/>
    <s v=""/>
    <s v=""/>
    <s v=""/>
    <s v=""/>
    <s v=""/>
    <s v=""/>
    <s v=""/>
    <s v=""/>
    <s v=""/>
    <s v=""/>
    <s v=""/>
    <s v=""/>
    <s v=""/>
    <s v=""/>
    <x v="2"/>
  </r>
  <r>
    <x v="5"/>
    <x v="327"/>
    <n v="23"/>
    <n v="1"/>
    <x v="1"/>
    <s v="Quality management plan"/>
    <s v="This plan defines how the project team will"/>
    <s v="implement and fulfill the quality policy of the"/>
    <s v="performing organization."/>
    <s v=""/>
    <s v=""/>
    <s v=""/>
    <s v=""/>
    <s v=""/>
    <s v=""/>
    <s v=""/>
    <s v=""/>
    <s v=""/>
    <s v=""/>
    <s v=""/>
    <x v="184"/>
  </r>
  <r>
    <x v="5"/>
    <x v="924"/>
    <n v="43"/>
    <m/>
    <x v="2"/>
    <s v=""/>
    <s v=""/>
    <s v=""/>
    <s v=""/>
    <s v=""/>
    <s v=""/>
    <s v=""/>
    <s v=""/>
    <s v=""/>
    <s v=""/>
    <s v=""/>
    <s v=""/>
    <s v=""/>
    <s v=""/>
    <s v=""/>
    <x v="2"/>
  </r>
  <r>
    <x v="5"/>
    <x v="925"/>
    <n v="47"/>
    <m/>
    <x v="3"/>
    <s v=""/>
    <s v=""/>
    <s v=""/>
    <s v=""/>
    <s v=""/>
    <s v=""/>
    <s v=""/>
    <s v=""/>
    <s v=""/>
    <s v=""/>
    <s v=""/>
    <s v=""/>
    <s v=""/>
    <s v=""/>
    <s v=""/>
    <x v="2"/>
  </r>
  <r>
    <x v="5"/>
    <x v="227"/>
    <n v="24"/>
    <m/>
    <x v="4"/>
    <s v=""/>
    <s v=""/>
    <s v=""/>
    <s v=""/>
    <s v=""/>
    <s v=""/>
    <s v=""/>
    <s v=""/>
    <s v=""/>
    <s v=""/>
    <s v=""/>
    <s v=""/>
    <s v=""/>
    <s v=""/>
    <s v=""/>
    <x v="2"/>
  </r>
  <r>
    <x v="5"/>
    <x v="926"/>
    <n v="15"/>
    <n v="1"/>
    <x v="1"/>
    <s v="Quality metrics"/>
    <s v="The operational definitions that specify the"/>
    <s v="measurements within a project and the expected"/>
    <s v="targets for quality and performance."/>
    <s v=""/>
    <s v=""/>
    <s v=""/>
    <s v=""/>
    <s v=""/>
    <s v=""/>
    <s v=""/>
    <s v=""/>
    <s v=""/>
    <s v=""/>
    <s v=""/>
    <x v="185"/>
  </r>
  <r>
    <x v="5"/>
    <x v="927"/>
    <n v="44"/>
    <m/>
    <x v="2"/>
    <s v=""/>
    <s v=""/>
    <s v=""/>
    <s v=""/>
    <s v=""/>
    <s v=""/>
    <s v=""/>
    <s v=""/>
    <s v=""/>
    <s v=""/>
    <s v=""/>
    <s v=""/>
    <s v=""/>
    <s v=""/>
    <s v=""/>
    <x v="2"/>
  </r>
  <r>
    <x v="5"/>
    <x v="928"/>
    <n v="46"/>
    <m/>
    <x v="3"/>
    <s v=""/>
    <s v=""/>
    <s v=""/>
    <s v=""/>
    <s v=""/>
    <s v=""/>
    <s v=""/>
    <s v=""/>
    <s v=""/>
    <s v=""/>
    <s v=""/>
    <s v=""/>
    <s v=""/>
    <s v=""/>
    <s v=""/>
    <x v="2"/>
  </r>
  <r>
    <x v="5"/>
    <x v="929"/>
    <n v="36"/>
    <m/>
    <x v="4"/>
    <s v=""/>
    <s v=""/>
    <s v=""/>
    <s v=""/>
    <s v=""/>
    <s v=""/>
    <s v=""/>
    <s v=""/>
    <s v=""/>
    <s v=""/>
    <s v=""/>
    <s v=""/>
    <s v=""/>
    <s v=""/>
    <s v=""/>
    <x v="2"/>
  </r>
  <r>
    <x v="5"/>
    <x v="930"/>
    <n v="16"/>
    <n v="1"/>
    <x v="1"/>
    <s v="Quality planning"/>
    <s v="The process of first determining which quality"/>
    <s v="standards are relevant to your project and then"/>
    <s v="finding out the best methods of adhering to"/>
    <s v="those quality standards."/>
    <s v=""/>
    <s v=""/>
    <s v=""/>
    <s v=""/>
    <s v=""/>
    <s v=""/>
    <s v=""/>
    <s v=""/>
    <s v=""/>
    <s v=""/>
    <x v="186"/>
  </r>
  <r>
    <x v="5"/>
    <x v="931"/>
    <n v="46"/>
    <m/>
    <x v="2"/>
    <s v=""/>
    <s v=""/>
    <s v=""/>
    <s v=""/>
    <s v=""/>
    <s v=""/>
    <s v=""/>
    <s v=""/>
    <s v=""/>
    <s v=""/>
    <s v=""/>
    <s v=""/>
    <s v=""/>
    <s v=""/>
    <s v=""/>
    <x v="2"/>
  </r>
  <r>
    <x v="5"/>
    <x v="932"/>
    <n v="47"/>
    <m/>
    <x v="3"/>
    <s v=""/>
    <s v=""/>
    <s v=""/>
    <s v=""/>
    <s v=""/>
    <s v=""/>
    <s v=""/>
    <s v=""/>
    <s v=""/>
    <s v=""/>
    <s v=""/>
    <s v=""/>
    <s v=""/>
    <s v=""/>
    <s v=""/>
    <x v="2"/>
  </r>
  <r>
    <x v="5"/>
    <x v="933"/>
    <n v="43"/>
    <m/>
    <x v="4"/>
    <s v=""/>
    <s v=""/>
    <s v=""/>
    <s v=""/>
    <s v=""/>
    <s v=""/>
    <s v=""/>
    <s v=""/>
    <s v=""/>
    <s v=""/>
    <s v=""/>
    <s v=""/>
    <s v=""/>
    <s v=""/>
    <s v=""/>
    <x v="2"/>
  </r>
  <r>
    <x v="5"/>
    <x v="934"/>
    <n v="24"/>
    <m/>
    <x v="5"/>
    <s v=""/>
    <s v=""/>
    <s v=""/>
    <s v=""/>
    <s v=""/>
    <s v=""/>
    <s v=""/>
    <s v=""/>
    <s v=""/>
    <s v=""/>
    <s v=""/>
    <s v=""/>
    <s v=""/>
    <s v=""/>
    <s v=""/>
    <x v="2"/>
  </r>
  <r>
    <x v="5"/>
    <x v="935"/>
    <n v="13"/>
    <n v="1"/>
    <x v="1"/>
    <s v="Rule of Seven"/>
    <s v="A component of a control chart that illustrates"/>
    <s v="the results of seven measurements on one side"/>
    <s v="of the mean, which is considered “out of control”"/>
    <s v="in the project."/>
    <s v=""/>
    <s v=""/>
    <s v=""/>
    <s v=""/>
    <s v=""/>
    <s v=""/>
    <s v=""/>
    <s v=""/>
    <s v=""/>
    <s v=""/>
    <x v="187"/>
  </r>
  <r>
    <x v="5"/>
    <x v="936"/>
    <n v="47"/>
    <m/>
    <x v="2"/>
    <s v=""/>
    <s v=""/>
    <s v=""/>
    <s v=""/>
    <s v=""/>
    <s v=""/>
    <s v=""/>
    <s v=""/>
    <s v=""/>
    <s v=""/>
    <s v=""/>
    <s v=""/>
    <s v=""/>
    <s v=""/>
    <s v=""/>
    <x v="2"/>
  </r>
  <r>
    <x v="5"/>
    <x v="937"/>
    <n v="45"/>
    <m/>
    <x v="3"/>
    <s v=""/>
    <s v=""/>
    <s v=""/>
    <s v=""/>
    <s v=""/>
    <s v=""/>
    <s v=""/>
    <s v=""/>
    <s v=""/>
    <s v=""/>
    <s v=""/>
    <s v=""/>
    <s v=""/>
    <s v=""/>
    <s v=""/>
    <x v="2"/>
  </r>
  <r>
    <x v="5"/>
    <x v="938"/>
    <n v="49"/>
    <m/>
    <x v="4"/>
    <s v=""/>
    <s v=""/>
    <s v=""/>
    <s v=""/>
    <s v=""/>
    <s v=""/>
    <s v=""/>
    <s v=""/>
    <s v=""/>
    <s v=""/>
    <s v=""/>
    <s v=""/>
    <s v=""/>
    <s v=""/>
    <s v=""/>
    <x v="2"/>
  </r>
  <r>
    <x v="5"/>
    <x v="939"/>
    <n v="15"/>
    <m/>
    <x v="5"/>
    <s v=""/>
    <s v=""/>
    <s v=""/>
    <s v=""/>
    <s v=""/>
    <s v=""/>
    <s v=""/>
    <s v=""/>
    <s v=""/>
    <s v=""/>
    <s v=""/>
    <s v=""/>
    <s v=""/>
    <s v=""/>
    <s v=""/>
    <x v="2"/>
  </r>
  <r>
    <x v="5"/>
    <x v="940"/>
    <n v="9"/>
    <n v="1"/>
    <x v="1"/>
    <s v="Run chart"/>
    <s v="A quality control tool that shows the results of"/>
    <s v="inspection in the order in which they’ve"/>
    <s v="occurred. The goal of a run chart is first to"/>
    <s v="demonstrate the results of a process over time"/>
    <s v="and then to use trend analysis to predict when"/>
    <s v="certain trends may reemerge."/>
    <s v=""/>
    <s v=""/>
    <s v=""/>
    <s v=""/>
    <s v=""/>
    <s v=""/>
    <s v=""/>
    <s v=""/>
    <x v="188"/>
  </r>
  <r>
    <x v="5"/>
    <x v="941"/>
    <n v="48"/>
    <m/>
    <x v="2"/>
    <s v=""/>
    <s v=""/>
    <s v=""/>
    <s v=""/>
    <s v=""/>
    <s v=""/>
    <s v=""/>
    <s v=""/>
    <s v=""/>
    <s v=""/>
    <s v=""/>
    <s v=""/>
    <s v=""/>
    <s v=""/>
    <s v=""/>
    <x v="2"/>
  </r>
  <r>
    <x v="5"/>
    <x v="942"/>
    <n v="40"/>
    <m/>
    <x v="3"/>
    <s v=""/>
    <s v=""/>
    <s v=""/>
    <s v=""/>
    <s v=""/>
    <s v=""/>
    <s v=""/>
    <s v=""/>
    <s v=""/>
    <s v=""/>
    <s v=""/>
    <s v=""/>
    <s v=""/>
    <s v=""/>
    <s v=""/>
    <x v="2"/>
  </r>
  <r>
    <x v="5"/>
    <x v="943"/>
    <n v="45"/>
    <m/>
    <x v="4"/>
    <s v=""/>
    <s v=""/>
    <s v=""/>
    <s v=""/>
    <s v=""/>
    <s v=""/>
    <s v=""/>
    <s v=""/>
    <s v=""/>
    <s v=""/>
    <s v=""/>
    <s v=""/>
    <s v=""/>
    <s v=""/>
    <s v=""/>
    <x v="2"/>
  </r>
  <r>
    <x v="5"/>
    <x v="944"/>
    <n v="46"/>
    <m/>
    <x v="5"/>
    <s v=""/>
    <s v=""/>
    <s v=""/>
    <s v=""/>
    <s v=""/>
    <s v=""/>
    <s v=""/>
    <s v=""/>
    <s v=""/>
    <s v=""/>
    <s v=""/>
    <s v=""/>
    <s v=""/>
    <s v=""/>
    <s v=""/>
    <x v="2"/>
  </r>
  <r>
    <x v="5"/>
    <x v="945"/>
    <n v="46"/>
    <m/>
    <x v="6"/>
    <s v=""/>
    <s v=""/>
    <s v=""/>
    <s v=""/>
    <s v=""/>
    <s v=""/>
    <s v=""/>
    <s v=""/>
    <s v=""/>
    <s v=""/>
    <s v=""/>
    <s v=""/>
    <s v=""/>
    <s v=""/>
    <s v=""/>
    <x v="2"/>
  </r>
  <r>
    <x v="5"/>
    <x v="946"/>
    <n v="28"/>
    <m/>
    <x v="7"/>
    <s v=""/>
    <s v=""/>
    <s v=""/>
    <s v=""/>
    <s v=""/>
    <s v=""/>
    <s v=""/>
    <s v=""/>
    <s v=""/>
    <s v=""/>
    <s v=""/>
    <s v=""/>
    <s v=""/>
    <s v=""/>
    <s v=""/>
    <x v="2"/>
  </r>
  <r>
    <x v="5"/>
    <x v="947"/>
    <n v="15"/>
    <n v="1"/>
    <x v="1"/>
    <s v="Scatter diagram"/>
    <s v="A quality control tool that tracks the relationship"/>
    <s v="between two variables over time. The two"/>
    <s v="variables are considered related the closer they"/>
    <s v="track against a diagonal line."/>
    <s v=""/>
    <s v=""/>
    <s v=""/>
    <s v=""/>
    <s v=""/>
    <s v=""/>
    <s v=""/>
    <s v=""/>
    <s v=""/>
    <s v=""/>
    <x v="189"/>
  </r>
  <r>
    <x v="5"/>
    <x v="948"/>
    <n v="51"/>
    <m/>
    <x v="2"/>
    <s v=""/>
    <s v=""/>
    <s v=""/>
    <s v=""/>
    <s v=""/>
    <s v=""/>
    <s v=""/>
    <s v=""/>
    <s v=""/>
    <s v=""/>
    <s v=""/>
    <s v=""/>
    <s v=""/>
    <s v=""/>
    <s v=""/>
    <x v="2"/>
  </r>
  <r>
    <x v="5"/>
    <x v="949"/>
    <n v="40"/>
    <m/>
    <x v="3"/>
    <s v=""/>
    <s v=""/>
    <s v=""/>
    <s v=""/>
    <s v=""/>
    <s v=""/>
    <s v=""/>
    <s v=""/>
    <s v=""/>
    <s v=""/>
    <s v=""/>
    <s v=""/>
    <s v=""/>
    <s v=""/>
    <s v=""/>
    <x v="2"/>
  </r>
  <r>
    <x v="5"/>
    <x v="950"/>
    <n v="48"/>
    <m/>
    <x v="4"/>
    <s v=""/>
    <s v=""/>
    <s v=""/>
    <s v=""/>
    <s v=""/>
    <s v=""/>
    <s v=""/>
    <s v=""/>
    <s v=""/>
    <s v=""/>
    <s v=""/>
    <s v=""/>
    <s v=""/>
    <s v=""/>
    <s v=""/>
    <x v="2"/>
  </r>
  <r>
    <x v="5"/>
    <x v="951"/>
    <n v="30"/>
    <m/>
    <x v="5"/>
    <s v=""/>
    <s v=""/>
    <s v=""/>
    <s v=""/>
    <s v=""/>
    <s v=""/>
    <s v=""/>
    <s v=""/>
    <s v=""/>
    <s v=""/>
    <s v=""/>
    <s v=""/>
    <s v=""/>
    <s v=""/>
    <s v=""/>
    <x v="2"/>
  </r>
  <r>
    <x v="5"/>
    <x v="952"/>
    <n v="25"/>
    <n v="1"/>
    <x v="1"/>
    <s v="Seven basic quality tools"/>
    <s v="These seven tools are used in quality planning"/>
    <s v="and in quality control: cause-and-effect diagrams,"/>
    <s v="flowcharts, check sheets, Pareto diagrams,"/>
    <s v="histograms, control charts, and scatter diagrams."/>
    <s v=""/>
    <s v=""/>
    <s v=""/>
    <s v=""/>
    <s v=""/>
    <s v=""/>
    <s v=""/>
    <s v=""/>
    <s v=""/>
    <s v=""/>
    <x v="190"/>
  </r>
  <r>
    <x v="5"/>
    <x v="953"/>
    <n v="46"/>
    <m/>
    <x v="2"/>
    <s v=""/>
    <s v=""/>
    <s v=""/>
    <s v=""/>
    <s v=""/>
    <s v=""/>
    <s v=""/>
    <s v=""/>
    <s v=""/>
    <s v=""/>
    <s v=""/>
    <s v=""/>
    <s v=""/>
    <s v=""/>
    <s v=""/>
    <x v="2"/>
  </r>
  <r>
    <x v="5"/>
    <x v="954"/>
    <n v="50"/>
    <m/>
    <x v="3"/>
    <s v=""/>
    <s v=""/>
    <s v=""/>
    <s v=""/>
    <s v=""/>
    <s v=""/>
    <s v=""/>
    <s v=""/>
    <s v=""/>
    <s v=""/>
    <s v=""/>
    <s v=""/>
    <s v=""/>
    <s v=""/>
    <s v=""/>
    <x v="2"/>
  </r>
  <r>
    <x v="5"/>
    <x v="955"/>
    <n v="42"/>
    <m/>
    <x v="4"/>
    <s v=""/>
    <s v=""/>
    <s v=""/>
    <s v=""/>
    <s v=""/>
    <s v=""/>
    <s v=""/>
    <s v=""/>
    <s v=""/>
    <s v=""/>
    <s v=""/>
    <s v=""/>
    <s v=""/>
    <s v=""/>
    <s v=""/>
    <x v="2"/>
  </r>
  <r>
    <x v="5"/>
    <x v="956"/>
    <n v="49"/>
    <m/>
    <x v="5"/>
    <s v=""/>
    <s v=""/>
    <s v=""/>
    <s v=""/>
    <s v=""/>
    <s v=""/>
    <s v=""/>
    <s v=""/>
    <s v=""/>
    <s v=""/>
    <s v=""/>
    <s v=""/>
    <s v=""/>
    <s v=""/>
    <s v=""/>
    <x v="2"/>
  </r>
  <r>
    <x v="5"/>
    <x v="957"/>
    <n v="20"/>
    <n v="1"/>
    <x v="1"/>
    <s v="Statistical sampling"/>
    <s v="A process of choosing a percentage of results at"/>
    <s v="random. For example, a project creating a"/>
    <s v="medical device may have 20 percent of all units"/>
    <s v="randomly selected to check for quality."/>
    <s v=""/>
    <s v=""/>
    <s v=""/>
    <s v=""/>
    <s v=""/>
    <s v=""/>
    <s v=""/>
    <s v=""/>
    <s v=""/>
    <s v=""/>
    <x v="191"/>
  </r>
  <r>
    <x v="5"/>
    <x v="958"/>
    <n v="48"/>
    <m/>
    <x v="2"/>
    <s v=""/>
    <s v=""/>
    <s v=""/>
    <s v=""/>
    <s v=""/>
    <s v=""/>
    <s v=""/>
    <s v=""/>
    <s v=""/>
    <s v=""/>
    <s v=""/>
    <s v=""/>
    <s v=""/>
    <s v=""/>
    <s v=""/>
    <x v="2"/>
  </r>
  <r>
    <x v="5"/>
    <x v="959"/>
    <n v="41"/>
    <m/>
    <x v="3"/>
    <s v=""/>
    <s v=""/>
    <s v=""/>
    <s v=""/>
    <s v=""/>
    <s v=""/>
    <s v=""/>
    <s v=""/>
    <s v=""/>
    <s v=""/>
    <s v=""/>
    <s v=""/>
    <s v=""/>
    <s v=""/>
    <s v=""/>
    <x v="2"/>
  </r>
  <r>
    <x v="5"/>
    <x v="960"/>
    <n v="47"/>
    <m/>
    <x v="4"/>
    <s v=""/>
    <s v=""/>
    <s v=""/>
    <s v=""/>
    <s v=""/>
    <s v=""/>
    <s v=""/>
    <s v=""/>
    <s v=""/>
    <s v=""/>
    <s v=""/>
    <s v=""/>
    <s v=""/>
    <s v=""/>
    <s v=""/>
    <x v="2"/>
  </r>
  <r>
    <x v="5"/>
    <x v="961"/>
    <n v="39"/>
    <m/>
    <x v="5"/>
    <s v=""/>
    <s v=""/>
    <s v=""/>
    <s v=""/>
    <s v=""/>
    <s v=""/>
    <s v=""/>
    <s v=""/>
    <s v=""/>
    <s v=""/>
    <s v=""/>
    <s v=""/>
    <s v=""/>
    <s v=""/>
    <s v=""/>
    <x v="2"/>
  </r>
  <r>
    <x v="5"/>
    <x v="962"/>
    <n v="28"/>
    <n v="1"/>
    <x v="1"/>
    <s v="System or process flowcharts"/>
    <s v="Flowcharts that illustrate the flow of a process"/>
    <s v="through a system, such as a project change"/>
    <s v="request through the change control system, or"/>
    <s v="work authorization through a quality control"/>
    <s v="process."/>
    <s v=""/>
    <s v=""/>
    <s v=""/>
    <s v=""/>
    <s v=""/>
    <s v=""/>
    <s v=""/>
    <s v=""/>
    <s v=""/>
    <x v="192"/>
  </r>
  <r>
    <x v="5"/>
    <x v="963"/>
    <n v="48"/>
    <m/>
    <x v="2"/>
    <s v=""/>
    <s v=""/>
    <s v=""/>
    <s v=""/>
    <s v=""/>
    <s v=""/>
    <s v=""/>
    <s v=""/>
    <s v=""/>
    <s v=""/>
    <s v=""/>
    <s v=""/>
    <s v=""/>
    <s v=""/>
    <s v=""/>
    <x v="2"/>
  </r>
  <r>
    <x v="5"/>
    <x v="964"/>
    <n v="42"/>
    <m/>
    <x v="3"/>
    <s v=""/>
    <s v=""/>
    <s v=""/>
    <s v=""/>
    <s v=""/>
    <s v=""/>
    <s v=""/>
    <s v=""/>
    <s v=""/>
    <s v=""/>
    <s v=""/>
    <s v=""/>
    <s v=""/>
    <s v=""/>
    <s v=""/>
    <x v="2"/>
  </r>
  <r>
    <x v="5"/>
    <x v="965"/>
    <n v="45"/>
    <m/>
    <x v="4"/>
    <s v=""/>
    <s v=""/>
    <s v=""/>
    <s v=""/>
    <s v=""/>
    <s v=""/>
    <s v=""/>
    <s v=""/>
    <s v=""/>
    <s v=""/>
    <s v=""/>
    <s v=""/>
    <s v=""/>
    <s v=""/>
    <s v=""/>
    <x v="2"/>
  </r>
  <r>
    <x v="5"/>
    <x v="966"/>
    <n v="44"/>
    <m/>
    <x v="5"/>
    <s v=""/>
    <s v=""/>
    <s v=""/>
    <s v=""/>
    <s v=""/>
    <s v=""/>
    <s v=""/>
    <s v=""/>
    <s v=""/>
    <s v=""/>
    <s v=""/>
    <s v=""/>
    <s v=""/>
    <s v=""/>
    <s v=""/>
    <x v="2"/>
  </r>
  <r>
    <x v="5"/>
    <x v="967"/>
    <n v="8"/>
    <m/>
    <x v="6"/>
    <s v=""/>
    <s v=""/>
    <s v=""/>
    <s v=""/>
    <s v=""/>
    <s v=""/>
    <s v=""/>
    <s v=""/>
    <s v=""/>
    <s v=""/>
    <s v=""/>
    <s v=""/>
    <s v=""/>
    <s v=""/>
    <s v=""/>
    <x v="2"/>
  </r>
  <r>
    <x v="5"/>
    <x v="968"/>
    <n v="12"/>
    <n v="1"/>
    <x v="1"/>
    <s v="Tree diagram"/>
    <s v="Tree diagrams show the hierarchies and"/>
    <s v="decomposition of a solution, an organization, or a"/>
    <s v="project team. The WBS and an org chart are"/>
    <s v="examples of tree diagrams."/>
    <s v=""/>
    <s v=""/>
    <s v=""/>
    <s v=""/>
    <s v=""/>
    <s v=""/>
    <s v=""/>
    <s v=""/>
    <s v=""/>
    <s v=""/>
    <x v="193"/>
  </r>
  <r>
    <x v="5"/>
    <x v="969"/>
    <n v="38"/>
    <m/>
    <x v="2"/>
    <s v=""/>
    <s v=""/>
    <s v=""/>
    <s v=""/>
    <s v=""/>
    <s v=""/>
    <s v=""/>
    <s v=""/>
    <s v=""/>
    <s v=""/>
    <s v=""/>
    <s v=""/>
    <s v=""/>
    <s v=""/>
    <s v=""/>
    <x v="2"/>
  </r>
  <r>
    <x v="5"/>
    <x v="970"/>
    <n v="50"/>
    <m/>
    <x v="3"/>
    <s v=""/>
    <s v=""/>
    <s v=""/>
    <s v=""/>
    <s v=""/>
    <s v=""/>
    <s v=""/>
    <s v=""/>
    <s v=""/>
    <s v=""/>
    <s v=""/>
    <s v=""/>
    <s v=""/>
    <s v=""/>
    <s v=""/>
    <x v="2"/>
  </r>
  <r>
    <x v="5"/>
    <x v="971"/>
    <n v="42"/>
    <m/>
    <x v="4"/>
    <s v=""/>
    <s v=""/>
    <s v=""/>
    <s v=""/>
    <s v=""/>
    <s v=""/>
    <s v=""/>
    <s v=""/>
    <s v=""/>
    <s v=""/>
    <s v=""/>
    <s v=""/>
    <s v=""/>
    <s v=""/>
    <s v=""/>
    <x v="2"/>
  </r>
  <r>
    <x v="5"/>
    <x v="972"/>
    <n v="26"/>
    <m/>
    <x v="5"/>
    <s v=""/>
    <s v=""/>
    <s v=""/>
    <s v=""/>
    <s v=""/>
    <s v=""/>
    <s v=""/>
    <s v=""/>
    <s v=""/>
    <s v=""/>
    <s v=""/>
    <s v=""/>
    <s v=""/>
    <s v=""/>
    <s v=""/>
    <x v="2"/>
  </r>
  <r>
    <x v="5"/>
    <x v="973"/>
    <n v="14"/>
    <n v="1"/>
    <x v="1"/>
    <s v="Trend analysis"/>
    <s v="The science of using past results to predict future"/>
    <s v="performance."/>
    <s v="Work performance information The results of the project work as needed. This includes technical performance measures, project status, information on what the project has created to date, corrective actions, and performance reports."/>
    <s v=""/>
    <s v=""/>
    <s v=""/>
    <s v=""/>
    <s v=""/>
    <s v=""/>
    <s v=""/>
    <s v=""/>
    <s v=""/>
    <s v=""/>
    <s v=""/>
    <x v="194"/>
  </r>
  <r>
    <x v="5"/>
    <x v="974"/>
    <n v="51"/>
    <m/>
    <x v="2"/>
    <s v=""/>
    <s v=""/>
    <s v=""/>
    <s v=""/>
    <s v=""/>
    <s v=""/>
    <s v=""/>
    <s v=""/>
    <s v=""/>
    <s v=""/>
    <s v=""/>
    <s v=""/>
    <s v=""/>
    <s v=""/>
    <s v=""/>
    <x v="2"/>
  </r>
  <r>
    <x v="5"/>
    <x v="975"/>
    <n v="12"/>
    <m/>
    <x v="3"/>
    <s v=""/>
    <s v=""/>
    <s v=""/>
    <s v=""/>
    <s v=""/>
    <s v=""/>
    <s v=""/>
    <s v=""/>
    <s v=""/>
    <s v=""/>
    <s v=""/>
    <s v=""/>
    <s v=""/>
    <s v=""/>
    <s v=""/>
    <x v="2"/>
  </r>
  <r>
    <x v="5"/>
    <x v="976"/>
    <n v="231"/>
    <m/>
    <x v="4"/>
    <s v=""/>
    <s v=""/>
    <s v=""/>
    <s v=""/>
    <s v=""/>
    <s v=""/>
    <s v=""/>
    <s v=""/>
    <s v=""/>
    <s v=""/>
    <s v=""/>
    <s v=""/>
    <s v=""/>
    <s v=""/>
    <s v=""/>
    <x v="2"/>
  </r>
  <r>
    <x v="6"/>
    <x v="977"/>
    <n v="10"/>
    <n v="1"/>
    <x v="1"/>
    <s v="Adjourning"/>
    <s v="Once the project is done, either the team moves"/>
    <s v="onto other assignments as a unit, or the project"/>
    <s v="team is disbanded and individual team members"/>
    <s v="go on to other work."/>
    <s v=""/>
    <s v=""/>
    <s v=""/>
    <s v=""/>
    <s v=""/>
    <s v=""/>
    <s v=""/>
    <s v=""/>
    <s v=""/>
    <s v=""/>
    <x v="195"/>
  </r>
  <r>
    <x v="6"/>
    <x v="978"/>
    <n v="47"/>
    <m/>
    <x v="2"/>
    <s v=""/>
    <s v=""/>
    <s v=""/>
    <s v=""/>
    <s v=""/>
    <s v=""/>
    <s v=""/>
    <s v=""/>
    <s v=""/>
    <s v=""/>
    <s v=""/>
    <s v=""/>
    <s v=""/>
    <s v=""/>
    <s v=""/>
    <x v="2"/>
  </r>
  <r>
    <x v="6"/>
    <x v="979"/>
    <n v="48"/>
    <m/>
    <x v="3"/>
    <s v=""/>
    <s v=""/>
    <s v=""/>
    <s v=""/>
    <s v=""/>
    <s v=""/>
    <s v=""/>
    <s v=""/>
    <s v=""/>
    <s v=""/>
    <s v=""/>
    <s v=""/>
    <s v=""/>
    <s v=""/>
    <s v=""/>
    <x v="2"/>
  </r>
  <r>
    <x v="6"/>
    <x v="980"/>
    <n v="45"/>
    <m/>
    <x v="4"/>
    <s v=""/>
    <s v=""/>
    <s v=""/>
    <s v=""/>
    <s v=""/>
    <s v=""/>
    <s v=""/>
    <s v=""/>
    <s v=""/>
    <s v=""/>
    <s v=""/>
    <s v=""/>
    <s v=""/>
    <s v=""/>
    <s v=""/>
    <x v="2"/>
  </r>
  <r>
    <x v="6"/>
    <x v="981"/>
    <n v="20"/>
    <m/>
    <x v="5"/>
    <s v=""/>
    <s v=""/>
    <s v=""/>
    <s v=""/>
    <s v=""/>
    <s v=""/>
    <s v=""/>
    <s v=""/>
    <s v=""/>
    <s v=""/>
    <s v=""/>
    <s v=""/>
    <s v=""/>
    <s v=""/>
    <s v=""/>
    <x v="2"/>
  </r>
  <r>
    <x v="6"/>
    <x v="982"/>
    <n v="15"/>
    <n v="1"/>
    <x v="1"/>
    <s v="Authority power"/>
    <s v="Project management team members may have"/>
    <s v="authority over other project team members, may"/>
    <s v="have the ability to make decisions, and perhaps"/>
    <s v="even sign approvals for project work and"/>
    <s v="purchases."/>
    <s v=""/>
    <s v=""/>
    <s v=""/>
    <s v=""/>
    <s v=""/>
    <s v=""/>
    <s v=""/>
    <s v=""/>
    <s v=""/>
    <x v="196"/>
  </r>
  <r>
    <x v="6"/>
    <x v="983"/>
    <n v="40"/>
    <m/>
    <x v="2"/>
    <s v=""/>
    <s v=""/>
    <s v=""/>
    <s v=""/>
    <s v=""/>
    <s v=""/>
    <s v=""/>
    <s v=""/>
    <s v=""/>
    <s v=""/>
    <s v=""/>
    <s v=""/>
    <s v=""/>
    <s v=""/>
    <s v=""/>
    <x v="2"/>
  </r>
  <r>
    <x v="6"/>
    <x v="984"/>
    <n v="46"/>
    <m/>
    <x v="3"/>
    <s v=""/>
    <s v=""/>
    <s v=""/>
    <s v=""/>
    <s v=""/>
    <s v=""/>
    <s v=""/>
    <s v=""/>
    <s v=""/>
    <s v=""/>
    <s v=""/>
    <s v=""/>
    <s v=""/>
    <s v=""/>
    <s v=""/>
    <x v="2"/>
  </r>
  <r>
    <x v="6"/>
    <x v="985"/>
    <n v="47"/>
    <m/>
    <x v="4"/>
    <s v=""/>
    <s v=""/>
    <s v=""/>
    <s v=""/>
    <s v=""/>
    <s v=""/>
    <s v=""/>
    <s v=""/>
    <s v=""/>
    <s v=""/>
    <s v=""/>
    <s v=""/>
    <s v=""/>
    <s v=""/>
    <s v=""/>
    <x v="2"/>
  </r>
  <r>
    <x v="6"/>
    <x v="986"/>
    <n v="40"/>
    <m/>
    <x v="5"/>
    <s v=""/>
    <s v=""/>
    <s v=""/>
    <s v=""/>
    <s v=""/>
    <s v=""/>
    <s v=""/>
    <s v=""/>
    <s v=""/>
    <s v=""/>
    <s v=""/>
    <s v=""/>
    <s v=""/>
    <s v=""/>
    <s v=""/>
    <x v="2"/>
  </r>
  <r>
    <x v="6"/>
    <x v="987"/>
    <n v="10"/>
    <m/>
    <x v="6"/>
    <s v=""/>
    <s v=""/>
    <s v=""/>
    <s v=""/>
    <s v=""/>
    <s v=""/>
    <s v=""/>
    <s v=""/>
    <s v=""/>
    <s v=""/>
    <s v=""/>
    <s v=""/>
    <s v=""/>
    <s v=""/>
    <s v=""/>
    <x v="2"/>
  </r>
  <r>
    <x v="6"/>
    <x v="988"/>
    <n v="14"/>
    <n v="1"/>
    <x v="1"/>
    <s v="Coercive power"/>
    <s v="The project manager has the authority to"/>
    <s v="discipline the project team members. This is also"/>
    <s v="known as penalty power."/>
    <s v=""/>
    <s v=""/>
    <s v=""/>
    <s v=""/>
    <s v=""/>
    <s v=""/>
    <s v=""/>
    <s v=""/>
    <s v=""/>
    <s v=""/>
    <s v=""/>
    <x v="197"/>
  </r>
  <r>
    <x v="6"/>
    <x v="989"/>
    <n v="40"/>
    <m/>
    <x v="2"/>
    <s v=""/>
    <s v=""/>
    <s v=""/>
    <s v=""/>
    <s v=""/>
    <s v=""/>
    <s v=""/>
    <s v=""/>
    <s v=""/>
    <s v=""/>
    <s v=""/>
    <s v=""/>
    <s v=""/>
    <s v=""/>
    <s v=""/>
    <x v="2"/>
  </r>
  <r>
    <x v="6"/>
    <x v="990"/>
    <n v="49"/>
    <m/>
    <x v="3"/>
    <s v=""/>
    <s v=""/>
    <s v=""/>
    <s v=""/>
    <s v=""/>
    <s v=""/>
    <s v=""/>
    <s v=""/>
    <s v=""/>
    <s v=""/>
    <s v=""/>
    <s v=""/>
    <s v=""/>
    <s v=""/>
    <s v=""/>
    <x v="2"/>
  </r>
  <r>
    <x v="6"/>
    <x v="991"/>
    <n v="23"/>
    <m/>
    <x v="4"/>
    <s v=""/>
    <s v=""/>
    <s v=""/>
    <s v=""/>
    <s v=""/>
    <s v=""/>
    <s v=""/>
    <s v=""/>
    <s v=""/>
    <s v=""/>
    <s v=""/>
    <s v=""/>
    <s v=""/>
    <s v=""/>
    <s v=""/>
    <x v="2"/>
  </r>
  <r>
    <x v="6"/>
    <x v="992"/>
    <n v="27"/>
    <n v="1"/>
    <x v="1"/>
    <s v="Collaborate/Problem solving"/>
    <s v="This approach confronts the problem head-on"/>
    <s v="and is the preferred method of conflict"/>
    <s v="resolution. Multiple viewpoints and perspectives"/>
    <s v="contribute to the solution."/>
    <s v=""/>
    <s v=""/>
    <s v=""/>
    <s v=""/>
    <s v=""/>
    <s v=""/>
    <s v=""/>
    <s v=""/>
    <s v=""/>
    <s v=""/>
    <x v="198"/>
  </r>
  <r>
    <x v="6"/>
    <x v="993"/>
    <n v="43"/>
    <m/>
    <x v="2"/>
    <s v=""/>
    <s v=""/>
    <s v=""/>
    <s v=""/>
    <s v=""/>
    <s v=""/>
    <s v=""/>
    <s v=""/>
    <s v=""/>
    <s v=""/>
    <s v=""/>
    <s v=""/>
    <s v=""/>
    <s v=""/>
    <s v=""/>
    <x v="2"/>
  </r>
  <r>
    <x v="6"/>
    <x v="994"/>
    <n v="39"/>
    <m/>
    <x v="3"/>
    <s v=""/>
    <s v=""/>
    <s v=""/>
    <s v=""/>
    <s v=""/>
    <s v=""/>
    <s v=""/>
    <s v=""/>
    <s v=""/>
    <s v=""/>
    <s v=""/>
    <s v=""/>
    <s v=""/>
    <s v=""/>
    <s v=""/>
    <x v="2"/>
  </r>
  <r>
    <x v="6"/>
    <x v="995"/>
    <n v="48"/>
    <m/>
    <x v="4"/>
    <s v=""/>
    <s v=""/>
    <s v=""/>
    <s v=""/>
    <s v=""/>
    <s v=""/>
    <s v=""/>
    <s v=""/>
    <s v=""/>
    <s v=""/>
    <s v=""/>
    <s v=""/>
    <s v=""/>
    <s v=""/>
    <s v=""/>
    <x v="2"/>
  </r>
  <r>
    <x v="6"/>
    <x v="996"/>
    <n v="27"/>
    <m/>
    <x v="5"/>
    <s v=""/>
    <s v=""/>
    <s v=""/>
    <s v=""/>
    <s v=""/>
    <s v=""/>
    <s v=""/>
    <s v=""/>
    <s v=""/>
    <s v=""/>
    <s v=""/>
    <s v=""/>
    <s v=""/>
    <s v=""/>
    <s v=""/>
    <x v="2"/>
  </r>
  <r>
    <x v="6"/>
    <x v="997"/>
    <n v="43"/>
    <n v="1"/>
    <x v="1"/>
    <s v="Collective bargaining agreement constraints"/>
    <s v="Contracts and agreements with unions or other"/>
    <s v="employee groups may serve as constraints on the"/>
    <s v="project."/>
    <s v=""/>
    <s v=""/>
    <s v=""/>
    <s v=""/>
    <s v=""/>
    <s v=""/>
    <s v=""/>
    <s v=""/>
    <s v=""/>
    <s v=""/>
    <s v=""/>
    <x v="199"/>
  </r>
  <r>
    <x v="6"/>
    <x v="998"/>
    <n v="45"/>
    <m/>
    <x v="2"/>
    <s v=""/>
    <s v=""/>
    <s v=""/>
    <s v=""/>
    <s v=""/>
    <s v=""/>
    <s v=""/>
    <s v=""/>
    <s v=""/>
    <s v=""/>
    <s v=""/>
    <s v=""/>
    <s v=""/>
    <s v=""/>
    <s v=""/>
    <x v="2"/>
  </r>
  <r>
    <x v="6"/>
    <x v="999"/>
    <n v="47"/>
    <m/>
    <x v="3"/>
    <s v=""/>
    <s v=""/>
    <s v=""/>
    <s v=""/>
    <s v=""/>
    <s v=""/>
    <s v=""/>
    <s v=""/>
    <s v=""/>
    <s v=""/>
    <s v=""/>
    <s v=""/>
    <s v=""/>
    <s v=""/>
    <s v=""/>
    <x v="2"/>
  </r>
  <r>
    <x v="6"/>
    <x v="130"/>
    <n v="8"/>
    <m/>
    <x v="4"/>
    <s v=""/>
    <s v=""/>
    <s v=""/>
    <s v=""/>
    <s v=""/>
    <s v=""/>
    <s v=""/>
    <s v=""/>
    <s v=""/>
    <s v=""/>
    <s v=""/>
    <s v=""/>
    <s v=""/>
    <s v=""/>
    <s v=""/>
    <x v="2"/>
  </r>
  <r>
    <x v="6"/>
    <x v="1000"/>
    <n v="10"/>
    <n v="1"/>
    <x v="1"/>
    <s v="Competency"/>
    <s v="This attribute defines what talents, skills, and"/>
    <s v="capabilities are needed to complete the project"/>
    <s v="work."/>
    <s v=""/>
    <s v=""/>
    <s v=""/>
    <s v=""/>
    <s v=""/>
    <s v=""/>
    <s v=""/>
    <s v=""/>
    <s v=""/>
    <s v=""/>
    <s v=""/>
    <x v="200"/>
  </r>
  <r>
    <x v="6"/>
    <x v="1001"/>
    <n v="48"/>
    <m/>
    <x v="2"/>
    <s v=""/>
    <s v=""/>
    <s v=""/>
    <s v=""/>
    <s v=""/>
    <s v=""/>
    <s v=""/>
    <s v=""/>
    <s v=""/>
    <s v=""/>
    <s v=""/>
    <s v=""/>
    <s v=""/>
    <s v=""/>
    <s v=""/>
    <x v="2"/>
  </r>
  <r>
    <x v="6"/>
    <x v="1002"/>
    <n v="47"/>
    <m/>
    <x v="3"/>
    <s v=""/>
    <s v=""/>
    <s v=""/>
    <s v=""/>
    <s v=""/>
    <s v=""/>
    <s v=""/>
    <s v=""/>
    <s v=""/>
    <s v=""/>
    <s v=""/>
    <s v=""/>
    <s v=""/>
    <s v=""/>
    <s v=""/>
    <x v="2"/>
  </r>
  <r>
    <x v="6"/>
    <x v="634"/>
    <n v="5"/>
    <m/>
    <x v="4"/>
    <s v=""/>
    <s v=""/>
    <s v=""/>
    <s v=""/>
    <s v=""/>
    <s v=""/>
    <s v=""/>
    <s v=""/>
    <s v=""/>
    <s v=""/>
    <s v=""/>
    <s v=""/>
    <s v=""/>
    <s v=""/>
    <s v=""/>
    <x v="2"/>
  </r>
  <r>
    <x v="6"/>
    <x v="1003"/>
    <n v="12"/>
    <n v="1"/>
    <x v="1"/>
    <s v="Compromising"/>
    <s v="This approach requires that both parties give up"/>
    <s v="something."/>
    <s v=""/>
    <s v=""/>
    <s v=""/>
    <s v=""/>
    <s v=""/>
    <s v=""/>
    <s v=""/>
    <s v=""/>
    <s v=""/>
    <s v=""/>
    <s v=""/>
    <s v=""/>
    <x v="201"/>
  </r>
  <r>
    <x v="6"/>
    <x v="1004"/>
    <n v="48"/>
    <m/>
    <x v="2"/>
    <s v=""/>
    <s v=""/>
    <s v=""/>
    <s v=""/>
    <s v=""/>
    <s v=""/>
    <s v=""/>
    <s v=""/>
    <s v=""/>
    <s v=""/>
    <s v=""/>
    <s v=""/>
    <s v=""/>
    <s v=""/>
    <s v=""/>
    <x v="2"/>
  </r>
  <r>
    <x v="6"/>
    <x v="1005"/>
    <n v="10"/>
    <m/>
    <x v="3"/>
    <s v=""/>
    <s v=""/>
    <s v=""/>
    <s v=""/>
    <s v=""/>
    <s v=""/>
    <s v=""/>
    <s v=""/>
    <s v=""/>
    <s v=""/>
    <s v=""/>
    <s v=""/>
    <s v=""/>
    <s v=""/>
    <s v=""/>
    <x v="2"/>
  </r>
  <r>
    <x v="6"/>
    <x v="1006"/>
    <n v="25"/>
    <n v="1"/>
    <x v="1"/>
    <s v="Vroom’s Expectancy Theory"/>
    <s v="This theory states that people will behave based"/>
    <s v="on what they expect as a result of their behavior."/>
    <s v="In other words, people will work in relation to"/>
    <s v="the expected reward."/>
    <s v=""/>
    <s v=""/>
    <s v=""/>
    <s v=""/>
    <s v=""/>
    <s v=""/>
    <s v=""/>
    <s v=""/>
    <s v=""/>
    <s v=""/>
    <x v="202"/>
  </r>
  <r>
    <x v="6"/>
    <x v="1007"/>
    <n v="48"/>
    <m/>
    <x v="2"/>
    <s v=""/>
    <s v=""/>
    <s v=""/>
    <s v=""/>
    <s v=""/>
    <s v=""/>
    <s v=""/>
    <s v=""/>
    <s v=""/>
    <s v=""/>
    <s v=""/>
    <s v=""/>
    <s v=""/>
    <s v=""/>
    <s v=""/>
    <x v="2"/>
  </r>
  <r>
    <x v="6"/>
    <x v="1008"/>
    <n v="50"/>
    <m/>
    <x v="3"/>
    <s v=""/>
    <s v=""/>
    <s v=""/>
    <s v=""/>
    <s v=""/>
    <s v=""/>
    <s v=""/>
    <s v=""/>
    <s v=""/>
    <s v=""/>
    <s v=""/>
    <s v=""/>
    <s v=""/>
    <s v=""/>
    <s v=""/>
    <x v="2"/>
  </r>
  <r>
    <x v="6"/>
    <x v="1009"/>
    <n v="47"/>
    <m/>
    <x v="4"/>
    <s v=""/>
    <s v=""/>
    <s v=""/>
    <s v=""/>
    <s v=""/>
    <s v=""/>
    <s v=""/>
    <s v=""/>
    <s v=""/>
    <s v=""/>
    <s v=""/>
    <s v=""/>
    <s v=""/>
    <s v=""/>
    <s v=""/>
    <x v="2"/>
  </r>
  <r>
    <x v="6"/>
    <x v="1010"/>
    <n v="20"/>
    <m/>
    <x v="5"/>
    <s v=""/>
    <s v=""/>
    <s v=""/>
    <s v=""/>
    <s v=""/>
    <s v=""/>
    <s v=""/>
    <s v=""/>
    <s v=""/>
    <s v=""/>
    <s v=""/>
    <s v=""/>
    <s v=""/>
    <s v=""/>
    <s v=""/>
    <x v="2"/>
  </r>
  <r>
    <x v="6"/>
    <x v="84"/>
    <n v="12"/>
    <n v="1"/>
    <x v="1"/>
    <s v="Expert power"/>
    <s v="The project manager’s authority comes both"/>
    <s v="from experience with the technology the project"/>
    <s v="focuses on and from expertise in managing"/>
    <s v="projects."/>
    <s v="Forcing power The person with the power makes the decision."/>
    <s v=""/>
    <s v=""/>
    <s v=""/>
    <s v=""/>
    <s v=""/>
    <s v=""/>
    <s v=""/>
    <s v=""/>
    <s v=""/>
    <x v="203"/>
  </r>
  <r>
    <x v="6"/>
    <x v="1011"/>
    <n v="42"/>
    <m/>
    <x v="2"/>
    <s v=""/>
    <s v=""/>
    <s v=""/>
    <s v=""/>
    <s v=""/>
    <s v=""/>
    <s v=""/>
    <s v=""/>
    <s v=""/>
    <s v=""/>
    <s v=""/>
    <s v=""/>
    <s v=""/>
    <s v=""/>
    <s v=""/>
    <x v="2"/>
  </r>
  <r>
    <x v="6"/>
    <x v="1012"/>
    <n v="47"/>
    <m/>
    <x v="3"/>
    <s v=""/>
    <s v=""/>
    <s v=""/>
    <s v=""/>
    <s v=""/>
    <s v=""/>
    <s v=""/>
    <s v=""/>
    <s v=""/>
    <s v=""/>
    <s v=""/>
    <s v=""/>
    <s v=""/>
    <s v=""/>
    <s v=""/>
    <x v="2"/>
  </r>
  <r>
    <x v="6"/>
    <x v="1013"/>
    <n v="41"/>
    <m/>
    <x v="4"/>
    <s v=""/>
    <s v=""/>
    <s v=""/>
    <s v=""/>
    <s v=""/>
    <s v=""/>
    <s v=""/>
    <s v=""/>
    <s v=""/>
    <s v=""/>
    <s v=""/>
    <s v=""/>
    <s v=""/>
    <s v=""/>
    <s v=""/>
    <x v="2"/>
  </r>
  <r>
    <x v="6"/>
    <x v="1014"/>
    <n v="9"/>
    <m/>
    <x v="5"/>
    <s v=""/>
    <s v=""/>
    <s v=""/>
    <s v=""/>
    <s v=""/>
    <s v=""/>
    <s v=""/>
    <s v=""/>
    <s v=""/>
    <s v=""/>
    <s v=""/>
    <s v=""/>
    <s v=""/>
    <s v=""/>
    <s v=""/>
    <x v="2"/>
  </r>
  <r>
    <x v="6"/>
    <x v="1015"/>
    <n v="59"/>
    <m/>
    <x v="6"/>
    <s v=""/>
    <s v=""/>
    <s v=""/>
    <s v=""/>
    <s v=""/>
    <s v=""/>
    <s v=""/>
    <s v=""/>
    <s v=""/>
    <s v=""/>
    <s v=""/>
    <s v=""/>
    <s v=""/>
    <s v=""/>
    <s v=""/>
    <x v="2"/>
  </r>
  <r>
    <x v="6"/>
    <x v="1016"/>
    <n v="12"/>
    <n v="1"/>
    <x v="1"/>
    <s v="Formal power"/>
    <s v="The project manager has been assigned the role"/>
    <s v="of project manager by senior management and is"/>
    <s v="in charge of the project."/>
    <s v=""/>
    <s v=""/>
    <s v=""/>
    <s v=""/>
    <s v=""/>
    <s v=""/>
    <s v=""/>
    <s v=""/>
    <s v=""/>
    <s v=""/>
    <s v=""/>
    <x v="204"/>
  </r>
  <r>
    <x v="6"/>
    <x v="1017"/>
    <n v="46"/>
    <m/>
    <x v="2"/>
    <s v=""/>
    <s v=""/>
    <s v=""/>
    <s v=""/>
    <s v=""/>
    <s v=""/>
    <s v=""/>
    <s v=""/>
    <s v=""/>
    <s v=""/>
    <s v=""/>
    <s v=""/>
    <s v=""/>
    <s v=""/>
    <s v=""/>
    <x v="2"/>
  </r>
  <r>
    <x v="6"/>
    <x v="1018"/>
    <n v="46"/>
    <m/>
    <x v="3"/>
    <s v=""/>
    <s v=""/>
    <s v=""/>
    <s v=""/>
    <s v=""/>
    <s v=""/>
    <s v=""/>
    <s v=""/>
    <s v=""/>
    <s v=""/>
    <s v=""/>
    <s v=""/>
    <s v=""/>
    <s v=""/>
    <s v=""/>
    <x v="2"/>
  </r>
  <r>
    <x v="6"/>
    <x v="1019"/>
    <n v="25"/>
    <m/>
    <x v="4"/>
    <s v=""/>
    <s v=""/>
    <s v=""/>
    <s v=""/>
    <s v=""/>
    <s v=""/>
    <s v=""/>
    <s v=""/>
    <s v=""/>
    <s v=""/>
    <s v=""/>
    <s v=""/>
    <s v=""/>
    <s v=""/>
    <s v=""/>
    <x v="2"/>
  </r>
  <r>
    <x v="6"/>
    <x v="1020"/>
    <n v="7"/>
    <n v="1"/>
    <x v="1"/>
    <s v="Forming"/>
    <s v="The project team meets and learns about their"/>
    <s v="roles and responsibilities on the project. Little"/>
    <s v="interaction among the project team happens in"/>
    <s v="this stage as the team is learning about the"/>
    <s v="project and project manager."/>
    <s v=""/>
    <s v=""/>
    <s v=""/>
    <s v=""/>
    <s v=""/>
    <s v=""/>
    <s v=""/>
    <s v=""/>
    <s v=""/>
    <x v="205"/>
  </r>
  <r>
    <x v="6"/>
    <x v="1021"/>
    <n v="45"/>
    <m/>
    <x v="2"/>
    <s v=""/>
    <s v=""/>
    <s v=""/>
    <s v=""/>
    <s v=""/>
    <s v=""/>
    <s v=""/>
    <s v=""/>
    <s v=""/>
    <s v=""/>
    <s v=""/>
    <s v=""/>
    <s v=""/>
    <s v=""/>
    <s v=""/>
    <x v="2"/>
  </r>
  <r>
    <x v="6"/>
    <x v="1022"/>
    <n v="49"/>
    <m/>
    <x v="3"/>
    <s v=""/>
    <s v=""/>
    <s v=""/>
    <s v=""/>
    <s v=""/>
    <s v=""/>
    <s v=""/>
    <s v=""/>
    <s v=""/>
    <s v=""/>
    <s v=""/>
    <s v=""/>
    <s v=""/>
    <s v=""/>
    <s v=""/>
    <x v="2"/>
  </r>
  <r>
    <x v="6"/>
    <x v="1023"/>
    <n v="45"/>
    <m/>
    <x v="4"/>
    <s v=""/>
    <s v=""/>
    <s v=""/>
    <s v=""/>
    <s v=""/>
    <s v=""/>
    <s v=""/>
    <s v=""/>
    <s v=""/>
    <s v=""/>
    <s v=""/>
    <s v=""/>
    <s v=""/>
    <s v=""/>
    <s v=""/>
    <x v="2"/>
  </r>
  <r>
    <x v="6"/>
    <x v="1024"/>
    <n v="44"/>
    <m/>
    <x v="5"/>
    <s v=""/>
    <s v=""/>
    <s v=""/>
    <s v=""/>
    <s v=""/>
    <s v=""/>
    <s v=""/>
    <s v=""/>
    <s v=""/>
    <s v=""/>
    <s v=""/>
    <s v=""/>
    <s v=""/>
    <s v=""/>
    <s v=""/>
    <x v="2"/>
  </r>
  <r>
    <x v="6"/>
    <x v="1025"/>
    <n v="28"/>
    <m/>
    <x v="6"/>
    <s v=""/>
    <s v=""/>
    <s v=""/>
    <s v=""/>
    <s v=""/>
    <s v=""/>
    <s v=""/>
    <s v=""/>
    <s v=""/>
    <s v=""/>
    <s v=""/>
    <s v=""/>
    <s v=""/>
    <s v=""/>
    <s v=""/>
    <x v="2"/>
  </r>
  <r>
    <x v="6"/>
    <x v="1026"/>
    <n v="31"/>
    <n v="1"/>
    <x v="1"/>
    <s v="Herzberg’s Theory of Motivation"/>
    <s v="Frederick Herzberg’s theory of the motivating"/>
    <s v="agents and hygiene agents that affect a person’s"/>
    <s v="willingness to excel in his career."/>
    <s v=""/>
    <s v=""/>
    <s v=""/>
    <s v=""/>
    <s v=""/>
    <s v=""/>
    <s v=""/>
    <s v=""/>
    <s v=""/>
    <s v=""/>
    <s v=""/>
    <x v="206"/>
  </r>
  <r>
    <x v="6"/>
    <x v="1027"/>
    <n v="45"/>
    <m/>
    <x v="2"/>
    <s v=""/>
    <s v=""/>
    <s v=""/>
    <s v=""/>
    <s v=""/>
    <s v=""/>
    <s v=""/>
    <s v=""/>
    <s v=""/>
    <s v=""/>
    <s v=""/>
    <s v=""/>
    <s v=""/>
    <s v=""/>
    <s v=""/>
    <x v="2"/>
  </r>
  <r>
    <x v="6"/>
    <x v="1028"/>
    <n v="48"/>
    <m/>
    <x v="3"/>
    <s v=""/>
    <s v=""/>
    <s v=""/>
    <s v=""/>
    <s v=""/>
    <s v=""/>
    <s v=""/>
    <s v=""/>
    <s v=""/>
    <s v=""/>
    <s v=""/>
    <s v=""/>
    <s v=""/>
    <s v=""/>
    <s v=""/>
    <x v="2"/>
  </r>
  <r>
    <x v="6"/>
    <x v="1029"/>
    <n v="35"/>
    <m/>
    <x v="4"/>
    <s v=""/>
    <s v=""/>
    <s v=""/>
    <s v=""/>
    <s v=""/>
    <s v=""/>
    <s v=""/>
    <s v=""/>
    <s v=""/>
    <s v=""/>
    <s v=""/>
    <s v=""/>
    <s v=""/>
    <s v=""/>
    <s v=""/>
    <x v="2"/>
  </r>
  <r>
    <x v="6"/>
    <x v="1030"/>
    <n v="33"/>
    <n v="1"/>
    <x v="1"/>
    <s v="Hierarchical organizational chart"/>
    <s v="A chart showing the relationship between"/>
    <s v="superior and subordinate employees, groups,"/>
    <s v="disciplines, and even departments."/>
    <s v=""/>
    <s v=""/>
    <s v=""/>
    <s v=""/>
    <s v=""/>
    <s v=""/>
    <s v=""/>
    <s v=""/>
    <s v=""/>
    <s v=""/>
    <s v=""/>
    <x v="207"/>
  </r>
  <r>
    <x v="6"/>
    <x v="1031"/>
    <n v="40"/>
    <m/>
    <x v="2"/>
    <s v=""/>
    <s v=""/>
    <s v=""/>
    <s v=""/>
    <s v=""/>
    <s v=""/>
    <s v=""/>
    <s v=""/>
    <s v=""/>
    <s v=""/>
    <s v=""/>
    <s v=""/>
    <s v=""/>
    <s v=""/>
    <s v=""/>
    <x v="2"/>
  </r>
  <r>
    <x v="6"/>
    <x v="1032"/>
    <n v="43"/>
    <m/>
    <x v="3"/>
    <s v=""/>
    <s v=""/>
    <s v=""/>
    <s v=""/>
    <s v=""/>
    <s v=""/>
    <s v=""/>
    <s v=""/>
    <s v=""/>
    <s v=""/>
    <s v=""/>
    <s v=""/>
    <s v=""/>
    <s v=""/>
    <s v=""/>
    <x v="2"/>
  </r>
  <r>
    <x v="6"/>
    <x v="1033"/>
    <n v="34"/>
    <m/>
    <x v="4"/>
    <s v=""/>
    <s v=""/>
    <s v=""/>
    <s v=""/>
    <s v=""/>
    <s v=""/>
    <s v=""/>
    <s v=""/>
    <s v=""/>
    <s v=""/>
    <s v=""/>
    <s v=""/>
    <s v=""/>
    <s v=""/>
    <s v=""/>
    <x v="2"/>
  </r>
  <r>
    <x v="6"/>
    <x v="252"/>
    <n v="9"/>
    <n v="1"/>
    <x v="1"/>
    <s v="Issue log"/>
    <s v="A logbook of the issues the project team has"/>
    <s v="identified and dates as to when the issues must"/>
    <s v="be resolved by. The issue log may also include"/>
    <s v="team members or stakeholders who are"/>
    <s v="responsible for finding a solution to the identified"/>
    <s v="issues."/>
    <s v=""/>
    <s v=""/>
    <s v=""/>
    <s v=""/>
    <s v=""/>
    <s v=""/>
    <s v=""/>
    <s v=""/>
    <x v="208"/>
  </r>
  <r>
    <x v="6"/>
    <x v="1034"/>
    <n v="44"/>
    <m/>
    <x v="2"/>
    <s v=""/>
    <s v=""/>
    <s v=""/>
    <s v=""/>
    <s v=""/>
    <s v=""/>
    <s v=""/>
    <s v=""/>
    <s v=""/>
    <s v=""/>
    <s v=""/>
    <s v=""/>
    <s v=""/>
    <s v=""/>
    <s v=""/>
    <x v="2"/>
  </r>
  <r>
    <x v="6"/>
    <x v="1035"/>
    <n v="47"/>
    <m/>
    <x v="3"/>
    <s v=""/>
    <s v=""/>
    <s v=""/>
    <s v=""/>
    <s v=""/>
    <s v=""/>
    <s v=""/>
    <s v=""/>
    <s v=""/>
    <s v=""/>
    <s v=""/>
    <s v=""/>
    <s v=""/>
    <s v=""/>
    <s v=""/>
    <x v="2"/>
  </r>
  <r>
    <x v="6"/>
    <x v="1036"/>
    <n v="46"/>
    <m/>
    <x v="4"/>
    <s v=""/>
    <s v=""/>
    <s v=""/>
    <s v=""/>
    <s v=""/>
    <s v=""/>
    <s v=""/>
    <s v=""/>
    <s v=""/>
    <s v=""/>
    <s v=""/>
    <s v=""/>
    <s v=""/>
    <s v=""/>
    <s v=""/>
    <x v="2"/>
  </r>
  <r>
    <x v="6"/>
    <x v="1037"/>
    <n v="36"/>
    <m/>
    <x v="5"/>
    <s v=""/>
    <s v=""/>
    <s v=""/>
    <s v=""/>
    <s v=""/>
    <s v=""/>
    <s v=""/>
    <s v=""/>
    <s v=""/>
    <s v=""/>
    <s v=""/>
    <s v=""/>
    <s v=""/>
    <s v=""/>
    <s v=""/>
    <x v="2"/>
  </r>
  <r>
    <x v="6"/>
    <x v="1038"/>
    <n v="52"/>
    <m/>
    <x v="6"/>
    <s v=""/>
    <s v=""/>
    <s v=""/>
    <s v=""/>
    <s v=""/>
    <s v=""/>
    <s v=""/>
    <s v=""/>
    <s v=""/>
    <s v=""/>
    <s v=""/>
    <s v=""/>
    <s v=""/>
    <s v=""/>
    <s v=""/>
    <x v="2"/>
  </r>
  <r>
    <x v="6"/>
    <x v="1039"/>
    <n v="7"/>
    <m/>
    <x v="7"/>
    <s v=""/>
    <s v=""/>
    <s v=""/>
    <s v=""/>
    <s v=""/>
    <s v=""/>
    <s v=""/>
    <s v=""/>
    <s v=""/>
    <s v=""/>
    <s v=""/>
    <s v=""/>
    <s v=""/>
    <s v=""/>
    <s v=""/>
    <x v="2"/>
  </r>
  <r>
    <x v="6"/>
    <x v="1040"/>
    <n v="27"/>
    <n v="1"/>
    <x v="1"/>
    <s v="Maslow’s Hierarchy of Needs"/>
    <s v="Abraham Maslow’s theory of the five needs all"/>
    <s v="humans have and work toward."/>
    <s v=""/>
    <s v=""/>
    <s v=""/>
    <s v=""/>
    <s v=""/>
    <s v=""/>
    <s v=""/>
    <s v=""/>
    <s v=""/>
    <s v=""/>
    <s v=""/>
    <s v=""/>
    <x v="209"/>
  </r>
  <r>
    <x v="6"/>
    <x v="1041"/>
    <n v="45"/>
    <m/>
    <x v="2"/>
    <s v=""/>
    <s v=""/>
    <s v=""/>
    <s v=""/>
    <s v=""/>
    <s v=""/>
    <s v=""/>
    <s v=""/>
    <s v=""/>
    <s v=""/>
    <s v=""/>
    <s v=""/>
    <s v=""/>
    <s v=""/>
    <s v=""/>
    <x v="2"/>
  </r>
  <r>
    <x v="6"/>
    <x v="1042"/>
    <n v="28"/>
    <m/>
    <x v="3"/>
    <s v=""/>
    <s v=""/>
    <s v=""/>
    <s v=""/>
    <s v=""/>
    <s v=""/>
    <s v=""/>
    <s v=""/>
    <s v=""/>
    <s v=""/>
    <s v=""/>
    <s v=""/>
    <s v=""/>
    <s v=""/>
    <s v=""/>
    <x v="2"/>
  </r>
  <r>
    <x v="6"/>
    <x v="1043"/>
    <n v="28"/>
    <n v="1"/>
    <x v="1"/>
    <s v="McClelland’s Theory of Needs"/>
    <s v="David McClelland developed this theory, which"/>
    <s v="states our needs are acquired and developed by"/>
    <s v="our experiences over time. All people are,"/>
    <s v="according to this theory, driven by one of three"/>
    <s v="needs: achievement, affiliation, or power."/>
    <s v=""/>
    <s v=""/>
    <s v=""/>
    <s v=""/>
    <s v=""/>
    <s v=""/>
    <s v=""/>
    <s v=""/>
    <s v=""/>
    <x v="210"/>
  </r>
  <r>
    <x v="6"/>
    <x v="1044"/>
    <n v="45"/>
    <m/>
    <x v="2"/>
    <s v=""/>
    <s v=""/>
    <s v=""/>
    <s v=""/>
    <s v=""/>
    <s v=""/>
    <s v=""/>
    <s v=""/>
    <s v=""/>
    <s v=""/>
    <s v=""/>
    <s v=""/>
    <s v=""/>
    <s v=""/>
    <s v=""/>
    <x v="2"/>
  </r>
  <r>
    <x v="6"/>
    <x v="1045"/>
    <n v="46"/>
    <m/>
    <x v="3"/>
    <s v=""/>
    <s v=""/>
    <s v=""/>
    <s v=""/>
    <s v=""/>
    <s v=""/>
    <s v=""/>
    <s v=""/>
    <s v=""/>
    <s v=""/>
    <s v=""/>
    <s v=""/>
    <s v=""/>
    <s v=""/>
    <s v=""/>
    <x v="2"/>
  </r>
  <r>
    <x v="6"/>
    <x v="1046"/>
    <n v="42"/>
    <m/>
    <x v="4"/>
    <s v=""/>
    <s v=""/>
    <s v=""/>
    <s v=""/>
    <s v=""/>
    <s v=""/>
    <s v=""/>
    <s v=""/>
    <s v=""/>
    <s v=""/>
    <s v=""/>
    <s v=""/>
    <s v=""/>
    <s v=""/>
    <s v=""/>
    <x v="2"/>
  </r>
  <r>
    <x v="6"/>
    <x v="1047"/>
    <n v="48"/>
    <m/>
    <x v="5"/>
    <s v=""/>
    <s v=""/>
    <s v=""/>
    <s v=""/>
    <s v=""/>
    <s v=""/>
    <s v=""/>
    <s v=""/>
    <s v=""/>
    <s v=""/>
    <s v=""/>
    <s v=""/>
    <s v=""/>
    <s v=""/>
    <s v=""/>
    <x v="2"/>
  </r>
  <r>
    <x v="6"/>
    <x v="1048"/>
    <n v="42"/>
    <m/>
    <x v="6"/>
    <s v=""/>
    <s v=""/>
    <s v=""/>
    <s v=""/>
    <s v=""/>
    <s v=""/>
    <s v=""/>
    <s v=""/>
    <s v=""/>
    <s v=""/>
    <s v=""/>
    <s v=""/>
    <s v=""/>
    <s v=""/>
    <s v=""/>
    <x v="2"/>
  </r>
  <r>
    <x v="6"/>
    <x v="1049"/>
    <n v="28"/>
    <n v="1"/>
    <x v="1"/>
    <s v="McGregor’s Theory of X and Y"/>
    <s v="Douglas McGregor’s theory that states"/>
    <s v="management views workers in the Y category as"/>
    <s v="competent and self-led and workers in the X"/>
    <s v="category as incompetent and needing to be"/>
    <s v="micromanaged."/>
    <s v=""/>
    <s v=""/>
    <s v=""/>
    <s v=""/>
    <s v=""/>
    <s v=""/>
    <s v=""/>
    <s v=""/>
    <s v=""/>
    <x v="211"/>
  </r>
  <r>
    <x v="6"/>
    <x v="1050"/>
    <n v="37"/>
    <m/>
    <x v="2"/>
    <s v=""/>
    <s v=""/>
    <s v=""/>
    <s v=""/>
    <s v=""/>
    <s v=""/>
    <s v=""/>
    <s v=""/>
    <s v=""/>
    <s v=""/>
    <s v=""/>
    <s v=""/>
    <s v=""/>
    <s v=""/>
    <s v=""/>
    <x v="2"/>
  </r>
  <r>
    <x v="6"/>
    <x v="1051"/>
    <n v="45"/>
    <m/>
    <x v="3"/>
    <s v=""/>
    <s v=""/>
    <s v=""/>
    <s v=""/>
    <s v=""/>
    <s v=""/>
    <s v=""/>
    <s v=""/>
    <s v=""/>
    <s v=""/>
    <s v=""/>
    <s v=""/>
    <s v=""/>
    <s v=""/>
    <s v=""/>
    <x v="2"/>
  </r>
  <r>
    <x v="6"/>
    <x v="1052"/>
    <n v="43"/>
    <m/>
    <x v="4"/>
    <s v=""/>
    <s v=""/>
    <s v=""/>
    <s v=""/>
    <s v=""/>
    <s v=""/>
    <s v=""/>
    <s v=""/>
    <s v=""/>
    <s v=""/>
    <s v=""/>
    <s v=""/>
    <s v=""/>
    <s v=""/>
    <s v=""/>
    <x v="2"/>
  </r>
  <r>
    <x v="6"/>
    <x v="1053"/>
    <n v="41"/>
    <m/>
    <x v="5"/>
    <s v=""/>
    <s v=""/>
    <s v=""/>
    <s v=""/>
    <s v=""/>
    <s v=""/>
    <s v=""/>
    <s v=""/>
    <s v=""/>
    <s v=""/>
    <s v=""/>
    <s v=""/>
    <s v=""/>
    <s v=""/>
    <s v=""/>
    <x v="2"/>
  </r>
  <r>
    <x v="6"/>
    <x v="1054"/>
    <n v="13"/>
    <m/>
    <x v="6"/>
    <s v=""/>
    <s v=""/>
    <s v=""/>
    <s v=""/>
    <s v=""/>
    <s v=""/>
    <s v=""/>
    <s v=""/>
    <s v=""/>
    <s v=""/>
    <s v=""/>
    <s v=""/>
    <s v=""/>
    <s v=""/>
    <s v=""/>
    <x v="2"/>
  </r>
  <r>
    <x v="6"/>
    <x v="1055"/>
    <n v="31"/>
    <n v="1"/>
    <x v="1"/>
    <s v="Multicriteria Decision Analysis"/>
    <s v="A method to rate potential project team"/>
    <s v="members based on criteria such as education,"/>
    <s v="experience, skills, knowledge, and more."/>
    <s v=""/>
    <s v=""/>
    <s v=""/>
    <s v=""/>
    <s v=""/>
    <s v=""/>
    <s v=""/>
    <s v=""/>
    <s v=""/>
    <s v=""/>
    <s v=""/>
    <x v="212"/>
  </r>
  <r>
    <x v="6"/>
    <x v="1056"/>
    <n v="39"/>
    <m/>
    <x v="2"/>
    <s v=""/>
    <s v=""/>
    <s v=""/>
    <s v=""/>
    <s v=""/>
    <s v=""/>
    <s v=""/>
    <s v=""/>
    <s v=""/>
    <s v=""/>
    <s v=""/>
    <s v=""/>
    <s v=""/>
    <s v=""/>
    <s v=""/>
    <x v="2"/>
  </r>
  <r>
    <x v="6"/>
    <x v="1057"/>
    <n v="44"/>
    <m/>
    <x v="3"/>
    <s v=""/>
    <s v=""/>
    <s v=""/>
    <s v=""/>
    <s v=""/>
    <s v=""/>
    <s v=""/>
    <s v=""/>
    <s v=""/>
    <s v=""/>
    <s v=""/>
    <s v=""/>
    <s v=""/>
    <s v=""/>
    <s v=""/>
    <x v="2"/>
  </r>
  <r>
    <x v="6"/>
    <x v="1058"/>
    <n v="40"/>
    <m/>
    <x v="4"/>
    <s v=""/>
    <s v=""/>
    <s v=""/>
    <s v=""/>
    <s v=""/>
    <s v=""/>
    <s v=""/>
    <s v=""/>
    <s v=""/>
    <s v=""/>
    <s v=""/>
    <s v=""/>
    <s v=""/>
    <s v=""/>
    <s v=""/>
    <x v="2"/>
  </r>
  <r>
    <x v="6"/>
    <x v="1059"/>
    <n v="7"/>
    <n v="1"/>
    <x v="1"/>
    <s v="Norming"/>
    <s v="Project team members go about getting the"/>
    <s v="project work, begin to rely on one another, and"/>
    <s v="generally complete their project assignments."/>
    <s v=""/>
    <s v=""/>
    <s v=""/>
    <s v=""/>
    <s v=""/>
    <s v=""/>
    <s v=""/>
    <s v=""/>
    <s v=""/>
    <s v=""/>
    <s v=""/>
    <x v="213"/>
  </r>
  <r>
    <x v="6"/>
    <x v="1060"/>
    <n v="41"/>
    <m/>
    <x v="2"/>
    <s v=""/>
    <s v=""/>
    <s v=""/>
    <s v=""/>
    <s v=""/>
    <s v=""/>
    <s v=""/>
    <s v=""/>
    <s v=""/>
    <s v=""/>
    <s v=""/>
    <s v=""/>
    <s v=""/>
    <s v=""/>
    <s v=""/>
    <x v="2"/>
  </r>
  <r>
    <x v="6"/>
    <x v="1061"/>
    <n v="47"/>
    <m/>
    <x v="3"/>
    <s v=""/>
    <s v=""/>
    <s v=""/>
    <s v=""/>
    <s v=""/>
    <s v=""/>
    <s v=""/>
    <s v=""/>
    <s v=""/>
    <s v=""/>
    <s v=""/>
    <s v=""/>
    <s v=""/>
    <s v=""/>
    <s v=""/>
    <x v="2"/>
  </r>
  <r>
    <x v="6"/>
    <x v="1062"/>
    <n v="45"/>
    <m/>
    <x v="4"/>
    <s v=""/>
    <s v=""/>
    <s v=""/>
    <s v=""/>
    <s v=""/>
    <s v=""/>
    <s v=""/>
    <s v=""/>
    <s v=""/>
    <s v=""/>
    <s v=""/>
    <s v=""/>
    <s v=""/>
    <s v=""/>
    <s v=""/>
    <x v="2"/>
  </r>
  <r>
    <x v="6"/>
    <x v="1063"/>
    <n v="18"/>
    <n v="1"/>
    <x v="1"/>
    <s v="Organization chart"/>
    <s v="Traditional chart that depicts how the"/>
    <s v="organization is broken down by department and"/>
    <s v="disciplines. This chart is sometimes called the"/>
    <s v="organizational breakdown structure (OBS) and is"/>
    <s v="arranged by departments, units, or teams."/>
    <s v=""/>
    <s v=""/>
    <s v=""/>
    <s v=""/>
    <s v=""/>
    <s v=""/>
    <s v=""/>
    <s v=""/>
    <s v=""/>
    <x v="214"/>
  </r>
  <r>
    <x v="6"/>
    <x v="1064"/>
    <n v="38"/>
    <m/>
    <x v="2"/>
    <s v=""/>
    <s v=""/>
    <s v=""/>
    <s v=""/>
    <s v=""/>
    <s v=""/>
    <s v=""/>
    <s v=""/>
    <s v=""/>
    <s v=""/>
    <s v=""/>
    <s v=""/>
    <s v=""/>
    <s v=""/>
    <s v=""/>
    <x v="2"/>
  </r>
  <r>
    <x v="6"/>
    <x v="1065"/>
    <n v="45"/>
    <m/>
    <x v="3"/>
    <s v=""/>
    <s v=""/>
    <s v=""/>
    <s v=""/>
    <s v=""/>
    <s v=""/>
    <s v=""/>
    <s v=""/>
    <s v=""/>
    <s v=""/>
    <s v=""/>
    <s v=""/>
    <s v=""/>
    <s v=""/>
    <s v=""/>
    <x v="2"/>
  </r>
  <r>
    <x v="6"/>
    <x v="1066"/>
    <n v="47"/>
    <m/>
    <x v="4"/>
    <s v=""/>
    <s v=""/>
    <s v=""/>
    <s v=""/>
    <s v=""/>
    <s v=""/>
    <s v=""/>
    <s v=""/>
    <s v=""/>
    <s v=""/>
    <s v=""/>
    <s v=""/>
    <s v=""/>
    <s v=""/>
    <s v=""/>
    <x v="2"/>
  </r>
  <r>
    <x v="6"/>
    <x v="1067"/>
    <n v="47"/>
    <m/>
    <x v="5"/>
    <s v=""/>
    <s v=""/>
    <s v=""/>
    <s v=""/>
    <s v=""/>
    <s v=""/>
    <s v=""/>
    <s v=""/>
    <s v=""/>
    <s v=""/>
    <s v=""/>
    <s v=""/>
    <s v=""/>
    <s v=""/>
    <s v=""/>
    <x v="2"/>
  </r>
  <r>
    <x v="6"/>
    <x v="1068"/>
    <n v="41"/>
    <m/>
    <x v="6"/>
    <s v=""/>
    <s v=""/>
    <s v=""/>
    <s v=""/>
    <s v=""/>
    <s v=""/>
    <s v=""/>
    <s v=""/>
    <s v=""/>
    <s v=""/>
    <s v=""/>
    <s v=""/>
    <s v=""/>
    <s v=""/>
    <s v=""/>
    <x v="2"/>
  </r>
  <r>
    <x v="6"/>
    <x v="1069"/>
    <n v="16"/>
    <n v="1"/>
    <x v="1"/>
    <s v="Ouchi’s Theory Z"/>
    <s v="William Ouchi’s theory is based on the"/>
    <s v="participative management style of the Japanese."/>
    <s v="This theory states that workers are motivated by"/>
    <s v="a sense of commitment, opportunity, and"/>
    <s v="advancement."/>
    <s v=""/>
    <s v=""/>
    <s v=""/>
    <s v=""/>
    <s v=""/>
    <s v=""/>
    <s v=""/>
    <s v=""/>
    <s v=""/>
    <x v="215"/>
  </r>
  <r>
    <x v="6"/>
    <x v="1070"/>
    <n v="38"/>
    <m/>
    <x v="2"/>
    <s v=""/>
    <s v=""/>
    <s v=""/>
    <s v=""/>
    <s v=""/>
    <s v=""/>
    <s v=""/>
    <s v=""/>
    <s v=""/>
    <s v=""/>
    <s v=""/>
    <s v=""/>
    <s v=""/>
    <s v=""/>
    <s v=""/>
    <x v="2"/>
  </r>
  <r>
    <x v="6"/>
    <x v="1071"/>
    <n v="47"/>
    <m/>
    <x v="3"/>
    <s v=""/>
    <s v=""/>
    <s v=""/>
    <s v=""/>
    <s v=""/>
    <s v=""/>
    <s v=""/>
    <s v=""/>
    <s v=""/>
    <s v=""/>
    <s v=""/>
    <s v=""/>
    <s v=""/>
    <s v=""/>
    <s v=""/>
    <x v="2"/>
  </r>
  <r>
    <x v="6"/>
    <x v="1072"/>
    <n v="48"/>
    <m/>
    <x v="4"/>
    <s v=""/>
    <s v=""/>
    <s v=""/>
    <s v=""/>
    <s v=""/>
    <s v=""/>
    <s v=""/>
    <s v=""/>
    <s v=""/>
    <s v=""/>
    <s v=""/>
    <s v=""/>
    <s v=""/>
    <s v=""/>
    <s v=""/>
    <x v="2"/>
  </r>
  <r>
    <x v="6"/>
    <x v="1073"/>
    <n v="39"/>
    <m/>
    <x v="5"/>
    <s v=""/>
    <s v=""/>
    <s v=""/>
    <s v=""/>
    <s v=""/>
    <s v=""/>
    <s v=""/>
    <s v=""/>
    <s v=""/>
    <s v=""/>
    <s v=""/>
    <s v=""/>
    <s v=""/>
    <s v=""/>
    <s v=""/>
    <x v="2"/>
  </r>
  <r>
    <x v="6"/>
    <x v="1074"/>
    <n v="12"/>
    <m/>
    <x v="6"/>
    <s v=""/>
    <s v=""/>
    <s v=""/>
    <s v=""/>
    <s v=""/>
    <s v=""/>
    <s v=""/>
    <s v=""/>
    <s v=""/>
    <s v=""/>
    <s v=""/>
    <s v=""/>
    <s v=""/>
    <s v=""/>
    <s v=""/>
    <x v="2"/>
  </r>
  <r>
    <x v="6"/>
    <x v="1075"/>
    <n v="10"/>
    <n v="1"/>
    <x v="1"/>
    <s v="Performing"/>
    <s v="If a project team can reach the performing stage"/>
    <s v="of team development, they trust one another,"/>
    <s v="work well together, and issues and problems get"/>
    <s v="resolved quickly and effectively."/>
    <s v=""/>
    <s v=""/>
    <s v=""/>
    <s v=""/>
    <s v=""/>
    <s v=""/>
    <s v=""/>
    <s v=""/>
    <s v=""/>
    <s v=""/>
    <x v="216"/>
  </r>
  <r>
    <x v="6"/>
    <x v="1076"/>
    <n v="48"/>
    <m/>
    <x v="2"/>
    <s v=""/>
    <s v=""/>
    <s v=""/>
    <s v=""/>
    <s v=""/>
    <s v=""/>
    <s v=""/>
    <s v=""/>
    <s v=""/>
    <s v=""/>
    <s v=""/>
    <s v=""/>
    <s v=""/>
    <s v=""/>
    <s v=""/>
    <x v="2"/>
  </r>
  <r>
    <x v="6"/>
    <x v="1077"/>
    <n v="44"/>
    <m/>
    <x v="3"/>
    <s v=""/>
    <s v=""/>
    <s v=""/>
    <s v=""/>
    <s v=""/>
    <s v=""/>
    <s v=""/>
    <s v=""/>
    <s v=""/>
    <s v=""/>
    <s v=""/>
    <s v=""/>
    <s v=""/>
    <s v=""/>
    <s v=""/>
    <x v="2"/>
  </r>
  <r>
    <x v="6"/>
    <x v="1078"/>
    <n v="47"/>
    <m/>
    <x v="4"/>
    <s v=""/>
    <s v=""/>
    <s v=""/>
    <s v=""/>
    <s v=""/>
    <s v=""/>
    <s v=""/>
    <s v=""/>
    <s v=""/>
    <s v=""/>
    <s v=""/>
    <s v=""/>
    <s v=""/>
    <s v=""/>
    <s v=""/>
    <x v="2"/>
  </r>
  <r>
    <x v="6"/>
    <x v="1079"/>
    <n v="33"/>
    <m/>
    <x v="5"/>
    <s v=""/>
    <s v=""/>
    <s v=""/>
    <s v=""/>
    <s v=""/>
    <s v=""/>
    <s v=""/>
    <s v=""/>
    <s v=""/>
    <s v=""/>
    <s v=""/>
    <s v=""/>
    <s v=""/>
    <s v=""/>
    <s v=""/>
    <x v="2"/>
  </r>
  <r>
    <x v="6"/>
    <x v="1080"/>
    <n v="20"/>
    <n v="1"/>
    <x v="1"/>
    <s v="Political interfaces"/>
    <s v="The hidden goals, personal agendas, and"/>
    <s v="alliances among the project team members and"/>
    <s v="the stakeholders."/>
    <s v=""/>
    <s v=""/>
    <s v=""/>
    <s v=""/>
    <s v=""/>
    <s v=""/>
    <s v=""/>
    <s v=""/>
    <s v=""/>
    <s v=""/>
    <s v=""/>
    <x v="217"/>
  </r>
  <r>
    <x v="6"/>
    <x v="1081"/>
    <n v="39"/>
    <m/>
    <x v="2"/>
    <s v=""/>
    <s v=""/>
    <s v=""/>
    <s v=""/>
    <s v=""/>
    <s v=""/>
    <s v=""/>
    <s v=""/>
    <s v=""/>
    <s v=""/>
    <s v=""/>
    <s v=""/>
    <s v=""/>
    <s v=""/>
    <s v=""/>
    <x v="2"/>
  </r>
  <r>
    <x v="6"/>
    <x v="1082"/>
    <n v="44"/>
    <m/>
    <x v="3"/>
    <s v=""/>
    <s v=""/>
    <s v=""/>
    <s v=""/>
    <s v=""/>
    <s v=""/>
    <s v=""/>
    <s v=""/>
    <s v=""/>
    <s v=""/>
    <s v=""/>
    <s v=""/>
    <s v=""/>
    <s v=""/>
    <s v=""/>
    <x v="2"/>
  </r>
  <r>
    <x v="6"/>
    <x v="481"/>
    <n v="17"/>
    <m/>
    <x v="4"/>
    <s v=""/>
    <s v=""/>
    <s v=""/>
    <s v=""/>
    <s v=""/>
    <s v=""/>
    <s v=""/>
    <s v=""/>
    <s v=""/>
    <s v=""/>
    <s v=""/>
    <s v=""/>
    <s v=""/>
    <s v=""/>
    <s v=""/>
    <x v="2"/>
  </r>
  <r>
    <x v="6"/>
    <x v="1083"/>
    <n v="10"/>
    <n v="1"/>
    <x v="1"/>
    <s v="RACI chart"/>
    <s v="A RACI chart is a matrix chart that only uses the"/>
    <s v="activities of responsible, accountable, consult,"/>
    <s v="and inform."/>
    <s v=""/>
    <s v=""/>
    <s v=""/>
    <s v=""/>
    <s v=""/>
    <s v=""/>
    <s v=""/>
    <s v=""/>
    <s v=""/>
    <s v=""/>
    <s v=""/>
    <x v="218"/>
  </r>
  <r>
    <x v="6"/>
    <x v="1084"/>
    <n v="49"/>
    <m/>
    <x v="2"/>
    <s v=""/>
    <s v=""/>
    <s v=""/>
    <s v=""/>
    <s v=""/>
    <s v=""/>
    <s v=""/>
    <s v=""/>
    <s v=""/>
    <s v=""/>
    <s v=""/>
    <s v=""/>
    <s v=""/>
    <s v=""/>
    <s v=""/>
    <x v="2"/>
  </r>
  <r>
    <x v="6"/>
    <x v="1085"/>
    <n v="48"/>
    <m/>
    <x v="3"/>
    <s v=""/>
    <s v=""/>
    <s v=""/>
    <s v=""/>
    <s v=""/>
    <s v=""/>
    <s v=""/>
    <s v=""/>
    <s v=""/>
    <s v=""/>
    <s v=""/>
    <s v=""/>
    <s v=""/>
    <s v=""/>
    <s v=""/>
    <x v="2"/>
  </r>
  <r>
    <x v="6"/>
    <x v="1086"/>
    <n v="11"/>
    <m/>
    <x v="4"/>
    <s v=""/>
    <s v=""/>
    <s v=""/>
    <s v=""/>
    <s v=""/>
    <s v=""/>
    <s v=""/>
    <s v=""/>
    <s v=""/>
    <s v=""/>
    <s v=""/>
    <s v=""/>
    <s v=""/>
    <s v=""/>
    <s v=""/>
    <x v="2"/>
  </r>
  <r>
    <x v="6"/>
    <x v="134"/>
    <n v="14"/>
    <n v="1"/>
    <x v="1"/>
    <s v="Referent power"/>
    <s v="The project team personally knows the project"/>
    <s v="manager. Referent can also mean that the"/>
    <s v="project manager refers to the person who"/>
    <s v="assigned him the position."/>
    <s v=""/>
    <s v=""/>
    <s v=""/>
    <s v=""/>
    <s v=""/>
    <s v=""/>
    <s v=""/>
    <s v=""/>
    <s v=""/>
    <s v=""/>
    <x v="219"/>
  </r>
  <r>
    <x v="6"/>
    <x v="1087"/>
    <n v="45"/>
    <m/>
    <x v="2"/>
    <s v=""/>
    <s v=""/>
    <s v=""/>
    <s v=""/>
    <s v=""/>
    <s v=""/>
    <s v=""/>
    <s v=""/>
    <s v=""/>
    <s v=""/>
    <s v=""/>
    <s v=""/>
    <s v=""/>
    <s v=""/>
    <s v=""/>
    <x v="2"/>
  </r>
  <r>
    <x v="6"/>
    <x v="1088"/>
    <n v="40"/>
    <m/>
    <x v="3"/>
    <s v=""/>
    <s v=""/>
    <s v=""/>
    <s v=""/>
    <s v=""/>
    <s v=""/>
    <s v=""/>
    <s v=""/>
    <s v=""/>
    <s v=""/>
    <s v=""/>
    <s v=""/>
    <s v=""/>
    <s v=""/>
    <s v=""/>
    <x v="2"/>
  </r>
  <r>
    <x v="6"/>
    <x v="1089"/>
    <n v="40"/>
    <m/>
    <x v="4"/>
    <s v=""/>
    <s v=""/>
    <s v=""/>
    <s v=""/>
    <s v=""/>
    <s v=""/>
    <s v=""/>
    <s v=""/>
    <s v=""/>
    <s v=""/>
    <s v=""/>
    <s v=""/>
    <s v=""/>
    <s v=""/>
    <s v=""/>
    <x v="2"/>
  </r>
  <r>
    <x v="6"/>
    <x v="1090"/>
    <n v="26"/>
    <m/>
    <x v="5"/>
    <s v=""/>
    <s v=""/>
    <s v=""/>
    <s v=""/>
    <s v=""/>
    <s v=""/>
    <s v=""/>
    <s v=""/>
    <s v=""/>
    <s v=""/>
    <s v=""/>
    <s v=""/>
    <s v=""/>
    <s v=""/>
    <s v=""/>
    <x v="2"/>
  </r>
  <r>
    <x v="6"/>
    <x v="621"/>
    <n v="34"/>
    <n v="1"/>
    <x v="1"/>
    <s v="Resource breakdown structure (RBS)"/>
    <s v="This hierarchical chart can decompose the"/>
    <s v="project by the type of resources used throughout"/>
    <s v="it."/>
    <s v=""/>
    <s v=""/>
    <s v=""/>
    <s v=""/>
    <s v=""/>
    <s v=""/>
    <s v=""/>
    <s v=""/>
    <s v=""/>
    <s v=""/>
    <s v=""/>
    <x v="220"/>
  </r>
  <r>
    <x v="6"/>
    <x v="1091"/>
    <n v="41"/>
    <m/>
    <x v="2"/>
    <s v=""/>
    <s v=""/>
    <s v=""/>
    <s v=""/>
    <s v=""/>
    <s v=""/>
    <s v=""/>
    <s v=""/>
    <s v=""/>
    <s v=""/>
    <s v=""/>
    <s v=""/>
    <s v=""/>
    <s v=""/>
    <s v=""/>
    <x v="2"/>
  </r>
  <r>
    <x v="6"/>
    <x v="1092"/>
    <n v="48"/>
    <m/>
    <x v="3"/>
    <s v=""/>
    <s v=""/>
    <s v=""/>
    <s v=""/>
    <s v=""/>
    <s v=""/>
    <s v=""/>
    <s v=""/>
    <s v=""/>
    <s v=""/>
    <s v=""/>
    <s v=""/>
    <s v=""/>
    <s v=""/>
    <s v=""/>
    <x v="2"/>
  </r>
  <r>
    <x v="6"/>
    <x v="1093"/>
    <n v="3"/>
    <m/>
    <x v="4"/>
    <s v=""/>
    <s v=""/>
    <s v=""/>
    <s v=""/>
    <s v=""/>
    <s v=""/>
    <s v=""/>
    <s v=""/>
    <s v=""/>
    <s v=""/>
    <s v=""/>
    <s v=""/>
    <s v=""/>
    <s v=""/>
    <s v=""/>
    <x v="2"/>
  </r>
  <r>
    <x v="6"/>
    <x v="1094"/>
    <n v="38"/>
    <n v="1"/>
    <x v="1"/>
    <s v="Responsibility assignment matrix (RAM)"/>
    <s v="A RAM chart shows the correlation between"/>
    <s v="project team members and the work they’ve"/>
    <s v="been assigned to complete."/>
    <s v="Responsibility A responsibility is the work that a role performs."/>
    <s v=""/>
    <s v=""/>
    <s v=""/>
    <s v=""/>
    <s v=""/>
    <s v=""/>
    <s v=""/>
    <s v=""/>
    <s v=""/>
    <s v=""/>
    <x v="221"/>
  </r>
  <r>
    <x v="6"/>
    <x v="1095"/>
    <n v="41"/>
    <m/>
    <x v="2"/>
    <s v=""/>
    <s v=""/>
    <s v=""/>
    <s v=""/>
    <s v=""/>
    <s v=""/>
    <s v=""/>
    <s v=""/>
    <s v=""/>
    <s v=""/>
    <s v=""/>
    <s v=""/>
    <s v=""/>
    <s v=""/>
    <s v=""/>
    <x v="2"/>
  </r>
  <r>
    <x v="6"/>
    <x v="1096"/>
    <n v="41"/>
    <m/>
    <x v="3"/>
    <s v=""/>
    <s v=""/>
    <s v=""/>
    <s v=""/>
    <s v=""/>
    <s v=""/>
    <s v=""/>
    <s v=""/>
    <s v=""/>
    <s v=""/>
    <s v=""/>
    <s v=""/>
    <s v=""/>
    <s v=""/>
    <s v=""/>
    <x v="2"/>
  </r>
  <r>
    <x v="6"/>
    <x v="1097"/>
    <n v="26"/>
    <m/>
    <x v="4"/>
    <s v=""/>
    <s v=""/>
    <s v=""/>
    <s v=""/>
    <s v=""/>
    <s v=""/>
    <s v=""/>
    <s v=""/>
    <s v=""/>
    <s v=""/>
    <s v=""/>
    <s v=""/>
    <s v=""/>
    <s v=""/>
    <s v=""/>
    <x v="2"/>
  </r>
  <r>
    <x v="6"/>
    <x v="1098"/>
    <n v="65"/>
    <m/>
    <x v="5"/>
    <s v=""/>
    <s v=""/>
    <s v=""/>
    <s v=""/>
    <s v=""/>
    <s v=""/>
    <s v=""/>
    <s v=""/>
    <s v=""/>
    <s v=""/>
    <s v=""/>
    <s v=""/>
    <s v=""/>
    <s v=""/>
    <s v=""/>
    <x v="2"/>
  </r>
  <r>
    <x v="6"/>
    <x v="1099"/>
    <n v="24"/>
    <n v="1"/>
    <x v="1"/>
    <s v="Resource management plan"/>
    <s v="This plan defines staff acquisition, the timetable"/>
    <s v="for staff acquisition, the staff release plan,"/>
    <s v="training needs for the project team, any"/>
    <s v="organizational compliance issues, rewards and"/>
    <s v="recognitions, and safety concerns for the project team doing the project work. Reward The project manager has the authority to reward the project team. Role This denotes what a person is specifically responsible for in a project. Roles are usually tied to job titles, such as network engineer, mechanical engineer, and electrician. Smoothing This approach smooths out the conflict by minimizing the perceived size of the problem. It is a temporary solution, but can calm team relations and boisterous discussions. Storming The project team struggles for project positions, leadership, and project direction. The project team can become hostile toward the project leader, challenge ideas, and try to establish and claim positions about the project work. The amount of debate and fury can vary depending on if the project team is willing to work together, the nature of the project, and the control of the project manager. Technical interfaces The project team identifies the disciplines and specialties that the project will require to complete the project scope statement. The technical interfaces are the resources that will be doing the project work. Withdrawal This conflict resolution method sees one side of the argument walking away from the problem, usually in disgust."/>
    <s v=""/>
    <s v=""/>
    <s v=""/>
    <s v=""/>
    <s v=""/>
    <s v=""/>
    <s v=""/>
    <s v=""/>
    <s v=""/>
    <x v="222"/>
  </r>
  <r>
    <x v="6"/>
    <x v="1100"/>
    <n v="50"/>
    <m/>
    <x v="2"/>
    <s v=""/>
    <s v=""/>
    <s v=""/>
    <s v=""/>
    <s v=""/>
    <s v=""/>
    <s v=""/>
    <s v=""/>
    <s v=""/>
    <s v=""/>
    <s v=""/>
    <s v=""/>
    <s v=""/>
    <s v=""/>
    <s v=""/>
    <x v="2"/>
  </r>
  <r>
    <x v="6"/>
    <x v="1101"/>
    <n v="46"/>
    <m/>
    <x v="3"/>
    <s v=""/>
    <s v=""/>
    <s v=""/>
    <s v=""/>
    <s v=""/>
    <s v=""/>
    <s v=""/>
    <s v=""/>
    <s v=""/>
    <s v=""/>
    <s v=""/>
    <s v=""/>
    <s v=""/>
    <s v=""/>
    <s v=""/>
    <x v="2"/>
  </r>
  <r>
    <x v="6"/>
    <x v="1102"/>
    <n v="40"/>
    <m/>
    <x v="4"/>
    <s v=""/>
    <s v=""/>
    <s v=""/>
    <s v=""/>
    <s v=""/>
    <s v=""/>
    <s v=""/>
    <s v=""/>
    <s v=""/>
    <s v=""/>
    <s v=""/>
    <s v=""/>
    <s v=""/>
    <s v=""/>
    <s v=""/>
    <x v="2"/>
  </r>
  <r>
    <x v="6"/>
    <x v="1103"/>
    <n v="45"/>
    <m/>
    <x v="5"/>
    <s v=""/>
    <s v=""/>
    <s v=""/>
    <s v=""/>
    <s v=""/>
    <s v=""/>
    <s v=""/>
    <s v=""/>
    <s v=""/>
    <s v=""/>
    <s v=""/>
    <s v=""/>
    <s v=""/>
    <s v=""/>
    <s v=""/>
    <x v="2"/>
  </r>
  <r>
    <x v="6"/>
    <x v="1104"/>
    <n v="1276"/>
    <m/>
    <x v="6"/>
    <s v=""/>
    <s v=""/>
    <s v=""/>
    <s v=""/>
    <s v=""/>
    <s v=""/>
    <s v=""/>
    <s v=""/>
    <s v=""/>
    <s v=""/>
    <s v=""/>
    <s v=""/>
    <s v=""/>
    <s v=""/>
    <s v=""/>
    <x v="2"/>
  </r>
  <r>
    <x v="7"/>
    <x v="1105"/>
    <n v="14"/>
    <n v="1"/>
    <x v="1"/>
    <s v="Acknowledgment"/>
    <s v="The receiver signals that the message has been"/>
    <s v="received. An acknowledgment shows receipt of"/>
    <s v="the message, but not necessarily agreement with"/>
    <s v="the message."/>
    <s v=""/>
    <s v=""/>
    <s v=""/>
    <s v=""/>
    <s v=""/>
    <s v=""/>
    <s v=""/>
    <s v=""/>
    <s v=""/>
    <s v=""/>
    <x v="223"/>
  </r>
  <r>
    <x v="7"/>
    <x v="1106"/>
    <n v="46"/>
    <m/>
    <x v="2"/>
    <s v=""/>
    <s v=""/>
    <s v=""/>
    <s v=""/>
    <s v=""/>
    <s v=""/>
    <s v=""/>
    <s v=""/>
    <s v=""/>
    <s v=""/>
    <s v=""/>
    <s v=""/>
    <s v=""/>
    <s v=""/>
    <s v=""/>
    <x v="2"/>
  </r>
  <r>
    <x v="7"/>
    <x v="1107"/>
    <n v="44"/>
    <m/>
    <x v="3"/>
    <s v=""/>
    <s v=""/>
    <s v=""/>
    <s v=""/>
    <s v=""/>
    <s v=""/>
    <s v=""/>
    <s v=""/>
    <s v=""/>
    <s v=""/>
    <s v=""/>
    <s v=""/>
    <s v=""/>
    <s v=""/>
    <s v=""/>
    <x v="2"/>
  </r>
  <r>
    <x v="7"/>
    <x v="1108"/>
    <n v="47"/>
    <m/>
    <x v="4"/>
    <s v=""/>
    <s v=""/>
    <s v=""/>
    <s v=""/>
    <s v=""/>
    <s v=""/>
    <s v=""/>
    <s v=""/>
    <s v=""/>
    <s v=""/>
    <s v=""/>
    <s v=""/>
    <s v=""/>
    <s v=""/>
    <s v=""/>
    <x v="2"/>
  </r>
  <r>
    <x v="7"/>
    <x v="1109"/>
    <n v="12"/>
    <m/>
    <x v="5"/>
    <s v=""/>
    <s v=""/>
    <s v=""/>
    <s v=""/>
    <s v=""/>
    <s v=""/>
    <s v=""/>
    <s v=""/>
    <s v=""/>
    <s v=""/>
    <s v=""/>
    <s v=""/>
    <s v=""/>
    <s v=""/>
    <s v=""/>
    <x v="2"/>
  </r>
  <r>
    <x v="7"/>
    <x v="59"/>
    <n v="16"/>
    <n v="1"/>
    <x v="1"/>
    <s v="Active listening"/>
    <s v="The receiver confirms that the message is being"/>
    <s v="received through feedback, questions, prompts"/>
    <s v="for clarity, and other signs of confirmation."/>
    <s v=""/>
    <s v=""/>
    <s v=""/>
    <s v=""/>
    <s v=""/>
    <s v=""/>
    <s v=""/>
    <s v=""/>
    <s v=""/>
    <s v=""/>
    <s v=""/>
    <x v="224"/>
  </r>
  <r>
    <x v="7"/>
    <x v="1110"/>
    <n v="47"/>
    <m/>
    <x v="2"/>
    <s v=""/>
    <s v=""/>
    <s v=""/>
    <s v=""/>
    <s v=""/>
    <s v=""/>
    <s v=""/>
    <s v=""/>
    <s v=""/>
    <s v=""/>
    <s v=""/>
    <s v=""/>
    <s v=""/>
    <s v=""/>
    <s v=""/>
    <x v="2"/>
  </r>
  <r>
    <x v="7"/>
    <x v="1111"/>
    <n v="45"/>
    <m/>
    <x v="3"/>
    <s v=""/>
    <s v=""/>
    <s v=""/>
    <s v=""/>
    <s v=""/>
    <s v=""/>
    <s v=""/>
    <s v=""/>
    <s v=""/>
    <s v=""/>
    <s v=""/>
    <s v=""/>
    <s v=""/>
    <s v=""/>
    <s v=""/>
    <x v="2"/>
  </r>
  <r>
    <x v="7"/>
    <x v="1112"/>
    <n v="45"/>
    <m/>
    <x v="4"/>
    <s v=""/>
    <s v=""/>
    <s v=""/>
    <s v=""/>
    <s v=""/>
    <s v=""/>
    <s v=""/>
    <s v=""/>
    <s v=""/>
    <s v=""/>
    <s v=""/>
    <s v=""/>
    <s v=""/>
    <s v=""/>
    <s v=""/>
    <x v="2"/>
  </r>
  <r>
    <x v="7"/>
    <x v="1113"/>
    <n v="15"/>
    <n v="1"/>
    <x v="1"/>
    <s v="Choice of media"/>
    <s v="The best modality to use when communicating"/>
    <s v="that is relevant to the information being"/>
    <s v="communicated."/>
    <s v=""/>
    <s v=""/>
    <s v=""/>
    <s v=""/>
    <s v=""/>
    <s v=""/>
    <s v=""/>
    <s v=""/>
    <s v=""/>
    <s v=""/>
    <s v=""/>
    <x v="225"/>
  </r>
  <r>
    <x v="7"/>
    <x v="1114"/>
    <n v="43"/>
    <m/>
    <x v="2"/>
    <s v=""/>
    <s v=""/>
    <s v=""/>
    <s v=""/>
    <s v=""/>
    <s v=""/>
    <s v=""/>
    <s v=""/>
    <s v=""/>
    <s v=""/>
    <s v=""/>
    <s v=""/>
    <s v=""/>
    <s v=""/>
    <s v=""/>
    <x v="2"/>
  </r>
  <r>
    <x v="7"/>
    <x v="1115"/>
    <n v="41"/>
    <m/>
    <x v="3"/>
    <s v=""/>
    <s v=""/>
    <s v=""/>
    <s v=""/>
    <s v=""/>
    <s v=""/>
    <s v=""/>
    <s v=""/>
    <s v=""/>
    <s v=""/>
    <s v=""/>
    <s v=""/>
    <s v=""/>
    <s v=""/>
    <s v=""/>
    <x v="2"/>
  </r>
  <r>
    <x v="7"/>
    <x v="1116"/>
    <n v="13"/>
    <m/>
    <x v="4"/>
    <s v=""/>
    <s v=""/>
    <s v=""/>
    <s v=""/>
    <s v=""/>
    <s v=""/>
    <s v=""/>
    <s v=""/>
    <s v=""/>
    <s v=""/>
    <s v=""/>
    <s v=""/>
    <s v=""/>
    <s v=""/>
    <s v=""/>
    <x v="2"/>
  </r>
  <r>
    <x v="7"/>
    <x v="1117"/>
    <n v="25"/>
    <n v="1"/>
    <x v="1"/>
    <s v="Communication assumptions"/>
    <s v="Anything that the project management team"/>
    <s v="believes to be true but hasn’t proven to be true."/>
    <s v="For example, the project management team may"/>
    <s v="assume that all of the project team can be"/>
    <s v="reached via cell phone, but parts of the world, as"/>
    <s v="of this writing, don’t have a cell signal."/>
    <s v=""/>
    <s v=""/>
    <s v=""/>
    <s v=""/>
    <s v=""/>
    <s v=""/>
    <s v=""/>
    <s v=""/>
    <x v="226"/>
  </r>
  <r>
    <x v="7"/>
    <x v="1118"/>
    <n v="41"/>
    <m/>
    <x v="2"/>
    <s v=""/>
    <s v=""/>
    <s v=""/>
    <s v=""/>
    <s v=""/>
    <s v=""/>
    <s v=""/>
    <s v=""/>
    <s v=""/>
    <s v=""/>
    <s v=""/>
    <s v=""/>
    <s v=""/>
    <s v=""/>
    <s v=""/>
    <x v="2"/>
  </r>
  <r>
    <x v="7"/>
    <x v="1119"/>
    <n v="49"/>
    <m/>
    <x v="3"/>
    <s v=""/>
    <s v=""/>
    <s v=""/>
    <s v=""/>
    <s v=""/>
    <s v=""/>
    <s v=""/>
    <s v=""/>
    <s v=""/>
    <s v=""/>
    <s v=""/>
    <s v=""/>
    <s v=""/>
    <s v=""/>
    <s v=""/>
    <x v="2"/>
  </r>
  <r>
    <x v="7"/>
    <x v="1120"/>
    <n v="44"/>
    <m/>
    <x v="4"/>
    <s v=""/>
    <s v=""/>
    <s v=""/>
    <s v=""/>
    <s v=""/>
    <s v=""/>
    <s v=""/>
    <s v=""/>
    <s v=""/>
    <s v=""/>
    <s v=""/>
    <s v=""/>
    <s v=""/>
    <s v=""/>
    <s v=""/>
    <x v="2"/>
  </r>
  <r>
    <x v="7"/>
    <x v="1121"/>
    <n v="42"/>
    <m/>
    <x v="5"/>
    <s v=""/>
    <s v=""/>
    <s v=""/>
    <s v=""/>
    <s v=""/>
    <s v=""/>
    <s v=""/>
    <s v=""/>
    <s v=""/>
    <s v=""/>
    <s v=""/>
    <s v=""/>
    <s v=""/>
    <s v=""/>
    <s v=""/>
    <x v="2"/>
  </r>
  <r>
    <x v="7"/>
    <x v="1122"/>
    <n v="50"/>
    <m/>
    <x v="6"/>
    <s v=""/>
    <s v=""/>
    <s v=""/>
    <s v=""/>
    <s v=""/>
    <s v=""/>
    <s v=""/>
    <s v=""/>
    <s v=""/>
    <s v=""/>
    <s v=""/>
    <s v=""/>
    <s v=""/>
    <s v=""/>
    <s v=""/>
    <x v="2"/>
  </r>
  <r>
    <x v="7"/>
    <x v="1123"/>
    <n v="42"/>
    <m/>
    <x v="7"/>
    <s v=""/>
    <s v=""/>
    <s v=""/>
    <s v=""/>
    <s v=""/>
    <s v=""/>
    <s v=""/>
    <s v=""/>
    <s v=""/>
    <s v=""/>
    <s v=""/>
    <s v=""/>
    <s v=""/>
    <s v=""/>
    <s v=""/>
    <x v="2"/>
  </r>
  <r>
    <x v="7"/>
    <x v="1124"/>
    <n v="21"/>
    <n v="1"/>
    <x v="1"/>
    <s v="Communication barrier"/>
    <s v="Anything that prohibits communication from"/>
    <s v="occurring."/>
    <s v=""/>
    <s v=""/>
    <s v=""/>
    <s v=""/>
    <s v=""/>
    <s v=""/>
    <s v=""/>
    <s v=""/>
    <s v=""/>
    <s v=""/>
    <s v=""/>
    <s v=""/>
    <x v="227"/>
  </r>
  <r>
    <x v="7"/>
    <x v="1125"/>
    <n v="42"/>
    <m/>
    <x v="2"/>
    <s v=""/>
    <s v=""/>
    <s v=""/>
    <s v=""/>
    <s v=""/>
    <s v=""/>
    <s v=""/>
    <s v=""/>
    <s v=""/>
    <s v=""/>
    <s v=""/>
    <s v=""/>
    <s v=""/>
    <s v=""/>
    <s v=""/>
    <x v="2"/>
  </r>
  <r>
    <x v="7"/>
    <x v="1126"/>
    <n v="10"/>
    <m/>
    <x v="3"/>
    <s v=""/>
    <s v=""/>
    <s v=""/>
    <s v=""/>
    <s v=""/>
    <s v=""/>
    <s v=""/>
    <s v=""/>
    <s v=""/>
    <s v=""/>
    <s v=""/>
    <s v=""/>
    <s v=""/>
    <s v=""/>
    <s v=""/>
    <x v="2"/>
  </r>
  <r>
    <x v="7"/>
    <x v="1127"/>
    <n v="30"/>
    <n v="1"/>
    <x v="1"/>
    <s v="Communication channels formula"/>
    <s v="N(N – 1)/2, where N represents the number of"/>
    <s v="identified stakeholders. This formula reveals the"/>
    <s v="total number of communication channels within"/>
    <s v="a project."/>
    <s v=""/>
    <s v=""/>
    <s v=""/>
    <s v=""/>
    <s v=""/>
    <s v=""/>
    <s v=""/>
    <s v=""/>
    <s v=""/>
    <s v=""/>
    <x v="228"/>
  </r>
  <r>
    <x v="7"/>
    <x v="1128"/>
    <n v="44"/>
    <m/>
    <x v="2"/>
    <s v=""/>
    <s v=""/>
    <s v=""/>
    <s v=""/>
    <s v=""/>
    <s v=""/>
    <s v=""/>
    <s v=""/>
    <s v=""/>
    <s v=""/>
    <s v=""/>
    <s v=""/>
    <s v=""/>
    <s v=""/>
    <s v=""/>
    <x v="2"/>
  </r>
  <r>
    <x v="7"/>
    <x v="1129"/>
    <n v="49"/>
    <m/>
    <x v="3"/>
    <s v=""/>
    <s v=""/>
    <s v=""/>
    <s v=""/>
    <s v=""/>
    <s v=""/>
    <s v=""/>
    <s v=""/>
    <s v=""/>
    <s v=""/>
    <s v=""/>
    <s v=""/>
    <s v=""/>
    <s v=""/>
    <s v=""/>
    <x v="2"/>
  </r>
  <r>
    <x v="7"/>
    <x v="1130"/>
    <n v="45"/>
    <m/>
    <x v="4"/>
    <s v=""/>
    <s v=""/>
    <s v=""/>
    <s v=""/>
    <s v=""/>
    <s v=""/>
    <s v=""/>
    <s v=""/>
    <s v=""/>
    <s v=""/>
    <s v=""/>
    <s v=""/>
    <s v=""/>
    <s v=""/>
    <s v=""/>
    <x v="2"/>
  </r>
  <r>
    <x v="7"/>
    <x v="1131"/>
    <n v="10"/>
    <m/>
    <x v="5"/>
    <s v=""/>
    <s v=""/>
    <s v=""/>
    <s v=""/>
    <s v=""/>
    <s v=""/>
    <s v=""/>
    <s v=""/>
    <s v=""/>
    <s v=""/>
    <s v=""/>
    <s v=""/>
    <s v=""/>
    <s v=""/>
    <s v=""/>
    <x v="2"/>
  </r>
  <r>
    <x v="7"/>
    <x v="1132"/>
    <n v="25"/>
    <n v="1"/>
    <x v="1"/>
    <s v="Communication constraints"/>
    <s v="Anything that limits the project management"/>
    <s v="team’s options. When it comes to"/>
    <s v="communication constraints, geographical locales,"/>
    <s v="incompatible communications software, and"/>
    <s v="even limited communications technology can"/>
    <s v="constrain the project team."/>
    <s v=""/>
    <s v=""/>
    <s v=""/>
    <s v=""/>
    <s v=""/>
    <s v=""/>
    <s v=""/>
    <s v=""/>
    <x v="229"/>
  </r>
  <r>
    <x v="7"/>
    <x v="1133"/>
    <n v="43"/>
    <m/>
    <x v="2"/>
    <s v=""/>
    <s v=""/>
    <s v=""/>
    <s v=""/>
    <s v=""/>
    <s v=""/>
    <s v=""/>
    <s v=""/>
    <s v=""/>
    <s v=""/>
    <s v=""/>
    <s v=""/>
    <s v=""/>
    <s v=""/>
    <s v=""/>
    <x v="2"/>
  </r>
  <r>
    <x v="7"/>
    <x v="1134"/>
    <n v="32"/>
    <m/>
    <x v="3"/>
    <s v=""/>
    <s v=""/>
    <s v=""/>
    <s v=""/>
    <s v=""/>
    <s v=""/>
    <s v=""/>
    <s v=""/>
    <s v=""/>
    <s v=""/>
    <s v=""/>
    <s v=""/>
    <s v=""/>
    <s v=""/>
    <s v=""/>
    <x v="2"/>
  </r>
  <r>
    <x v="7"/>
    <x v="1135"/>
    <n v="48"/>
    <m/>
    <x v="4"/>
    <s v=""/>
    <s v=""/>
    <s v=""/>
    <s v=""/>
    <s v=""/>
    <s v=""/>
    <s v=""/>
    <s v=""/>
    <s v=""/>
    <s v=""/>
    <s v=""/>
    <s v=""/>
    <s v=""/>
    <s v=""/>
    <s v=""/>
    <x v="2"/>
  </r>
  <r>
    <x v="7"/>
    <x v="1136"/>
    <n v="41"/>
    <m/>
    <x v="5"/>
    <s v=""/>
    <s v=""/>
    <s v=""/>
    <s v=""/>
    <s v=""/>
    <s v=""/>
    <s v=""/>
    <s v=""/>
    <s v=""/>
    <s v=""/>
    <s v=""/>
    <s v=""/>
    <s v=""/>
    <s v=""/>
    <s v=""/>
    <x v="2"/>
  </r>
  <r>
    <x v="7"/>
    <x v="1137"/>
    <n v="42"/>
    <m/>
    <x v="6"/>
    <s v=""/>
    <s v=""/>
    <s v=""/>
    <s v=""/>
    <s v=""/>
    <s v=""/>
    <s v=""/>
    <s v=""/>
    <s v=""/>
    <s v=""/>
    <s v=""/>
    <s v=""/>
    <s v=""/>
    <s v=""/>
    <s v=""/>
    <x v="2"/>
  </r>
  <r>
    <x v="7"/>
    <x v="1138"/>
    <n v="27"/>
    <m/>
    <x v="7"/>
    <s v=""/>
    <s v=""/>
    <s v=""/>
    <s v=""/>
    <s v=""/>
    <s v=""/>
    <s v=""/>
    <s v=""/>
    <s v=""/>
    <s v=""/>
    <s v=""/>
    <s v=""/>
    <s v=""/>
    <s v=""/>
    <s v=""/>
    <x v="2"/>
  </r>
  <r>
    <x v="7"/>
    <x v="189"/>
    <n v="30"/>
    <n v="1"/>
    <x v="1"/>
    <s v="Communications management plan"/>
    <s v="A project management subsidiary plan that"/>
    <s v="defines the stakeholders who need specific"/>
    <s v="information, the person who will supply the"/>
    <s v="information, the schedule for the information to"/>
    <s v="be supplied, and the approved modality to"/>
    <s v="provide the information."/>
    <s v=""/>
    <s v=""/>
    <s v=""/>
    <s v=""/>
    <s v=""/>
    <s v=""/>
    <s v=""/>
    <s v=""/>
    <x v="230"/>
  </r>
  <r>
    <x v="7"/>
    <x v="1139"/>
    <n v="41"/>
    <m/>
    <x v="2"/>
    <s v=""/>
    <s v=""/>
    <s v=""/>
    <s v=""/>
    <s v=""/>
    <s v=""/>
    <s v=""/>
    <s v=""/>
    <s v=""/>
    <s v=""/>
    <s v=""/>
    <s v=""/>
    <s v=""/>
    <s v=""/>
    <s v=""/>
    <x v="2"/>
  </r>
  <r>
    <x v="7"/>
    <x v="1140"/>
    <n v="42"/>
    <m/>
    <x v="3"/>
    <s v=""/>
    <s v=""/>
    <s v=""/>
    <s v=""/>
    <s v=""/>
    <s v=""/>
    <s v=""/>
    <s v=""/>
    <s v=""/>
    <s v=""/>
    <s v=""/>
    <s v=""/>
    <s v=""/>
    <s v=""/>
    <s v=""/>
    <x v="2"/>
  </r>
  <r>
    <x v="7"/>
    <x v="1141"/>
    <n v="43"/>
    <m/>
    <x v="4"/>
    <s v=""/>
    <s v=""/>
    <s v=""/>
    <s v=""/>
    <s v=""/>
    <s v=""/>
    <s v=""/>
    <s v=""/>
    <s v=""/>
    <s v=""/>
    <s v=""/>
    <s v=""/>
    <s v=""/>
    <s v=""/>
    <s v=""/>
    <x v="2"/>
  </r>
  <r>
    <x v="7"/>
    <x v="1142"/>
    <n v="48"/>
    <m/>
    <x v="5"/>
    <s v=""/>
    <s v=""/>
    <s v=""/>
    <s v=""/>
    <s v=""/>
    <s v=""/>
    <s v=""/>
    <s v=""/>
    <s v=""/>
    <s v=""/>
    <s v=""/>
    <s v=""/>
    <s v=""/>
    <s v=""/>
    <s v=""/>
    <x v="2"/>
  </r>
  <r>
    <x v="7"/>
    <x v="1143"/>
    <n v="41"/>
    <m/>
    <x v="6"/>
    <s v=""/>
    <s v=""/>
    <s v=""/>
    <s v=""/>
    <s v=""/>
    <s v=""/>
    <s v=""/>
    <s v=""/>
    <s v=""/>
    <s v=""/>
    <s v=""/>
    <s v=""/>
    <s v=""/>
    <s v=""/>
    <s v=""/>
    <x v="2"/>
  </r>
  <r>
    <x v="7"/>
    <x v="1144"/>
    <n v="24"/>
    <m/>
    <x v="7"/>
    <s v=""/>
    <s v=""/>
    <s v=""/>
    <s v=""/>
    <s v=""/>
    <s v=""/>
    <s v=""/>
    <s v=""/>
    <s v=""/>
    <s v=""/>
    <s v=""/>
    <s v=""/>
    <s v=""/>
    <s v=""/>
    <s v=""/>
    <x v="2"/>
  </r>
  <r>
    <x v="7"/>
    <x v="1145"/>
    <n v="7"/>
    <n v="1"/>
    <x v="1"/>
    <s v="Decoder"/>
    <s v="The device that decodes a message as it is being"/>
    <s v="received."/>
    <s v=""/>
    <s v=""/>
    <s v=""/>
    <s v=""/>
    <s v=""/>
    <s v=""/>
    <s v=""/>
    <s v=""/>
    <s v=""/>
    <s v=""/>
    <s v=""/>
    <s v=""/>
    <x v="231"/>
  </r>
  <r>
    <x v="7"/>
    <x v="1146"/>
    <n v="48"/>
    <m/>
    <x v="2"/>
    <s v=""/>
    <s v=""/>
    <s v=""/>
    <s v=""/>
    <s v=""/>
    <s v=""/>
    <s v=""/>
    <s v=""/>
    <s v=""/>
    <s v=""/>
    <s v=""/>
    <s v=""/>
    <s v=""/>
    <s v=""/>
    <s v=""/>
    <x v="2"/>
  </r>
  <r>
    <x v="7"/>
    <x v="1147"/>
    <n v="9"/>
    <m/>
    <x v="3"/>
    <s v=""/>
    <s v=""/>
    <s v=""/>
    <s v=""/>
    <s v=""/>
    <s v=""/>
    <s v=""/>
    <s v=""/>
    <s v=""/>
    <s v=""/>
    <s v=""/>
    <s v=""/>
    <s v=""/>
    <s v=""/>
    <s v=""/>
    <x v="2"/>
  </r>
  <r>
    <x v="7"/>
    <x v="1148"/>
    <n v="19"/>
    <n v="1"/>
    <x v="1"/>
    <s v="Effective listening"/>
    <s v="The receiver is involved in the listening"/>
    <s v="experience by paying attention to visual cues"/>
    <s v="from the speaker and paralingual characteristics,"/>
    <s v="and by asking relevant questions."/>
    <s v="Encoder The device that encodes the message being sent."/>
    <s v=""/>
    <s v=""/>
    <s v=""/>
    <s v=""/>
    <s v=""/>
    <s v=""/>
    <s v=""/>
    <s v=""/>
    <s v=""/>
    <x v="232"/>
  </r>
  <r>
    <x v="7"/>
    <x v="1149"/>
    <n v="41"/>
    <m/>
    <x v="2"/>
    <s v=""/>
    <s v=""/>
    <s v=""/>
    <s v=""/>
    <s v=""/>
    <s v=""/>
    <s v=""/>
    <s v=""/>
    <s v=""/>
    <s v=""/>
    <s v=""/>
    <s v=""/>
    <s v=""/>
    <s v=""/>
    <s v=""/>
    <x v="2"/>
  </r>
  <r>
    <x v="7"/>
    <x v="1150"/>
    <n v="45"/>
    <m/>
    <x v="3"/>
    <s v=""/>
    <s v=""/>
    <s v=""/>
    <s v=""/>
    <s v=""/>
    <s v=""/>
    <s v=""/>
    <s v=""/>
    <s v=""/>
    <s v=""/>
    <s v=""/>
    <s v=""/>
    <s v=""/>
    <s v=""/>
    <s v=""/>
    <x v="2"/>
  </r>
  <r>
    <x v="7"/>
    <x v="1151"/>
    <n v="49"/>
    <m/>
    <x v="4"/>
    <s v=""/>
    <s v=""/>
    <s v=""/>
    <s v=""/>
    <s v=""/>
    <s v=""/>
    <s v=""/>
    <s v=""/>
    <s v=""/>
    <s v=""/>
    <s v=""/>
    <s v=""/>
    <s v=""/>
    <s v=""/>
    <s v=""/>
    <x v="2"/>
  </r>
  <r>
    <x v="7"/>
    <x v="1152"/>
    <n v="33"/>
    <m/>
    <x v="5"/>
    <s v=""/>
    <s v=""/>
    <s v=""/>
    <s v=""/>
    <s v=""/>
    <s v=""/>
    <s v=""/>
    <s v=""/>
    <s v=""/>
    <s v=""/>
    <s v=""/>
    <s v=""/>
    <s v=""/>
    <s v=""/>
    <s v=""/>
    <x v="2"/>
  </r>
  <r>
    <x v="7"/>
    <x v="1153"/>
    <n v="55"/>
    <m/>
    <x v="6"/>
    <s v=""/>
    <s v=""/>
    <s v=""/>
    <s v=""/>
    <s v=""/>
    <s v=""/>
    <s v=""/>
    <s v=""/>
    <s v=""/>
    <s v=""/>
    <s v=""/>
    <s v=""/>
    <s v=""/>
    <s v=""/>
    <s v=""/>
    <x v="2"/>
  </r>
  <r>
    <x v="7"/>
    <x v="1154"/>
    <n v="8"/>
    <n v="1"/>
    <x v="1"/>
    <s v="Feedback"/>
    <s v="The sender confirms that the receiver"/>
    <s v="understands the message by directly asking for a"/>
    <s v="response, questions for clarification, or other"/>
    <s v="confirmation."/>
    <s v=""/>
    <s v=""/>
    <s v=""/>
    <s v=""/>
    <s v=""/>
    <s v=""/>
    <s v=""/>
    <s v=""/>
    <s v=""/>
    <s v=""/>
    <x v="233"/>
  </r>
  <r>
    <x v="7"/>
    <x v="1155"/>
    <n v="37"/>
    <m/>
    <x v="2"/>
    <s v=""/>
    <s v=""/>
    <s v=""/>
    <s v=""/>
    <s v=""/>
    <s v=""/>
    <s v=""/>
    <s v=""/>
    <s v=""/>
    <s v=""/>
    <s v=""/>
    <s v=""/>
    <s v=""/>
    <s v=""/>
    <s v=""/>
    <x v="2"/>
  </r>
  <r>
    <x v="7"/>
    <x v="1156"/>
    <n v="48"/>
    <m/>
    <x v="3"/>
    <s v=""/>
    <s v=""/>
    <s v=""/>
    <s v=""/>
    <s v=""/>
    <s v=""/>
    <s v=""/>
    <s v=""/>
    <s v=""/>
    <s v=""/>
    <s v=""/>
    <s v=""/>
    <s v=""/>
    <s v=""/>
    <s v=""/>
    <x v="2"/>
  </r>
  <r>
    <x v="7"/>
    <x v="1157"/>
    <n v="47"/>
    <m/>
    <x v="4"/>
    <s v=""/>
    <s v=""/>
    <s v=""/>
    <s v=""/>
    <s v=""/>
    <s v=""/>
    <s v=""/>
    <s v=""/>
    <s v=""/>
    <s v=""/>
    <s v=""/>
    <s v=""/>
    <s v=""/>
    <s v=""/>
    <s v=""/>
    <x v="2"/>
  </r>
  <r>
    <x v="7"/>
    <x v="1158"/>
    <n v="13"/>
    <m/>
    <x v="5"/>
    <s v=""/>
    <s v=""/>
    <s v=""/>
    <s v=""/>
    <s v=""/>
    <s v=""/>
    <s v=""/>
    <s v=""/>
    <s v=""/>
    <s v=""/>
    <s v=""/>
    <s v=""/>
    <s v=""/>
    <s v=""/>
    <s v=""/>
    <x v="2"/>
  </r>
  <r>
    <x v="7"/>
    <x v="1159"/>
    <n v="21"/>
    <n v="1"/>
    <x v="1"/>
    <s v="Influence/impact grid"/>
    <s v="Stakeholders are mapped on a grid based on"/>
    <s v="their influence over the project in relation to"/>
    <s v="their influence over the project execution."/>
    <s v=""/>
    <s v=""/>
    <s v=""/>
    <s v=""/>
    <s v=""/>
    <s v=""/>
    <s v=""/>
    <s v=""/>
    <s v=""/>
    <s v=""/>
    <s v=""/>
    <x v="234"/>
  </r>
  <r>
    <x v="7"/>
    <x v="1160"/>
    <n v="42"/>
    <m/>
    <x v="2"/>
    <s v=""/>
    <s v=""/>
    <s v=""/>
    <s v=""/>
    <s v=""/>
    <s v=""/>
    <s v=""/>
    <s v=""/>
    <s v=""/>
    <s v=""/>
    <s v=""/>
    <s v=""/>
    <s v=""/>
    <s v=""/>
    <s v=""/>
    <x v="2"/>
  </r>
  <r>
    <x v="7"/>
    <x v="1161"/>
    <n v="47"/>
    <m/>
    <x v="3"/>
    <s v=""/>
    <s v=""/>
    <s v=""/>
    <s v=""/>
    <s v=""/>
    <s v=""/>
    <s v=""/>
    <s v=""/>
    <s v=""/>
    <s v=""/>
    <s v=""/>
    <s v=""/>
    <s v=""/>
    <s v=""/>
    <s v=""/>
    <x v="2"/>
  </r>
  <r>
    <x v="7"/>
    <x v="1162"/>
    <n v="43"/>
    <m/>
    <x v="4"/>
    <s v=""/>
    <s v=""/>
    <s v=""/>
    <s v=""/>
    <s v=""/>
    <s v=""/>
    <s v=""/>
    <s v=""/>
    <s v=""/>
    <s v=""/>
    <s v=""/>
    <s v=""/>
    <s v=""/>
    <s v=""/>
    <s v=""/>
    <x v="2"/>
  </r>
  <r>
    <x v="7"/>
    <x v="1163"/>
    <n v="30"/>
    <n v="1"/>
    <x v="1"/>
    <s v="Information presentation tools"/>
    <s v="A software package that allows the project"/>
    <s v="management team to present the project’s"/>
    <s v="health through graphics, spreadsheets, and text."/>
    <s v="(Think of Microsoft Project.)"/>
    <s v=""/>
    <s v=""/>
    <s v=""/>
    <s v=""/>
    <s v=""/>
    <s v=""/>
    <s v=""/>
    <s v=""/>
    <s v=""/>
    <s v=""/>
    <x v="235"/>
  </r>
  <r>
    <x v="7"/>
    <x v="1164"/>
    <n v="42"/>
    <m/>
    <x v="2"/>
    <s v=""/>
    <s v=""/>
    <s v=""/>
    <s v=""/>
    <s v=""/>
    <s v=""/>
    <s v=""/>
    <s v=""/>
    <s v=""/>
    <s v=""/>
    <s v=""/>
    <s v=""/>
    <s v=""/>
    <s v=""/>
    <s v=""/>
    <x v="2"/>
  </r>
  <r>
    <x v="7"/>
    <x v="1165"/>
    <n v="40"/>
    <m/>
    <x v="3"/>
    <s v=""/>
    <s v=""/>
    <s v=""/>
    <s v=""/>
    <s v=""/>
    <s v=""/>
    <s v=""/>
    <s v=""/>
    <s v=""/>
    <s v=""/>
    <s v=""/>
    <s v=""/>
    <s v=""/>
    <s v=""/>
    <s v=""/>
    <x v="2"/>
  </r>
  <r>
    <x v="7"/>
    <x v="1166"/>
    <n v="48"/>
    <m/>
    <x v="4"/>
    <s v=""/>
    <s v=""/>
    <s v=""/>
    <s v=""/>
    <s v=""/>
    <s v=""/>
    <s v=""/>
    <s v=""/>
    <s v=""/>
    <s v=""/>
    <s v=""/>
    <s v=""/>
    <s v=""/>
    <s v=""/>
    <s v=""/>
    <x v="2"/>
  </r>
  <r>
    <x v="7"/>
    <x v="1167"/>
    <n v="29"/>
    <m/>
    <x v="5"/>
    <s v=""/>
    <s v=""/>
    <s v=""/>
    <s v=""/>
    <s v=""/>
    <s v=""/>
    <s v=""/>
    <s v=""/>
    <s v=""/>
    <s v=""/>
    <s v=""/>
    <s v=""/>
    <s v=""/>
    <s v=""/>
    <s v=""/>
    <x v="2"/>
  </r>
  <r>
    <x v="7"/>
    <x v="1168"/>
    <n v="28"/>
    <n v="1"/>
    <x v="1"/>
    <s v="Information retrieval system"/>
    <s v="A system to quickly and effectively store, archive,"/>
    <s v="and access project information."/>
    <s v=""/>
    <s v=""/>
    <s v=""/>
    <s v=""/>
    <s v=""/>
    <s v=""/>
    <s v=""/>
    <s v=""/>
    <s v=""/>
    <s v=""/>
    <s v=""/>
    <s v=""/>
    <x v="236"/>
  </r>
  <r>
    <x v="7"/>
    <x v="1169"/>
    <n v="51"/>
    <m/>
    <x v="2"/>
    <s v=""/>
    <s v=""/>
    <s v=""/>
    <s v=""/>
    <s v=""/>
    <s v=""/>
    <s v=""/>
    <s v=""/>
    <s v=""/>
    <s v=""/>
    <s v=""/>
    <s v=""/>
    <s v=""/>
    <s v=""/>
    <s v=""/>
    <x v="2"/>
  </r>
  <r>
    <x v="7"/>
    <x v="1170"/>
    <n v="31"/>
    <m/>
    <x v="3"/>
    <s v=""/>
    <s v=""/>
    <s v=""/>
    <s v=""/>
    <s v=""/>
    <s v=""/>
    <s v=""/>
    <s v=""/>
    <s v=""/>
    <s v=""/>
    <s v=""/>
    <s v=""/>
    <s v=""/>
    <s v=""/>
    <s v=""/>
    <x v="2"/>
  </r>
  <r>
    <x v="7"/>
    <x v="1171"/>
    <n v="25"/>
    <n v="1"/>
    <x v="1"/>
    <s v="Interactive communication"/>
    <s v="This is the most common and most effective"/>
    <s v="approach to communication. It’s where two or"/>
    <s v="more people exchange information. Consider"/>
    <s v="status meetings, ad-hoc meetings, phone calls,"/>
    <s v="and videoconferences."/>
    <s v=""/>
    <s v=""/>
    <s v=""/>
    <s v=""/>
    <s v=""/>
    <s v=""/>
    <s v=""/>
    <s v=""/>
    <s v=""/>
    <x v="237"/>
  </r>
  <r>
    <x v="7"/>
    <x v="1172"/>
    <n v="42"/>
    <m/>
    <x v="2"/>
    <s v=""/>
    <s v=""/>
    <s v=""/>
    <s v=""/>
    <s v=""/>
    <s v=""/>
    <s v=""/>
    <s v=""/>
    <s v=""/>
    <s v=""/>
    <s v=""/>
    <s v=""/>
    <s v=""/>
    <s v=""/>
    <s v=""/>
    <x v="2"/>
  </r>
  <r>
    <x v="7"/>
    <x v="1173"/>
    <n v="44"/>
    <m/>
    <x v="3"/>
    <s v=""/>
    <s v=""/>
    <s v=""/>
    <s v=""/>
    <s v=""/>
    <s v=""/>
    <s v=""/>
    <s v=""/>
    <s v=""/>
    <s v=""/>
    <s v=""/>
    <s v=""/>
    <s v=""/>
    <s v=""/>
    <s v=""/>
    <x v="2"/>
  </r>
  <r>
    <x v="7"/>
    <x v="1174"/>
    <n v="42"/>
    <m/>
    <x v="4"/>
    <s v=""/>
    <s v=""/>
    <s v=""/>
    <s v=""/>
    <s v=""/>
    <s v=""/>
    <s v=""/>
    <s v=""/>
    <s v=""/>
    <s v=""/>
    <s v=""/>
    <s v=""/>
    <s v=""/>
    <s v=""/>
    <s v=""/>
    <x v="2"/>
  </r>
  <r>
    <x v="7"/>
    <x v="1175"/>
    <n v="46"/>
    <m/>
    <x v="5"/>
    <s v=""/>
    <s v=""/>
    <s v=""/>
    <s v=""/>
    <s v=""/>
    <s v=""/>
    <s v=""/>
    <s v=""/>
    <s v=""/>
    <s v=""/>
    <s v=""/>
    <s v=""/>
    <s v=""/>
    <s v=""/>
    <s v=""/>
    <x v="2"/>
  </r>
  <r>
    <x v="7"/>
    <x v="1176"/>
    <n v="21"/>
    <m/>
    <x v="6"/>
    <s v=""/>
    <s v=""/>
    <s v=""/>
    <s v=""/>
    <s v=""/>
    <s v=""/>
    <s v=""/>
    <s v=""/>
    <s v=""/>
    <s v=""/>
    <s v=""/>
    <s v=""/>
    <s v=""/>
    <s v=""/>
    <s v=""/>
    <x v="2"/>
  </r>
  <r>
    <x v="7"/>
    <x v="1177"/>
    <n v="15"/>
    <n v="1"/>
    <x v="1"/>
    <s v="Lessons learned"/>
    <s v="This is documentation of what did and did not"/>
    <s v="work in the project implementation. Lessons"/>
    <s v="learned documentation is created throughout"/>
    <s v="the project by the entire project team. When"/>
    <s v="lessons learned sessions are completed, they’re"/>
    <s v="available to be used and applied by the entire"/>
    <s v="organization. They are now part of the"/>
    <s v="organizational process assets."/>
    <s v=""/>
    <s v=""/>
    <s v=""/>
    <s v=""/>
    <s v=""/>
    <s v=""/>
    <x v="238"/>
  </r>
  <r>
    <x v="7"/>
    <x v="1178"/>
    <n v="45"/>
    <m/>
    <x v="2"/>
    <s v=""/>
    <s v=""/>
    <s v=""/>
    <s v=""/>
    <s v=""/>
    <s v=""/>
    <s v=""/>
    <s v=""/>
    <s v=""/>
    <s v=""/>
    <s v=""/>
    <s v=""/>
    <s v=""/>
    <s v=""/>
    <s v=""/>
    <x v="2"/>
  </r>
  <r>
    <x v="7"/>
    <x v="1179"/>
    <n v="43"/>
    <m/>
    <x v="3"/>
    <s v=""/>
    <s v=""/>
    <s v=""/>
    <s v=""/>
    <s v=""/>
    <s v=""/>
    <s v=""/>
    <s v=""/>
    <s v=""/>
    <s v=""/>
    <s v=""/>
    <s v=""/>
    <s v=""/>
    <s v=""/>
    <s v=""/>
    <x v="2"/>
  </r>
  <r>
    <x v="7"/>
    <x v="1180"/>
    <n v="43"/>
    <m/>
    <x v="4"/>
    <s v=""/>
    <s v=""/>
    <s v=""/>
    <s v=""/>
    <s v=""/>
    <s v=""/>
    <s v=""/>
    <s v=""/>
    <s v=""/>
    <s v=""/>
    <s v=""/>
    <s v=""/>
    <s v=""/>
    <s v=""/>
    <s v=""/>
    <x v="2"/>
  </r>
  <r>
    <x v="7"/>
    <x v="1181"/>
    <n v="44"/>
    <m/>
    <x v="5"/>
    <s v=""/>
    <s v=""/>
    <s v=""/>
    <s v=""/>
    <s v=""/>
    <s v=""/>
    <s v=""/>
    <s v=""/>
    <s v=""/>
    <s v=""/>
    <s v=""/>
    <s v=""/>
    <s v=""/>
    <s v=""/>
    <s v=""/>
    <x v="2"/>
  </r>
  <r>
    <x v="7"/>
    <x v="1182"/>
    <n v="47"/>
    <m/>
    <x v="6"/>
    <s v=""/>
    <s v=""/>
    <s v=""/>
    <s v=""/>
    <s v=""/>
    <s v=""/>
    <s v=""/>
    <s v=""/>
    <s v=""/>
    <s v=""/>
    <s v=""/>
    <s v=""/>
    <s v=""/>
    <s v=""/>
    <s v=""/>
    <x v="2"/>
  </r>
  <r>
    <x v="7"/>
    <x v="1183"/>
    <n v="46"/>
    <m/>
    <x v="7"/>
    <s v=""/>
    <s v=""/>
    <s v=""/>
    <s v=""/>
    <s v=""/>
    <s v=""/>
    <s v=""/>
    <s v=""/>
    <s v=""/>
    <s v=""/>
    <s v=""/>
    <s v=""/>
    <s v=""/>
    <s v=""/>
    <s v=""/>
    <x v="2"/>
  </r>
  <r>
    <x v="7"/>
    <x v="1184"/>
    <n v="38"/>
    <m/>
    <x v="8"/>
    <s v=""/>
    <s v=""/>
    <s v=""/>
    <s v=""/>
    <s v=""/>
    <s v=""/>
    <s v=""/>
    <s v=""/>
    <s v=""/>
    <s v=""/>
    <s v=""/>
    <s v=""/>
    <s v=""/>
    <s v=""/>
    <s v=""/>
    <x v="2"/>
  </r>
  <r>
    <x v="7"/>
    <x v="1185"/>
    <n v="30"/>
    <m/>
    <x v="9"/>
    <s v=""/>
    <s v=""/>
    <s v=""/>
    <s v=""/>
    <s v=""/>
    <s v=""/>
    <s v=""/>
    <s v=""/>
    <s v=""/>
    <s v=""/>
    <s v=""/>
    <s v=""/>
    <s v=""/>
    <s v=""/>
    <s v=""/>
    <x v="2"/>
  </r>
  <r>
    <x v="7"/>
    <x v="1186"/>
    <n v="6"/>
    <n v="1"/>
    <x v="1"/>
    <s v="Medium"/>
    <s v="The device or technology that transports a"/>
    <s v="message."/>
    <s v=""/>
    <s v=""/>
    <s v=""/>
    <s v=""/>
    <s v=""/>
    <s v=""/>
    <s v=""/>
    <s v=""/>
    <s v=""/>
    <s v=""/>
    <s v=""/>
    <s v=""/>
    <x v="239"/>
  </r>
  <r>
    <x v="7"/>
    <x v="1187"/>
    <n v="42"/>
    <m/>
    <x v="2"/>
    <s v=""/>
    <s v=""/>
    <s v=""/>
    <s v=""/>
    <s v=""/>
    <s v=""/>
    <s v=""/>
    <s v=""/>
    <s v=""/>
    <s v=""/>
    <s v=""/>
    <s v=""/>
    <s v=""/>
    <s v=""/>
    <s v=""/>
    <x v="2"/>
  </r>
  <r>
    <x v="7"/>
    <x v="1188"/>
    <n v="8"/>
    <m/>
    <x v="3"/>
    <s v=""/>
    <s v=""/>
    <s v=""/>
    <s v=""/>
    <s v=""/>
    <s v=""/>
    <s v=""/>
    <s v=""/>
    <s v=""/>
    <s v=""/>
    <s v=""/>
    <s v=""/>
    <s v=""/>
    <s v=""/>
    <s v=""/>
    <x v="2"/>
  </r>
  <r>
    <x v="7"/>
    <x v="1189"/>
    <n v="5"/>
    <n v="1"/>
    <x v="1"/>
    <s v="Noise"/>
    <s v="Anything that interferes with or disrupts a"/>
    <s v="message."/>
    <s v=""/>
    <s v=""/>
    <s v=""/>
    <s v=""/>
    <s v=""/>
    <s v=""/>
    <s v=""/>
    <s v=""/>
    <s v=""/>
    <s v=""/>
    <s v=""/>
    <s v=""/>
    <x v="240"/>
  </r>
  <r>
    <x v="7"/>
    <x v="1190"/>
    <n v="43"/>
    <m/>
    <x v="2"/>
    <s v=""/>
    <s v=""/>
    <s v=""/>
    <s v=""/>
    <s v=""/>
    <s v=""/>
    <s v=""/>
    <s v=""/>
    <s v=""/>
    <s v=""/>
    <s v=""/>
    <s v=""/>
    <s v=""/>
    <s v=""/>
    <s v=""/>
    <x v="2"/>
  </r>
  <r>
    <x v="7"/>
    <x v="1188"/>
    <n v="8"/>
    <m/>
    <x v="3"/>
    <s v=""/>
    <s v=""/>
    <s v=""/>
    <s v=""/>
    <s v=""/>
    <s v=""/>
    <s v=""/>
    <s v=""/>
    <s v=""/>
    <s v=""/>
    <s v=""/>
    <s v=""/>
    <s v=""/>
    <s v=""/>
    <s v=""/>
    <x v="2"/>
  </r>
  <r>
    <x v="7"/>
    <x v="1191"/>
    <n v="9"/>
    <n v="1"/>
    <x v="1"/>
    <s v="Nonverbal"/>
    <s v="Facial expressions, hand gestures, and body"/>
    <s v="language are nonverbal cues that contribute to a"/>
    <s v="message. Approximately 55 percent of"/>
    <s v="communication is nonverbal."/>
    <s v=""/>
    <s v=""/>
    <s v=""/>
    <s v=""/>
    <s v=""/>
    <s v=""/>
    <s v=""/>
    <s v=""/>
    <s v=""/>
    <s v=""/>
    <x v="241"/>
  </r>
  <r>
    <x v="7"/>
    <x v="1192"/>
    <n v="43"/>
    <m/>
    <x v="2"/>
    <s v=""/>
    <s v=""/>
    <s v=""/>
    <s v=""/>
    <s v=""/>
    <s v=""/>
    <s v=""/>
    <s v=""/>
    <s v=""/>
    <s v=""/>
    <s v=""/>
    <s v=""/>
    <s v=""/>
    <s v=""/>
    <s v=""/>
    <x v="2"/>
  </r>
  <r>
    <x v="7"/>
    <x v="1193"/>
    <n v="48"/>
    <m/>
    <x v="3"/>
    <s v=""/>
    <s v=""/>
    <s v=""/>
    <s v=""/>
    <s v=""/>
    <s v=""/>
    <s v=""/>
    <s v=""/>
    <s v=""/>
    <s v=""/>
    <s v=""/>
    <s v=""/>
    <s v=""/>
    <s v=""/>
    <s v=""/>
    <x v="2"/>
  </r>
  <r>
    <x v="7"/>
    <x v="1194"/>
    <n v="36"/>
    <m/>
    <x v="4"/>
    <s v=""/>
    <s v=""/>
    <s v=""/>
    <s v=""/>
    <s v=""/>
    <s v=""/>
    <s v=""/>
    <s v=""/>
    <s v=""/>
    <s v=""/>
    <s v=""/>
    <s v=""/>
    <s v=""/>
    <s v=""/>
    <s v=""/>
    <x v="2"/>
  </r>
  <r>
    <x v="7"/>
    <x v="1195"/>
    <n v="27"/>
    <m/>
    <x v="5"/>
    <s v=""/>
    <s v=""/>
    <s v=""/>
    <s v=""/>
    <s v=""/>
    <s v=""/>
    <s v=""/>
    <s v=""/>
    <s v=""/>
    <s v=""/>
    <s v=""/>
    <s v=""/>
    <s v=""/>
    <s v=""/>
    <s v=""/>
    <x v="2"/>
  </r>
  <r>
    <x v="7"/>
    <x v="1196"/>
    <n v="11"/>
    <n v="1"/>
    <x v="1"/>
    <s v="Paralingual"/>
    <s v="The pitch, tone, and inflections in the sender’s"/>
    <s v="voice affecting the message being sent."/>
    <s v=""/>
    <s v=""/>
    <s v=""/>
    <s v=""/>
    <s v=""/>
    <s v=""/>
    <s v=""/>
    <s v=""/>
    <s v=""/>
    <s v=""/>
    <s v=""/>
    <s v=""/>
    <x v="242"/>
  </r>
  <r>
    <x v="7"/>
    <x v="1197"/>
    <n v="48"/>
    <m/>
    <x v="2"/>
    <s v=""/>
    <s v=""/>
    <s v=""/>
    <s v=""/>
    <s v=""/>
    <s v=""/>
    <s v=""/>
    <s v=""/>
    <s v=""/>
    <s v=""/>
    <s v=""/>
    <s v=""/>
    <s v=""/>
    <s v=""/>
    <s v=""/>
    <x v="2"/>
  </r>
  <r>
    <x v="7"/>
    <x v="1198"/>
    <n v="39"/>
    <m/>
    <x v="3"/>
    <s v=""/>
    <s v=""/>
    <s v=""/>
    <s v=""/>
    <s v=""/>
    <s v=""/>
    <s v=""/>
    <s v=""/>
    <s v=""/>
    <s v=""/>
    <s v=""/>
    <s v=""/>
    <s v=""/>
    <s v=""/>
    <s v=""/>
    <x v="2"/>
  </r>
  <r>
    <x v="7"/>
    <x v="1199"/>
    <n v="18"/>
    <n v="1"/>
    <x v="1"/>
    <s v="Performance report"/>
    <s v="A report that depicts how well a project is"/>
    <s v="performing. Often, the performance report is"/>
    <s v="based on earned value management and may"/>
    <s v="include cost or schedule variance reports."/>
    <s v=""/>
    <s v=""/>
    <s v=""/>
    <s v=""/>
    <s v=""/>
    <s v=""/>
    <s v=""/>
    <s v=""/>
    <s v=""/>
    <s v=""/>
    <x v="243"/>
  </r>
  <r>
    <x v="7"/>
    <x v="1200"/>
    <n v="43"/>
    <m/>
    <x v="2"/>
    <s v=""/>
    <s v=""/>
    <s v=""/>
    <s v=""/>
    <s v=""/>
    <s v=""/>
    <s v=""/>
    <s v=""/>
    <s v=""/>
    <s v=""/>
    <s v=""/>
    <s v=""/>
    <s v=""/>
    <s v=""/>
    <s v=""/>
    <x v="2"/>
  </r>
  <r>
    <x v="7"/>
    <x v="1201"/>
    <n v="44"/>
    <m/>
    <x v="3"/>
    <s v=""/>
    <s v=""/>
    <s v=""/>
    <s v=""/>
    <s v=""/>
    <s v=""/>
    <s v=""/>
    <s v=""/>
    <s v=""/>
    <s v=""/>
    <s v=""/>
    <s v=""/>
    <s v=""/>
    <s v=""/>
    <s v=""/>
    <x v="2"/>
  </r>
  <r>
    <x v="7"/>
    <x v="1202"/>
    <n v="40"/>
    <m/>
    <x v="4"/>
    <s v=""/>
    <s v=""/>
    <s v=""/>
    <s v=""/>
    <s v=""/>
    <s v=""/>
    <s v=""/>
    <s v=""/>
    <s v=""/>
    <s v=""/>
    <s v=""/>
    <s v=""/>
    <s v=""/>
    <s v=""/>
    <s v=""/>
    <x v="2"/>
  </r>
  <r>
    <x v="7"/>
    <x v="1203"/>
    <n v="42"/>
    <m/>
    <x v="5"/>
    <s v=""/>
    <s v=""/>
    <s v=""/>
    <s v=""/>
    <s v=""/>
    <s v=""/>
    <s v=""/>
    <s v=""/>
    <s v=""/>
    <s v=""/>
    <s v=""/>
    <s v=""/>
    <s v=""/>
    <s v=""/>
    <s v=""/>
    <x v="2"/>
  </r>
  <r>
    <x v="7"/>
    <x v="1204"/>
    <n v="21"/>
    <n v="1"/>
    <x v="1"/>
    <s v="Project presentations"/>
    <s v="Presentations are useful in providing information"/>
    <s v="to customers, management, the project team,"/>
    <s v="and other stakeholders."/>
    <s v=""/>
    <s v=""/>
    <s v=""/>
    <s v=""/>
    <s v=""/>
    <s v=""/>
    <s v=""/>
    <s v=""/>
    <s v=""/>
    <s v=""/>
    <s v=""/>
    <x v="244"/>
  </r>
  <r>
    <x v="7"/>
    <x v="1205"/>
    <n v="49"/>
    <m/>
    <x v="2"/>
    <s v=""/>
    <s v=""/>
    <s v=""/>
    <s v=""/>
    <s v=""/>
    <s v=""/>
    <s v=""/>
    <s v=""/>
    <s v=""/>
    <s v=""/>
    <s v=""/>
    <s v=""/>
    <s v=""/>
    <s v=""/>
    <s v=""/>
    <x v="2"/>
  </r>
  <r>
    <x v="7"/>
    <x v="1206"/>
    <n v="43"/>
    <m/>
    <x v="3"/>
    <s v=""/>
    <s v=""/>
    <s v=""/>
    <s v=""/>
    <s v=""/>
    <s v=""/>
    <s v=""/>
    <s v=""/>
    <s v=""/>
    <s v=""/>
    <s v=""/>
    <s v=""/>
    <s v=""/>
    <s v=""/>
    <s v=""/>
    <x v="2"/>
  </r>
  <r>
    <x v="7"/>
    <x v="1207"/>
    <n v="23"/>
    <m/>
    <x v="4"/>
    <s v=""/>
    <s v=""/>
    <s v=""/>
    <s v=""/>
    <s v=""/>
    <s v=""/>
    <s v=""/>
    <s v=""/>
    <s v=""/>
    <s v=""/>
    <s v=""/>
    <s v=""/>
    <s v=""/>
    <s v=""/>
    <s v=""/>
    <x v="2"/>
  </r>
  <r>
    <x v="7"/>
    <x v="1208"/>
    <n v="15"/>
    <n v="1"/>
    <x v="1"/>
    <s v="Project records"/>
    <s v="All the business of the project communications is"/>
    <s v="also part of the organizational process assets."/>
    <s v="This includes e-mails, memos, letters, and faxes."/>
    <s v=""/>
    <s v=""/>
    <s v=""/>
    <s v=""/>
    <s v=""/>
    <s v=""/>
    <s v=""/>
    <s v=""/>
    <s v=""/>
    <s v=""/>
    <s v=""/>
    <x v="245"/>
  </r>
  <r>
    <x v="7"/>
    <x v="1209"/>
    <n v="49"/>
    <m/>
    <x v="2"/>
    <s v=""/>
    <s v=""/>
    <s v=""/>
    <s v=""/>
    <s v=""/>
    <s v=""/>
    <s v=""/>
    <s v=""/>
    <s v=""/>
    <s v=""/>
    <s v=""/>
    <s v=""/>
    <s v=""/>
    <s v=""/>
    <s v=""/>
    <x v="2"/>
  </r>
  <r>
    <x v="7"/>
    <x v="1210"/>
    <n v="47"/>
    <m/>
    <x v="3"/>
    <s v=""/>
    <s v=""/>
    <s v=""/>
    <s v=""/>
    <s v=""/>
    <s v=""/>
    <s v=""/>
    <s v=""/>
    <s v=""/>
    <s v=""/>
    <s v=""/>
    <s v=""/>
    <s v=""/>
    <s v=""/>
    <s v=""/>
    <x v="2"/>
  </r>
  <r>
    <x v="7"/>
    <x v="1211"/>
    <n v="49"/>
    <m/>
    <x v="4"/>
    <s v=""/>
    <s v=""/>
    <s v=""/>
    <s v=""/>
    <s v=""/>
    <s v=""/>
    <s v=""/>
    <s v=""/>
    <s v=""/>
    <s v=""/>
    <s v=""/>
    <s v=""/>
    <s v=""/>
    <s v=""/>
    <s v=""/>
    <x v="2"/>
  </r>
  <r>
    <x v="7"/>
    <x v="1212"/>
    <n v="15"/>
    <n v="1"/>
    <x v="1"/>
    <s v="Project reports"/>
    <s v="Reports are formal communications on project"/>
    <s v="activities, their status, and conditions."/>
    <s v=""/>
    <s v=""/>
    <s v=""/>
    <s v=""/>
    <s v=""/>
    <s v=""/>
    <s v=""/>
    <s v=""/>
    <s v=""/>
    <s v=""/>
    <s v=""/>
    <s v=""/>
    <x v="246"/>
  </r>
  <r>
    <x v="7"/>
    <x v="1213"/>
    <n v="44"/>
    <m/>
    <x v="2"/>
    <s v=""/>
    <s v=""/>
    <s v=""/>
    <s v=""/>
    <s v=""/>
    <s v=""/>
    <s v=""/>
    <s v=""/>
    <s v=""/>
    <s v=""/>
    <s v=""/>
    <s v=""/>
    <s v=""/>
    <s v=""/>
    <s v=""/>
    <x v="2"/>
  </r>
  <r>
    <x v="7"/>
    <x v="1214"/>
    <n v="41"/>
    <m/>
    <x v="3"/>
    <s v=""/>
    <s v=""/>
    <s v=""/>
    <s v=""/>
    <s v=""/>
    <s v=""/>
    <s v=""/>
    <s v=""/>
    <s v=""/>
    <s v=""/>
    <s v=""/>
    <s v=""/>
    <s v=""/>
    <s v=""/>
    <s v=""/>
    <x v="2"/>
  </r>
  <r>
    <x v="7"/>
    <x v="1215"/>
    <n v="18"/>
    <n v="1"/>
    <x v="1"/>
    <s v="Pull communication"/>
    <s v="This approach pulls the information from a"/>
    <s v="central repository, like a database of information."/>
    <s v="Pull communications are good for large groups of"/>
    <s v="stakeholders who want to access project"/>
    <s v="information at their discretion. Consider a project"/>
    <s v="web site where stakeholders can periodically"/>
    <s v="drop by for a quick update on the project status."/>
    <s v=""/>
    <s v=""/>
    <s v=""/>
    <s v=""/>
    <s v=""/>
    <s v=""/>
    <s v=""/>
    <x v="247"/>
  </r>
  <r>
    <x v="7"/>
    <x v="1216"/>
    <n v="42"/>
    <m/>
    <x v="2"/>
    <s v=""/>
    <s v=""/>
    <s v=""/>
    <s v=""/>
    <s v=""/>
    <s v=""/>
    <s v=""/>
    <s v=""/>
    <s v=""/>
    <s v=""/>
    <s v=""/>
    <s v=""/>
    <s v=""/>
    <s v=""/>
    <s v=""/>
    <x v="2"/>
  </r>
  <r>
    <x v="7"/>
    <x v="1217"/>
    <n v="51"/>
    <m/>
    <x v="3"/>
    <s v=""/>
    <s v=""/>
    <s v=""/>
    <s v=""/>
    <s v=""/>
    <s v=""/>
    <s v=""/>
    <s v=""/>
    <s v=""/>
    <s v=""/>
    <s v=""/>
    <s v=""/>
    <s v=""/>
    <s v=""/>
    <s v=""/>
    <x v="2"/>
  </r>
  <r>
    <x v="7"/>
    <x v="1218"/>
    <n v="48"/>
    <m/>
    <x v="4"/>
    <s v=""/>
    <s v=""/>
    <s v=""/>
    <s v=""/>
    <s v=""/>
    <s v=""/>
    <s v=""/>
    <s v=""/>
    <s v=""/>
    <s v=""/>
    <s v=""/>
    <s v=""/>
    <s v=""/>
    <s v=""/>
    <s v=""/>
    <x v="2"/>
  </r>
  <r>
    <x v="7"/>
    <x v="1219"/>
    <n v="39"/>
    <m/>
    <x v="5"/>
    <s v=""/>
    <s v=""/>
    <s v=""/>
    <s v=""/>
    <s v=""/>
    <s v=""/>
    <s v=""/>
    <s v=""/>
    <s v=""/>
    <s v=""/>
    <s v=""/>
    <s v=""/>
    <s v=""/>
    <s v=""/>
    <s v=""/>
    <x v="2"/>
  </r>
  <r>
    <x v="7"/>
    <x v="1220"/>
    <n v="51"/>
    <m/>
    <x v="6"/>
    <s v=""/>
    <s v=""/>
    <s v=""/>
    <s v=""/>
    <s v=""/>
    <s v=""/>
    <s v=""/>
    <s v=""/>
    <s v=""/>
    <s v=""/>
    <s v=""/>
    <s v=""/>
    <s v=""/>
    <s v=""/>
    <s v=""/>
    <x v="2"/>
  </r>
  <r>
    <x v="7"/>
    <x v="1221"/>
    <n v="44"/>
    <m/>
    <x v="7"/>
    <s v=""/>
    <s v=""/>
    <s v=""/>
    <s v=""/>
    <s v=""/>
    <s v=""/>
    <s v=""/>
    <s v=""/>
    <s v=""/>
    <s v=""/>
    <s v=""/>
    <s v=""/>
    <s v=""/>
    <s v=""/>
    <s v=""/>
    <x v="2"/>
  </r>
  <r>
    <x v="7"/>
    <x v="1222"/>
    <n v="49"/>
    <m/>
    <x v="8"/>
    <s v=""/>
    <s v=""/>
    <s v=""/>
    <s v=""/>
    <s v=""/>
    <s v=""/>
    <s v=""/>
    <s v=""/>
    <s v=""/>
    <s v=""/>
    <s v=""/>
    <s v=""/>
    <s v=""/>
    <s v=""/>
    <s v=""/>
    <x v="2"/>
  </r>
  <r>
    <x v="7"/>
    <x v="1223"/>
    <n v="18"/>
    <n v="1"/>
    <x v="1"/>
    <s v="Push communication"/>
    <s v="This approach pushes the information from the"/>
    <s v="sender to the receiver without any real"/>
    <s v="acknowledgment that the information was really"/>
    <s v="received or understood. Consider letters, faxes,"/>
    <s v="voicemail messages, e-mails, and other"/>
    <s v="communications modalities that the sender"/>
    <s v="packages and sends to receivers through some"/>
    <s v="intermediary network."/>
    <s v="Receiver The person who receives the message."/>
    <s v="Sender The person who is sending the message. Sender–receiver models Feedback loops and barriers to communications. Stakeholder notifications Notices to the stakeholders about resolved issues, approved changes, and the overall health of the project. Status review meeting A regularly scheduled meeting to discuss the status of the project and its progress toward completing the project scope statement. Time reporting system A system to record the actual time to complete project activities."/>
    <s v=""/>
    <s v=""/>
    <s v=""/>
    <s v=""/>
    <x v="248"/>
  </r>
  <r>
    <x v="7"/>
    <x v="1224"/>
    <n v="45"/>
    <m/>
    <x v="2"/>
    <s v=""/>
    <s v=""/>
    <s v=""/>
    <s v=""/>
    <s v=""/>
    <s v=""/>
    <s v=""/>
    <s v=""/>
    <s v=""/>
    <s v=""/>
    <s v=""/>
    <s v=""/>
    <s v=""/>
    <s v=""/>
    <s v=""/>
    <x v="2"/>
  </r>
  <r>
    <x v="7"/>
    <x v="1225"/>
    <n v="39"/>
    <m/>
    <x v="3"/>
    <s v=""/>
    <s v=""/>
    <s v=""/>
    <s v=""/>
    <s v=""/>
    <s v=""/>
    <s v=""/>
    <s v=""/>
    <s v=""/>
    <s v=""/>
    <s v=""/>
    <s v=""/>
    <s v=""/>
    <s v=""/>
    <s v=""/>
    <x v="2"/>
  </r>
  <r>
    <x v="7"/>
    <x v="1226"/>
    <n v="46"/>
    <m/>
    <x v="4"/>
    <s v=""/>
    <s v=""/>
    <s v=""/>
    <s v=""/>
    <s v=""/>
    <s v=""/>
    <s v=""/>
    <s v=""/>
    <s v=""/>
    <s v=""/>
    <s v=""/>
    <s v=""/>
    <s v=""/>
    <s v=""/>
    <s v=""/>
    <x v="2"/>
  </r>
  <r>
    <x v="7"/>
    <x v="1227"/>
    <n v="48"/>
    <m/>
    <x v="5"/>
    <s v=""/>
    <s v=""/>
    <s v=""/>
    <s v=""/>
    <s v=""/>
    <s v=""/>
    <s v=""/>
    <s v=""/>
    <s v=""/>
    <s v=""/>
    <s v=""/>
    <s v=""/>
    <s v=""/>
    <s v=""/>
    <s v=""/>
    <x v="2"/>
  </r>
  <r>
    <x v="7"/>
    <x v="1228"/>
    <n v="38"/>
    <m/>
    <x v="6"/>
    <s v=""/>
    <s v=""/>
    <s v=""/>
    <s v=""/>
    <s v=""/>
    <s v=""/>
    <s v=""/>
    <s v=""/>
    <s v=""/>
    <s v=""/>
    <s v=""/>
    <s v=""/>
    <s v=""/>
    <s v=""/>
    <s v=""/>
    <x v="2"/>
  </r>
  <r>
    <x v="7"/>
    <x v="1229"/>
    <n v="41"/>
    <m/>
    <x v="7"/>
    <s v=""/>
    <s v=""/>
    <s v=""/>
    <s v=""/>
    <s v=""/>
    <s v=""/>
    <s v=""/>
    <s v=""/>
    <s v=""/>
    <s v=""/>
    <s v=""/>
    <s v=""/>
    <s v=""/>
    <s v=""/>
    <s v=""/>
    <x v="2"/>
  </r>
  <r>
    <x v="7"/>
    <x v="1230"/>
    <n v="44"/>
    <m/>
    <x v="8"/>
    <s v=""/>
    <s v=""/>
    <s v=""/>
    <s v=""/>
    <s v=""/>
    <s v=""/>
    <s v=""/>
    <s v=""/>
    <s v=""/>
    <s v=""/>
    <s v=""/>
    <s v=""/>
    <s v=""/>
    <s v=""/>
    <s v=""/>
    <x v="2"/>
  </r>
  <r>
    <x v="7"/>
    <x v="1231"/>
    <n v="21"/>
    <m/>
    <x v="9"/>
    <s v=""/>
    <s v=""/>
    <s v=""/>
    <s v=""/>
    <s v=""/>
    <s v=""/>
    <s v=""/>
    <s v=""/>
    <s v=""/>
    <s v=""/>
    <s v=""/>
    <s v=""/>
    <s v=""/>
    <s v=""/>
    <s v=""/>
    <x v="2"/>
  </r>
  <r>
    <x v="7"/>
    <x v="1232"/>
    <n v="45"/>
    <m/>
    <x v="10"/>
    <s v=""/>
    <s v=""/>
    <s v=""/>
    <s v=""/>
    <s v=""/>
    <s v=""/>
    <s v=""/>
    <s v=""/>
    <s v=""/>
    <s v=""/>
    <s v=""/>
    <s v=""/>
    <s v=""/>
    <s v=""/>
    <s v=""/>
    <x v="2"/>
  </r>
  <r>
    <x v="7"/>
    <x v="1233"/>
    <n v="491"/>
    <m/>
    <x v="11"/>
    <s v=""/>
    <s v=""/>
    <s v=""/>
    <s v=""/>
    <s v=""/>
    <s v=""/>
    <s v=""/>
    <s v=""/>
    <s v=""/>
    <s v=""/>
    <s v=""/>
    <s v=""/>
    <s v=""/>
    <s v=""/>
    <s v=""/>
    <x v="2"/>
  </r>
  <r>
    <x v="8"/>
    <x v="1234"/>
    <n v="10"/>
    <n v="1"/>
    <x v="1"/>
    <s v="Acceptance"/>
    <s v="A risk response appropriate for both positive and"/>
    <s v="negative risks, but often used for smaller risks"/>
    <s v="within a project."/>
    <s v=""/>
    <s v=""/>
    <s v=""/>
    <s v=""/>
    <s v=""/>
    <s v=""/>
    <s v=""/>
    <s v=""/>
    <s v=""/>
    <s v=""/>
    <s v=""/>
    <x v="249"/>
  </r>
  <r>
    <x v="8"/>
    <x v="1235"/>
    <n v="49"/>
    <m/>
    <x v="2"/>
    <s v=""/>
    <s v=""/>
    <s v=""/>
    <s v=""/>
    <s v=""/>
    <s v=""/>
    <s v=""/>
    <s v=""/>
    <s v=""/>
    <s v=""/>
    <s v=""/>
    <s v=""/>
    <s v=""/>
    <s v=""/>
    <s v=""/>
    <x v="2"/>
  </r>
  <r>
    <x v="8"/>
    <x v="1236"/>
    <n v="48"/>
    <m/>
    <x v="3"/>
    <s v=""/>
    <s v=""/>
    <s v=""/>
    <s v=""/>
    <s v=""/>
    <s v=""/>
    <s v=""/>
    <s v=""/>
    <s v=""/>
    <s v=""/>
    <s v=""/>
    <s v=""/>
    <s v=""/>
    <s v=""/>
    <s v=""/>
    <x v="2"/>
  </r>
  <r>
    <x v="8"/>
    <x v="1237"/>
    <n v="17"/>
    <m/>
    <x v="4"/>
    <s v=""/>
    <s v=""/>
    <s v=""/>
    <s v=""/>
    <s v=""/>
    <s v=""/>
    <s v=""/>
    <s v=""/>
    <s v=""/>
    <s v=""/>
    <s v=""/>
    <s v=""/>
    <s v=""/>
    <s v=""/>
    <s v=""/>
    <x v="2"/>
  </r>
  <r>
    <x v="8"/>
    <x v="1238"/>
    <n v="15"/>
    <n v="1"/>
    <x v="1"/>
    <s v="Ambiguity risks"/>
    <s v="Risks that have an uncertain, unclear nature, such"/>
    <s v="as new laws or regulations, the marketplace"/>
    <s v="conditions, and other risks that are nearly"/>
    <s v="impossible to predict."/>
    <s v="Avoidance A risk response to avoid the risk."/>
    <s v=""/>
    <s v=""/>
    <s v=""/>
    <s v=""/>
    <s v=""/>
    <s v=""/>
    <s v=""/>
    <s v=""/>
    <s v=""/>
    <x v="250"/>
  </r>
  <r>
    <x v="8"/>
    <x v="1239"/>
    <n v="50"/>
    <m/>
    <x v="2"/>
    <s v=""/>
    <s v=""/>
    <s v=""/>
    <s v=""/>
    <s v=""/>
    <s v=""/>
    <s v=""/>
    <s v=""/>
    <s v=""/>
    <s v=""/>
    <s v=""/>
    <s v=""/>
    <s v=""/>
    <s v=""/>
    <s v=""/>
    <x v="2"/>
  </r>
  <r>
    <x v="8"/>
    <x v="1240"/>
    <n v="43"/>
    <m/>
    <x v="3"/>
    <s v=""/>
    <s v=""/>
    <s v=""/>
    <s v=""/>
    <s v=""/>
    <s v=""/>
    <s v=""/>
    <s v=""/>
    <s v=""/>
    <s v=""/>
    <s v=""/>
    <s v=""/>
    <s v=""/>
    <s v=""/>
    <s v=""/>
    <x v="2"/>
  </r>
  <r>
    <x v="8"/>
    <x v="1241"/>
    <n v="43"/>
    <m/>
    <x v="4"/>
    <s v=""/>
    <s v=""/>
    <s v=""/>
    <s v=""/>
    <s v=""/>
    <s v=""/>
    <s v=""/>
    <s v=""/>
    <s v=""/>
    <s v=""/>
    <s v=""/>
    <s v=""/>
    <s v=""/>
    <s v=""/>
    <s v=""/>
    <x v="2"/>
  </r>
  <r>
    <x v="8"/>
    <x v="1242"/>
    <n v="22"/>
    <m/>
    <x v="5"/>
    <s v=""/>
    <s v=""/>
    <s v=""/>
    <s v=""/>
    <s v=""/>
    <s v=""/>
    <s v=""/>
    <s v=""/>
    <s v=""/>
    <s v=""/>
    <s v=""/>
    <s v=""/>
    <s v=""/>
    <s v=""/>
    <s v=""/>
    <x v="2"/>
  </r>
  <r>
    <x v="8"/>
    <x v="1243"/>
    <n v="44"/>
    <m/>
    <x v="6"/>
    <s v=""/>
    <s v=""/>
    <s v=""/>
    <s v=""/>
    <s v=""/>
    <s v=""/>
    <s v=""/>
    <s v=""/>
    <s v=""/>
    <s v=""/>
    <s v=""/>
    <s v=""/>
    <s v=""/>
    <s v=""/>
    <s v=""/>
    <x v="2"/>
  </r>
  <r>
    <x v="8"/>
    <x v="411"/>
    <n v="13"/>
    <n v="1"/>
    <x v="1"/>
    <s v="Brainstorming"/>
    <s v="The most common approach to risk"/>
    <s v="identification; usually completed by a project"/>
    <s v="team with subject matter experts to identify the"/>
    <s v="risks within the project."/>
    <s v=""/>
    <s v=""/>
    <s v=""/>
    <s v=""/>
    <s v=""/>
    <s v=""/>
    <s v=""/>
    <s v=""/>
    <s v=""/>
    <s v=""/>
    <x v="251"/>
  </r>
  <r>
    <x v="8"/>
    <x v="1244"/>
    <n v="32"/>
    <m/>
    <x v="2"/>
    <s v=""/>
    <s v=""/>
    <s v=""/>
    <s v=""/>
    <s v=""/>
    <s v=""/>
    <s v=""/>
    <s v=""/>
    <s v=""/>
    <s v=""/>
    <s v=""/>
    <s v=""/>
    <s v=""/>
    <s v=""/>
    <s v=""/>
    <x v="2"/>
  </r>
  <r>
    <x v="8"/>
    <x v="1245"/>
    <n v="46"/>
    <m/>
    <x v="3"/>
    <s v=""/>
    <s v=""/>
    <s v=""/>
    <s v=""/>
    <s v=""/>
    <s v=""/>
    <s v=""/>
    <s v=""/>
    <s v=""/>
    <s v=""/>
    <s v=""/>
    <s v=""/>
    <s v=""/>
    <s v=""/>
    <s v=""/>
    <x v="2"/>
  </r>
  <r>
    <x v="8"/>
    <x v="1246"/>
    <n v="48"/>
    <m/>
    <x v="4"/>
    <s v=""/>
    <s v=""/>
    <s v=""/>
    <s v=""/>
    <s v=""/>
    <s v=""/>
    <s v=""/>
    <s v=""/>
    <s v=""/>
    <s v=""/>
    <s v=""/>
    <s v=""/>
    <s v=""/>
    <s v=""/>
    <s v=""/>
    <x v="2"/>
  </r>
  <r>
    <x v="8"/>
    <x v="1247"/>
    <n v="25"/>
    <m/>
    <x v="5"/>
    <s v=""/>
    <s v=""/>
    <s v=""/>
    <s v=""/>
    <s v=""/>
    <s v=""/>
    <s v=""/>
    <s v=""/>
    <s v=""/>
    <s v=""/>
    <s v=""/>
    <s v=""/>
    <s v=""/>
    <s v=""/>
    <s v=""/>
    <x v="2"/>
  </r>
  <r>
    <x v="8"/>
    <x v="1248"/>
    <n v="14"/>
    <n v="1"/>
    <x v="1"/>
    <s v="Business risks"/>
    <s v="These risks may have negative or positive"/>
    <s v="outcomes. Examples include using a less"/>
    <s v="experienced worker to complete a task, allowing"/>
    <s v="phases or activities to overlap, or forgoing the"/>
    <s v="expense of formal training for on-the-job"/>
    <s v="education."/>
    <s v=""/>
    <s v=""/>
    <s v=""/>
    <s v=""/>
    <s v=""/>
    <s v=""/>
    <s v=""/>
    <s v=""/>
    <x v="252"/>
  </r>
  <r>
    <x v="8"/>
    <x v="1249"/>
    <n v="41"/>
    <m/>
    <x v="2"/>
    <s v=""/>
    <s v=""/>
    <s v=""/>
    <s v=""/>
    <s v=""/>
    <s v=""/>
    <s v=""/>
    <s v=""/>
    <s v=""/>
    <s v=""/>
    <s v=""/>
    <s v=""/>
    <s v=""/>
    <s v=""/>
    <s v=""/>
    <x v="2"/>
  </r>
  <r>
    <x v="8"/>
    <x v="1250"/>
    <n v="39"/>
    <m/>
    <x v="3"/>
    <s v=""/>
    <s v=""/>
    <s v=""/>
    <s v=""/>
    <s v=""/>
    <s v=""/>
    <s v=""/>
    <s v=""/>
    <s v=""/>
    <s v=""/>
    <s v=""/>
    <s v=""/>
    <s v=""/>
    <s v=""/>
    <s v=""/>
    <x v="2"/>
  </r>
  <r>
    <x v="8"/>
    <x v="1251"/>
    <n v="47"/>
    <m/>
    <x v="4"/>
    <s v=""/>
    <s v=""/>
    <s v=""/>
    <s v=""/>
    <s v=""/>
    <s v=""/>
    <s v=""/>
    <s v=""/>
    <s v=""/>
    <s v=""/>
    <s v=""/>
    <s v=""/>
    <s v=""/>
    <s v=""/>
    <s v=""/>
    <x v="2"/>
  </r>
  <r>
    <x v="8"/>
    <x v="1252"/>
    <n v="48"/>
    <m/>
    <x v="5"/>
    <s v=""/>
    <s v=""/>
    <s v=""/>
    <s v=""/>
    <s v=""/>
    <s v=""/>
    <s v=""/>
    <s v=""/>
    <s v=""/>
    <s v=""/>
    <s v=""/>
    <s v=""/>
    <s v=""/>
    <s v=""/>
    <s v=""/>
    <x v="2"/>
  </r>
  <r>
    <x v="8"/>
    <x v="1253"/>
    <n v="41"/>
    <m/>
    <x v="6"/>
    <s v=""/>
    <s v=""/>
    <s v=""/>
    <s v=""/>
    <s v=""/>
    <s v=""/>
    <s v=""/>
    <s v=""/>
    <s v=""/>
    <s v=""/>
    <s v=""/>
    <s v=""/>
    <s v=""/>
    <s v=""/>
    <s v=""/>
    <x v="2"/>
  </r>
  <r>
    <x v="8"/>
    <x v="1254"/>
    <n v="10"/>
    <m/>
    <x v="7"/>
    <s v=""/>
    <s v=""/>
    <s v=""/>
    <s v=""/>
    <s v=""/>
    <s v=""/>
    <s v=""/>
    <s v=""/>
    <s v=""/>
    <s v=""/>
    <s v=""/>
    <s v=""/>
    <s v=""/>
    <s v=""/>
    <s v=""/>
    <x v="2"/>
  </r>
  <r>
    <x v="8"/>
    <x v="1255"/>
    <n v="15"/>
    <n v="1"/>
    <x v="1"/>
    <s v="Cardinal scales"/>
    <s v="A ranking approach to identify the probability"/>
    <s v="and impact by using a numerical value, from .01"/>
    <s v="(very low) to 1.0 (certain)."/>
    <s v=""/>
    <s v=""/>
    <s v=""/>
    <s v=""/>
    <s v=""/>
    <s v=""/>
    <s v=""/>
    <s v=""/>
    <s v=""/>
    <s v=""/>
    <s v=""/>
    <x v="253"/>
  </r>
  <r>
    <x v="8"/>
    <x v="1256"/>
    <n v="46"/>
    <m/>
    <x v="2"/>
    <s v=""/>
    <s v=""/>
    <s v=""/>
    <s v=""/>
    <s v=""/>
    <s v=""/>
    <s v=""/>
    <s v=""/>
    <s v=""/>
    <s v=""/>
    <s v=""/>
    <s v=""/>
    <s v=""/>
    <s v=""/>
    <s v=""/>
    <x v="2"/>
  </r>
  <r>
    <x v="8"/>
    <x v="1257"/>
    <n v="47"/>
    <m/>
    <x v="3"/>
    <s v=""/>
    <s v=""/>
    <s v=""/>
    <s v=""/>
    <s v=""/>
    <s v=""/>
    <s v=""/>
    <s v=""/>
    <s v=""/>
    <s v=""/>
    <s v=""/>
    <s v=""/>
    <s v=""/>
    <s v=""/>
    <s v=""/>
    <x v="2"/>
  </r>
  <r>
    <x v="8"/>
    <x v="1258"/>
    <n v="28"/>
    <m/>
    <x v="4"/>
    <s v=""/>
    <s v=""/>
    <s v=""/>
    <s v=""/>
    <s v=""/>
    <s v=""/>
    <s v=""/>
    <s v=""/>
    <s v=""/>
    <s v=""/>
    <s v=""/>
    <s v=""/>
    <s v=""/>
    <s v=""/>
    <s v=""/>
    <x v="2"/>
  </r>
  <r>
    <x v="8"/>
    <x v="1259"/>
    <n v="10"/>
    <n v="1"/>
    <x v="1"/>
    <s v="Checklists"/>
    <s v="A quick and cost-effective risk identification"/>
    <s v="approach."/>
    <s v=""/>
    <s v=""/>
    <s v=""/>
    <s v=""/>
    <s v=""/>
    <s v=""/>
    <s v=""/>
    <s v=""/>
    <s v=""/>
    <s v=""/>
    <s v=""/>
    <s v=""/>
    <x v="254"/>
  </r>
  <r>
    <x v="8"/>
    <x v="1260"/>
    <n v="46"/>
    <m/>
    <x v="2"/>
    <s v=""/>
    <s v=""/>
    <s v=""/>
    <s v=""/>
    <s v=""/>
    <s v=""/>
    <s v=""/>
    <s v=""/>
    <s v=""/>
    <s v=""/>
    <s v=""/>
    <s v=""/>
    <s v=""/>
    <s v=""/>
    <s v=""/>
    <x v="2"/>
  </r>
  <r>
    <x v="8"/>
    <x v="1261"/>
    <n v="9"/>
    <m/>
    <x v="3"/>
    <s v=""/>
    <s v=""/>
    <s v=""/>
    <s v=""/>
    <s v=""/>
    <s v=""/>
    <s v=""/>
    <s v=""/>
    <s v=""/>
    <s v=""/>
    <s v=""/>
    <s v=""/>
    <s v=""/>
    <s v=""/>
    <s v=""/>
    <x v="2"/>
  </r>
  <r>
    <x v="8"/>
    <x v="1262"/>
    <n v="14"/>
    <n v="1"/>
    <x v="1"/>
    <s v="Data precision"/>
    <s v="The consideration of the risk ranking scores that"/>
    <s v="takes into account any bias, the accuracy of the"/>
    <s v="data submitted, and the reliability of the nature"/>
    <s v="of the data submitted."/>
    <s v=""/>
    <s v=""/>
    <s v=""/>
    <s v=""/>
    <s v=""/>
    <s v=""/>
    <s v=""/>
    <s v=""/>
    <s v=""/>
    <s v=""/>
    <x v="255"/>
  </r>
  <r>
    <x v="8"/>
    <x v="1263"/>
    <n v="49"/>
    <m/>
    <x v="2"/>
    <s v=""/>
    <s v=""/>
    <s v=""/>
    <s v=""/>
    <s v=""/>
    <s v=""/>
    <s v=""/>
    <s v=""/>
    <s v=""/>
    <s v=""/>
    <s v=""/>
    <s v=""/>
    <s v=""/>
    <s v=""/>
    <s v=""/>
    <x v="2"/>
  </r>
  <r>
    <x v="8"/>
    <x v="1264"/>
    <n v="48"/>
    <m/>
    <x v="3"/>
    <s v=""/>
    <s v=""/>
    <s v=""/>
    <s v=""/>
    <s v=""/>
    <s v=""/>
    <s v=""/>
    <s v=""/>
    <s v=""/>
    <s v=""/>
    <s v=""/>
    <s v=""/>
    <s v=""/>
    <s v=""/>
    <s v=""/>
    <x v="2"/>
  </r>
  <r>
    <x v="8"/>
    <x v="1265"/>
    <n v="49"/>
    <m/>
    <x v="4"/>
    <s v=""/>
    <s v=""/>
    <s v=""/>
    <s v=""/>
    <s v=""/>
    <s v=""/>
    <s v=""/>
    <s v=""/>
    <s v=""/>
    <s v=""/>
    <s v=""/>
    <s v=""/>
    <s v=""/>
    <s v=""/>
    <s v=""/>
    <x v="2"/>
  </r>
  <r>
    <x v="8"/>
    <x v="1266"/>
    <n v="22"/>
    <m/>
    <x v="5"/>
    <s v=""/>
    <s v=""/>
    <s v=""/>
    <s v=""/>
    <s v=""/>
    <s v=""/>
    <s v=""/>
    <s v=""/>
    <s v=""/>
    <s v=""/>
    <s v=""/>
    <s v=""/>
    <s v=""/>
    <s v=""/>
    <s v=""/>
    <x v="2"/>
  </r>
  <r>
    <x v="8"/>
    <x v="1267"/>
    <n v="13"/>
    <n v="1"/>
    <x v="1"/>
    <s v="Decision tree"/>
    <s v="A method to determine which of two or more"/>
    <s v="decisions is the best one. The model examines"/>
    <s v="the costs and benefits of each decision’s outcome"/>
    <s v="and weighs the probability of success for each of"/>
    <s v="the decisions."/>
    <s v=""/>
    <s v=""/>
    <s v=""/>
    <s v=""/>
    <s v=""/>
    <s v=""/>
    <s v=""/>
    <s v=""/>
    <s v=""/>
    <x v="256"/>
  </r>
  <r>
    <x v="8"/>
    <x v="1268"/>
    <n v="42"/>
    <m/>
    <x v="2"/>
    <s v=""/>
    <s v=""/>
    <s v=""/>
    <s v=""/>
    <s v=""/>
    <s v=""/>
    <s v=""/>
    <s v=""/>
    <s v=""/>
    <s v=""/>
    <s v=""/>
    <s v=""/>
    <s v=""/>
    <s v=""/>
    <s v=""/>
    <x v="2"/>
  </r>
  <r>
    <x v="8"/>
    <x v="1269"/>
    <n v="45"/>
    <m/>
    <x v="3"/>
    <s v=""/>
    <s v=""/>
    <s v=""/>
    <s v=""/>
    <s v=""/>
    <s v=""/>
    <s v=""/>
    <s v=""/>
    <s v=""/>
    <s v=""/>
    <s v=""/>
    <s v=""/>
    <s v=""/>
    <s v=""/>
    <s v=""/>
    <x v="2"/>
  </r>
  <r>
    <x v="8"/>
    <x v="1270"/>
    <n v="49"/>
    <m/>
    <x v="4"/>
    <s v=""/>
    <s v=""/>
    <s v=""/>
    <s v=""/>
    <s v=""/>
    <s v=""/>
    <s v=""/>
    <s v=""/>
    <s v=""/>
    <s v=""/>
    <s v=""/>
    <s v=""/>
    <s v=""/>
    <s v=""/>
    <s v=""/>
    <x v="2"/>
  </r>
  <r>
    <x v="8"/>
    <x v="1271"/>
    <n v="49"/>
    <m/>
    <x v="5"/>
    <s v=""/>
    <s v=""/>
    <s v=""/>
    <s v=""/>
    <s v=""/>
    <s v=""/>
    <s v=""/>
    <s v=""/>
    <s v=""/>
    <s v=""/>
    <s v=""/>
    <s v=""/>
    <s v=""/>
    <s v=""/>
    <s v=""/>
    <x v="2"/>
  </r>
  <r>
    <x v="8"/>
    <x v="1272"/>
    <n v="14"/>
    <m/>
    <x v="6"/>
    <s v=""/>
    <s v=""/>
    <s v=""/>
    <s v=""/>
    <s v=""/>
    <s v=""/>
    <s v=""/>
    <s v=""/>
    <s v=""/>
    <s v=""/>
    <s v=""/>
    <s v=""/>
    <s v=""/>
    <s v=""/>
    <s v=""/>
    <x v="2"/>
  </r>
  <r>
    <x v="8"/>
    <x v="1273"/>
    <n v="16"/>
    <n v="1"/>
    <x v="1"/>
    <s v="Delphi Technique"/>
    <s v="An anonymous method of querying experts about"/>
    <s v="foreseeable risks within a project, phase, or"/>
    <s v="component of a project. The results of the survey"/>
    <s v="are analyzed by a third party, organized, and then"/>
    <s v="circulated to the experts. There can be several"/>
    <s v="rounds of anonymous discussion with the Delphi"/>
    <s v="Technique, without fear of backlash or offending"/>
    <s v="other participants in the process. The goal is to"/>
    <s v="gain consensus on project risks within the"/>
    <s v="project."/>
    <s v=""/>
    <s v=""/>
    <s v=""/>
    <s v=""/>
    <x v="257"/>
  </r>
  <r>
    <x v="8"/>
    <x v="1274"/>
    <n v="45"/>
    <m/>
    <x v="2"/>
    <s v=""/>
    <s v=""/>
    <s v=""/>
    <s v=""/>
    <s v=""/>
    <s v=""/>
    <s v=""/>
    <s v=""/>
    <s v=""/>
    <s v=""/>
    <s v=""/>
    <s v=""/>
    <s v=""/>
    <s v=""/>
    <s v=""/>
    <x v="2"/>
  </r>
  <r>
    <x v="8"/>
    <x v="1275"/>
    <n v="45"/>
    <m/>
    <x v="3"/>
    <s v=""/>
    <s v=""/>
    <s v=""/>
    <s v=""/>
    <s v=""/>
    <s v=""/>
    <s v=""/>
    <s v=""/>
    <s v=""/>
    <s v=""/>
    <s v=""/>
    <s v=""/>
    <s v=""/>
    <s v=""/>
    <s v=""/>
    <x v="2"/>
  </r>
  <r>
    <x v="8"/>
    <x v="1276"/>
    <n v="49"/>
    <m/>
    <x v="4"/>
    <s v=""/>
    <s v=""/>
    <s v=""/>
    <s v=""/>
    <s v=""/>
    <s v=""/>
    <s v=""/>
    <s v=""/>
    <s v=""/>
    <s v=""/>
    <s v=""/>
    <s v=""/>
    <s v=""/>
    <s v=""/>
    <s v=""/>
    <x v="2"/>
  </r>
  <r>
    <x v="8"/>
    <x v="1277"/>
    <n v="50"/>
    <m/>
    <x v="5"/>
    <s v=""/>
    <s v=""/>
    <s v=""/>
    <s v=""/>
    <s v=""/>
    <s v=""/>
    <s v=""/>
    <s v=""/>
    <s v=""/>
    <s v=""/>
    <s v=""/>
    <s v=""/>
    <s v=""/>
    <s v=""/>
    <s v=""/>
    <x v="2"/>
  </r>
  <r>
    <x v="8"/>
    <x v="1278"/>
    <n v="47"/>
    <m/>
    <x v="6"/>
    <s v=""/>
    <s v=""/>
    <s v=""/>
    <s v=""/>
    <s v=""/>
    <s v=""/>
    <s v=""/>
    <s v=""/>
    <s v=""/>
    <s v=""/>
    <s v=""/>
    <s v=""/>
    <s v=""/>
    <s v=""/>
    <s v=""/>
    <x v="2"/>
  </r>
  <r>
    <x v="8"/>
    <x v="1279"/>
    <n v="46"/>
    <m/>
    <x v="7"/>
    <s v=""/>
    <s v=""/>
    <s v=""/>
    <s v=""/>
    <s v=""/>
    <s v=""/>
    <s v=""/>
    <s v=""/>
    <s v=""/>
    <s v=""/>
    <s v=""/>
    <s v=""/>
    <s v=""/>
    <s v=""/>
    <s v=""/>
    <x v="2"/>
  </r>
  <r>
    <x v="8"/>
    <x v="1280"/>
    <n v="48"/>
    <m/>
    <x v="8"/>
    <s v=""/>
    <s v=""/>
    <s v=""/>
    <s v=""/>
    <s v=""/>
    <s v=""/>
    <s v=""/>
    <s v=""/>
    <s v=""/>
    <s v=""/>
    <s v=""/>
    <s v=""/>
    <s v=""/>
    <s v=""/>
    <s v=""/>
    <x v="2"/>
  </r>
  <r>
    <x v="8"/>
    <x v="1281"/>
    <n v="49"/>
    <m/>
    <x v="9"/>
    <s v=""/>
    <s v=""/>
    <s v=""/>
    <s v=""/>
    <s v=""/>
    <s v=""/>
    <s v=""/>
    <s v=""/>
    <s v=""/>
    <s v=""/>
    <s v=""/>
    <s v=""/>
    <s v=""/>
    <s v=""/>
    <s v=""/>
    <x v="2"/>
  </r>
  <r>
    <x v="8"/>
    <x v="1282"/>
    <n v="42"/>
    <m/>
    <x v="10"/>
    <s v=""/>
    <s v=""/>
    <s v=""/>
    <s v=""/>
    <s v=""/>
    <s v=""/>
    <s v=""/>
    <s v=""/>
    <s v=""/>
    <s v=""/>
    <s v=""/>
    <s v=""/>
    <s v=""/>
    <s v=""/>
    <s v=""/>
    <x v="2"/>
  </r>
  <r>
    <x v="8"/>
    <x v="130"/>
    <n v="8"/>
    <m/>
    <x v="11"/>
    <s v=""/>
    <s v=""/>
    <s v=""/>
    <s v=""/>
    <s v=""/>
    <s v=""/>
    <s v=""/>
    <s v=""/>
    <s v=""/>
    <s v=""/>
    <s v=""/>
    <s v=""/>
    <s v=""/>
    <s v=""/>
    <s v=""/>
    <x v="2"/>
  </r>
  <r>
    <x v="8"/>
    <x v="1283"/>
    <n v="9"/>
    <n v="1"/>
    <x v="1"/>
    <s v="Enhancing"/>
    <s v="A risk response that attempts to enhance the"/>
    <s v="conditions to ensure that a positive risk event will"/>
    <s v="likely happen."/>
    <s v=""/>
    <s v=""/>
    <s v=""/>
    <s v=""/>
    <s v=""/>
    <s v=""/>
    <s v=""/>
    <s v=""/>
    <s v=""/>
    <s v=""/>
    <s v=""/>
    <x v="258"/>
  </r>
  <r>
    <x v="8"/>
    <x v="1284"/>
    <n v="44"/>
    <m/>
    <x v="2"/>
    <s v=""/>
    <s v=""/>
    <s v=""/>
    <s v=""/>
    <s v=""/>
    <s v=""/>
    <s v=""/>
    <s v=""/>
    <s v=""/>
    <s v=""/>
    <s v=""/>
    <s v=""/>
    <s v=""/>
    <s v=""/>
    <s v=""/>
    <x v="2"/>
  </r>
  <r>
    <x v="8"/>
    <x v="1285"/>
    <n v="52"/>
    <m/>
    <x v="3"/>
    <s v=""/>
    <s v=""/>
    <s v=""/>
    <s v=""/>
    <s v=""/>
    <s v=""/>
    <s v=""/>
    <s v=""/>
    <s v=""/>
    <s v=""/>
    <s v=""/>
    <s v=""/>
    <s v=""/>
    <s v=""/>
    <s v=""/>
    <x v="2"/>
  </r>
  <r>
    <x v="8"/>
    <x v="1286"/>
    <n v="14"/>
    <m/>
    <x v="4"/>
    <s v=""/>
    <s v=""/>
    <s v=""/>
    <s v=""/>
    <s v=""/>
    <s v=""/>
    <s v=""/>
    <s v=""/>
    <s v=""/>
    <s v=""/>
    <s v=""/>
    <s v=""/>
    <s v=""/>
    <s v=""/>
    <s v=""/>
    <x v="2"/>
  </r>
  <r>
    <x v="8"/>
    <x v="1287"/>
    <n v="10"/>
    <n v="1"/>
    <x v="1"/>
    <s v="Escalating"/>
    <s v="A risk response that is appropriate for both"/>
    <s v="positive and negative risk events that may"/>
    <s v="outside of the project manager’s authority to act"/>
    <s v="upon."/>
    <s v=""/>
    <s v=""/>
    <s v=""/>
    <s v=""/>
    <s v=""/>
    <s v=""/>
    <s v=""/>
    <s v=""/>
    <s v=""/>
    <s v=""/>
    <x v="259"/>
  </r>
  <r>
    <x v="8"/>
    <x v="1288"/>
    <n v="44"/>
    <m/>
    <x v="2"/>
    <s v=""/>
    <s v=""/>
    <s v=""/>
    <s v=""/>
    <s v=""/>
    <s v=""/>
    <s v=""/>
    <s v=""/>
    <s v=""/>
    <s v=""/>
    <s v=""/>
    <s v=""/>
    <s v=""/>
    <s v=""/>
    <s v=""/>
    <x v="2"/>
  </r>
  <r>
    <x v="8"/>
    <x v="1289"/>
    <n v="42"/>
    <m/>
    <x v="3"/>
    <s v=""/>
    <s v=""/>
    <s v=""/>
    <s v=""/>
    <s v=""/>
    <s v=""/>
    <s v=""/>
    <s v=""/>
    <s v=""/>
    <s v=""/>
    <s v=""/>
    <s v=""/>
    <s v=""/>
    <s v=""/>
    <s v=""/>
    <x v="2"/>
  </r>
  <r>
    <x v="8"/>
    <x v="1290"/>
    <n v="49"/>
    <m/>
    <x v="4"/>
    <s v=""/>
    <s v=""/>
    <s v=""/>
    <s v=""/>
    <s v=""/>
    <s v=""/>
    <s v=""/>
    <s v=""/>
    <s v=""/>
    <s v=""/>
    <s v=""/>
    <s v=""/>
    <s v=""/>
    <s v=""/>
    <s v=""/>
    <x v="2"/>
  </r>
  <r>
    <x v="8"/>
    <x v="1291"/>
    <n v="5"/>
    <m/>
    <x v="5"/>
    <s v=""/>
    <s v=""/>
    <s v=""/>
    <s v=""/>
    <s v=""/>
    <s v=""/>
    <s v=""/>
    <s v=""/>
    <s v=""/>
    <s v=""/>
    <s v=""/>
    <s v=""/>
    <s v=""/>
    <s v=""/>
    <s v=""/>
    <x v="2"/>
  </r>
  <r>
    <x v="8"/>
    <x v="1292"/>
    <n v="29"/>
    <n v="1"/>
    <x v="1"/>
    <s v="Expected monetary value (EMV)"/>
    <s v="The monetary value of a risk exposure based on"/>
    <s v="the risk’s probability and impact in the risk"/>
    <s v="matrix. This approach is typically used in"/>
    <s v="quantitative risk analysis because it quantifies the"/>
    <s v="risk exposure."/>
    <s v=""/>
    <s v=""/>
    <s v=""/>
    <s v=""/>
    <s v=""/>
    <s v=""/>
    <s v=""/>
    <s v=""/>
    <s v=""/>
    <x v="260"/>
  </r>
  <r>
    <x v="8"/>
    <x v="1293"/>
    <n v="46"/>
    <m/>
    <x v="2"/>
    <s v=""/>
    <s v=""/>
    <s v=""/>
    <s v=""/>
    <s v=""/>
    <s v=""/>
    <s v=""/>
    <s v=""/>
    <s v=""/>
    <s v=""/>
    <s v=""/>
    <s v=""/>
    <s v=""/>
    <s v=""/>
    <s v=""/>
    <x v="2"/>
  </r>
  <r>
    <x v="8"/>
    <x v="1294"/>
    <n v="45"/>
    <m/>
    <x v="3"/>
    <s v=""/>
    <s v=""/>
    <s v=""/>
    <s v=""/>
    <s v=""/>
    <s v=""/>
    <s v=""/>
    <s v=""/>
    <s v=""/>
    <s v=""/>
    <s v=""/>
    <s v=""/>
    <s v=""/>
    <s v=""/>
    <s v=""/>
    <x v="2"/>
  </r>
  <r>
    <x v="8"/>
    <x v="1295"/>
    <n v="42"/>
    <m/>
    <x v="4"/>
    <s v=""/>
    <s v=""/>
    <s v=""/>
    <s v=""/>
    <s v=""/>
    <s v=""/>
    <s v=""/>
    <s v=""/>
    <s v=""/>
    <s v=""/>
    <s v=""/>
    <s v=""/>
    <s v=""/>
    <s v=""/>
    <s v=""/>
    <x v="2"/>
  </r>
  <r>
    <x v="8"/>
    <x v="1296"/>
    <n v="52"/>
    <m/>
    <x v="5"/>
    <s v=""/>
    <s v=""/>
    <s v=""/>
    <s v=""/>
    <s v=""/>
    <s v=""/>
    <s v=""/>
    <s v=""/>
    <s v=""/>
    <s v=""/>
    <s v=""/>
    <s v=""/>
    <s v=""/>
    <s v=""/>
    <s v=""/>
    <x v="2"/>
  </r>
  <r>
    <x v="8"/>
    <x v="1297"/>
    <n v="14"/>
    <m/>
    <x v="6"/>
    <s v=""/>
    <s v=""/>
    <s v=""/>
    <s v=""/>
    <s v=""/>
    <s v=""/>
    <s v=""/>
    <s v=""/>
    <s v=""/>
    <s v=""/>
    <s v=""/>
    <s v=""/>
    <s v=""/>
    <s v=""/>
    <s v=""/>
    <x v="2"/>
  </r>
  <r>
    <x v="8"/>
    <x v="1298"/>
    <n v="7"/>
    <n v="1"/>
    <x v="1"/>
    <s v="Exploit"/>
    <s v="A risk response that takes advantage of the"/>
    <s v="positive risks within a project."/>
    <s v=""/>
    <s v=""/>
    <s v=""/>
    <s v=""/>
    <s v=""/>
    <s v=""/>
    <s v=""/>
    <s v=""/>
    <s v=""/>
    <s v=""/>
    <s v=""/>
    <s v=""/>
    <x v="261"/>
  </r>
  <r>
    <x v="8"/>
    <x v="1299"/>
    <n v="43"/>
    <m/>
    <x v="2"/>
    <s v=""/>
    <s v=""/>
    <s v=""/>
    <s v=""/>
    <s v=""/>
    <s v=""/>
    <s v=""/>
    <s v=""/>
    <s v=""/>
    <s v=""/>
    <s v=""/>
    <s v=""/>
    <s v=""/>
    <s v=""/>
    <s v=""/>
    <x v="2"/>
  </r>
  <r>
    <x v="8"/>
    <x v="1300"/>
    <n v="32"/>
    <m/>
    <x v="3"/>
    <s v=""/>
    <s v=""/>
    <s v=""/>
    <s v=""/>
    <s v=""/>
    <s v=""/>
    <s v=""/>
    <s v=""/>
    <s v=""/>
    <s v=""/>
    <s v=""/>
    <s v=""/>
    <s v=""/>
    <s v=""/>
    <s v=""/>
    <x v="2"/>
  </r>
  <r>
    <x v="8"/>
    <x v="1301"/>
    <n v="14"/>
    <n v="1"/>
    <x v="1"/>
    <s v="External risks"/>
    <s v="These risks are outside of the project, but directly"/>
    <s v="affect it—for example, legal issues, labor issues, a"/>
    <s v="shift in project priorities, or weather. “Force"/>
    <s v="majeure” risks call for disaster recovery rather"/>
    <s v="than project management. These are risks caused"/>
    <s v="by earthquakes, tornadoes, floods, civil unrest,"/>
    <s v="and other disasters."/>
    <s v=""/>
    <s v=""/>
    <s v=""/>
    <s v=""/>
    <s v=""/>
    <s v=""/>
    <s v=""/>
    <x v="262"/>
  </r>
  <r>
    <x v="8"/>
    <x v="1302"/>
    <n v="52"/>
    <m/>
    <x v="2"/>
    <s v=""/>
    <s v=""/>
    <s v=""/>
    <s v=""/>
    <s v=""/>
    <s v=""/>
    <s v=""/>
    <s v=""/>
    <s v=""/>
    <s v=""/>
    <s v=""/>
    <s v=""/>
    <s v=""/>
    <s v=""/>
    <s v=""/>
    <x v="2"/>
  </r>
  <r>
    <x v="8"/>
    <x v="1303"/>
    <n v="52"/>
    <m/>
    <x v="3"/>
    <s v=""/>
    <s v=""/>
    <s v=""/>
    <s v=""/>
    <s v=""/>
    <s v=""/>
    <s v=""/>
    <s v=""/>
    <s v=""/>
    <s v=""/>
    <s v=""/>
    <s v=""/>
    <s v=""/>
    <s v=""/>
    <s v=""/>
    <x v="2"/>
  </r>
  <r>
    <x v="8"/>
    <x v="1304"/>
    <n v="47"/>
    <m/>
    <x v="4"/>
    <s v=""/>
    <s v=""/>
    <s v=""/>
    <s v=""/>
    <s v=""/>
    <s v=""/>
    <s v=""/>
    <s v=""/>
    <s v=""/>
    <s v=""/>
    <s v=""/>
    <s v=""/>
    <s v=""/>
    <s v=""/>
    <s v=""/>
    <x v="2"/>
  </r>
  <r>
    <x v="8"/>
    <x v="1305"/>
    <n v="48"/>
    <m/>
    <x v="5"/>
    <s v=""/>
    <s v=""/>
    <s v=""/>
    <s v=""/>
    <s v=""/>
    <s v=""/>
    <s v=""/>
    <s v=""/>
    <s v=""/>
    <s v=""/>
    <s v=""/>
    <s v=""/>
    <s v=""/>
    <s v=""/>
    <s v=""/>
    <x v="2"/>
  </r>
  <r>
    <x v="8"/>
    <x v="1306"/>
    <n v="47"/>
    <m/>
    <x v="6"/>
    <s v=""/>
    <s v=""/>
    <s v=""/>
    <s v=""/>
    <s v=""/>
    <s v=""/>
    <s v=""/>
    <s v=""/>
    <s v=""/>
    <s v=""/>
    <s v=""/>
    <s v=""/>
    <s v=""/>
    <s v=""/>
    <s v=""/>
    <x v="2"/>
  </r>
  <r>
    <x v="8"/>
    <x v="1307"/>
    <n v="48"/>
    <m/>
    <x v="7"/>
    <s v=""/>
    <s v=""/>
    <s v=""/>
    <s v=""/>
    <s v=""/>
    <s v=""/>
    <s v=""/>
    <s v=""/>
    <s v=""/>
    <s v=""/>
    <s v=""/>
    <s v=""/>
    <s v=""/>
    <s v=""/>
    <s v=""/>
    <x v="2"/>
  </r>
  <r>
    <x v="8"/>
    <x v="1308"/>
    <n v="20"/>
    <m/>
    <x v="8"/>
    <s v=""/>
    <s v=""/>
    <s v=""/>
    <s v=""/>
    <s v=""/>
    <s v=""/>
    <s v=""/>
    <s v=""/>
    <s v=""/>
    <s v=""/>
    <s v=""/>
    <s v=""/>
    <s v=""/>
    <s v=""/>
    <s v=""/>
    <x v="2"/>
  </r>
  <r>
    <x v="8"/>
    <x v="1309"/>
    <n v="10"/>
    <n v="1"/>
    <x v="1"/>
    <s v="Flowcharts"/>
    <s v="System or process flowcharts show the"/>
    <s v="relationship between components and how the"/>
    <s v="overall process works. These are useful for"/>
    <s v="identifying risks between system components."/>
    <s v=""/>
    <s v=""/>
    <s v=""/>
    <s v=""/>
    <s v=""/>
    <s v=""/>
    <s v=""/>
    <s v=""/>
    <s v=""/>
    <s v=""/>
    <x v="263"/>
  </r>
  <r>
    <x v="8"/>
    <x v="1310"/>
    <n v="37"/>
    <m/>
    <x v="2"/>
    <s v=""/>
    <s v=""/>
    <s v=""/>
    <s v=""/>
    <s v=""/>
    <s v=""/>
    <s v=""/>
    <s v=""/>
    <s v=""/>
    <s v=""/>
    <s v=""/>
    <s v=""/>
    <s v=""/>
    <s v=""/>
    <s v=""/>
    <x v="2"/>
  </r>
  <r>
    <x v="8"/>
    <x v="1311"/>
    <n v="43"/>
    <m/>
    <x v="3"/>
    <s v=""/>
    <s v=""/>
    <s v=""/>
    <s v=""/>
    <s v=""/>
    <s v=""/>
    <s v=""/>
    <s v=""/>
    <s v=""/>
    <s v=""/>
    <s v=""/>
    <s v=""/>
    <s v=""/>
    <s v=""/>
    <s v=""/>
    <x v="2"/>
  </r>
  <r>
    <x v="8"/>
    <x v="1312"/>
    <n v="43"/>
    <m/>
    <x v="4"/>
    <s v=""/>
    <s v=""/>
    <s v=""/>
    <s v=""/>
    <s v=""/>
    <s v=""/>
    <s v=""/>
    <s v=""/>
    <s v=""/>
    <s v=""/>
    <s v=""/>
    <s v=""/>
    <s v=""/>
    <s v=""/>
    <s v=""/>
    <x v="2"/>
  </r>
  <r>
    <x v="8"/>
    <x v="1313"/>
    <n v="44"/>
    <m/>
    <x v="5"/>
    <s v=""/>
    <s v=""/>
    <s v=""/>
    <s v=""/>
    <s v=""/>
    <s v=""/>
    <s v=""/>
    <s v=""/>
    <s v=""/>
    <s v=""/>
    <s v=""/>
    <s v=""/>
    <s v=""/>
    <s v=""/>
    <s v=""/>
    <x v="2"/>
  </r>
  <r>
    <x v="8"/>
    <x v="1314"/>
    <n v="18"/>
    <n v="1"/>
    <x v="1"/>
    <s v="Influence diagrams"/>
    <s v="An influence diagram charts out a decision"/>
    <s v="problem. It identifies all of the elements,"/>
    <s v="variables, decisions, and objectives and also how"/>
    <s v="each factor may influence another."/>
    <s v=""/>
    <s v=""/>
    <s v=""/>
    <s v=""/>
    <s v=""/>
    <s v=""/>
    <s v=""/>
    <s v=""/>
    <s v=""/>
    <s v=""/>
    <x v="264"/>
  </r>
  <r>
    <x v="8"/>
    <x v="1315"/>
    <n v="42"/>
    <m/>
    <x v="2"/>
    <s v=""/>
    <s v=""/>
    <s v=""/>
    <s v=""/>
    <s v=""/>
    <s v=""/>
    <s v=""/>
    <s v=""/>
    <s v=""/>
    <s v=""/>
    <s v=""/>
    <s v=""/>
    <s v=""/>
    <s v=""/>
    <s v=""/>
    <x v="2"/>
  </r>
  <r>
    <x v="8"/>
    <x v="1316"/>
    <n v="43"/>
    <m/>
    <x v="3"/>
    <s v=""/>
    <s v=""/>
    <s v=""/>
    <s v=""/>
    <s v=""/>
    <s v=""/>
    <s v=""/>
    <s v=""/>
    <s v=""/>
    <s v=""/>
    <s v=""/>
    <s v=""/>
    <s v=""/>
    <s v=""/>
    <s v=""/>
    <x v="2"/>
  </r>
  <r>
    <x v="8"/>
    <x v="1317"/>
    <n v="49"/>
    <m/>
    <x v="4"/>
    <s v=""/>
    <s v=""/>
    <s v=""/>
    <s v=""/>
    <s v=""/>
    <s v=""/>
    <s v=""/>
    <s v=""/>
    <s v=""/>
    <s v=""/>
    <s v=""/>
    <s v=""/>
    <s v=""/>
    <s v=""/>
    <s v=""/>
    <x v="2"/>
  </r>
  <r>
    <x v="8"/>
    <x v="1318"/>
    <n v="34"/>
    <m/>
    <x v="5"/>
    <s v=""/>
    <s v=""/>
    <s v=""/>
    <s v=""/>
    <s v=""/>
    <s v=""/>
    <s v=""/>
    <s v=""/>
    <s v=""/>
    <s v=""/>
    <s v=""/>
    <s v=""/>
    <s v=""/>
    <s v=""/>
    <s v=""/>
    <x v="2"/>
  </r>
  <r>
    <x v="8"/>
    <x v="1319"/>
    <n v="17"/>
    <n v="1"/>
    <x v="1"/>
    <s v="Ishikawa diagrams"/>
    <s v="These cause-and-effect diagrams are also called"/>
    <s v="fishbone diagrams and are used to find the root"/>
    <s v="cause of factors that are causing risks within the"/>
    <s v="project."/>
    <s v=""/>
    <s v=""/>
    <s v=""/>
    <s v=""/>
    <s v=""/>
    <s v=""/>
    <s v=""/>
    <s v=""/>
    <s v=""/>
    <s v=""/>
    <x v="265"/>
  </r>
  <r>
    <x v="8"/>
    <x v="1320"/>
    <n v="47"/>
    <m/>
    <x v="2"/>
    <s v=""/>
    <s v=""/>
    <s v=""/>
    <s v=""/>
    <s v=""/>
    <s v=""/>
    <s v=""/>
    <s v=""/>
    <s v=""/>
    <s v=""/>
    <s v=""/>
    <s v=""/>
    <s v=""/>
    <s v=""/>
    <s v=""/>
    <x v="2"/>
  </r>
  <r>
    <x v="8"/>
    <x v="1321"/>
    <n v="47"/>
    <m/>
    <x v="3"/>
    <s v=""/>
    <s v=""/>
    <s v=""/>
    <s v=""/>
    <s v=""/>
    <s v=""/>
    <s v=""/>
    <s v=""/>
    <s v=""/>
    <s v=""/>
    <s v=""/>
    <s v=""/>
    <s v=""/>
    <s v=""/>
    <s v=""/>
    <x v="2"/>
  </r>
  <r>
    <x v="8"/>
    <x v="1322"/>
    <n v="50"/>
    <m/>
    <x v="4"/>
    <s v=""/>
    <s v=""/>
    <s v=""/>
    <s v=""/>
    <s v=""/>
    <s v=""/>
    <s v=""/>
    <s v=""/>
    <s v=""/>
    <s v=""/>
    <s v=""/>
    <s v=""/>
    <s v=""/>
    <s v=""/>
    <s v=""/>
    <x v="2"/>
  </r>
  <r>
    <x v="8"/>
    <x v="130"/>
    <n v="8"/>
    <m/>
    <x v="5"/>
    <s v=""/>
    <s v=""/>
    <s v=""/>
    <s v=""/>
    <s v=""/>
    <s v=""/>
    <s v=""/>
    <s v=""/>
    <s v=""/>
    <s v=""/>
    <s v=""/>
    <s v=""/>
    <s v=""/>
    <s v=""/>
    <s v=""/>
    <x v="2"/>
  </r>
  <r>
    <x v="8"/>
    <x v="1323"/>
    <n v="28"/>
    <n v="1"/>
    <x v="1"/>
    <s v="Low-priority risk watch list"/>
    <s v="Low-priority risks are identified and assigned to a"/>
    <s v="watch list for periodic monitoring."/>
    <s v=""/>
    <s v=""/>
    <s v=""/>
    <s v=""/>
    <s v=""/>
    <s v=""/>
    <s v=""/>
    <s v=""/>
    <s v=""/>
    <s v=""/>
    <s v=""/>
    <s v=""/>
    <x v="266"/>
  </r>
  <r>
    <x v="8"/>
    <x v="1324"/>
    <n v="51"/>
    <m/>
    <x v="2"/>
    <s v=""/>
    <s v=""/>
    <s v=""/>
    <s v=""/>
    <s v=""/>
    <s v=""/>
    <s v=""/>
    <s v=""/>
    <s v=""/>
    <s v=""/>
    <s v=""/>
    <s v=""/>
    <s v=""/>
    <s v=""/>
    <s v=""/>
    <x v="2"/>
  </r>
  <r>
    <x v="8"/>
    <x v="1325"/>
    <n v="35"/>
    <m/>
    <x v="3"/>
    <s v=""/>
    <s v=""/>
    <s v=""/>
    <s v=""/>
    <s v=""/>
    <s v=""/>
    <s v=""/>
    <s v=""/>
    <s v=""/>
    <s v=""/>
    <s v=""/>
    <s v=""/>
    <s v=""/>
    <s v=""/>
    <s v=""/>
    <x v="2"/>
  </r>
  <r>
    <x v="8"/>
    <x v="1326"/>
    <n v="10"/>
    <n v="1"/>
    <x v="1"/>
    <s v="Mitigation"/>
    <s v="A risk response effort to reduce the probability"/>
    <s v="and/or impact of an identified risk in the project."/>
    <s v=""/>
    <s v=""/>
    <s v=""/>
    <s v=""/>
    <s v=""/>
    <s v=""/>
    <s v=""/>
    <s v=""/>
    <s v=""/>
    <s v=""/>
    <s v=""/>
    <s v=""/>
    <x v="267"/>
  </r>
  <r>
    <x v="8"/>
    <x v="1327"/>
    <n v="48"/>
    <m/>
    <x v="2"/>
    <s v=""/>
    <s v=""/>
    <s v=""/>
    <s v=""/>
    <s v=""/>
    <s v=""/>
    <s v=""/>
    <s v=""/>
    <s v=""/>
    <s v=""/>
    <s v=""/>
    <s v=""/>
    <s v=""/>
    <s v=""/>
    <s v=""/>
    <x v="2"/>
  </r>
  <r>
    <x v="8"/>
    <x v="1328"/>
    <n v="51"/>
    <m/>
    <x v="3"/>
    <s v=""/>
    <s v=""/>
    <s v=""/>
    <s v=""/>
    <s v=""/>
    <s v=""/>
    <s v=""/>
    <s v=""/>
    <s v=""/>
    <s v=""/>
    <s v=""/>
    <s v=""/>
    <s v=""/>
    <s v=""/>
    <s v=""/>
    <x v="2"/>
  </r>
  <r>
    <x v="8"/>
    <x v="1329"/>
    <n v="21"/>
    <n v="1"/>
    <x v="1"/>
    <s v="Monte Carlo technique"/>
    <s v="A simulation technique that got its name from"/>
    <s v="the casinos of Monte Carlo, Monaco. The"/>
    <s v="simulation is completed using a computer"/>
    <s v="software program that can simulate a project,"/>
    <s v="using values for all possible variables, to predict"/>
    <s v="the most likely model."/>
    <s v=""/>
    <s v=""/>
    <s v=""/>
    <s v=""/>
    <s v=""/>
    <s v=""/>
    <s v=""/>
    <s v=""/>
    <x v="268"/>
  </r>
  <r>
    <x v="8"/>
    <x v="1330"/>
    <n v="45"/>
    <m/>
    <x v="2"/>
    <s v=""/>
    <s v=""/>
    <s v=""/>
    <s v=""/>
    <s v=""/>
    <s v=""/>
    <s v=""/>
    <s v=""/>
    <s v=""/>
    <s v=""/>
    <s v=""/>
    <s v=""/>
    <s v=""/>
    <s v=""/>
    <s v=""/>
    <x v="2"/>
  </r>
  <r>
    <x v="8"/>
    <x v="1331"/>
    <n v="39"/>
    <m/>
    <x v="3"/>
    <s v=""/>
    <s v=""/>
    <s v=""/>
    <s v=""/>
    <s v=""/>
    <s v=""/>
    <s v=""/>
    <s v=""/>
    <s v=""/>
    <s v=""/>
    <s v=""/>
    <s v=""/>
    <s v=""/>
    <s v=""/>
    <s v=""/>
    <x v="2"/>
  </r>
  <r>
    <x v="8"/>
    <x v="1332"/>
    <n v="40"/>
    <m/>
    <x v="4"/>
    <s v=""/>
    <s v=""/>
    <s v=""/>
    <s v=""/>
    <s v=""/>
    <s v=""/>
    <s v=""/>
    <s v=""/>
    <s v=""/>
    <s v=""/>
    <s v=""/>
    <s v=""/>
    <s v=""/>
    <s v=""/>
    <s v=""/>
    <x v="2"/>
  </r>
  <r>
    <x v="8"/>
    <x v="1333"/>
    <n v="45"/>
    <m/>
    <x v="5"/>
    <s v=""/>
    <s v=""/>
    <s v=""/>
    <s v=""/>
    <s v=""/>
    <s v=""/>
    <s v=""/>
    <s v=""/>
    <s v=""/>
    <s v=""/>
    <s v=""/>
    <s v=""/>
    <s v=""/>
    <s v=""/>
    <s v=""/>
    <x v="2"/>
  </r>
  <r>
    <x v="8"/>
    <x v="1334"/>
    <n v="51"/>
    <m/>
    <x v="6"/>
    <s v=""/>
    <s v=""/>
    <s v=""/>
    <s v=""/>
    <s v=""/>
    <s v=""/>
    <s v=""/>
    <s v=""/>
    <s v=""/>
    <s v=""/>
    <s v=""/>
    <s v=""/>
    <s v=""/>
    <s v=""/>
    <s v=""/>
    <x v="2"/>
  </r>
  <r>
    <x v="8"/>
    <x v="1335"/>
    <n v="22"/>
    <m/>
    <x v="7"/>
    <s v=""/>
    <s v=""/>
    <s v=""/>
    <s v=""/>
    <s v=""/>
    <s v=""/>
    <s v=""/>
    <s v=""/>
    <s v=""/>
    <s v=""/>
    <s v=""/>
    <s v=""/>
    <s v=""/>
    <s v=""/>
    <s v=""/>
    <x v="2"/>
  </r>
  <r>
    <x v="8"/>
    <x v="1336"/>
    <n v="14"/>
    <n v="1"/>
    <x v="1"/>
    <s v="Ordinal scales"/>
    <s v="A ranking approach that identifies and ranks the"/>
    <s v="risks from very high to very unlikely or to some"/>
    <s v="other value."/>
    <s v=""/>
    <s v=""/>
    <s v=""/>
    <s v=""/>
    <s v=""/>
    <s v=""/>
    <s v=""/>
    <s v=""/>
    <s v=""/>
    <s v=""/>
    <s v=""/>
    <x v="269"/>
  </r>
  <r>
    <x v="8"/>
    <x v="1337"/>
    <n v="48"/>
    <m/>
    <x v="2"/>
    <s v=""/>
    <s v=""/>
    <s v=""/>
    <s v=""/>
    <s v=""/>
    <s v=""/>
    <s v=""/>
    <s v=""/>
    <s v=""/>
    <s v=""/>
    <s v=""/>
    <s v=""/>
    <s v=""/>
    <s v=""/>
    <s v=""/>
    <x v="2"/>
  </r>
  <r>
    <x v="8"/>
    <x v="1338"/>
    <n v="48"/>
    <m/>
    <x v="3"/>
    <s v=""/>
    <s v=""/>
    <s v=""/>
    <s v=""/>
    <s v=""/>
    <s v=""/>
    <s v=""/>
    <s v=""/>
    <s v=""/>
    <s v=""/>
    <s v=""/>
    <s v=""/>
    <s v=""/>
    <s v=""/>
    <s v=""/>
    <x v="2"/>
  </r>
  <r>
    <x v="8"/>
    <x v="1339"/>
    <n v="12"/>
    <m/>
    <x v="4"/>
    <s v=""/>
    <s v=""/>
    <s v=""/>
    <s v=""/>
    <s v=""/>
    <s v=""/>
    <s v=""/>
    <s v=""/>
    <s v=""/>
    <s v=""/>
    <s v=""/>
    <s v=""/>
    <s v=""/>
    <s v=""/>
    <s v=""/>
    <x v="2"/>
  </r>
  <r>
    <x v="8"/>
    <x v="1340"/>
    <n v="20"/>
    <n v="1"/>
    <x v="1"/>
    <s v="Organizational risks"/>
    <s v="The performing organization can contribute to"/>
    <s v="the project’s risks through unreasonable cost,"/>
    <s v="time, and scope expectations; poor project"/>
    <s v="prioritization; inadequate funding or the"/>
    <s v="disruption of funding; and competition with other"/>
    <s v="projects for internal resources."/>
    <s v=""/>
    <s v=""/>
    <s v=""/>
    <s v=""/>
    <s v=""/>
    <s v=""/>
    <s v=""/>
    <s v=""/>
    <x v="270"/>
  </r>
  <r>
    <x v="8"/>
    <x v="1341"/>
    <n v="45"/>
    <m/>
    <x v="2"/>
    <s v=""/>
    <s v=""/>
    <s v=""/>
    <s v=""/>
    <s v=""/>
    <s v=""/>
    <s v=""/>
    <s v=""/>
    <s v=""/>
    <s v=""/>
    <s v=""/>
    <s v=""/>
    <s v=""/>
    <s v=""/>
    <s v=""/>
    <x v="2"/>
  </r>
  <r>
    <x v="8"/>
    <x v="1342"/>
    <n v="46"/>
    <m/>
    <x v="3"/>
    <s v=""/>
    <s v=""/>
    <s v=""/>
    <s v=""/>
    <s v=""/>
    <s v=""/>
    <s v=""/>
    <s v=""/>
    <s v=""/>
    <s v=""/>
    <s v=""/>
    <s v=""/>
    <s v=""/>
    <s v=""/>
    <s v=""/>
    <x v="2"/>
  </r>
  <r>
    <x v="8"/>
    <x v="1343"/>
    <n v="42"/>
    <m/>
    <x v="4"/>
    <s v=""/>
    <s v=""/>
    <s v=""/>
    <s v=""/>
    <s v=""/>
    <s v=""/>
    <s v=""/>
    <s v=""/>
    <s v=""/>
    <s v=""/>
    <s v=""/>
    <s v=""/>
    <s v=""/>
    <s v=""/>
    <s v=""/>
    <x v="2"/>
  </r>
  <r>
    <x v="8"/>
    <x v="1344"/>
    <n v="41"/>
    <m/>
    <x v="5"/>
    <s v=""/>
    <s v=""/>
    <s v=""/>
    <s v=""/>
    <s v=""/>
    <s v=""/>
    <s v=""/>
    <s v=""/>
    <s v=""/>
    <s v=""/>
    <s v=""/>
    <s v=""/>
    <s v=""/>
    <s v=""/>
    <s v=""/>
    <x v="2"/>
  </r>
  <r>
    <x v="8"/>
    <x v="1345"/>
    <n v="49"/>
    <m/>
    <x v="6"/>
    <s v=""/>
    <s v=""/>
    <s v=""/>
    <s v=""/>
    <s v=""/>
    <s v=""/>
    <s v=""/>
    <s v=""/>
    <s v=""/>
    <s v=""/>
    <s v=""/>
    <s v=""/>
    <s v=""/>
    <s v=""/>
    <s v=""/>
    <x v="2"/>
  </r>
  <r>
    <x v="8"/>
    <x v="1346"/>
    <n v="32"/>
    <m/>
    <x v="7"/>
    <s v=""/>
    <s v=""/>
    <s v=""/>
    <s v=""/>
    <s v=""/>
    <s v=""/>
    <s v=""/>
    <s v=""/>
    <s v=""/>
    <s v=""/>
    <s v=""/>
    <s v=""/>
    <s v=""/>
    <s v=""/>
    <s v=""/>
    <x v="2"/>
  </r>
  <r>
    <x v="8"/>
    <x v="1347"/>
    <n v="6"/>
    <n v="1"/>
    <x v="1"/>
    <s v="PESTLE"/>
    <s v="A prompt list used for risk identification. PESTLE"/>
    <s v="examines risks in the Political, Economic, Social,"/>
    <s v="Technological, Legal, and Environmental"/>
    <s v="domains."/>
    <s v=""/>
    <s v=""/>
    <s v=""/>
    <s v=""/>
    <s v=""/>
    <s v=""/>
    <s v=""/>
    <s v=""/>
    <s v=""/>
    <s v=""/>
    <x v="271"/>
  </r>
  <r>
    <x v="8"/>
    <x v="1348"/>
    <n v="50"/>
    <m/>
    <x v="2"/>
    <s v=""/>
    <s v=""/>
    <s v=""/>
    <s v=""/>
    <s v=""/>
    <s v=""/>
    <s v=""/>
    <s v=""/>
    <s v=""/>
    <s v=""/>
    <s v=""/>
    <s v=""/>
    <s v=""/>
    <s v=""/>
    <s v=""/>
    <x v="2"/>
  </r>
  <r>
    <x v="8"/>
    <x v="1349"/>
    <n v="50"/>
    <m/>
    <x v="3"/>
    <s v=""/>
    <s v=""/>
    <s v=""/>
    <s v=""/>
    <s v=""/>
    <s v=""/>
    <s v=""/>
    <s v=""/>
    <s v=""/>
    <s v=""/>
    <s v=""/>
    <s v=""/>
    <s v=""/>
    <s v=""/>
    <s v=""/>
    <x v="2"/>
  </r>
  <r>
    <x v="8"/>
    <x v="1350"/>
    <n v="39"/>
    <m/>
    <x v="4"/>
    <s v=""/>
    <s v=""/>
    <s v=""/>
    <s v=""/>
    <s v=""/>
    <s v=""/>
    <s v=""/>
    <s v=""/>
    <s v=""/>
    <s v=""/>
    <s v=""/>
    <s v=""/>
    <s v=""/>
    <s v=""/>
    <s v=""/>
    <x v="2"/>
  </r>
  <r>
    <x v="8"/>
    <x v="1351"/>
    <n v="8"/>
    <m/>
    <x v="5"/>
    <s v=""/>
    <s v=""/>
    <s v=""/>
    <s v=""/>
    <s v=""/>
    <s v=""/>
    <s v=""/>
    <s v=""/>
    <s v=""/>
    <s v=""/>
    <s v=""/>
    <s v=""/>
    <s v=""/>
    <s v=""/>
    <s v=""/>
    <x v="2"/>
  </r>
  <r>
    <x v="8"/>
    <x v="1352"/>
    <n v="29"/>
    <n v="1"/>
    <x v="1"/>
    <s v="Probability and impact matrix"/>
    <s v="A matrix that ranks the probability of a risk event"/>
    <s v="occurring and its impact on the project if the"/>
    <s v="event does happen; used in qualitative and"/>
    <s v="quantitative risk analyses."/>
    <s v=""/>
    <s v=""/>
    <s v=""/>
    <s v=""/>
    <s v=""/>
    <s v=""/>
    <s v=""/>
    <s v=""/>
    <s v=""/>
    <s v=""/>
    <x v="272"/>
  </r>
  <r>
    <x v="8"/>
    <x v="1353"/>
    <n v="51"/>
    <m/>
    <x v="2"/>
    <s v=""/>
    <s v=""/>
    <s v=""/>
    <s v=""/>
    <s v=""/>
    <s v=""/>
    <s v=""/>
    <s v=""/>
    <s v=""/>
    <s v=""/>
    <s v=""/>
    <s v=""/>
    <s v=""/>
    <s v=""/>
    <s v=""/>
    <x v="2"/>
  </r>
  <r>
    <x v="8"/>
    <x v="1354"/>
    <n v="46"/>
    <m/>
    <x v="3"/>
    <s v=""/>
    <s v=""/>
    <s v=""/>
    <s v=""/>
    <s v=""/>
    <s v=""/>
    <s v=""/>
    <s v=""/>
    <s v=""/>
    <s v=""/>
    <s v=""/>
    <s v=""/>
    <s v=""/>
    <s v=""/>
    <s v=""/>
    <x v="2"/>
  </r>
  <r>
    <x v="8"/>
    <x v="1355"/>
    <n v="42"/>
    <m/>
    <x v="4"/>
    <s v=""/>
    <s v=""/>
    <s v=""/>
    <s v=""/>
    <s v=""/>
    <s v=""/>
    <s v=""/>
    <s v=""/>
    <s v=""/>
    <s v=""/>
    <s v=""/>
    <s v=""/>
    <s v=""/>
    <s v=""/>
    <s v=""/>
    <x v="2"/>
  </r>
  <r>
    <x v="8"/>
    <x v="1356"/>
    <n v="27"/>
    <m/>
    <x v="5"/>
    <s v=""/>
    <s v=""/>
    <s v=""/>
    <s v=""/>
    <s v=""/>
    <s v=""/>
    <s v=""/>
    <s v=""/>
    <s v=""/>
    <s v=""/>
    <s v=""/>
    <s v=""/>
    <s v=""/>
    <s v=""/>
    <s v=""/>
    <x v="2"/>
  </r>
  <r>
    <x v="8"/>
    <x v="1357"/>
    <n v="24"/>
    <n v="1"/>
    <x v="1"/>
    <s v="Project management risks"/>
    <s v="These risks deal with faults in the management of"/>
    <s v="the project: the unsuccessful allocation of time,"/>
    <s v="resources, and scheduling; unacceptable work"/>
    <s v="results; and poor project management."/>
    <s v=""/>
    <s v=""/>
    <s v=""/>
    <s v=""/>
    <s v=""/>
    <s v=""/>
    <s v=""/>
    <s v=""/>
    <s v=""/>
    <s v=""/>
    <x v="273"/>
  </r>
  <r>
    <x v="8"/>
    <x v="1358"/>
    <n v="49"/>
    <m/>
    <x v="2"/>
    <s v=""/>
    <s v=""/>
    <s v=""/>
    <s v=""/>
    <s v=""/>
    <s v=""/>
    <s v=""/>
    <s v=""/>
    <s v=""/>
    <s v=""/>
    <s v=""/>
    <s v=""/>
    <s v=""/>
    <s v=""/>
    <s v=""/>
    <x v="2"/>
  </r>
  <r>
    <x v="8"/>
    <x v="1359"/>
    <n v="49"/>
    <m/>
    <x v="3"/>
    <s v=""/>
    <s v=""/>
    <s v=""/>
    <s v=""/>
    <s v=""/>
    <s v=""/>
    <s v=""/>
    <s v=""/>
    <s v=""/>
    <s v=""/>
    <s v=""/>
    <s v=""/>
    <s v=""/>
    <s v=""/>
    <s v=""/>
    <x v="2"/>
  </r>
  <r>
    <x v="8"/>
    <x v="1360"/>
    <n v="44"/>
    <m/>
    <x v="4"/>
    <s v=""/>
    <s v=""/>
    <s v=""/>
    <s v=""/>
    <s v=""/>
    <s v=""/>
    <s v=""/>
    <s v=""/>
    <s v=""/>
    <s v=""/>
    <s v=""/>
    <s v=""/>
    <s v=""/>
    <s v=""/>
    <s v=""/>
    <x v="2"/>
  </r>
  <r>
    <x v="8"/>
    <x v="1361"/>
    <n v="37"/>
    <m/>
    <x v="5"/>
    <s v=""/>
    <s v=""/>
    <s v=""/>
    <s v=""/>
    <s v=""/>
    <s v=""/>
    <s v=""/>
    <s v=""/>
    <s v=""/>
    <s v=""/>
    <s v=""/>
    <s v=""/>
    <s v=""/>
    <s v=""/>
    <s v=""/>
    <x v="2"/>
  </r>
  <r>
    <x v="8"/>
    <x v="1362"/>
    <n v="10"/>
    <n v="1"/>
    <x v="1"/>
    <s v="Pure risks"/>
    <s v="These risks have only a negative outcome."/>
    <s v="Examples include loss of life or limb, fire, theft,"/>
    <s v="natural disasters, and the like."/>
    <s v=""/>
    <s v=""/>
    <s v=""/>
    <s v=""/>
    <s v=""/>
    <s v=""/>
    <s v=""/>
    <s v=""/>
    <s v=""/>
    <s v=""/>
    <s v=""/>
    <x v="274"/>
  </r>
  <r>
    <x v="8"/>
    <x v="1363"/>
    <n v="41"/>
    <m/>
    <x v="2"/>
    <s v=""/>
    <s v=""/>
    <s v=""/>
    <s v=""/>
    <s v=""/>
    <s v=""/>
    <s v=""/>
    <s v=""/>
    <s v=""/>
    <s v=""/>
    <s v=""/>
    <s v=""/>
    <s v=""/>
    <s v=""/>
    <s v=""/>
    <x v="2"/>
  </r>
  <r>
    <x v="8"/>
    <x v="1364"/>
    <n v="51"/>
    <m/>
    <x v="3"/>
    <s v=""/>
    <s v=""/>
    <s v=""/>
    <s v=""/>
    <s v=""/>
    <s v=""/>
    <s v=""/>
    <s v=""/>
    <s v=""/>
    <s v=""/>
    <s v=""/>
    <s v=""/>
    <s v=""/>
    <s v=""/>
    <s v=""/>
    <x v="2"/>
  </r>
  <r>
    <x v="8"/>
    <x v="1365"/>
    <n v="32"/>
    <m/>
    <x v="4"/>
    <s v=""/>
    <s v=""/>
    <s v=""/>
    <s v=""/>
    <s v=""/>
    <s v=""/>
    <s v=""/>
    <s v=""/>
    <s v=""/>
    <s v=""/>
    <s v=""/>
    <s v=""/>
    <s v=""/>
    <s v=""/>
    <s v=""/>
    <x v="2"/>
  </r>
  <r>
    <x v="8"/>
    <x v="1366"/>
    <n v="25"/>
    <n v="1"/>
    <x v="1"/>
    <s v="Qualitative risk analysis"/>
    <s v="This approach “qualifies” the risks that have been"/>
    <s v="identified in the project. Specifically, qualitative"/>
    <s v="risk analysis examines and prioritizes risks based"/>
    <s v="on their probability of occurring and their impact"/>
    <s v="on the project should they occur."/>
    <s v=""/>
    <s v=""/>
    <s v=""/>
    <s v=""/>
    <s v=""/>
    <s v=""/>
    <s v=""/>
    <s v=""/>
    <s v=""/>
    <x v="275"/>
  </r>
  <r>
    <x v="8"/>
    <x v="1367"/>
    <n v="50"/>
    <m/>
    <x v="2"/>
    <s v=""/>
    <s v=""/>
    <s v=""/>
    <s v=""/>
    <s v=""/>
    <s v=""/>
    <s v=""/>
    <s v=""/>
    <s v=""/>
    <s v=""/>
    <s v=""/>
    <s v=""/>
    <s v=""/>
    <s v=""/>
    <s v=""/>
    <x v="2"/>
  </r>
  <r>
    <x v="8"/>
    <x v="1368"/>
    <n v="52"/>
    <m/>
    <x v="3"/>
    <s v=""/>
    <s v=""/>
    <s v=""/>
    <s v=""/>
    <s v=""/>
    <s v=""/>
    <s v=""/>
    <s v=""/>
    <s v=""/>
    <s v=""/>
    <s v=""/>
    <s v=""/>
    <s v=""/>
    <s v=""/>
    <s v=""/>
    <x v="2"/>
  </r>
  <r>
    <x v="8"/>
    <x v="1369"/>
    <n v="50"/>
    <m/>
    <x v="4"/>
    <s v=""/>
    <s v=""/>
    <s v=""/>
    <s v=""/>
    <s v=""/>
    <s v=""/>
    <s v=""/>
    <s v=""/>
    <s v=""/>
    <s v=""/>
    <s v=""/>
    <s v=""/>
    <s v=""/>
    <s v=""/>
    <s v=""/>
    <x v="2"/>
  </r>
  <r>
    <x v="8"/>
    <x v="1370"/>
    <n v="50"/>
    <m/>
    <x v="5"/>
    <s v=""/>
    <s v=""/>
    <s v=""/>
    <s v=""/>
    <s v=""/>
    <s v=""/>
    <s v=""/>
    <s v=""/>
    <s v=""/>
    <s v=""/>
    <s v=""/>
    <s v=""/>
    <s v=""/>
    <s v=""/>
    <s v=""/>
    <x v="2"/>
  </r>
  <r>
    <x v="8"/>
    <x v="1371"/>
    <n v="33"/>
    <m/>
    <x v="6"/>
    <s v=""/>
    <s v=""/>
    <s v=""/>
    <s v=""/>
    <s v=""/>
    <s v=""/>
    <s v=""/>
    <s v=""/>
    <s v=""/>
    <s v=""/>
    <s v=""/>
    <s v=""/>
    <s v=""/>
    <s v=""/>
    <s v=""/>
    <x v="2"/>
  </r>
  <r>
    <x v="8"/>
    <x v="1372"/>
    <n v="26"/>
    <n v="1"/>
    <x v="1"/>
    <s v="Quantitative risk analysis"/>
    <s v="This approach attempts to numerically assess the"/>
    <s v="probability and impact of the identified risks. It"/>
    <s v="also creates an overall risk score for the project."/>
    <s v="This method is more in-depth than qualitative"/>
    <s v="risk analysis and relies on several different tools"/>
    <s v="to accomplish its goal."/>
    <s v=""/>
    <s v=""/>
    <s v=""/>
    <s v=""/>
    <s v=""/>
    <s v=""/>
    <s v=""/>
    <s v=""/>
    <x v="276"/>
  </r>
  <r>
    <x v="8"/>
    <x v="1373"/>
    <n v="48"/>
    <m/>
    <x v="2"/>
    <s v=""/>
    <s v=""/>
    <s v=""/>
    <s v=""/>
    <s v=""/>
    <s v=""/>
    <s v=""/>
    <s v=""/>
    <s v=""/>
    <s v=""/>
    <s v=""/>
    <s v=""/>
    <s v=""/>
    <s v=""/>
    <s v=""/>
    <x v="2"/>
  </r>
  <r>
    <x v="8"/>
    <x v="1374"/>
    <n v="50"/>
    <m/>
    <x v="3"/>
    <s v=""/>
    <s v=""/>
    <s v=""/>
    <s v=""/>
    <s v=""/>
    <s v=""/>
    <s v=""/>
    <s v=""/>
    <s v=""/>
    <s v=""/>
    <s v=""/>
    <s v=""/>
    <s v=""/>
    <s v=""/>
    <s v=""/>
    <x v="2"/>
  </r>
  <r>
    <x v="8"/>
    <x v="1375"/>
    <n v="51"/>
    <m/>
    <x v="4"/>
    <s v=""/>
    <s v=""/>
    <s v=""/>
    <s v=""/>
    <s v=""/>
    <s v=""/>
    <s v=""/>
    <s v=""/>
    <s v=""/>
    <s v=""/>
    <s v=""/>
    <s v=""/>
    <s v=""/>
    <s v=""/>
    <s v=""/>
    <x v="2"/>
  </r>
  <r>
    <x v="8"/>
    <x v="1376"/>
    <n v="45"/>
    <m/>
    <x v="5"/>
    <s v=""/>
    <s v=""/>
    <s v=""/>
    <s v=""/>
    <s v=""/>
    <s v=""/>
    <s v=""/>
    <s v=""/>
    <s v=""/>
    <s v=""/>
    <s v=""/>
    <s v=""/>
    <s v=""/>
    <s v=""/>
    <s v=""/>
    <x v="2"/>
  </r>
  <r>
    <x v="8"/>
    <x v="1377"/>
    <n v="51"/>
    <m/>
    <x v="6"/>
    <s v=""/>
    <s v=""/>
    <s v=""/>
    <s v=""/>
    <s v=""/>
    <s v=""/>
    <s v=""/>
    <s v=""/>
    <s v=""/>
    <s v=""/>
    <s v=""/>
    <s v=""/>
    <s v=""/>
    <s v=""/>
    <s v=""/>
    <x v="2"/>
  </r>
  <r>
    <x v="8"/>
    <x v="1378"/>
    <n v="23"/>
    <m/>
    <x v="7"/>
    <s v=""/>
    <s v=""/>
    <s v=""/>
    <s v=""/>
    <s v=""/>
    <s v=""/>
    <s v=""/>
    <s v=""/>
    <s v=""/>
    <s v=""/>
    <s v=""/>
    <s v=""/>
    <s v=""/>
    <s v=""/>
    <s v=""/>
    <x v="2"/>
  </r>
  <r>
    <x v="8"/>
    <x v="1379"/>
    <n v="10"/>
    <n v="1"/>
    <x v="1"/>
    <s v="RAG rating"/>
    <s v="An ordinal scale that uses red, amber, and green"/>
    <s v="(RAG) to capture the probability, impact, and risk"/>
    <s v="score."/>
    <s v=""/>
    <s v=""/>
    <s v=""/>
    <s v=""/>
    <s v=""/>
    <s v=""/>
    <s v=""/>
    <s v=""/>
    <s v=""/>
    <s v=""/>
    <s v=""/>
    <x v="277"/>
  </r>
  <r>
    <x v="8"/>
    <x v="1380"/>
    <n v="48"/>
    <m/>
    <x v="2"/>
    <s v=""/>
    <s v=""/>
    <s v=""/>
    <s v=""/>
    <s v=""/>
    <s v=""/>
    <s v=""/>
    <s v=""/>
    <s v=""/>
    <s v=""/>
    <s v=""/>
    <s v=""/>
    <s v=""/>
    <s v=""/>
    <s v=""/>
    <x v="2"/>
  </r>
  <r>
    <x v="8"/>
    <x v="1381"/>
    <n v="50"/>
    <m/>
    <x v="3"/>
    <s v=""/>
    <s v=""/>
    <s v=""/>
    <s v=""/>
    <s v=""/>
    <s v=""/>
    <s v=""/>
    <s v=""/>
    <s v=""/>
    <s v=""/>
    <s v=""/>
    <s v=""/>
    <s v=""/>
    <s v=""/>
    <s v=""/>
    <x v="2"/>
  </r>
  <r>
    <x v="8"/>
    <x v="1382"/>
    <n v="6"/>
    <m/>
    <x v="4"/>
    <s v=""/>
    <s v=""/>
    <s v=""/>
    <s v=""/>
    <s v=""/>
    <s v=""/>
    <s v=""/>
    <s v=""/>
    <s v=""/>
    <s v=""/>
    <s v=""/>
    <s v=""/>
    <s v=""/>
    <s v=""/>
    <s v=""/>
    <x v="2"/>
  </r>
  <r>
    <x v="8"/>
    <x v="1383"/>
    <n v="14"/>
    <n v="1"/>
    <x v="1"/>
    <s v="Residual risks"/>
    <s v="Risks that are expected to remain after a risk"/>
    <s v="response."/>
    <s v=""/>
    <s v=""/>
    <s v=""/>
    <s v=""/>
    <s v=""/>
    <s v=""/>
    <s v=""/>
    <s v=""/>
    <s v=""/>
    <s v=""/>
    <s v=""/>
    <s v=""/>
    <x v="278"/>
  </r>
  <r>
    <x v="8"/>
    <x v="1384"/>
    <n v="46"/>
    <m/>
    <x v="2"/>
    <s v=""/>
    <s v=""/>
    <s v=""/>
    <s v=""/>
    <s v=""/>
    <s v=""/>
    <s v=""/>
    <s v=""/>
    <s v=""/>
    <s v=""/>
    <s v=""/>
    <s v=""/>
    <s v=""/>
    <s v=""/>
    <s v=""/>
    <x v="2"/>
  </r>
  <r>
    <x v="8"/>
    <x v="1385"/>
    <n v="9"/>
    <m/>
    <x v="3"/>
    <s v=""/>
    <s v=""/>
    <s v=""/>
    <s v=""/>
    <s v=""/>
    <s v=""/>
    <s v=""/>
    <s v=""/>
    <s v=""/>
    <s v=""/>
    <s v=""/>
    <s v=""/>
    <s v=""/>
    <s v=""/>
    <s v=""/>
    <x v="2"/>
  </r>
  <r>
    <x v="8"/>
    <x v="1386"/>
    <n v="4"/>
    <n v="1"/>
    <x v="1"/>
    <s v="Risk"/>
    <s v="A project risk is an uncertain event or condition"/>
    <s v="that can have a positive or negative impact on"/>
    <s v="the project."/>
    <s v=""/>
    <s v=""/>
    <s v=""/>
    <s v=""/>
    <s v=""/>
    <s v=""/>
    <s v=""/>
    <s v=""/>
    <s v=""/>
    <s v=""/>
    <s v=""/>
    <x v="279"/>
  </r>
  <r>
    <x v="8"/>
    <x v="1387"/>
    <n v="49"/>
    <m/>
    <x v="2"/>
    <s v=""/>
    <s v=""/>
    <s v=""/>
    <s v=""/>
    <s v=""/>
    <s v=""/>
    <s v=""/>
    <s v=""/>
    <s v=""/>
    <s v=""/>
    <s v=""/>
    <s v=""/>
    <s v=""/>
    <s v=""/>
    <s v=""/>
    <x v="2"/>
  </r>
  <r>
    <x v="8"/>
    <x v="1388"/>
    <n v="46"/>
    <m/>
    <x v="3"/>
    <s v=""/>
    <s v=""/>
    <s v=""/>
    <s v=""/>
    <s v=""/>
    <s v=""/>
    <s v=""/>
    <s v=""/>
    <s v=""/>
    <s v=""/>
    <s v=""/>
    <s v=""/>
    <s v=""/>
    <s v=""/>
    <s v=""/>
    <x v="2"/>
  </r>
  <r>
    <x v="8"/>
    <x v="204"/>
    <n v="12"/>
    <m/>
    <x v="4"/>
    <s v=""/>
    <s v=""/>
    <s v=""/>
    <s v=""/>
    <s v=""/>
    <s v=""/>
    <s v=""/>
    <s v=""/>
    <s v=""/>
    <s v=""/>
    <s v=""/>
    <s v=""/>
    <s v=""/>
    <s v=""/>
    <s v=""/>
    <x v="2"/>
  </r>
  <r>
    <x v="8"/>
    <x v="1389"/>
    <n v="19"/>
    <n v="1"/>
    <x v="1"/>
    <s v="Risk identification"/>
    <s v="The systematic process of combing through the"/>
    <s v="project, the project plan, the work breakdown"/>
    <s v="structure, and all supporting documentation to"/>
    <s v="identify as many risks that may affect the project"/>
    <s v="as possible."/>
    <s v=""/>
    <s v=""/>
    <s v=""/>
    <s v=""/>
    <s v=""/>
    <s v=""/>
    <s v=""/>
    <s v=""/>
    <s v=""/>
    <x v="280"/>
  </r>
  <r>
    <x v="8"/>
    <x v="1390"/>
    <n v="45"/>
    <m/>
    <x v="2"/>
    <s v=""/>
    <s v=""/>
    <s v=""/>
    <s v=""/>
    <s v=""/>
    <s v=""/>
    <s v=""/>
    <s v=""/>
    <s v=""/>
    <s v=""/>
    <s v=""/>
    <s v=""/>
    <s v=""/>
    <s v=""/>
    <s v=""/>
    <x v="2"/>
  </r>
  <r>
    <x v="8"/>
    <x v="1391"/>
    <n v="45"/>
    <m/>
    <x v="3"/>
    <s v=""/>
    <s v=""/>
    <s v=""/>
    <s v=""/>
    <s v=""/>
    <s v=""/>
    <s v=""/>
    <s v=""/>
    <s v=""/>
    <s v=""/>
    <s v=""/>
    <s v=""/>
    <s v=""/>
    <s v=""/>
    <s v=""/>
    <x v="2"/>
  </r>
  <r>
    <x v="8"/>
    <x v="1392"/>
    <n v="46"/>
    <m/>
    <x v="4"/>
    <s v=""/>
    <s v=""/>
    <s v=""/>
    <s v=""/>
    <s v=""/>
    <s v=""/>
    <s v=""/>
    <s v=""/>
    <s v=""/>
    <s v=""/>
    <s v=""/>
    <s v=""/>
    <s v=""/>
    <s v=""/>
    <s v=""/>
    <x v="2"/>
  </r>
  <r>
    <x v="8"/>
    <x v="1393"/>
    <n v="50"/>
    <m/>
    <x v="5"/>
    <s v=""/>
    <s v=""/>
    <s v=""/>
    <s v=""/>
    <s v=""/>
    <s v=""/>
    <s v=""/>
    <s v=""/>
    <s v=""/>
    <s v=""/>
    <s v=""/>
    <s v=""/>
    <s v=""/>
    <s v=""/>
    <s v=""/>
    <x v="2"/>
  </r>
  <r>
    <x v="8"/>
    <x v="1394"/>
    <n v="12"/>
    <m/>
    <x v="6"/>
    <s v=""/>
    <s v=""/>
    <s v=""/>
    <s v=""/>
    <s v=""/>
    <s v=""/>
    <s v=""/>
    <s v=""/>
    <s v=""/>
    <s v=""/>
    <s v=""/>
    <s v=""/>
    <s v=""/>
    <s v=""/>
    <s v=""/>
    <x v="2"/>
  </r>
  <r>
    <x v="8"/>
    <x v="338"/>
    <n v="20"/>
    <n v="1"/>
    <x v="1"/>
    <s v="Risk management plan"/>
    <s v="A project management subsidiary plan that"/>
    <s v="defines how risks will be identified, analyzed,"/>
    <s v="responded to, and monitored within the project."/>
    <s v="The plan also defines the iterative risk"/>
    <s v="management process that the project is expected"/>
    <s v="to adhere to."/>
    <s v=""/>
    <s v=""/>
    <s v=""/>
    <s v=""/>
    <s v=""/>
    <s v=""/>
    <s v=""/>
    <s v=""/>
    <x v="281"/>
  </r>
  <r>
    <x v="8"/>
    <x v="1139"/>
    <n v="41"/>
    <m/>
    <x v="2"/>
    <s v=""/>
    <s v=""/>
    <s v=""/>
    <s v=""/>
    <s v=""/>
    <s v=""/>
    <s v=""/>
    <s v=""/>
    <s v=""/>
    <s v=""/>
    <s v=""/>
    <s v=""/>
    <s v=""/>
    <s v=""/>
    <s v=""/>
    <x v="2"/>
  </r>
  <r>
    <x v="8"/>
    <x v="1395"/>
    <n v="47"/>
    <m/>
    <x v="3"/>
    <s v=""/>
    <s v=""/>
    <s v=""/>
    <s v=""/>
    <s v=""/>
    <s v=""/>
    <s v=""/>
    <s v=""/>
    <s v=""/>
    <s v=""/>
    <s v=""/>
    <s v=""/>
    <s v=""/>
    <s v=""/>
    <s v=""/>
    <x v="2"/>
  </r>
  <r>
    <x v="8"/>
    <x v="1396"/>
    <n v="47"/>
    <m/>
    <x v="4"/>
    <s v=""/>
    <s v=""/>
    <s v=""/>
    <s v=""/>
    <s v=""/>
    <s v=""/>
    <s v=""/>
    <s v=""/>
    <s v=""/>
    <s v=""/>
    <s v=""/>
    <s v=""/>
    <s v=""/>
    <s v=""/>
    <s v=""/>
    <x v="2"/>
  </r>
  <r>
    <x v="8"/>
    <x v="1397"/>
    <n v="40"/>
    <m/>
    <x v="5"/>
    <s v=""/>
    <s v=""/>
    <s v=""/>
    <s v=""/>
    <s v=""/>
    <s v=""/>
    <s v=""/>
    <s v=""/>
    <s v=""/>
    <s v=""/>
    <s v=""/>
    <s v=""/>
    <s v=""/>
    <s v=""/>
    <s v=""/>
    <x v="2"/>
  </r>
  <r>
    <x v="8"/>
    <x v="1398"/>
    <n v="47"/>
    <m/>
    <x v="6"/>
    <s v=""/>
    <s v=""/>
    <s v=""/>
    <s v=""/>
    <s v=""/>
    <s v=""/>
    <s v=""/>
    <s v=""/>
    <s v=""/>
    <s v=""/>
    <s v=""/>
    <s v=""/>
    <s v=""/>
    <s v=""/>
    <s v=""/>
    <x v="2"/>
  </r>
  <r>
    <x v="8"/>
    <x v="1399"/>
    <n v="13"/>
    <m/>
    <x v="7"/>
    <s v=""/>
    <s v=""/>
    <s v=""/>
    <s v=""/>
    <s v=""/>
    <s v=""/>
    <s v=""/>
    <s v=""/>
    <s v=""/>
    <s v=""/>
    <s v=""/>
    <s v=""/>
    <s v=""/>
    <s v=""/>
    <s v=""/>
    <x v="2"/>
  </r>
  <r>
    <x v="8"/>
    <x v="1400"/>
    <n v="24"/>
    <n v="1"/>
    <x v="1"/>
    <s v="Risk management planning"/>
    <s v="The agreed-upon approach to the management"/>
    <s v="of the project risk processes."/>
    <s v=""/>
    <s v=""/>
    <s v=""/>
    <s v=""/>
    <s v=""/>
    <s v=""/>
    <s v=""/>
    <s v=""/>
    <s v=""/>
    <s v=""/>
    <s v=""/>
    <s v=""/>
    <x v="282"/>
  </r>
  <r>
    <x v="8"/>
    <x v="1401"/>
    <n v="42"/>
    <m/>
    <x v="2"/>
    <s v=""/>
    <s v=""/>
    <s v=""/>
    <s v=""/>
    <s v=""/>
    <s v=""/>
    <s v=""/>
    <s v=""/>
    <s v=""/>
    <s v=""/>
    <s v=""/>
    <s v=""/>
    <s v=""/>
    <s v=""/>
    <s v=""/>
    <x v="2"/>
  </r>
  <r>
    <x v="8"/>
    <x v="1402"/>
    <n v="30"/>
    <m/>
    <x v="3"/>
    <s v=""/>
    <s v=""/>
    <s v=""/>
    <s v=""/>
    <s v=""/>
    <s v=""/>
    <s v=""/>
    <s v=""/>
    <s v=""/>
    <s v=""/>
    <s v=""/>
    <s v=""/>
    <s v=""/>
    <s v=""/>
    <s v=""/>
    <x v="2"/>
  </r>
  <r>
    <x v="8"/>
    <x v="1403"/>
    <n v="11"/>
    <n v="1"/>
    <x v="1"/>
    <s v="Risk owners"/>
    <s v="The individuals or entities that are responsible for"/>
    <s v="monitoring and responding to an identified risk"/>
    <s v="within the project."/>
    <s v=""/>
    <s v=""/>
    <s v=""/>
    <s v=""/>
    <s v=""/>
    <s v=""/>
    <s v=""/>
    <s v=""/>
    <s v=""/>
    <s v=""/>
    <s v=""/>
    <x v="283"/>
  </r>
  <r>
    <x v="8"/>
    <x v="1404"/>
    <n v="52"/>
    <m/>
    <x v="2"/>
    <s v=""/>
    <s v=""/>
    <s v=""/>
    <s v=""/>
    <s v=""/>
    <s v=""/>
    <s v=""/>
    <s v=""/>
    <s v=""/>
    <s v=""/>
    <s v=""/>
    <s v=""/>
    <s v=""/>
    <s v=""/>
    <s v=""/>
    <x v="2"/>
  </r>
  <r>
    <x v="8"/>
    <x v="1405"/>
    <n v="47"/>
    <m/>
    <x v="3"/>
    <s v=""/>
    <s v=""/>
    <s v=""/>
    <s v=""/>
    <s v=""/>
    <s v=""/>
    <s v=""/>
    <s v=""/>
    <s v=""/>
    <s v=""/>
    <s v=""/>
    <s v=""/>
    <s v=""/>
    <s v=""/>
    <s v=""/>
    <x v="2"/>
  </r>
  <r>
    <x v="8"/>
    <x v="1406"/>
    <n v="19"/>
    <m/>
    <x v="4"/>
    <s v=""/>
    <s v=""/>
    <s v=""/>
    <s v=""/>
    <s v=""/>
    <s v=""/>
    <s v=""/>
    <s v=""/>
    <s v=""/>
    <s v=""/>
    <s v=""/>
    <s v=""/>
    <s v=""/>
    <s v=""/>
    <s v=""/>
    <x v="2"/>
  </r>
  <r>
    <x v="8"/>
    <x v="343"/>
    <n v="13"/>
    <n v="1"/>
    <x v="1"/>
    <s v="Risk register"/>
    <s v="The risk register is a project plan component that"/>
    <s v="contains all of the information related to the risk"/>
    <s v="management activities. It’s updated as risk"/>
    <s v="management activities are conducted to reflect"/>
    <s v="the status, progress, and nature of the project"/>
    <s v="risks."/>
    <s v=""/>
    <s v=""/>
    <s v=""/>
    <s v=""/>
    <s v=""/>
    <s v=""/>
    <s v=""/>
    <s v=""/>
    <x v="284"/>
  </r>
  <r>
    <x v="8"/>
    <x v="1407"/>
    <n v="50"/>
    <m/>
    <x v="2"/>
    <s v=""/>
    <s v=""/>
    <s v=""/>
    <s v=""/>
    <s v=""/>
    <s v=""/>
    <s v=""/>
    <s v=""/>
    <s v=""/>
    <s v=""/>
    <s v=""/>
    <s v=""/>
    <s v=""/>
    <s v=""/>
    <s v=""/>
    <x v="2"/>
  </r>
  <r>
    <x v="8"/>
    <x v="1408"/>
    <n v="51"/>
    <m/>
    <x v="3"/>
    <s v=""/>
    <s v=""/>
    <s v=""/>
    <s v=""/>
    <s v=""/>
    <s v=""/>
    <s v=""/>
    <s v=""/>
    <s v=""/>
    <s v=""/>
    <s v=""/>
    <s v=""/>
    <s v=""/>
    <s v=""/>
    <s v=""/>
    <x v="2"/>
  </r>
  <r>
    <x v="8"/>
    <x v="1409"/>
    <n v="43"/>
    <m/>
    <x v="4"/>
    <s v=""/>
    <s v=""/>
    <s v=""/>
    <s v=""/>
    <s v=""/>
    <s v=""/>
    <s v=""/>
    <s v=""/>
    <s v=""/>
    <s v=""/>
    <s v=""/>
    <s v=""/>
    <s v=""/>
    <s v=""/>
    <s v=""/>
    <x v="2"/>
  </r>
  <r>
    <x v="8"/>
    <x v="1410"/>
    <n v="46"/>
    <m/>
    <x v="5"/>
    <s v=""/>
    <s v=""/>
    <s v=""/>
    <s v=""/>
    <s v=""/>
    <s v=""/>
    <s v=""/>
    <s v=""/>
    <s v=""/>
    <s v=""/>
    <s v=""/>
    <s v=""/>
    <s v=""/>
    <s v=""/>
    <s v=""/>
    <x v="2"/>
  </r>
  <r>
    <x v="8"/>
    <x v="1411"/>
    <n v="47"/>
    <m/>
    <x v="6"/>
    <s v=""/>
    <s v=""/>
    <s v=""/>
    <s v=""/>
    <s v=""/>
    <s v=""/>
    <s v=""/>
    <s v=""/>
    <s v=""/>
    <s v=""/>
    <s v=""/>
    <s v=""/>
    <s v=""/>
    <s v=""/>
    <s v=""/>
    <x v="2"/>
  </r>
  <r>
    <x v="8"/>
    <x v="353"/>
    <n v="6"/>
    <m/>
    <x v="7"/>
    <s v=""/>
    <s v=""/>
    <s v=""/>
    <s v=""/>
    <s v=""/>
    <s v=""/>
    <s v=""/>
    <s v=""/>
    <s v=""/>
    <s v=""/>
    <s v=""/>
    <s v=""/>
    <s v=""/>
    <s v=""/>
    <s v=""/>
    <x v="2"/>
  </r>
  <r>
    <x v="8"/>
    <x v="1412"/>
    <n v="11"/>
    <n v="1"/>
    <x v="1"/>
    <s v="Risk report"/>
    <s v="The risk report explains the overall project risks"/>
    <s v="and provides summaries about the individual"/>
    <s v="project risks."/>
    <s v=""/>
    <s v=""/>
    <s v=""/>
    <s v=""/>
    <s v=""/>
    <s v=""/>
    <s v=""/>
    <s v=""/>
    <s v=""/>
    <s v=""/>
    <s v=""/>
    <x v="285"/>
  </r>
  <r>
    <x v="8"/>
    <x v="1413"/>
    <n v="50"/>
    <m/>
    <x v="2"/>
    <s v=""/>
    <s v=""/>
    <s v=""/>
    <s v=""/>
    <s v=""/>
    <s v=""/>
    <s v=""/>
    <s v=""/>
    <s v=""/>
    <s v=""/>
    <s v=""/>
    <s v=""/>
    <s v=""/>
    <s v=""/>
    <s v=""/>
    <x v="2"/>
  </r>
  <r>
    <x v="8"/>
    <x v="1414"/>
    <n v="43"/>
    <m/>
    <x v="3"/>
    <s v=""/>
    <s v=""/>
    <s v=""/>
    <s v=""/>
    <s v=""/>
    <s v=""/>
    <s v=""/>
    <s v=""/>
    <s v=""/>
    <s v=""/>
    <s v=""/>
    <s v=""/>
    <s v=""/>
    <s v=""/>
    <s v=""/>
    <x v="2"/>
  </r>
  <r>
    <x v="8"/>
    <x v="1415"/>
    <n v="14"/>
    <m/>
    <x v="4"/>
    <s v=""/>
    <s v=""/>
    <s v=""/>
    <s v=""/>
    <s v=""/>
    <s v=""/>
    <s v=""/>
    <s v=""/>
    <s v=""/>
    <s v=""/>
    <s v=""/>
    <s v=""/>
    <s v=""/>
    <s v=""/>
    <s v=""/>
    <x v="2"/>
  </r>
  <r>
    <x v="8"/>
    <x v="1416"/>
    <n v="19"/>
    <n v="1"/>
    <x v="1"/>
    <s v="Risk response audit"/>
    <s v="An audit to test the validity of the established risk"/>
    <s v="responses."/>
    <s v=""/>
    <s v=""/>
    <s v=""/>
    <s v=""/>
    <s v=""/>
    <s v=""/>
    <s v=""/>
    <s v=""/>
    <s v=""/>
    <s v=""/>
    <s v=""/>
    <s v=""/>
    <x v="286"/>
  </r>
  <r>
    <x v="8"/>
    <x v="1417"/>
    <n v="53"/>
    <m/>
    <x v="2"/>
    <s v=""/>
    <s v=""/>
    <s v=""/>
    <s v=""/>
    <s v=""/>
    <s v=""/>
    <s v=""/>
    <s v=""/>
    <s v=""/>
    <s v=""/>
    <s v=""/>
    <s v=""/>
    <s v=""/>
    <s v=""/>
    <s v=""/>
    <x v="2"/>
  </r>
  <r>
    <x v="8"/>
    <x v="1418"/>
    <n v="10"/>
    <m/>
    <x v="3"/>
    <s v=""/>
    <s v=""/>
    <s v=""/>
    <s v=""/>
    <s v=""/>
    <s v=""/>
    <s v=""/>
    <s v=""/>
    <s v=""/>
    <s v=""/>
    <s v=""/>
    <s v=""/>
    <s v=""/>
    <s v=""/>
    <s v=""/>
    <x v="2"/>
  </r>
  <r>
    <x v="8"/>
    <x v="1419"/>
    <n v="21"/>
    <n v="1"/>
    <x v="1"/>
    <s v="Risk responsibilities"/>
    <s v="The level of ownership an individual or entity has"/>
    <s v="over a project risk."/>
    <s v=""/>
    <s v=""/>
    <s v=""/>
    <s v=""/>
    <s v=""/>
    <s v=""/>
    <s v=""/>
    <s v=""/>
    <s v=""/>
    <s v=""/>
    <s v=""/>
    <s v=""/>
    <x v="287"/>
  </r>
  <r>
    <x v="8"/>
    <x v="1420"/>
    <n v="50"/>
    <m/>
    <x v="2"/>
    <s v=""/>
    <s v=""/>
    <s v=""/>
    <s v=""/>
    <s v=""/>
    <s v=""/>
    <s v=""/>
    <s v=""/>
    <s v=""/>
    <s v=""/>
    <s v=""/>
    <s v=""/>
    <s v=""/>
    <s v=""/>
    <s v=""/>
    <x v="2"/>
  </r>
  <r>
    <x v="8"/>
    <x v="1421"/>
    <n v="20"/>
    <m/>
    <x v="3"/>
    <s v=""/>
    <s v=""/>
    <s v=""/>
    <s v=""/>
    <s v=""/>
    <s v=""/>
    <s v=""/>
    <s v=""/>
    <s v=""/>
    <s v=""/>
    <s v=""/>
    <s v=""/>
    <s v=""/>
    <s v=""/>
    <s v=""/>
    <x v="2"/>
  </r>
  <r>
    <x v="8"/>
    <x v="1422"/>
    <n v="10"/>
    <n v="1"/>
    <x v="1"/>
    <s v="Risk score"/>
    <s v="The calculated score based on each risk’s"/>
    <s v="probability and impact. The approach can be"/>
    <s v="used in both qualitative and quantitative risk"/>
    <s v="analysis."/>
    <s v=""/>
    <s v=""/>
    <s v=""/>
    <s v=""/>
    <s v=""/>
    <s v=""/>
    <s v=""/>
    <s v=""/>
    <s v=""/>
    <s v=""/>
    <x v="288"/>
  </r>
  <r>
    <x v="8"/>
    <x v="1423"/>
    <n v="41"/>
    <m/>
    <x v="2"/>
    <s v=""/>
    <s v=""/>
    <s v=""/>
    <s v=""/>
    <s v=""/>
    <s v=""/>
    <s v=""/>
    <s v=""/>
    <s v=""/>
    <s v=""/>
    <s v=""/>
    <s v=""/>
    <s v=""/>
    <s v=""/>
    <s v=""/>
    <x v="2"/>
  </r>
  <r>
    <x v="8"/>
    <x v="1424"/>
    <n v="43"/>
    <m/>
    <x v="3"/>
    <s v=""/>
    <s v=""/>
    <s v=""/>
    <s v=""/>
    <s v=""/>
    <s v=""/>
    <s v=""/>
    <s v=""/>
    <s v=""/>
    <s v=""/>
    <s v=""/>
    <s v=""/>
    <s v=""/>
    <s v=""/>
    <s v=""/>
    <x v="2"/>
  </r>
  <r>
    <x v="8"/>
    <x v="1425"/>
    <n v="46"/>
    <m/>
    <x v="4"/>
    <s v=""/>
    <s v=""/>
    <s v=""/>
    <s v=""/>
    <s v=""/>
    <s v=""/>
    <s v=""/>
    <s v=""/>
    <s v=""/>
    <s v=""/>
    <s v=""/>
    <s v=""/>
    <s v=""/>
    <s v=""/>
    <s v=""/>
    <x v="2"/>
  </r>
  <r>
    <x v="8"/>
    <x v="1426"/>
    <n v="9"/>
    <m/>
    <x v="5"/>
    <s v=""/>
    <s v=""/>
    <s v=""/>
    <s v=""/>
    <s v=""/>
    <s v=""/>
    <s v=""/>
    <s v=""/>
    <s v=""/>
    <s v=""/>
    <s v=""/>
    <s v=""/>
    <s v=""/>
    <s v=""/>
    <s v=""/>
    <x v="2"/>
  </r>
  <r>
    <x v="8"/>
    <x v="1427"/>
    <n v="25"/>
    <n v="1"/>
    <x v="1"/>
    <s v="Root cause identification"/>
    <s v="Root cause identification aims to find out why a"/>
    <s v="risk event may be occurring, the causal factors for"/>
    <s v="the risk events, and then, eventually, how the"/>
    <s v="events can be mitigated or eliminated."/>
    <s v=""/>
    <s v=""/>
    <s v=""/>
    <s v=""/>
    <s v=""/>
    <s v=""/>
    <s v=""/>
    <s v=""/>
    <s v=""/>
    <s v=""/>
    <x v="289"/>
  </r>
  <r>
    <x v="8"/>
    <x v="1428"/>
    <n v="48"/>
    <m/>
    <x v="2"/>
    <s v=""/>
    <s v=""/>
    <s v=""/>
    <s v=""/>
    <s v=""/>
    <s v=""/>
    <s v=""/>
    <s v=""/>
    <s v=""/>
    <s v=""/>
    <s v=""/>
    <s v=""/>
    <s v=""/>
    <s v=""/>
    <s v=""/>
    <x v="2"/>
  </r>
  <r>
    <x v="8"/>
    <x v="1429"/>
    <n v="51"/>
    <m/>
    <x v="3"/>
    <s v=""/>
    <s v=""/>
    <s v=""/>
    <s v=""/>
    <s v=""/>
    <s v=""/>
    <s v=""/>
    <s v=""/>
    <s v=""/>
    <s v=""/>
    <s v=""/>
    <s v=""/>
    <s v=""/>
    <s v=""/>
    <s v=""/>
    <x v="2"/>
  </r>
  <r>
    <x v="8"/>
    <x v="1430"/>
    <n v="46"/>
    <m/>
    <x v="4"/>
    <s v=""/>
    <s v=""/>
    <s v=""/>
    <s v=""/>
    <s v=""/>
    <s v=""/>
    <s v=""/>
    <s v=""/>
    <s v=""/>
    <s v=""/>
    <s v=""/>
    <s v=""/>
    <s v=""/>
    <s v=""/>
    <s v=""/>
    <x v="2"/>
  </r>
  <r>
    <x v="8"/>
    <x v="1431"/>
    <n v="38"/>
    <m/>
    <x v="5"/>
    <s v=""/>
    <s v=""/>
    <s v=""/>
    <s v=""/>
    <s v=""/>
    <s v=""/>
    <s v=""/>
    <s v=""/>
    <s v=""/>
    <s v=""/>
    <s v=""/>
    <s v=""/>
    <s v=""/>
    <s v=""/>
    <s v=""/>
    <x v="2"/>
  </r>
  <r>
    <x v="8"/>
    <x v="1432"/>
    <n v="15"/>
    <n v="1"/>
    <x v="1"/>
    <s v="Secondary risks"/>
    <s v="New risks that are created as a result of a risk"/>
    <s v="response."/>
    <s v=""/>
    <s v=""/>
    <s v=""/>
    <s v=""/>
    <s v=""/>
    <s v=""/>
    <s v=""/>
    <s v=""/>
    <s v=""/>
    <s v=""/>
    <s v=""/>
    <s v=""/>
    <x v="290"/>
  </r>
  <r>
    <x v="8"/>
    <x v="1433"/>
    <n v="48"/>
    <m/>
    <x v="2"/>
    <s v=""/>
    <s v=""/>
    <s v=""/>
    <s v=""/>
    <s v=""/>
    <s v=""/>
    <s v=""/>
    <s v=""/>
    <s v=""/>
    <s v=""/>
    <s v=""/>
    <s v=""/>
    <s v=""/>
    <s v=""/>
    <s v=""/>
    <x v="2"/>
  </r>
  <r>
    <x v="8"/>
    <x v="1385"/>
    <n v="9"/>
    <m/>
    <x v="3"/>
    <s v=""/>
    <s v=""/>
    <s v=""/>
    <s v=""/>
    <s v=""/>
    <s v=""/>
    <s v=""/>
    <s v=""/>
    <s v=""/>
    <s v=""/>
    <s v=""/>
    <s v=""/>
    <s v=""/>
    <s v=""/>
    <s v=""/>
    <x v="2"/>
  </r>
  <r>
    <x v="8"/>
    <x v="1434"/>
    <n v="20"/>
    <n v="1"/>
    <x v="1"/>
    <s v="Sensitivity analysis"/>
    <s v="A quantitative risk analysis tool that examines"/>
    <s v="each risk to determine which one has the largest"/>
    <s v="impact on the project’s success."/>
    <s v=""/>
    <s v=""/>
    <s v=""/>
    <s v=""/>
    <s v=""/>
    <s v=""/>
    <s v=""/>
    <s v=""/>
    <s v=""/>
    <s v=""/>
    <s v=""/>
    <x v="291"/>
  </r>
  <r>
    <x v="8"/>
    <x v="1435"/>
    <n v="47"/>
    <m/>
    <x v="2"/>
    <s v=""/>
    <s v=""/>
    <s v=""/>
    <s v=""/>
    <s v=""/>
    <s v=""/>
    <s v=""/>
    <s v=""/>
    <s v=""/>
    <s v=""/>
    <s v=""/>
    <s v=""/>
    <s v=""/>
    <s v=""/>
    <s v=""/>
    <x v="2"/>
  </r>
  <r>
    <x v="8"/>
    <x v="1436"/>
    <n v="48"/>
    <m/>
    <x v="3"/>
    <s v=""/>
    <s v=""/>
    <s v=""/>
    <s v=""/>
    <s v=""/>
    <s v=""/>
    <s v=""/>
    <s v=""/>
    <s v=""/>
    <s v=""/>
    <s v=""/>
    <s v=""/>
    <s v=""/>
    <s v=""/>
    <s v=""/>
    <x v="2"/>
  </r>
  <r>
    <x v="8"/>
    <x v="1437"/>
    <n v="32"/>
    <m/>
    <x v="4"/>
    <s v=""/>
    <s v=""/>
    <s v=""/>
    <s v=""/>
    <s v=""/>
    <s v=""/>
    <s v=""/>
    <s v=""/>
    <s v=""/>
    <s v=""/>
    <s v=""/>
    <s v=""/>
    <s v=""/>
    <s v=""/>
    <s v=""/>
    <x v="2"/>
  </r>
  <r>
    <x v="8"/>
    <x v="1438"/>
    <n v="7"/>
    <n v="1"/>
    <x v="1"/>
    <s v="Sharing"/>
    <s v="A risk response that shares the advantages of a"/>
    <s v="positive risk within a project."/>
    <s v=""/>
    <s v=""/>
    <s v=""/>
    <s v=""/>
    <s v=""/>
    <s v=""/>
    <s v=""/>
    <s v=""/>
    <s v=""/>
    <s v=""/>
    <s v=""/>
    <s v=""/>
    <x v="292"/>
  </r>
  <r>
    <x v="8"/>
    <x v="1439"/>
    <n v="47"/>
    <m/>
    <x v="2"/>
    <s v=""/>
    <s v=""/>
    <s v=""/>
    <s v=""/>
    <s v=""/>
    <s v=""/>
    <s v=""/>
    <s v=""/>
    <s v=""/>
    <s v=""/>
    <s v=""/>
    <s v=""/>
    <s v=""/>
    <s v=""/>
    <s v=""/>
    <x v="2"/>
  </r>
  <r>
    <x v="8"/>
    <x v="1440"/>
    <n v="31"/>
    <m/>
    <x v="3"/>
    <s v=""/>
    <s v=""/>
    <s v=""/>
    <s v=""/>
    <s v=""/>
    <s v=""/>
    <s v=""/>
    <s v=""/>
    <s v=""/>
    <s v=""/>
    <s v=""/>
    <s v=""/>
    <s v=""/>
    <s v=""/>
    <s v=""/>
    <x v="2"/>
  </r>
  <r>
    <x v="8"/>
    <x v="1441"/>
    <n v="13"/>
    <n v="1"/>
    <x v="1"/>
    <s v="SWOT analysis"/>
    <s v="SWOT analysis is the process of examining the"/>
    <s v="project from the perspective of each"/>
    <s v="characteristic: strengths, weaknesses,"/>
    <s v="opportunities, and threats."/>
    <s v=""/>
    <s v=""/>
    <s v=""/>
    <s v=""/>
    <s v=""/>
    <s v=""/>
    <s v=""/>
    <s v=""/>
    <s v=""/>
    <s v=""/>
    <x v="293"/>
  </r>
  <r>
    <x v="8"/>
    <x v="1442"/>
    <n v="45"/>
    <m/>
    <x v="2"/>
    <s v=""/>
    <s v=""/>
    <s v=""/>
    <s v=""/>
    <s v=""/>
    <s v=""/>
    <s v=""/>
    <s v=""/>
    <s v=""/>
    <s v=""/>
    <s v=""/>
    <s v=""/>
    <s v=""/>
    <s v=""/>
    <s v=""/>
    <x v="2"/>
  </r>
  <r>
    <x v="8"/>
    <x v="1443"/>
    <n v="36"/>
    <m/>
    <x v="3"/>
    <s v=""/>
    <s v=""/>
    <s v=""/>
    <s v=""/>
    <s v=""/>
    <s v=""/>
    <s v=""/>
    <s v=""/>
    <s v=""/>
    <s v=""/>
    <s v=""/>
    <s v=""/>
    <s v=""/>
    <s v=""/>
    <s v=""/>
    <x v="2"/>
  </r>
  <r>
    <x v="8"/>
    <x v="1444"/>
    <n v="38"/>
    <m/>
    <x v="4"/>
    <s v=""/>
    <s v=""/>
    <s v=""/>
    <s v=""/>
    <s v=""/>
    <s v=""/>
    <s v=""/>
    <s v=""/>
    <s v=""/>
    <s v=""/>
    <s v=""/>
    <s v=""/>
    <s v=""/>
    <s v=""/>
    <s v=""/>
    <x v="2"/>
  </r>
  <r>
    <x v="8"/>
    <x v="1445"/>
    <n v="27"/>
    <m/>
    <x v="5"/>
    <s v=""/>
    <s v=""/>
    <s v=""/>
    <s v=""/>
    <s v=""/>
    <s v=""/>
    <s v=""/>
    <s v=""/>
    <s v=""/>
    <s v=""/>
    <s v=""/>
    <s v=""/>
    <s v=""/>
    <s v=""/>
    <s v=""/>
    <x v="2"/>
  </r>
  <r>
    <x v="8"/>
    <x v="1446"/>
    <n v="5"/>
    <n v="1"/>
    <x v="1"/>
    <s v="TECOP"/>
    <s v="A prompt list used in risk identification to"/>
    <s v="examine the Technical, Environmental,"/>
    <s v="Commercial, Operational, and Political factors of"/>
    <s v="the project."/>
    <s v="Technical, quality, or performance risks"/>
    <s v="Technical risks are associated with new,"/>
    <s v="unproven, or complex technologies being used on"/>
    <s v="the project. Changes to the technology during the"/>
    <s v="project implementation can also be a risk. Quality"/>
    <s v="risks are the levels set for expectations of"/>
    <s v="impractical quality and performance."/>
    <s v=""/>
    <s v=""/>
    <s v=""/>
    <x v="294"/>
  </r>
  <r>
    <x v="8"/>
    <x v="1447"/>
    <n v="44"/>
    <m/>
    <x v="2"/>
    <s v=""/>
    <s v=""/>
    <s v=""/>
    <s v=""/>
    <s v=""/>
    <s v=""/>
    <s v=""/>
    <s v=""/>
    <s v=""/>
    <s v=""/>
    <s v=""/>
    <s v=""/>
    <s v=""/>
    <s v=""/>
    <s v=""/>
    <x v="2"/>
  </r>
  <r>
    <x v="8"/>
    <x v="1448"/>
    <n v="37"/>
    <m/>
    <x v="3"/>
    <s v=""/>
    <s v=""/>
    <s v=""/>
    <s v=""/>
    <s v=""/>
    <s v=""/>
    <s v=""/>
    <s v=""/>
    <s v=""/>
    <s v=""/>
    <s v=""/>
    <s v=""/>
    <s v=""/>
    <s v=""/>
    <s v=""/>
    <x v="2"/>
  </r>
  <r>
    <x v="8"/>
    <x v="1449"/>
    <n v="49"/>
    <m/>
    <x v="4"/>
    <s v=""/>
    <s v=""/>
    <s v=""/>
    <s v=""/>
    <s v=""/>
    <s v=""/>
    <s v=""/>
    <s v=""/>
    <s v=""/>
    <s v=""/>
    <s v=""/>
    <s v=""/>
    <s v=""/>
    <s v=""/>
    <s v=""/>
    <x v="2"/>
  </r>
  <r>
    <x v="8"/>
    <x v="204"/>
    <n v="12"/>
    <m/>
    <x v="5"/>
    <s v=""/>
    <s v=""/>
    <s v=""/>
    <s v=""/>
    <s v=""/>
    <s v=""/>
    <s v=""/>
    <s v=""/>
    <s v=""/>
    <s v=""/>
    <s v=""/>
    <s v=""/>
    <s v=""/>
    <s v=""/>
    <s v=""/>
    <x v="2"/>
  </r>
  <r>
    <x v="8"/>
    <x v="1450"/>
    <n v="40"/>
    <m/>
    <x v="6"/>
    <s v=""/>
    <s v=""/>
    <s v=""/>
    <s v=""/>
    <s v=""/>
    <s v=""/>
    <s v=""/>
    <s v=""/>
    <s v=""/>
    <s v=""/>
    <s v=""/>
    <s v=""/>
    <s v=""/>
    <s v=""/>
    <s v=""/>
    <x v="2"/>
  </r>
  <r>
    <x v="8"/>
    <x v="1451"/>
    <n v="40"/>
    <m/>
    <x v="7"/>
    <s v=""/>
    <s v=""/>
    <s v=""/>
    <s v=""/>
    <s v=""/>
    <s v=""/>
    <s v=""/>
    <s v=""/>
    <s v=""/>
    <s v=""/>
    <s v=""/>
    <s v=""/>
    <s v=""/>
    <s v=""/>
    <s v=""/>
    <x v="2"/>
  </r>
  <r>
    <x v="8"/>
    <x v="1452"/>
    <n v="47"/>
    <m/>
    <x v="8"/>
    <s v=""/>
    <s v=""/>
    <s v=""/>
    <s v=""/>
    <s v=""/>
    <s v=""/>
    <s v=""/>
    <s v=""/>
    <s v=""/>
    <s v=""/>
    <s v=""/>
    <s v=""/>
    <s v=""/>
    <s v=""/>
    <s v=""/>
    <x v="2"/>
  </r>
  <r>
    <x v="8"/>
    <x v="1453"/>
    <n v="49"/>
    <m/>
    <x v="9"/>
    <s v=""/>
    <s v=""/>
    <s v=""/>
    <s v=""/>
    <s v=""/>
    <s v=""/>
    <s v=""/>
    <s v=""/>
    <s v=""/>
    <s v=""/>
    <s v=""/>
    <s v=""/>
    <s v=""/>
    <s v=""/>
    <s v=""/>
    <x v="2"/>
  </r>
  <r>
    <x v="8"/>
    <x v="1454"/>
    <n v="50"/>
    <m/>
    <x v="10"/>
    <s v=""/>
    <s v=""/>
    <s v=""/>
    <s v=""/>
    <s v=""/>
    <s v=""/>
    <s v=""/>
    <s v=""/>
    <s v=""/>
    <s v=""/>
    <s v=""/>
    <s v=""/>
    <s v=""/>
    <s v=""/>
    <s v=""/>
    <x v="2"/>
  </r>
  <r>
    <x v="8"/>
    <x v="1455"/>
    <n v="44"/>
    <m/>
    <x v="11"/>
    <s v=""/>
    <s v=""/>
    <s v=""/>
    <s v=""/>
    <s v=""/>
    <s v=""/>
    <s v=""/>
    <s v=""/>
    <s v=""/>
    <s v=""/>
    <s v=""/>
    <s v=""/>
    <s v=""/>
    <s v=""/>
    <s v=""/>
    <x v="2"/>
  </r>
  <r>
    <x v="8"/>
    <x v="1456"/>
    <n v="36"/>
    <m/>
    <x v="12"/>
    <s v=""/>
    <s v=""/>
    <s v=""/>
    <s v=""/>
    <s v=""/>
    <s v=""/>
    <s v=""/>
    <s v=""/>
    <s v=""/>
    <s v=""/>
    <s v=""/>
    <s v=""/>
    <s v=""/>
    <s v=""/>
    <s v=""/>
    <x v="2"/>
  </r>
  <r>
    <x v="8"/>
    <x v="1457"/>
    <n v="12"/>
    <n v="1"/>
    <x v="1"/>
    <s v="Transference"/>
    <s v="A risk response that transfers the ownership of"/>
    <s v="the risk to another party. Insurance, licensed"/>
    <s v="contractors, or other project teams are good"/>
    <s v="examples of transference. A fee and contractual"/>
    <s v="relationships are typically involved with the"/>
    <s v="transference of a risk."/>
    <s v=""/>
    <s v=""/>
    <s v=""/>
    <s v=""/>
    <s v=""/>
    <s v=""/>
    <s v=""/>
    <s v=""/>
    <x v="295"/>
  </r>
  <r>
    <x v="8"/>
    <x v="1458"/>
    <n v="47"/>
    <m/>
    <x v="2"/>
    <s v=""/>
    <s v=""/>
    <s v=""/>
    <s v=""/>
    <s v=""/>
    <s v=""/>
    <s v=""/>
    <s v=""/>
    <s v=""/>
    <s v=""/>
    <s v=""/>
    <s v=""/>
    <s v=""/>
    <s v=""/>
    <s v=""/>
    <x v="2"/>
  </r>
  <r>
    <x v="8"/>
    <x v="1459"/>
    <n v="46"/>
    <m/>
    <x v="3"/>
    <s v=""/>
    <s v=""/>
    <s v=""/>
    <s v=""/>
    <s v=""/>
    <s v=""/>
    <s v=""/>
    <s v=""/>
    <s v=""/>
    <s v=""/>
    <s v=""/>
    <s v=""/>
    <s v=""/>
    <s v=""/>
    <s v=""/>
    <x v="2"/>
  </r>
  <r>
    <x v="8"/>
    <x v="1460"/>
    <n v="44"/>
    <m/>
    <x v="4"/>
    <s v=""/>
    <s v=""/>
    <s v=""/>
    <s v=""/>
    <s v=""/>
    <s v=""/>
    <s v=""/>
    <s v=""/>
    <s v=""/>
    <s v=""/>
    <s v=""/>
    <s v=""/>
    <s v=""/>
    <s v=""/>
    <s v=""/>
    <x v="2"/>
  </r>
  <r>
    <x v="8"/>
    <x v="1461"/>
    <n v="47"/>
    <m/>
    <x v="5"/>
    <s v=""/>
    <s v=""/>
    <s v=""/>
    <s v=""/>
    <s v=""/>
    <s v=""/>
    <s v=""/>
    <s v=""/>
    <s v=""/>
    <s v=""/>
    <s v=""/>
    <s v=""/>
    <s v=""/>
    <s v=""/>
    <s v=""/>
    <x v="2"/>
  </r>
  <r>
    <x v="8"/>
    <x v="1462"/>
    <n v="45"/>
    <m/>
    <x v="6"/>
    <s v=""/>
    <s v=""/>
    <s v=""/>
    <s v=""/>
    <s v=""/>
    <s v=""/>
    <s v=""/>
    <s v=""/>
    <s v=""/>
    <s v=""/>
    <s v=""/>
    <s v=""/>
    <s v=""/>
    <s v=""/>
    <s v=""/>
    <x v="2"/>
  </r>
  <r>
    <x v="8"/>
    <x v="1463"/>
    <n v="23"/>
    <m/>
    <x v="7"/>
    <s v=""/>
    <s v=""/>
    <s v=""/>
    <s v=""/>
    <s v=""/>
    <s v=""/>
    <s v=""/>
    <s v=""/>
    <s v=""/>
    <s v=""/>
    <s v=""/>
    <s v=""/>
    <s v=""/>
    <s v=""/>
    <s v=""/>
    <x v="2"/>
  </r>
  <r>
    <x v="8"/>
    <x v="1464"/>
    <n v="17"/>
    <n v="1"/>
    <x v="1"/>
    <s v="Variability risks"/>
    <s v="A type of risk based on the variations that may"/>
    <s v="occur in the project, such as production, number"/>
    <s v="of quality errors, or even the weather."/>
    <s v=""/>
    <s v=""/>
    <s v=""/>
    <s v=""/>
    <s v=""/>
    <s v=""/>
    <s v=""/>
    <s v=""/>
    <s v=""/>
    <s v=""/>
    <s v=""/>
    <x v="296"/>
  </r>
  <r>
    <x v="8"/>
    <x v="1465"/>
    <n v="47"/>
    <m/>
    <x v="2"/>
    <s v=""/>
    <s v=""/>
    <s v=""/>
    <s v=""/>
    <s v=""/>
    <s v=""/>
    <s v=""/>
    <s v=""/>
    <s v=""/>
    <s v=""/>
    <s v=""/>
    <s v=""/>
    <s v=""/>
    <s v=""/>
    <s v=""/>
    <x v="2"/>
  </r>
  <r>
    <x v="8"/>
    <x v="1466"/>
    <n v="48"/>
    <m/>
    <x v="3"/>
    <s v=""/>
    <s v=""/>
    <s v=""/>
    <s v=""/>
    <s v=""/>
    <s v=""/>
    <s v=""/>
    <s v=""/>
    <s v=""/>
    <s v=""/>
    <s v=""/>
    <s v=""/>
    <s v=""/>
    <s v=""/>
    <s v=""/>
    <x v="2"/>
  </r>
  <r>
    <x v="8"/>
    <x v="1467"/>
    <n v="39"/>
    <m/>
    <x v="4"/>
    <s v=""/>
    <s v=""/>
    <s v=""/>
    <s v=""/>
    <s v=""/>
    <s v=""/>
    <s v=""/>
    <s v=""/>
    <s v=""/>
    <s v=""/>
    <s v=""/>
    <s v=""/>
    <s v=""/>
    <s v=""/>
    <s v=""/>
    <x v="2"/>
  </r>
  <r>
    <x v="8"/>
    <x v="1468"/>
    <n v="4"/>
    <n v="1"/>
    <x v="1"/>
    <s v="VUCA"/>
    <s v="A prompt list used in risk identification that"/>
    <s v="examines the Volatility, Uncertainty, Complexity,"/>
    <s v="and Ambiguity of risk factors within the project."/>
    <s v="Contract change control system This defines the procedures for how the contract may be changed. The process for changing the contract includes the forms; documented communications; tracking; conditions within the project, business, or marketplace that justify the needed change; dispute resolution procedures; and the procedures for getting the changes approved within the performing organization. Contract statement of work (SOW also CSOW) This document requires that the seller fully describe the work to be completed and/or the product to be supplied. The SOW becomes part of the contract between the buyer and the seller. Cost plus award fee contract A contract that pays the vendor all costs for the project, but also includes a buyer-determined award fee for the project work. Cost plus fixed fee contract A contract that requires the buyer to pay for the cost of the goods and services procured plus a fixed fee for the contracted work. The buyer assumes the risk of a cost overrun. Cost plus incentive fee A contract type that requires the buyer to pay a cost for the procured work, plus an incentive fee, or a bonus, for the work if terms and conditions are met. Cost plus percentage of costs A contract that requires the buyer to pay for the costs of the goods and services procured plus a percentage of the costs. The buyer assumes all of the risks for cost overruns. Direct costs These are costs incurred by the project in order for the project to exist. Examples include the equipment needed to complete the project work, salaries of the project team, and other expenses tied directly to the project’s existence."/>
    <s v=""/>
    <s v=""/>
    <s v=""/>
    <s v=""/>
    <s v=""/>
    <s v=""/>
    <s v=""/>
    <s v=""/>
    <s v=""/>
    <s v=""/>
    <x v="297"/>
  </r>
  <r>
    <x v="8"/>
    <x v="1469"/>
    <n v="46"/>
    <m/>
    <x v="2"/>
    <s v=""/>
    <s v=""/>
    <s v=""/>
    <s v=""/>
    <s v=""/>
    <s v=""/>
    <s v=""/>
    <s v=""/>
    <s v=""/>
    <s v=""/>
    <s v=""/>
    <s v=""/>
    <s v=""/>
    <s v=""/>
    <s v=""/>
    <x v="2"/>
  </r>
  <r>
    <x v="8"/>
    <x v="1470"/>
    <n v="49"/>
    <m/>
    <x v="3"/>
    <s v=""/>
    <s v=""/>
    <s v=""/>
    <s v=""/>
    <s v=""/>
    <s v=""/>
    <s v=""/>
    <s v=""/>
    <s v=""/>
    <s v=""/>
    <s v=""/>
    <s v=""/>
    <s v=""/>
    <s v=""/>
    <s v=""/>
    <x v="2"/>
  </r>
  <r>
    <x v="8"/>
    <x v="1471"/>
    <n v="49"/>
    <m/>
    <x v="4"/>
    <s v=""/>
    <s v=""/>
    <s v=""/>
    <s v=""/>
    <s v=""/>
    <s v=""/>
    <s v=""/>
    <s v=""/>
    <s v=""/>
    <s v=""/>
    <s v=""/>
    <s v=""/>
    <s v=""/>
    <s v=""/>
    <s v=""/>
    <x v="2"/>
  </r>
  <r>
    <x v="8"/>
    <x v="1472"/>
    <n v="1625"/>
    <m/>
    <x v="5"/>
    <s v=""/>
    <s v=""/>
    <s v=""/>
    <s v=""/>
    <s v=""/>
    <s v=""/>
    <s v=""/>
    <s v=""/>
    <s v=""/>
    <s v=""/>
    <s v=""/>
    <s v=""/>
    <s v=""/>
    <s v=""/>
    <s v=""/>
    <x v="2"/>
  </r>
  <r>
    <x v="8"/>
    <x v="1473"/>
    <n v="21"/>
    <n v="1"/>
    <x v="1"/>
    <s v="Fixed-price contracts"/>
    <s v="Also known as firm fixed-price and lumpsum"/>
    <s v="contracts, these are agreements that"/>
    <s v="define a total price for the product the"/>
    <s v="seller is to provide."/>
    <s v=""/>
    <s v=""/>
    <s v=""/>
    <s v=""/>
    <s v=""/>
    <s v=""/>
    <s v=""/>
    <s v=""/>
    <s v=""/>
    <s v=""/>
    <x v="298"/>
  </r>
  <r>
    <x v="8"/>
    <x v="1474"/>
    <n v="42"/>
    <m/>
    <x v="2"/>
    <s v=""/>
    <s v=""/>
    <s v=""/>
    <s v=""/>
    <s v=""/>
    <s v=""/>
    <s v=""/>
    <s v=""/>
    <s v=""/>
    <s v=""/>
    <s v=""/>
    <s v=""/>
    <s v=""/>
    <s v=""/>
    <s v=""/>
    <x v="2"/>
  </r>
  <r>
    <x v="8"/>
    <x v="1475"/>
    <n v="36"/>
    <m/>
    <x v="3"/>
    <s v=""/>
    <s v=""/>
    <s v=""/>
    <s v=""/>
    <s v=""/>
    <s v=""/>
    <s v=""/>
    <s v=""/>
    <s v=""/>
    <s v=""/>
    <s v=""/>
    <s v=""/>
    <s v=""/>
    <s v=""/>
    <s v=""/>
    <x v="2"/>
  </r>
  <r>
    <x v="8"/>
    <x v="1476"/>
    <n v="40"/>
    <m/>
    <x v="4"/>
    <s v=""/>
    <s v=""/>
    <s v=""/>
    <s v=""/>
    <s v=""/>
    <s v=""/>
    <s v=""/>
    <s v=""/>
    <s v=""/>
    <s v=""/>
    <s v=""/>
    <s v=""/>
    <s v=""/>
    <s v=""/>
    <s v=""/>
    <x v="2"/>
  </r>
  <r>
    <x v="8"/>
    <x v="1477"/>
    <n v="21"/>
    <m/>
    <x v="5"/>
    <s v=""/>
    <s v=""/>
    <s v=""/>
    <s v=""/>
    <s v=""/>
    <s v=""/>
    <s v=""/>
    <s v=""/>
    <s v=""/>
    <s v=""/>
    <s v=""/>
    <s v=""/>
    <s v=""/>
    <s v=""/>
    <s v=""/>
    <x v="2"/>
  </r>
  <r>
    <x v="8"/>
    <x v="1478"/>
    <n v="25"/>
    <n v="1"/>
    <x v="1"/>
    <s v="Fixed-price incentive fee"/>
    <s v="A fixed-price contract with opportunities"/>
    <s v="for bonuses for meeting goals on costs,"/>
    <s v="schedule, and other objectives. These"/>
    <s v="contracts usually have a price ceiling for"/>
    <s v="costs and associated bonuses."/>
    <s v="Fixed-price with economic price"/>
    <s v="adjustments"/>
    <s v="A fixed-price contract with a special"/>
    <s v="allowance for price increases based on"/>
    <s v="economic reasons such as inflation or the"/>
    <s v="cost of raw materials."/>
    <s v=""/>
    <s v=""/>
    <s v=""/>
    <x v="299"/>
  </r>
  <r>
    <x v="8"/>
    <x v="1479"/>
    <n v="41"/>
    <m/>
    <x v="2"/>
    <s v=""/>
    <s v=""/>
    <s v=""/>
    <s v=""/>
    <s v=""/>
    <s v=""/>
    <s v=""/>
    <s v=""/>
    <s v=""/>
    <s v=""/>
    <s v=""/>
    <s v=""/>
    <s v=""/>
    <s v=""/>
    <s v=""/>
    <x v="2"/>
  </r>
  <r>
    <x v="8"/>
    <x v="1480"/>
    <n v="39"/>
    <m/>
    <x v="3"/>
    <s v=""/>
    <s v=""/>
    <s v=""/>
    <s v=""/>
    <s v=""/>
    <s v=""/>
    <s v=""/>
    <s v=""/>
    <s v=""/>
    <s v=""/>
    <s v=""/>
    <s v=""/>
    <s v=""/>
    <s v=""/>
    <s v=""/>
    <x v="2"/>
  </r>
  <r>
    <x v="8"/>
    <x v="1481"/>
    <n v="37"/>
    <m/>
    <x v="4"/>
    <s v=""/>
    <s v=""/>
    <s v=""/>
    <s v=""/>
    <s v=""/>
    <s v=""/>
    <s v=""/>
    <s v=""/>
    <s v=""/>
    <s v=""/>
    <s v=""/>
    <s v=""/>
    <s v=""/>
    <s v=""/>
    <s v=""/>
    <x v="2"/>
  </r>
  <r>
    <x v="8"/>
    <x v="1482"/>
    <n v="42"/>
    <m/>
    <x v="5"/>
    <s v=""/>
    <s v=""/>
    <s v=""/>
    <s v=""/>
    <s v=""/>
    <s v=""/>
    <s v=""/>
    <s v=""/>
    <s v=""/>
    <s v=""/>
    <s v=""/>
    <s v=""/>
    <s v=""/>
    <s v=""/>
    <s v=""/>
    <x v="2"/>
  </r>
  <r>
    <x v="8"/>
    <x v="1483"/>
    <n v="29"/>
    <m/>
    <x v="6"/>
    <s v=""/>
    <s v=""/>
    <s v=""/>
    <s v=""/>
    <s v=""/>
    <s v=""/>
    <s v=""/>
    <s v=""/>
    <s v=""/>
    <s v=""/>
    <s v=""/>
    <s v=""/>
    <s v=""/>
    <s v=""/>
    <s v=""/>
    <x v="2"/>
  </r>
  <r>
    <x v="8"/>
    <x v="1484"/>
    <n v="31"/>
    <m/>
    <x v="7"/>
    <s v=""/>
    <s v=""/>
    <s v=""/>
    <s v=""/>
    <s v=""/>
    <s v=""/>
    <s v=""/>
    <s v=""/>
    <s v=""/>
    <s v=""/>
    <s v=""/>
    <s v=""/>
    <s v=""/>
    <s v=""/>
    <s v=""/>
    <x v="2"/>
  </r>
  <r>
    <x v="8"/>
    <x v="1485"/>
    <n v="11"/>
    <m/>
    <x v="8"/>
    <s v=""/>
    <s v=""/>
    <s v=""/>
    <s v=""/>
    <s v=""/>
    <s v=""/>
    <s v=""/>
    <s v=""/>
    <s v=""/>
    <s v=""/>
    <s v=""/>
    <s v=""/>
    <s v=""/>
    <s v=""/>
    <s v=""/>
    <x v="2"/>
  </r>
  <r>
    <x v="8"/>
    <x v="1486"/>
    <n v="37"/>
    <m/>
    <x v="9"/>
    <s v=""/>
    <s v=""/>
    <s v=""/>
    <s v=""/>
    <s v=""/>
    <s v=""/>
    <s v=""/>
    <s v=""/>
    <s v=""/>
    <s v=""/>
    <s v=""/>
    <s v=""/>
    <s v=""/>
    <s v=""/>
    <s v=""/>
    <x v="2"/>
  </r>
  <r>
    <x v="8"/>
    <x v="1487"/>
    <n v="38"/>
    <m/>
    <x v="10"/>
    <s v=""/>
    <s v=""/>
    <s v=""/>
    <s v=""/>
    <s v=""/>
    <s v=""/>
    <s v=""/>
    <s v=""/>
    <s v=""/>
    <s v=""/>
    <s v=""/>
    <s v=""/>
    <s v=""/>
    <s v=""/>
    <s v=""/>
    <x v="2"/>
  </r>
  <r>
    <x v="8"/>
    <x v="1488"/>
    <n v="41"/>
    <m/>
    <x v="11"/>
    <s v=""/>
    <s v=""/>
    <s v=""/>
    <s v=""/>
    <s v=""/>
    <s v=""/>
    <s v=""/>
    <s v=""/>
    <s v=""/>
    <s v=""/>
    <s v=""/>
    <s v=""/>
    <s v=""/>
    <s v=""/>
    <s v=""/>
    <x v="2"/>
  </r>
  <r>
    <x v="8"/>
    <x v="1489"/>
    <n v="22"/>
    <m/>
    <x v="12"/>
    <s v=""/>
    <s v=""/>
    <s v=""/>
    <s v=""/>
    <s v=""/>
    <s v=""/>
    <s v=""/>
    <s v=""/>
    <s v=""/>
    <s v=""/>
    <s v=""/>
    <s v=""/>
    <s v=""/>
    <s v=""/>
    <s v=""/>
    <x v="2"/>
  </r>
  <r>
    <x v="8"/>
    <x v="1490"/>
    <n v="13"/>
    <n v="1"/>
    <x v="1"/>
    <s v="Force majeure"/>
    <s v="An “act of God” that may have a negative"/>
    <s v="impact on the project. Examples include"/>
    <s v="fire, hurricanes, tornadoes, and"/>
    <s v="earthquakes."/>
    <s v=""/>
    <s v=""/>
    <s v=""/>
    <s v=""/>
    <s v=""/>
    <s v=""/>
    <s v=""/>
    <s v=""/>
    <s v=""/>
    <s v=""/>
    <x v="300"/>
  </r>
  <r>
    <x v="8"/>
    <x v="1491"/>
    <n v="40"/>
    <m/>
    <x v="2"/>
    <s v=""/>
    <s v=""/>
    <s v=""/>
    <s v=""/>
    <s v=""/>
    <s v=""/>
    <s v=""/>
    <s v=""/>
    <s v=""/>
    <s v=""/>
    <s v=""/>
    <s v=""/>
    <s v=""/>
    <s v=""/>
    <s v=""/>
    <x v="2"/>
  </r>
  <r>
    <x v="8"/>
    <x v="1492"/>
    <n v="39"/>
    <m/>
    <x v="3"/>
    <s v=""/>
    <s v=""/>
    <s v=""/>
    <s v=""/>
    <s v=""/>
    <s v=""/>
    <s v=""/>
    <s v=""/>
    <s v=""/>
    <s v=""/>
    <s v=""/>
    <s v=""/>
    <s v=""/>
    <s v=""/>
    <s v=""/>
    <x v="2"/>
  </r>
  <r>
    <x v="8"/>
    <x v="1493"/>
    <n v="32"/>
    <m/>
    <x v="4"/>
    <s v=""/>
    <s v=""/>
    <s v=""/>
    <s v=""/>
    <s v=""/>
    <s v=""/>
    <s v=""/>
    <s v=""/>
    <s v=""/>
    <s v=""/>
    <s v=""/>
    <s v=""/>
    <s v=""/>
    <s v=""/>
    <s v=""/>
    <x v="2"/>
  </r>
  <r>
    <x v="8"/>
    <x v="1494"/>
    <n v="12"/>
    <m/>
    <x v="5"/>
    <s v=""/>
    <s v=""/>
    <s v=""/>
    <s v=""/>
    <s v=""/>
    <s v=""/>
    <s v=""/>
    <s v=""/>
    <s v=""/>
    <s v=""/>
    <s v=""/>
    <s v=""/>
    <s v=""/>
    <s v=""/>
    <s v=""/>
    <x v="2"/>
  </r>
  <r>
    <x v="8"/>
    <x v="1495"/>
    <n v="21"/>
    <n v="1"/>
    <x v="1"/>
    <s v="Independent estimates"/>
    <s v="These estimates are often referred to as"/>
    <s v="“should cost” estimates. They are created"/>
    <s v="by the performing organization or outside"/>
    <s v="experts to predict what the cost of the"/>
    <s v="procured product should be."/>
    <s v=""/>
    <s v=""/>
    <s v=""/>
    <s v=""/>
    <s v=""/>
    <s v=""/>
    <s v=""/>
    <s v=""/>
    <s v=""/>
    <x v="301"/>
  </r>
  <r>
    <x v="8"/>
    <x v="1496"/>
    <n v="40"/>
    <m/>
    <x v="2"/>
    <s v=""/>
    <s v=""/>
    <s v=""/>
    <s v=""/>
    <s v=""/>
    <s v=""/>
    <s v=""/>
    <s v=""/>
    <s v=""/>
    <s v=""/>
    <s v=""/>
    <s v=""/>
    <s v=""/>
    <s v=""/>
    <s v=""/>
    <x v="2"/>
  </r>
  <r>
    <x v="8"/>
    <x v="1497"/>
    <n v="41"/>
    <m/>
    <x v="3"/>
    <s v=""/>
    <s v=""/>
    <s v=""/>
    <s v=""/>
    <s v=""/>
    <s v=""/>
    <s v=""/>
    <s v=""/>
    <s v=""/>
    <s v=""/>
    <s v=""/>
    <s v=""/>
    <s v=""/>
    <s v=""/>
    <s v=""/>
    <x v="2"/>
  </r>
  <r>
    <x v="8"/>
    <x v="1498"/>
    <n v="41"/>
    <m/>
    <x v="4"/>
    <s v=""/>
    <s v=""/>
    <s v=""/>
    <s v=""/>
    <s v=""/>
    <s v=""/>
    <s v=""/>
    <s v=""/>
    <s v=""/>
    <s v=""/>
    <s v=""/>
    <s v=""/>
    <s v=""/>
    <s v=""/>
    <s v=""/>
    <x v="2"/>
  </r>
  <r>
    <x v="8"/>
    <x v="1499"/>
    <n v="39"/>
    <m/>
    <x v="5"/>
    <s v=""/>
    <s v=""/>
    <s v=""/>
    <s v=""/>
    <s v=""/>
    <s v=""/>
    <s v=""/>
    <s v=""/>
    <s v=""/>
    <s v=""/>
    <s v=""/>
    <s v=""/>
    <s v=""/>
    <s v=""/>
    <s v=""/>
    <x v="2"/>
  </r>
  <r>
    <x v="8"/>
    <x v="1500"/>
    <n v="27"/>
    <m/>
    <x v="6"/>
    <s v=""/>
    <s v=""/>
    <s v=""/>
    <s v=""/>
    <s v=""/>
    <s v=""/>
    <s v=""/>
    <s v=""/>
    <s v=""/>
    <s v=""/>
    <s v=""/>
    <s v=""/>
    <s v=""/>
    <s v=""/>
    <s v=""/>
    <x v="2"/>
  </r>
  <r>
    <x v="8"/>
    <x v="739"/>
    <n v="14"/>
    <n v="1"/>
    <x v="1"/>
    <s v="Indirect costs"/>
    <s v="These are costs attributed to the cost of"/>
    <s v="doing business. Examples include"/>
    <s v="utilities, office space, and other overhead"/>
    <s v="costs."/>
    <s v=""/>
    <s v=""/>
    <s v=""/>
    <s v=""/>
    <s v=""/>
    <s v=""/>
    <s v=""/>
    <s v=""/>
    <s v=""/>
    <s v=""/>
    <x v="302"/>
  </r>
  <r>
    <x v="8"/>
    <x v="1501"/>
    <n v="41"/>
    <m/>
    <x v="2"/>
    <s v=""/>
    <s v=""/>
    <s v=""/>
    <s v=""/>
    <s v=""/>
    <s v=""/>
    <s v=""/>
    <s v=""/>
    <s v=""/>
    <s v=""/>
    <s v=""/>
    <s v=""/>
    <s v=""/>
    <s v=""/>
    <s v=""/>
    <x v="2"/>
  </r>
  <r>
    <x v="8"/>
    <x v="1502"/>
    <n v="32"/>
    <m/>
    <x v="3"/>
    <s v=""/>
    <s v=""/>
    <s v=""/>
    <s v=""/>
    <s v=""/>
    <s v=""/>
    <s v=""/>
    <s v=""/>
    <s v=""/>
    <s v=""/>
    <s v=""/>
    <s v=""/>
    <s v=""/>
    <s v=""/>
    <s v=""/>
    <x v="2"/>
  </r>
  <r>
    <x v="8"/>
    <x v="1503"/>
    <n v="43"/>
    <m/>
    <x v="4"/>
    <s v=""/>
    <s v=""/>
    <s v=""/>
    <s v=""/>
    <s v=""/>
    <s v=""/>
    <s v=""/>
    <s v=""/>
    <s v=""/>
    <s v=""/>
    <s v=""/>
    <s v=""/>
    <s v=""/>
    <s v=""/>
    <s v=""/>
    <x v="2"/>
  </r>
  <r>
    <x v="8"/>
    <x v="1504"/>
    <n v="6"/>
    <m/>
    <x v="5"/>
    <s v=""/>
    <s v=""/>
    <s v=""/>
    <s v=""/>
    <s v=""/>
    <s v=""/>
    <s v=""/>
    <s v=""/>
    <s v=""/>
    <s v=""/>
    <s v=""/>
    <s v=""/>
    <s v=""/>
    <s v=""/>
    <s v=""/>
    <x v="2"/>
  </r>
  <r>
    <x v="8"/>
    <x v="1505"/>
    <n v="24"/>
    <n v="1"/>
    <x v="1"/>
    <s v="Invitation for Bid (IFB)"/>
    <s v="From buyer to seller. Requests the seller"/>
    <s v="to provide a price for the procured"/>
    <s v="product or service."/>
    <s v=""/>
    <s v=""/>
    <s v=""/>
    <s v=""/>
    <s v=""/>
    <s v=""/>
    <s v=""/>
    <s v=""/>
    <s v=""/>
    <s v=""/>
    <s v=""/>
    <x v="303"/>
  </r>
  <r>
    <x v="8"/>
    <x v="1506"/>
    <n v="41"/>
    <m/>
    <x v="2"/>
    <s v=""/>
    <s v=""/>
    <s v=""/>
    <s v=""/>
    <s v=""/>
    <s v=""/>
    <s v=""/>
    <s v=""/>
    <s v=""/>
    <s v=""/>
    <s v=""/>
    <s v=""/>
    <s v=""/>
    <s v=""/>
    <s v=""/>
    <x v="2"/>
  </r>
  <r>
    <x v="8"/>
    <x v="1507"/>
    <n v="35"/>
    <m/>
    <x v="3"/>
    <s v=""/>
    <s v=""/>
    <s v=""/>
    <s v=""/>
    <s v=""/>
    <s v=""/>
    <s v=""/>
    <s v=""/>
    <s v=""/>
    <s v=""/>
    <s v=""/>
    <s v=""/>
    <s v=""/>
    <s v=""/>
    <s v=""/>
    <x v="2"/>
  </r>
  <r>
    <x v="8"/>
    <x v="1508"/>
    <n v="19"/>
    <m/>
    <x v="4"/>
    <s v=""/>
    <s v=""/>
    <s v=""/>
    <s v=""/>
    <s v=""/>
    <s v=""/>
    <s v=""/>
    <s v=""/>
    <s v=""/>
    <s v=""/>
    <s v=""/>
    <s v=""/>
    <s v=""/>
    <s v=""/>
    <s v=""/>
    <x v="2"/>
  </r>
  <r>
    <x v="8"/>
    <x v="1509"/>
    <n v="15"/>
    <n v="1"/>
    <x v="1"/>
    <s v="Letter contract"/>
    <s v="A letter contract allows the vendor to"/>
    <s v="begin working on the project immediately."/>
    <s v="It is often used as a stopgap solution."/>
    <s v=""/>
    <s v=""/>
    <s v=""/>
    <s v=""/>
    <s v=""/>
    <s v=""/>
    <s v=""/>
    <s v=""/>
    <s v=""/>
    <s v=""/>
    <s v=""/>
    <x v="304"/>
  </r>
  <r>
    <x v="8"/>
    <x v="1510"/>
    <n v="38"/>
    <m/>
    <x v="2"/>
    <s v=""/>
    <s v=""/>
    <s v=""/>
    <s v=""/>
    <s v=""/>
    <s v=""/>
    <s v=""/>
    <s v=""/>
    <s v=""/>
    <s v=""/>
    <s v=""/>
    <s v=""/>
    <s v=""/>
    <s v=""/>
    <s v=""/>
    <x v="2"/>
  </r>
  <r>
    <x v="8"/>
    <x v="1511"/>
    <n v="41"/>
    <m/>
    <x v="3"/>
    <s v=""/>
    <s v=""/>
    <s v=""/>
    <s v=""/>
    <s v=""/>
    <s v=""/>
    <s v=""/>
    <s v=""/>
    <s v=""/>
    <s v=""/>
    <s v=""/>
    <s v=""/>
    <s v=""/>
    <s v=""/>
    <s v=""/>
    <x v="2"/>
  </r>
  <r>
    <x v="8"/>
    <x v="1512"/>
    <n v="39"/>
    <m/>
    <x v="4"/>
    <s v=""/>
    <s v=""/>
    <s v=""/>
    <s v=""/>
    <s v=""/>
    <s v=""/>
    <s v=""/>
    <s v=""/>
    <s v=""/>
    <s v=""/>
    <s v=""/>
    <s v=""/>
    <s v=""/>
    <s v=""/>
    <s v=""/>
    <x v="2"/>
  </r>
  <r>
    <x v="8"/>
    <x v="1513"/>
    <n v="16"/>
    <n v="1"/>
    <x v="1"/>
    <s v="Letter of intent"/>
    <s v="A letter of intent is not a contract, but a"/>
    <s v="letter stating that the buyer is intending to"/>
    <s v="create a contractual relationship with the"/>
    <s v="seller."/>
    <s v=""/>
    <s v=""/>
    <s v=""/>
    <s v=""/>
    <s v=""/>
    <s v=""/>
    <s v=""/>
    <s v=""/>
    <s v=""/>
    <s v=""/>
    <x v="305"/>
  </r>
  <r>
    <x v="8"/>
    <x v="1514"/>
    <n v="43"/>
    <m/>
    <x v="2"/>
    <s v=""/>
    <s v=""/>
    <s v=""/>
    <s v=""/>
    <s v=""/>
    <s v=""/>
    <s v=""/>
    <s v=""/>
    <s v=""/>
    <s v=""/>
    <s v=""/>
    <s v=""/>
    <s v=""/>
    <s v=""/>
    <s v=""/>
    <x v="2"/>
  </r>
  <r>
    <x v="8"/>
    <x v="1515"/>
    <n v="45"/>
    <m/>
    <x v="3"/>
    <s v=""/>
    <s v=""/>
    <s v=""/>
    <s v=""/>
    <s v=""/>
    <s v=""/>
    <s v=""/>
    <s v=""/>
    <s v=""/>
    <s v=""/>
    <s v=""/>
    <s v=""/>
    <s v=""/>
    <s v=""/>
    <s v=""/>
    <x v="2"/>
  </r>
  <r>
    <x v="8"/>
    <x v="1516"/>
    <n v="42"/>
    <m/>
    <x v="4"/>
    <s v=""/>
    <s v=""/>
    <s v=""/>
    <s v=""/>
    <s v=""/>
    <s v=""/>
    <s v=""/>
    <s v=""/>
    <s v=""/>
    <s v=""/>
    <s v=""/>
    <s v=""/>
    <s v=""/>
    <s v=""/>
    <s v=""/>
    <x v="2"/>
  </r>
  <r>
    <x v="8"/>
    <x v="1517"/>
    <n v="7"/>
    <m/>
    <x v="5"/>
    <s v=""/>
    <s v=""/>
    <s v=""/>
    <s v=""/>
    <s v=""/>
    <s v=""/>
    <s v=""/>
    <s v=""/>
    <s v=""/>
    <s v=""/>
    <s v=""/>
    <s v=""/>
    <s v=""/>
    <s v=""/>
    <s v=""/>
    <x v="2"/>
  </r>
  <r>
    <x v="8"/>
    <x v="1518"/>
    <n v="20"/>
    <n v="1"/>
    <x v="1"/>
    <s v="Make-or-buy decision"/>
    <s v="A process in which the project"/>
    <s v="management team determines the costeffectiveness,"/>
    <s v="benefits, and feasibility of"/>
    <s v="making a product or buying it from a"/>
    <s v="vendor."/>
    <s v=""/>
    <s v=""/>
    <s v=""/>
    <s v=""/>
    <s v=""/>
    <s v=""/>
    <s v=""/>
    <s v=""/>
    <s v=""/>
    <x v="306"/>
  </r>
  <r>
    <x v="8"/>
    <x v="1519"/>
    <n v="30"/>
    <m/>
    <x v="2"/>
    <s v=""/>
    <s v=""/>
    <s v=""/>
    <s v=""/>
    <s v=""/>
    <s v=""/>
    <s v=""/>
    <s v=""/>
    <s v=""/>
    <s v=""/>
    <s v=""/>
    <s v=""/>
    <s v=""/>
    <s v=""/>
    <s v=""/>
    <x v="2"/>
  </r>
  <r>
    <x v="8"/>
    <x v="1520"/>
    <n v="49"/>
    <m/>
    <x v="3"/>
    <s v=""/>
    <s v=""/>
    <s v=""/>
    <s v=""/>
    <s v=""/>
    <s v=""/>
    <s v=""/>
    <s v=""/>
    <s v=""/>
    <s v=""/>
    <s v=""/>
    <s v=""/>
    <s v=""/>
    <s v=""/>
    <s v=""/>
    <x v="2"/>
  </r>
  <r>
    <x v="8"/>
    <x v="1521"/>
    <n v="28"/>
    <m/>
    <x v="4"/>
    <s v=""/>
    <s v=""/>
    <s v=""/>
    <s v=""/>
    <s v=""/>
    <s v=""/>
    <s v=""/>
    <s v=""/>
    <s v=""/>
    <s v=""/>
    <s v=""/>
    <s v=""/>
    <s v=""/>
    <s v=""/>
    <s v=""/>
    <x v="2"/>
  </r>
  <r>
    <x v="8"/>
    <x v="1522"/>
    <n v="36"/>
    <m/>
    <x v="5"/>
    <s v=""/>
    <s v=""/>
    <s v=""/>
    <s v=""/>
    <s v=""/>
    <s v=""/>
    <s v=""/>
    <s v=""/>
    <s v=""/>
    <s v=""/>
    <s v=""/>
    <s v=""/>
    <s v=""/>
    <s v=""/>
    <s v=""/>
    <x v="2"/>
  </r>
  <r>
    <x v="8"/>
    <x v="1523"/>
    <n v="7"/>
    <m/>
    <x v="6"/>
    <s v=""/>
    <s v=""/>
    <s v=""/>
    <s v=""/>
    <s v=""/>
    <s v=""/>
    <s v=""/>
    <s v=""/>
    <s v=""/>
    <s v=""/>
    <s v=""/>
    <s v=""/>
    <s v=""/>
    <s v=""/>
    <s v=""/>
    <x v="2"/>
  </r>
  <r>
    <x v="8"/>
    <x v="1524"/>
    <n v="7"/>
    <n v="1"/>
    <x v="1"/>
    <s v="Privity"/>
    <s v="The contractual relationship between the"/>
    <s v="buyer and the seller is often considered"/>
    <s v="confidential and secret."/>
    <s v=""/>
    <s v=""/>
    <s v=""/>
    <s v=""/>
    <s v=""/>
    <s v=""/>
    <s v=""/>
    <s v=""/>
    <s v=""/>
    <s v=""/>
    <s v=""/>
    <x v="307"/>
  </r>
  <r>
    <x v="8"/>
    <x v="1525"/>
    <n v="40"/>
    <m/>
    <x v="2"/>
    <s v=""/>
    <s v=""/>
    <s v=""/>
    <s v=""/>
    <s v=""/>
    <s v=""/>
    <s v=""/>
    <s v=""/>
    <s v=""/>
    <s v=""/>
    <s v=""/>
    <s v=""/>
    <s v=""/>
    <s v=""/>
    <s v=""/>
    <x v="2"/>
  </r>
  <r>
    <x v="8"/>
    <x v="1526"/>
    <n v="40"/>
    <m/>
    <x v="3"/>
    <s v=""/>
    <s v=""/>
    <s v=""/>
    <s v=""/>
    <s v=""/>
    <s v=""/>
    <s v=""/>
    <s v=""/>
    <s v=""/>
    <s v=""/>
    <s v=""/>
    <s v=""/>
    <s v=""/>
    <s v=""/>
    <s v=""/>
    <x v="2"/>
  </r>
  <r>
    <x v="8"/>
    <x v="1527"/>
    <n v="24"/>
    <m/>
    <x v="4"/>
    <s v=""/>
    <s v=""/>
    <s v=""/>
    <s v=""/>
    <s v=""/>
    <s v=""/>
    <s v=""/>
    <s v=""/>
    <s v=""/>
    <s v=""/>
    <s v=""/>
    <s v=""/>
    <s v=""/>
    <s v=""/>
    <s v=""/>
    <x v="2"/>
  </r>
  <r>
    <x v="8"/>
    <x v="302"/>
    <n v="27"/>
    <n v="1"/>
    <x v="1"/>
    <s v="Procurement management plan"/>
    <s v="A project management subsidiary plan"/>
    <s v="that documents the decisions made in the"/>
    <s v="procurement planning processes."/>
    <s v=""/>
    <s v=""/>
    <s v=""/>
    <s v=""/>
    <s v=""/>
    <s v=""/>
    <s v=""/>
    <s v=""/>
    <s v=""/>
    <s v=""/>
    <s v=""/>
    <x v="308"/>
  </r>
  <r>
    <x v="8"/>
    <x v="1528"/>
    <n v="36"/>
    <m/>
    <x v="2"/>
    <s v=""/>
    <s v=""/>
    <s v=""/>
    <s v=""/>
    <s v=""/>
    <s v=""/>
    <s v=""/>
    <s v=""/>
    <s v=""/>
    <s v=""/>
    <s v=""/>
    <s v=""/>
    <s v=""/>
    <s v=""/>
    <s v=""/>
    <x v="2"/>
  </r>
  <r>
    <x v="8"/>
    <x v="1529"/>
    <n v="40"/>
    <m/>
    <x v="3"/>
    <s v=""/>
    <s v=""/>
    <s v=""/>
    <s v=""/>
    <s v=""/>
    <s v=""/>
    <s v=""/>
    <s v=""/>
    <s v=""/>
    <s v=""/>
    <s v=""/>
    <s v=""/>
    <s v=""/>
    <s v=""/>
    <s v=""/>
    <x v="2"/>
  </r>
  <r>
    <x v="8"/>
    <x v="1530"/>
    <n v="31"/>
    <m/>
    <x v="4"/>
    <s v=""/>
    <s v=""/>
    <s v=""/>
    <s v=""/>
    <s v=""/>
    <s v=""/>
    <s v=""/>
    <s v=""/>
    <s v=""/>
    <s v=""/>
    <s v=""/>
    <s v=""/>
    <s v=""/>
    <s v=""/>
    <s v=""/>
    <x v="2"/>
  </r>
  <r>
    <x v="8"/>
    <x v="1531"/>
    <n v="20"/>
    <n v="1"/>
    <x v="1"/>
    <s v="Procurement planning"/>
    <s v="A process to identify which parts of the"/>
    <s v="project warrant procurement from a"/>
    <s v="vendor by the buyer."/>
    <s v=""/>
    <s v=""/>
    <s v=""/>
    <s v=""/>
    <s v=""/>
    <s v=""/>
    <s v=""/>
    <s v=""/>
    <s v=""/>
    <s v=""/>
    <s v=""/>
    <x v="309"/>
  </r>
  <r>
    <x v="8"/>
    <x v="1532"/>
    <n v="40"/>
    <m/>
    <x v="2"/>
    <s v=""/>
    <s v=""/>
    <s v=""/>
    <s v=""/>
    <s v=""/>
    <s v=""/>
    <s v=""/>
    <s v=""/>
    <s v=""/>
    <s v=""/>
    <s v=""/>
    <s v=""/>
    <s v=""/>
    <s v=""/>
    <s v=""/>
    <x v="2"/>
  </r>
  <r>
    <x v="8"/>
    <x v="1533"/>
    <n v="34"/>
    <m/>
    <x v="3"/>
    <s v=""/>
    <s v=""/>
    <s v=""/>
    <s v=""/>
    <s v=""/>
    <s v=""/>
    <s v=""/>
    <s v=""/>
    <s v=""/>
    <s v=""/>
    <s v=""/>
    <s v=""/>
    <s v=""/>
    <s v=""/>
    <s v=""/>
    <x v="2"/>
  </r>
  <r>
    <x v="8"/>
    <x v="1534"/>
    <n v="20"/>
    <m/>
    <x v="4"/>
    <s v=""/>
    <s v=""/>
    <s v=""/>
    <s v=""/>
    <s v=""/>
    <s v=""/>
    <s v=""/>
    <s v=""/>
    <s v=""/>
    <s v=""/>
    <s v=""/>
    <s v=""/>
    <s v=""/>
    <s v=""/>
    <s v=""/>
    <x v="2"/>
  </r>
  <r>
    <x v="8"/>
    <x v="1535"/>
    <n v="8"/>
    <n v="1"/>
    <x v="1"/>
    <s v="Proposal"/>
    <s v="A document the seller provides to the"/>
    <s v="buyer. The proposal includes more than"/>
    <s v="just a fee for the proposed work. It also"/>
    <s v="includes information on the vendor’s"/>
    <s v="skills, the vendor’s reputation, and ideas"/>
    <s v="on how the vendor can complete the"/>
    <s v="contracted work for the buyer."/>
    <s v=""/>
    <s v=""/>
    <s v=""/>
    <s v=""/>
    <s v=""/>
    <s v=""/>
    <s v=""/>
    <x v="310"/>
  </r>
  <r>
    <x v="8"/>
    <x v="1536"/>
    <n v="37"/>
    <m/>
    <x v="2"/>
    <s v=""/>
    <s v=""/>
    <s v=""/>
    <s v=""/>
    <s v=""/>
    <s v=""/>
    <s v=""/>
    <s v=""/>
    <s v=""/>
    <s v=""/>
    <s v=""/>
    <s v=""/>
    <s v=""/>
    <s v=""/>
    <s v=""/>
    <x v="2"/>
  </r>
  <r>
    <x v="8"/>
    <x v="1537"/>
    <n v="38"/>
    <m/>
    <x v="3"/>
    <s v=""/>
    <s v=""/>
    <s v=""/>
    <s v=""/>
    <s v=""/>
    <s v=""/>
    <s v=""/>
    <s v=""/>
    <s v=""/>
    <s v=""/>
    <s v=""/>
    <s v=""/>
    <s v=""/>
    <s v=""/>
    <s v=""/>
    <x v="2"/>
  </r>
  <r>
    <x v="8"/>
    <x v="1538"/>
    <n v="41"/>
    <m/>
    <x v="4"/>
    <s v=""/>
    <s v=""/>
    <s v=""/>
    <s v=""/>
    <s v=""/>
    <s v=""/>
    <s v=""/>
    <s v=""/>
    <s v=""/>
    <s v=""/>
    <s v=""/>
    <s v=""/>
    <s v=""/>
    <s v=""/>
    <s v=""/>
    <x v="2"/>
  </r>
  <r>
    <x v="8"/>
    <x v="1539"/>
    <n v="36"/>
    <m/>
    <x v="5"/>
    <s v=""/>
    <s v=""/>
    <s v=""/>
    <s v=""/>
    <s v=""/>
    <s v=""/>
    <s v=""/>
    <s v=""/>
    <s v=""/>
    <s v=""/>
    <s v=""/>
    <s v=""/>
    <s v=""/>
    <s v=""/>
    <s v=""/>
    <x v="2"/>
  </r>
  <r>
    <x v="8"/>
    <x v="1540"/>
    <n v="42"/>
    <m/>
    <x v="6"/>
    <s v=""/>
    <s v=""/>
    <s v=""/>
    <s v=""/>
    <s v=""/>
    <s v=""/>
    <s v=""/>
    <s v=""/>
    <s v=""/>
    <s v=""/>
    <s v=""/>
    <s v=""/>
    <s v=""/>
    <s v=""/>
    <s v=""/>
    <x v="2"/>
  </r>
  <r>
    <x v="8"/>
    <x v="1541"/>
    <n v="34"/>
    <m/>
    <x v="7"/>
    <s v=""/>
    <s v=""/>
    <s v=""/>
    <s v=""/>
    <s v=""/>
    <s v=""/>
    <s v=""/>
    <s v=""/>
    <s v=""/>
    <s v=""/>
    <s v=""/>
    <s v=""/>
    <s v=""/>
    <s v=""/>
    <s v=""/>
    <x v="2"/>
  </r>
  <r>
    <x v="8"/>
    <x v="1542"/>
    <n v="30"/>
    <m/>
    <x v="8"/>
    <s v=""/>
    <s v=""/>
    <s v=""/>
    <s v=""/>
    <s v=""/>
    <s v=""/>
    <s v=""/>
    <s v=""/>
    <s v=""/>
    <s v=""/>
    <s v=""/>
    <s v=""/>
    <s v=""/>
    <s v=""/>
    <s v=""/>
    <x v="2"/>
  </r>
  <r>
    <x v="8"/>
    <x v="1543"/>
    <n v="19"/>
    <n v="1"/>
    <x v="1"/>
    <s v="Purchase order (PO)"/>
    <s v="A purchase order is a form of unilateral"/>
    <s v="contract that the buyer provides to the"/>
    <s v="vendor showing that the purchase has"/>
    <s v="been approved by the buyer’s"/>
    <s v="organization."/>
    <s v=""/>
    <s v=""/>
    <s v=""/>
    <s v=""/>
    <s v=""/>
    <s v=""/>
    <s v=""/>
    <s v=""/>
    <s v=""/>
    <x v="311"/>
  </r>
  <r>
    <x v="8"/>
    <x v="1544"/>
    <n v="40"/>
    <m/>
    <x v="2"/>
    <s v=""/>
    <s v=""/>
    <s v=""/>
    <s v=""/>
    <s v=""/>
    <s v=""/>
    <s v=""/>
    <s v=""/>
    <s v=""/>
    <s v=""/>
    <s v=""/>
    <s v=""/>
    <s v=""/>
    <s v=""/>
    <s v=""/>
    <x v="2"/>
  </r>
  <r>
    <x v="8"/>
    <x v="1545"/>
    <n v="39"/>
    <m/>
    <x v="3"/>
    <s v=""/>
    <s v=""/>
    <s v=""/>
    <s v=""/>
    <s v=""/>
    <s v=""/>
    <s v=""/>
    <s v=""/>
    <s v=""/>
    <s v=""/>
    <s v=""/>
    <s v=""/>
    <s v=""/>
    <s v=""/>
    <s v=""/>
    <x v="2"/>
  </r>
  <r>
    <x v="8"/>
    <x v="1546"/>
    <n v="36"/>
    <m/>
    <x v="4"/>
    <s v=""/>
    <s v=""/>
    <s v=""/>
    <s v=""/>
    <s v=""/>
    <s v=""/>
    <s v=""/>
    <s v=""/>
    <s v=""/>
    <s v=""/>
    <s v=""/>
    <s v=""/>
    <s v=""/>
    <s v=""/>
    <s v=""/>
    <x v="2"/>
  </r>
  <r>
    <x v="8"/>
    <x v="1547"/>
    <n v="28"/>
    <m/>
    <x v="5"/>
    <s v=""/>
    <s v=""/>
    <s v=""/>
    <s v=""/>
    <s v=""/>
    <s v=""/>
    <s v=""/>
    <s v=""/>
    <s v=""/>
    <s v=""/>
    <s v=""/>
    <s v=""/>
    <s v=""/>
    <s v=""/>
    <s v=""/>
    <x v="2"/>
  </r>
  <r>
    <x v="8"/>
    <x v="1548"/>
    <n v="13"/>
    <m/>
    <x v="6"/>
    <s v=""/>
    <s v=""/>
    <s v=""/>
    <s v=""/>
    <s v=""/>
    <s v=""/>
    <s v=""/>
    <s v=""/>
    <s v=""/>
    <s v=""/>
    <s v=""/>
    <s v=""/>
    <s v=""/>
    <s v=""/>
    <s v=""/>
    <x v="2"/>
  </r>
  <r>
    <x v="8"/>
    <x v="1549"/>
    <n v="9"/>
    <n v="1"/>
    <x v="1"/>
    <s v="Quotation"/>
    <s v="From seller to buyer. Price is the"/>
    <s v="determining factor in the decision-making"/>
    <s v="process."/>
    <s v=""/>
    <s v=""/>
    <s v=""/>
    <s v=""/>
    <s v=""/>
    <s v=""/>
    <s v=""/>
    <s v=""/>
    <s v=""/>
    <s v=""/>
    <s v=""/>
    <x v="312"/>
  </r>
  <r>
    <x v="8"/>
    <x v="1550"/>
    <n v="34"/>
    <m/>
    <x v="2"/>
    <s v=""/>
    <s v=""/>
    <s v=""/>
    <s v=""/>
    <s v=""/>
    <s v=""/>
    <s v=""/>
    <s v=""/>
    <s v=""/>
    <s v=""/>
    <s v=""/>
    <s v=""/>
    <s v=""/>
    <s v=""/>
    <s v=""/>
    <x v="2"/>
  </r>
  <r>
    <x v="8"/>
    <x v="1551"/>
    <n v="41"/>
    <m/>
    <x v="3"/>
    <s v=""/>
    <s v=""/>
    <s v=""/>
    <s v=""/>
    <s v=""/>
    <s v=""/>
    <s v=""/>
    <s v=""/>
    <s v=""/>
    <s v=""/>
    <s v=""/>
    <s v=""/>
    <s v=""/>
    <s v=""/>
    <s v=""/>
    <x v="2"/>
  </r>
  <r>
    <x v="8"/>
    <x v="967"/>
    <n v="8"/>
    <m/>
    <x v="4"/>
    <s v=""/>
    <s v=""/>
    <s v=""/>
    <s v=""/>
    <s v=""/>
    <s v=""/>
    <s v=""/>
    <s v=""/>
    <s v=""/>
    <s v=""/>
    <s v=""/>
    <s v=""/>
    <s v=""/>
    <s v=""/>
    <s v=""/>
    <x v="2"/>
  </r>
  <r>
    <x v="8"/>
    <x v="1552"/>
    <n v="26"/>
    <n v="1"/>
    <x v="1"/>
    <s v="Request for Proposal (RFP)"/>
    <s v="From buyer to seller. Requests the seller"/>
    <s v="to provide a proposal to complete the"/>
    <s v="procured work or to provide the procured"/>
    <s v="product."/>
    <s v=""/>
    <s v=""/>
    <s v=""/>
    <s v=""/>
    <s v=""/>
    <s v=""/>
    <s v=""/>
    <s v=""/>
    <s v=""/>
    <s v=""/>
    <x v="313"/>
  </r>
  <r>
    <x v="8"/>
    <x v="1506"/>
    <n v="41"/>
    <m/>
    <x v="2"/>
    <s v=""/>
    <s v=""/>
    <s v=""/>
    <s v=""/>
    <s v=""/>
    <s v=""/>
    <s v=""/>
    <s v=""/>
    <s v=""/>
    <s v=""/>
    <s v=""/>
    <s v=""/>
    <s v=""/>
    <s v=""/>
    <s v=""/>
    <x v="2"/>
  </r>
  <r>
    <x v="8"/>
    <x v="1553"/>
    <n v="37"/>
    <m/>
    <x v="3"/>
    <s v=""/>
    <s v=""/>
    <s v=""/>
    <s v=""/>
    <s v=""/>
    <s v=""/>
    <s v=""/>
    <s v=""/>
    <s v=""/>
    <s v=""/>
    <s v=""/>
    <s v=""/>
    <s v=""/>
    <s v=""/>
    <s v=""/>
    <x v="2"/>
  </r>
  <r>
    <x v="8"/>
    <x v="1554"/>
    <n v="40"/>
    <m/>
    <x v="4"/>
    <s v=""/>
    <s v=""/>
    <s v=""/>
    <s v=""/>
    <s v=""/>
    <s v=""/>
    <s v=""/>
    <s v=""/>
    <s v=""/>
    <s v=""/>
    <s v=""/>
    <s v=""/>
    <s v=""/>
    <s v=""/>
    <s v=""/>
    <x v="2"/>
  </r>
  <r>
    <x v="8"/>
    <x v="1555"/>
    <n v="8"/>
    <m/>
    <x v="5"/>
    <s v=""/>
    <s v=""/>
    <s v=""/>
    <s v=""/>
    <s v=""/>
    <s v=""/>
    <s v=""/>
    <s v=""/>
    <s v=""/>
    <s v=""/>
    <s v=""/>
    <s v=""/>
    <s v=""/>
    <s v=""/>
    <s v=""/>
    <x v="2"/>
  </r>
  <r>
    <x v="8"/>
    <x v="1556"/>
    <n v="23"/>
    <n v="1"/>
    <x v="1"/>
    <s v="Request for Quote (RFQ)"/>
    <s v="From buyer to seller. Requests the seller"/>
    <s v="to provide a price for the procured"/>
    <s v="product or service."/>
    <s v=""/>
    <s v=""/>
    <s v=""/>
    <s v=""/>
    <s v=""/>
    <s v=""/>
    <s v=""/>
    <s v=""/>
    <s v=""/>
    <s v=""/>
    <s v=""/>
    <x v="314"/>
  </r>
  <r>
    <x v="8"/>
    <x v="1506"/>
    <n v="41"/>
    <m/>
    <x v="2"/>
    <s v=""/>
    <s v=""/>
    <s v=""/>
    <s v=""/>
    <s v=""/>
    <s v=""/>
    <s v=""/>
    <s v=""/>
    <s v=""/>
    <s v=""/>
    <s v=""/>
    <s v=""/>
    <s v=""/>
    <s v=""/>
    <s v=""/>
    <x v="2"/>
  </r>
  <r>
    <x v="8"/>
    <x v="1507"/>
    <n v="35"/>
    <m/>
    <x v="3"/>
    <s v=""/>
    <s v=""/>
    <s v=""/>
    <s v=""/>
    <s v=""/>
    <s v=""/>
    <s v=""/>
    <s v=""/>
    <s v=""/>
    <s v=""/>
    <s v=""/>
    <s v=""/>
    <s v=""/>
    <s v=""/>
    <s v=""/>
    <x v="2"/>
  </r>
  <r>
    <x v="8"/>
    <x v="1508"/>
    <n v="19"/>
    <m/>
    <x v="4"/>
    <s v=""/>
    <s v=""/>
    <s v=""/>
    <s v=""/>
    <s v=""/>
    <s v=""/>
    <s v=""/>
    <s v=""/>
    <s v=""/>
    <s v=""/>
    <s v=""/>
    <s v=""/>
    <s v=""/>
    <s v=""/>
    <s v=""/>
    <x v="2"/>
  </r>
  <r>
    <x v="8"/>
    <x v="1557"/>
    <n v="35"/>
    <n v="1"/>
    <x v="1"/>
    <s v="Risk-related contractual agreements"/>
    <s v="When the project management team"/>
    <s v="decides to use transference to respond to"/>
    <s v="a risk, a risk-related contractual"/>
    <s v="agreement is created between the buyer"/>
    <s v="and the seller."/>
    <s v=""/>
    <s v=""/>
    <s v=""/>
    <s v=""/>
    <s v=""/>
    <s v=""/>
    <s v=""/>
    <s v=""/>
    <s v=""/>
    <x v="315"/>
  </r>
  <r>
    <x v="8"/>
    <x v="1558"/>
    <n v="32"/>
    <m/>
    <x v="2"/>
    <s v=""/>
    <s v=""/>
    <s v=""/>
    <s v=""/>
    <s v=""/>
    <s v=""/>
    <s v=""/>
    <s v=""/>
    <s v=""/>
    <s v=""/>
    <s v=""/>
    <s v=""/>
    <s v=""/>
    <s v=""/>
    <s v=""/>
    <x v="2"/>
  </r>
  <r>
    <x v="8"/>
    <x v="1559"/>
    <n v="41"/>
    <m/>
    <x v="3"/>
    <s v=""/>
    <s v=""/>
    <s v=""/>
    <s v=""/>
    <s v=""/>
    <s v=""/>
    <s v=""/>
    <s v=""/>
    <s v=""/>
    <s v=""/>
    <s v=""/>
    <s v=""/>
    <s v=""/>
    <s v=""/>
    <s v=""/>
    <x v="2"/>
  </r>
  <r>
    <x v="8"/>
    <x v="1560"/>
    <n v="34"/>
    <m/>
    <x v="4"/>
    <s v=""/>
    <s v=""/>
    <s v=""/>
    <s v=""/>
    <s v=""/>
    <s v=""/>
    <s v=""/>
    <s v=""/>
    <s v=""/>
    <s v=""/>
    <s v=""/>
    <s v=""/>
    <s v=""/>
    <s v=""/>
    <s v=""/>
    <x v="2"/>
  </r>
  <r>
    <x v="8"/>
    <x v="1561"/>
    <n v="38"/>
    <m/>
    <x v="5"/>
    <s v=""/>
    <s v=""/>
    <s v=""/>
    <s v=""/>
    <s v=""/>
    <s v=""/>
    <s v=""/>
    <s v=""/>
    <s v=""/>
    <s v=""/>
    <s v=""/>
    <s v=""/>
    <s v=""/>
    <s v=""/>
    <s v=""/>
    <x v="2"/>
  </r>
  <r>
    <x v="8"/>
    <x v="1562"/>
    <n v="15"/>
    <m/>
    <x v="6"/>
    <s v=""/>
    <s v=""/>
    <s v=""/>
    <s v=""/>
    <s v=""/>
    <s v=""/>
    <s v=""/>
    <s v=""/>
    <s v=""/>
    <s v=""/>
    <s v=""/>
    <s v=""/>
    <s v=""/>
    <s v=""/>
    <s v=""/>
    <x v="2"/>
  </r>
  <r>
    <x v="8"/>
    <x v="1563"/>
    <n v="16"/>
    <n v="1"/>
    <x v="1"/>
    <s v="Screening system"/>
    <s v="A tool that filters or screens out vendors"/>
    <s v="that don’t qualify for the contract."/>
    <s v=""/>
    <s v=""/>
    <s v=""/>
    <s v=""/>
    <s v=""/>
    <s v=""/>
    <s v=""/>
    <s v=""/>
    <s v=""/>
    <s v=""/>
    <s v=""/>
    <s v=""/>
    <x v="316"/>
  </r>
  <r>
    <x v="8"/>
    <x v="1564"/>
    <n v="42"/>
    <m/>
    <x v="2"/>
    <s v=""/>
    <s v=""/>
    <s v=""/>
    <s v=""/>
    <s v=""/>
    <s v=""/>
    <s v=""/>
    <s v=""/>
    <s v=""/>
    <s v=""/>
    <s v=""/>
    <s v=""/>
    <s v=""/>
    <s v=""/>
    <s v=""/>
    <x v="2"/>
  </r>
  <r>
    <x v="8"/>
    <x v="1565"/>
    <n v="36"/>
    <m/>
    <x v="3"/>
    <s v=""/>
    <s v=""/>
    <s v=""/>
    <s v=""/>
    <s v=""/>
    <s v=""/>
    <s v=""/>
    <s v=""/>
    <s v=""/>
    <s v=""/>
    <s v=""/>
    <s v=""/>
    <s v=""/>
    <s v=""/>
    <s v=""/>
    <x v="2"/>
  </r>
  <r>
    <x v="8"/>
    <x v="1566"/>
    <n v="21"/>
    <n v="1"/>
    <x v="1"/>
    <s v="Seller rating systems"/>
    <s v="These are used by organizations to rate"/>
    <s v="prior experience with each vendor that"/>
    <s v="they have worked with in the past. The"/>
    <s v="seller rating system can track"/>
    <s v="performance, quality ratings, delivery,"/>
    <s v="and even contract compliance."/>
    <s v=""/>
    <s v=""/>
    <s v=""/>
    <s v=""/>
    <s v=""/>
    <s v=""/>
    <s v=""/>
    <s v=""/>
    <x v="317"/>
  </r>
  <r>
    <x v="8"/>
    <x v="1567"/>
    <n v="39"/>
    <m/>
    <x v="2"/>
    <s v=""/>
    <s v=""/>
    <s v=""/>
    <s v=""/>
    <s v=""/>
    <s v=""/>
    <s v=""/>
    <s v=""/>
    <s v=""/>
    <s v=""/>
    <s v=""/>
    <s v=""/>
    <s v=""/>
    <s v=""/>
    <s v=""/>
    <x v="2"/>
  </r>
  <r>
    <x v="8"/>
    <x v="1568"/>
    <n v="38"/>
    <m/>
    <x v="3"/>
    <s v=""/>
    <s v=""/>
    <s v=""/>
    <s v=""/>
    <s v=""/>
    <s v=""/>
    <s v=""/>
    <s v=""/>
    <s v=""/>
    <s v=""/>
    <s v=""/>
    <s v=""/>
    <s v=""/>
    <s v=""/>
    <s v=""/>
    <x v="2"/>
  </r>
  <r>
    <x v="8"/>
    <x v="1569"/>
    <n v="38"/>
    <m/>
    <x v="4"/>
    <s v=""/>
    <s v=""/>
    <s v=""/>
    <s v=""/>
    <s v=""/>
    <s v=""/>
    <s v=""/>
    <s v=""/>
    <s v=""/>
    <s v=""/>
    <s v=""/>
    <s v=""/>
    <s v=""/>
    <s v=""/>
    <s v=""/>
    <x v="2"/>
  </r>
  <r>
    <x v="8"/>
    <x v="1570"/>
    <n v="30"/>
    <m/>
    <x v="5"/>
    <s v=""/>
    <s v=""/>
    <s v=""/>
    <s v=""/>
    <s v=""/>
    <s v=""/>
    <s v=""/>
    <s v=""/>
    <s v=""/>
    <s v=""/>
    <s v=""/>
    <s v=""/>
    <s v=""/>
    <s v=""/>
    <s v=""/>
    <x v="2"/>
  </r>
  <r>
    <x v="8"/>
    <x v="1571"/>
    <n v="39"/>
    <m/>
    <x v="6"/>
    <s v=""/>
    <s v=""/>
    <s v=""/>
    <s v=""/>
    <s v=""/>
    <s v=""/>
    <s v=""/>
    <s v=""/>
    <s v=""/>
    <s v=""/>
    <s v=""/>
    <s v=""/>
    <s v=""/>
    <s v=""/>
    <s v=""/>
    <x v="2"/>
  </r>
  <r>
    <x v="8"/>
    <x v="1572"/>
    <n v="29"/>
    <m/>
    <x v="7"/>
    <s v=""/>
    <s v=""/>
    <s v=""/>
    <s v=""/>
    <s v=""/>
    <s v=""/>
    <s v=""/>
    <s v=""/>
    <s v=""/>
    <s v=""/>
    <s v=""/>
    <s v=""/>
    <s v=""/>
    <s v=""/>
    <s v=""/>
    <x v="2"/>
  </r>
  <r>
    <x v="8"/>
    <x v="1573"/>
    <n v="18"/>
    <n v="1"/>
    <x v="1"/>
    <s v="Terms of Reference"/>
    <s v="Defines the obligations for the seller,"/>
    <s v="what the seller will provide, and all of the"/>
    <s v="particulars of the contracted work. Terms"/>
    <s v="of reference is similar to the statement of"/>
    <s v="work."/>
    <s v=""/>
    <s v=""/>
    <s v=""/>
    <s v=""/>
    <s v=""/>
    <s v=""/>
    <s v=""/>
    <s v=""/>
    <s v=""/>
    <x v="318"/>
  </r>
  <r>
    <x v="8"/>
    <x v="1574"/>
    <n v="39"/>
    <m/>
    <x v="2"/>
    <s v=""/>
    <s v=""/>
    <s v=""/>
    <s v=""/>
    <s v=""/>
    <s v=""/>
    <s v=""/>
    <s v=""/>
    <s v=""/>
    <s v=""/>
    <s v=""/>
    <s v=""/>
    <s v=""/>
    <s v=""/>
    <s v=""/>
    <x v="2"/>
  </r>
  <r>
    <x v="8"/>
    <x v="1575"/>
    <n v="44"/>
    <m/>
    <x v="3"/>
    <s v=""/>
    <s v=""/>
    <s v=""/>
    <s v=""/>
    <s v=""/>
    <s v=""/>
    <s v=""/>
    <s v=""/>
    <s v=""/>
    <s v=""/>
    <s v=""/>
    <s v=""/>
    <s v=""/>
    <s v=""/>
    <s v=""/>
    <x v="2"/>
  </r>
  <r>
    <x v="8"/>
    <x v="1576"/>
    <n v="41"/>
    <m/>
    <x v="4"/>
    <s v=""/>
    <s v=""/>
    <s v=""/>
    <s v=""/>
    <s v=""/>
    <s v=""/>
    <s v=""/>
    <s v=""/>
    <s v=""/>
    <s v=""/>
    <s v=""/>
    <s v=""/>
    <s v=""/>
    <s v=""/>
    <s v=""/>
    <x v="2"/>
  </r>
  <r>
    <x v="8"/>
    <x v="1577"/>
    <n v="43"/>
    <m/>
    <x v="5"/>
    <s v=""/>
    <s v=""/>
    <s v=""/>
    <s v=""/>
    <s v=""/>
    <s v=""/>
    <s v=""/>
    <s v=""/>
    <s v=""/>
    <s v=""/>
    <s v=""/>
    <s v=""/>
    <s v=""/>
    <s v=""/>
    <s v=""/>
    <x v="2"/>
  </r>
  <r>
    <x v="8"/>
    <x v="634"/>
    <n v="5"/>
    <m/>
    <x v="6"/>
    <s v=""/>
    <s v=""/>
    <s v=""/>
    <s v=""/>
    <s v=""/>
    <s v=""/>
    <s v=""/>
    <s v=""/>
    <s v=""/>
    <s v=""/>
    <s v=""/>
    <s v=""/>
    <s v=""/>
    <s v=""/>
    <s v=""/>
    <x v="2"/>
  </r>
  <r>
    <x v="8"/>
    <x v="1578"/>
    <n v="27"/>
    <n v="1"/>
    <x v="1"/>
    <s v="Time and materials contract"/>
    <s v="A contract type in which the buyer pays"/>
    <s v="for the time and materials for the"/>
    <s v="procured work. This is a simple contract,"/>
    <s v="usually for smaller procurement"/>
    <s v="conditions. These contract types require"/>
    <s v="a not-to-exceed clause, or the buyer"/>
    <s v="assumes the risk for cost overruns."/>
    <s v=""/>
    <s v=""/>
    <s v=""/>
    <s v=""/>
    <s v=""/>
    <s v=""/>
    <s v=""/>
    <x v="319"/>
  </r>
  <r>
    <x v="8"/>
    <x v="1579"/>
    <n v="39"/>
    <m/>
    <x v="2"/>
    <s v=""/>
    <s v=""/>
    <s v=""/>
    <s v=""/>
    <s v=""/>
    <s v=""/>
    <s v=""/>
    <s v=""/>
    <s v=""/>
    <s v=""/>
    <s v=""/>
    <s v=""/>
    <s v=""/>
    <s v=""/>
    <s v=""/>
    <x v="2"/>
  </r>
  <r>
    <x v="8"/>
    <x v="1580"/>
    <n v="34"/>
    <m/>
    <x v="3"/>
    <s v=""/>
    <s v=""/>
    <s v=""/>
    <s v=""/>
    <s v=""/>
    <s v=""/>
    <s v=""/>
    <s v=""/>
    <s v=""/>
    <s v=""/>
    <s v=""/>
    <s v=""/>
    <s v=""/>
    <s v=""/>
    <s v=""/>
    <x v="2"/>
  </r>
  <r>
    <x v="8"/>
    <x v="1581"/>
    <n v="41"/>
    <m/>
    <x v="4"/>
    <s v=""/>
    <s v=""/>
    <s v=""/>
    <s v=""/>
    <s v=""/>
    <s v=""/>
    <s v=""/>
    <s v=""/>
    <s v=""/>
    <s v=""/>
    <s v=""/>
    <s v=""/>
    <s v=""/>
    <s v=""/>
    <s v=""/>
    <x v="2"/>
  </r>
  <r>
    <x v="8"/>
    <x v="1582"/>
    <n v="31"/>
    <m/>
    <x v="5"/>
    <s v=""/>
    <s v=""/>
    <s v=""/>
    <s v=""/>
    <s v=""/>
    <s v=""/>
    <s v=""/>
    <s v=""/>
    <s v=""/>
    <s v=""/>
    <s v=""/>
    <s v=""/>
    <s v=""/>
    <s v=""/>
    <s v=""/>
    <x v="2"/>
  </r>
  <r>
    <x v="8"/>
    <x v="1583"/>
    <n v="40"/>
    <m/>
    <x v="6"/>
    <s v=""/>
    <s v=""/>
    <s v=""/>
    <s v=""/>
    <s v=""/>
    <s v=""/>
    <s v=""/>
    <s v=""/>
    <s v=""/>
    <s v=""/>
    <s v=""/>
    <s v=""/>
    <s v=""/>
    <s v=""/>
    <s v=""/>
    <x v="2"/>
  </r>
  <r>
    <x v="8"/>
    <x v="1584"/>
    <n v="36"/>
    <m/>
    <x v="7"/>
    <s v=""/>
    <s v=""/>
    <s v=""/>
    <s v=""/>
    <s v=""/>
    <s v=""/>
    <s v=""/>
    <s v=""/>
    <s v=""/>
    <s v=""/>
    <s v=""/>
    <s v=""/>
    <s v=""/>
    <s v=""/>
    <s v=""/>
    <x v="2"/>
  </r>
  <r>
    <x v="8"/>
    <x v="1585"/>
    <n v="35"/>
    <m/>
    <x v="8"/>
    <s v=""/>
    <s v=""/>
    <s v=""/>
    <s v=""/>
    <s v=""/>
    <s v=""/>
    <s v=""/>
    <s v=""/>
    <s v=""/>
    <s v=""/>
    <s v=""/>
    <s v=""/>
    <s v=""/>
    <s v=""/>
    <s v=""/>
    <x v="2"/>
  </r>
  <r>
    <x v="8"/>
    <x v="1586"/>
    <n v="16"/>
    <n v="1"/>
    <x v="1"/>
    <s v="Weighting system"/>
    <s v="This takes out the personal preferences"/>
    <s v="of the decision maker in the organization"/>
    <s v="to ensure that the best seller is awarded"/>
    <s v="the contract. Weights are assigned to the"/>
    <s v="values of the proposals, and each"/>
    <s v="proposal is scored."/>
    <s v=""/>
    <s v=""/>
    <s v=""/>
    <s v=""/>
    <s v=""/>
    <s v=""/>
    <s v=""/>
    <s v=""/>
    <x v="320"/>
  </r>
  <r>
    <x v="8"/>
    <x v="1587"/>
    <n v="39"/>
    <m/>
    <x v="2"/>
    <s v=""/>
    <s v=""/>
    <s v=""/>
    <s v=""/>
    <s v=""/>
    <s v=""/>
    <s v=""/>
    <s v=""/>
    <s v=""/>
    <s v=""/>
    <s v=""/>
    <s v=""/>
    <s v=""/>
    <s v=""/>
    <s v=""/>
    <x v="2"/>
  </r>
  <r>
    <x v="8"/>
    <x v="1588"/>
    <n v="41"/>
    <m/>
    <x v="3"/>
    <s v=""/>
    <s v=""/>
    <s v=""/>
    <s v=""/>
    <s v=""/>
    <s v=""/>
    <s v=""/>
    <s v=""/>
    <s v=""/>
    <s v=""/>
    <s v=""/>
    <s v=""/>
    <s v=""/>
    <s v=""/>
    <s v=""/>
    <x v="2"/>
  </r>
  <r>
    <x v="8"/>
    <x v="1589"/>
    <n v="41"/>
    <m/>
    <x v="4"/>
    <s v=""/>
    <s v=""/>
    <s v=""/>
    <s v=""/>
    <s v=""/>
    <s v=""/>
    <s v=""/>
    <s v=""/>
    <s v=""/>
    <s v=""/>
    <s v=""/>
    <s v=""/>
    <s v=""/>
    <s v=""/>
    <s v=""/>
    <x v="2"/>
  </r>
  <r>
    <x v="8"/>
    <x v="1590"/>
    <n v="41"/>
    <m/>
    <x v="5"/>
    <s v=""/>
    <s v=""/>
    <s v=""/>
    <s v=""/>
    <s v=""/>
    <s v=""/>
    <s v=""/>
    <s v=""/>
    <s v=""/>
    <s v=""/>
    <s v=""/>
    <s v=""/>
    <s v=""/>
    <s v=""/>
    <s v=""/>
    <x v="2"/>
  </r>
  <r>
    <x v="8"/>
    <x v="1591"/>
    <n v="33"/>
    <m/>
    <x v="6"/>
    <s v=""/>
    <s v=""/>
    <s v=""/>
    <s v=""/>
    <s v=""/>
    <s v=""/>
    <s v=""/>
    <s v=""/>
    <s v=""/>
    <s v=""/>
    <s v=""/>
    <s v=""/>
    <s v=""/>
    <s v=""/>
    <s v=""/>
    <x v="2"/>
  </r>
  <r>
    <x v="8"/>
    <x v="1592"/>
    <n v="19"/>
    <m/>
    <x v="7"/>
    <s v=""/>
    <s v=""/>
    <s v=""/>
    <s v=""/>
    <s v=""/>
    <s v=""/>
    <s v=""/>
    <s v=""/>
    <s v=""/>
    <s v=""/>
    <s v=""/>
    <s v=""/>
    <s v=""/>
    <s v=""/>
    <s v=""/>
    <x v="2"/>
  </r>
  <r>
    <x v="9"/>
    <x v="1593"/>
    <n v="26"/>
    <n v="1"/>
    <x v="1"/>
    <s v="Interactive communications"/>
    <s v="This type of communication means that"/>
    <s v="information is happening among stakeholders,"/>
    <s v="like in a forum. Examples of interactive"/>
    <s v="communications are meetings, videoconferences,"/>
    <s v="phone calls, and ad-hoc conversations."/>
    <s v="Interactive communications means that the"/>
    <s v="participants are actively communicating with one"/>
    <s v="another."/>
    <s v=""/>
    <s v=""/>
    <s v=""/>
    <s v=""/>
    <s v=""/>
    <s v=""/>
    <x v="321"/>
  </r>
  <r>
    <x v="9"/>
    <x v="1594"/>
    <n v="37"/>
    <m/>
    <x v="2"/>
    <s v=""/>
    <s v=""/>
    <s v=""/>
    <s v=""/>
    <s v=""/>
    <s v=""/>
    <s v=""/>
    <s v=""/>
    <s v=""/>
    <s v=""/>
    <s v=""/>
    <s v=""/>
    <s v=""/>
    <s v=""/>
    <s v=""/>
    <x v="2"/>
  </r>
  <r>
    <x v="9"/>
    <x v="1595"/>
    <n v="44"/>
    <m/>
    <x v="3"/>
    <s v=""/>
    <s v=""/>
    <s v=""/>
    <s v=""/>
    <s v=""/>
    <s v=""/>
    <s v=""/>
    <s v=""/>
    <s v=""/>
    <s v=""/>
    <s v=""/>
    <s v=""/>
    <s v=""/>
    <s v=""/>
    <s v=""/>
    <x v="2"/>
  </r>
  <r>
    <x v="9"/>
    <x v="1596"/>
    <n v="40"/>
    <m/>
    <x v="4"/>
    <s v=""/>
    <s v=""/>
    <s v=""/>
    <s v=""/>
    <s v=""/>
    <s v=""/>
    <s v=""/>
    <s v=""/>
    <s v=""/>
    <s v=""/>
    <s v=""/>
    <s v=""/>
    <s v=""/>
    <s v=""/>
    <s v=""/>
    <x v="2"/>
  </r>
  <r>
    <x v="9"/>
    <x v="1597"/>
    <n v="46"/>
    <m/>
    <x v="5"/>
    <s v=""/>
    <s v=""/>
    <s v=""/>
    <s v=""/>
    <s v=""/>
    <s v=""/>
    <s v=""/>
    <s v=""/>
    <s v=""/>
    <s v=""/>
    <s v=""/>
    <s v=""/>
    <s v=""/>
    <s v=""/>
    <s v=""/>
    <x v="2"/>
  </r>
  <r>
    <x v="9"/>
    <x v="1598"/>
    <n v="38"/>
    <m/>
    <x v="6"/>
    <s v=""/>
    <s v=""/>
    <s v=""/>
    <s v=""/>
    <s v=""/>
    <s v=""/>
    <s v=""/>
    <s v=""/>
    <s v=""/>
    <s v=""/>
    <s v=""/>
    <s v=""/>
    <s v=""/>
    <s v=""/>
    <s v=""/>
    <x v="2"/>
  </r>
  <r>
    <x v="9"/>
    <x v="1599"/>
    <n v="41"/>
    <m/>
    <x v="7"/>
    <s v=""/>
    <s v=""/>
    <s v=""/>
    <s v=""/>
    <s v=""/>
    <s v=""/>
    <s v=""/>
    <s v=""/>
    <s v=""/>
    <s v=""/>
    <s v=""/>
    <s v=""/>
    <s v=""/>
    <s v=""/>
    <s v=""/>
    <x v="2"/>
  </r>
  <r>
    <x v="9"/>
    <x v="1600"/>
    <n v="48"/>
    <m/>
    <x v="8"/>
    <s v=""/>
    <s v=""/>
    <s v=""/>
    <s v=""/>
    <s v=""/>
    <s v=""/>
    <s v=""/>
    <s v=""/>
    <s v=""/>
    <s v=""/>
    <s v=""/>
    <s v=""/>
    <s v=""/>
    <s v=""/>
    <s v=""/>
    <x v="2"/>
  </r>
  <r>
    <x v="9"/>
    <x v="1601"/>
    <n v="8"/>
    <m/>
    <x v="9"/>
    <s v=""/>
    <s v=""/>
    <s v=""/>
    <s v=""/>
    <s v=""/>
    <s v=""/>
    <s v=""/>
    <s v=""/>
    <s v=""/>
    <s v=""/>
    <s v=""/>
    <s v=""/>
    <s v=""/>
    <s v=""/>
    <s v=""/>
    <x v="2"/>
  </r>
  <r>
    <x v="9"/>
    <x v="1602"/>
    <n v="13"/>
    <n v="1"/>
    <x v="1"/>
    <s v="Brain writing"/>
    <s v="A data gathering technique that’s similar to"/>
    <s v="brainstorming, but provides brainstorming"/>
    <s v="meeting participants with the questions and"/>
    <s v="topics for brainstorming before the stakeholder"/>
    <s v="identification meeting."/>
    <s v=""/>
    <s v=""/>
    <s v=""/>
    <s v=""/>
    <s v=""/>
    <s v=""/>
    <s v=""/>
    <s v=""/>
    <s v=""/>
    <x v="322"/>
  </r>
  <r>
    <x v="9"/>
    <x v="1603"/>
    <n v="44"/>
    <m/>
    <x v="2"/>
    <s v=""/>
    <s v=""/>
    <s v=""/>
    <s v=""/>
    <s v=""/>
    <s v=""/>
    <s v=""/>
    <s v=""/>
    <s v=""/>
    <s v=""/>
    <s v=""/>
    <s v=""/>
    <s v=""/>
    <s v=""/>
    <s v=""/>
    <x v="2"/>
  </r>
  <r>
    <x v="9"/>
    <x v="1604"/>
    <n v="41"/>
    <m/>
    <x v="3"/>
    <s v=""/>
    <s v=""/>
    <s v=""/>
    <s v=""/>
    <s v=""/>
    <s v=""/>
    <s v=""/>
    <s v=""/>
    <s v=""/>
    <s v=""/>
    <s v=""/>
    <s v=""/>
    <s v=""/>
    <s v=""/>
    <s v=""/>
    <x v="2"/>
  </r>
  <r>
    <x v="9"/>
    <x v="1605"/>
    <n v="43"/>
    <m/>
    <x v="4"/>
    <s v=""/>
    <s v=""/>
    <s v=""/>
    <s v=""/>
    <s v=""/>
    <s v=""/>
    <s v=""/>
    <s v=""/>
    <s v=""/>
    <s v=""/>
    <s v=""/>
    <s v=""/>
    <s v=""/>
    <s v=""/>
    <s v=""/>
    <x v="2"/>
  </r>
  <r>
    <x v="9"/>
    <x v="1606"/>
    <n v="47"/>
    <m/>
    <x v="5"/>
    <s v=""/>
    <s v=""/>
    <s v=""/>
    <s v=""/>
    <s v=""/>
    <s v=""/>
    <s v=""/>
    <s v=""/>
    <s v=""/>
    <s v=""/>
    <s v=""/>
    <s v=""/>
    <s v=""/>
    <s v=""/>
    <s v=""/>
    <x v="2"/>
  </r>
  <r>
    <x v="9"/>
    <x v="1607"/>
    <n v="23"/>
    <m/>
    <x v="6"/>
    <s v=""/>
    <s v=""/>
    <s v=""/>
    <s v=""/>
    <s v=""/>
    <s v=""/>
    <s v=""/>
    <s v=""/>
    <s v=""/>
    <s v=""/>
    <s v=""/>
    <s v=""/>
    <s v=""/>
    <s v=""/>
    <s v=""/>
    <x v="2"/>
  </r>
  <r>
    <x v="9"/>
    <x v="1608"/>
    <n v="15"/>
    <n v="1"/>
    <x v="1"/>
    <s v="Key stakeholder"/>
    <s v="Stakeholders—such as management, the project"/>
    <s v="manager, program manager, or customers—that"/>
    <s v="have the authority to make decisions in the"/>
    <s v="project."/>
    <s v=""/>
    <s v=""/>
    <s v=""/>
    <s v=""/>
    <s v=""/>
    <s v=""/>
    <s v=""/>
    <s v=""/>
    <s v=""/>
    <s v=""/>
    <x v="323"/>
  </r>
  <r>
    <x v="9"/>
    <x v="1609"/>
    <n v="44"/>
    <m/>
    <x v="2"/>
    <s v=""/>
    <s v=""/>
    <s v=""/>
    <s v=""/>
    <s v=""/>
    <s v=""/>
    <s v=""/>
    <s v=""/>
    <s v=""/>
    <s v=""/>
    <s v=""/>
    <s v=""/>
    <s v=""/>
    <s v=""/>
    <s v=""/>
    <x v="2"/>
  </r>
  <r>
    <x v="9"/>
    <x v="1610"/>
    <n v="43"/>
    <m/>
    <x v="3"/>
    <s v=""/>
    <s v=""/>
    <s v=""/>
    <s v=""/>
    <s v=""/>
    <s v=""/>
    <s v=""/>
    <s v=""/>
    <s v=""/>
    <s v=""/>
    <s v=""/>
    <s v=""/>
    <s v=""/>
    <s v=""/>
    <s v=""/>
    <x v="2"/>
  </r>
  <r>
    <x v="9"/>
    <x v="1611"/>
    <n v="43"/>
    <m/>
    <x v="4"/>
    <s v=""/>
    <s v=""/>
    <s v=""/>
    <s v=""/>
    <s v=""/>
    <s v=""/>
    <s v=""/>
    <s v=""/>
    <s v=""/>
    <s v=""/>
    <s v=""/>
    <s v=""/>
    <s v=""/>
    <s v=""/>
    <s v=""/>
    <x v="2"/>
  </r>
  <r>
    <x v="9"/>
    <x v="130"/>
    <n v="8"/>
    <m/>
    <x v="5"/>
    <s v=""/>
    <s v=""/>
    <s v=""/>
    <s v=""/>
    <s v=""/>
    <s v=""/>
    <s v=""/>
    <s v=""/>
    <s v=""/>
    <s v=""/>
    <s v=""/>
    <s v=""/>
    <s v=""/>
    <s v=""/>
    <s v=""/>
    <x v="2"/>
  </r>
  <r>
    <x v="9"/>
    <x v="1612"/>
    <n v="26"/>
    <n v="1"/>
    <x v="1"/>
    <s v="Leading stakeholder status"/>
    <s v="Part of stakeholder analysis classification. A"/>
    <s v="leading stakeholder is aware of your project, they"/>
    <s v="want your project to be successful, and the"/>
    <s v="stakeholder is working to make certain the"/>
    <s v="project is a success."/>
    <s v=""/>
    <s v=""/>
    <s v=""/>
    <s v=""/>
    <s v=""/>
    <s v=""/>
    <s v=""/>
    <s v=""/>
    <s v=""/>
    <x v="324"/>
  </r>
  <r>
    <x v="9"/>
    <x v="1613"/>
    <n v="46"/>
    <m/>
    <x v="2"/>
    <s v=""/>
    <s v=""/>
    <s v=""/>
    <s v=""/>
    <s v=""/>
    <s v=""/>
    <s v=""/>
    <s v=""/>
    <s v=""/>
    <s v=""/>
    <s v=""/>
    <s v=""/>
    <s v=""/>
    <s v=""/>
    <s v=""/>
    <x v="2"/>
  </r>
  <r>
    <x v="9"/>
    <x v="1614"/>
    <n v="50"/>
    <m/>
    <x v="3"/>
    <s v=""/>
    <s v=""/>
    <s v=""/>
    <s v=""/>
    <s v=""/>
    <s v=""/>
    <s v=""/>
    <s v=""/>
    <s v=""/>
    <s v=""/>
    <s v=""/>
    <s v=""/>
    <s v=""/>
    <s v=""/>
    <s v=""/>
    <x v="2"/>
  </r>
  <r>
    <x v="9"/>
    <x v="1615"/>
    <n v="43"/>
    <m/>
    <x v="4"/>
    <s v=""/>
    <s v=""/>
    <s v=""/>
    <s v=""/>
    <s v=""/>
    <s v=""/>
    <s v=""/>
    <s v=""/>
    <s v=""/>
    <s v=""/>
    <s v=""/>
    <s v=""/>
    <s v=""/>
    <s v=""/>
    <s v=""/>
    <x v="2"/>
  </r>
  <r>
    <x v="9"/>
    <x v="1616"/>
    <n v="42"/>
    <m/>
    <x v="5"/>
    <s v=""/>
    <s v=""/>
    <s v=""/>
    <s v=""/>
    <s v=""/>
    <s v=""/>
    <s v=""/>
    <s v=""/>
    <s v=""/>
    <s v=""/>
    <s v=""/>
    <s v=""/>
    <s v=""/>
    <s v=""/>
    <s v=""/>
    <x v="2"/>
  </r>
  <r>
    <x v="9"/>
    <x v="1617"/>
    <n v="21"/>
    <m/>
    <x v="6"/>
    <s v=""/>
    <s v=""/>
    <s v=""/>
    <s v=""/>
    <s v=""/>
    <s v=""/>
    <s v=""/>
    <s v=""/>
    <s v=""/>
    <s v=""/>
    <s v=""/>
    <s v=""/>
    <s v=""/>
    <s v=""/>
    <s v=""/>
    <x v="2"/>
  </r>
  <r>
    <x v="9"/>
    <x v="1618"/>
    <n v="20"/>
    <n v="1"/>
    <x v="1"/>
    <s v="Negative stakeholder"/>
    <s v="A stakeholder who does not want the project to"/>
    <s v="exist and is opposed to the project."/>
    <s v=""/>
    <s v=""/>
    <s v=""/>
    <s v=""/>
    <s v=""/>
    <s v=""/>
    <s v=""/>
    <s v=""/>
    <s v=""/>
    <s v=""/>
    <s v=""/>
    <s v=""/>
    <x v="325"/>
  </r>
  <r>
    <x v="9"/>
    <x v="1619"/>
    <n v="46"/>
    <m/>
    <x v="2"/>
    <s v=""/>
    <s v=""/>
    <s v=""/>
    <s v=""/>
    <s v=""/>
    <s v=""/>
    <s v=""/>
    <s v=""/>
    <s v=""/>
    <s v=""/>
    <s v=""/>
    <s v=""/>
    <s v=""/>
    <s v=""/>
    <s v=""/>
    <x v="2"/>
  </r>
  <r>
    <x v="9"/>
    <x v="1620"/>
    <n v="36"/>
    <m/>
    <x v="3"/>
    <s v=""/>
    <s v=""/>
    <s v=""/>
    <s v=""/>
    <s v=""/>
    <s v=""/>
    <s v=""/>
    <s v=""/>
    <s v=""/>
    <s v=""/>
    <s v=""/>
    <s v=""/>
    <s v=""/>
    <s v=""/>
    <s v=""/>
    <x v="2"/>
  </r>
  <r>
    <x v="9"/>
    <x v="1621"/>
    <n v="19"/>
    <n v="1"/>
    <x v="1"/>
    <s v="Neutral stakeholder"/>
    <s v="A stakeholder who has neither a positive nor"/>
    <s v="negative attitude about the project’s existence."/>
    <s v=""/>
    <s v=""/>
    <s v=""/>
    <s v=""/>
    <s v=""/>
    <s v=""/>
    <s v=""/>
    <s v=""/>
    <s v=""/>
    <s v=""/>
    <s v=""/>
    <s v=""/>
    <x v="326"/>
  </r>
  <r>
    <x v="9"/>
    <x v="1622"/>
    <n v="44"/>
    <m/>
    <x v="2"/>
    <s v=""/>
    <s v=""/>
    <s v=""/>
    <s v=""/>
    <s v=""/>
    <s v=""/>
    <s v=""/>
    <s v=""/>
    <s v=""/>
    <s v=""/>
    <s v=""/>
    <s v=""/>
    <s v=""/>
    <s v=""/>
    <s v=""/>
    <x v="2"/>
  </r>
  <r>
    <x v="9"/>
    <x v="1623"/>
    <n v="48"/>
    <m/>
    <x v="3"/>
    <s v=""/>
    <s v=""/>
    <s v=""/>
    <s v=""/>
    <s v=""/>
    <s v=""/>
    <s v=""/>
    <s v=""/>
    <s v=""/>
    <s v=""/>
    <s v=""/>
    <s v=""/>
    <s v=""/>
    <s v=""/>
    <s v=""/>
    <x v="2"/>
  </r>
  <r>
    <x v="9"/>
    <x v="1624"/>
    <n v="26"/>
    <n v="1"/>
    <x v="1"/>
    <s v="Neutral stakeholder status"/>
    <s v="Part of stakeholder analysis classification. A"/>
    <s v="neutral stakeholder is aware of your project and"/>
    <s v="is not concerned if the project succeeds or fails."/>
    <s v=""/>
    <s v=""/>
    <s v=""/>
    <s v=""/>
    <s v=""/>
    <s v=""/>
    <s v=""/>
    <s v=""/>
    <s v=""/>
    <s v=""/>
    <s v=""/>
    <x v="327"/>
  </r>
  <r>
    <x v="9"/>
    <x v="1613"/>
    <n v="46"/>
    <m/>
    <x v="2"/>
    <s v=""/>
    <s v=""/>
    <s v=""/>
    <s v=""/>
    <s v=""/>
    <s v=""/>
    <s v=""/>
    <s v=""/>
    <s v=""/>
    <s v=""/>
    <s v=""/>
    <s v=""/>
    <s v=""/>
    <s v=""/>
    <s v=""/>
    <x v="2"/>
  </r>
  <r>
    <x v="9"/>
    <x v="1625"/>
    <n v="48"/>
    <m/>
    <x v="3"/>
    <s v=""/>
    <s v=""/>
    <s v=""/>
    <s v=""/>
    <s v=""/>
    <s v=""/>
    <s v=""/>
    <s v=""/>
    <s v=""/>
    <s v=""/>
    <s v=""/>
    <s v=""/>
    <s v=""/>
    <s v=""/>
    <s v=""/>
    <x v="2"/>
  </r>
  <r>
    <x v="9"/>
    <x v="1626"/>
    <n v="50"/>
    <m/>
    <x v="4"/>
    <s v=""/>
    <s v=""/>
    <s v=""/>
    <s v=""/>
    <s v=""/>
    <s v=""/>
    <s v=""/>
    <s v=""/>
    <s v=""/>
    <s v=""/>
    <s v=""/>
    <s v=""/>
    <s v=""/>
    <s v=""/>
    <s v=""/>
    <x v="2"/>
  </r>
  <r>
    <x v="9"/>
    <x v="1627"/>
    <n v="20"/>
    <n v="1"/>
    <x v="1"/>
    <s v="Positive stakeholder"/>
    <s v="A stakeholder who sees the benefits of the"/>
    <s v="project and is in favor of the change the project is"/>
    <s v="to bring about."/>
    <s v="Profile analysis meeting This is an analysis meeting to examine and document the roles in the project. The role’s interests, concerns, influence, project knowledge, and attitude are documented. Pull communications This type of communication pulls information from a central repository. Pull communications allow stakeholders to retrieve information from a central source as needed. Push communications This type of communication happens when the sender pushes the same message to multiple people. Good examples of push communications are broadcast text messages, faxes, press releases, and group e-mails. Reporting system A reporting system is a software program to store and analyze project data for reporting. A common reporting system will take project data, allow the project manager to pass the data through earned value management, for example, and then create forecasting reports about the project costs and schedule. Resistant stakeholder status Part of stakeholder analysis classification. A resistant stakeholder is aware of your project, but they do not support the changes your project will create. Stakeholder Anyone who is affected by the existence of the project or who can affect the project’s existence. Stakeholders can enter and exit the project as conditions change within the project. Stakeholder analysis An activity that ranks stakeholders based on their influence, interests, and expectations of the project. Stakeholders are identified and ranked, and then their needs and expectations are documented and addressed. Stakeholder classification models These are charts and diagrams that help the project manager determine the influence of stakeholders in relation to their interest in the project. Common classification models include the power/interest grid, the power/influence grid, the influence/impact grid, and the salience model."/>
    <s v=""/>
    <s v=""/>
    <s v=""/>
    <s v=""/>
    <s v=""/>
    <s v=""/>
    <s v=""/>
    <s v=""/>
    <s v=""/>
    <s v=""/>
    <x v="328"/>
  </r>
  <r>
    <x v="9"/>
    <x v="1628"/>
    <n v="42"/>
    <m/>
    <x v="2"/>
    <s v=""/>
    <s v=""/>
    <s v=""/>
    <s v=""/>
    <s v=""/>
    <s v=""/>
    <s v=""/>
    <s v=""/>
    <s v=""/>
    <s v=""/>
    <s v=""/>
    <s v=""/>
    <s v=""/>
    <s v=""/>
    <s v=""/>
    <x v="2"/>
  </r>
  <r>
    <x v="9"/>
    <x v="1629"/>
    <n v="52"/>
    <m/>
    <x v="3"/>
    <s v=""/>
    <s v=""/>
    <s v=""/>
    <s v=""/>
    <s v=""/>
    <s v=""/>
    <s v=""/>
    <s v=""/>
    <s v=""/>
    <s v=""/>
    <s v=""/>
    <s v=""/>
    <s v=""/>
    <s v=""/>
    <s v=""/>
    <x v="2"/>
  </r>
  <r>
    <x v="9"/>
    <x v="1630"/>
    <n v="15"/>
    <m/>
    <x v="4"/>
    <s v=""/>
    <s v=""/>
    <s v=""/>
    <s v=""/>
    <s v=""/>
    <s v=""/>
    <s v=""/>
    <s v=""/>
    <s v=""/>
    <s v=""/>
    <s v=""/>
    <s v=""/>
    <s v=""/>
    <s v=""/>
    <s v=""/>
    <x v="2"/>
  </r>
  <r>
    <x v="9"/>
    <x v="1631"/>
    <n v="1859"/>
    <m/>
    <x v="5"/>
    <s v=""/>
    <s v=""/>
    <s v=""/>
    <s v=""/>
    <s v=""/>
    <s v=""/>
    <s v=""/>
    <s v=""/>
    <s v=""/>
    <s v=""/>
    <s v=""/>
    <s v=""/>
    <s v=""/>
    <s v=""/>
    <s v=""/>
    <x v="2"/>
  </r>
  <r>
    <x v="9"/>
    <x v="1632"/>
    <n v="22"/>
    <n v="1"/>
    <x v="1"/>
    <s v="Stakeholder engagement"/>
    <s v="The project manager works to keep the project"/>
    <s v="stakeholders interested, involved, and supportive"/>
    <s v="of the project. Through communication,"/>
    <s v="management skills, and interpersonal skills, the"/>
    <s v="project manager can work to keep the project"/>
    <s v="stakeholders engaged and interested in the"/>
    <s v="project."/>
    <s v=""/>
    <s v=""/>
    <s v=""/>
    <s v=""/>
    <s v=""/>
    <s v=""/>
    <s v=""/>
    <x v="329"/>
  </r>
  <r>
    <x v="9"/>
    <x v="1633"/>
    <n v="45"/>
    <m/>
    <x v="2"/>
    <s v=""/>
    <s v=""/>
    <s v=""/>
    <s v=""/>
    <s v=""/>
    <s v=""/>
    <s v=""/>
    <s v=""/>
    <s v=""/>
    <s v=""/>
    <s v=""/>
    <s v=""/>
    <s v=""/>
    <s v=""/>
    <s v=""/>
    <x v="2"/>
  </r>
  <r>
    <x v="9"/>
    <x v="1634"/>
    <n v="49"/>
    <m/>
    <x v="3"/>
    <s v=""/>
    <s v=""/>
    <s v=""/>
    <s v=""/>
    <s v=""/>
    <s v=""/>
    <s v=""/>
    <s v=""/>
    <s v=""/>
    <s v=""/>
    <s v=""/>
    <s v=""/>
    <s v=""/>
    <s v=""/>
    <s v=""/>
    <x v="2"/>
  </r>
  <r>
    <x v="9"/>
    <x v="1635"/>
    <n v="38"/>
    <m/>
    <x v="4"/>
    <s v=""/>
    <s v=""/>
    <s v=""/>
    <s v=""/>
    <s v=""/>
    <s v=""/>
    <s v=""/>
    <s v=""/>
    <s v=""/>
    <s v=""/>
    <s v=""/>
    <s v=""/>
    <s v=""/>
    <s v=""/>
    <s v=""/>
    <x v="2"/>
  </r>
  <r>
    <x v="9"/>
    <x v="1636"/>
    <n v="48"/>
    <m/>
    <x v="5"/>
    <s v=""/>
    <s v=""/>
    <s v=""/>
    <s v=""/>
    <s v=""/>
    <s v=""/>
    <s v=""/>
    <s v=""/>
    <s v=""/>
    <s v=""/>
    <s v=""/>
    <s v=""/>
    <s v=""/>
    <s v=""/>
    <s v=""/>
    <x v="2"/>
  </r>
  <r>
    <x v="9"/>
    <x v="1637"/>
    <n v="44"/>
    <m/>
    <x v="6"/>
    <s v=""/>
    <s v=""/>
    <s v=""/>
    <s v=""/>
    <s v=""/>
    <s v=""/>
    <s v=""/>
    <s v=""/>
    <s v=""/>
    <s v=""/>
    <s v=""/>
    <s v=""/>
    <s v=""/>
    <s v=""/>
    <s v=""/>
    <x v="2"/>
  </r>
  <r>
    <x v="9"/>
    <x v="1638"/>
    <n v="42"/>
    <m/>
    <x v="7"/>
    <s v=""/>
    <s v=""/>
    <s v=""/>
    <s v=""/>
    <s v=""/>
    <s v=""/>
    <s v=""/>
    <s v=""/>
    <s v=""/>
    <s v=""/>
    <s v=""/>
    <s v=""/>
    <s v=""/>
    <s v=""/>
    <s v=""/>
    <x v="2"/>
  </r>
  <r>
    <x v="9"/>
    <x v="130"/>
    <n v="8"/>
    <m/>
    <x v="8"/>
    <s v=""/>
    <s v=""/>
    <s v=""/>
    <s v=""/>
    <s v=""/>
    <s v=""/>
    <s v=""/>
    <s v=""/>
    <s v=""/>
    <s v=""/>
    <s v=""/>
    <s v=""/>
    <s v=""/>
    <s v=""/>
    <s v=""/>
    <x v="2"/>
  </r>
  <r>
    <x v="9"/>
    <x v="1639"/>
    <n v="26"/>
    <n v="1"/>
    <x v="1"/>
    <s v="Stakeholder identification"/>
    <s v="A project initiation activity to identify, document,"/>
    <s v="and classify the project stakeholders as early as"/>
    <s v="possible in the project."/>
    <s v=""/>
    <s v=""/>
    <s v=""/>
    <s v=""/>
    <s v=""/>
    <s v=""/>
    <s v=""/>
    <s v=""/>
    <s v=""/>
    <s v=""/>
    <s v=""/>
    <x v="330"/>
  </r>
  <r>
    <x v="9"/>
    <x v="1640"/>
    <n v="52"/>
    <m/>
    <x v="2"/>
    <s v=""/>
    <s v=""/>
    <s v=""/>
    <s v=""/>
    <s v=""/>
    <s v=""/>
    <s v=""/>
    <s v=""/>
    <s v=""/>
    <s v=""/>
    <s v=""/>
    <s v=""/>
    <s v=""/>
    <s v=""/>
    <s v=""/>
    <x v="2"/>
  </r>
  <r>
    <x v="9"/>
    <x v="1641"/>
    <n v="49"/>
    <m/>
    <x v="3"/>
    <s v=""/>
    <s v=""/>
    <s v=""/>
    <s v=""/>
    <s v=""/>
    <s v=""/>
    <s v=""/>
    <s v=""/>
    <s v=""/>
    <s v=""/>
    <s v=""/>
    <s v=""/>
    <s v=""/>
    <s v=""/>
    <s v=""/>
    <x v="2"/>
  </r>
  <r>
    <x v="9"/>
    <x v="1642"/>
    <n v="24"/>
    <m/>
    <x v="4"/>
    <s v=""/>
    <s v=""/>
    <s v=""/>
    <s v=""/>
    <s v=""/>
    <s v=""/>
    <s v=""/>
    <s v=""/>
    <s v=""/>
    <s v=""/>
    <s v=""/>
    <s v=""/>
    <s v=""/>
    <s v=""/>
    <s v=""/>
    <x v="2"/>
  </r>
  <r>
    <x v="9"/>
    <x v="1643"/>
    <n v="22"/>
    <n v="1"/>
    <x v="1"/>
    <s v="Stakeholder management"/>
    <s v="The project management knowledge area that"/>
    <s v="focuses on the management and engagement of"/>
    <s v="the project stakeholders. There are four"/>
    <s v="processes in this knowledge area: identify"/>
    <s v="stakeholders, plan stakeholder management,"/>
    <s v="manage stakeholder engagement, and Monitor"/>
    <s v="Stakeholder Engagement."/>
    <s v=""/>
    <s v=""/>
    <s v=""/>
    <s v=""/>
    <s v=""/>
    <s v=""/>
    <s v=""/>
    <x v="331"/>
  </r>
  <r>
    <x v="9"/>
    <x v="1644"/>
    <n v="42"/>
    <m/>
    <x v="2"/>
    <s v=""/>
    <s v=""/>
    <s v=""/>
    <s v=""/>
    <s v=""/>
    <s v=""/>
    <s v=""/>
    <s v=""/>
    <s v=""/>
    <s v=""/>
    <s v=""/>
    <s v=""/>
    <s v=""/>
    <s v=""/>
    <s v=""/>
    <x v="2"/>
  </r>
  <r>
    <x v="9"/>
    <x v="1645"/>
    <n v="43"/>
    <m/>
    <x v="3"/>
    <s v=""/>
    <s v=""/>
    <s v=""/>
    <s v=""/>
    <s v=""/>
    <s v=""/>
    <s v=""/>
    <s v=""/>
    <s v=""/>
    <s v=""/>
    <s v=""/>
    <s v=""/>
    <s v=""/>
    <s v=""/>
    <s v=""/>
    <x v="2"/>
  </r>
  <r>
    <x v="9"/>
    <x v="1646"/>
    <n v="40"/>
    <m/>
    <x v="4"/>
    <s v=""/>
    <s v=""/>
    <s v=""/>
    <s v=""/>
    <s v=""/>
    <s v=""/>
    <s v=""/>
    <s v=""/>
    <s v=""/>
    <s v=""/>
    <s v=""/>
    <s v=""/>
    <s v=""/>
    <s v=""/>
    <s v=""/>
    <x v="2"/>
  </r>
  <r>
    <x v="9"/>
    <x v="1647"/>
    <n v="42"/>
    <m/>
    <x v="5"/>
    <s v=""/>
    <s v=""/>
    <s v=""/>
    <s v=""/>
    <s v=""/>
    <s v=""/>
    <s v=""/>
    <s v=""/>
    <s v=""/>
    <s v=""/>
    <s v=""/>
    <s v=""/>
    <s v=""/>
    <s v=""/>
    <s v=""/>
    <x v="2"/>
  </r>
  <r>
    <x v="9"/>
    <x v="1648"/>
    <n v="42"/>
    <m/>
    <x v="6"/>
    <s v=""/>
    <s v=""/>
    <s v=""/>
    <s v=""/>
    <s v=""/>
    <s v=""/>
    <s v=""/>
    <s v=""/>
    <s v=""/>
    <s v=""/>
    <s v=""/>
    <s v=""/>
    <s v=""/>
    <s v=""/>
    <s v=""/>
    <x v="2"/>
  </r>
  <r>
    <x v="9"/>
    <x v="1649"/>
    <n v="42"/>
    <m/>
    <x v="7"/>
    <s v=""/>
    <s v=""/>
    <s v=""/>
    <s v=""/>
    <s v=""/>
    <s v=""/>
    <s v=""/>
    <s v=""/>
    <s v=""/>
    <s v=""/>
    <s v=""/>
    <s v=""/>
    <s v=""/>
    <s v=""/>
    <s v=""/>
    <x v="2"/>
  </r>
  <r>
    <x v="9"/>
    <x v="1650"/>
    <n v="23"/>
    <m/>
    <x v="8"/>
    <s v=""/>
    <s v=""/>
    <s v=""/>
    <s v=""/>
    <s v=""/>
    <s v=""/>
    <s v=""/>
    <s v=""/>
    <s v=""/>
    <s v=""/>
    <s v=""/>
    <s v=""/>
    <s v=""/>
    <s v=""/>
    <s v=""/>
    <x v="2"/>
  </r>
  <r>
    <x v="9"/>
    <x v="1651"/>
    <n v="27"/>
    <n v="1"/>
    <x v="1"/>
    <s v="Stakeholder engagement plan"/>
    <s v="The stakeholder engagement plan documents a"/>
    <s v="strategy for managing the engagement of project"/>
    <s v="stakeholders. The stakeholder engagement plan"/>
    <s v="establishes stakeholder engagement and defines"/>
    <s v="how the project manager can increase and"/>
    <s v="improve stakeholder engagement."/>
    <s v=""/>
    <s v=""/>
    <s v=""/>
    <s v=""/>
    <s v=""/>
    <s v=""/>
    <s v=""/>
    <s v=""/>
    <x v="332"/>
  </r>
  <r>
    <x v="9"/>
    <x v="1652"/>
    <n v="43"/>
    <m/>
    <x v="2"/>
    <s v=""/>
    <s v=""/>
    <s v=""/>
    <s v=""/>
    <s v=""/>
    <s v=""/>
    <s v=""/>
    <s v=""/>
    <s v=""/>
    <s v=""/>
    <s v=""/>
    <s v=""/>
    <s v=""/>
    <s v=""/>
    <s v=""/>
    <x v="2"/>
  </r>
  <r>
    <x v="9"/>
    <x v="1653"/>
    <n v="47"/>
    <m/>
    <x v="3"/>
    <s v=""/>
    <s v=""/>
    <s v=""/>
    <s v=""/>
    <s v=""/>
    <s v=""/>
    <s v=""/>
    <s v=""/>
    <s v=""/>
    <s v=""/>
    <s v=""/>
    <s v=""/>
    <s v=""/>
    <s v=""/>
    <s v=""/>
    <x v="2"/>
  </r>
  <r>
    <x v="9"/>
    <x v="1654"/>
    <n v="45"/>
    <m/>
    <x v="4"/>
    <s v=""/>
    <s v=""/>
    <s v=""/>
    <s v=""/>
    <s v=""/>
    <s v=""/>
    <s v=""/>
    <s v=""/>
    <s v=""/>
    <s v=""/>
    <s v=""/>
    <s v=""/>
    <s v=""/>
    <s v=""/>
    <s v=""/>
    <x v="2"/>
  </r>
  <r>
    <x v="9"/>
    <x v="1655"/>
    <n v="46"/>
    <m/>
    <x v="5"/>
    <s v=""/>
    <s v=""/>
    <s v=""/>
    <s v=""/>
    <s v=""/>
    <s v=""/>
    <s v=""/>
    <s v=""/>
    <s v=""/>
    <s v=""/>
    <s v=""/>
    <s v=""/>
    <s v=""/>
    <s v=""/>
    <s v=""/>
    <x v="2"/>
  </r>
  <r>
    <x v="9"/>
    <x v="1656"/>
    <n v="40"/>
    <m/>
    <x v="6"/>
    <s v=""/>
    <s v=""/>
    <s v=""/>
    <s v=""/>
    <s v=""/>
    <s v=""/>
    <s v=""/>
    <s v=""/>
    <s v=""/>
    <s v=""/>
    <s v=""/>
    <s v=""/>
    <s v=""/>
    <s v=""/>
    <s v=""/>
    <x v="2"/>
  </r>
  <r>
    <x v="9"/>
    <x v="1657"/>
    <n v="31"/>
    <m/>
    <x v="7"/>
    <s v=""/>
    <s v=""/>
    <s v=""/>
    <s v=""/>
    <s v=""/>
    <s v=""/>
    <s v=""/>
    <s v=""/>
    <s v=""/>
    <s v=""/>
    <s v=""/>
    <s v=""/>
    <s v=""/>
    <s v=""/>
    <s v=""/>
    <x v="2"/>
  </r>
  <r>
    <x v="9"/>
    <x v="1658"/>
    <n v="31"/>
    <n v="1"/>
    <x v="1"/>
    <s v="Stakeholder engagement planning"/>
    <s v="The project manager works with the project"/>
    <s v="team and subject matter experts to create a"/>
    <s v="strategy to manage the project stakeholders."/>
    <s v=""/>
    <s v=""/>
    <s v=""/>
    <s v=""/>
    <s v=""/>
    <s v=""/>
    <s v=""/>
    <s v=""/>
    <s v=""/>
    <s v=""/>
    <s v=""/>
    <x v="333"/>
  </r>
  <r>
    <x v="9"/>
    <x v="1659"/>
    <n v="42"/>
    <m/>
    <x v="2"/>
    <s v=""/>
    <s v=""/>
    <s v=""/>
    <s v=""/>
    <s v=""/>
    <s v=""/>
    <s v=""/>
    <s v=""/>
    <s v=""/>
    <s v=""/>
    <s v=""/>
    <s v=""/>
    <s v=""/>
    <s v=""/>
    <s v=""/>
    <x v="2"/>
  </r>
  <r>
    <x v="9"/>
    <x v="1660"/>
    <n v="43"/>
    <m/>
    <x v="3"/>
    <s v=""/>
    <s v=""/>
    <s v=""/>
    <s v=""/>
    <s v=""/>
    <s v=""/>
    <s v=""/>
    <s v=""/>
    <s v=""/>
    <s v=""/>
    <s v=""/>
    <s v=""/>
    <s v=""/>
    <s v=""/>
    <s v=""/>
    <x v="2"/>
  </r>
  <r>
    <x v="9"/>
    <x v="1661"/>
    <n v="44"/>
    <m/>
    <x v="4"/>
    <s v=""/>
    <s v=""/>
    <s v=""/>
    <s v=""/>
    <s v=""/>
    <s v=""/>
    <s v=""/>
    <s v=""/>
    <s v=""/>
    <s v=""/>
    <s v=""/>
    <s v=""/>
    <s v=""/>
    <s v=""/>
    <s v=""/>
    <x v="2"/>
  </r>
  <r>
    <x v="9"/>
    <x v="1662"/>
    <n v="20"/>
    <n v="1"/>
    <x v="1"/>
    <s v="Stakeholder register"/>
    <s v="A documentation of each stakeholder’s contact"/>
    <s v="information, position, concerns, interests, and"/>
    <s v="attitude toward the project. The project manager"/>
    <s v="updates the register as new stakeholders are"/>
    <s v="identified and when stakeholders leave the"/>
    <s v="project."/>
    <s v=""/>
    <s v=""/>
    <s v=""/>
    <s v=""/>
    <s v=""/>
    <s v=""/>
    <s v=""/>
    <s v=""/>
    <x v="334"/>
  </r>
  <r>
    <x v="9"/>
    <x v="1663"/>
    <n v="45"/>
    <m/>
    <x v="2"/>
    <s v=""/>
    <s v=""/>
    <s v=""/>
    <s v=""/>
    <s v=""/>
    <s v=""/>
    <s v=""/>
    <s v=""/>
    <s v=""/>
    <s v=""/>
    <s v=""/>
    <s v=""/>
    <s v=""/>
    <s v=""/>
    <s v=""/>
    <x v="2"/>
  </r>
  <r>
    <x v="9"/>
    <x v="1664"/>
    <n v="47"/>
    <m/>
    <x v="3"/>
    <s v=""/>
    <s v=""/>
    <s v=""/>
    <s v=""/>
    <s v=""/>
    <s v=""/>
    <s v=""/>
    <s v=""/>
    <s v=""/>
    <s v=""/>
    <s v=""/>
    <s v=""/>
    <s v=""/>
    <s v=""/>
    <s v=""/>
    <x v="2"/>
  </r>
  <r>
    <x v="9"/>
    <x v="1665"/>
    <n v="48"/>
    <m/>
    <x v="4"/>
    <s v=""/>
    <s v=""/>
    <s v=""/>
    <s v=""/>
    <s v=""/>
    <s v=""/>
    <s v=""/>
    <s v=""/>
    <s v=""/>
    <s v=""/>
    <s v=""/>
    <s v=""/>
    <s v=""/>
    <s v=""/>
    <s v=""/>
    <x v="2"/>
  </r>
  <r>
    <x v="9"/>
    <x v="1666"/>
    <n v="44"/>
    <m/>
    <x v="5"/>
    <s v=""/>
    <s v=""/>
    <s v=""/>
    <s v=""/>
    <s v=""/>
    <s v=""/>
    <s v=""/>
    <s v=""/>
    <s v=""/>
    <s v=""/>
    <s v=""/>
    <s v=""/>
    <s v=""/>
    <s v=""/>
    <s v=""/>
    <x v="2"/>
  </r>
  <r>
    <x v="9"/>
    <x v="1667"/>
    <n v="42"/>
    <m/>
    <x v="6"/>
    <s v=""/>
    <s v=""/>
    <s v=""/>
    <s v=""/>
    <s v=""/>
    <s v=""/>
    <s v=""/>
    <s v=""/>
    <s v=""/>
    <s v=""/>
    <s v=""/>
    <s v=""/>
    <s v=""/>
    <s v=""/>
    <s v=""/>
    <x v="2"/>
  </r>
  <r>
    <x v="9"/>
    <x v="130"/>
    <n v="8"/>
    <m/>
    <x v="7"/>
    <s v=""/>
    <s v=""/>
    <s v=""/>
    <s v=""/>
    <s v=""/>
    <s v=""/>
    <s v=""/>
    <s v=""/>
    <s v=""/>
    <s v=""/>
    <s v=""/>
    <s v=""/>
    <s v=""/>
    <s v=""/>
    <s v=""/>
    <x v="2"/>
  </r>
  <r>
    <x v="9"/>
    <x v="1668"/>
    <n v="29"/>
    <n v="1"/>
    <x v="1"/>
    <s v="Supportive stakeholder status"/>
    <s v="This is part of stakeholder analysis classification."/>
    <s v="A supportive stakeholder is aware of your project"/>
    <s v="and is supportive and hopeful that the project"/>
    <s v="will be successful."/>
    <s v=""/>
    <s v=""/>
    <s v=""/>
    <s v=""/>
    <s v=""/>
    <s v=""/>
    <s v=""/>
    <s v=""/>
    <s v=""/>
    <s v=""/>
    <x v="335"/>
  </r>
  <r>
    <x v="9"/>
    <x v="1669"/>
    <n v="52"/>
    <m/>
    <x v="2"/>
    <s v=""/>
    <s v=""/>
    <s v=""/>
    <s v=""/>
    <s v=""/>
    <s v=""/>
    <s v=""/>
    <s v=""/>
    <s v=""/>
    <s v=""/>
    <s v=""/>
    <s v=""/>
    <s v=""/>
    <s v=""/>
    <s v=""/>
    <x v="2"/>
  </r>
  <r>
    <x v="9"/>
    <x v="1670"/>
    <n v="49"/>
    <m/>
    <x v="3"/>
    <s v=""/>
    <s v=""/>
    <s v=""/>
    <s v=""/>
    <s v=""/>
    <s v=""/>
    <s v=""/>
    <s v=""/>
    <s v=""/>
    <s v=""/>
    <s v=""/>
    <s v=""/>
    <s v=""/>
    <s v=""/>
    <s v=""/>
    <x v="2"/>
  </r>
  <r>
    <x v="9"/>
    <x v="1671"/>
    <n v="46"/>
    <m/>
    <x v="4"/>
    <s v=""/>
    <s v=""/>
    <s v=""/>
    <s v=""/>
    <s v=""/>
    <s v=""/>
    <s v=""/>
    <s v=""/>
    <s v=""/>
    <s v=""/>
    <s v=""/>
    <s v=""/>
    <s v=""/>
    <s v=""/>
    <s v=""/>
    <x v="2"/>
  </r>
  <r>
    <x v="9"/>
    <x v="1672"/>
    <n v="19"/>
    <m/>
    <x v="5"/>
    <s v=""/>
    <s v=""/>
    <s v=""/>
    <s v=""/>
    <s v=""/>
    <s v=""/>
    <s v=""/>
    <s v=""/>
    <s v=""/>
    <s v=""/>
    <s v=""/>
    <s v=""/>
    <s v=""/>
    <s v=""/>
    <s v=""/>
    <x v="2"/>
  </r>
  <r>
    <x v="9"/>
    <x v="1673"/>
    <n v="26"/>
    <n v="1"/>
    <x v="1"/>
    <s v="Unaware stakeholder status"/>
    <s v="Part of stakeholder analysis classification. An"/>
    <s v="unaware status means the stakeholder doesn’t"/>
    <s v="know about the project and the effect the project"/>
    <s v="may create on the stakeholder."/>
    <s v=""/>
    <s v=""/>
    <s v=""/>
    <s v=""/>
    <s v=""/>
    <s v=""/>
    <s v=""/>
    <s v=""/>
    <s v=""/>
    <s v=""/>
    <x v="3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D5F8D9-ACC2-4194-9B5D-98BF34FF420B}" name="PivotTable1" cacheId="2"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3:I340" firstHeaderRow="2" firstDataRow="2" firstDataCol="3" rowPageCount="1" colPageCount="1"/>
  <pivotFields count="21">
    <pivotField axis="axisRow" compact="0" outline="0" showAll="0" defaultSubtotal="0">
      <items count="10">
        <item x="7"/>
        <item x="4"/>
        <item x="2"/>
        <item x="0"/>
        <item x="1"/>
        <item x="5"/>
        <item x="6"/>
        <item x="8"/>
        <item x="3"/>
        <item x="9"/>
      </items>
    </pivotField>
    <pivotField axis="axisRow" compact="0" outline="0" showAll="0" defaultSubtotal="0">
      <items count="1674">
        <item x="833"/>
        <item x="1381"/>
        <item x="1167"/>
        <item x="1258"/>
        <item x="905"/>
        <item x="382"/>
        <item x="1497"/>
        <item x="515"/>
        <item x="829"/>
        <item x="383"/>
        <item x="242"/>
        <item x="42"/>
        <item x="1031"/>
        <item x="24"/>
        <item x="26"/>
        <item x="159"/>
        <item x="936"/>
        <item x="1579"/>
        <item x="910"/>
        <item x="1603"/>
        <item x="408"/>
        <item x="558"/>
        <item x="895"/>
        <item x="615"/>
        <item x="1536"/>
        <item x="1663"/>
        <item x="32"/>
        <item x="1486"/>
        <item x="1479"/>
        <item x="844"/>
        <item x="821"/>
        <item x="243"/>
        <item x="532"/>
        <item x="427"/>
        <item x="448"/>
        <item x="1"/>
        <item x="646"/>
        <item x="914"/>
        <item x="1510"/>
        <item x="1514"/>
        <item x="1034"/>
        <item x="920"/>
        <item x="756"/>
        <item x="334"/>
        <item x="1353"/>
        <item x="1268"/>
        <item x="636"/>
        <item x="1056"/>
        <item x="602"/>
        <item x="1584"/>
        <item x="44"/>
        <item x="8"/>
        <item x="384"/>
        <item x="553"/>
        <item x="676"/>
        <item x="1519"/>
        <item x="958"/>
        <item x="249"/>
        <item x="1532"/>
        <item x="886"/>
        <item x="12"/>
        <item x="766"/>
        <item x="1640"/>
        <item x="1528"/>
        <item x="1139"/>
        <item x="1387"/>
        <item x="463"/>
        <item x="261"/>
        <item x="568"/>
        <item x="673"/>
        <item x="1131"/>
        <item x="1348"/>
        <item x="1469"/>
        <item x="1447"/>
        <item x="1544"/>
        <item x="871"/>
        <item x="941"/>
        <item x="948"/>
        <item x="6"/>
        <item x="1435"/>
        <item x="583"/>
        <item x="1260"/>
        <item x="1084"/>
        <item x="1095"/>
        <item x="1337"/>
        <item x="1256"/>
        <item x="1200"/>
        <item x="670"/>
        <item x="423"/>
        <item x="1235"/>
        <item x="1327"/>
        <item x="1284"/>
        <item x="1288"/>
        <item x="1439"/>
        <item x="1299"/>
        <item x="1458"/>
        <item x="1560"/>
        <item x="517"/>
        <item x="401"/>
        <item x="505"/>
        <item x="460"/>
        <item x="1073"/>
        <item x="868"/>
        <item x="1330"/>
        <item x="48"/>
        <item x="1164"/>
        <item x="1619"/>
        <item x="1622"/>
        <item x="1628"/>
        <item x="648"/>
        <item x="1670"/>
        <item x="1169"/>
        <item x="30"/>
        <item x="589"/>
        <item x="1564"/>
        <item x="20"/>
        <item x="1465"/>
        <item x="549"/>
        <item x="596"/>
        <item x="414"/>
        <item x="1041"/>
        <item x="697"/>
        <item x="1234"/>
        <item x="503"/>
        <item x="826"/>
        <item x="738"/>
        <item x="917"/>
        <item x="1047"/>
        <item x="597"/>
        <item x="700"/>
        <item x="278"/>
        <item x="1105"/>
        <item x="1226"/>
        <item x="59"/>
        <item x="389"/>
        <item x="65"/>
        <item x="66"/>
        <item x="1085"/>
        <item x="1214"/>
        <item x="593"/>
        <item x="849"/>
        <item x="664"/>
        <item x="662"/>
        <item x="922"/>
        <item x="977"/>
        <item x="1485"/>
        <item x="136"/>
        <item x="1074"/>
        <item x="1303"/>
        <item x="758"/>
        <item x="852"/>
        <item x="395"/>
        <item x="606"/>
        <item x="569"/>
        <item x="1028"/>
        <item x="1561"/>
        <item x="429"/>
        <item x="172"/>
        <item x="1209"/>
        <item x="1082"/>
        <item x="1487"/>
        <item x="207"/>
        <item x="1375"/>
        <item x="1474"/>
        <item x="50"/>
        <item x="1210"/>
        <item x="176"/>
        <item x="402"/>
        <item x="400"/>
        <item x="1238"/>
        <item x="695"/>
        <item x="1491"/>
        <item x="661"/>
        <item x="666"/>
        <item x="1274"/>
        <item x="751"/>
        <item x="889"/>
        <item x="764"/>
        <item x="146"/>
        <item x="1417"/>
        <item x="722"/>
        <item x="293"/>
        <item x="680"/>
        <item x="746"/>
        <item x="1315"/>
        <item x="874"/>
        <item x="1380"/>
        <item x="38"/>
        <item x="735"/>
        <item x="619"/>
        <item x="575"/>
        <item x="70"/>
        <item x="348"/>
        <item x="1426"/>
        <item x="1170"/>
        <item x="1471"/>
        <item x="518"/>
        <item x="1152"/>
        <item x="1641"/>
        <item x="508"/>
        <item x="69"/>
        <item x="1572"/>
        <item x="1257"/>
        <item x="954"/>
        <item x="1086"/>
        <item x="79"/>
        <item x="1671"/>
        <item x="994"/>
        <item x="301"/>
        <item x="1308"/>
        <item x="1207"/>
        <item x="1414"/>
        <item x="887"/>
        <item x="153"/>
        <item x="806"/>
        <item x="519"/>
        <item x="1562"/>
        <item x="235"/>
        <item x="945"/>
        <item x="1176"/>
        <item x="1271"/>
        <item x="81"/>
        <item x="1328"/>
        <item x="1601"/>
        <item x="214"/>
        <item x="1190"/>
        <item x="1133"/>
        <item x="1125"/>
        <item x="1118"/>
        <item x="3"/>
        <item x="1173"/>
        <item x="1261"/>
        <item x="187"/>
        <item x="1277"/>
        <item x="256"/>
        <item x="276"/>
        <item x="1068"/>
        <item x="1240"/>
        <item x="440"/>
        <item x="1394"/>
        <item x="590"/>
        <item x="438"/>
        <item x="535"/>
        <item x="391"/>
        <item x="1090"/>
        <item x="394"/>
        <item x="1121"/>
        <item x="1585"/>
        <item x="145"/>
        <item x="152"/>
        <item x="149"/>
        <item x="901"/>
        <item x="893"/>
        <item x="1665"/>
        <item x="221"/>
        <item x="118"/>
        <item x="984"/>
        <item x="982"/>
        <item x="407"/>
        <item x="1183"/>
        <item x="684"/>
        <item x="1243"/>
        <item x="74"/>
        <item x="737"/>
        <item x="720"/>
        <item x="1202"/>
        <item x="586"/>
        <item x="683"/>
        <item x="792"/>
        <item x="907"/>
        <item x="495"/>
        <item x="485"/>
        <item x="480"/>
        <item x="1036"/>
        <item x="1143"/>
        <item x="380"/>
        <item x="150"/>
        <item x="1547"/>
        <item x="1097"/>
        <item x="61"/>
        <item x="562"/>
        <item x="1511"/>
        <item x="563"/>
        <item x="147"/>
        <item x="1119"/>
        <item x="857"/>
        <item x="154"/>
        <item x="1521"/>
        <item x="157"/>
        <item x="897"/>
        <item x="949"/>
        <item x="911"/>
        <item x="1602"/>
        <item x="411"/>
        <item x="416"/>
        <item x="1604"/>
        <item x="231"/>
        <item x="714"/>
        <item x="545"/>
        <item x="1248"/>
        <item x="5"/>
        <item x="1526"/>
        <item x="1537"/>
        <item x="1307"/>
        <item x="1498"/>
        <item x="244"/>
        <item x="632"/>
        <item x="608"/>
        <item x="446"/>
        <item x="705"/>
        <item x="1002"/>
        <item x="1255"/>
        <item x="736"/>
        <item x="1053"/>
        <item x="1322"/>
        <item x="860"/>
        <item x="854"/>
        <item x="1217"/>
        <item x="946"/>
        <item x="123"/>
        <item x="110"/>
        <item x="7"/>
        <item x="109"/>
        <item x="158"/>
        <item x="163"/>
        <item x="171"/>
        <item x="177"/>
        <item x="421"/>
        <item x="180"/>
        <item x="162"/>
        <item x="484"/>
        <item x="198"/>
        <item x="1444"/>
        <item x="83"/>
        <item x="174"/>
        <item x="215"/>
        <item x="77"/>
        <item x="867"/>
        <item x="1259"/>
        <item x="1113"/>
        <item x="573"/>
        <item x="1278"/>
        <item x="188"/>
        <item x="316"/>
        <item x="185"/>
        <item x="182"/>
        <item x="988"/>
        <item x="992"/>
        <item x="997"/>
        <item x="1449"/>
        <item x="286"/>
        <item x="287"/>
        <item x="288"/>
        <item x="1116"/>
        <item x="1117"/>
        <item x="1124"/>
        <item x="1127"/>
        <item x="1132"/>
        <item x="1135"/>
        <item x="1195"/>
        <item x="1597"/>
        <item x="189"/>
        <item x="1229"/>
        <item x="858"/>
        <item x="156"/>
        <item x="1000"/>
        <item x="1052"/>
        <item x="754"/>
        <item x="753"/>
        <item x="869"/>
        <item x="600"/>
        <item x="713"/>
        <item x="587"/>
        <item x="226"/>
        <item x="579"/>
        <item x="578"/>
        <item x="577"/>
        <item x="613"/>
        <item x="828"/>
        <item x="689"/>
        <item x="591"/>
        <item x="1276"/>
        <item x="196"/>
        <item x="856"/>
        <item x="1003"/>
        <item x="281"/>
        <item x="836"/>
        <item x="208"/>
        <item x="1285"/>
        <item x="1241"/>
        <item x="1583"/>
        <item x="1527"/>
        <item x="194"/>
        <item x="199"/>
        <item x="205"/>
        <item x="216"/>
        <item x="219"/>
        <item x="1158"/>
        <item x="345"/>
        <item x="1138"/>
        <item x="1408"/>
        <item x="1472"/>
        <item x="224"/>
        <item x="1545"/>
        <item x="1542"/>
        <item x="1460"/>
        <item x="998"/>
        <item x="1482"/>
        <item x="1475"/>
        <item x="996"/>
        <item x="870"/>
        <item x="873"/>
        <item x="564"/>
        <item x="420"/>
        <item x="304"/>
        <item x="470"/>
        <item x="692"/>
        <item x="228"/>
        <item x="232"/>
        <item x="732"/>
        <item x="877"/>
        <item x="881"/>
        <item x="1489"/>
        <item x="529"/>
        <item x="767"/>
        <item x="789"/>
        <item x="693"/>
        <item x="336"/>
        <item x="885"/>
        <item x="1483"/>
        <item x="707"/>
        <item x="740"/>
        <item x="835"/>
        <item x="729"/>
        <item x="1504"/>
        <item x="628"/>
        <item x="1516"/>
        <item x="34"/>
        <item x="361"/>
        <item x="831"/>
        <item x="472"/>
        <item x="371"/>
        <item x="782"/>
        <item x="543"/>
        <item x="367"/>
        <item x="139"/>
        <item x="9"/>
        <item x="509"/>
        <item x="403"/>
        <item x="404"/>
        <item x="1262"/>
        <item x="1265"/>
        <item x="494"/>
        <item x="1044"/>
        <item x="1559"/>
        <item x="1267"/>
        <item x="450"/>
        <item x="1269"/>
        <item x="1145"/>
        <item x="970"/>
        <item x="285"/>
        <item x="1476"/>
        <item x="550"/>
        <item x="479"/>
        <item x="10"/>
        <item x="1395"/>
        <item x="360"/>
        <item x="320"/>
        <item x="308"/>
        <item x="1574"/>
        <item x="1140"/>
        <item x="108"/>
        <item x="698"/>
        <item x="688"/>
        <item x="612"/>
        <item x="11"/>
        <item x="203"/>
        <item x="326"/>
        <item x="502"/>
        <item x="102"/>
        <item x="1273"/>
        <item x="377"/>
        <item x="944"/>
        <item x="888"/>
        <item x="659"/>
        <item x="218"/>
        <item x="277"/>
        <item x="890"/>
        <item x="1551"/>
        <item x="671"/>
        <item x="398"/>
        <item x="851"/>
        <item x="861"/>
        <item x="433"/>
        <item x="706"/>
        <item x="990"/>
        <item x="1033"/>
        <item x="1066"/>
        <item x="866"/>
        <item x="1345"/>
        <item x="169"/>
        <item x="239"/>
        <item x="417"/>
        <item x="181"/>
        <item x="212"/>
        <item x="323"/>
        <item x="318"/>
        <item x="1502"/>
        <item x="1351"/>
        <item x="1050"/>
        <item x="461"/>
        <item x="1222"/>
        <item x="848"/>
        <item x="604"/>
        <item x="1318"/>
        <item x="1436"/>
        <item x="711"/>
        <item x="712"/>
        <item x="1494"/>
        <item x="240"/>
        <item x="1488"/>
        <item x="1254"/>
        <item x="125"/>
        <item x="1148"/>
        <item x="129"/>
        <item x="161"/>
        <item x="647"/>
        <item x="908"/>
        <item x="551"/>
        <item x="424"/>
        <item x="999"/>
        <item x="1153"/>
        <item x="439"/>
        <item x="528"/>
        <item x="1283"/>
        <item x="641"/>
        <item x="1287"/>
        <item x="1655"/>
        <item x="717"/>
        <item x="798"/>
        <item x="721"/>
        <item x="651"/>
        <item x="797"/>
        <item x="785"/>
        <item x="592"/>
        <item x="702"/>
        <item x="290"/>
        <item x="1137"/>
        <item x="986"/>
        <item x="1355"/>
        <item x="1431"/>
        <item x="269"/>
        <item x="1448"/>
        <item x="576"/>
        <item x="1349"/>
        <item x="536"/>
        <item x="1470"/>
        <item x="1364"/>
        <item x="1461"/>
        <item x="972"/>
        <item x="1620"/>
        <item x="883"/>
        <item x="370"/>
        <item x="842"/>
        <item x="1292"/>
        <item x="1253"/>
        <item x="1150"/>
        <item x="86"/>
        <item x="1058"/>
        <item x="1251"/>
        <item x="137"/>
        <item x="727"/>
        <item x="84"/>
        <item x="1499"/>
        <item x="236"/>
        <item x="1298"/>
        <item x="283"/>
        <item x="238"/>
        <item x="565"/>
        <item x="892"/>
        <item x="1301"/>
        <item x="765"/>
        <item x="1192"/>
        <item x="202"/>
        <item x="538"/>
        <item x="1154"/>
        <item x="388"/>
        <item x="933"/>
        <item x="663"/>
        <item x="1493"/>
        <item x="1321"/>
        <item x="728"/>
        <item x="1473"/>
        <item x="1478"/>
        <item x="1484"/>
        <item x="894"/>
        <item x="1309"/>
        <item x="963"/>
        <item x="955"/>
        <item x="1013"/>
        <item x="1645"/>
        <item x="456"/>
        <item x="1480"/>
        <item x="1112"/>
        <item x="179"/>
        <item x="1120"/>
        <item x="458"/>
        <item x="399"/>
        <item x="1101"/>
        <item x="677"/>
        <item x="295"/>
        <item x="1580"/>
        <item x="1490"/>
        <item x="1015"/>
        <item x="1275"/>
        <item x="1016"/>
        <item x="1020"/>
        <item x="778"/>
        <item x="674"/>
        <item x="1027"/>
        <item x="1506"/>
        <item x="1012"/>
        <item x="1550"/>
        <item x="1151"/>
        <item x="213"/>
        <item x="734"/>
        <item x="241"/>
        <item x="300"/>
        <item x="1282"/>
        <item x="13"/>
        <item x="1062"/>
        <item x="413"/>
        <item x="981"/>
        <item x="514"/>
        <item x="305"/>
        <item x="410"/>
        <item x="101"/>
        <item x="654"/>
        <item x="625"/>
        <item x="846"/>
        <item x="985"/>
        <item x="1611"/>
        <item x="1166"/>
        <item x="1026"/>
        <item x="1030"/>
        <item x="956"/>
        <item x="781"/>
        <item x="473"/>
        <item x="1656"/>
        <item x="471"/>
        <item x="474"/>
        <item x="1042"/>
        <item x="57"/>
        <item x="1607"/>
        <item x="1245"/>
        <item x="1035"/>
        <item x="1667"/>
        <item x="1368"/>
        <item x="1129"/>
        <item x="1393"/>
        <item x="1313"/>
        <item x="1076"/>
        <item x="250"/>
        <item x="1492"/>
        <item x="1437"/>
        <item x="925"/>
        <item x="1242"/>
        <item x="1456"/>
        <item x="1657"/>
        <item x="819"/>
        <item x="1019"/>
        <item x="99"/>
        <item x="603"/>
        <item x="1009"/>
        <item x="540"/>
        <item x="939"/>
        <item x="192"/>
        <item x="815"/>
        <item x="1203"/>
        <item x="263"/>
        <item x="1539"/>
        <item x="111"/>
        <item x="1136"/>
        <item x="1495"/>
        <item x="739"/>
        <item x="409"/>
        <item x="1314"/>
        <item x="1159"/>
        <item x="1220"/>
        <item x="1595"/>
        <item x="1163"/>
        <item x="1168"/>
        <item x="191"/>
        <item x="1664"/>
        <item x="1141"/>
        <item x="1142"/>
        <item x="96"/>
        <item x="93"/>
        <item x="89"/>
        <item x="918"/>
        <item x="796"/>
        <item x="942"/>
        <item x="393"/>
        <item x="265"/>
        <item x="248"/>
        <item x="1023"/>
        <item x="97"/>
        <item x="1171"/>
        <item x="1593"/>
        <item x="1599"/>
        <item x="246"/>
        <item x="1231"/>
        <item x="566"/>
        <item x="900"/>
        <item x="15"/>
        <item x="17"/>
        <item x="445"/>
        <item x="422"/>
        <item x="1505"/>
        <item x="76"/>
        <item x="19"/>
        <item x="310"/>
        <item x="415"/>
        <item x="1626"/>
        <item x="510"/>
        <item x="186"/>
        <item x="1319"/>
        <item x="902"/>
        <item x="259"/>
        <item x="252"/>
        <item x="253"/>
        <item x="1039"/>
        <item x="1512"/>
        <item x="1093"/>
        <item x="1538"/>
        <item x="1608"/>
        <item x="381"/>
        <item x="237"/>
        <item x="379"/>
        <item x="991"/>
        <item x="880"/>
        <item x="745"/>
        <item x="1193"/>
        <item x="449"/>
        <item x="112"/>
        <item x="1614"/>
        <item x="1612"/>
        <item x="1180"/>
        <item x="750"/>
        <item x="1177"/>
        <item x="1182"/>
        <item x="1509"/>
        <item x="1513"/>
        <item x="1515"/>
        <item x="638"/>
        <item x="1596"/>
        <item x="719"/>
        <item x="1286"/>
        <item x="685"/>
        <item x="710"/>
        <item x="1323"/>
        <item x="1324"/>
        <item x="121"/>
        <item x="1305"/>
        <item x="426"/>
        <item x="1518"/>
        <item x="1522"/>
        <item x="1649"/>
        <item x="1410"/>
        <item x="1409"/>
        <item x="184"/>
        <item x="649"/>
        <item x="1398"/>
        <item x="1636"/>
        <item x="1520"/>
        <item x="1165"/>
        <item x="1051"/>
        <item x="113"/>
        <item x="88"/>
        <item x="1610"/>
        <item x="1088"/>
        <item x="117"/>
        <item x="128"/>
        <item x="809"/>
        <item x="434"/>
        <item x="1040"/>
        <item x="627"/>
        <item x="786"/>
        <item x="260"/>
        <item x="909"/>
        <item x="912"/>
        <item x="1295"/>
        <item x="571"/>
        <item x="1043"/>
        <item x="1049"/>
        <item x="368"/>
        <item x="928"/>
        <item x="801"/>
        <item x="960"/>
        <item x="1186"/>
        <item x="1605"/>
        <item x="1057"/>
        <item x="64"/>
        <item x="1188"/>
        <item x="1194"/>
        <item x="639"/>
        <item x="337"/>
        <item x="1054"/>
        <item x="267"/>
        <item x="273"/>
        <item x="268"/>
        <item x="430"/>
        <item x="124"/>
        <item x="1326"/>
        <item x="525"/>
        <item x="570"/>
        <item x="298"/>
        <item x="818"/>
        <item x="315"/>
        <item x="1405"/>
        <item x="567"/>
        <item x="1329"/>
        <item x="1174"/>
        <item x="599"/>
        <item x="845"/>
        <item x="1055"/>
        <item x="279"/>
        <item x="533"/>
        <item x="1128"/>
        <item x="1365"/>
        <item x="255"/>
        <item x="1048"/>
        <item x="1623"/>
        <item x="1236"/>
        <item x="1618"/>
        <item x="289"/>
        <item x="1621"/>
        <item x="1625"/>
        <item x="1624"/>
        <item x="1433"/>
        <item x="1189"/>
        <item x="437"/>
        <item x="1191"/>
        <item x="1059"/>
        <item x="397"/>
        <item x="837"/>
        <item x="1466"/>
        <item x="943"/>
        <item x="1354"/>
        <item x="1126"/>
        <item x="915"/>
        <item x="626"/>
        <item x="574"/>
        <item x="1018"/>
        <item x="1467"/>
        <item x="544"/>
        <item x="1577"/>
        <item x="731"/>
        <item x="1077"/>
        <item x="715"/>
        <item x="1266"/>
        <item x="1588"/>
        <item x="938"/>
        <item x="116"/>
        <item x="1402"/>
        <item x="530"/>
        <item x="696"/>
        <item x="1635"/>
        <item x="392"/>
        <item x="1123"/>
        <item x="496"/>
        <item x="555"/>
        <item x="755"/>
        <item x="726"/>
        <item x="1541"/>
        <item x="1371"/>
        <item x="1370"/>
        <item x="1008"/>
        <item x="978"/>
        <item x="640"/>
        <item x="425"/>
        <item x="777"/>
        <item x="813"/>
        <item x="979"/>
        <item x="73"/>
        <item x="1445"/>
        <item x="759"/>
        <item x="63"/>
        <item x="762"/>
        <item x="143"/>
        <item x="100"/>
        <item x="703"/>
        <item x="1336"/>
        <item x="1063"/>
        <item x="904"/>
        <item x="1065"/>
        <item x="1548"/>
        <item x="1184"/>
        <item x="1067"/>
        <item x="1103"/>
        <item x="331"/>
        <item x="1185"/>
        <item x="1340"/>
        <item x="58"/>
        <item x="1281"/>
        <item x="617"/>
        <item x="1339"/>
        <item x="1069"/>
        <item x="1046"/>
        <item x="347"/>
        <item x="1250"/>
        <item x="1290"/>
        <item x="1421"/>
        <item x="1312"/>
        <item x="642"/>
        <item x="386"/>
        <item x="1230"/>
        <item x="1196"/>
        <item x="582"/>
        <item x="763"/>
        <item x="913"/>
        <item x="588"/>
        <item x="1613"/>
        <item x="1600"/>
        <item x="1071"/>
        <item x="1576"/>
        <item x="442"/>
        <item x="292"/>
        <item x="120"/>
        <item x="799"/>
        <item x="872"/>
        <item x="547"/>
        <item x="1199"/>
        <item x="1571"/>
        <item x="975"/>
        <item x="1075"/>
        <item x="227"/>
        <item x="1201"/>
        <item x="247"/>
        <item x="682"/>
        <item x="1347"/>
        <item x="1252"/>
        <item x="1598"/>
        <item x="21"/>
        <item x="418"/>
        <item x="357"/>
        <item x="769"/>
        <item x="770"/>
        <item x="321"/>
        <item x="595"/>
        <item x="598"/>
        <item x="447"/>
        <item x="107"/>
        <item x="768"/>
        <item x="1080"/>
        <item x="884"/>
        <item x="672"/>
        <item x="114"/>
        <item x="1289"/>
        <item x="1440"/>
        <item x="1300"/>
        <item x="1627"/>
        <item x="1642"/>
        <item x="601"/>
        <item x="585"/>
        <item x="678"/>
        <item x="899"/>
        <item x="296"/>
        <item x="98"/>
        <item x="1205"/>
        <item x="103"/>
        <item x="1568"/>
        <item x="1344"/>
        <item x="1524"/>
        <item x="1352"/>
        <item x="1374"/>
        <item x="1424"/>
        <item x="67"/>
        <item x="1316"/>
        <item x="865"/>
        <item x="23"/>
        <item x="523"/>
        <item x="967"/>
        <item x="201"/>
        <item x="701"/>
        <item x="1647"/>
        <item x="1500"/>
        <item x="1554"/>
        <item x="1581"/>
        <item x="302"/>
        <item x="1531"/>
        <item x="1530"/>
        <item x="453"/>
        <item x="459"/>
        <item x="537"/>
        <item x="1508"/>
        <item x="468"/>
        <item x="464"/>
        <item x="1555"/>
        <item x="119"/>
        <item x="1631"/>
        <item x="376"/>
        <item x="25"/>
        <item x="264"/>
        <item x="266"/>
        <item x="27"/>
        <item x="29"/>
        <item x="616"/>
        <item x="1629"/>
        <item x="1025"/>
        <item x="580"/>
        <item x="151"/>
        <item x="31"/>
        <item x="311"/>
        <item x="793"/>
        <item x="33"/>
        <item x="1092"/>
        <item x="607"/>
        <item x="827"/>
        <item x="306"/>
        <item x="467"/>
        <item x="166"/>
        <item x="35"/>
        <item x="610"/>
        <item x="352"/>
        <item x="291"/>
        <item x="1443"/>
        <item x="1454"/>
        <item x="1617"/>
        <item x="466"/>
        <item x="39"/>
        <item x="0"/>
        <item x="37"/>
        <item x="41"/>
        <item x="312"/>
        <item x="43"/>
        <item x="1357"/>
        <item x="506"/>
        <item x="983"/>
        <item x="126"/>
        <item x="1637"/>
        <item x="1089"/>
        <item x="810"/>
        <item x="814"/>
        <item x="614"/>
        <item x="45"/>
        <item x="1204"/>
        <item x="923"/>
        <item x="1208"/>
        <item x="1212"/>
        <item x="623"/>
        <item x="1415"/>
        <item x="650"/>
        <item x="581"/>
        <item x="319"/>
        <item x="559"/>
        <item x="309"/>
        <item x="1096"/>
        <item x="1060"/>
        <item x="133"/>
        <item x="971"/>
        <item x="822"/>
        <item x="775"/>
        <item x="1533"/>
        <item x="314"/>
        <item x="342"/>
        <item x="724"/>
        <item x="629"/>
        <item x="1061"/>
        <item x="733"/>
        <item x="747"/>
        <item x="324"/>
        <item x="1391"/>
        <item x="130"/>
        <item x="356"/>
        <item x="251"/>
        <item x="170"/>
        <item x="709"/>
        <item x="1346"/>
        <item x="271"/>
        <item x="1014"/>
        <item x="554"/>
        <item x="1535"/>
        <item x="1592"/>
        <item x="282"/>
        <item x="1144"/>
        <item x="1215"/>
        <item x="1218"/>
        <item x="131"/>
        <item x="1543"/>
        <item x="987"/>
        <item x="1362"/>
        <item x="1223"/>
        <item x="1366"/>
        <item x="916"/>
        <item x="919"/>
        <item x="322"/>
        <item x="327"/>
        <item x="926"/>
        <item x="930"/>
        <item x="330"/>
        <item x="332"/>
        <item x="864"/>
        <item x="513"/>
        <item x="1356"/>
        <item x="1372"/>
        <item x="1296"/>
        <item x="1549"/>
        <item x="1083"/>
        <item x="1379"/>
        <item x="959"/>
        <item x="961"/>
        <item x="441"/>
        <item x="52"/>
        <item x="1122"/>
        <item x="1227"/>
        <item x="1111"/>
        <item x="1147"/>
        <item x="1107"/>
        <item x="1232"/>
        <item x="1104"/>
        <item x="173"/>
        <item x="134"/>
        <item x="618"/>
        <item x="773"/>
        <item x="761"/>
        <item x="333"/>
        <item x="335"/>
        <item x="432"/>
        <item x="1311"/>
        <item x="1462"/>
        <item x="863"/>
        <item x="876"/>
        <item x="1213"/>
        <item x="270"/>
        <item x="1552"/>
        <item x="1556"/>
        <item x="965"/>
        <item x="209"/>
        <item x="210"/>
        <item x="122"/>
        <item x="476"/>
        <item x="482"/>
        <item x="490"/>
        <item x="488"/>
        <item x="487"/>
        <item x="436"/>
        <item x="788"/>
        <item x="791"/>
        <item x="1383"/>
        <item x="995"/>
        <item x="258"/>
        <item x="1079"/>
        <item x="621"/>
        <item x="631"/>
        <item x="1099"/>
        <item x="624"/>
        <item x="635"/>
        <item x="633"/>
        <item x="637"/>
        <item x="1360"/>
        <item x="630"/>
        <item x="1396"/>
        <item x="1157"/>
        <item x="1385"/>
        <item x="351"/>
        <item x="1418"/>
        <item x="1098"/>
        <item x="1094"/>
        <item x="1038"/>
        <item x="891"/>
        <item x="272"/>
        <item x="875"/>
        <item x="1361"/>
        <item x="140"/>
        <item x="1386"/>
        <item x="1377"/>
        <item x="1369"/>
        <item x="1429"/>
        <item x="1297"/>
        <item x="1389"/>
        <item x="339"/>
        <item x="338"/>
        <item x="341"/>
        <item x="1400"/>
        <item x="346"/>
        <item x="1403"/>
        <item x="343"/>
        <item x="1412"/>
        <item x="1416"/>
        <item x="349"/>
        <item x="1419"/>
        <item x="1422"/>
        <item x="1557"/>
        <item x="1455"/>
        <item x="1338"/>
        <item x="1384"/>
        <item x="1239"/>
        <item x="1247"/>
        <item x="353"/>
        <item x="1022"/>
        <item x="643"/>
        <item x="1427"/>
        <item x="1428"/>
        <item x="794"/>
        <item x="1279"/>
        <item x="935"/>
        <item x="940"/>
        <item x="947"/>
        <item x="354"/>
        <item x="359"/>
        <item x="492"/>
        <item x="800"/>
        <item x="802"/>
        <item x="804"/>
        <item x="358"/>
        <item x="1481"/>
        <item x="362"/>
        <item x="497"/>
        <item x="365"/>
        <item x="500"/>
        <item x="211"/>
        <item x="1382"/>
        <item x="372"/>
        <item x="1563"/>
        <item x="1432"/>
        <item x="830"/>
        <item x="375"/>
        <item x="1477"/>
        <item x="1570"/>
        <item x="1566"/>
        <item x="1517"/>
        <item x="1233"/>
        <item x="1225"/>
        <item x="142"/>
        <item x="1434"/>
        <item x="816"/>
        <item x="952"/>
        <item x="1438"/>
        <item x="1304"/>
        <item x="369"/>
        <item x="556"/>
        <item x="1332"/>
        <item x="808"/>
        <item x="1540"/>
        <item x="839"/>
        <item x="757"/>
        <item x="652"/>
        <item x="744"/>
        <item x="1333"/>
        <item x="812"/>
        <item x="405"/>
        <item x="435"/>
        <item x="539"/>
        <item x="254"/>
        <item x="1005"/>
        <item x="803"/>
        <item x="325"/>
        <item x="504"/>
        <item x="512"/>
        <item x="1632"/>
        <item x="1651"/>
        <item x="1658"/>
        <item x="1650"/>
        <item x="1639"/>
        <item x="1616"/>
        <item x="1643"/>
        <item x="1662"/>
        <item x="507"/>
        <item x="1160"/>
        <item x="1638"/>
        <item x="478"/>
        <item x="1634"/>
        <item x="1219"/>
        <item x="1648"/>
        <item x="1654"/>
        <item x="1609"/>
        <item x="906"/>
        <item x="932"/>
        <item x="660"/>
        <item x="665"/>
        <item x="1045"/>
        <item x="957"/>
        <item x="1175"/>
        <item x="561"/>
        <item x="546"/>
        <item x="1653"/>
        <item x="1661"/>
        <item x="80"/>
        <item x="1392"/>
        <item x="366"/>
        <item x="462"/>
        <item x="620"/>
        <item x="669"/>
        <item x="47"/>
        <item x="317"/>
        <item x="668"/>
        <item x="749"/>
        <item x="817"/>
        <item x="1032"/>
        <item x="838"/>
        <item x="1668"/>
        <item x="807"/>
        <item x="1441"/>
        <item x="1442"/>
        <item x="71"/>
        <item x="72"/>
        <item x="168"/>
        <item x="896"/>
        <item x="526"/>
        <item x="962"/>
        <item x="1310"/>
        <item x="921"/>
        <item x="516"/>
        <item x="521"/>
        <item x="378"/>
        <item x="294"/>
        <item x="193"/>
        <item x="1264"/>
        <item x="929"/>
        <item x="825"/>
        <item x="1660"/>
        <item x="898"/>
        <item x="980"/>
        <item x="1037"/>
        <item x="1246"/>
        <item x="1134"/>
        <item x="1451"/>
        <item x="1450"/>
        <item x="1280"/>
        <item x="1350"/>
        <item x="1446"/>
        <item x="675"/>
        <item x="1573"/>
        <item x="428"/>
        <item x="387"/>
        <item x="741"/>
        <item x="1306"/>
        <item x="1388"/>
        <item x="1529"/>
        <item x="1565"/>
        <item x="1115"/>
        <item x="340"/>
        <item x="723"/>
        <item x="681"/>
        <item x="584"/>
        <item x="903"/>
        <item x="68"/>
        <item x="18"/>
        <item x="653"/>
        <item x="1401"/>
        <item x="4"/>
        <item x="1114"/>
        <item x="771"/>
        <item x="1423"/>
        <item x="1331"/>
        <item x="164"/>
        <item x="16"/>
        <item x="1263"/>
        <item x="1590"/>
        <item x="1525"/>
        <item x="882"/>
        <item x="1270"/>
        <item x="667"/>
        <item x="605"/>
        <item x="527"/>
        <item x="95"/>
        <item x="1272"/>
        <item x="144"/>
        <item x="1187"/>
        <item x="1146"/>
        <item x="805"/>
        <item x="841"/>
        <item x="694"/>
        <item x="313"/>
        <item x="1010"/>
        <item x="776"/>
        <item x="501"/>
        <item x="225"/>
        <item x="1081"/>
        <item x="644"/>
        <item x="94"/>
        <item x="1404"/>
        <item x="511"/>
        <item x="78"/>
        <item x="1420"/>
        <item x="730"/>
        <item x="262"/>
        <item x="36"/>
        <item x="46"/>
        <item x="62"/>
        <item x="60"/>
        <item x="1108"/>
        <item x="1109"/>
        <item x="1293"/>
        <item x="1244"/>
        <item x="1335"/>
        <item x="390"/>
        <item x="443"/>
        <item x="927"/>
        <item x="217"/>
        <item x="1341"/>
        <item x="742"/>
        <item x="40"/>
        <item x="22"/>
        <item x="1197"/>
        <item x="1397"/>
        <item x="2"/>
        <item x="297"/>
        <item x="165"/>
        <item x="931"/>
        <item x="28"/>
        <item x="303"/>
        <item x="406"/>
        <item x="197"/>
        <item x="1181"/>
        <item x="493"/>
        <item x="1644"/>
        <item x="90"/>
        <item x="132"/>
        <item x="104"/>
        <item x="141"/>
        <item x="657"/>
        <item x="1017"/>
        <item x="85"/>
        <item x="989"/>
        <item x="135"/>
        <item x="75"/>
        <item x="1633"/>
        <item x="1659"/>
        <item x="1011"/>
        <item x="115"/>
        <item x="223"/>
        <item x="419"/>
        <item x="499"/>
        <item x="1646"/>
        <item x="1021"/>
        <item x="1087"/>
        <item x="106"/>
        <item x="329"/>
        <item x="204"/>
        <item x="1453"/>
        <item x="847"/>
        <item x="1359"/>
        <item x="1342"/>
        <item x="704"/>
        <item x="1110"/>
        <item x="1149"/>
        <item x="1106"/>
        <item x="937"/>
        <item x="1430"/>
        <item x="344"/>
        <item x="1407"/>
        <item x="1413"/>
        <item x="1459"/>
        <item x="1294"/>
        <item x="127"/>
        <item x="974"/>
        <item x="363"/>
        <item x="220"/>
        <item x="1155"/>
        <item x="691"/>
        <item x="1652"/>
        <item x="481"/>
        <item x="1411"/>
        <item x="1390"/>
        <item x="760"/>
        <item x="451"/>
        <item x="491"/>
        <item x="444"/>
        <item x="275"/>
        <item x="1162"/>
        <item x="1161"/>
        <item x="859"/>
        <item x="855"/>
        <item x="656"/>
        <item x="824"/>
        <item x="280"/>
        <item x="1501"/>
        <item x="1567"/>
        <item x="1320"/>
        <item x="850"/>
        <item x="1496"/>
        <item x="718"/>
        <item x="14"/>
        <item x="373"/>
        <item x="1302"/>
        <item x="1358"/>
        <item x="1363"/>
        <item x="1249"/>
        <item x="953"/>
        <item x="1569"/>
        <item x="82"/>
        <item x="1367"/>
        <item x="1373"/>
        <item x="993"/>
        <item x="412"/>
        <item x="431"/>
        <item x="1216"/>
        <item x="1224"/>
        <item x="1004"/>
        <item x="542"/>
        <item x="1001"/>
        <item x="853"/>
        <item x="307"/>
        <item x="477"/>
        <item x="699"/>
        <item x="183"/>
        <item x="1091"/>
        <item x="1211"/>
        <item x="195"/>
        <item x="622"/>
        <item x="465"/>
        <item x="779"/>
        <item x="489"/>
        <item x="138"/>
        <item x="155"/>
        <item x="1178"/>
        <item x="1669"/>
        <item x="229"/>
        <item x="878"/>
        <item x="1172"/>
        <item x="355"/>
        <item x="687"/>
        <item x="611"/>
        <item x="274"/>
        <item x="1376"/>
        <item x="924"/>
        <item x="1100"/>
        <item x="328"/>
        <item x="190"/>
        <item x="233"/>
        <item x="178"/>
        <item x="200"/>
        <item x="774"/>
        <item x="469"/>
        <item x="454"/>
        <item x="522"/>
        <item x="795"/>
        <item x="1024"/>
        <item x="483"/>
        <item x="350"/>
        <item x="206"/>
        <item x="1587"/>
        <item x="1007"/>
        <item x="1072"/>
        <item x="1594"/>
        <item x="832"/>
        <item x="934"/>
        <item x="364"/>
        <item x="725"/>
        <item x="679"/>
        <item x="964"/>
        <item x="92"/>
        <item x="475"/>
        <item x="594"/>
        <item x="1578"/>
        <item x="1343"/>
        <item x="175"/>
        <item x="1378"/>
        <item x="1399"/>
        <item x="879"/>
        <item x="1630"/>
        <item x="658"/>
        <item x="1206"/>
        <item x="1589"/>
        <item x="222"/>
        <item x="105"/>
        <item x="1507"/>
        <item x="1553"/>
        <item x="811"/>
        <item x="820"/>
        <item x="1606"/>
        <item x="686"/>
        <item x="1130"/>
        <item x="951"/>
        <item x="486"/>
        <item x="1064"/>
        <item x="1102"/>
        <item x="743"/>
        <item x="1457"/>
        <item x="1463"/>
        <item x="968"/>
        <item x="969"/>
        <item x="973"/>
        <item x="49"/>
        <item x="531"/>
        <item x="1673"/>
        <item x="1156"/>
        <item x="498"/>
        <item x="752"/>
        <item x="1452"/>
        <item x="1666"/>
        <item x="1291"/>
        <item x="1425"/>
        <item x="1334"/>
        <item x="1582"/>
        <item x="1503"/>
        <item x="534"/>
        <item x="541"/>
        <item x="299"/>
        <item x="374"/>
        <item x="1591"/>
        <item x="1464"/>
        <item x="834"/>
        <item x="787"/>
        <item x="950"/>
        <item x="784"/>
        <item x="862"/>
        <item x="783"/>
        <item x="1317"/>
        <item x="572"/>
        <item x="840"/>
        <item x="843"/>
        <item x="1534"/>
        <item x="1546"/>
        <item x="1523"/>
        <item x="1198"/>
        <item x="1228"/>
        <item x="1006"/>
        <item x="1468"/>
        <item x="1615"/>
        <item x="1325"/>
        <item x="548"/>
        <item x="552"/>
        <item x="385"/>
        <item x="284"/>
        <item x="1221"/>
        <item x="1586"/>
        <item x="748"/>
        <item x="780"/>
        <item x="457"/>
        <item x="1575"/>
        <item x="823"/>
        <item x="396"/>
        <item x="1558"/>
        <item x="245"/>
        <item x="645"/>
        <item x="234"/>
        <item x="1672"/>
        <item x="1070"/>
        <item x="1029"/>
        <item x="257"/>
        <item x="167"/>
        <item x="91"/>
        <item x="1237"/>
        <item x="790"/>
        <item x="1406"/>
        <item x="452"/>
        <item x="520"/>
        <item x="708"/>
        <item x="966"/>
        <item x="557"/>
        <item x="716"/>
        <item x="1179"/>
        <item x="690"/>
        <item x="560"/>
        <item x="230"/>
        <item x="51"/>
        <item x="53"/>
        <item x="54"/>
        <item x="976"/>
        <item x="55"/>
        <item x="56"/>
        <item x="1078"/>
        <item x="609"/>
        <item x="524"/>
        <item x="634"/>
        <item x="772"/>
        <item x="455"/>
        <item x="160"/>
        <item x="87"/>
        <item x="148"/>
        <item x="655"/>
      </items>
    </pivotField>
    <pivotField compact="0" outline="0" showAll="0"/>
    <pivotField compact="0" outline="0" showAll="0"/>
    <pivotField axis="axisPage" compact="0" outline="0" multipleItemSelectionAllowed="1" showAll="0">
      <items count="17">
        <item x="1"/>
        <item h="1" x="2"/>
        <item h="1" x="3"/>
        <item h="1" x="4"/>
        <item h="1" x="5"/>
        <item h="1" x="6"/>
        <item h="1" x="7"/>
        <item h="1" x="8"/>
        <item h="1" x="9"/>
        <item h="1" x="10"/>
        <item h="1" x="11"/>
        <item h="1" x="12"/>
        <item h="1" x="13"/>
        <item h="1" x="14"/>
        <item h="1" x="15"/>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38">
        <item x="2"/>
        <item x="81"/>
        <item x="1"/>
        <item x="249"/>
        <item x="223"/>
        <item x="28"/>
        <item x="224"/>
        <item x="82"/>
        <item x="29"/>
        <item x="165"/>
        <item x="195"/>
        <item x="166"/>
        <item x="83"/>
        <item x="84"/>
        <item x="250"/>
        <item x="3"/>
        <item x="41"/>
        <item x="196"/>
        <item x="85"/>
        <item x="30"/>
        <item x="167"/>
        <item x="42"/>
        <item x="322"/>
        <item x="251"/>
        <item x="86"/>
        <item x="252"/>
        <item x="4"/>
        <item x="253"/>
        <item x="168"/>
        <item x="5"/>
        <item x="43"/>
        <item x="87"/>
        <item x="44"/>
        <item x="45"/>
        <item x="46"/>
        <item x="31"/>
        <item x="169"/>
        <item x="254"/>
        <item x="225"/>
        <item x="47"/>
        <item x="197"/>
        <item x="198"/>
        <item x="199"/>
        <item x="226"/>
        <item x="227"/>
        <item x="228"/>
        <item x="229"/>
        <item x="230"/>
        <item x="48"/>
        <item x="200"/>
        <item x="201"/>
        <item x="49"/>
        <item x="50"/>
        <item x="51"/>
        <item x="52"/>
        <item x="53"/>
        <item x="170"/>
        <item x="171"/>
        <item x="54"/>
        <item x="55"/>
        <item x="172"/>
        <item x="173"/>
        <item x="137"/>
        <item x="174"/>
        <item x="6"/>
        <item x="255"/>
        <item x="256"/>
        <item x="231"/>
        <item x="138"/>
        <item x="7"/>
        <item x="257"/>
        <item x="175"/>
        <item x="139"/>
        <item x="140"/>
        <item x="232"/>
        <item x="258"/>
        <item x="259"/>
        <item x="141"/>
        <item x="142"/>
        <item x="260"/>
        <item x="32"/>
        <item x="203"/>
        <item x="56"/>
        <item x="261"/>
        <item x="176"/>
        <item x="262"/>
        <item x="233"/>
        <item x="143"/>
        <item x="298"/>
        <item x="299"/>
        <item x="177"/>
        <item x="263"/>
        <item x="300"/>
        <item x="204"/>
        <item x="205"/>
        <item x="144"/>
        <item x="57"/>
        <item x="8"/>
        <item x="206"/>
        <item x="207"/>
        <item x="301"/>
        <item x="145"/>
        <item x="302"/>
        <item x="264"/>
        <item x="234"/>
        <item x="235"/>
        <item x="236"/>
        <item x="33"/>
        <item x="58"/>
        <item x="237"/>
        <item x="321"/>
        <item x="178"/>
        <item x="9"/>
        <item x="88"/>
        <item x="303"/>
        <item x="10"/>
        <item x="265"/>
        <item x="179"/>
        <item x="208"/>
        <item x="59"/>
        <item x="323"/>
        <item x="146"/>
        <item x="324"/>
        <item x="147"/>
        <item x="238"/>
        <item x="304"/>
        <item x="305"/>
        <item x="266"/>
        <item x="89"/>
        <item x="306"/>
        <item x="209"/>
        <item x="60"/>
        <item x="180"/>
        <item x="210"/>
        <item x="211"/>
        <item x="239"/>
        <item x="62"/>
        <item x="61"/>
        <item x="90"/>
        <item x="267"/>
        <item x="115"/>
        <item x="268"/>
        <item x="212"/>
        <item x="63"/>
        <item x="325"/>
        <item x="64"/>
        <item x="326"/>
        <item x="327"/>
        <item x="240"/>
        <item x="91"/>
        <item x="241"/>
        <item x="213"/>
        <item x="148"/>
        <item x="149"/>
        <item x="269"/>
        <item x="214"/>
        <item x="270"/>
        <item x="215"/>
        <item x="242"/>
        <item x="116"/>
        <item x="150"/>
        <item x="181"/>
        <item x="117"/>
        <item x="92"/>
        <item x="65"/>
        <item x="243"/>
        <item x="216"/>
        <item x="271"/>
        <item x="11"/>
        <item x="151"/>
        <item x="118"/>
        <item x="93"/>
        <item x="35"/>
        <item x="217"/>
        <item x="36"/>
        <item x="328"/>
        <item x="119"/>
        <item x="66"/>
        <item x="34"/>
        <item x="307"/>
        <item x="272"/>
        <item x="12"/>
        <item x="308"/>
        <item x="67"/>
        <item x="309"/>
        <item x="94"/>
        <item x="95"/>
        <item x="96"/>
        <item x="37"/>
        <item x="13"/>
        <item x="14"/>
        <item x="15"/>
        <item x="16"/>
        <item x="17"/>
        <item x="120"/>
        <item x="68"/>
        <item x="18"/>
        <item x="121"/>
        <item x="20"/>
        <item x="19"/>
        <item x="21"/>
        <item x="69"/>
        <item x="22"/>
        <item x="273"/>
        <item x="38"/>
        <item x="122"/>
        <item x="23"/>
        <item x="244"/>
        <item x="245"/>
        <item x="246"/>
        <item x="70"/>
        <item x="97"/>
        <item x="152"/>
        <item x="310"/>
        <item x="247"/>
        <item x="311"/>
        <item x="274"/>
        <item x="248"/>
        <item x="275"/>
        <item x="182"/>
        <item x="183"/>
        <item x="71"/>
        <item x="184"/>
        <item x="72"/>
        <item x="185"/>
        <item x="186"/>
        <item x="276"/>
        <item x="312"/>
        <item x="218"/>
        <item x="277"/>
        <item x="39"/>
        <item x="219"/>
        <item x="123"/>
        <item x="73"/>
        <item x="153"/>
        <item x="313"/>
        <item x="314"/>
        <item x="98"/>
        <item x="99"/>
        <item x="100"/>
        <item x="154"/>
        <item x="278"/>
        <item x="220"/>
        <item x="124"/>
        <item x="125"/>
        <item x="222"/>
        <item x="126"/>
        <item x="221"/>
        <item x="40"/>
        <item x="279"/>
        <item x="280"/>
        <item x="281"/>
        <item x="74"/>
        <item x="282"/>
        <item x="283"/>
        <item x="75"/>
        <item x="284"/>
        <item x="285"/>
        <item x="286"/>
        <item x="76"/>
        <item x="287"/>
        <item x="288"/>
        <item x="315"/>
        <item x="127"/>
        <item x="289"/>
        <item x="155"/>
        <item x="187"/>
        <item x="188"/>
        <item x="189"/>
        <item x="77"/>
        <item x="128"/>
        <item x="78"/>
        <item x="101"/>
        <item x="156"/>
        <item x="157"/>
        <item x="79"/>
        <item x="102"/>
        <item x="103"/>
        <item x="80"/>
        <item x="316"/>
        <item x="290"/>
        <item x="317"/>
        <item x="291"/>
        <item x="190"/>
        <item x="292"/>
        <item x="158"/>
        <item x="129"/>
        <item x="159"/>
        <item x="104"/>
        <item x="105"/>
        <item x="332"/>
        <item x="333"/>
        <item x="329"/>
        <item x="330"/>
        <item x="331"/>
        <item x="334"/>
        <item x="130"/>
        <item x="131"/>
        <item x="191"/>
        <item x="132"/>
        <item x="24"/>
        <item x="160"/>
        <item x="335"/>
        <item x="293"/>
        <item x="192"/>
        <item x="106"/>
        <item x="107"/>
        <item x="294"/>
        <item x="133"/>
        <item x="318"/>
        <item x="134"/>
        <item x="319"/>
        <item x="161"/>
        <item x="135"/>
        <item x="295"/>
        <item x="193"/>
        <item x="194"/>
        <item x="108"/>
        <item x="336"/>
        <item x="109"/>
        <item x="110"/>
        <item x="296"/>
        <item x="162"/>
        <item x="164"/>
        <item x="163"/>
        <item x="202"/>
        <item x="297"/>
        <item x="111"/>
        <item x="112"/>
        <item x="320"/>
        <item x="113"/>
        <item x="136"/>
        <item x="25"/>
        <item x="114"/>
        <item x="26"/>
        <item x="27"/>
        <item x="0"/>
        <item t="default"/>
      </items>
    </pivotField>
  </pivotFields>
  <rowFields count="3">
    <field x="0"/>
    <field x="1"/>
    <field x="20"/>
  </rowFields>
  <rowItems count="336">
    <i>
      <x/>
      <x v="131"/>
      <x v="4"/>
    </i>
    <i r="1">
      <x v="133"/>
      <x v="6"/>
    </i>
    <i r="1">
      <x v="339"/>
      <x v="38"/>
    </i>
    <i r="1">
      <x v="354"/>
      <x v="43"/>
    </i>
    <i r="1">
      <x v="355"/>
      <x v="44"/>
    </i>
    <i r="1">
      <x v="356"/>
      <x v="45"/>
    </i>
    <i r="1">
      <x v="357"/>
      <x v="46"/>
    </i>
    <i r="1">
      <x v="361"/>
      <x v="47"/>
    </i>
    <i r="1">
      <x v="458"/>
      <x v="67"/>
    </i>
    <i r="1">
      <x v="523"/>
      <x v="74"/>
    </i>
    <i r="1">
      <x v="585"/>
      <x v="86"/>
    </i>
    <i r="1">
      <x v="687"/>
      <x v="104"/>
    </i>
    <i r="1">
      <x v="690"/>
      <x v="105"/>
    </i>
    <i r="1">
      <x v="691"/>
      <x v="106"/>
    </i>
    <i r="1">
      <x v="707"/>
      <x v="109"/>
    </i>
    <i r="1">
      <x v="749"/>
      <x v="124"/>
    </i>
    <i r="1">
      <x v="799"/>
      <x v="135"/>
    </i>
    <i r="1">
      <x v="840"/>
      <x v="148"/>
    </i>
    <i r="1">
      <x v="842"/>
      <x v="150"/>
    </i>
    <i r="1">
      <x v="917"/>
      <x v="158"/>
    </i>
    <i r="1">
      <x v="932"/>
      <x v="165"/>
    </i>
    <i r="1">
      <x v="1046"/>
      <x v="207"/>
    </i>
    <i r="1">
      <x v="1048"/>
      <x v="208"/>
    </i>
    <i r="1">
      <x v="1049"/>
      <x v="209"/>
    </i>
    <i r="1">
      <x v="1086"/>
      <x v="214"/>
    </i>
    <i r="1">
      <x v="1092"/>
      <x v="217"/>
    </i>
    <i>
      <x v="1"/>
      <x v="426"/>
      <x v="62"/>
    </i>
    <i r="1">
      <x v="472"/>
      <x v="68"/>
    </i>
    <i r="1">
      <x v="494"/>
      <x v="72"/>
    </i>
    <i r="1">
      <x v="516"/>
      <x v="73"/>
    </i>
    <i r="1">
      <x v="538"/>
      <x v="77"/>
    </i>
    <i r="1">
      <x v="540"/>
      <x v="78"/>
    </i>
    <i r="1">
      <x v="591"/>
      <x v="87"/>
    </i>
    <i r="1">
      <x v="625"/>
      <x v="95"/>
    </i>
    <i r="1">
      <x v="684"/>
      <x v="101"/>
    </i>
    <i r="1">
      <x v="741"/>
      <x v="121"/>
    </i>
    <i r="1">
      <x v="748"/>
      <x v="123"/>
    </i>
    <i r="1">
      <x v="872"/>
      <x v="152"/>
    </i>
    <i r="1">
      <x v="886"/>
      <x v="153"/>
    </i>
    <i r="1">
      <x v="918"/>
      <x v="159"/>
    </i>
    <i r="1">
      <x v="919"/>
      <x v="160"/>
    </i>
    <i r="1">
      <x v="921"/>
      <x v="162"/>
    </i>
    <i r="1">
      <x v="946"/>
      <x v="169"/>
    </i>
    <i r="1">
      <x v="949"/>
      <x v="170"/>
    </i>
    <i r="1">
      <x v="963"/>
      <x v="176"/>
    </i>
    <i r="1">
      <x v="1017"/>
      <x v="194"/>
    </i>
    <i r="1">
      <x v="1023"/>
      <x v="197"/>
    </i>
    <i r="1">
      <x v="1044"/>
      <x v="205"/>
    </i>
    <i r="1">
      <x v="1062"/>
      <x v="212"/>
    </i>
    <i r="1">
      <x v="1123"/>
      <x v="232"/>
    </i>
    <i r="1">
      <x v="1126"/>
      <x v="234"/>
    </i>
    <i r="1">
      <x v="1147"/>
      <x v="240"/>
    </i>
    <i r="1">
      <x v="1153"/>
      <x v="243"/>
    </i>
    <i r="1">
      <x v="1154"/>
      <x v="244"/>
    </i>
    <i r="1">
      <x v="1157"/>
      <x v="246"/>
    </i>
    <i r="1">
      <x v="1201"/>
      <x v="263"/>
    </i>
    <i r="1">
      <x v="1204"/>
      <x v="265"/>
    </i>
    <i r="1">
      <x v="1210"/>
      <x v="270"/>
    </i>
    <i r="1">
      <x v="1212"/>
      <x v="273"/>
    </i>
    <i r="1">
      <x v="1214"/>
      <x v="274"/>
    </i>
    <i r="1">
      <x v="1243"/>
      <x v="285"/>
    </i>
    <i r="1">
      <x v="1247"/>
      <x v="286"/>
    </i>
    <i r="1">
      <x v="1250"/>
      <x v="287"/>
    </i>
    <i r="1">
      <x v="1279"/>
      <x v="296"/>
    </i>
    <i r="1">
      <x v="1280"/>
      <x v="297"/>
    </i>
    <i r="1">
      <x v="1293"/>
      <x v="299"/>
    </i>
    <i r="1">
      <x v="1298"/>
      <x v="301"/>
    </i>
    <i r="1">
      <x v="1332"/>
      <x v="308"/>
    </i>
    <i r="1">
      <x v="1551"/>
      <x v="310"/>
    </i>
    <i r="1">
      <x v="1571"/>
      <x v="312"/>
    </i>
    <i r="1">
      <x v="1573"/>
      <x v="313"/>
    </i>
    <i r="1">
      <x v="1604"/>
      <x v="322"/>
    </i>
    <i r="1">
      <x v="1612"/>
      <x v="324"/>
    </i>
    <i r="1">
      <x v="1613"/>
      <x v="323"/>
    </i>
    <i r="1">
      <x v="1655"/>
      <x v="331"/>
    </i>
    <i>
      <x v="2"/>
      <x v="248"/>
      <x v="16"/>
    </i>
    <i r="1">
      <x v="286"/>
      <x v="21"/>
    </i>
    <i r="1">
      <x v="323"/>
      <x v="30"/>
    </i>
    <i r="1">
      <x v="324"/>
      <x v="32"/>
    </i>
    <i r="1">
      <x v="325"/>
      <x v="33"/>
    </i>
    <i r="1">
      <x v="326"/>
      <x v="34"/>
    </i>
    <i r="1">
      <x v="345"/>
      <x v="39"/>
    </i>
    <i r="1">
      <x v="361"/>
      <x v="48"/>
    </i>
    <i r="1">
      <x v="392"/>
      <x v="51"/>
    </i>
    <i r="1">
      <x v="393"/>
      <x v="52"/>
    </i>
    <i r="1">
      <x v="394"/>
      <x v="53"/>
    </i>
    <i r="1">
      <x v="395"/>
      <x v="54"/>
    </i>
    <i r="1">
      <x v="402"/>
      <x v="55"/>
    </i>
    <i r="1">
      <x v="417"/>
      <x v="58"/>
    </i>
    <i r="1">
      <x v="418"/>
      <x v="59"/>
    </i>
    <i r="1">
      <x v="574"/>
      <x v="82"/>
    </i>
    <i r="1">
      <x v="626"/>
      <x v="96"/>
    </i>
    <i r="1">
      <x v="704"/>
      <x v="108"/>
    </i>
    <i r="1">
      <x v="729"/>
      <x v="119"/>
    </i>
    <i r="1">
      <x v="788"/>
      <x v="131"/>
    </i>
    <i r="1">
      <x v="808"/>
      <x v="137"/>
    </i>
    <i r="1">
      <x v="809"/>
      <x v="136"/>
    </i>
    <i r="1">
      <x v="826"/>
      <x v="143"/>
    </i>
    <i r="1">
      <x v="835"/>
      <x v="145"/>
    </i>
    <i r="1">
      <x v="927"/>
      <x v="164"/>
    </i>
    <i r="1">
      <x v="967"/>
      <x v="177"/>
    </i>
    <i r="1">
      <x v="989"/>
      <x v="183"/>
    </i>
    <i r="1">
      <x v="1019"/>
      <x v="195"/>
    </i>
    <i r="1">
      <x v="1034"/>
      <x v="201"/>
    </i>
    <i r="1">
      <x v="1054"/>
      <x v="210"/>
    </i>
    <i r="1">
      <x v="1096"/>
      <x v="221"/>
    </i>
    <i r="1">
      <x v="1097"/>
      <x v="223"/>
    </i>
    <i r="1">
      <x v="1126"/>
      <x v="233"/>
    </i>
    <i r="1">
      <x v="1182"/>
      <x v="252"/>
    </i>
    <i r="1">
      <x v="1187"/>
      <x v="255"/>
    </i>
    <i r="1">
      <x v="1190"/>
      <x v="259"/>
    </i>
    <i r="1">
      <x v="1209"/>
      <x v="269"/>
    </i>
    <i r="1">
      <x v="1210"/>
      <x v="271"/>
    </i>
    <i r="1">
      <x v="1217"/>
      <x v="275"/>
    </i>
    <i r="1">
      <x v="1223"/>
      <x v="278"/>
    </i>
    <i>
      <x v="3"/>
      <x v="35"/>
      <x v="2"/>
    </i>
    <i r="1">
      <x v="229"/>
      <x v="15"/>
    </i>
    <i r="1">
      <x v="300"/>
      <x v="26"/>
    </i>
    <i r="1">
      <x v="321"/>
      <x v="29"/>
    </i>
    <i r="1">
      <x v="446"/>
      <x v="64"/>
    </i>
    <i r="1">
      <x v="475"/>
      <x v="69"/>
    </i>
    <i r="1">
      <x v="629"/>
      <x v="97"/>
    </i>
    <i r="1">
      <x v="715"/>
      <x v="112"/>
    </i>
    <i r="1">
      <x v="720"/>
      <x v="115"/>
    </i>
    <i r="1">
      <x v="943"/>
      <x v="168"/>
    </i>
    <i r="1">
      <x v="980"/>
      <x v="181"/>
    </i>
    <i r="1">
      <x v="1002"/>
      <x v="189"/>
    </i>
    <i r="1">
      <x v="1005"/>
      <x v="190"/>
    </i>
    <i r="1">
      <x v="1006"/>
      <x v="191"/>
    </i>
    <i r="1">
      <x v="1012"/>
      <x v="192"/>
    </i>
    <i r="1">
      <x v="1015"/>
      <x v="193"/>
    </i>
    <i r="1">
      <x v="1022"/>
      <x v="196"/>
    </i>
    <i r="1">
      <x v="1030"/>
      <x v="198"/>
    </i>
    <i r="1">
      <x v="1032"/>
      <x v="199"/>
    </i>
    <i r="1">
      <x v="1033"/>
      <x v="200"/>
    </i>
    <i r="1">
      <x v="1035"/>
      <x v="202"/>
    </i>
    <i r="1">
      <x v="1045"/>
      <x v="206"/>
    </i>
    <i r="1">
      <x v="1294"/>
      <x v="300"/>
    </i>
    <i r="1">
      <x v="1658"/>
      <x v="332"/>
    </i>
    <i r="1">
      <x v="1659"/>
      <x v="334"/>
    </i>
    <i r="1">
      <x v="1662"/>
      <x v="335"/>
    </i>
    <i>
      <x v="4"/>
      <x v="133"/>
      <x v="5"/>
    </i>
    <i r="1">
      <x v="135"/>
      <x v="8"/>
    </i>
    <i r="1">
      <x v="262"/>
      <x v="19"/>
    </i>
    <i r="1">
      <x v="336"/>
      <x v="35"/>
    </i>
    <i r="1">
      <x v="572"/>
      <x v="80"/>
    </i>
    <i r="1">
      <x v="697"/>
      <x v="107"/>
    </i>
    <i r="1">
      <x v="952"/>
      <x v="172"/>
    </i>
    <i r="1">
      <x v="957"/>
      <x v="174"/>
    </i>
    <i r="1">
      <x v="970"/>
      <x v="178"/>
    </i>
    <i r="1">
      <x v="999"/>
      <x v="188"/>
    </i>
    <i r="1">
      <x v="1039"/>
      <x v="204"/>
    </i>
    <i r="1">
      <x v="1122"/>
      <x v="230"/>
    </i>
    <i r="1">
      <x v="1174"/>
      <x v="248"/>
    </i>
    <i>
      <x v="5"/>
      <x v="140"/>
      <x v="9"/>
    </i>
    <i r="1">
      <x v="150"/>
      <x v="11"/>
    </i>
    <i r="1">
      <x v="285"/>
      <x v="20"/>
    </i>
    <i r="1">
      <x v="315"/>
      <x v="28"/>
    </i>
    <i r="1">
      <x v="337"/>
      <x v="36"/>
    </i>
    <i r="1">
      <x v="410"/>
      <x v="56"/>
    </i>
    <i r="1">
      <x v="411"/>
      <x v="57"/>
    </i>
    <i r="1">
      <x v="420"/>
      <x v="60"/>
    </i>
    <i r="1">
      <x v="421"/>
      <x v="61"/>
    </i>
    <i r="1">
      <x v="428"/>
      <x v="63"/>
    </i>
    <i r="1">
      <x v="483"/>
      <x v="71"/>
    </i>
    <i r="1">
      <x v="579"/>
      <x v="84"/>
    </i>
    <i r="1">
      <x v="595"/>
      <x v="90"/>
    </i>
    <i r="1">
      <x v="713"/>
      <x v="111"/>
    </i>
    <i r="1">
      <x v="727"/>
      <x v="117"/>
    </i>
    <i r="1">
      <x v="789"/>
      <x v="132"/>
    </i>
    <i r="1">
      <x v="920"/>
      <x v="161"/>
    </i>
    <i r="1">
      <x v="1094"/>
      <x v="219"/>
    </i>
    <i r="1">
      <x v="1095"/>
      <x v="220"/>
    </i>
    <i r="1">
      <x v="1097"/>
      <x v="222"/>
    </i>
    <i r="1">
      <x v="1098"/>
      <x v="224"/>
    </i>
    <i r="1">
      <x v="1099"/>
      <x v="225"/>
    </i>
    <i r="1">
      <x v="1206"/>
      <x v="266"/>
    </i>
    <i r="1">
      <x v="1207"/>
      <x v="267"/>
    </i>
    <i r="1">
      <x v="1208"/>
      <x v="268"/>
    </i>
    <i r="1">
      <x v="1237"/>
      <x v="283"/>
    </i>
    <i r="1">
      <x v="1282"/>
      <x v="298"/>
    </i>
    <i r="1">
      <x v="1310"/>
      <x v="304"/>
    </i>
    <i r="1">
      <x v="1582"/>
      <x v="315"/>
    </i>
    <i r="1">
      <x v="1584"/>
      <x v="316"/>
    </i>
    <i>
      <x v="6"/>
      <x v="144"/>
      <x v="10"/>
    </i>
    <i r="1">
      <x v="257"/>
      <x v="17"/>
    </i>
    <i r="1">
      <x v="346"/>
      <x v="40"/>
    </i>
    <i r="1">
      <x v="347"/>
      <x v="41"/>
    </i>
    <i r="1">
      <x v="348"/>
      <x v="42"/>
    </i>
    <i r="1">
      <x v="365"/>
      <x v="49"/>
    </i>
    <i r="1">
      <x v="384"/>
      <x v="50"/>
    </i>
    <i r="1">
      <x v="572"/>
      <x v="81"/>
    </i>
    <i r="1">
      <x v="615"/>
      <x v="93"/>
    </i>
    <i r="1">
      <x v="616"/>
      <x v="94"/>
    </i>
    <i r="1">
      <x v="643"/>
      <x v="98"/>
    </i>
    <i r="1">
      <x v="644"/>
      <x v="99"/>
    </i>
    <i r="1">
      <x v="729"/>
      <x v="118"/>
    </i>
    <i r="1">
      <x v="785"/>
      <x v="130"/>
    </i>
    <i r="1">
      <x v="793"/>
      <x v="133"/>
    </i>
    <i r="1">
      <x v="794"/>
      <x v="134"/>
    </i>
    <i r="1">
      <x v="825"/>
      <x v="142"/>
    </i>
    <i r="1">
      <x v="843"/>
      <x v="151"/>
    </i>
    <i r="1">
      <x v="893"/>
      <x v="155"/>
    </i>
    <i r="1">
      <x v="907"/>
      <x v="157"/>
    </i>
    <i r="1">
      <x v="935"/>
      <x v="166"/>
    </i>
    <i r="1">
      <x v="954"/>
      <x v="173"/>
    </i>
    <i r="1">
      <x v="1108"/>
      <x v="228"/>
    </i>
    <i r="1">
      <x v="1122"/>
      <x v="231"/>
    </i>
    <i r="1">
      <x v="1153"/>
      <x v="242"/>
    </i>
    <i r="1">
      <x v="1155"/>
      <x v="245"/>
    </i>
    <i r="1">
      <x v="1168"/>
      <x v="247"/>
    </i>
    <i r="1">
      <x v="1619"/>
      <x v="325"/>
    </i>
    <i>
      <x v="7"/>
      <x v="122"/>
      <x v="3"/>
    </i>
    <i r="1">
      <x v="169"/>
      <x v="14"/>
    </i>
    <i r="1">
      <x v="293"/>
      <x v="23"/>
    </i>
    <i r="1">
      <x v="299"/>
      <x v="25"/>
    </i>
    <i r="1">
      <x v="311"/>
      <x v="27"/>
    </i>
    <i r="1">
      <x v="338"/>
      <x v="37"/>
    </i>
    <i r="1">
      <x v="450"/>
      <x v="65"/>
    </i>
    <i r="1">
      <x v="455"/>
      <x v="66"/>
    </i>
    <i r="1">
      <x v="480"/>
      <x v="70"/>
    </i>
    <i r="1">
      <x v="534"/>
      <x v="75"/>
    </i>
    <i r="1">
      <x v="536"/>
      <x v="76"/>
    </i>
    <i r="1">
      <x v="564"/>
      <x v="79"/>
    </i>
    <i r="1">
      <x v="575"/>
      <x v="83"/>
    </i>
    <i r="1">
      <x v="580"/>
      <x v="85"/>
    </i>
    <i r="1">
      <x v="592"/>
      <x v="88"/>
    </i>
    <i r="1">
      <x v="593"/>
      <x v="89"/>
    </i>
    <i r="1">
      <x v="596"/>
      <x v="91"/>
    </i>
    <i r="1">
      <x v="612"/>
      <x v="92"/>
    </i>
    <i r="1">
      <x v="683"/>
      <x v="100"/>
    </i>
    <i r="1">
      <x v="684"/>
      <x v="102"/>
    </i>
    <i r="1">
      <x v="686"/>
      <x v="103"/>
    </i>
    <i r="1">
      <x v="718"/>
      <x v="114"/>
    </i>
    <i r="1">
      <x v="726"/>
      <x v="116"/>
    </i>
    <i r="1">
      <x v="751"/>
      <x v="125"/>
    </i>
    <i r="1">
      <x v="752"/>
      <x v="126"/>
    </i>
    <i r="1">
      <x v="760"/>
      <x v="127"/>
    </i>
    <i r="1">
      <x v="765"/>
      <x v="129"/>
    </i>
    <i r="1">
      <x v="813"/>
      <x v="139"/>
    </i>
    <i r="1">
      <x v="821"/>
      <x v="141"/>
    </i>
    <i r="1">
      <x v="892"/>
      <x v="154"/>
    </i>
    <i r="1">
      <x v="902"/>
      <x v="156"/>
    </i>
    <i r="1">
      <x v="940"/>
      <x v="167"/>
    </i>
    <i r="1">
      <x v="973"/>
      <x v="179"/>
    </i>
    <i r="1">
      <x v="974"/>
      <x v="180"/>
    </i>
    <i r="1">
      <x v="989"/>
      <x v="182"/>
    </i>
    <i r="1">
      <x v="990"/>
      <x v="184"/>
    </i>
    <i r="1">
      <x v="1036"/>
      <x v="203"/>
    </i>
    <i r="1">
      <x v="1082"/>
      <x v="213"/>
    </i>
    <i r="1">
      <x v="1089"/>
      <x v="215"/>
    </i>
    <i r="1">
      <x v="1091"/>
      <x v="216"/>
    </i>
    <i r="1">
      <x v="1093"/>
      <x v="218"/>
    </i>
    <i r="1">
      <x v="1105"/>
      <x v="226"/>
    </i>
    <i r="1">
      <x v="1107"/>
      <x v="227"/>
    </i>
    <i r="1">
      <x v="1109"/>
      <x v="229"/>
    </i>
    <i r="1">
      <x v="1135"/>
      <x v="235"/>
    </i>
    <i r="1">
      <x v="1136"/>
      <x v="236"/>
    </i>
    <i r="1">
      <x v="1149"/>
      <x v="241"/>
    </i>
    <i r="1">
      <x v="1175"/>
      <x v="249"/>
    </i>
    <i r="1">
      <x v="1180"/>
      <x v="250"/>
    </i>
    <i r="1">
      <x v="1182"/>
      <x v="251"/>
    </i>
    <i r="1">
      <x v="1184"/>
      <x v="253"/>
    </i>
    <i r="1">
      <x v="1186"/>
      <x v="254"/>
    </i>
    <i r="1">
      <x v="1187"/>
      <x v="256"/>
    </i>
    <i r="1">
      <x v="1188"/>
      <x v="257"/>
    </i>
    <i r="1">
      <x v="1189"/>
      <x v="258"/>
    </i>
    <i r="1">
      <x v="1191"/>
      <x v="260"/>
    </i>
    <i r="1">
      <x v="1192"/>
      <x v="261"/>
    </i>
    <i r="1">
      <x v="1193"/>
      <x v="262"/>
    </i>
    <i r="1">
      <x v="1202"/>
      <x v="264"/>
    </i>
    <i r="1">
      <x v="1224"/>
      <x v="279"/>
    </i>
    <i r="1">
      <x v="1225"/>
      <x v="280"/>
    </i>
    <i r="1">
      <x v="1230"/>
      <x v="281"/>
    </i>
    <i r="1">
      <x v="1235"/>
      <x v="282"/>
    </i>
    <i r="1">
      <x v="1238"/>
      <x v="284"/>
    </i>
    <i r="1">
      <x v="1303"/>
      <x v="303"/>
    </i>
    <i r="1">
      <x v="1331"/>
      <x v="307"/>
    </i>
    <i r="1">
      <x v="1333"/>
      <x v="309"/>
    </i>
    <i r="1">
      <x v="1556"/>
      <x v="311"/>
    </i>
    <i r="1">
      <x v="1580"/>
      <x v="314"/>
    </i>
    <i r="1">
      <x v="1603"/>
      <x v="321"/>
    </i>
    <i r="1">
      <x v="1620"/>
      <x v="326"/>
    </i>
    <i r="1">
      <x v="1628"/>
      <x v="329"/>
    </i>
    <i>
      <x v="8"/>
      <x v="9"/>
      <x v="1"/>
    </i>
    <i r="1">
      <x v="134"/>
      <x v="7"/>
    </i>
    <i r="1">
      <x v="151"/>
      <x v="12"/>
    </i>
    <i r="1">
      <x v="168"/>
      <x v="13"/>
    </i>
    <i r="1">
      <x v="258"/>
      <x v="18"/>
    </i>
    <i r="1">
      <x v="293"/>
      <x v="24"/>
    </i>
    <i r="1">
      <x v="324"/>
      <x v="31"/>
    </i>
    <i r="1">
      <x v="717"/>
      <x v="113"/>
    </i>
    <i r="1">
      <x v="764"/>
      <x v="128"/>
    </i>
    <i r="1">
      <x v="811"/>
      <x v="138"/>
    </i>
    <i r="1">
      <x v="820"/>
      <x v="140"/>
    </i>
    <i r="1">
      <x v="841"/>
      <x v="149"/>
    </i>
    <i r="1">
      <x v="926"/>
      <x v="163"/>
    </i>
    <i r="1">
      <x v="951"/>
      <x v="171"/>
    </i>
    <i r="1">
      <x v="992"/>
      <x v="185"/>
    </i>
    <i r="1">
      <x v="993"/>
      <x v="186"/>
    </i>
    <i r="1">
      <x v="997"/>
      <x v="187"/>
    </i>
    <i r="1">
      <x v="1054"/>
      <x v="211"/>
    </i>
    <i r="1">
      <x v="1141"/>
      <x v="237"/>
    </i>
    <i r="1">
      <x v="1142"/>
      <x v="238"/>
    </i>
    <i r="1">
      <x v="1144"/>
      <x v="239"/>
    </i>
    <i r="1">
      <x v="1211"/>
      <x v="272"/>
    </i>
    <i r="1">
      <x v="1218"/>
      <x v="276"/>
    </i>
    <i r="1">
      <x v="1220"/>
      <x v="277"/>
    </i>
    <i r="1">
      <x v="1258"/>
      <x v="288"/>
    </i>
    <i r="1">
      <x v="1259"/>
      <x v="289"/>
    </i>
    <i r="1">
      <x v="1313"/>
      <x v="305"/>
    </i>
    <i r="1">
      <x v="1314"/>
      <x v="306"/>
    </i>
    <i r="1">
      <x v="1586"/>
      <x v="317"/>
    </i>
    <i r="1">
      <x v="1598"/>
      <x v="319"/>
    </i>
    <i r="1">
      <x v="1599"/>
      <x v="320"/>
    </i>
    <i r="1">
      <x v="1623"/>
      <x v="327"/>
    </i>
    <i r="1">
      <x v="1624"/>
      <x v="328"/>
    </i>
    <i r="1">
      <x v="1652"/>
      <x v="330"/>
    </i>
    <i r="1">
      <x v="1659"/>
      <x v="333"/>
    </i>
    <i>
      <x v="9"/>
      <x v="292"/>
      <x v="22"/>
    </i>
    <i r="1">
      <x v="708"/>
      <x v="110"/>
    </i>
    <i r="1">
      <x v="735"/>
      <x v="120"/>
    </i>
    <i r="1">
      <x v="746"/>
      <x v="122"/>
    </i>
    <i r="1">
      <x v="834"/>
      <x v="144"/>
    </i>
    <i r="1">
      <x v="836"/>
      <x v="146"/>
    </i>
    <i r="1">
      <x v="838"/>
      <x v="147"/>
    </i>
    <i r="1">
      <x v="961"/>
      <x v="175"/>
    </i>
    <i r="1">
      <x v="1260"/>
      <x v="292"/>
    </i>
    <i r="1">
      <x v="1261"/>
      <x v="290"/>
    </i>
    <i r="1">
      <x v="1262"/>
      <x v="291"/>
    </i>
    <i r="1">
      <x v="1264"/>
      <x v="293"/>
    </i>
    <i r="1">
      <x v="1266"/>
      <x v="294"/>
    </i>
    <i r="1">
      <x v="1267"/>
      <x v="295"/>
    </i>
    <i r="1">
      <x v="1301"/>
      <x v="302"/>
    </i>
    <i r="1">
      <x v="1587"/>
      <x v="318"/>
    </i>
    <i t="grand">
      <x/>
    </i>
  </rowItems>
  <colItems count="1">
    <i/>
  </colItems>
  <pageFields count="1">
    <pageField fld="4" hier="-1"/>
  </pageFields>
  <formats count="1760">
    <format dxfId="1992">
      <pivotArea type="all" dataOnly="0" outline="0" fieldPosition="0"/>
    </format>
    <format dxfId="1991">
      <pivotArea outline="0" collapsedLevelsAreSubtotals="1" fieldPosition="0"/>
    </format>
    <format dxfId="1990">
      <pivotArea type="origin" dataOnly="0" labelOnly="1" outline="0" fieldPosition="0"/>
    </format>
    <format dxfId="1989">
      <pivotArea field="0" type="button" dataOnly="0" labelOnly="1" outline="0" axis="axisRow" fieldPosition="0"/>
    </format>
    <format dxfId="1988">
      <pivotArea field="1" type="button" dataOnly="0" labelOnly="1" outline="0" axis="axisRow" fieldPosition="1"/>
    </format>
    <format dxfId="1987">
      <pivotArea field="20" type="button" dataOnly="0" labelOnly="1" outline="0" axis="axisRow" fieldPosition="2"/>
    </format>
    <format dxfId="1986">
      <pivotArea dataOnly="0" labelOnly="1" outline="0" fieldPosition="0">
        <references count="1">
          <reference field="0" count="0"/>
        </references>
      </pivotArea>
    </format>
    <format dxfId="1985">
      <pivotArea dataOnly="0" labelOnly="1" grandRow="1" outline="0" fieldPosition="0"/>
    </format>
    <format dxfId="1984">
      <pivotArea dataOnly="0" labelOnly="1" outline="0" fieldPosition="0">
        <references count="2">
          <reference field="0" count="1" selected="0">
            <x v="0"/>
          </reference>
          <reference field="1" count="50">
            <x v="2"/>
            <x v="64"/>
            <x v="70"/>
            <x v="86"/>
            <x v="105"/>
            <x v="111"/>
            <x v="131"/>
            <x v="132"/>
            <x v="133"/>
            <x v="138"/>
            <x v="158"/>
            <x v="165"/>
            <x v="194"/>
            <x v="197"/>
            <x v="210"/>
            <x v="219"/>
            <x v="225"/>
            <x v="226"/>
            <x v="227"/>
            <x v="228"/>
            <x v="230"/>
            <x v="246"/>
            <x v="259"/>
            <x v="265"/>
            <x v="274"/>
            <x v="284"/>
            <x v="317"/>
            <x v="339"/>
            <x v="353"/>
            <x v="354"/>
            <x v="355"/>
            <x v="356"/>
            <x v="357"/>
            <x v="358"/>
            <x v="359"/>
            <x v="361"/>
            <x v="362"/>
            <x v="397"/>
            <x v="399"/>
            <x v="458"/>
            <x v="470"/>
            <x v="511"/>
            <x v="523"/>
            <x v="531"/>
            <x v="547"/>
            <x v="566"/>
            <x v="582"/>
            <x v="585"/>
            <x v="603"/>
            <x v="605"/>
          </reference>
        </references>
      </pivotArea>
    </format>
    <format dxfId="1983">
      <pivotArea dataOnly="0" labelOnly="1" outline="0" fieldPosition="0">
        <references count="2">
          <reference field="0" count="1" selected="0">
            <x v="0"/>
          </reference>
          <reference field="1" count="50">
            <x v="623"/>
            <x v="642"/>
            <x v="658"/>
            <x v="678"/>
            <x v="682"/>
            <x v="687"/>
            <x v="688"/>
            <x v="690"/>
            <x v="691"/>
            <x v="694"/>
            <x v="695"/>
            <x v="707"/>
            <x v="711"/>
            <x v="742"/>
            <x v="747"/>
            <x v="749"/>
            <x v="750"/>
            <x v="775"/>
            <x v="799"/>
            <x v="803"/>
            <x v="804"/>
            <x v="822"/>
            <x v="828"/>
            <x v="840"/>
            <x v="842"/>
            <x v="849"/>
            <x v="869"/>
            <x v="897"/>
            <x v="901"/>
            <x v="916"/>
            <x v="917"/>
            <x v="932"/>
            <x v="937"/>
            <x v="969"/>
            <x v="1046"/>
            <x v="1048"/>
            <x v="1049"/>
            <x v="1085"/>
            <x v="1086"/>
            <x v="1087"/>
            <x v="1092"/>
            <x v="1114"/>
            <x v="1115"/>
            <x v="1116"/>
            <x v="1117"/>
            <x v="1118"/>
            <x v="1119"/>
            <x v="1133"/>
            <x v="1163"/>
            <x v="1232"/>
          </reference>
        </references>
      </pivotArea>
    </format>
    <format dxfId="1982">
      <pivotArea dataOnly="0" labelOnly="1" outline="0" fieldPosition="0">
        <references count="2">
          <reference field="0" count="1" selected="0">
            <x v="0"/>
          </reference>
          <reference field="1" count="31">
            <x v="1233"/>
            <x v="1269"/>
            <x v="1273"/>
            <x v="1283"/>
            <x v="1326"/>
            <x v="1341"/>
            <x v="1352"/>
            <x v="1369"/>
            <x v="1370"/>
            <x v="1392"/>
            <x v="1393"/>
            <x v="1405"/>
            <x v="1415"/>
            <x v="1446"/>
            <x v="1447"/>
            <x v="1448"/>
            <x v="1460"/>
            <x v="1471"/>
            <x v="1472"/>
            <x v="1498"/>
            <x v="1499"/>
            <x v="1509"/>
            <x v="1517"/>
            <x v="1521"/>
            <x v="1564"/>
            <x v="1574"/>
            <x v="1588"/>
            <x v="1617"/>
            <x v="1618"/>
            <x v="1627"/>
            <x v="1654"/>
          </reference>
        </references>
      </pivotArea>
    </format>
    <format dxfId="1981">
      <pivotArea dataOnly="0" labelOnly="1" outline="0" fieldPosition="0">
        <references count="2">
          <reference field="0" count="1" selected="0">
            <x v="1"/>
          </reference>
          <reference field="1" count="50">
            <x v="0"/>
            <x v="8"/>
            <x v="23"/>
            <x v="29"/>
            <x v="30"/>
            <x v="36"/>
            <x v="42"/>
            <x v="46"/>
            <x v="48"/>
            <x v="54"/>
            <x v="61"/>
            <x v="69"/>
            <x v="80"/>
            <x v="87"/>
            <x v="109"/>
            <x v="113"/>
            <x v="118"/>
            <x v="121"/>
            <x v="124"/>
            <x v="125"/>
            <x v="128"/>
            <x v="129"/>
            <x v="139"/>
            <x v="141"/>
            <x v="142"/>
            <x v="149"/>
            <x v="152"/>
            <x v="170"/>
            <x v="172"/>
            <x v="173"/>
            <x v="175"/>
            <x v="177"/>
            <x v="180"/>
            <x v="182"/>
            <x v="183"/>
            <x v="188"/>
            <x v="189"/>
            <x v="214"/>
            <x v="240"/>
            <x v="260"/>
            <x v="263"/>
            <x v="264"/>
            <x v="266"/>
            <x v="267"/>
            <x v="268"/>
            <x v="297"/>
            <x v="306"/>
            <x v="307"/>
            <x v="309"/>
            <x v="312"/>
          </reference>
        </references>
      </pivotArea>
    </format>
    <format dxfId="1980">
      <pivotArea dataOnly="0" labelOnly="1" outline="0" fieldPosition="0">
        <references count="2">
          <reference field="0" count="1" selected="0">
            <x v="1"/>
          </reference>
          <reference field="1" count="50">
            <x v="367"/>
            <x v="368"/>
            <x v="370"/>
            <x v="371"/>
            <x v="372"/>
            <x v="377"/>
            <x v="378"/>
            <x v="379"/>
            <x v="380"/>
            <x v="386"/>
            <x v="416"/>
            <x v="419"/>
            <x v="424"/>
            <x v="425"/>
            <x v="426"/>
            <x v="430"/>
            <x v="431"/>
            <x v="432"/>
            <x v="433"/>
            <x v="435"/>
            <x v="439"/>
            <x v="442"/>
            <x v="472"/>
            <x v="473"/>
            <x v="474"/>
            <x v="484"/>
            <x v="489"/>
            <x v="494"/>
            <x v="512"/>
            <x v="513"/>
            <x v="516"/>
            <x v="517"/>
            <x v="526"/>
            <x v="535"/>
            <x v="538"/>
            <x v="539"/>
            <x v="540"/>
            <x v="541"/>
            <x v="542"/>
            <x v="543"/>
            <x v="544"/>
            <x v="545"/>
            <x v="563"/>
            <x v="571"/>
            <x v="581"/>
            <x v="588"/>
            <x v="591"/>
            <x v="609"/>
            <x v="617"/>
            <x v="618"/>
          </reference>
        </references>
      </pivotArea>
    </format>
    <format dxfId="1979">
      <pivotArea dataOnly="0" labelOnly="1" outline="0" fieldPosition="0">
        <references count="2">
          <reference field="0" count="1" selected="0">
            <x v="1"/>
          </reference>
          <reference field="1" count="50">
            <x v="625"/>
            <x v="637"/>
            <x v="638"/>
            <x v="639"/>
            <x v="646"/>
            <x v="669"/>
            <x v="672"/>
            <x v="677"/>
            <x v="684"/>
            <x v="696"/>
            <x v="700"/>
            <x v="741"/>
            <x v="748"/>
            <x v="754"/>
            <x v="756"/>
            <x v="758"/>
            <x v="759"/>
            <x v="771"/>
            <x v="783"/>
            <x v="786"/>
            <x v="787"/>
            <x v="797"/>
            <x v="805"/>
            <x v="817"/>
            <x v="823"/>
            <x v="824"/>
            <x v="845"/>
            <x v="851"/>
            <x v="857"/>
            <x v="859"/>
            <x v="866"/>
            <x v="872"/>
            <x v="873"/>
            <x v="879"/>
            <x v="881"/>
            <x v="882"/>
            <x v="886"/>
            <x v="888"/>
            <x v="891"/>
            <x v="905"/>
            <x v="914"/>
            <x v="918"/>
            <x v="919"/>
            <x v="921"/>
            <x v="929"/>
            <x v="939"/>
            <x v="946"/>
            <x v="947"/>
            <x v="949"/>
            <x v="950"/>
          </reference>
        </references>
      </pivotArea>
    </format>
    <format dxfId="1978">
      <pivotArea dataOnly="0" labelOnly="1" outline="0" fieldPosition="0">
        <references count="2">
          <reference field="0" count="1" selected="0">
            <x v="1"/>
          </reference>
          <reference field="1" count="50">
            <x v="953"/>
            <x v="956"/>
            <x v="963"/>
            <x v="964"/>
            <x v="965"/>
            <x v="984"/>
            <x v="1007"/>
            <x v="1014"/>
            <x v="1017"/>
            <x v="1018"/>
            <x v="1023"/>
            <x v="1042"/>
            <x v="1043"/>
            <x v="1044"/>
            <x v="1050"/>
            <x v="1052"/>
            <x v="1061"/>
            <x v="1062"/>
            <x v="1066"/>
            <x v="1067"/>
            <x v="1069"/>
            <x v="1070"/>
            <x v="1073"/>
            <x v="1077"/>
            <x v="1123"/>
            <x v="1124"/>
            <x v="1125"/>
            <x v="1126"/>
            <x v="1147"/>
            <x v="1148"/>
            <x v="1153"/>
            <x v="1154"/>
            <x v="1156"/>
            <x v="1157"/>
            <x v="1158"/>
            <x v="1159"/>
            <x v="1161"/>
            <x v="1201"/>
            <x v="1204"/>
            <x v="1210"/>
            <x v="1212"/>
            <x v="1213"/>
            <x v="1214"/>
            <x v="1226"/>
            <x v="1236"/>
            <x v="1243"/>
            <x v="1245"/>
            <x v="1246"/>
            <x v="1247"/>
            <x v="1248"/>
          </reference>
        </references>
      </pivotArea>
    </format>
    <format dxfId="1977">
      <pivotArea dataOnly="0" labelOnly="1" outline="0" fieldPosition="0">
        <references count="2">
          <reference field="0" count="1" selected="0">
            <x v="1"/>
          </reference>
          <reference field="1" count="50">
            <x v="1250"/>
            <x v="1256"/>
            <x v="1279"/>
            <x v="1280"/>
            <x v="1292"/>
            <x v="1293"/>
            <x v="1296"/>
            <x v="1297"/>
            <x v="1298"/>
            <x v="1300"/>
            <x v="1302"/>
            <x v="1320"/>
            <x v="1332"/>
            <x v="1336"/>
            <x v="1343"/>
            <x v="1344"/>
            <x v="1345"/>
            <x v="1349"/>
            <x v="1353"/>
            <x v="1363"/>
            <x v="1364"/>
            <x v="1371"/>
            <x v="1372"/>
            <x v="1373"/>
            <x v="1376"/>
            <x v="1380"/>
            <x v="1386"/>
            <x v="1402"/>
            <x v="1422"/>
            <x v="1442"/>
            <x v="1445"/>
            <x v="1461"/>
            <x v="1466"/>
            <x v="1475"/>
            <x v="1476"/>
            <x v="1483"/>
            <x v="1506"/>
            <x v="1511"/>
            <x v="1513"/>
            <x v="1523"/>
            <x v="1524"/>
            <x v="1534"/>
            <x v="1538"/>
            <x v="1547"/>
            <x v="1550"/>
            <x v="1551"/>
            <x v="1555"/>
            <x v="1563"/>
            <x v="1570"/>
            <x v="1571"/>
          </reference>
        </references>
      </pivotArea>
    </format>
    <format dxfId="1976">
      <pivotArea dataOnly="0" labelOnly="1" outline="0" fieldPosition="0">
        <references count="2">
          <reference field="0" count="1" selected="0">
            <x v="1"/>
          </reference>
          <reference field="1" count="21">
            <x v="1573"/>
            <x v="1579"/>
            <x v="1590"/>
            <x v="1604"/>
            <x v="1605"/>
            <x v="1607"/>
            <x v="1609"/>
            <x v="1612"/>
            <x v="1613"/>
            <x v="1629"/>
            <x v="1630"/>
            <x v="1633"/>
            <x v="1637"/>
            <x v="1646"/>
            <x v="1650"/>
            <x v="1653"/>
            <x v="1655"/>
            <x v="1665"/>
            <x v="1667"/>
            <x v="1668"/>
            <x v="1673"/>
          </reference>
        </references>
      </pivotArea>
    </format>
    <format dxfId="1975">
      <pivotArea dataOnly="0" labelOnly="1" outline="0" fieldPosition="0">
        <references count="2">
          <reference field="0" count="1" selected="0">
            <x v="2"/>
          </reference>
          <reference field="1" count="50">
            <x v="5"/>
            <x v="10"/>
            <x v="15"/>
            <x v="31"/>
            <x v="43"/>
            <x v="57"/>
            <x v="67"/>
            <x v="130"/>
            <x v="157"/>
            <x v="161"/>
            <x v="166"/>
            <x v="178"/>
            <x v="181"/>
            <x v="192"/>
            <x v="208"/>
            <x v="213"/>
            <x v="217"/>
            <x v="224"/>
            <x v="232"/>
            <x v="234"/>
            <x v="235"/>
            <x v="248"/>
            <x v="249"/>
            <x v="250"/>
            <x v="254"/>
            <x v="275"/>
            <x v="276"/>
            <x v="283"/>
            <x v="286"/>
            <x v="288"/>
            <x v="296"/>
            <x v="305"/>
            <x v="323"/>
            <x v="324"/>
            <x v="325"/>
            <x v="326"/>
            <x v="328"/>
            <x v="329"/>
            <x v="331"/>
            <x v="334"/>
            <x v="335"/>
            <x v="342"/>
            <x v="343"/>
            <x v="344"/>
            <x v="345"/>
            <x v="350"/>
            <x v="351"/>
            <x v="352"/>
            <x v="361"/>
            <x v="364"/>
          </reference>
        </references>
      </pivotArea>
    </format>
    <format dxfId="1974">
      <pivotArea dataOnly="0" labelOnly="1" outline="0" fieldPosition="0">
        <references count="2">
          <reference field="0" count="1" selected="0">
            <x v="2"/>
          </reference>
          <reference field="1" count="50">
            <x v="373"/>
            <x v="382"/>
            <x v="385"/>
            <x v="387"/>
            <x v="392"/>
            <x v="393"/>
            <x v="394"/>
            <x v="395"/>
            <x v="396"/>
            <x v="398"/>
            <x v="402"/>
            <x v="414"/>
            <x v="417"/>
            <x v="418"/>
            <x v="427"/>
            <x v="438"/>
            <x v="441"/>
            <x v="444"/>
            <x v="460"/>
            <x v="466"/>
            <x v="467"/>
            <x v="468"/>
            <x v="476"/>
            <x v="477"/>
            <x v="481"/>
            <x v="485"/>
            <x v="486"/>
            <x v="500"/>
            <x v="501"/>
            <x v="503"/>
            <x v="504"/>
            <x v="505"/>
            <x v="506"/>
            <x v="519"/>
            <x v="525"/>
            <x v="546"/>
            <x v="551"/>
            <x v="562"/>
            <x v="574"/>
            <x v="576"/>
            <x v="577"/>
            <x v="583"/>
            <x v="604"/>
            <x v="610"/>
            <x v="624"/>
            <x v="626"/>
            <x v="627"/>
            <x v="634"/>
            <x v="662"/>
            <x v="676"/>
          </reference>
        </references>
      </pivotArea>
    </format>
    <format dxfId="1973">
      <pivotArea dataOnly="0" labelOnly="1" outline="0" fieldPosition="0">
        <references count="2">
          <reference field="0" count="1" selected="0">
            <x v="2"/>
          </reference>
          <reference field="1" count="50">
            <x v="679"/>
            <x v="692"/>
            <x v="703"/>
            <x v="704"/>
            <x v="710"/>
            <x v="721"/>
            <x v="725"/>
            <x v="728"/>
            <x v="729"/>
            <x v="730"/>
            <x v="736"/>
            <x v="737"/>
            <x v="738"/>
            <x v="770"/>
            <x v="788"/>
            <x v="795"/>
            <x v="806"/>
            <x v="808"/>
            <x v="809"/>
            <x v="810"/>
            <x v="816"/>
            <x v="818"/>
            <x v="826"/>
            <x v="830"/>
            <x v="835"/>
            <x v="889"/>
            <x v="900"/>
            <x v="909"/>
            <x v="927"/>
            <x v="936"/>
            <x v="938"/>
            <x v="945"/>
            <x v="948"/>
            <x v="967"/>
            <x v="983"/>
            <x v="989"/>
            <x v="1001"/>
            <x v="1003"/>
            <x v="1004"/>
            <x v="1011"/>
            <x v="1013"/>
            <x v="1019"/>
            <x v="1021"/>
            <x v="1024"/>
            <x v="1025"/>
            <x v="1034"/>
            <x v="1054"/>
            <x v="1056"/>
            <x v="1064"/>
            <x v="1065"/>
          </reference>
        </references>
      </pivotArea>
    </format>
    <format dxfId="1972">
      <pivotArea dataOnly="0" labelOnly="1" outline="0" fieldPosition="0">
        <references count="2">
          <reference field="0" count="1" selected="0">
            <x v="2"/>
          </reference>
          <reference field="1" count="50">
            <x v="1071"/>
            <x v="1073"/>
            <x v="1074"/>
            <x v="1075"/>
            <x v="1076"/>
            <x v="1079"/>
            <x v="1084"/>
            <x v="1096"/>
            <x v="1097"/>
            <x v="1100"/>
            <x v="1101"/>
            <x v="1121"/>
            <x v="1126"/>
            <x v="1127"/>
            <x v="1134"/>
            <x v="1138"/>
            <x v="1139"/>
            <x v="1151"/>
            <x v="1165"/>
            <x v="1171"/>
            <x v="1181"/>
            <x v="1182"/>
            <x v="1183"/>
            <x v="1185"/>
            <x v="1187"/>
            <x v="1190"/>
            <x v="1199"/>
            <x v="1209"/>
            <x v="1210"/>
            <x v="1215"/>
            <x v="1217"/>
            <x v="1219"/>
            <x v="1221"/>
            <x v="1223"/>
            <x v="1227"/>
            <x v="1240"/>
            <x v="1254"/>
            <x v="1257"/>
            <x v="1290"/>
            <x v="1295"/>
            <x v="1307"/>
            <x v="1315"/>
            <x v="1316"/>
            <x v="1317"/>
            <x v="1342"/>
            <x v="1356"/>
            <x v="1368"/>
            <x v="1374"/>
            <x v="1378"/>
            <x v="1387"/>
          </reference>
        </references>
      </pivotArea>
    </format>
    <format dxfId="1971">
      <pivotArea dataOnly="0" labelOnly="1" outline="0" fieldPosition="0">
        <references count="2">
          <reference field="0" count="1" selected="0">
            <x v="2"/>
          </reference>
          <reference field="1" count="41">
            <x v="1400"/>
            <x v="1408"/>
            <x v="1409"/>
            <x v="1412"/>
            <x v="1414"/>
            <x v="1432"/>
            <x v="1439"/>
            <x v="1440"/>
            <x v="1451"/>
            <x v="1458"/>
            <x v="1459"/>
            <x v="1470"/>
            <x v="1477"/>
            <x v="1485"/>
            <x v="1504"/>
            <x v="1507"/>
            <x v="1510"/>
            <x v="1516"/>
            <x v="1519"/>
            <x v="1522"/>
            <x v="1525"/>
            <x v="1529"/>
            <x v="1530"/>
            <x v="1531"/>
            <x v="1532"/>
            <x v="1533"/>
            <x v="1541"/>
            <x v="1542"/>
            <x v="1549"/>
            <x v="1558"/>
            <x v="1566"/>
            <x v="1600"/>
            <x v="1601"/>
            <x v="1626"/>
            <x v="1636"/>
            <x v="1638"/>
            <x v="1642"/>
            <x v="1643"/>
            <x v="1657"/>
            <x v="1670"/>
            <x v="1672"/>
          </reference>
        </references>
      </pivotArea>
    </format>
    <format dxfId="1970">
      <pivotArea dataOnly="0" labelOnly="1" outline="0" fieldPosition="0">
        <references count="2">
          <reference field="0" count="1" selected="0">
            <x v="3"/>
          </reference>
          <reference field="1" count="50">
            <x v="11"/>
            <x v="13"/>
            <x v="14"/>
            <x v="26"/>
            <x v="35"/>
            <x v="50"/>
            <x v="51"/>
            <x v="60"/>
            <x v="78"/>
            <x v="104"/>
            <x v="112"/>
            <x v="115"/>
            <x v="164"/>
            <x v="187"/>
            <x v="229"/>
            <x v="300"/>
            <x v="321"/>
            <x v="437"/>
            <x v="446"/>
            <x v="464"/>
            <x v="475"/>
            <x v="629"/>
            <x v="652"/>
            <x v="714"/>
            <x v="715"/>
            <x v="720"/>
            <x v="903"/>
            <x v="943"/>
            <x v="980"/>
            <x v="1002"/>
            <x v="1005"/>
            <x v="1006"/>
            <x v="1012"/>
            <x v="1015"/>
            <x v="1022"/>
            <x v="1030"/>
            <x v="1031"/>
            <x v="1032"/>
            <x v="1033"/>
            <x v="1035"/>
            <x v="1045"/>
            <x v="1113"/>
            <x v="1294"/>
            <x v="1348"/>
            <x v="1351"/>
            <x v="1357"/>
            <x v="1388"/>
            <x v="1389"/>
            <x v="1403"/>
            <x v="1404"/>
          </reference>
        </references>
      </pivotArea>
    </format>
    <format dxfId="1969">
      <pivotArea dataOnly="0" labelOnly="1" outline="0" fieldPosition="0">
        <references count="2">
          <reference field="0" count="1" selected="0">
            <x v="3"/>
          </reference>
          <reference field="1" count="9">
            <x v="1407"/>
            <x v="1411"/>
            <x v="1484"/>
            <x v="1585"/>
            <x v="1658"/>
            <x v="1659"/>
            <x v="1660"/>
            <x v="1662"/>
            <x v="1663"/>
          </reference>
        </references>
      </pivotArea>
    </format>
    <format dxfId="1968">
      <pivotArea dataOnly="0" labelOnly="1" outline="0" fieldPosition="0">
        <references count="2">
          <reference field="0" count="1" selected="0">
            <x v="4"/>
          </reference>
          <reference field="1" count="50">
            <x v="133"/>
            <x v="135"/>
            <x v="136"/>
            <x v="146"/>
            <x v="191"/>
            <x v="200"/>
            <x v="205"/>
            <x v="221"/>
            <x v="255"/>
            <x v="262"/>
            <x v="279"/>
            <x v="319"/>
            <x v="320"/>
            <x v="322"/>
            <x v="333"/>
            <x v="336"/>
            <x v="445"/>
            <x v="471"/>
            <x v="479"/>
            <x v="522"/>
            <x v="524"/>
            <x v="567"/>
            <x v="570"/>
            <x v="572"/>
            <x v="636"/>
            <x v="671"/>
            <x v="681"/>
            <x v="696"/>
            <x v="697"/>
            <x v="698"/>
            <x v="706"/>
            <x v="719"/>
            <x v="744"/>
            <x v="762"/>
            <x v="777"/>
            <x v="778"/>
            <x v="781"/>
            <x v="782"/>
            <x v="802"/>
            <x v="812"/>
            <x v="863"/>
            <x v="884"/>
            <x v="887"/>
            <x v="890"/>
            <x v="928"/>
            <x v="952"/>
            <x v="957"/>
            <x v="968"/>
            <x v="970"/>
            <x v="977"/>
          </reference>
        </references>
      </pivotArea>
    </format>
    <format dxfId="1967">
      <pivotArea dataOnly="0" labelOnly="1" outline="0" fieldPosition="0">
        <references count="2">
          <reference field="0" count="1" selected="0">
            <x v="4"/>
          </reference>
          <reference field="1" count="34">
            <x v="999"/>
            <x v="1039"/>
            <x v="1059"/>
            <x v="1073"/>
            <x v="1088"/>
            <x v="1122"/>
            <x v="1140"/>
            <x v="1174"/>
            <x v="1234"/>
            <x v="1288"/>
            <x v="1305"/>
            <x v="1306"/>
            <x v="1347"/>
            <x v="1366"/>
            <x v="1381"/>
            <x v="1384"/>
            <x v="1390"/>
            <x v="1391"/>
            <x v="1418"/>
            <x v="1419"/>
            <x v="1420"/>
            <x v="1421"/>
            <x v="1424"/>
            <x v="1426"/>
            <x v="1427"/>
            <x v="1431"/>
            <x v="1438"/>
            <x v="1456"/>
            <x v="1492"/>
            <x v="1515"/>
            <x v="1553"/>
            <x v="1567"/>
            <x v="1644"/>
            <x v="1671"/>
          </reference>
        </references>
      </pivotArea>
    </format>
    <format dxfId="1966">
      <pivotArea dataOnly="0" labelOnly="1" outline="0" fieldPosition="0">
        <references count="2">
          <reference field="0" count="1" selected="0">
            <x v="5"/>
          </reference>
          <reference field="1" count="50">
            <x v="4"/>
            <x v="16"/>
            <x v="18"/>
            <x v="22"/>
            <x v="37"/>
            <x v="41"/>
            <x v="56"/>
            <x v="59"/>
            <x v="75"/>
            <x v="76"/>
            <x v="77"/>
            <x v="102"/>
            <x v="126"/>
            <x v="140"/>
            <x v="143"/>
            <x v="150"/>
            <x v="176"/>
            <x v="185"/>
            <x v="203"/>
            <x v="212"/>
            <x v="218"/>
            <x v="251"/>
            <x v="252"/>
            <x v="269"/>
            <x v="285"/>
            <x v="289"/>
            <x v="290"/>
            <x v="291"/>
            <x v="315"/>
            <x v="316"/>
            <x v="318"/>
            <x v="337"/>
            <x v="363"/>
            <x v="369"/>
            <x v="383"/>
            <x v="410"/>
            <x v="411"/>
            <x v="420"/>
            <x v="421"/>
            <x v="428"/>
            <x v="459"/>
            <x v="477"/>
            <x v="482"/>
            <x v="483"/>
            <x v="487"/>
            <x v="491"/>
            <x v="492"/>
            <x v="498"/>
            <x v="527"/>
            <x v="559"/>
          </reference>
        </references>
      </pivotArea>
    </format>
    <format dxfId="1965">
      <pivotArea dataOnly="0" labelOnly="1" outline="0" fieldPosition="0">
        <references count="2">
          <reference field="0" count="1" selected="0">
            <x v="5"/>
          </reference>
          <reference field="1" count="50">
            <x v="561"/>
            <x v="579"/>
            <x v="587"/>
            <x v="595"/>
            <x v="597"/>
            <x v="598"/>
            <x v="645"/>
            <x v="665"/>
            <x v="675"/>
            <x v="699"/>
            <x v="701"/>
            <x v="713"/>
            <x v="727"/>
            <x v="740"/>
            <x v="789"/>
            <x v="790"/>
            <x v="796"/>
            <x v="798"/>
            <x v="847"/>
            <x v="850"/>
            <x v="862"/>
            <x v="894"/>
            <x v="920"/>
            <x v="930"/>
            <x v="934"/>
            <x v="936"/>
            <x v="955"/>
            <x v="966"/>
            <x v="979"/>
            <x v="982"/>
            <x v="1047"/>
            <x v="1059"/>
            <x v="1060"/>
            <x v="1094"/>
            <x v="1095"/>
            <x v="1097"/>
            <x v="1098"/>
            <x v="1099"/>
            <x v="1102"/>
            <x v="1110"/>
            <x v="1111"/>
            <x v="1131"/>
            <x v="1132"/>
            <x v="1137"/>
            <x v="1170"/>
            <x v="1172"/>
            <x v="1206"/>
            <x v="1207"/>
            <x v="1208"/>
            <x v="1237"/>
          </reference>
        </references>
      </pivotArea>
    </format>
    <format dxfId="1964">
      <pivotArea dataOnly="0" labelOnly="1" outline="0" fieldPosition="0">
        <references count="2">
          <reference field="0" count="1" selected="0">
            <x v="5"/>
          </reference>
          <reference field="1" count="33">
            <x v="1277"/>
            <x v="1278"/>
            <x v="1282"/>
            <x v="1308"/>
            <x v="1310"/>
            <x v="1312"/>
            <x v="1319"/>
            <x v="1322"/>
            <x v="1346"/>
            <x v="1361"/>
            <x v="1399"/>
            <x v="1410"/>
            <x v="1440"/>
            <x v="1449"/>
            <x v="1457"/>
            <x v="1473"/>
            <x v="1474"/>
            <x v="1481"/>
            <x v="1490"/>
            <x v="1503"/>
            <x v="1520"/>
            <x v="1527"/>
            <x v="1548"/>
            <x v="1552"/>
            <x v="1561"/>
            <x v="1575"/>
            <x v="1582"/>
            <x v="1583"/>
            <x v="1584"/>
            <x v="1606"/>
            <x v="1608"/>
            <x v="1651"/>
            <x v="1661"/>
          </reference>
        </references>
      </pivotArea>
    </format>
    <format dxfId="1963">
      <pivotArea dataOnly="0" labelOnly="1" outline="0" fieldPosition="0">
        <references count="2">
          <reference field="0" count="1" selected="0">
            <x v="6"/>
          </reference>
          <reference field="1" count="50">
            <x v="12"/>
            <x v="40"/>
            <x v="47"/>
            <x v="82"/>
            <x v="83"/>
            <x v="101"/>
            <x v="120"/>
            <x v="127"/>
            <x v="137"/>
            <x v="144"/>
            <x v="147"/>
            <x v="154"/>
            <x v="159"/>
            <x v="204"/>
            <x v="207"/>
            <x v="236"/>
            <x v="244"/>
            <x v="256"/>
            <x v="257"/>
            <x v="273"/>
            <x v="278"/>
            <x v="310"/>
            <x v="313"/>
            <x v="346"/>
            <x v="347"/>
            <x v="348"/>
            <x v="365"/>
            <x v="366"/>
            <x v="384"/>
            <x v="406"/>
            <x v="409"/>
            <x v="453"/>
            <x v="495"/>
            <x v="496"/>
            <x v="497"/>
            <x v="509"/>
            <x v="530"/>
            <x v="548"/>
            <x v="568"/>
            <x v="572"/>
            <x v="599"/>
            <x v="608"/>
            <x v="613"/>
            <x v="615"/>
            <x v="616"/>
            <x v="619"/>
            <x v="621"/>
            <x v="630"/>
            <x v="632"/>
            <x v="640"/>
          </reference>
        </references>
      </pivotArea>
    </format>
    <format dxfId="1962">
      <pivotArea dataOnly="0" labelOnly="1" outline="0" fieldPosition="0">
        <references count="2">
          <reference field="0" count="1" selected="0">
            <x v="6"/>
          </reference>
          <reference field="1" count="50">
            <x v="643"/>
            <x v="644"/>
            <x v="651"/>
            <x v="655"/>
            <x v="661"/>
            <x v="670"/>
            <x v="673"/>
            <x v="705"/>
            <x v="729"/>
            <x v="731"/>
            <x v="733"/>
            <x v="739"/>
            <x v="776"/>
            <x v="780"/>
            <x v="785"/>
            <x v="793"/>
            <x v="794"/>
            <x v="801"/>
            <x v="807"/>
            <x v="825"/>
            <x v="831"/>
            <x v="843"/>
            <x v="853"/>
            <x v="858"/>
            <x v="877"/>
            <x v="878"/>
            <x v="883"/>
            <x v="893"/>
            <x v="895"/>
            <x v="898"/>
            <x v="899"/>
            <x v="907"/>
            <x v="908"/>
            <x v="924"/>
            <x v="935"/>
            <x v="954"/>
            <x v="1009"/>
            <x v="1016"/>
            <x v="1038"/>
            <x v="1041"/>
            <x v="1057"/>
            <x v="1058"/>
            <x v="1068"/>
            <x v="1073"/>
            <x v="1080"/>
            <x v="1090"/>
            <x v="1108"/>
            <x v="1120"/>
            <x v="1122"/>
            <x v="1150"/>
          </reference>
        </references>
      </pivotArea>
    </format>
    <format dxfId="1961">
      <pivotArea dataOnly="0" labelOnly="1" outline="0" fieldPosition="0">
        <references count="2">
          <reference field="0" count="1" selected="0">
            <x v="6"/>
          </reference>
          <reference field="1" count="35">
            <x v="1152"/>
            <x v="1153"/>
            <x v="1155"/>
            <x v="1167"/>
            <x v="1168"/>
            <x v="1169"/>
            <x v="1200"/>
            <x v="1255"/>
            <x v="1281"/>
            <x v="1299"/>
            <x v="1323"/>
            <x v="1324"/>
            <x v="1375"/>
            <x v="1379"/>
            <x v="1423"/>
            <x v="1425"/>
            <x v="1430"/>
            <x v="1436"/>
            <x v="1437"/>
            <x v="1463"/>
            <x v="1495"/>
            <x v="1500"/>
            <x v="1502"/>
            <x v="1508"/>
            <x v="1528"/>
            <x v="1539"/>
            <x v="1544"/>
            <x v="1545"/>
            <x v="1577"/>
            <x v="1578"/>
            <x v="1619"/>
            <x v="1640"/>
            <x v="1641"/>
            <x v="1664"/>
            <x v="1667"/>
          </reference>
        </references>
      </pivotArea>
    </format>
    <format dxfId="1960">
      <pivotArea dataOnly="0" labelOnly="1" outline="0" fieldPosition="0">
        <references count="2">
          <reference field="0" count="1" selected="0">
            <x v="7"/>
          </reference>
          <reference field="1" count="50">
            <x v="1"/>
            <x v="3"/>
            <x v="6"/>
            <x v="17"/>
            <x v="24"/>
            <x v="27"/>
            <x v="28"/>
            <x v="38"/>
            <x v="39"/>
            <x v="44"/>
            <x v="45"/>
            <x v="49"/>
            <x v="55"/>
            <x v="58"/>
            <x v="63"/>
            <x v="64"/>
            <x v="65"/>
            <x v="71"/>
            <x v="72"/>
            <x v="73"/>
            <x v="74"/>
            <x v="79"/>
            <x v="81"/>
            <x v="84"/>
            <x v="85"/>
            <x v="89"/>
            <x v="90"/>
            <x v="91"/>
            <x v="92"/>
            <x v="93"/>
            <x v="94"/>
            <x v="95"/>
            <x v="96"/>
            <x v="103"/>
            <x v="114"/>
            <x v="116"/>
            <x v="122"/>
            <x v="145"/>
            <x v="148"/>
            <x v="155"/>
            <x v="160"/>
            <x v="162"/>
            <x v="163"/>
            <x v="169"/>
            <x v="171"/>
            <x v="174"/>
            <x v="179"/>
            <x v="184"/>
            <x v="186"/>
            <x v="193"/>
          </reference>
        </references>
      </pivotArea>
    </format>
    <format dxfId="1959">
      <pivotArea dataOnly="0" labelOnly="1" outline="0" fieldPosition="0">
        <references count="2">
          <reference field="0" count="1" selected="0">
            <x v="7"/>
          </reference>
          <reference field="1" count="50">
            <x v="195"/>
            <x v="201"/>
            <x v="202"/>
            <x v="209"/>
            <x v="211"/>
            <x v="216"/>
            <x v="220"/>
            <x v="222"/>
            <x v="231"/>
            <x v="233"/>
            <x v="237"/>
            <x v="239"/>
            <x v="247"/>
            <x v="261"/>
            <x v="277"/>
            <x v="281"/>
            <x v="287"/>
            <x v="293"/>
            <x v="299"/>
            <x v="301"/>
            <x v="302"/>
            <x v="303"/>
            <x v="304"/>
            <x v="311"/>
            <x v="314"/>
            <x v="332"/>
            <x v="338"/>
            <x v="341"/>
            <x v="349"/>
            <x v="381"/>
            <x v="388"/>
            <x v="389"/>
            <x v="390"/>
            <x v="391"/>
            <x v="400"/>
            <x v="401"/>
            <x v="403"/>
            <x v="404"/>
            <x v="405"/>
            <x v="407"/>
            <x v="408"/>
            <x v="422"/>
            <x v="429"/>
            <x v="434"/>
            <x v="436"/>
            <x v="450"/>
            <x v="451"/>
            <x v="454"/>
            <x v="455"/>
            <x v="457"/>
          </reference>
        </references>
      </pivotArea>
    </format>
    <format dxfId="1958">
      <pivotArea dataOnly="0" labelOnly="1" outline="0" fieldPosition="0">
        <references count="2">
          <reference field="0" count="1" selected="0">
            <x v="7"/>
          </reference>
          <reference field="1" count="50">
            <x v="461"/>
            <x v="465"/>
            <x v="469"/>
            <x v="480"/>
            <x v="488"/>
            <x v="499"/>
            <x v="507"/>
            <x v="508"/>
            <x v="514"/>
            <x v="515"/>
            <x v="518"/>
            <x v="520"/>
            <x v="521"/>
            <x v="534"/>
            <x v="536"/>
            <x v="549"/>
            <x v="550"/>
            <x v="552"/>
            <x v="554"/>
            <x v="556"/>
            <x v="557"/>
            <x v="558"/>
            <x v="564"/>
            <x v="565"/>
            <x v="569"/>
            <x v="573"/>
            <x v="575"/>
            <x v="580"/>
            <x v="589"/>
            <x v="590"/>
            <x v="592"/>
            <x v="593"/>
            <x v="594"/>
            <x v="596"/>
            <x v="602"/>
            <x v="611"/>
            <x v="612"/>
            <x v="614"/>
            <x v="620"/>
            <x v="622"/>
            <x v="628"/>
            <x v="654"/>
            <x v="657"/>
            <x v="659"/>
            <x v="660"/>
            <x v="663"/>
            <x v="664"/>
            <x v="666"/>
            <x v="667"/>
            <x v="680"/>
          </reference>
        </references>
      </pivotArea>
    </format>
    <format dxfId="1957">
      <pivotArea dataOnly="0" labelOnly="1" outline="0" fieldPosition="0">
        <references count="2">
          <reference field="0" count="1" selected="0">
            <x v="7"/>
          </reference>
          <reference field="1" count="50">
            <x v="683"/>
            <x v="684"/>
            <x v="686"/>
            <x v="718"/>
            <x v="726"/>
            <x v="732"/>
            <x v="734"/>
            <x v="751"/>
            <x v="752"/>
            <x v="753"/>
            <x v="757"/>
            <x v="760"/>
            <x v="761"/>
            <x v="763"/>
            <x v="765"/>
            <x v="766"/>
            <x v="768"/>
            <x v="769"/>
            <x v="772"/>
            <x v="774"/>
            <x v="791"/>
            <x v="813"/>
            <x v="819"/>
            <x v="821"/>
            <x v="829"/>
            <x v="833"/>
            <x v="839"/>
            <x v="846"/>
            <x v="848"/>
            <x v="854"/>
            <x v="856"/>
            <x v="860"/>
            <x v="861"/>
            <x v="864"/>
            <x v="874"/>
            <x v="875"/>
            <x v="876"/>
            <x v="885"/>
            <x v="892"/>
            <x v="896"/>
            <x v="902"/>
            <x v="904"/>
            <x v="906"/>
            <x v="910"/>
            <x v="911"/>
            <x v="912"/>
            <x v="913"/>
            <x v="925"/>
            <x v="933"/>
            <x v="940"/>
          </reference>
        </references>
      </pivotArea>
    </format>
    <format dxfId="1956">
      <pivotArea dataOnly="0" labelOnly="1" outline="0" fieldPosition="0">
        <references count="2">
          <reference field="0" count="1" selected="0">
            <x v="7"/>
          </reference>
          <reference field="1" count="50">
            <x v="941"/>
            <x v="958"/>
            <x v="959"/>
            <x v="960"/>
            <x v="971"/>
            <x v="972"/>
            <x v="973"/>
            <x v="974"/>
            <x v="975"/>
            <x v="976"/>
            <x v="978"/>
            <x v="982"/>
            <x v="986"/>
            <x v="987"/>
            <x v="988"/>
            <x v="989"/>
            <x v="990"/>
            <x v="991"/>
            <x v="995"/>
            <x v="998"/>
            <x v="1026"/>
            <x v="1027"/>
            <x v="1036"/>
            <x v="1051"/>
            <x v="1063"/>
            <x v="1072"/>
            <x v="1073"/>
            <x v="1078"/>
            <x v="1082"/>
            <x v="1083"/>
            <x v="1089"/>
            <x v="1091"/>
            <x v="1093"/>
            <x v="1104"/>
            <x v="1105"/>
            <x v="1106"/>
            <x v="1107"/>
            <x v="1109"/>
            <x v="1129"/>
            <x v="1130"/>
            <x v="1135"/>
            <x v="1136"/>
            <x v="1149"/>
            <x v="1160"/>
            <x v="1162"/>
            <x v="1164"/>
            <x v="1166"/>
            <x v="1173"/>
            <x v="1175"/>
            <x v="1176"/>
          </reference>
        </references>
      </pivotArea>
    </format>
    <format dxfId="1955">
      <pivotArea dataOnly="0" labelOnly="1" outline="0" fieldPosition="0">
        <references count="2">
          <reference field="0" count="1" selected="0">
            <x v="7"/>
          </reference>
          <reference field="1" count="50">
            <x v="1177"/>
            <x v="1178"/>
            <x v="1179"/>
            <x v="1180"/>
            <x v="1182"/>
            <x v="1184"/>
            <x v="1186"/>
            <x v="1187"/>
            <x v="1188"/>
            <x v="1189"/>
            <x v="1191"/>
            <x v="1192"/>
            <x v="1193"/>
            <x v="1194"/>
            <x v="1195"/>
            <x v="1196"/>
            <x v="1197"/>
            <x v="1198"/>
            <x v="1199"/>
            <x v="1202"/>
            <x v="1203"/>
            <x v="1205"/>
            <x v="1216"/>
            <x v="1222"/>
            <x v="1224"/>
            <x v="1225"/>
            <x v="1228"/>
            <x v="1229"/>
            <x v="1230"/>
            <x v="1231"/>
            <x v="1235"/>
            <x v="1238"/>
            <x v="1239"/>
            <x v="1242"/>
            <x v="1244"/>
            <x v="1249"/>
            <x v="1289"/>
            <x v="1303"/>
            <x v="1304"/>
            <x v="1311"/>
            <x v="1318"/>
            <x v="1325"/>
            <x v="1327"/>
            <x v="1328"/>
            <x v="1329"/>
            <x v="1330"/>
            <x v="1331"/>
            <x v="1333"/>
            <x v="1337"/>
            <x v="1338"/>
          </reference>
        </references>
      </pivotArea>
    </format>
    <format dxfId="1954">
      <pivotArea dataOnly="0" labelOnly="1" outline="0" fieldPosition="0">
        <references count="2">
          <reference field="0" count="1" selected="0">
            <x v="7"/>
          </reference>
          <reference field="1" count="50">
            <x v="1339"/>
            <x v="1340"/>
            <x v="1350"/>
            <x v="1354"/>
            <x v="1355"/>
            <x v="1358"/>
            <x v="1359"/>
            <x v="1360"/>
            <x v="1362"/>
            <x v="1367"/>
            <x v="1382"/>
            <x v="1385"/>
            <x v="1394"/>
            <x v="1395"/>
            <x v="1396"/>
            <x v="1401"/>
            <x v="1406"/>
            <x v="1440"/>
            <x v="1441"/>
            <x v="1443"/>
            <x v="1444"/>
            <x v="1450"/>
            <x v="1452"/>
            <x v="1453"/>
            <x v="1454"/>
            <x v="1455"/>
            <x v="1464"/>
            <x v="1465"/>
            <x v="1478"/>
            <x v="1479"/>
            <x v="1480"/>
            <x v="1482"/>
            <x v="1486"/>
            <x v="1487"/>
            <x v="1488"/>
            <x v="1489"/>
            <x v="1491"/>
            <x v="1493"/>
            <x v="1494"/>
            <x v="1526"/>
            <x v="1543"/>
            <x v="1556"/>
            <x v="1557"/>
            <x v="1559"/>
            <x v="1560"/>
            <x v="1565"/>
            <x v="1568"/>
            <x v="1569"/>
            <x v="1580"/>
            <x v="1581"/>
          </reference>
        </references>
      </pivotArea>
    </format>
    <format dxfId="1953">
      <pivotArea dataOnly="0" labelOnly="1" outline="0" fieldPosition="0">
        <references count="2">
          <reference field="0" count="1" selected="0">
            <x v="7"/>
          </reference>
          <reference field="1" count="20">
            <x v="1591"/>
            <x v="1593"/>
            <x v="1594"/>
            <x v="1595"/>
            <x v="1596"/>
            <x v="1597"/>
            <x v="1602"/>
            <x v="1603"/>
            <x v="1610"/>
            <x v="1614"/>
            <x v="1615"/>
            <x v="1616"/>
            <x v="1620"/>
            <x v="1622"/>
            <x v="1628"/>
            <x v="1632"/>
            <x v="1635"/>
            <x v="1645"/>
            <x v="1647"/>
            <x v="1667"/>
          </reference>
        </references>
      </pivotArea>
    </format>
    <format dxfId="1952">
      <pivotArea dataOnly="0" labelOnly="1" outline="0" fieldPosition="0">
        <references count="2">
          <reference field="0" count="1" selected="0">
            <x v="8"/>
          </reference>
          <reference field="1" count="50">
            <x v="7"/>
            <x v="9"/>
            <x v="20"/>
            <x v="21"/>
            <x v="32"/>
            <x v="33"/>
            <x v="34"/>
            <x v="52"/>
            <x v="53"/>
            <x v="66"/>
            <x v="68"/>
            <x v="88"/>
            <x v="97"/>
            <x v="98"/>
            <x v="99"/>
            <x v="100"/>
            <x v="117"/>
            <x v="119"/>
            <x v="123"/>
            <x v="134"/>
            <x v="151"/>
            <x v="153"/>
            <x v="156"/>
            <x v="167"/>
            <x v="168"/>
            <x v="190"/>
            <x v="196"/>
            <x v="199"/>
            <x v="215"/>
            <x v="238"/>
            <x v="241"/>
            <x v="242"/>
            <x v="243"/>
            <x v="245"/>
            <x v="258"/>
            <x v="270"/>
            <x v="271"/>
            <x v="272"/>
            <x v="280"/>
            <x v="282"/>
            <x v="293"/>
            <x v="294"/>
            <x v="298"/>
            <x v="308"/>
            <x v="324"/>
            <x v="327"/>
            <x v="330"/>
            <x v="340"/>
            <x v="374"/>
            <x v="375"/>
          </reference>
        </references>
      </pivotArea>
    </format>
    <format dxfId="1951">
      <pivotArea dataOnly="0" labelOnly="1" outline="0" fieldPosition="0">
        <references count="2">
          <reference field="0" count="1" selected="0">
            <x v="8"/>
          </reference>
          <reference field="1" count="50">
            <x v="376"/>
            <x v="412"/>
            <x v="413"/>
            <x v="415"/>
            <x v="423"/>
            <x v="440"/>
            <x v="443"/>
            <x v="447"/>
            <x v="448"/>
            <x v="449"/>
            <x v="452"/>
            <x v="456"/>
            <x v="462"/>
            <x v="463"/>
            <x v="478"/>
            <x v="490"/>
            <x v="493"/>
            <x v="502"/>
            <x v="510"/>
            <x v="528"/>
            <x v="529"/>
            <x v="532"/>
            <x v="533"/>
            <x v="553"/>
            <x v="555"/>
            <x v="578"/>
            <x v="584"/>
            <x v="586"/>
            <x v="601"/>
            <x v="606"/>
            <x v="607"/>
            <x v="631"/>
            <x v="633"/>
            <x v="635"/>
            <x v="647"/>
            <x v="649"/>
            <x v="650"/>
            <x v="674"/>
            <x v="685"/>
            <x v="702"/>
            <x v="712"/>
            <x v="716"/>
            <x v="717"/>
            <x v="722"/>
            <x v="724"/>
            <x v="743"/>
            <x v="764"/>
            <x v="784"/>
            <x v="792"/>
            <x v="811"/>
          </reference>
        </references>
      </pivotArea>
    </format>
    <format dxfId="1950">
      <pivotArea dataOnly="0" labelOnly="1" outline="0" fieldPosition="0">
        <references count="2">
          <reference field="0" count="1" selected="0">
            <x v="8"/>
          </reference>
          <reference field="1" count="50">
            <x v="814"/>
            <x v="815"/>
            <x v="820"/>
            <x v="827"/>
            <x v="841"/>
            <x v="844"/>
            <x v="852"/>
            <x v="855"/>
            <x v="865"/>
            <x v="868"/>
            <x v="870"/>
            <x v="871"/>
            <x v="880"/>
            <x v="915"/>
            <x v="926"/>
            <x v="931"/>
            <x v="944"/>
            <x v="951"/>
            <x v="981"/>
            <x v="992"/>
            <x v="993"/>
            <x v="994"/>
            <x v="996"/>
            <x v="997"/>
            <x v="1010"/>
            <x v="1020"/>
            <x v="1029"/>
            <x v="1037"/>
            <x v="1053"/>
            <x v="1054"/>
            <x v="1055"/>
            <x v="1081"/>
            <x v="1103"/>
            <x v="1112"/>
            <x v="1128"/>
            <x v="1141"/>
            <x v="1142"/>
            <x v="1143"/>
            <x v="1144"/>
            <x v="1145"/>
            <x v="1146"/>
            <x v="1211"/>
            <x v="1218"/>
            <x v="1220"/>
            <x v="1241"/>
            <x v="1251"/>
            <x v="1252"/>
            <x v="1253"/>
            <x v="1258"/>
            <x v="1259"/>
          </reference>
        </references>
      </pivotArea>
    </format>
    <format dxfId="1949">
      <pivotArea dataOnly="0" labelOnly="1" outline="0" fieldPosition="0">
        <references count="2">
          <reference field="0" count="1" selected="0">
            <x v="8"/>
          </reference>
          <reference field="1" count="50">
            <x v="1268"/>
            <x v="1271"/>
            <x v="1284"/>
            <x v="1285"/>
            <x v="1291"/>
            <x v="1309"/>
            <x v="1313"/>
            <x v="1314"/>
            <x v="1334"/>
            <x v="1335"/>
            <x v="1365"/>
            <x v="1377"/>
            <x v="1383"/>
            <x v="1397"/>
            <x v="1398"/>
            <x v="1413"/>
            <x v="1416"/>
            <x v="1433"/>
            <x v="1434"/>
            <x v="1463"/>
            <x v="1467"/>
            <x v="1468"/>
            <x v="1469"/>
            <x v="1496"/>
            <x v="1497"/>
            <x v="1501"/>
            <x v="1505"/>
            <x v="1512"/>
            <x v="1514"/>
            <x v="1535"/>
            <x v="1536"/>
            <x v="1537"/>
            <x v="1540"/>
            <x v="1554"/>
            <x v="1576"/>
            <x v="1586"/>
            <x v="1589"/>
            <x v="1598"/>
            <x v="1599"/>
            <x v="1611"/>
            <x v="1623"/>
            <x v="1624"/>
            <x v="1625"/>
            <x v="1631"/>
            <x v="1634"/>
            <x v="1648"/>
            <x v="1649"/>
            <x v="1652"/>
            <x v="1656"/>
            <x v="1659"/>
          </reference>
        </references>
      </pivotArea>
    </format>
    <format dxfId="1948">
      <pivotArea dataOnly="0" labelOnly="1" outline="0" fieldPosition="0">
        <references count="2">
          <reference field="0" count="1" selected="0">
            <x v="8"/>
          </reference>
          <reference field="1" count="2">
            <x v="1666"/>
            <x v="1669"/>
          </reference>
        </references>
      </pivotArea>
    </format>
    <format dxfId="1947">
      <pivotArea dataOnly="0" labelOnly="1" outline="0" fieldPosition="0">
        <references count="2">
          <reference field="0" count="1" selected="0">
            <x v="9"/>
          </reference>
          <reference field="1" count="50">
            <x v="19"/>
            <x v="25"/>
            <x v="62"/>
            <x v="106"/>
            <x v="107"/>
            <x v="108"/>
            <x v="110"/>
            <x v="198"/>
            <x v="206"/>
            <x v="223"/>
            <x v="253"/>
            <x v="292"/>
            <x v="295"/>
            <x v="360"/>
            <x v="537"/>
            <x v="560"/>
            <x v="600"/>
            <x v="641"/>
            <x v="648"/>
            <x v="653"/>
            <x v="656"/>
            <x v="668"/>
            <x v="689"/>
            <x v="693"/>
            <x v="708"/>
            <x v="709"/>
            <x v="723"/>
            <x v="735"/>
            <x v="745"/>
            <x v="746"/>
            <x v="755"/>
            <x v="767"/>
            <x v="773"/>
            <x v="779"/>
            <x v="800"/>
            <x v="832"/>
            <x v="834"/>
            <x v="836"/>
            <x v="837"/>
            <x v="838"/>
            <x v="867"/>
            <x v="922"/>
            <x v="923"/>
            <x v="942"/>
            <x v="961"/>
            <x v="962"/>
            <x v="985"/>
            <x v="1000"/>
            <x v="1008"/>
            <x v="1028"/>
          </reference>
        </references>
      </pivotArea>
    </format>
    <format dxfId="1946">
      <pivotArea dataOnly="0" labelOnly="1" outline="0" fieldPosition="0">
        <references count="2">
          <reference field="0" count="1" selected="0">
            <x v="9"/>
          </reference>
          <reference field="1" count="32">
            <x v="1040"/>
            <x v="1073"/>
            <x v="1260"/>
            <x v="1261"/>
            <x v="1262"/>
            <x v="1263"/>
            <x v="1264"/>
            <x v="1265"/>
            <x v="1266"/>
            <x v="1267"/>
            <x v="1270"/>
            <x v="1272"/>
            <x v="1274"/>
            <x v="1275"/>
            <x v="1276"/>
            <x v="1286"/>
            <x v="1287"/>
            <x v="1301"/>
            <x v="1321"/>
            <x v="1417"/>
            <x v="1428"/>
            <x v="1429"/>
            <x v="1435"/>
            <x v="1462"/>
            <x v="1518"/>
            <x v="1546"/>
            <x v="1562"/>
            <x v="1572"/>
            <x v="1587"/>
            <x v="1592"/>
            <x v="1621"/>
            <x v="1639"/>
          </reference>
        </references>
      </pivotArea>
    </format>
    <format dxfId="1945">
      <pivotArea dataOnly="0" labelOnly="1" outline="0" fieldPosition="0">
        <references count="3">
          <reference field="0" count="1" selected="0">
            <x v="0"/>
          </reference>
          <reference field="1" count="1" selected="0">
            <x v="2"/>
          </reference>
          <reference field="20" count="1">
            <x v="0"/>
          </reference>
        </references>
      </pivotArea>
    </format>
    <format dxfId="1944">
      <pivotArea dataOnly="0" labelOnly="1" outline="0" fieldPosition="0">
        <references count="3">
          <reference field="0" count="1" selected="0">
            <x v="0"/>
          </reference>
          <reference field="1" count="1" selected="0">
            <x v="64"/>
          </reference>
          <reference field="20" count="1">
            <x v="0"/>
          </reference>
        </references>
      </pivotArea>
    </format>
    <format dxfId="1943">
      <pivotArea dataOnly="0" labelOnly="1" outline="0" fieldPosition="0">
        <references count="3">
          <reference field="0" count="1" selected="0">
            <x v="0"/>
          </reference>
          <reference field="1" count="1" selected="0">
            <x v="70"/>
          </reference>
          <reference field="20" count="1">
            <x v="0"/>
          </reference>
        </references>
      </pivotArea>
    </format>
    <format dxfId="1942">
      <pivotArea dataOnly="0" labelOnly="1" outline="0" fieldPosition="0">
        <references count="3">
          <reference field="0" count="1" selected="0">
            <x v="0"/>
          </reference>
          <reference field="1" count="1" selected="0">
            <x v="86"/>
          </reference>
          <reference field="20" count="1">
            <x v="0"/>
          </reference>
        </references>
      </pivotArea>
    </format>
    <format dxfId="1941">
      <pivotArea dataOnly="0" labelOnly="1" outline="0" fieldPosition="0">
        <references count="3">
          <reference field="0" count="1" selected="0">
            <x v="0"/>
          </reference>
          <reference field="1" count="1" selected="0">
            <x v="105"/>
          </reference>
          <reference field="20" count="1">
            <x v="0"/>
          </reference>
        </references>
      </pivotArea>
    </format>
    <format dxfId="1940">
      <pivotArea dataOnly="0" labelOnly="1" outline="0" fieldPosition="0">
        <references count="3">
          <reference field="0" count="1" selected="0">
            <x v="0"/>
          </reference>
          <reference field="1" count="1" selected="0">
            <x v="111"/>
          </reference>
          <reference field="20" count="1">
            <x v="0"/>
          </reference>
        </references>
      </pivotArea>
    </format>
    <format dxfId="1939">
      <pivotArea dataOnly="0" labelOnly="1" outline="0" fieldPosition="0">
        <references count="3">
          <reference field="0" count="1" selected="0">
            <x v="0"/>
          </reference>
          <reference field="1" count="1" selected="0">
            <x v="131"/>
          </reference>
          <reference field="20" count="1">
            <x v="4"/>
          </reference>
        </references>
      </pivotArea>
    </format>
    <format dxfId="1938">
      <pivotArea dataOnly="0" labelOnly="1" outline="0" fieldPosition="0">
        <references count="3">
          <reference field="0" count="1" selected="0">
            <x v="0"/>
          </reference>
          <reference field="1" count="1" selected="0">
            <x v="132"/>
          </reference>
          <reference field="20" count="1">
            <x v="0"/>
          </reference>
        </references>
      </pivotArea>
    </format>
    <format dxfId="1937">
      <pivotArea dataOnly="0" labelOnly="1" outline="0" fieldPosition="0">
        <references count="3">
          <reference field="0" count="1" selected="0">
            <x v="0"/>
          </reference>
          <reference field="1" count="1" selected="0">
            <x v="133"/>
          </reference>
          <reference field="20" count="1">
            <x v="6"/>
          </reference>
        </references>
      </pivotArea>
    </format>
    <format dxfId="1936">
      <pivotArea dataOnly="0" labelOnly="1" outline="0" fieldPosition="0">
        <references count="3">
          <reference field="0" count="1" selected="0">
            <x v="0"/>
          </reference>
          <reference field="1" count="1" selected="0">
            <x v="138"/>
          </reference>
          <reference field="20" count="1">
            <x v="0"/>
          </reference>
        </references>
      </pivotArea>
    </format>
    <format dxfId="1935">
      <pivotArea dataOnly="0" labelOnly="1" outline="0" fieldPosition="0">
        <references count="3">
          <reference field="0" count="1" selected="0">
            <x v="0"/>
          </reference>
          <reference field="1" count="1" selected="0">
            <x v="158"/>
          </reference>
          <reference field="20" count="1">
            <x v="0"/>
          </reference>
        </references>
      </pivotArea>
    </format>
    <format dxfId="1934">
      <pivotArea dataOnly="0" labelOnly="1" outline="0" fieldPosition="0">
        <references count="3">
          <reference field="0" count="1" selected="0">
            <x v="0"/>
          </reference>
          <reference field="1" count="1" selected="0">
            <x v="165"/>
          </reference>
          <reference field="20" count="1">
            <x v="0"/>
          </reference>
        </references>
      </pivotArea>
    </format>
    <format dxfId="1933">
      <pivotArea dataOnly="0" labelOnly="1" outline="0" fieldPosition="0">
        <references count="3">
          <reference field="0" count="1" selected="0">
            <x v="0"/>
          </reference>
          <reference field="1" count="1" selected="0">
            <x v="194"/>
          </reference>
          <reference field="20" count="1">
            <x v="0"/>
          </reference>
        </references>
      </pivotArea>
    </format>
    <format dxfId="1932">
      <pivotArea dataOnly="0" labelOnly="1" outline="0" fieldPosition="0">
        <references count="3">
          <reference field="0" count="1" selected="0">
            <x v="0"/>
          </reference>
          <reference field="1" count="1" selected="0">
            <x v="197"/>
          </reference>
          <reference field="20" count="1">
            <x v="0"/>
          </reference>
        </references>
      </pivotArea>
    </format>
    <format dxfId="1931">
      <pivotArea dataOnly="0" labelOnly="1" outline="0" fieldPosition="0">
        <references count="3">
          <reference field="0" count="1" selected="0">
            <x v="0"/>
          </reference>
          <reference field="1" count="1" selected="0">
            <x v="210"/>
          </reference>
          <reference field="20" count="1">
            <x v="0"/>
          </reference>
        </references>
      </pivotArea>
    </format>
    <format dxfId="1930">
      <pivotArea dataOnly="0" labelOnly="1" outline="0" fieldPosition="0">
        <references count="3">
          <reference field="0" count="1" selected="0">
            <x v="0"/>
          </reference>
          <reference field="1" count="1" selected="0">
            <x v="219"/>
          </reference>
          <reference field="20" count="1">
            <x v="0"/>
          </reference>
        </references>
      </pivotArea>
    </format>
    <format dxfId="1929">
      <pivotArea dataOnly="0" labelOnly="1" outline="0" fieldPosition="0">
        <references count="3">
          <reference field="0" count="1" selected="0">
            <x v="0"/>
          </reference>
          <reference field="1" count="1" selected="0">
            <x v="225"/>
          </reference>
          <reference field="20" count="1">
            <x v="0"/>
          </reference>
        </references>
      </pivotArea>
    </format>
    <format dxfId="1928">
      <pivotArea dataOnly="0" labelOnly="1" outline="0" fieldPosition="0">
        <references count="3">
          <reference field="0" count="1" selected="0">
            <x v="0"/>
          </reference>
          <reference field="1" count="1" selected="0">
            <x v="226"/>
          </reference>
          <reference field="20" count="1">
            <x v="0"/>
          </reference>
        </references>
      </pivotArea>
    </format>
    <format dxfId="1927">
      <pivotArea dataOnly="0" labelOnly="1" outline="0" fieldPosition="0">
        <references count="3">
          <reference field="0" count="1" selected="0">
            <x v="0"/>
          </reference>
          <reference field="1" count="1" selected="0">
            <x v="227"/>
          </reference>
          <reference field="20" count="1">
            <x v="0"/>
          </reference>
        </references>
      </pivotArea>
    </format>
    <format dxfId="1926">
      <pivotArea dataOnly="0" labelOnly="1" outline="0" fieldPosition="0">
        <references count="3">
          <reference field="0" count="1" selected="0">
            <x v="0"/>
          </reference>
          <reference field="1" count="1" selected="0">
            <x v="228"/>
          </reference>
          <reference field="20" count="1">
            <x v="0"/>
          </reference>
        </references>
      </pivotArea>
    </format>
    <format dxfId="1925">
      <pivotArea dataOnly="0" labelOnly="1" outline="0" fieldPosition="0">
        <references count="3">
          <reference field="0" count="1" selected="0">
            <x v="0"/>
          </reference>
          <reference field="1" count="1" selected="0">
            <x v="230"/>
          </reference>
          <reference field="20" count="1">
            <x v="0"/>
          </reference>
        </references>
      </pivotArea>
    </format>
    <format dxfId="1924">
      <pivotArea dataOnly="0" labelOnly="1" outline="0" fieldPosition="0">
        <references count="3">
          <reference field="0" count="1" selected="0">
            <x v="0"/>
          </reference>
          <reference field="1" count="1" selected="0">
            <x v="246"/>
          </reference>
          <reference field="20" count="1">
            <x v="0"/>
          </reference>
        </references>
      </pivotArea>
    </format>
    <format dxfId="1923">
      <pivotArea dataOnly="0" labelOnly="1" outline="0" fieldPosition="0">
        <references count="3">
          <reference field="0" count="1" selected="0">
            <x v="0"/>
          </reference>
          <reference field="1" count="1" selected="0">
            <x v="259"/>
          </reference>
          <reference field="20" count="1">
            <x v="0"/>
          </reference>
        </references>
      </pivotArea>
    </format>
    <format dxfId="1922">
      <pivotArea dataOnly="0" labelOnly="1" outline="0" fieldPosition="0">
        <references count="3">
          <reference field="0" count="1" selected="0">
            <x v="0"/>
          </reference>
          <reference field="1" count="1" selected="0">
            <x v="265"/>
          </reference>
          <reference field="20" count="1">
            <x v="0"/>
          </reference>
        </references>
      </pivotArea>
    </format>
    <format dxfId="1921">
      <pivotArea dataOnly="0" labelOnly="1" outline="0" fieldPosition="0">
        <references count="3">
          <reference field="0" count="1" selected="0">
            <x v="0"/>
          </reference>
          <reference field="1" count="1" selected="0">
            <x v="274"/>
          </reference>
          <reference field="20" count="1">
            <x v="0"/>
          </reference>
        </references>
      </pivotArea>
    </format>
    <format dxfId="1920">
      <pivotArea dataOnly="0" labelOnly="1" outline="0" fieldPosition="0">
        <references count="3">
          <reference field="0" count="1" selected="0">
            <x v="0"/>
          </reference>
          <reference field="1" count="1" selected="0">
            <x v="284"/>
          </reference>
          <reference field="20" count="1">
            <x v="0"/>
          </reference>
        </references>
      </pivotArea>
    </format>
    <format dxfId="1919">
      <pivotArea dataOnly="0" labelOnly="1" outline="0" fieldPosition="0">
        <references count="3">
          <reference field="0" count="1" selected="0">
            <x v="0"/>
          </reference>
          <reference field="1" count="1" selected="0">
            <x v="317"/>
          </reference>
          <reference field="20" count="1">
            <x v="0"/>
          </reference>
        </references>
      </pivotArea>
    </format>
    <format dxfId="1918">
      <pivotArea dataOnly="0" labelOnly="1" outline="0" fieldPosition="0">
        <references count="3">
          <reference field="0" count="1" selected="0">
            <x v="0"/>
          </reference>
          <reference field="1" count="1" selected="0">
            <x v="339"/>
          </reference>
          <reference field="20" count="1">
            <x v="38"/>
          </reference>
        </references>
      </pivotArea>
    </format>
    <format dxfId="1917">
      <pivotArea dataOnly="0" labelOnly="1" outline="0" fieldPosition="0">
        <references count="3">
          <reference field="0" count="1" selected="0">
            <x v="0"/>
          </reference>
          <reference field="1" count="1" selected="0">
            <x v="353"/>
          </reference>
          <reference field="20" count="1">
            <x v="0"/>
          </reference>
        </references>
      </pivotArea>
    </format>
    <format dxfId="1916">
      <pivotArea dataOnly="0" labelOnly="1" outline="0" fieldPosition="0">
        <references count="3">
          <reference field="0" count="1" selected="0">
            <x v="0"/>
          </reference>
          <reference field="1" count="1" selected="0">
            <x v="354"/>
          </reference>
          <reference field="20" count="1">
            <x v="43"/>
          </reference>
        </references>
      </pivotArea>
    </format>
    <format dxfId="1915">
      <pivotArea dataOnly="0" labelOnly="1" outline="0" fieldPosition="0">
        <references count="3">
          <reference field="0" count="1" selected="0">
            <x v="0"/>
          </reference>
          <reference field="1" count="1" selected="0">
            <x v="355"/>
          </reference>
          <reference field="20" count="1">
            <x v="44"/>
          </reference>
        </references>
      </pivotArea>
    </format>
    <format dxfId="1914">
      <pivotArea dataOnly="0" labelOnly="1" outline="0" fieldPosition="0">
        <references count="3">
          <reference field="0" count="1" selected="0">
            <x v="0"/>
          </reference>
          <reference field="1" count="1" selected="0">
            <x v="356"/>
          </reference>
          <reference field="20" count="1">
            <x v="45"/>
          </reference>
        </references>
      </pivotArea>
    </format>
    <format dxfId="1913">
      <pivotArea dataOnly="0" labelOnly="1" outline="0" fieldPosition="0">
        <references count="3">
          <reference field="0" count="1" selected="0">
            <x v="0"/>
          </reference>
          <reference field="1" count="1" selected="0">
            <x v="357"/>
          </reference>
          <reference field="20" count="1">
            <x v="46"/>
          </reference>
        </references>
      </pivotArea>
    </format>
    <format dxfId="1912">
      <pivotArea dataOnly="0" labelOnly="1" outline="0" fieldPosition="0">
        <references count="3">
          <reference field="0" count="1" selected="0">
            <x v="0"/>
          </reference>
          <reference field="1" count="1" selected="0">
            <x v="358"/>
          </reference>
          <reference field="20" count="1">
            <x v="0"/>
          </reference>
        </references>
      </pivotArea>
    </format>
    <format dxfId="1911">
      <pivotArea dataOnly="0" labelOnly="1" outline="0" fieldPosition="0">
        <references count="3">
          <reference field="0" count="1" selected="0">
            <x v="0"/>
          </reference>
          <reference field="1" count="1" selected="0">
            <x v="359"/>
          </reference>
          <reference field="20" count="1">
            <x v="0"/>
          </reference>
        </references>
      </pivotArea>
    </format>
    <format dxfId="1910">
      <pivotArea dataOnly="0" labelOnly="1" outline="0" fieldPosition="0">
        <references count="3">
          <reference field="0" count="1" selected="0">
            <x v="0"/>
          </reference>
          <reference field="1" count="1" selected="0">
            <x v="361"/>
          </reference>
          <reference field="20" count="1">
            <x v="47"/>
          </reference>
        </references>
      </pivotArea>
    </format>
    <format dxfId="1909">
      <pivotArea dataOnly="0" labelOnly="1" outline="0" fieldPosition="0">
        <references count="3">
          <reference field="0" count="1" selected="0">
            <x v="0"/>
          </reference>
          <reference field="1" count="1" selected="0">
            <x v="362"/>
          </reference>
          <reference field="20" count="1">
            <x v="0"/>
          </reference>
        </references>
      </pivotArea>
    </format>
    <format dxfId="1908">
      <pivotArea dataOnly="0" labelOnly="1" outline="0" fieldPosition="0">
        <references count="3">
          <reference field="0" count="1" selected="0">
            <x v="0"/>
          </reference>
          <reference field="1" count="1" selected="0">
            <x v="397"/>
          </reference>
          <reference field="20" count="1">
            <x v="0"/>
          </reference>
        </references>
      </pivotArea>
    </format>
    <format dxfId="1907">
      <pivotArea dataOnly="0" labelOnly="1" outline="0" fieldPosition="0">
        <references count="3">
          <reference field="0" count="1" selected="0">
            <x v="0"/>
          </reference>
          <reference field="1" count="1" selected="0">
            <x v="399"/>
          </reference>
          <reference field="20" count="1">
            <x v="0"/>
          </reference>
        </references>
      </pivotArea>
    </format>
    <format dxfId="1906">
      <pivotArea dataOnly="0" labelOnly="1" outline="0" fieldPosition="0">
        <references count="3">
          <reference field="0" count="1" selected="0">
            <x v="0"/>
          </reference>
          <reference field="1" count="1" selected="0">
            <x v="458"/>
          </reference>
          <reference field="20" count="1">
            <x v="67"/>
          </reference>
        </references>
      </pivotArea>
    </format>
    <format dxfId="1905">
      <pivotArea dataOnly="0" labelOnly="1" outline="0" fieldPosition="0">
        <references count="3">
          <reference field="0" count="1" selected="0">
            <x v="0"/>
          </reference>
          <reference field="1" count="1" selected="0">
            <x v="470"/>
          </reference>
          <reference field="20" count="1">
            <x v="0"/>
          </reference>
        </references>
      </pivotArea>
    </format>
    <format dxfId="1904">
      <pivotArea dataOnly="0" labelOnly="1" outline="0" fieldPosition="0">
        <references count="3">
          <reference field="0" count="1" selected="0">
            <x v="0"/>
          </reference>
          <reference field="1" count="1" selected="0">
            <x v="511"/>
          </reference>
          <reference field="20" count="1">
            <x v="0"/>
          </reference>
        </references>
      </pivotArea>
    </format>
    <format dxfId="1903">
      <pivotArea dataOnly="0" labelOnly="1" outline="0" fieldPosition="0">
        <references count="3">
          <reference field="0" count="1" selected="0">
            <x v="0"/>
          </reference>
          <reference field="1" count="1" selected="0">
            <x v="523"/>
          </reference>
          <reference field="20" count="1">
            <x v="74"/>
          </reference>
        </references>
      </pivotArea>
    </format>
    <format dxfId="1902">
      <pivotArea dataOnly="0" labelOnly="1" outline="0" fieldPosition="0">
        <references count="3">
          <reference field="0" count="1" selected="0">
            <x v="0"/>
          </reference>
          <reference field="1" count="1" selected="0">
            <x v="531"/>
          </reference>
          <reference field="20" count="1">
            <x v="0"/>
          </reference>
        </references>
      </pivotArea>
    </format>
    <format dxfId="1901">
      <pivotArea dataOnly="0" labelOnly="1" outline="0" fieldPosition="0">
        <references count="3">
          <reference field="0" count="1" selected="0">
            <x v="0"/>
          </reference>
          <reference field="1" count="1" selected="0">
            <x v="547"/>
          </reference>
          <reference field="20" count="1">
            <x v="0"/>
          </reference>
        </references>
      </pivotArea>
    </format>
    <format dxfId="1900">
      <pivotArea dataOnly="0" labelOnly="1" outline="0" fieldPosition="0">
        <references count="3">
          <reference field="0" count="1" selected="0">
            <x v="0"/>
          </reference>
          <reference field="1" count="1" selected="0">
            <x v="566"/>
          </reference>
          <reference field="20" count="1">
            <x v="0"/>
          </reference>
        </references>
      </pivotArea>
    </format>
    <format dxfId="1899">
      <pivotArea dataOnly="0" labelOnly="1" outline="0" fieldPosition="0">
        <references count="3">
          <reference field="0" count="1" selected="0">
            <x v="0"/>
          </reference>
          <reference field="1" count="1" selected="0">
            <x v="582"/>
          </reference>
          <reference field="20" count="1">
            <x v="0"/>
          </reference>
        </references>
      </pivotArea>
    </format>
    <format dxfId="1898">
      <pivotArea dataOnly="0" labelOnly="1" outline="0" fieldPosition="0">
        <references count="3">
          <reference field="0" count="1" selected="0">
            <x v="0"/>
          </reference>
          <reference field="1" count="1" selected="0">
            <x v="585"/>
          </reference>
          <reference field="20" count="1">
            <x v="86"/>
          </reference>
        </references>
      </pivotArea>
    </format>
    <format dxfId="1897">
      <pivotArea dataOnly="0" labelOnly="1" outline="0" fieldPosition="0">
        <references count="3">
          <reference field="0" count="1" selected="0">
            <x v="0"/>
          </reference>
          <reference field="1" count="1" selected="0">
            <x v="603"/>
          </reference>
          <reference field="20" count="1">
            <x v="0"/>
          </reference>
        </references>
      </pivotArea>
    </format>
    <format dxfId="1896">
      <pivotArea dataOnly="0" labelOnly="1" outline="0" fieldPosition="0">
        <references count="3">
          <reference field="0" count="1" selected="0">
            <x v="0"/>
          </reference>
          <reference field="1" count="1" selected="0">
            <x v="605"/>
          </reference>
          <reference field="20" count="1">
            <x v="0"/>
          </reference>
        </references>
      </pivotArea>
    </format>
    <format dxfId="1895">
      <pivotArea dataOnly="0" labelOnly="1" outline="0" fieldPosition="0">
        <references count="3">
          <reference field="0" count="1" selected="0">
            <x v="0"/>
          </reference>
          <reference field="1" count="1" selected="0">
            <x v="623"/>
          </reference>
          <reference field="20" count="1">
            <x v="0"/>
          </reference>
        </references>
      </pivotArea>
    </format>
    <format dxfId="1894">
      <pivotArea dataOnly="0" labelOnly="1" outline="0" fieldPosition="0">
        <references count="3">
          <reference field="0" count="1" selected="0">
            <x v="0"/>
          </reference>
          <reference field="1" count="1" selected="0">
            <x v="642"/>
          </reference>
          <reference field="20" count="1">
            <x v="0"/>
          </reference>
        </references>
      </pivotArea>
    </format>
    <format dxfId="1893">
      <pivotArea dataOnly="0" labelOnly="1" outline="0" fieldPosition="0">
        <references count="3">
          <reference field="0" count="1" selected="0">
            <x v="0"/>
          </reference>
          <reference field="1" count="1" selected="0">
            <x v="658"/>
          </reference>
          <reference field="20" count="1">
            <x v="0"/>
          </reference>
        </references>
      </pivotArea>
    </format>
    <format dxfId="1892">
      <pivotArea dataOnly="0" labelOnly="1" outline="0" fieldPosition="0">
        <references count="3">
          <reference field="0" count="1" selected="0">
            <x v="0"/>
          </reference>
          <reference field="1" count="1" selected="0">
            <x v="678"/>
          </reference>
          <reference field="20" count="1">
            <x v="0"/>
          </reference>
        </references>
      </pivotArea>
    </format>
    <format dxfId="1891">
      <pivotArea dataOnly="0" labelOnly="1" outline="0" fieldPosition="0">
        <references count="3">
          <reference field="0" count="1" selected="0">
            <x v="0"/>
          </reference>
          <reference field="1" count="1" selected="0">
            <x v="682"/>
          </reference>
          <reference field="20" count="1">
            <x v="0"/>
          </reference>
        </references>
      </pivotArea>
    </format>
    <format dxfId="1890">
      <pivotArea dataOnly="0" labelOnly="1" outline="0" fieldPosition="0">
        <references count="3">
          <reference field="0" count="1" selected="0">
            <x v="0"/>
          </reference>
          <reference field="1" count="1" selected="0">
            <x v="687"/>
          </reference>
          <reference field="20" count="1">
            <x v="104"/>
          </reference>
        </references>
      </pivotArea>
    </format>
    <format dxfId="1889">
      <pivotArea dataOnly="0" labelOnly="1" outline="0" fieldPosition="0">
        <references count="3">
          <reference field="0" count="1" selected="0">
            <x v="0"/>
          </reference>
          <reference field="1" count="1" selected="0">
            <x v="688"/>
          </reference>
          <reference field="20" count="1">
            <x v="0"/>
          </reference>
        </references>
      </pivotArea>
    </format>
    <format dxfId="1888">
      <pivotArea dataOnly="0" labelOnly="1" outline="0" fieldPosition="0">
        <references count="3">
          <reference field="0" count="1" selected="0">
            <x v="0"/>
          </reference>
          <reference field="1" count="1" selected="0">
            <x v="690"/>
          </reference>
          <reference field="20" count="1">
            <x v="105"/>
          </reference>
        </references>
      </pivotArea>
    </format>
    <format dxfId="1887">
      <pivotArea dataOnly="0" labelOnly="1" outline="0" fieldPosition="0">
        <references count="3">
          <reference field="0" count="1" selected="0">
            <x v="0"/>
          </reference>
          <reference field="1" count="1" selected="0">
            <x v="691"/>
          </reference>
          <reference field="20" count="1">
            <x v="106"/>
          </reference>
        </references>
      </pivotArea>
    </format>
    <format dxfId="1886">
      <pivotArea dataOnly="0" labelOnly="1" outline="0" fieldPosition="0">
        <references count="3">
          <reference field="0" count="1" selected="0">
            <x v="0"/>
          </reference>
          <reference field="1" count="1" selected="0">
            <x v="694"/>
          </reference>
          <reference field="20" count="1">
            <x v="0"/>
          </reference>
        </references>
      </pivotArea>
    </format>
    <format dxfId="1885">
      <pivotArea dataOnly="0" labelOnly="1" outline="0" fieldPosition="0">
        <references count="3">
          <reference field="0" count="1" selected="0">
            <x v="0"/>
          </reference>
          <reference field="1" count="1" selected="0">
            <x v="695"/>
          </reference>
          <reference field="20" count="1">
            <x v="0"/>
          </reference>
        </references>
      </pivotArea>
    </format>
    <format dxfId="1884">
      <pivotArea dataOnly="0" labelOnly="1" outline="0" fieldPosition="0">
        <references count="3">
          <reference field="0" count="1" selected="0">
            <x v="0"/>
          </reference>
          <reference field="1" count="1" selected="0">
            <x v="707"/>
          </reference>
          <reference field="20" count="1">
            <x v="109"/>
          </reference>
        </references>
      </pivotArea>
    </format>
    <format dxfId="1883">
      <pivotArea dataOnly="0" labelOnly="1" outline="0" fieldPosition="0">
        <references count="3">
          <reference field="0" count="1" selected="0">
            <x v="0"/>
          </reference>
          <reference field="1" count="1" selected="0">
            <x v="711"/>
          </reference>
          <reference field="20" count="1">
            <x v="0"/>
          </reference>
        </references>
      </pivotArea>
    </format>
    <format dxfId="1882">
      <pivotArea dataOnly="0" labelOnly="1" outline="0" fieldPosition="0">
        <references count="3">
          <reference field="0" count="1" selected="0">
            <x v="0"/>
          </reference>
          <reference field="1" count="1" selected="0">
            <x v="742"/>
          </reference>
          <reference field="20" count="1">
            <x v="0"/>
          </reference>
        </references>
      </pivotArea>
    </format>
    <format dxfId="1881">
      <pivotArea dataOnly="0" labelOnly="1" outline="0" fieldPosition="0">
        <references count="3">
          <reference field="0" count="1" selected="0">
            <x v="0"/>
          </reference>
          <reference field="1" count="1" selected="0">
            <x v="747"/>
          </reference>
          <reference field="20" count="1">
            <x v="0"/>
          </reference>
        </references>
      </pivotArea>
    </format>
    <format dxfId="1880">
      <pivotArea dataOnly="0" labelOnly="1" outline="0" fieldPosition="0">
        <references count="3">
          <reference field="0" count="1" selected="0">
            <x v="0"/>
          </reference>
          <reference field="1" count="1" selected="0">
            <x v="749"/>
          </reference>
          <reference field="20" count="1">
            <x v="124"/>
          </reference>
        </references>
      </pivotArea>
    </format>
    <format dxfId="1879">
      <pivotArea dataOnly="0" labelOnly="1" outline="0" fieldPosition="0">
        <references count="3">
          <reference field="0" count="1" selected="0">
            <x v="0"/>
          </reference>
          <reference field="1" count="1" selected="0">
            <x v="750"/>
          </reference>
          <reference field="20" count="1">
            <x v="0"/>
          </reference>
        </references>
      </pivotArea>
    </format>
    <format dxfId="1878">
      <pivotArea dataOnly="0" labelOnly="1" outline="0" fieldPosition="0">
        <references count="3">
          <reference field="0" count="1" selected="0">
            <x v="0"/>
          </reference>
          <reference field="1" count="1" selected="0">
            <x v="775"/>
          </reference>
          <reference field="20" count="1">
            <x v="0"/>
          </reference>
        </references>
      </pivotArea>
    </format>
    <format dxfId="1877">
      <pivotArea dataOnly="0" labelOnly="1" outline="0" fieldPosition="0">
        <references count="3">
          <reference field="0" count="1" selected="0">
            <x v="0"/>
          </reference>
          <reference field="1" count="1" selected="0">
            <x v="799"/>
          </reference>
          <reference field="20" count="1">
            <x v="135"/>
          </reference>
        </references>
      </pivotArea>
    </format>
    <format dxfId="1876">
      <pivotArea dataOnly="0" labelOnly="1" outline="0" fieldPosition="0">
        <references count="3">
          <reference field="0" count="1" selected="0">
            <x v="0"/>
          </reference>
          <reference field="1" count="1" selected="0">
            <x v="803"/>
          </reference>
          <reference field="20" count="1">
            <x v="0"/>
          </reference>
        </references>
      </pivotArea>
    </format>
    <format dxfId="1875">
      <pivotArea dataOnly="0" labelOnly="1" outline="0" fieldPosition="0">
        <references count="3">
          <reference field="0" count="1" selected="0">
            <x v="0"/>
          </reference>
          <reference field="1" count="1" selected="0">
            <x v="804"/>
          </reference>
          <reference field="20" count="1">
            <x v="0"/>
          </reference>
        </references>
      </pivotArea>
    </format>
    <format dxfId="1874">
      <pivotArea dataOnly="0" labelOnly="1" outline="0" fieldPosition="0">
        <references count="3">
          <reference field="0" count="1" selected="0">
            <x v="0"/>
          </reference>
          <reference field="1" count="1" selected="0">
            <x v="822"/>
          </reference>
          <reference field="20" count="1">
            <x v="0"/>
          </reference>
        </references>
      </pivotArea>
    </format>
    <format dxfId="1873">
      <pivotArea dataOnly="0" labelOnly="1" outline="0" fieldPosition="0">
        <references count="3">
          <reference field="0" count="1" selected="0">
            <x v="0"/>
          </reference>
          <reference field="1" count="1" selected="0">
            <x v="828"/>
          </reference>
          <reference field="20" count="1">
            <x v="0"/>
          </reference>
        </references>
      </pivotArea>
    </format>
    <format dxfId="1872">
      <pivotArea dataOnly="0" labelOnly="1" outline="0" fieldPosition="0">
        <references count="3">
          <reference field="0" count="1" selected="0">
            <x v="0"/>
          </reference>
          <reference field="1" count="1" selected="0">
            <x v="840"/>
          </reference>
          <reference field="20" count="1">
            <x v="148"/>
          </reference>
        </references>
      </pivotArea>
    </format>
    <format dxfId="1871">
      <pivotArea dataOnly="0" labelOnly="1" outline="0" fieldPosition="0">
        <references count="3">
          <reference field="0" count="1" selected="0">
            <x v="0"/>
          </reference>
          <reference field="1" count="1" selected="0">
            <x v="842"/>
          </reference>
          <reference field="20" count="1">
            <x v="150"/>
          </reference>
        </references>
      </pivotArea>
    </format>
    <format dxfId="1870">
      <pivotArea dataOnly="0" labelOnly="1" outline="0" fieldPosition="0">
        <references count="3">
          <reference field="0" count="1" selected="0">
            <x v="0"/>
          </reference>
          <reference field="1" count="1" selected="0">
            <x v="849"/>
          </reference>
          <reference field="20" count="1">
            <x v="0"/>
          </reference>
        </references>
      </pivotArea>
    </format>
    <format dxfId="1869">
      <pivotArea dataOnly="0" labelOnly="1" outline="0" fieldPosition="0">
        <references count="3">
          <reference field="0" count="1" selected="0">
            <x v="0"/>
          </reference>
          <reference field="1" count="1" selected="0">
            <x v="869"/>
          </reference>
          <reference field="20" count="1">
            <x v="0"/>
          </reference>
        </references>
      </pivotArea>
    </format>
    <format dxfId="1868">
      <pivotArea dataOnly="0" labelOnly="1" outline="0" fieldPosition="0">
        <references count="3">
          <reference field="0" count="1" selected="0">
            <x v="0"/>
          </reference>
          <reference field="1" count="1" selected="0">
            <x v="897"/>
          </reference>
          <reference field="20" count="1">
            <x v="0"/>
          </reference>
        </references>
      </pivotArea>
    </format>
    <format dxfId="1867">
      <pivotArea dataOnly="0" labelOnly="1" outline="0" fieldPosition="0">
        <references count="3">
          <reference field="0" count="1" selected="0">
            <x v="0"/>
          </reference>
          <reference field="1" count="1" selected="0">
            <x v="901"/>
          </reference>
          <reference field="20" count="1">
            <x v="0"/>
          </reference>
        </references>
      </pivotArea>
    </format>
    <format dxfId="1866">
      <pivotArea dataOnly="0" labelOnly="1" outline="0" fieldPosition="0">
        <references count="3">
          <reference field="0" count="1" selected="0">
            <x v="0"/>
          </reference>
          <reference field="1" count="1" selected="0">
            <x v="916"/>
          </reference>
          <reference field="20" count="1">
            <x v="0"/>
          </reference>
        </references>
      </pivotArea>
    </format>
    <format dxfId="1865">
      <pivotArea dataOnly="0" labelOnly="1" outline="0" fieldPosition="0">
        <references count="3">
          <reference field="0" count="1" selected="0">
            <x v="0"/>
          </reference>
          <reference field="1" count="1" selected="0">
            <x v="917"/>
          </reference>
          <reference field="20" count="1">
            <x v="158"/>
          </reference>
        </references>
      </pivotArea>
    </format>
    <format dxfId="1864">
      <pivotArea dataOnly="0" labelOnly="1" outline="0" fieldPosition="0">
        <references count="3">
          <reference field="0" count="1" selected="0">
            <x v="0"/>
          </reference>
          <reference field="1" count="1" selected="0">
            <x v="932"/>
          </reference>
          <reference field="20" count="1">
            <x v="165"/>
          </reference>
        </references>
      </pivotArea>
    </format>
    <format dxfId="1863">
      <pivotArea dataOnly="0" labelOnly="1" outline="0" fieldPosition="0">
        <references count="3">
          <reference field="0" count="1" selected="0">
            <x v="0"/>
          </reference>
          <reference field="1" count="1" selected="0">
            <x v="937"/>
          </reference>
          <reference field="20" count="1">
            <x v="0"/>
          </reference>
        </references>
      </pivotArea>
    </format>
    <format dxfId="1862">
      <pivotArea dataOnly="0" labelOnly="1" outline="0" fieldPosition="0">
        <references count="3">
          <reference field="0" count="1" selected="0">
            <x v="0"/>
          </reference>
          <reference field="1" count="1" selected="0">
            <x v="969"/>
          </reference>
          <reference field="20" count="1">
            <x v="0"/>
          </reference>
        </references>
      </pivotArea>
    </format>
    <format dxfId="1861">
      <pivotArea dataOnly="0" labelOnly="1" outline="0" fieldPosition="0">
        <references count="3">
          <reference field="0" count="1" selected="0">
            <x v="0"/>
          </reference>
          <reference field="1" count="1" selected="0">
            <x v="1046"/>
          </reference>
          <reference field="20" count="1">
            <x v="207"/>
          </reference>
        </references>
      </pivotArea>
    </format>
    <format dxfId="1860">
      <pivotArea dataOnly="0" labelOnly="1" outline="0" fieldPosition="0">
        <references count="3">
          <reference field="0" count="1" selected="0">
            <x v="0"/>
          </reference>
          <reference field="1" count="1" selected="0">
            <x v="1048"/>
          </reference>
          <reference field="20" count="1">
            <x v="208"/>
          </reference>
        </references>
      </pivotArea>
    </format>
    <format dxfId="1859">
      <pivotArea dataOnly="0" labelOnly="1" outline="0" fieldPosition="0">
        <references count="3">
          <reference field="0" count="1" selected="0">
            <x v="0"/>
          </reference>
          <reference field="1" count="1" selected="0">
            <x v="1049"/>
          </reference>
          <reference field="20" count="1">
            <x v="209"/>
          </reference>
        </references>
      </pivotArea>
    </format>
    <format dxfId="1858">
      <pivotArea dataOnly="0" labelOnly="1" outline="0" fieldPosition="0">
        <references count="3">
          <reference field="0" count="1" selected="0">
            <x v="0"/>
          </reference>
          <reference field="1" count="1" selected="0">
            <x v="1085"/>
          </reference>
          <reference field="20" count="1">
            <x v="0"/>
          </reference>
        </references>
      </pivotArea>
    </format>
    <format dxfId="1857">
      <pivotArea dataOnly="0" labelOnly="1" outline="0" fieldPosition="0">
        <references count="3">
          <reference field="0" count="1" selected="0">
            <x v="0"/>
          </reference>
          <reference field="1" count="1" selected="0">
            <x v="1086"/>
          </reference>
          <reference field="20" count="1">
            <x v="214"/>
          </reference>
        </references>
      </pivotArea>
    </format>
    <format dxfId="1856">
      <pivotArea dataOnly="0" labelOnly="1" outline="0" fieldPosition="0">
        <references count="3">
          <reference field="0" count="1" selected="0">
            <x v="0"/>
          </reference>
          <reference field="1" count="1" selected="0">
            <x v="1087"/>
          </reference>
          <reference field="20" count="1">
            <x v="0"/>
          </reference>
        </references>
      </pivotArea>
    </format>
    <format dxfId="1855">
      <pivotArea dataOnly="0" labelOnly="1" outline="0" fieldPosition="0">
        <references count="3">
          <reference field="0" count="1" selected="0">
            <x v="0"/>
          </reference>
          <reference field="1" count="1" selected="0">
            <x v="1092"/>
          </reference>
          <reference field="20" count="1">
            <x v="217"/>
          </reference>
        </references>
      </pivotArea>
    </format>
    <format dxfId="1854">
      <pivotArea dataOnly="0" labelOnly="1" outline="0" fieldPosition="0">
        <references count="3">
          <reference field="0" count="1" selected="0">
            <x v="0"/>
          </reference>
          <reference field="1" count="1" selected="0">
            <x v="1114"/>
          </reference>
          <reference field="20" count="1">
            <x v="0"/>
          </reference>
        </references>
      </pivotArea>
    </format>
    <format dxfId="1853">
      <pivotArea dataOnly="0" labelOnly="1" outline="0" fieldPosition="0">
        <references count="3">
          <reference field="0" count="1" selected="0">
            <x v="0"/>
          </reference>
          <reference field="1" count="1" selected="0">
            <x v="1115"/>
          </reference>
          <reference field="20" count="1">
            <x v="0"/>
          </reference>
        </references>
      </pivotArea>
    </format>
    <format dxfId="1852">
      <pivotArea dataOnly="0" labelOnly="1" outline="0" fieldPosition="0">
        <references count="3">
          <reference field="0" count="1" selected="0">
            <x v="0"/>
          </reference>
          <reference field="1" count="1" selected="0">
            <x v="1116"/>
          </reference>
          <reference field="20" count="1">
            <x v="0"/>
          </reference>
        </references>
      </pivotArea>
    </format>
    <format dxfId="1851">
      <pivotArea dataOnly="0" labelOnly="1" outline="0" fieldPosition="0">
        <references count="3">
          <reference field="0" count="1" selected="0">
            <x v="0"/>
          </reference>
          <reference field="1" count="1" selected="0">
            <x v="1117"/>
          </reference>
          <reference field="20" count="1">
            <x v="0"/>
          </reference>
        </references>
      </pivotArea>
    </format>
    <format dxfId="1850">
      <pivotArea dataOnly="0" labelOnly="1" outline="0" fieldPosition="0">
        <references count="3">
          <reference field="0" count="1" selected="0">
            <x v="0"/>
          </reference>
          <reference field="1" count="1" selected="0">
            <x v="1118"/>
          </reference>
          <reference field="20" count="1">
            <x v="0"/>
          </reference>
        </references>
      </pivotArea>
    </format>
    <format dxfId="1849">
      <pivotArea dataOnly="0" labelOnly="1" outline="0" fieldPosition="0">
        <references count="3">
          <reference field="0" count="1" selected="0">
            <x v="0"/>
          </reference>
          <reference field="1" count="1" selected="0">
            <x v="1119"/>
          </reference>
          <reference field="20" count="1">
            <x v="0"/>
          </reference>
        </references>
      </pivotArea>
    </format>
    <format dxfId="1848">
      <pivotArea dataOnly="0" labelOnly="1" outline="0" fieldPosition="0">
        <references count="3">
          <reference field="0" count="1" selected="0">
            <x v="0"/>
          </reference>
          <reference field="1" count="1" selected="0">
            <x v="1133"/>
          </reference>
          <reference field="20" count="1">
            <x v="0"/>
          </reference>
        </references>
      </pivotArea>
    </format>
    <format dxfId="1847">
      <pivotArea dataOnly="0" labelOnly="1" outline="0" fieldPosition="0">
        <references count="3">
          <reference field="0" count="1" selected="0">
            <x v="0"/>
          </reference>
          <reference field="1" count="1" selected="0">
            <x v="1163"/>
          </reference>
          <reference field="20" count="1">
            <x v="0"/>
          </reference>
        </references>
      </pivotArea>
    </format>
    <format dxfId="1846">
      <pivotArea dataOnly="0" labelOnly="1" outline="0" fieldPosition="0">
        <references count="3">
          <reference field="0" count="1" selected="0">
            <x v="0"/>
          </reference>
          <reference field="1" count="1" selected="0">
            <x v="1232"/>
          </reference>
          <reference field="20" count="1">
            <x v="0"/>
          </reference>
        </references>
      </pivotArea>
    </format>
    <format dxfId="1845">
      <pivotArea dataOnly="0" labelOnly="1" outline="0" fieldPosition="0">
        <references count="3">
          <reference field="0" count="1" selected="0">
            <x v="0"/>
          </reference>
          <reference field="1" count="1" selected="0">
            <x v="1233"/>
          </reference>
          <reference field="20" count="1">
            <x v="0"/>
          </reference>
        </references>
      </pivotArea>
    </format>
    <format dxfId="1844">
      <pivotArea dataOnly="0" labelOnly="1" outline="0" fieldPosition="0">
        <references count="3">
          <reference field="0" count="1" selected="0">
            <x v="0"/>
          </reference>
          <reference field="1" count="1" selected="0">
            <x v="1269"/>
          </reference>
          <reference field="20" count="1">
            <x v="0"/>
          </reference>
        </references>
      </pivotArea>
    </format>
    <format dxfId="1843">
      <pivotArea dataOnly="0" labelOnly="1" outline="0" fieldPosition="0">
        <references count="3">
          <reference field="0" count="1" selected="0">
            <x v="0"/>
          </reference>
          <reference field="1" count="1" selected="0">
            <x v="1273"/>
          </reference>
          <reference field="20" count="1">
            <x v="0"/>
          </reference>
        </references>
      </pivotArea>
    </format>
    <format dxfId="1842">
      <pivotArea dataOnly="0" labelOnly="1" outline="0" fieldPosition="0">
        <references count="3">
          <reference field="0" count="1" selected="0">
            <x v="0"/>
          </reference>
          <reference field="1" count="1" selected="0">
            <x v="1283"/>
          </reference>
          <reference field="20" count="1">
            <x v="0"/>
          </reference>
        </references>
      </pivotArea>
    </format>
    <format dxfId="1841">
      <pivotArea dataOnly="0" labelOnly="1" outline="0" fieldPosition="0">
        <references count="3">
          <reference field="0" count="1" selected="0">
            <x v="0"/>
          </reference>
          <reference field="1" count="1" selected="0">
            <x v="1326"/>
          </reference>
          <reference field="20" count="1">
            <x v="0"/>
          </reference>
        </references>
      </pivotArea>
    </format>
    <format dxfId="1840">
      <pivotArea dataOnly="0" labelOnly="1" outline="0" fieldPosition="0">
        <references count="3">
          <reference field="0" count="1" selected="0">
            <x v="0"/>
          </reference>
          <reference field="1" count="1" selected="0">
            <x v="1341"/>
          </reference>
          <reference field="20" count="1">
            <x v="0"/>
          </reference>
        </references>
      </pivotArea>
    </format>
    <format dxfId="1839">
      <pivotArea dataOnly="0" labelOnly="1" outline="0" fieldPosition="0">
        <references count="3">
          <reference field="0" count="1" selected="0">
            <x v="0"/>
          </reference>
          <reference field="1" count="1" selected="0">
            <x v="1352"/>
          </reference>
          <reference field="20" count="1">
            <x v="0"/>
          </reference>
        </references>
      </pivotArea>
    </format>
    <format dxfId="1838">
      <pivotArea dataOnly="0" labelOnly="1" outline="0" fieldPosition="0">
        <references count="3">
          <reference field="0" count="1" selected="0">
            <x v="0"/>
          </reference>
          <reference field="1" count="1" selected="0">
            <x v="1369"/>
          </reference>
          <reference field="20" count="1">
            <x v="0"/>
          </reference>
        </references>
      </pivotArea>
    </format>
    <format dxfId="1837">
      <pivotArea dataOnly="0" labelOnly="1" outline="0" fieldPosition="0">
        <references count="3">
          <reference field="0" count="1" selected="0">
            <x v="0"/>
          </reference>
          <reference field="1" count="1" selected="0">
            <x v="1370"/>
          </reference>
          <reference field="20" count="1">
            <x v="0"/>
          </reference>
        </references>
      </pivotArea>
    </format>
    <format dxfId="1836">
      <pivotArea dataOnly="0" labelOnly="1" outline="0" fieldPosition="0">
        <references count="3">
          <reference field="0" count="1" selected="0">
            <x v="0"/>
          </reference>
          <reference field="1" count="1" selected="0">
            <x v="1392"/>
          </reference>
          <reference field="20" count="1">
            <x v="0"/>
          </reference>
        </references>
      </pivotArea>
    </format>
    <format dxfId="1835">
      <pivotArea dataOnly="0" labelOnly="1" outline="0" fieldPosition="0">
        <references count="3">
          <reference field="0" count="1" selected="0">
            <x v="0"/>
          </reference>
          <reference field="1" count="1" selected="0">
            <x v="1393"/>
          </reference>
          <reference field="20" count="1">
            <x v="0"/>
          </reference>
        </references>
      </pivotArea>
    </format>
    <format dxfId="1834">
      <pivotArea dataOnly="0" labelOnly="1" outline="0" fieldPosition="0">
        <references count="3">
          <reference field="0" count="1" selected="0">
            <x v="0"/>
          </reference>
          <reference field="1" count="1" selected="0">
            <x v="1405"/>
          </reference>
          <reference field="20" count="1">
            <x v="0"/>
          </reference>
        </references>
      </pivotArea>
    </format>
    <format dxfId="1833">
      <pivotArea dataOnly="0" labelOnly="1" outline="0" fieldPosition="0">
        <references count="3">
          <reference field="0" count="1" selected="0">
            <x v="0"/>
          </reference>
          <reference field="1" count="1" selected="0">
            <x v="1415"/>
          </reference>
          <reference field="20" count="1">
            <x v="0"/>
          </reference>
        </references>
      </pivotArea>
    </format>
    <format dxfId="1832">
      <pivotArea dataOnly="0" labelOnly="1" outline="0" fieldPosition="0">
        <references count="3">
          <reference field="0" count="1" selected="0">
            <x v="0"/>
          </reference>
          <reference field="1" count="1" selected="0">
            <x v="1446"/>
          </reference>
          <reference field="20" count="1">
            <x v="0"/>
          </reference>
        </references>
      </pivotArea>
    </format>
    <format dxfId="1831">
      <pivotArea dataOnly="0" labelOnly="1" outline="0" fieldPosition="0">
        <references count="3">
          <reference field="0" count="1" selected="0">
            <x v="0"/>
          </reference>
          <reference field="1" count="1" selected="0">
            <x v="1447"/>
          </reference>
          <reference field="20" count="1">
            <x v="0"/>
          </reference>
        </references>
      </pivotArea>
    </format>
    <format dxfId="1830">
      <pivotArea dataOnly="0" labelOnly="1" outline="0" fieldPosition="0">
        <references count="3">
          <reference field="0" count="1" selected="0">
            <x v="0"/>
          </reference>
          <reference field="1" count="1" selected="0">
            <x v="1448"/>
          </reference>
          <reference field="20" count="1">
            <x v="0"/>
          </reference>
        </references>
      </pivotArea>
    </format>
    <format dxfId="1829">
      <pivotArea dataOnly="0" labelOnly="1" outline="0" fieldPosition="0">
        <references count="3">
          <reference field="0" count="1" selected="0">
            <x v="0"/>
          </reference>
          <reference field="1" count="1" selected="0">
            <x v="1460"/>
          </reference>
          <reference field="20" count="1">
            <x v="0"/>
          </reference>
        </references>
      </pivotArea>
    </format>
    <format dxfId="1828">
      <pivotArea dataOnly="0" labelOnly="1" outline="0" fieldPosition="0">
        <references count="3">
          <reference field="0" count="1" selected="0">
            <x v="0"/>
          </reference>
          <reference field="1" count="1" selected="0">
            <x v="1471"/>
          </reference>
          <reference field="20" count="1">
            <x v="0"/>
          </reference>
        </references>
      </pivotArea>
    </format>
    <format dxfId="1827">
      <pivotArea dataOnly="0" labelOnly="1" outline="0" fieldPosition="0">
        <references count="3">
          <reference field="0" count="1" selected="0">
            <x v="0"/>
          </reference>
          <reference field="1" count="1" selected="0">
            <x v="1472"/>
          </reference>
          <reference field="20" count="1">
            <x v="0"/>
          </reference>
        </references>
      </pivotArea>
    </format>
    <format dxfId="1826">
      <pivotArea dataOnly="0" labelOnly="1" outline="0" fieldPosition="0">
        <references count="3">
          <reference field="0" count="1" selected="0">
            <x v="0"/>
          </reference>
          <reference field="1" count="1" selected="0">
            <x v="1498"/>
          </reference>
          <reference field="20" count="1">
            <x v="0"/>
          </reference>
        </references>
      </pivotArea>
    </format>
    <format dxfId="1825">
      <pivotArea dataOnly="0" labelOnly="1" outline="0" fieldPosition="0">
        <references count="3">
          <reference field="0" count="1" selected="0">
            <x v="0"/>
          </reference>
          <reference field="1" count="1" selected="0">
            <x v="1499"/>
          </reference>
          <reference field="20" count="1">
            <x v="0"/>
          </reference>
        </references>
      </pivotArea>
    </format>
    <format dxfId="1824">
      <pivotArea dataOnly="0" labelOnly="1" outline="0" fieldPosition="0">
        <references count="3">
          <reference field="0" count="1" selected="0">
            <x v="0"/>
          </reference>
          <reference field="1" count="1" selected="0">
            <x v="1509"/>
          </reference>
          <reference field="20" count="1">
            <x v="0"/>
          </reference>
        </references>
      </pivotArea>
    </format>
    <format dxfId="1823">
      <pivotArea dataOnly="0" labelOnly="1" outline="0" fieldPosition="0">
        <references count="3">
          <reference field="0" count="1" selected="0">
            <x v="0"/>
          </reference>
          <reference field="1" count="1" selected="0">
            <x v="1517"/>
          </reference>
          <reference field="20" count="1">
            <x v="0"/>
          </reference>
        </references>
      </pivotArea>
    </format>
    <format dxfId="1822">
      <pivotArea dataOnly="0" labelOnly="1" outline="0" fieldPosition="0">
        <references count="3">
          <reference field="0" count="1" selected="0">
            <x v="0"/>
          </reference>
          <reference field="1" count="1" selected="0">
            <x v="1521"/>
          </reference>
          <reference field="20" count="1">
            <x v="0"/>
          </reference>
        </references>
      </pivotArea>
    </format>
    <format dxfId="1821">
      <pivotArea dataOnly="0" labelOnly="1" outline="0" fieldPosition="0">
        <references count="3">
          <reference field="0" count="1" selected="0">
            <x v="0"/>
          </reference>
          <reference field="1" count="1" selected="0">
            <x v="1564"/>
          </reference>
          <reference field="20" count="1">
            <x v="0"/>
          </reference>
        </references>
      </pivotArea>
    </format>
    <format dxfId="1820">
      <pivotArea dataOnly="0" labelOnly="1" outline="0" fieldPosition="0">
        <references count="3">
          <reference field="0" count="1" selected="0">
            <x v="0"/>
          </reference>
          <reference field="1" count="1" selected="0">
            <x v="1574"/>
          </reference>
          <reference field="20" count="1">
            <x v="0"/>
          </reference>
        </references>
      </pivotArea>
    </format>
    <format dxfId="1819">
      <pivotArea dataOnly="0" labelOnly="1" outline="0" fieldPosition="0">
        <references count="3">
          <reference field="0" count="1" selected="0">
            <x v="0"/>
          </reference>
          <reference field="1" count="1" selected="0">
            <x v="1588"/>
          </reference>
          <reference field="20" count="1">
            <x v="0"/>
          </reference>
        </references>
      </pivotArea>
    </format>
    <format dxfId="1818">
      <pivotArea dataOnly="0" labelOnly="1" outline="0" fieldPosition="0">
        <references count="3">
          <reference field="0" count="1" selected="0">
            <x v="0"/>
          </reference>
          <reference field="1" count="1" selected="0">
            <x v="1617"/>
          </reference>
          <reference field="20" count="1">
            <x v="0"/>
          </reference>
        </references>
      </pivotArea>
    </format>
    <format dxfId="1817">
      <pivotArea dataOnly="0" labelOnly="1" outline="0" fieldPosition="0">
        <references count="3">
          <reference field="0" count="1" selected="0">
            <x v="0"/>
          </reference>
          <reference field="1" count="1" selected="0">
            <x v="1618"/>
          </reference>
          <reference field="20" count="1">
            <x v="0"/>
          </reference>
        </references>
      </pivotArea>
    </format>
    <format dxfId="1816">
      <pivotArea dataOnly="0" labelOnly="1" outline="0" fieldPosition="0">
        <references count="3">
          <reference field="0" count="1" selected="0">
            <x v="0"/>
          </reference>
          <reference field="1" count="1" selected="0">
            <x v="1627"/>
          </reference>
          <reference field="20" count="1">
            <x v="0"/>
          </reference>
        </references>
      </pivotArea>
    </format>
    <format dxfId="1815">
      <pivotArea dataOnly="0" labelOnly="1" outline="0" fieldPosition="0">
        <references count="3">
          <reference field="0" count="1" selected="0">
            <x v="0"/>
          </reference>
          <reference field="1" count="1" selected="0">
            <x v="1654"/>
          </reference>
          <reference field="20" count="1">
            <x v="0"/>
          </reference>
        </references>
      </pivotArea>
    </format>
    <format dxfId="1814">
      <pivotArea dataOnly="0" labelOnly="1" outline="0" fieldPosition="0">
        <references count="3">
          <reference field="0" count="1" selected="0">
            <x v="1"/>
          </reference>
          <reference field="1" count="1" selected="0">
            <x v="0"/>
          </reference>
          <reference field="20" count="1">
            <x v="0"/>
          </reference>
        </references>
      </pivotArea>
    </format>
    <format dxfId="1813">
      <pivotArea dataOnly="0" labelOnly="1" outline="0" fieldPosition="0">
        <references count="3">
          <reference field="0" count="1" selected="0">
            <x v="1"/>
          </reference>
          <reference field="1" count="1" selected="0">
            <x v="8"/>
          </reference>
          <reference field="20" count="1">
            <x v="0"/>
          </reference>
        </references>
      </pivotArea>
    </format>
    <format dxfId="1812">
      <pivotArea dataOnly="0" labelOnly="1" outline="0" fieldPosition="0">
        <references count="3">
          <reference field="0" count="1" selected="0">
            <x v="1"/>
          </reference>
          <reference field="1" count="1" selected="0">
            <x v="23"/>
          </reference>
          <reference field="20" count="1">
            <x v="0"/>
          </reference>
        </references>
      </pivotArea>
    </format>
    <format dxfId="1811">
      <pivotArea dataOnly="0" labelOnly="1" outline="0" fieldPosition="0">
        <references count="3">
          <reference field="0" count="1" selected="0">
            <x v="1"/>
          </reference>
          <reference field="1" count="1" selected="0">
            <x v="29"/>
          </reference>
          <reference field="20" count="1">
            <x v="0"/>
          </reference>
        </references>
      </pivotArea>
    </format>
    <format dxfId="1810">
      <pivotArea dataOnly="0" labelOnly="1" outline="0" fieldPosition="0">
        <references count="3">
          <reference field="0" count="1" selected="0">
            <x v="1"/>
          </reference>
          <reference field="1" count="1" selected="0">
            <x v="30"/>
          </reference>
          <reference field="20" count="1">
            <x v="0"/>
          </reference>
        </references>
      </pivotArea>
    </format>
    <format dxfId="1809">
      <pivotArea dataOnly="0" labelOnly="1" outline="0" fieldPosition="0">
        <references count="3">
          <reference field="0" count="1" selected="0">
            <x v="1"/>
          </reference>
          <reference field="1" count="1" selected="0">
            <x v="36"/>
          </reference>
          <reference field="20" count="1">
            <x v="0"/>
          </reference>
        </references>
      </pivotArea>
    </format>
    <format dxfId="1808">
      <pivotArea dataOnly="0" labelOnly="1" outline="0" fieldPosition="0">
        <references count="3">
          <reference field="0" count="1" selected="0">
            <x v="1"/>
          </reference>
          <reference field="1" count="1" selected="0">
            <x v="42"/>
          </reference>
          <reference field="20" count="1">
            <x v="0"/>
          </reference>
        </references>
      </pivotArea>
    </format>
    <format dxfId="1807">
      <pivotArea dataOnly="0" labelOnly="1" outline="0" fieldPosition="0">
        <references count="3">
          <reference field="0" count="1" selected="0">
            <x v="1"/>
          </reference>
          <reference field="1" count="1" selected="0">
            <x v="46"/>
          </reference>
          <reference field="20" count="1">
            <x v="0"/>
          </reference>
        </references>
      </pivotArea>
    </format>
    <format dxfId="1806">
      <pivotArea dataOnly="0" labelOnly="1" outline="0" fieldPosition="0">
        <references count="3">
          <reference field="0" count="1" selected="0">
            <x v="1"/>
          </reference>
          <reference field="1" count="1" selected="0">
            <x v="48"/>
          </reference>
          <reference field="20" count="1">
            <x v="0"/>
          </reference>
        </references>
      </pivotArea>
    </format>
    <format dxfId="1805">
      <pivotArea dataOnly="0" labelOnly="1" outline="0" fieldPosition="0">
        <references count="3">
          <reference field="0" count="1" selected="0">
            <x v="1"/>
          </reference>
          <reference field="1" count="1" selected="0">
            <x v="54"/>
          </reference>
          <reference field="20" count="1">
            <x v="0"/>
          </reference>
        </references>
      </pivotArea>
    </format>
    <format dxfId="1804">
      <pivotArea dataOnly="0" labelOnly="1" outline="0" fieldPosition="0">
        <references count="3">
          <reference field="0" count="1" selected="0">
            <x v="1"/>
          </reference>
          <reference field="1" count="1" selected="0">
            <x v="61"/>
          </reference>
          <reference field="20" count="1">
            <x v="0"/>
          </reference>
        </references>
      </pivotArea>
    </format>
    <format dxfId="1803">
      <pivotArea dataOnly="0" labelOnly="1" outline="0" fieldPosition="0">
        <references count="3">
          <reference field="0" count="1" selected="0">
            <x v="1"/>
          </reference>
          <reference field="1" count="1" selected="0">
            <x v="69"/>
          </reference>
          <reference field="20" count="1">
            <x v="0"/>
          </reference>
        </references>
      </pivotArea>
    </format>
    <format dxfId="1802">
      <pivotArea dataOnly="0" labelOnly="1" outline="0" fieldPosition="0">
        <references count="3">
          <reference field="0" count="1" selected="0">
            <x v="1"/>
          </reference>
          <reference field="1" count="1" selected="0">
            <x v="80"/>
          </reference>
          <reference field="20" count="1">
            <x v="0"/>
          </reference>
        </references>
      </pivotArea>
    </format>
    <format dxfId="1801">
      <pivotArea dataOnly="0" labelOnly="1" outline="0" fieldPosition="0">
        <references count="3">
          <reference field="0" count="1" selected="0">
            <x v="1"/>
          </reference>
          <reference field="1" count="1" selected="0">
            <x v="87"/>
          </reference>
          <reference field="20" count="1">
            <x v="0"/>
          </reference>
        </references>
      </pivotArea>
    </format>
    <format dxfId="1800">
      <pivotArea dataOnly="0" labelOnly="1" outline="0" fieldPosition="0">
        <references count="3">
          <reference field="0" count="1" selected="0">
            <x v="1"/>
          </reference>
          <reference field="1" count="1" selected="0">
            <x v="109"/>
          </reference>
          <reference field="20" count="1">
            <x v="0"/>
          </reference>
        </references>
      </pivotArea>
    </format>
    <format dxfId="1799">
      <pivotArea dataOnly="0" labelOnly="1" outline="0" fieldPosition="0">
        <references count="3">
          <reference field="0" count="1" selected="0">
            <x v="1"/>
          </reference>
          <reference field="1" count="1" selected="0">
            <x v="113"/>
          </reference>
          <reference field="20" count="1">
            <x v="0"/>
          </reference>
        </references>
      </pivotArea>
    </format>
    <format dxfId="1798">
      <pivotArea dataOnly="0" labelOnly="1" outline="0" fieldPosition="0">
        <references count="3">
          <reference field="0" count="1" selected="0">
            <x v="1"/>
          </reference>
          <reference field="1" count="1" selected="0">
            <x v="118"/>
          </reference>
          <reference field="20" count="1">
            <x v="0"/>
          </reference>
        </references>
      </pivotArea>
    </format>
    <format dxfId="1797">
      <pivotArea dataOnly="0" labelOnly="1" outline="0" fieldPosition="0">
        <references count="3">
          <reference field="0" count="1" selected="0">
            <x v="1"/>
          </reference>
          <reference field="1" count="1" selected="0">
            <x v="121"/>
          </reference>
          <reference field="20" count="1">
            <x v="0"/>
          </reference>
        </references>
      </pivotArea>
    </format>
    <format dxfId="1796">
      <pivotArea dataOnly="0" labelOnly="1" outline="0" fieldPosition="0">
        <references count="3">
          <reference field="0" count="1" selected="0">
            <x v="1"/>
          </reference>
          <reference field="1" count="1" selected="0">
            <x v="124"/>
          </reference>
          <reference field="20" count="1">
            <x v="0"/>
          </reference>
        </references>
      </pivotArea>
    </format>
    <format dxfId="1795">
      <pivotArea dataOnly="0" labelOnly="1" outline="0" fieldPosition="0">
        <references count="3">
          <reference field="0" count="1" selected="0">
            <x v="1"/>
          </reference>
          <reference field="1" count="1" selected="0">
            <x v="125"/>
          </reference>
          <reference field="20" count="1">
            <x v="0"/>
          </reference>
        </references>
      </pivotArea>
    </format>
    <format dxfId="1794">
      <pivotArea dataOnly="0" labelOnly="1" outline="0" fieldPosition="0">
        <references count="3">
          <reference field="0" count="1" selected="0">
            <x v="1"/>
          </reference>
          <reference field="1" count="1" selected="0">
            <x v="128"/>
          </reference>
          <reference field="20" count="1">
            <x v="0"/>
          </reference>
        </references>
      </pivotArea>
    </format>
    <format dxfId="1793">
      <pivotArea dataOnly="0" labelOnly="1" outline="0" fieldPosition="0">
        <references count="3">
          <reference field="0" count="1" selected="0">
            <x v="1"/>
          </reference>
          <reference field="1" count="1" selected="0">
            <x v="129"/>
          </reference>
          <reference field="20" count="1">
            <x v="0"/>
          </reference>
        </references>
      </pivotArea>
    </format>
    <format dxfId="1792">
      <pivotArea dataOnly="0" labelOnly="1" outline="0" fieldPosition="0">
        <references count="3">
          <reference field="0" count="1" selected="0">
            <x v="1"/>
          </reference>
          <reference field="1" count="1" selected="0">
            <x v="139"/>
          </reference>
          <reference field="20" count="1">
            <x v="0"/>
          </reference>
        </references>
      </pivotArea>
    </format>
    <format dxfId="1791">
      <pivotArea dataOnly="0" labelOnly="1" outline="0" fieldPosition="0">
        <references count="3">
          <reference field="0" count="1" selected="0">
            <x v="1"/>
          </reference>
          <reference field="1" count="1" selected="0">
            <x v="141"/>
          </reference>
          <reference field="20" count="1">
            <x v="0"/>
          </reference>
        </references>
      </pivotArea>
    </format>
    <format dxfId="1790">
      <pivotArea dataOnly="0" labelOnly="1" outline="0" fieldPosition="0">
        <references count="3">
          <reference field="0" count="1" selected="0">
            <x v="1"/>
          </reference>
          <reference field="1" count="1" selected="0">
            <x v="142"/>
          </reference>
          <reference field="20" count="1">
            <x v="0"/>
          </reference>
        </references>
      </pivotArea>
    </format>
    <format dxfId="1789">
      <pivotArea dataOnly="0" labelOnly="1" outline="0" fieldPosition="0">
        <references count="3">
          <reference field="0" count="1" selected="0">
            <x v="1"/>
          </reference>
          <reference field="1" count="1" selected="0">
            <x v="149"/>
          </reference>
          <reference field="20" count="1">
            <x v="0"/>
          </reference>
        </references>
      </pivotArea>
    </format>
    <format dxfId="1788">
      <pivotArea dataOnly="0" labelOnly="1" outline="0" fieldPosition="0">
        <references count="3">
          <reference field="0" count="1" selected="0">
            <x v="1"/>
          </reference>
          <reference field="1" count="1" selected="0">
            <x v="152"/>
          </reference>
          <reference field="20" count="1">
            <x v="0"/>
          </reference>
        </references>
      </pivotArea>
    </format>
    <format dxfId="1787">
      <pivotArea dataOnly="0" labelOnly="1" outline="0" fieldPosition="0">
        <references count="3">
          <reference field="0" count="1" selected="0">
            <x v="1"/>
          </reference>
          <reference field="1" count="1" selected="0">
            <x v="170"/>
          </reference>
          <reference field="20" count="1">
            <x v="0"/>
          </reference>
        </references>
      </pivotArea>
    </format>
    <format dxfId="1786">
      <pivotArea dataOnly="0" labelOnly="1" outline="0" fieldPosition="0">
        <references count="3">
          <reference field="0" count="1" selected="0">
            <x v="1"/>
          </reference>
          <reference field="1" count="1" selected="0">
            <x v="172"/>
          </reference>
          <reference field="20" count="1">
            <x v="0"/>
          </reference>
        </references>
      </pivotArea>
    </format>
    <format dxfId="1785">
      <pivotArea dataOnly="0" labelOnly="1" outline="0" fieldPosition="0">
        <references count="3">
          <reference field="0" count="1" selected="0">
            <x v="1"/>
          </reference>
          <reference field="1" count="1" selected="0">
            <x v="173"/>
          </reference>
          <reference field="20" count="1">
            <x v="0"/>
          </reference>
        </references>
      </pivotArea>
    </format>
    <format dxfId="1784">
      <pivotArea dataOnly="0" labelOnly="1" outline="0" fieldPosition="0">
        <references count="3">
          <reference field="0" count="1" selected="0">
            <x v="1"/>
          </reference>
          <reference field="1" count="1" selected="0">
            <x v="175"/>
          </reference>
          <reference field="20" count="1">
            <x v="0"/>
          </reference>
        </references>
      </pivotArea>
    </format>
    <format dxfId="1783">
      <pivotArea dataOnly="0" labelOnly="1" outline="0" fieldPosition="0">
        <references count="3">
          <reference field="0" count="1" selected="0">
            <x v="1"/>
          </reference>
          <reference field="1" count="1" selected="0">
            <x v="177"/>
          </reference>
          <reference field="20" count="1">
            <x v="0"/>
          </reference>
        </references>
      </pivotArea>
    </format>
    <format dxfId="1782">
      <pivotArea dataOnly="0" labelOnly="1" outline="0" fieldPosition="0">
        <references count="3">
          <reference field="0" count="1" selected="0">
            <x v="1"/>
          </reference>
          <reference field="1" count="1" selected="0">
            <x v="180"/>
          </reference>
          <reference field="20" count="1">
            <x v="0"/>
          </reference>
        </references>
      </pivotArea>
    </format>
    <format dxfId="1781">
      <pivotArea dataOnly="0" labelOnly="1" outline="0" fieldPosition="0">
        <references count="3">
          <reference field="0" count="1" selected="0">
            <x v="1"/>
          </reference>
          <reference field="1" count="1" selected="0">
            <x v="182"/>
          </reference>
          <reference field="20" count="1">
            <x v="0"/>
          </reference>
        </references>
      </pivotArea>
    </format>
    <format dxfId="1780">
      <pivotArea dataOnly="0" labelOnly="1" outline="0" fieldPosition="0">
        <references count="3">
          <reference field="0" count="1" selected="0">
            <x v="1"/>
          </reference>
          <reference field="1" count="1" selected="0">
            <x v="183"/>
          </reference>
          <reference field="20" count="1">
            <x v="0"/>
          </reference>
        </references>
      </pivotArea>
    </format>
    <format dxfId="1779">
      <pivotArea dataOnly="0" labelOnly="1" outline="0" fieldPosition="0">
        <references count="3">
          <reference field="0" count="1" selected="0">
            <x v="1"/>
          </reference>
          <reference field="1" count="1" selected="0">
            <x v="188"/>
          </reference>
          <reference field="20" count="1">
            <x v="0"/>
          </reference>
        </references>
      </pivotArea>
    </format>
    <format dxfId="1778">
      <pivotArea dataOnly="0" labelOnly="1" outline="0" fieldPosition="0">
        <references count="3">
          <reference field="0" count="1" selected="0">
            <x v="1"/>
          </reference>
          <reference field="1" count="1" selected="0">
            <x v="189"/>
          </reference>
          <reference field="20" count="1">
            <x v="0"/>
          </reference>
        </references>
      </pivotArea>
    </format>
    <format dxfId="1777">
      <pivotArea dataOnly="0" labelOnly="1" outline="0" fieldPosition="0">
        <references count="3">
          <reference field="0" count="1" selected="0">
            <x v="1"/>
          </reference>
          <reference field="1" count="1" selected="0">
            <x v="214"/>
          </reference>
          <reference field="20" count="1">
            <x v="0"/>
          </reference>
        </references>
      </pivotArea>
    </format>
    <format dxfId="1776">
      <pivotArea dataOnly="0" labelOnly="1" outline="0" fieldPosition="0">
        <references count="3">
          <reference field="0" count="1" selected="0">
            <x v="1"/>
          </reference>
          <reference field="1" count="1" selected="0">
            <x v="240"/>
          </reference>
          <reference field="20" count="1">
            <x v="0"/>
          </reference>
        </references>
      </pivotArea>
    </format>
    <format dxfId="1775">
      <pivotArea dataOnly="0" labelOnly="1" outline="0" fieldPosition="0">
        <references count="3">
          <reference field="0" count="1" selected="0">
            <x v="1"/>
          </reference>
          <reference field="1" count="1" selected="0">
            <x v="260"/>
          </reference>
          <reference field="20" count="1">
            <x v="0"/>
          </reference>
        </references>
      </pivotArea>
    </format>
    <format dxfId="1774">
      <pivotArea dataOnly="0" labelOnly="1" outline="0" fieldPosition="0">
        <references count="3">
          <reference field="0" count="1" selected="0">
            <x v="1"/>
          </reference>
          <reference field="1" count="1" selected="0">
            <x v="263"/>
          </reference>
          <reference field="20" count="1">
            <x v="0"/>
          </reference>
        </references>
      </pivotArea>
    </format>
    <format dxfId="1773">
      <pivotArea dataOnly="0" labelOnly="1" outline="0" fieldPosition="0">
        <references count="3">
          <reference field="0" count="1" selected="0">
            <x v="1"/>
          </reference>
          <reference field="1" count="1" selected="0">
            <x v="264"/>
          </reference>
          <reference field="20" count="1">
            <x v="0"/>
          </reference>
        </references>
      </pivotArea>
    </format>
    <format dxfId="1772">
      <pivotArea dataOnly="0" labelOnly="1" outline="0" fieldPosition="0">
        <references count="3">
          <reference field="0" count="1" selected="0">
            <x v="1"/>
          </reference>
          <reference field="1" count="1" selected="0">
            <x v="266"/>
          </reference>
          <reference field="20" count="1">
            <x v="0"/>
          </reference>
        </references>
      </pivotArea>
    </format>
    <format dxfId="1771">
      <pivotArea dataOnly="0" labelOnly="1" outline="0" fieldPosition="0">
        <references count="3">
          <reference field="0" count="1" selected="0">
            <x v="1"/>
          </reference>
          <reference field="1" count="1" selected="0">
            <x v="267"/>
          </reference>
          <reference field="20" count="1">
            <x v="0"/>
          </reference>
        </references>
      </pivotArea>
    </format>
    <format dxfId="1770">
      <pivotArea dataOnly="0" labelOnly="1" outline="0" fieldPosition="0">
        <references count="3">
          <reference field="0" count="1" selected="0">
            <x v="1"/>
          </reference>
          <reference field="1" count="1" selected="0">
            <x v="268"/>
          </reference>
          <reference field="20" count="1">
            <x v="0"/>
          </reference>
        </references>
      </pivotArea>
    </format>
    <format dxfId="1769">
      <pivotArea dataOnly="0" labelOnly="1" outline="0" fieldPosition="0">
        <references count="3">
          <reference field="0" count="1" selected="0">
            <x v="1"/>
          </reference>
          <reference field="1" count="1" selected="0">
            <x v="297"/>
          </reference>
          <reference field="20" count="1">
            <x v="0"/>
          </reference>
        </references>
      </pivotArea>
    </format>
    <format dxfId="1768">
      <pivotArea dataOnly="0" labelOnly="1" outline="0" fieldPosition="0">
        <references count="3">
          <reference field="0" count="1" selected="0">
            <x v="1"/>
          </reference>
          <reference field="1" count="1" selected="0">
            <x v="306"/>
          </reference>
          <reference field="20" count="1">
            <x v="0"/>
          </reference>
        </references>
      </pivotArea>
    </format>
    <format dxfId="1767">
      <pivotArea dataOnly="0" labelOnly="1" outline="0" fieldPosition="0">
        <references count="3">
          <reference field="0" count="1" selected="0">
            <x v="1"/>
          </reference>
          <reference field="1" count="1" selected="0">
            <x v="307"/>
          </reference>
          <reference field="20" count="1">
            <x v="0"/>
          </reference>
        </references>
      </pivotArea>
    </format>
    <format dxfId="1766">
      <pivotArea dataOnly="0" labelOnly="1" outline="0" fieldPosition="0">
        <references count="3">
          <reference field="0" count="1" selected="0">
            <x v="1"/>
          </reference>
          <reference field="1" count="1" selected="0">
            <x v="309"/>
          </reference>
          <reference field="20" count="1">
            <x v="0"/>
          </reference>
        </references>
      </pivotArea>
    </format>
    <format dxfId="1765">
      <pivotArea dataOnly="0" labelOnly="1" outline="0" fieldPosition="0">
        <references count="3">
          <reference field="0" count="1" selected="0">
            <x v="1"/>
          </reference>
          <reference field="1" count="1" selected="0">
            <x v="312"/>
          </reference>
          <reference field="20" count="1">
            <x v="0"/>
          </reference>
        </references>
      </pivotArea>
    </format>
    <format dxfId="1764">
      <pivotArea dataOnly="0" labelOnly="1" outline="0" fieldPosition="0">
        <references count="3">
          <reference field="0" count="1" selected="0">
            <x v="1"/>
          </reference>
          <reference field="1" count="1" selected="0">
            <x v="367"/>
          </reference>
          <reference field="20" count="1">
            <x v="0"/>
          </reference>
        </references>
      </pivotArea>
    </format>
    <format dxfId="1763">
      <pivotArea dataOnly="0" labelOnly="1" outline="0" fieldPosition="0">
        <references count="3">
          <reference field="0" count="1" selected="0">
            <x v="1"/>
          </reference>
          <reference field="1" count="1" selected="0">
            <x v="368"/>
          </reference>
          <reference field="20" count="1">
            <x v="0"/>
          </reference>
        </references>
      </pivotArea>
    </format>
    <format dxfId="1762">
      <pivotArea dataOnly="0" labelOnly="1" outline="0" fieldPosition="0">
        <references count="3">
          <reference field="0" count="1" selected="0">
            <x v="1"/>
          </reference>
          <reference field="1" count="1" selected="0">
            <x v="370"/>
          </reference>
          <reference field="20" count="1">
            <x v="0"/>
          </reference>
        </references>
      </pivotArea>
    </format>
    <format dxfId="1761">
      <pivotArea dataOnly="0" labelOnly="1" outline="0" fieldPosition="0">
        <references count="3">
          <reference field="0" count="1" selected="0">
            <x v="1"/>
          </reference>
          <reference field="1" count="1" selected="0">
            <x v="371"/>
          </reference>
          <reference field="20" count="1">
            <x v="0"/>
          </reference>
        </references>
      </pivotArea>
    </format>
    <format dxfId="1760">
      <pivotArea dataOnly="0" labelOnly="1" outline="0" fieldPosition="0">
        <references count="3">
          <reference field="0" count="1" selected="0">
            <x v="1"/>
          </reference>
          <reference field="1" count="1" selected="0">
            <x v="372"/>
          </reference>
          <reference field="20" count="1">
            <x v="0"/>
          </reference>
        </references>
      </pivotArea>
    </format>
    <format dxfId="1759">
      <pivotArea dataOnly="0" labelOnly="1" outline="0" fieldPosition="0">
        <references count="3">
          <reference field="0" count="1" selected="0">
            <x v="1"/>
          </reference>
          <reference field="1" count="1" selected="0">
            <x v="377"/>
          </reference>
          <reference field="20" count="1">
            <x v="0"/>
          </reference>
        </references>
      </pivotArea>
    </format>
    <format dxfId="1758">
      <pivotArea dataOnly="0" labelOnly="1" outline="0" fieldPosition="0">
        <references count="3">
          <reference field="0" count="1" selected="0">
            <x v="1"/>
          </reference>
          <reference field="1" count="1" selected="0">
            <x v="378"/>
          </reference>
          <reference field="20" count="1">
            <x v="0"/>
          </reference>
        </references>
      </pivotArea>
    </format>
    <format dxfId="1757">
      <pivotArea dataOnly="0" labelOnly="1" outline="0" fieldPosition="0">
        <references count="3">
          <reference field="0" count="1" selected="0">
            <x v="1"/>
          </reference>
          <reference field="1" count="1" selected="0">
            <x v="379"/>
          </reference>
          <reference field="20" count="1">
            <x v="0"/>
          </reference>
        </references>
      </pivotArea>
    </format>
    <format dxfId="1756">
      <pivotArea dataOnly="0" labelOnly="1" outline="0" fieldPosition="0">
        <references count="3">
          <reference field="0" count="1" selected="0">
            <x v="1"/>
          </reference>
          <reference field="1" count="1" selected="0">
            <x v="380"/>
          </reference>
          <reference field="20" count="1">
            <x v="0"/>
          </reference>
        </references>
      </pivotArea>
    </format>
    <format dxfId="1755">
      <pivotArea dataOnly="0" labelOnly="1" outline="0" fieldPosition="0">
        <references count="3">
          <reference field="0" count="1" selected="0">
            <x v="1"/>
          </reference>
          <reference field="1" count="1" selected="0">
            <x v="386"/>
          </reference>
          <reference field="20" count="1">
            <x v="0"/>
          </reference>
        </references>
      </pivotArea>
    </format>
    <format dxfId="1754">
      <pivotArea dataOnly="0" labelOnly="1" outline="0" fieldPosition="0">
        <references count="3">
          <reference field="0" count="1" selected="0">
            <x v="1"/>
          </reference>
          <reference field="1" count="1" selected="0">
            <x v="416"/>
          </reference>
          <reference field="20" count="1">
            <x v="0"/>
          </reference>
        </references>
      </pivotArea>
    </format>
    <format dxfId="1753">
      <pivotArea dataOnly="0" labelOnly="1" outline="0" fieldPosition="0">
        <references count="3">
          <reference field="0" count="1" selected="0">
            <x v="1"/>
          </reference>
          <reference field="1" count="1" selected="0">
            <x v="419"/>
          </reference>
          <reference field="20" count="1">
            <x v="0"/>
          </reference>
        </references>
      </pivotArea>
    </format>
    <format dxfId="1752">
      <pivotArea dataOnly="0" labelOnly="1" outline="0" fieldPosition="0">
        <references count="3">
          <reference field="0" count="1" selected="0">
            <x v="1"/>
          </reference>
          <reference field="1" count="1" selected="0">
            <x v="424"/>
          </reference>
          <reference field="20" count="1">
            <x v="0"/>
          </reference>
        </references>
      </pivotArea>
    </format>
    <format dxfId="1751">
      <pivotArea dataOnly="0" labelOnly="1" outline="0" fieldPosition="0">
        <references count="3">
          <reference field="0" count="1" selected="0">
            <x v="1"/>
          </reference>
          <reference field="1" count="1" selected="0">
            <x v="425"/>
          </reference>
          <reference field="20" count="1">
            <x v="0"/>
          </reference>
        </references>
      </pivotArea>
    </format>
    <format dxfId="1750">
      <pivotArea dataOnly="0" labelOnly="1" outline="0" fieldPosition="0">
        <references count="3">
          <reference field="0" count="1" selected="0">
            <x v="1"/>
          </reference>
          <reference field="1" count="1" selected="0">
            <x v="426"/>
          </reference>
          <reference field="20" count="1">
            <x v="62"/>
          </reference>
        </references>
      </pivotArea>
    </format>
    <format dxfId="1749">
      <pivotArea dataOnly="0" labelOnly="1" outline="0" fieldPosition="0">
        <references count="3">
          <reference field="0" count="1" selected="0">
            <x v="1"/>
          </reference>
          <reference field="1" count="1" selected="0">
            <x v="430"/>
          </reference>
          <reference field="20" count="1">
            <x v="0"/>
          </reference>
        </references>
      </pivotArea>
    </format>
    <format dxfId="1748">
      <pivotArea dataOnly="0" labelOnly="1" outline="0" fieldPosition="0">
        <references count="3">
          <reference field="0" count="1" selected="0">
            <x v="1"/>
          </reference>
          <reference field="1" count="1" selected="0">
            <x v="431"/>
          </reference>
          <reference field="20" count="1">
            <x v="0"/>
          </reference>
        </references>
      </pivotArea>
    </format>
    <format dxfId="1747">
      <pivotArea dataOnly="0" labelOnly="1" outline="0" fieldPosition="0">
        <references count="3">
          <reference field="0" count="1" selected="0">
            <x v="1"/>
          </reference>
          <reference field="1" count="1" selected="0">
            <x v="432"/>
          </reference>
          <reference field="20" count="1">
            <x v="0"/>
          </reference>
        </references>
      </pivotArea>
    </format>
    <format dxfId="1746">
      <pivotArea dataOnly="0" labelOnly="1" outline="0" fieldPosition="0">
        <references count="3">
          <reference field="0" count="1" selected="0">
            <x v="1"/>
          </reference>
          <reference field="1" count="1" selected="0">
            <x v="433"/>
          </reference>
          <reference field="20" count="1">
            <x v="0"/>
          </reference>
        </references>
      </pivotArea>
    </format>
    <format dxfId="1745">
      <pivotArea dataOnly="0" labelOnly="1" outline="0" fieldPosition="0">
        <references count="3">
          <reference field="0" count="1" selected="0">
            <x v="1"/>
          </reference>
          <reference field="1" count="1" selected="0">
            <x v="435"/>
          </reference>
          <reference field="20" count="1">
            <x v="0"/>
          </reference>
        </references>
      </pivotArea>
    </format>
    <format dxfId="1744">
      <pivotArea dataOnly="0" labelOnly="1" outline="0" fieldPosition="0">
        <references count="3">
          <reference field="0" count="1" selected="0">
            <x v="1"/>
          </reference>
          <reference field="1" count="1" selected="0">
            <x v="439"/>
          </reference>
          <reference field="20" count="1">
            <x v="0"/>
          </reference>
        </references>
      </pivotArea>
    </format>
    <format dxfId="1743">
      <pivotArea dataOnly="0" labelOnly="1" outline="0" fieldPosition="0">
        <references count="3">
          <reference field="0" count="1" selected="0">
            <x v="1"/>
          </reference>
          <reference field="1" count="1" selected="0">
            <x v="442"/>
          </reference>
          <reference field="20" count="1">
            <x v="0"/>
          </reference>
        </references>
      </pivotArea>
    </format>
    <format dxfId="1742">
      <pivotArea dataOnly="0" labelOnly="1" outline="0" fieldPosition="0">
        <references count="3">
          <reference field="0" count="1" selected="0">
            <x v="1"/>
          </reference>
          <reference field="1" count="1" selected="0">
            <x v="472"/>
          </reference>
          <reference field="20" count="1">
            <x v="68"/>
          </reference>
        </references>
      </pivotArea>
    </format>
    <format dxfId="1741">
      <pivotArea dataOnly="0" labelOnly="1" outline="0" fieldPosition="0">
        <references count="3">
          <reference field="0" count="1" selected="0">
            <x v="1"/>
          </reference>
          <reference field="1" count="1" selected="0">
            <x v="473"/>
          </reference>
          <reference field="20" count="1">
            <x v="0"/>
          </reference>
        </references>
      </pivotArea>
    </format>
    <format dxfId="1740">
      <pivotArea dataOnly="0" labelOnly="1" outline="0" fieldPosition="0">
        <references count="3">
          <reference field="0" count="1" selected="0">
            <x v="1"/>
          </reference>
          <reference field="1" count="1" selected="0">
            <x v="474"/>
          </reference>
          <reference field="20" count="1">
            <x v="0"/>
          </reference>
        </references>
      </pivotArea>
    </format>
    <format dxfId="1739">
      <pivotArea dataOnly="0" labelOnly="1" outline="0" fieldPosition="0">
        <references count="3">
          <reference field="0" count="1" selected="0">
            <x v="1"/>
          </reference>
          <reference field="1" count="1" selected="0">
            <x v="484"/>
          </reference>
          <reference field="20" count="1">
            <x v="0"/>
          </reference>
        </references>
      </pivotArea>
    </format>
    <format dxfId="1738">
      <pivotArea dataOnly="0" labelOnly="1" outline="0" fieldPosition="0">
        <references count="3">
          <reference field="0" count="1" selected="0">
            <x v="1"/>
          </reference>
          <reference field="1" count="1" selected="0">
            <x v="489"/>
          </reference>
          <reference field="20" count="1">
            <x v="0"/>
          </reference>
        </references>
      </pivotArea>
    </format>
    <format dxfId="1737">
      <pivotArea dataOnly="0" labelOnly="1" outline="0" fieldPosition="0">
        <references count="3">
          <reference field="0" count="1" selected="0">
            <x v="1"/>
          </reference>
          <reference field="1" count="1" selected="0">
            <x v="494"/>
          </reference>
          <reference field="20" count="1">
            <x v="72"/>
          </reference>
        </references>
      </pivotArea>
    </format>
    <format dxfId="1736">
      <pivotArea dataOnly="0" labelOnly="1" outline="0" fieldPosition="0">
        <references count="3">
          <reference field="0" count="1" selected="0">
            <x v="1"/>
          </reference>
          <reference field="1" count="1" selected="0">
            <x v="512"/>
          </reference>
          <reference field="20" count="1">
            <x v="0"/>
          </reference>
        </references>
      </pivotArea>
    </format>
    <format dxfId="1735">
      <pivotArea dataOnly="0" labelOnly="1" outline="0" fieldPosition="0">
        <references count="3">
          <reference field="0" count="1" selected="0">
            <x v="1"/>
          </reference>
          <reference field="1" count="1" selected="0">
            <x v="513"/>
          </reference>
          <reference field="20" count="1">
            <x v="0"/>
          </reference>
        </references>
      </pivotArea>
    </format>
    <format dxfId="1734">
      <pivotArea dataOnly="0" labelOnly="1" outline="0" fieldPosition="0">
        <references count="3">
          <reference field="0" count="1" selected="0">
            <x v="1"/>
          </reference>
          <reference field="1" count="1" selected="0">
            <x v="516"/>
          </reference>
          <reference field="20" count="1">
            <x v="73"/>
          </reference>
        </references>
      </pivotArea>
    </format>
    <format dxfId="1733">
      <pivotArea dataOnly="0" labelOnly="1" outline="0" fieldPosition="0">
        <references count="3">
          <reference field="0" count="1" selected="0">
            <x v="1"/>
          </reference>
          <reference field="1" count="1" selected="0">
            <x v="517"/>
          </reference>
          <reference field="20" count="1">
            <x v="0"/>
          </reference>
        </references>
      </pivotArea>
    </format>
    <format dxfId="1732">
      <pivotArea dataOnly="0" labelOnly="1" outline="0" fieldPosition="0">
        <references count="3">
          <reference field="0" count="1" selected="0">
            <x v="1"/>
          </reference>
          <reference field="1" count="1" selected="0">
            <x v="526"/>
          </reference>
          <reference field="20" count="1">
            <x v="0"/>
          </reference>
        </references>
      </pivotArea>
    </format>
    <format dxfId="1731">
      <pivotArea dataOnly="0" labelOnly="1" outline="0" fieldPosition="0">
        <references count="3">
          <reference field="0" count="1" selected="0">
            <x v="1"/>
          </reference>
          <reference field="1" count="1" selected="0">
            <x v="535"/>
          </reference>
          <reference field="20" count="1">
            <x v="0"/>
          </reference>
        </references>
      </pivotArea>
    </format>
    <format dxfId="1730">
      <pivotArea dataOnly="0" labelOnly="1" outline="0" fieldPosition="0">
        <references count="3">
          <reference field="0" count="1" selected="0">
            <x v="1"/>
          </reference>
          <reference field="1" count="1" selected="0">
            <x v="538"/>
          </reference>
          <reference field="20" count="1">
            <x v="77"/>
          </reference>
        </references>
      </pivotArea>
    </format>
    <format dxfId="1729">
      <pivotArea dataOnly="0" labelOnly="1" outline="0" fieldPosition="0">
        <references count="3">
          <reference field="0" count="1" selected="0">
            <x v="1"/>
          </reference>
          <reference field="1" count="1" selected="0">
            <x v="539"/>
          </reference>
          <reference field="20" count="1">
            <x v="0"/>
          </reference>
        </references>
      </pivotArea>
    </format>
    <format dxfId="1728">
      <pivotArea dataOnly="0" labelOnly="1" outline="0" fieldPosition="0">
        <references count="3">
          <reference field="0" count="1" selected="0">
            <x v="1"/>
          </reference>
          <reference field="1" count="1" selected="0">
            <x v="540"/>
          </reference>
          <reference field="20" count="1">
            <x v="78"/>
          </reference>
        </references>
      </pivotArea>
    </format>
    <format dxfId="1727">
      <pivotArea dataOnly="0" labelOnly="1" outline="0" fieldPosition="0">
        <references count="3">
          <reference field="0" count="1" selected="0">
            <x v="1"/>
          </reference>
          <reference field="1" count="1" selected="0">
            <x v="541"/>
          </reference>
          <reference field="20" count="1">
            <x v="0"/>
          </reference>
        </references>
      </pivotArea>
    </format>
    <format dxfId="1726">
      <pivotArea dataOnly="0" labelOnly="1" outline="0" fieldPosition="0">
        <references count="3">
          <reference field="0" count="1" selected="0">
            <x v="1"/>
          </reference>
          <reference field="1" count="1" selected="0">
            <x v="542"/>
          </reference>
          <reference field="20" count="1">
            <x v="0"/>
          </reference>
        </references>
      </pivotArea>
    </format>
    <format dxfId="1725">
      <pivotArea dataOnly="0" labelOnly="1" outline="0" fieldPosition="0">
        <references count="3">
          <reference field="0" count="1" selected="0">
            <x v="1"/>
          </reference>
          <reference field="1" count="1" selected="0">
            <x v="543"/>
          </reference>
          <reference field="20" count="1">
            <x v="0"/>
          </reference>
        </references>
      </pivotArea>
    </format>
    <format dxfId="1724">
      <pivotArea dataOnly="0" labelOnly="1" outline="0" fieldPosition="0">
        <references count="3">
          <reference field="0" count="1" selected="0">
            <x v="1"/>
          </reference>
          <reference field="1" count="1" selected="0">
            <x v="544"/>
          </reference>
          <reference field="20" count="1">
            <x v="0"/>
          </reference>
        </references>
      </pivotArea>
    </format>
    <format dxfId="1723">
      <pivotArea dataOnly="0" labelOnly="1" outline="0" fieldPosition="0">
        <references count="3">
          <reference field="0" count="1" selected="0">
            <x v="1"/>
          </reference>
          <reference field="1" count="1" selected="0">
            <x v="545"/>
          </reference>
          <reference field="20" count="1">
            <x v="0"/>
          </reference>
        </references>
      </pivotArea>
    </format>
    <format dxfId="1722">
      <pivotArea dataOnly="0" labelOnly="1" outline="0" fieldPosition="0">
        <references count="3">
          <reference field="0" count="1" selected="0">
            <x v="1"/>
          </reference>
          <reference field="1" count="1" selected="0">
            <x v="563"/>
          </reference>
          <reference field="20" count="1">
            <x v="0"/>
          </reference>
        </references>
      </pivotArea>
    </format>
    <format dxfId="1721">
      <pivotArea dataOnly="0" labelOnly="1" outline="0" fieldPosition="0">
        <references count="3">
          <reference field="0" count="1" selected="0">
            <x v="1"/>
          </reference>
          <reference field="1" count="1" selected="0">
            <x v="571"/>
          </reference>
          <reference field="20" count="1">
            <x v="0"/>
          </reference>
        </references>
      </pivotArea>
    </format>
    <format dxfId="1720">
      <pivotArea dataOnly="0" labelOnly="1" outline="0" fieldPosition="0">
        <references count="3">
          <reference field="0" count="1" selected="0">
            <x v="1"/>
          </reference>
          <reference field="1" count="1" selected="0">
            <x v="581"/>
          </reference>
          <reference field="20" count="1">
            <x v="0"/>
          </reference>
        </references>
      </pivotArea>
    </format>
    <format dxfId="1719">
      <pivotArea dataOnly="0" labelOnly="1" outline="0" fieldPosition="0">
        <references count="3">
          <reference field="0" count="1" selected="0">
            <x v="1"/>
          </reference>
          <reference field="1" count="1" selected="0">
            <x v="588"/>
          </reference>
          <reference field="20" count="1">
            <x v="0"/>
          </reference>
        </references>
      </pivotArea>
    </format>
    <format dxfId="1718">
      <pivotArea dataOnly="0" labelOnly="1" outline="0" fieldPosition="0">
        <references count="3">
          <reference field="0" count="1" selected="0">
            <x v="1"/>
          </reference>
          <reference field="1" count="1" selected="0">
            <x v="591"/>
          </reference>
          <reference field="20" count="1">
            <x v="87"/>
          </reference>
        </references>
      </pivotArea>
    </format>
    <format dxfId="1717">
      <pivotArea dataOnly="0" labelOnly="1" outline="0" fieldPosition="0">
        <references count="3">
          <reference field="0" count="1" selected="0">
            <x v="1"/>
          </reference>
          <reference field="1" count="1" selected="0">
            <x v="609"/>
          </reference>
          <reference field="20" count="1">
            <x v="0"/>
          </reference>
        </references>
      </pivotArea>
    </format>
    <format dxfId="1716">
      <pivotArea dataOnly="0" labelOnly="1" outline="0" fieldPosition="0">
        <references count="3">
          <reference field="0" count="1" selected="0">
            <x v="1"/>
          </reference>
          <reference field="1" count="1" selected="0">
            <x v="617"/>
          </reference>
          <reference field="20" count="1">
            <x v="0"/>
          </reference>
        </references>
      </pivotArea>
    </format>
    <format dxfId="1715">
      <pivotArea dataOnly="0" labelOnly="1" outline="0" fieldPosition="0">
        <references count="3">
          <reference field="0" count="1" selected="0">
            <x v="1"/>
          </reference>
          <reference field="1" count="1" selected="0">
            <x v="618"/>
          </reference>
          <reference field="20" count="1">
            <x v="0"/>
          </reference>
        </references>
      </pivotArea>
    </format>
    <format dxfId="1714">
      <pivotArea dataOnly="0" labelOnly="1" outline="0" fieldPosition="0">
        <references count="3">
          <reference field="0" count="1" selected="0">
            <x v="1"/>
          </reference>
          <reference field="1" count="1" selected="0">
            <x v="625"/>
          </reference>
          <reference field="20" count="1">
            <x v="95"/>
          </reference>
        </references>
      </pivotArea>
    </format>
    <format dxfId="1713">
      <pivotArea dataOnly="0" labelOnly="1" outline="0" fieldPosition="0">
        <references count="3">
          <reference field="0" count="1" selected="0">
            <x v="1"/>
          </reference>
          <reference field="1" count="1" selected="0">
            <x v="637"/>
          </reference>
          <reference field="20" count="1">
            <x v="0"/>
          </reference>
        </references>
      </pivotArea>
    </format>
    <format dxfId="1712">
      <pivotArea dataOnly="0" labelOnly="1" outline="0" fieldPosition="0">
        <references count="3">
          <reference field="0" count="1" selected="0">
            <x v="1"/>
          </reference>
          <reference field="1" count="1" selected="0">
            <x v="638"/>
          </reference>
          <reference field="20" count="1">
            <x v="0"/>
          </reference>
        </references>
      </pivotArea>
    </format>
    <format dxfId="1711">
      <pivotArea dataOnly="0" labelOnly="1" outline="0" fieldPosition="0">
        <references count="3">
          <reference field="0" count="1" selected="0">
            <x v="1"/>
          </reference>
          <reference field="1" count="1" selected="0">
            <x v="639"/>
          </reference>
          <reference field="20" count="1">
            <x v="0"/>
          </reference>
        </references>
      </pivotArea>
    </format>
    <format dxfId="1710">
      <pivotArea dataOnly="0" labelOnly="1" outline="0" fieldPosition="0">
        <references count="3">
          <reference field="0" count="1" selected="0">
            <x v="1"/>
          </reference>
          <reference field="1" count="1" selected="0">
            <x v="646"/>
          </reference>
          <reference field="20" count="1">
            <x v="0"/>
          </reference>
        </references>
      </pivotArea>
    </format>
    <format dxfId="1709">
      <pivotArea dataOnly="0" labelOnly="1" outline="0" fieldPosition="0">
        <references count="3">
          <reference field="0" count="1" selected="0">
            <x v="1"/>
          </reference>
          <reference field="1" count="1" selected="0">
            <x v="669"/>
          </reference>
          <reference field="20" count="1">
            <x v="0"/>
          </reference>
        </references>
      </pivotArea>
    </format>
    <format dxfId="1708">
      <pivotArea dataOnly="0" labelOnly="1" outline="0" fieldPosition="0">
        <references count="3">
          <reference field="0" count="1" selected="0">
            <x v="1"/>
          </reference>
          <reference field="1" count="1" selected="0">
            <x v="672"/>
          </reference>
          <reference field="20" count="1">
            <x v="0"/>
          </reference>
        </references>
      </pivotArea>
    </format>
    <format dxfId="1707">
      <pivotArea dataOnly="0" labelOnly="1" outline="0" fieldPosition="0">
        <references count="3">
          <reference field="0" count="1" selected="0">
            <x v="1"/>
          </reference>
          <reference field="1" count="1" selected="0">
            <x v="677"/>
          </reference>
          <reference field="20" count="1">
            <x v="0"/>
          </reference>
        </references>
      </pivotArea>
    </format>
    <format dxfId="1706">
      <pivotArea dataOnly="0" labelOnly="1" outline="0" fieldPosition="0">
        <references count="3">
          <reference field="0" count="1" selected="0">
            <x v="1"/>
          </reference>
          <reference field="1" count="1" selected="0">
            <x v="684"/>
          </reference>
          <reference field="20" count="1">
            <x v="101"/>
          </reference>
        </references>
      </pivotArea>
    </format>
    <format dxfId="1705">
      <pivotArea dataOnly="0" labelOnly="1" outline="0" fieldPosition="0">
        <references count="3">
          <reference field="0" count="1" selected="0">
            <x v="1"/>
          </reference>
          <reference field="1" count="1" selected="0">
            <x v="696"/>
          </reference>
          <reference field="20" count="1">
            <x v="0"/>
          </reference>
        </references>
      </pivotArea>
    </format>
    <format dxfId="1704">
      <pivotArea dataOnly="0" labelOnly="1" outline="0" fieldPosition="0">
        <references count="3">
          <reference field="0" count="1" selected="0">
            <x v="1"/>
          </reference>
          <reference field="1" count="1" selected="0">
            <x v="700"/>
          </reference>
          <reference field="20" count="1">
            <x v="0"/>
          </reference>
        </references>
      </pivotArea>
    </format>
    <format dxfId="1703">
      <pivotArea dataOnly="0" labelOnly="1" outline="0" fieldPosition="0">
        <references count="3">
          <reference field="0" count="1" selected="0">
            <x v="1"/>
          </reference>
          <reference field="1" count="1" selected="0">
            <x v="741"/>
          </reference>
          <reference field="20" count="1">
            <x v="121"/>
          </reference>
        </references>
      </pivotArea>
    </format>
    <format dxfId="1702">
      <pivotArea dataOnly="0" labelOnly="1" outline="0" fieldPosition="0">
        <references count="3">
          <reference field="0" count="1" selected="0">
            <x v="1"/>
          </reference>
          <reference field="1" count="1" selected="0">
            <x v="748"/>
          </reference>
          <reference field="20" count="1">
            <x v="123"/>
          </reference>
        </references>
      </pivotArea>
    </format>
    <format dxfId="1701">
      <pivotArea dataOnly="0" labelOnly="1" outline="0" fieldPosition="0">
        <references count="3">
          <reference field="0" count="1" selected="0">
            <x v="1"/>
          </reference>
          <reference field="1" count="1" selected="0">
            <x v="754"/>
          </reference>
          <reference field="20" count="1">
            <x v="0"/>
          </reference>
        </references>
      </pivotArea>
    </format>
    <format dxfId="1700">
      <pivotArea dataOnly="0" labelOnly="1" outline="0" fieldPosition="0">
        <references count="3">
          <reference field="0" count="1" selected="0">
            <x v="1"/>
          </reference>
          <reference field="1" count="1" selected="0">
            <x v="756"/>
          </reference>
          <reference field="20" count="1">
            <x v="0"/>
          </reference>
        </references>
      </pivotArea>
    </format>
    <format dxfId="1699">
      <pivotArea dataOnly="0" labelOnly="1" outline="0" fieldPosition="0">
        <references count="3">
          <reference field="0" count="1" selected="0">
            <x v="1"/>
          </reference>
          <reference field="1" count="1" selected="0">
            <x v="758"/>
          </reference>
          <reference field="20" count="1">
            <x v="0"/>
          </reference>
        </references>
      </pivotArea>
    </format>
    <format dxfId="1698">
      <pivotArea dataOnly="0" labelOnly="1" outline="0" fieldPosition="0">
        <references count="3">
          <reference field="0" count="1" selected="0">
            <x v="1"/>
          </reference>
          <reference field="1" count="1" selected="0">
            <x v="759"/>
          </reference>
          <reference field="20" count="1">
            <x v="0"/>
          </reference>
        </references>
      </pivotArea>
    </format>
    <format dxfId="1697">
      <pivotArea dataOnly="0" labelOnly="1" outline="0" fieldPosition="0">
        <references count="3">
          <reference field="0" count="1" selected="0">
            <x v="1"/>
          </reference>
          <reference field="1" count="1" selected="0">
            <x v="771"/>
          </reference>
          <reference field="20" count="1">
            <x v="0"/>
          </reference>
        </references>
      </pivotArea>
    </format>
    <format dxfId="1696">
      <pivotArea dataOnly="0" labelOnly="1" outline="0" fieldPosition="0">
        <references count="3">
          <reference field="0" count="1" selected="0">
            <x v="1"/>
          </reference>
          <reference field="1" count="1" selected="0">
            <x v="783"/>
          </reference>
          <reference field="20" count="1">
            <x v="0"/>
          </reference>
        </references>
      </pivotArea>
    </format>
    <format dxfId="1695">
      <pivotArea dataOnly="0" labelOnly="1" outline="0" fieldPosition="0">
        <references count="3">
          <reference field="0" count="1" selected="0">
            <x v="1"/>
          </reference>
          <reference field="1" count="1" selected="0">
            <x v="786"/>
          </reference>
          <reference field="20" count="1">
            <x v="0"/>
          </reference>
        </references>
      </pivotArea>
    </format>
    <format dxfId="1694">
      <pivotArea dataOnly="0" labelOnly="1" outline="0" fieldPosition="0">
        <references count="3">
          <reference field="0" count="1" selected="0">
            <x v="1"/>
          </reference>
          <reference field="1" count="1" selected="0">
            <x v="787"/>
          </reference>
          <reference field="20" count="1">
            <x v="0"/>
          </reference>
        </references>
      </pivotArea>
    </format>
    <format dxfId="1693">
      <pivotArea dataOnly="0" labelOnly="1" outline="0" fieldPosition="0">
        <references count="3">
          <reference field="0" count="1" selected="0">
            <x v="1"/>
          </reference>
          <reference field="1" count="1" selected="0">
            <x v="797"/>
          </reference>
          <reference field="20" count="1">
            <x v="0"/>
          </reference>
        </references>
      </pivotArea>
    </format>
    <format dxfId="1692">
      <pivotArea dataOnly="0" labelOnly="1" outline="0" fieldPosition="0">
        <references count="3">
          <reference field="0" count="1" selected="0">
            <x v="1"/>
          </reference>
          <reference field="1" count="1" selected="0">
            <x v="805"/>
          </reference>
          <reference field="20" count="1">
            <x v="0"/>
          </reference>
        </references>
      </pivotArea>
    </format>
    <format dxfId="1691">
      <pivotArea dataOnly="0" labelOnly="1" outline="0" fieldPosition="0">
        <references count="3">
          <reference field="0" count="1" selected="0">
            <x v="1"/>
          </reference>
          <reference field="1" count="1" selected="0">
            <x v="817"/>
          </reference>
          <reference field="20" count="1">
            <x v="0"/>
          </reference>
        </references>
      </pivotArea>
    </format>
    <format dxfId="1690">
      <pivotArea dataOnly="0" labelOnly="1" outline="0" fieldPosition="0">
        <references count="3">
          <reference field="0" count="1" selected="0">
            <x v="1"/>
          </reference>
          <reference field="1" count="1" selected="0">
            <x v="823"/>
          </reference>
          <reference field="20" count="1">
            <x v="0"/>
          </reference>
        </references>
      </pivotArea>
    </format>
    <format dxfId="1689">
      <pivotArea dataOnly="0" labelOnly="1" outline="0" fieldPosition="0">
        <references count="3">
          <reference field="0" count="1" selected="0">
            <x v="1"/>
          </reference>
          <reference field="1" count="1" selected="0">
            <x v="824"/>
          </reference>
          <reference field="20" count="1">
            <x v="0"/>
          </reference>
        </references>
      </pivotArea>
    </format>
    <format dxfId="1688">
      <pivotArea dataOnly="0" labelOnly="1" outline="0" fieldPosition="0">
        <references count="3">
          <reference field="0" count="1" selected="0">
            <x v="1"/>
          </reference>
          <reference field="1" count="1" selected="0">
            <x v="845"/>
          </reference>
          <reference field="20" count="1">
            <x v="0"/>
          </reference>
        </references>
      </pivotArea>
    </format>
    <format dxfId="1687">
      <pivotArea dataOnly="0" labelOnly="1" outline="0" fieldPosition="0">
        <references count="3">
          <reference field="0" count="1" selected="0">
            <x v="1"/>
          </reference>
          <reference field="1" count="1" selected="0">
            <x v="851"/>
          </reference>
          <reference field="20" count="1">
            <x v="0"/>
          </reference>
        </references>
      </pivotArea>
    </format>
    <format dxfId="1686">
      <pivotArea dataOnly="0" labelOnly="1" outline="0" fieldPosition="0">
        <references count="3">
          <reference field="0" count="1" selected="0">
            <x v="1"/>
          </reference>
          <reference field="1" count="1" selected="0">
            <x v="857"/>
          </reference>
          <reference field="20" count="1">
            <x v="0"/>
          </reference>
        </references>
      </pivotArea>
    </format>
    <format dxfId="1685">
      <pivotArea dataOnly="0" labelOnly="1" outline="0" fieldPosition="0">
        <references count="3">
          <reference field="0" count="1" selected="0">
            <x v="1"/>
          </reference>
          <reference field="1" count="1" selected="0">
            <x v="859"/>
          </reference>
          <reference field="20" count="1">
            <x v="0"/>
          </reference>
        </references>
      </pivotArea>
    </format>
    <format dxfId="1684">
      <pivotArea dataOnly="0" labelOnly="1" outline="0" fieldPosition="0">
        <references count="3">
          <reference field="0" count="1" selected="0">
            <x v="1"/>
          </reference>
          <reference field="1" count="1" selected="0">
            <x v="866"/>
          </reference>
          <reference field="20" count="1">
            <x v="0"/>
          </reference>
        </references>
      </pivotArea>
    </format>
    <format dxfId="1683">
      <pivotArea dataOnly="0" labelOnly="1" outline="0" fieldPosition="0">
        <references count="3">
          <reference field="0" count="1" selected="0">
            <x v="1"/>
          </reference>
          <reference field="1" count="1" selected="0">
            <x v="872"/>
          </reference>
          <reference field="20" count="1">
            <x v="152"/>
          </reference>
        </references>
      </pivotArea>
    </format>
    <format dxfId="1682">
      <pivotArea dataOnly="0" labelOnly="1" outline="0" fieldPosition="0">
        <references count="3">
          <reference field="0" count="1" selected="0">
            <x v="1"/>
          </reference>
          <reference field="1" count="1" selected="0">
            <x v="873"/>
          </reference>
          <reference field="20" count="1">
            <x v="0"/>
          </reference>
        </references>
      </pivotArea>
    </format>
    <format dxfId="1681">
      <pivotArea dataOnly="0" labelOnly="1" outline="0" fieldPosition="0">
        <references count="3">
          <reference field="0" count="1" selected="0">
            <x v="1"/>
          </reference>
          <reference field="1" count="1" selected="0">
            <x v="879"/>
          </reference>
          <reference field="20" count="1">
            <x v="0"/>
          </reference>
        </references>
      </pivotArea>
    </format>
    <format dxfId="1680">
      <pivotArea dataOnly="0" labelOnly="1" outline="0" fieldPosition="0">
        <references count="3">
          <reference field="0" count="1" selected="0">
            <x v="1"/>
          </reference>
          <reference field="1" count="1" selected="0">
            <x v="881"/>
          </reference>
          <reference field="20" count="1">
            <x v="0"/>
          </reference>
        </references>
      </pivotArea>
    </format>
    <format dxfId="1679">
      <pivotArea dataOnly="0" labelOnly="1" outline="0" fieldPosition="0">
        <references count="3">
          <reference field="0" count="1" selected="0">
            <x v="1"/>
          </reference>
          <reference field="1" count="1" selected="0">
            <x v="882"/>
          </reference>
          <reference field="20" count="1">
            <x v="0"/>
          </reference>
        </references>
      </pivotArea>
    </format>
    <format dxfId="1678">
      <pivotArea dataOnly="0" labelOnly="1" outline="0" fieldPosition="0">
        <references count="3">
          <reference field="0" count="1" selected="0">
            <x v="1"/>
          </reference>
          <reference field="1" count="1" selected="0">
            <x v="886"/>
          </reference>
          <reference field="20" count="1">
            <x v="153"/>
          </reference>
        </references>
      </pivotArea>
    </format>
    <format dxfId="1677">
      <pivotArea dataOnly="0" labelOnly="1" outline="0" fieldPosition="0">
        <references count="3">
          <reference field="0" count="1" selected="0">
            <x v="1"/>
          </reference>
          <reference field="1" count="1" selected="0">
            <x v="888"/>
          </reference>
          <reference field="20" count="1">
            <x v="0"/>
          </reference>
        </references>
      </pivotArea>
    </format>
    <format dxfId="1676">
      <pivotArea dataOnly="0" labelOnly="1" outline="0" fieldPosition="0">
        <references count="3">
          <reference field="0" count="1" selected="0">
            <x v="1"/>
          </reference>
          <reference field="1" count="1" selected="0">
            <x v="891"/>
          </reference>
          <reference field="20" count="1">
            <x v="0"/>
          </reference>
        </references>
      </pivotArea>
    </format>
    <format dxfId="1675">
      <pivotArea dataOnly="0" labelOnly="1" outline="0" fieldPosition="0">
        <references count="3">
          <reference field="0" count="1" selected="0">
            <x v="1"/>
          </reference>
          <reference field="1" count="1" selected="0">
            <x v="905"/>
          </reference>
          <reference field="20" count="1">
            <x v="0"/>
          </reference>
        </references>
      </pivotArea>
    </format>
    <format dxfId="1674">
      <pivotArea dataOnly="0" labelOnly="1" outline="0" fieldPosition="0">
        <references count="3">
          <reference field="0" count="1" selected="0">
            <x v="1"/>
          </reference>
          <reference field="1" count="1" selected="0">
            <x v="914"/>
          </reference>
          <reference field="20" count="1">
            <x v="0"/>
          </reference>
        </references>
      </pivotArea>
    </format>
    <format dxfId="1673">
      <pivotArea dataOnly="0" labelOnly="1" outline="0" fieldPosition="0">
        <references count="3">
          <reference field="0" count="1" selected="0">
            <x v="1"/>
          </reference>
          <reference field="1" count="1" selected="0">
            <x v="918"/>
          </reference>
          <reference field="20" count="1">
            <x v="159"/>
          </reference>
        </references>
      </pivotArea>
    </format>
    <format dxfId="1672">
      <pivotArea dataOnly="0" labelOnly="1" outline="0" fieldPosition="0">
        <references count="3">
          <reference field="0" count="1" selected="0">
            <x v="1"/>
          </reference>
          <reference field="1" count="1" selected="0">
            <x v="919"/>
          </reference>
          <reference field="20" count="1">
            <x v="160"/>
          </reference>
        </references>
      </pivotArea>
    </format>
    <format dxfId="1671">
      <pivotArea dataOnly="0" labelOnly="1" outline="0" fieldPosition="0">
        <references count="3">
          <reference field="0" count="1" selected="0">
            <x v="1"/>
          </reference>
          <reference field="1" count="1" selected="0">
            <x v="921"/>
          </reference>
          <reference field="20" count="1">
            <x v="162"/>
          </reference>
        </references>
      </pivotArea>
    </format>
    <format dxfId="1670">
      <pivotArea dataOnly="0" labelOnly="1" outline="0" fieldPosition="0">
        <references count="3">
          <reference field="0" count="1" selected="0">
            <x v="1"/>
          </reference>
          <reference field="1" count="1" selected="0">
            <x v="929"/>
          </reference>
          <reference field="20" count="1">
            <x v="0"/>
          </reference>
        </references>
      </pivotArea>
    </format>
    <format dxfId="1669">
      <pivotArea dataOnly="0" labelOnly="1" outline="0" fieldPosition="0">
        <references count="3">
          <reference field="0" count="1" selected="0">
            <x v="1"/>
          </reference>
          <reference field="1" count="1" selected="0">
            <x v="939"/>
          </reference>
          <reference field="20" count="1">
            <x v="0"/>
          </reference>
        </references>
      </pivotArea>
    </format>
    <format dxfId="1668">
      <pivotArea dataOnly="0" labelOnly="1" outline="0" fieldPosition="0">
        <references count="3">
          <reference field="0" count="1" selected="0">
            <x v="1"/>
          </reference>
          <reference field="1" count="1" selected="0">
            <x v="946"/>
          </reference>
          <reference field="20" count="1">
            <x v="169"/>
          </reference>
        </references>
      </pivotArea>
    </format>
    <format dxfId="1667">
      <pivotArea dataOnly="0" labelOnly="1" outline="0" fieldPosition="0">
        <references count="3">
          <reference field="0" count="1" selected="0">
            <x v="1"/>
          </reference>
          <reference field="1" count="1" selected="0">
            <x v="947"/>
          </reference>
          <reference field="20" count="1">
            <x v="0"/>
          </reference>
        </references>
      </pivotArea>
    </format>
    <format dxfId="1666">
      <pivotArea dataOnly="0" labelOnly="1" outline="0" fieldPosition="0">
        <references count="3">
          <reference field="0" count="1" selected="0">
            <x v="1"/>
          </reference>
          <reference field="1" count="1" selected="0">
            <x v="949"/>
          </reference>
          <reference field="20" count="1">
            <x v="170"/>
          </reference>
        </references>
      </pivotArea>
    </format>
    <format dxfId="1665">
      <pivotArea dataOnly="0" labelOnly="1" outline="0" fieldPosition="0">
        <references count="3">
          <reference field="0" count="1" selected="0">
            <x v="1"/>
          </reference>
          <reference field="1" count="1" selected="0">
            <x v="950"/>
          </reference>
          <reference field="20" count="1">
            <x v="0"/>
          </reference>
        </references>
      </pivotArea>
    </format>
    <format dxfId="1664">
      <pivotArea dataOnly="0" labelOnly="1" outline="0" fieldPosition="0">
        <references count="3">
          <reference field="0" count="1" selected="0">
            <x v="1"/>
          </reference>
          <reference field="1" count="1" selected="0">
            <x v="953"/>
          </reference>
          <reference field="20" count="1">
            <x v="0"/>
          </reference>
        </references>
      </pivotArea>
    </format>
    <format dxfId="1663">
      <pivotArea dataOnly="0" labelOnly="1" outline="0" fieldPosition="0">
        <references count="3">
          <reference field="0" count="1" selected="0">
            <x v="1"/>
          </reference>
          <reference field="1" count="1" selected="0">
            <x v="956"/>
          </reference>
          <reference field="20" count="1">
            <x v="0"/>
          </reference>
        </references>
      </pivotArea>
    </format>
    <format dxfId="1662">
      <pivotArea dataOnly="0" labelOnly="1" outline="0" fieldPosition="0">
        <references count="3">
          <reference field="0" count="1" selected="0">
            <x v="1"/>
          </reference>
          <reference field="1" count="1" selected="0">
            <x v="963"/>
          </reference>
          <reference field="20" count="1">
            <x v="176"/>
          </reference>
        </references>
      </pivotArea>
    </format>
    <format dxfId="1661">
      <pivotArea dataOnly="0" labelOnly="1" outline="0" fieldPosition="0">
        <references count="3">
          <reference field="0" count="1" selected="0">
            <x v="1"/>
          </reference>
          <reference field="1" count="1" selected="0">
            <x v="964"/>
          </reference>
          <reference field="20" count="1">
            <x v="0"/>
          </reference>
        </references>
      </pivotArea>
    </format>
    <format dxfId="1660">
      <pivotArea dataOnly="0" labelOnly="1" outline="0" fieldPosition="0">
        <references count="3">
          <reference field="0" count="1" selected="0">
            <x v="1"/>
          </reference>
          <reference field="1" count="1" selected="0">
            <x v="965"/>
          </reference>
          <reference field="20" count="1">
            <x v="0"/>
          </reference>
        </references>
      </pivotArea>
    </format>
    <format dxfId="1659">
      <pivotArea dataOnly="0" labelOnly="1" outline="0" fieldPosition="0">
        <references count="3">
          <reference field="0" count="1" selected="0">
            <x v="1"/>
          </reference>
          <reference field="1" count="1" selected="0">
            <x v="984"/>
          </reference>
          <reference field="20" count="1">
            <x v="0"/>
          </reference>
        </references>
      </pivotArea>
    </format>
    <format dxfId="1658">
      <pivotArea dataOnly="0" labelOnly="1" outline="0" fieldPosition="0">
        <references count="3">
          <reference field="0" count="1" selected="0">
            <x v="1"/>
          </reference>
          <reference field="1" count="1" selected="0">
            <x v="1007"/>
          </reference>
          <reference field="20" count="1">
            <x v="0"/>
          </reference>
        </references>
      </pivotArea>
    </format>
    <format dxfId="1657">
      <pivotArea dataOnly="0" labelOnly="1" outline="0" fieldPosition="0">
        <references count="3">
          <reference field="0" count="1" selected="0">
            <x v="1"/>
          </reference>
          <reference field="1" count="1" selected="0">
            <x v="1014"/>
          </reference>
          <reference field="20" count="1">
            <x v="0"/>
          </reference>
        </references>
      </pivotArea>
    </format>
    <format dxfId="1656">
      <pivotArea dataOnly="0" labelOnly="1" outline="0" fieldPosition="0">
        <references count="3">
          <reference field="0" count="1" selected="0">
            <x v="1"/>
          </reference>
          <reference field="1" count="1" selected="0">
            <x v="1017"/>
          </reference>
          <reference field="20" count="1">
            <x v="194"/>
          </reference>
        </references>
      </pivotArea>
    </format>
    <format dxfId="1655">
      <pivotArea dataOnly="0" labelOnly="1" outline="0" fieldPosition="0">
        <references count="3">
          <reference field="0" count="1" selected="0">
            <x v="1"/>
          </reference>
          <reference field="1" count="1" selected="0">
            <x v="1018"/>
          </reference>
          <reference field="20" count="1">
            <x v="0"/>
          </reference>
        </references>
      </pivotArea>
    </format>
    <format dxfId="1654">
      <pivotArea dataOnly="0" labelOnly="1" outline="0" fieldPosition="0">
        <references count="3">
          <reference field="0" count="1" selected="0">
            <x v="1"/>
          </reference>
          <reference field="1" count="1" selected="0">
            <x v="1023"/>
          </reference>
          <reference field="20" count="1">
            <x v="197"/>
          </reference>
        </references>
      </pivotArea>
    </format>
    <format dxfId="1653">
      <pivotArea dataOnly="0" labelOnly="1" outline="0" fieldPosition="0">
        <references count="3">
          <reference field="0" count="1" selected="0">
            <x v="1"/>
          </reference>
          <reference field="1" count="1" selected="0">
            <x v="1042"/>
          </reference>
          <reference field="20" count="1">
            <x v="0"/>
          </reference>
        </references>
      </pivotArea>
    </format>
    <format dxfId="1652">
      <pivotArea dataOnly="0" labelOnly="1" outline="0" fieldPosition="0">
        <references count="3">
          <reference field="0" count="1" selected="0">
            <x v="1"/>
          </reference>
          <reference field="1" count="1" selected="0">
            <x v="1043"/>
          </reference>
          <reference field="20" count="1">
            <x v="0"/>
          </reference>
        </references>
      </pivotArea>
    </format>
    <format dxfId="1651">
      <pivotArea dataOnly="0" labelOnly="1" outline="0" fieldPosition="0">
        <references count="3">
          <reference field="0" count="1" selected="0">
            <x v="1"/>
          </reference>
          <reference field="1" count="1" selected="0">
            <x v="1044"/>
          </reference>
          <reference field="20" count="1">
            <x v="205"/>
          </reference>
        </references>
      </pivotArea>
    </format>
    <format dxfId="1650">
      <pivotArea dataOnly="0" labelOnly="1" outline="0" fieldPosition="0">
        <references count="3">
          <reference field="0" count="1" selected="0">
            <x v="1"/>
          </reference>
          <reference field="1" count="1" selected="0">
            <x v="1050"/>
          </reference>
          <reference field="20" count="1">
            <x v="0"/>
          </reference>
        </references>
      </pivotArea>
    </format>
    <format dxfId="1649">
      <pivotArea dataOnly="0" labelOnly="1" outline="0" fieldPosition="0">
        <references count="3">
          <reference field="0" count="1" selected="0">
            <x v="1"/>
          </reference>
          <reference field="1" count="1" selected="0">
            <x v="1052"/>
          </reference>
          <reference field="20" count="1">
            <x v="0"/>
          </reference>
        </references>
      </pivotArea>
    </format>
    <format dxfId="1648">
      <pivotArea dataOnly="0" labelOnly="1" outline="0" fieldPosition="0">
        <references count="3">
          <reference field="0" count="1" selected="0">
            <x v="1"/>
          </reference>
          <reference field="1" count="1" selected="0">
            <x v="1061"/>
          </reference>
          <reference field="20" count="1">
            <x v="0"/>
          </reference>
        </references>
      </pivotArea>
    </format>
    <format dxfId="1647">
      <pivotArea dataOnly="0" labelOnly="1" outline="0" fieldPosition="0">
        <references count="3">
          <reference field="0" count="1" selected="0">
            <x v="1"/>
          </reference>
          <reference field="1" count="1" selected="0">
            <x v="1062"/>
          </reference>
          <reference field="20" count="1">
            <x v="212"/>
          </reference>
        </references>
      </pivotArea>
    </format>
    <format dxfId="1646">
      <pivotArea dataOnly="0" labelOnly="1" outline="0" fieldPosition="0">
        <references count="3">
          <reference field="0" count="1" selected="0">
            <x v="1"/>
          </reference>
          <reference field="1" count="1" selected="0">
            <x v="1066"/>
          </reference>
          <reference field="20" count="1">
            <x v="0"/>
          </reference>
        </references>
      </pivotArea>
    </format>
    <format dxfId="1645">
      <pivotArea dataOnly="0" labelOnly="1" outline="0" fieldPosition="0">
        <references count="3">
          <reference field="0" count="1" selected="0">
            <x v="1"/>
          </reference>
          <reference field="1" count="1" selected="0">
            <x v="1067"/>
          </reference>
          <reference field="20" count="1">
            <x v="0"/>
          </reference>
        </references>
      </pivotArea>
    </format>
    <format dxfId="1644">
      <pivotArea dataOnly="0" labelOnly="1" outline="0" fieldPosition="0">
        <references count="3">
          <reference field="0" count="1" selected="0">
            <x v="1"/>
          </reference>
          <reference field="1" count="1" selected="0">
            <x v="1069"/>
          </reference>
          <reference field="20" count="1">
            <x v="0"/>
          </reference>
        </references>
      </pivotArea>
    </format>
    <format dxfId="1643">
      <pivotArea dataOnly="0" labelOnly="1" outline="0" fieldPosition="0">
        <references count="3">
          <reference field="0" count="1" selected="0">
            <x v="1"/>
          </reference>
          <reference field="1" count="1" selected="0">
            <x v="1070"/>
          </reference>
          <reference field="20" count="1">
            <x v="0"/>
          </reference>
        </references>
      </pivotArea>
    </format>
    <format dxfId="1642">
      <pivotArea dataOnly="0" labelOnly="1" outline="0" fieldPosition="0">
        <references count="3">
          <reference field="0" count="1" selected="0">
            <x v="1"/>
          </reference>
          <reference field="1" count="1" selected="0">
            <x v="1073"/>
          </reference>
          <reference field="20" count="1">
            <x v="0"/>
          </reference>
        </references>
      </pivotArea>
    </format>
    <format dxfId="1641">
      <pivotArea dataOnly="0" labelOnly="1" outline="0" fieldPosition="0">
        <references count="3">
          <reference field="0" count="1" selected="0">
            <x v="1"/>
          </reference>
          <reference field="1" count="1" selected="0">
            <x v="1077"/>
          </reference>
          <reference field="20" count="1">
            <x v="0"/>
          </reference>
        </references>
      </pivotArea>
    </format>
    <format dxfId="1640">
      <pivotArea dataOnly="0" labelOnly="1" outline="0" fieldPosition="0">
        <references count="3">
          <reference field="0" count="1" selected="0">
            <x v="1"/>
          </reference>
          <reference field="1" count="1" selected="0">
            <x v="1123"/>
          </reference>
          <reference field="20" count="1">
            <x v="232"/>
          </reference>
        </references>
      </pivotArea>
    </format>
    <format dxfId="1639">
      <pivotArea dataOnly="0" labelOnly="1" outline="0" fieldPosition="0">
        <references count="3">
          <reference field="0" count="1" selected="0">
            <x v="1"/>
          </reference>
          <reference field="1" count="1" selected="0">
            <x v="1124"/>
          </reference>
          <reference field="20" count="1">
            <x v="0"/>
          </reference>
        </references>
      </pivotArea>
    </format>
    <format dxfId="1638">
      <pivotArea dataOnly="0" labelOnly="1" outline="0" fieldPosition="0">
        <references count="3">
          <reference field="0" count="1" selected="0">
            <x v="1"/>
          </reference>
          <reference field="1" count="1" selected="0">
            <x v="1125"/>
          </reference>
          <reference field="20" count="1">
            <x v="0"/>
          </reference>
        </references>
      </pivotArea>
    </format>
    <format dxfId="1637">
      <pivotArea dataOnly="0" labelOnly="1" outline="0" fieldPosition="0">
        <references count="3">
          <reference field="0" count="1" selected="0">
            <x v="1"/>
          </reference>
          <reference field="1" count="1" selected="0">
            <x v="1126"/>
          </reference>
          <reference field="20" count="1">
            <x v="234"/>
          </reference>
        </references>
      </pivotArea>
    </format>
    <format dxfId="1636">
      <pivotArea dataOnly="0" labelOnly="1" outline="0" fieldPosition="0">
        <references count="3">
          <reference field="0" count="1" selected="0">
            <x v="1"/>
          </reference>
          <reference field="1" count="1" selected="0">
            <x v="1147"/>
          </reference>
          <reference field="20" count="1">
            <x v="240"/>
          </reference>
        </references>
      </pivotArea>
    </format>
    <format dxfId="1635">
      <pivotArea dataOnly="0" labelOnly="1" outline="0" fieldPosition="0">
        <references count="3">
          <reference field="0" count="1" selected="0">
            <x v="1"/>
          </reference>
          <reference field="1" count="1" selected="0">
            <x v="1148"/>
          </reference>
          <reference field="20" count="1">
            <x v="0"/>
          </reference>
        </references>
      </pivotArea>
    </format>
    <format dxfId="1634">
      <pivotArea dataOnly="0" labelOnly="1" outline="0" fieldPosition="0">
        <references count="3">
          <reference field="0" count="1" selected="0">
            <x v="1"/>
          </reference>
          <reference field="1" count="1" selected="0">
            <x v="1153"/>
          </reference>
          <reference field="20" count="1">
            <x v="243"/>
          </reference>
        </references>
      </pivotArea>
    </format>
    <format dxfId="1633">
      <pivotArea dataOnly="0" labelOnly="1" outline="0" fieldPosition="0">
        <references count="3">
          <reference field="0" count="1" selected="0">
            <x v="1"/>
          </reference>
          <reference field="1" count="1" selected="0">
            <x v="1154"/>
          </reference>
          <reference field="20" count="1">
            <x v="244"/>
          </reference>
        </references>
      </pivotArea>
    </format>
    <format dxfId="1632">
      <pivotArea dataOnly="0" labelOnly="1" outline="0" fieldPosition="0">
        <references count="3">
          <reference field="0" count="1" selected="0">
            <x v="1"/>
          </reference>
          <reference field="1" count="1" selected="0">
            <x v="1156"/>
          </reference>
          <reference field="20" count="1">
            <x v="0"/>
          </reference>
        </references>
      </pivotArea>
    </format>
    <format dxfId="1631">
      <pivotArea dataOnly="0" labelOnly="1" outline="0" fieldPosition="0">
        <references count="3">
          <reference field="0" count="1" selected="0">
            <x v="1"/>
          </reference>
          <reference field="1" count="1" selected="0">
            <x v="1157"/>
          </reference>
          <reference field="20" count="1">
            <x v="246"/>
          </reference>
        </references>
      </pivotArea>
    </format>
    <format dxfId="1630">
      <pivotArea dataOnly="0" labelOnly="1" outline="0" fieldPosition="0">
        <references count="3">
          <reference field="0" count="1" selected="0">
            <x v="1"/>
          </reference>
          <reference field="1" count="1" selected="0">
            <x v="1158"/>
          </reference>
          <reference field="20" count="1">
            <x v="0"/>
          </reference>
        </references>
      </pivotArea>
    </format>
    <format dxfId="1629">
      <pivotArea dataOnly="0" labelOnly="1" outline="0" fieldPosition="0">
        <references count="3">
          <reference field="0" count="1" selected="0">
            <x v="1"/>
          </reference>
          <reference field="1" count="1" selected="0">
            <x v="1159"/>
          </reference>
          <reference field="20" count="1">
            <x v="0"/>
          </reference>
        </references>
      </pivotArea>
    </format>
    <format dxfId="1628">
      <pivotArea dataOnly="0" labelOnly="1" outline="0" fieldPosition="0">
        <references count="3">
          <reference field="0" count="1" selected="0">
            <x v="1"/>
          </reference>
          <reference field="1" count="1" selected="0">
            <x v="1161"/>
          </reference>
          <reference field="20" count="1">
            <x v="0"/>
          </reference>
        </references>
      </pivotArea>
    </format>
    <format dxfId="1627">
      <pivotArea dataOnly="0" labelOnly="1" outline="0" fieldPosition="0">
        <references count="3">
          <reference field="0" count="1" selected="0">
            <x v="1"/>
          </reference>
          <reference field="1" count="1" selected="0">
            <x v="1201"/>
          </reference>
          <reference field="20" count="1">
            <x v="263"/>
          </reference>
        </references>
      </pivotArea>
    </format>
    <format dxfId="1626">
      <pivotArea dataOnly="0" labelOnly="1" outline="0" fieldPosition="0">
        <references count="3">
          <reference field="0" count="1" selected="0">
            <x v="1"/>
          </reference>
          <reference field="1" count="1" selected="0">
            <x v="1204"/>
          </reference>
          <reference field="20" count="1">
            <x v="265"/>
          </reference>
        </references>
      </pivotArea>
    </format>
    <format dxfId="1625">
      <pivotArea dataOnly="0" labelOnly="1" outline="0" fieldPosition="0">
        <references count="3">
          <reference field="0" count="1" selected="0">
            <x v="1"/>
          </reference>
          <reference field="1" count="1" selected="0">
            <x v="1210"/>
          </reference>
          <reference field="20" count="1">
            <x v="270"/>
          </reference>
        </references>
      </pivotArea>
    </format>
    <format dxfId="1624">
      <pivotArea dataOnly="0" labelOnly="1" outline="0" fieldPosition="0">
        <references count="3">
          <reference field="0" count="1" selected="0">
            <x v="1"/>
          </reference>
          <reference field="1" count="1" selected="0">
            <x v="1212"/>
          </reference>
          <reference field="20" count="1">
            <x v="273"/>
          </reference>
        </references>
      </pivotArea>
    </format>
    <format dxfId="1623">
      <pivotArea dataOnly="0" labelOnly="1" outline="0" fieldPosition="0">
        <references count="3">
          <reference field="0" count="1" selected="0">
            <x v="1"/>
          </reference>
          <reference field="1" count="1" selected="0">
            <x v="1213"/>
          </reference>
          <reference field="20" count="1">
            <x v="0"/>
          </reference>
        </references>
      </pivotArea>
    </format>
    <format dxfId="1622">
      <pivotArea dataOnly="0" labelOnly="1" outline="0" fieldPosition="0">
        <references count="3">
          <reference field="0" count="1" selected="0">
            <x v="1"/>
          </reference>
          <reference field="1" count="1" selected="0">
            <x v="1214"/>
          </reference>
          <reference field="20" count="1">
            <x v="274"/>
          </reference>
        </references>
      </pivotArea>
    </format>
    <format dxfId="1621">
      <pivotArea dataOnly="0" labelOnly="1" outline="0" fieldPosition="0">
        <references count="3">
          <reference field="0" count="1" selected="0">
            <x v="1"/>
          </reference>
          <reference field="1" count="1" selected="0">
            <x v="1226"/>
          </reference>
          <reference field="20" count="1">
            <x v="0"/>
          </reference>
        </references>
      </pivotArea>
    </format>
    <format dxfId="1620">
      <pivotArea dataOnly="0" labelOnly="1" outline="0" fieldPosition="0">
        <references count="3">
          <reference field="0" count="1" selected="0">
            <x v="1"/>
          </reference>
          <reference field="1" count="1" selected="0">
            <x v="1236"/>
          </reference>
          <reference field="20" count="1">
            <x v="0"/>
          </reference>
        </references>
      </pivotArea>
    </format>
    <format dxfId="1619">
      <pivotArea dataOnly="0" labelOnly="1" outline="0" fieldPosition="0">
        <references count="3">
          <reference field="0" count="1" selected="0">
            <x v="1"/>
          </reference>
          <reference field="1" count="1" selected="0">
            <x v="1243"/>
          </reference>
          <reference field="20" count="1">
            <x v="285"/>
          </reference>
        </references>
      </pivotArea>
    </format>
    <format dxfId="1618">
      <pivotArea dataOnly="0" labelOnly="1" outline="0" fieldPosition="0">
        <references count="3">
          <reference field="0" count="1" selected="0">
            <x v="1"/>
          </reference>
          <reference field="1" count="1" selected="0">
            <x v="1245"/>
          </reference>
          <reference field="20" count="1">
            <x v="0"/>
          </reference>
        </references>
      </pivotArea>
    </format>
    <format dxfId="1617">
      <pivotArea dataOnly="0" labelOnly="1" outline="0" fieldPosition="0">
        <references count="3">
          <reference field="0" count="1" selected="0">
            <x v="1"/>
          </reference>
          <reference field="1" count="1" selected="0">
            <x v="1246"/>
          </reference>
          <reference field="20" count="1">
            <x v="0"/>
          </reference>
        </references>
      </pivotArea>
    </format>
    <format dxfId="1616">
      <pivotArea dataOnly="0" labelOnly="1" outline="0" fieldPosition="0">
        <references count="3">
          <reference field="0" count="1" selected="0">
            <x v="1"/>
          </reference>
          <reference field="1" count="1" selected="0">
            <x v="1247"/>
          </reference>
          <reference field="20" count="1">
            <x v="286"/>
          </reference>
        </references>
      </pivotArea>
    </format>
    <format dxfId="1615">
      <pivotArea dataOnly="0" labelOnly="1" outline="0" fieldPosition="0">
        <references count="3">
          <reference field="0" count="1" selected="0">
            <x v="1"/>
          </reference>
          <reference field="1" count="1" selected="0">
            <x v="1248"/>
          </reference>
          <reference field="20" count="1">
            <x v="0"/>
          </reference>
        </references>
      </pivotArea>
    </format>
    <format dxfId="1614">
      <pivotArea dataOnly="0" labelOnly="1" outline="0" fieldPosition="0">
        <references count="3">
          <reference field="0" count="1" selected="0">
            <x v="1"/>
          </reference>
          <reference field="1" count="1" selected="0">
            <x v="1250"/>
          </reference>
          <reference field="20" count="1">
            <x v="287"/>
          </reference>
        </references>
      </pivotArea>
    </format>
    <format dxfId="1613">
      <pivotArea dataOnly="0" labelOnly="1" outline="0" fieldPosition="0">
        <references count="3">
          <reference field="0" count="1" selected="0">
            <x v="1"/>
          </reference>
          <reference field="1" count="1" selected="0">
            <x v="1256"/>
          </reference>
          <reference field="20" count="1">
            <x v="0"/>
          </reference>
        </references>
      </pivotArea>
    </format>
    <format dxfId="1612">
      <pivotArea dataOnly="0" labelOnly="1" outline="0" fieldPosition="0">
        <references count="3">
          <reference field="0" count="1" selected="0">
            <x v="1"/>
          </reference>
          <reference field="1" count="1" selected="0">
            <x v="1279"/>
          </reference>
          <reference field="20" count="1">
            <x v="296"/>
          </reference>
        </references>
      </pivotArea>
    </format>
    <format dxfId="1611">
      <pivotArea dataOnly="0" labelOnly="1" outline="0" fieldPosition="0">
        <references count="3">
          <reference field="0" count="1" selected="0">
            <x v="1"/>
          </reference>
          <reference field="1" count="1" selected="0">
            <x v="1280"/>
          </reference>
          <reference field="20" count="1">
            <x v="297"/>
          </reference>
        </references>
      </pivotArea>
    </format>
    <format dxfId="1610">
      <pivotArea dataOnly="0" labelOnly="1" outline="0" fieldPosition="0">
        <references count="3">
          <reference field="0" count="1" selected="0">
            <x v="1"/>
          </reference>
          <reference field="1" count="1" selected="0">
            <x v="1292"/>
          </reference>
          <reference field="20" count="1">
            <x v="0"/>
          </reference>
        </references>
      </pivotArea>
    </format>
    <format dxfId="1609">
      <pivotArea dataOnly="0" labelOnly="1" outline="0" fieldPosition="0">
        <references count="3">
          <reference field="0" count="1" selected="0">
            <x v="1"/>
          </reference>
          <reference field="1" count="1" selected="0">
            <x v="1293"/>
          </reference>
          <reference field="20" count="1">
            <x v="299"/>
          </reference>
        </references>
      </pivotArea>
    </format>
    <format dxfId="1608">
      <pivotArea dataOnly="0" labelOnly="1" outline="0" fieldPosition="0">
        <references count="3">
          <reference field="0" count="1" selected="0">
            <x v="1"/>
          </reference>
          <reference field="1" count="1" selected="0">
            <x v="1296"/>
          </reference>
          <reference field="20" count="1">
            <x v="0"/>
          </reference>
        </references>
      </pivotArea>
    </format>
    <format dxfId="1607">
      <pivotArea dataOnly="0" labelOnly="1" outline="0" fieldPosition="0">
        <references count="3">
          <reference field="0" count="1" selected="0">
            <x v="1"/>
          </reference>
          <reference field="1" count="1" selected="0">
            <x v="1297"/>
          </reference>
          <reference field="20" count="1">
            <x v="0"/>
          </reference>
        </references>
      </pivotArea>
    </format>
    <format dxfId="1606">
      <pivotArea dataOnly="0" labelOnly="1" outline="0" fieldPosition="0">
        <references count="3">
          <reference field="0" count="1" selected="0">
            <x v="1"/>
          </reference>
          <reference field="1" count="1" selected="0">
            <x v="1298"/>
          </reference>
          <reference field="20" count="1">
            <x v="301"/>
          </reference>
        </references>
      </pivotArea>
    </format>
    <format dxfId="1605">
      <pivotArea dataOnly="0" labelOnly="1" outline="0" fieldPosition="0">
        <references count="3">
          <reference field="0" count="1" selected="0">
            <x v="1"/>
          </reference>
          <reference field="1" count="1" selected="0">
            <x v="1300"/>
          </reference>
          <reference field="20" count="1">
            <x v="0"/>
          </reference>
        </references>
      </pivotArea>
    </format>
    <format dxfId="1604">
      <pivotArea dataOnly="0" labelOnly="1" outline="0" fieldPosition="0">
        <references count="3">
          <reference field="0" count="1" selected="0">
            <x v="1"/>
          </reference>
          <reference field="1" count="1" selected="0">
            <x v="1302"/>
          </reference>
          <reference field="20" count="1">
            <x v="0"/>
          </reference>
        </references>
      </pivotArea>
    </format>
    <format dxfId="1603">
      <pivotArea dataOnly="0" labelOnly="1" outline="0" fieldPosition="0">
        <references count="3">
          <reference field="0" count="1" selected="0">
            <x v="1"/>
          </reference>
          <reference field="1" count="1" selected="0">
            <x v="1320"/>
          </reference>
          <reference field="20" count="1">
            <x v="0"/>
          </reference>
        </references>
      </pivotArea>
    </format>
    <format dxfId="1602">
      <pivotArea dataOnly="0" labelOnly="1" outline="0" fieldPosition="0">
        <references count="3">
          <reference field="0" count="1" selected="0">
            <x v="1"/>
          </reference>
          <reference field="1" count="1" selected="0">
            <x v="1332"/>
          </reference>
          <reference field="20" count="1">
            <x v="308"/>
          </reference>
        </references>
      </pivotArea>
    </format>
    <format dxfId="1601">
      <pivotArea dataOnly="0" labelOnly="1" outline="0" fieldPosition="0">
        <references count="3">
          <reference field="0" count="1" selected="0">
            <x v="1"/>
          </reference>
          <reference field="1" count="1" selected="0">
            <x v="1336"/>
          </reference>
          <reference field="20" count="1">
            <x v="0"/>
          </reference>
        </references>
      </pivotArea>
    </format>
    <format dxfId="1600">
      <pivotArea dataOnly="0" labelOnly="1" outline="0" fieldPosition="0">
        <references count="3">
          <reference field="0" count="1" selected="0">
            <x v="1"/>
          </reference>
          <reference field="1" count="1" selected="0">
            <x v="1343"/>
          </reference>
          <reference field="20" count="1">
            <x v="0"/>
          </reference>
        </references>
      </pivotArea>
    </format>
    <format dxfId="1599">
      <pivotArea dataOnly="0" labelOnly="1" outline="0" fieldPosition="0">
        <references count="3">
          <reference field="0" count="1" selected="0">
            <x v="1"/>
          </reference>
          <reference field="1" count="1" selected="0">
            <x v="1344"/>
          </reference>
          <reference field="20" count="1">
            <x v="0"/>
          </reference>
        </references>
      </pivotArea>
    </format>
    <format dxfId="1598">
      <pivotArea dataOnly="0" labelOnly="1" outline="0" fieldPosition="0">
        <references count="3">
          <reference field="0" count="1" selected="0">
            <x v="1"/>
          </reference>
          <reference field="1" count="1" selected="0">
            <x v="1345"/>
          </reference>
          <reference field="20" count="1">
            <x v="0"/>
          </reference>
        </references>
      </pivotArea>
    </format>
    <format dxfId="1597">
      <pivotArea dataOnly="0" labelOnly="1" outline="0" fieldPosition="0">
        <references count="3">
          <reference field="0" count="1" selected="0">
            <x v="1"/>
          </reference>
          <reference field="1" count="1" selected="0">
            <x v="1349"/>
          </reference>
          <reference field="20" count="1">
            <x v="0"/>
          </reference>
        </references>
      </pivotArea>
    </format>
    <format dxfId="1596">
      <pivotArea dataOnly="0" labelOnly="1" outline="0" fieldPosition="0">
        <references count="3">
          <reference field="0" count="1" selected="0">
            <x v="1"/>
          </reference>
          <reference field="1" count="1" selected="0">
            <x v="1353"/>
          </reference>
          <reference field="20" count="1">
            <x v="0"/>
          </reference>
        </references>
      </pivotArea>
    </format>
    <format dxfId="1595">
      <pivotArea dataOnly="0" labelOnly="1" outline="0" fieldPosition="0">
        <references count="3">
          <reference field="0" count="1" selected="0">
            <x v="1"/>
          </reference>
          <reference field="1" count="1" selected="0">
            <x v="1363"/>
          </reference>
          <reference field="20" count="1">
            <x v="0"/>
          </reference>
        </references>
      </pivotArea>
    </format>
    <format dxfId="1594">
      <pivotArea dataOnly="0" labelOnly="1" outline="0" fieldPosition="0">
        <references count="3">
          <reference field="0" count="1" selected="0">
            <x v="1"/>
          </reference>
          <reference field="1" count="1" selected="0">
            <x v="1364"/>
          </reference>
          <reference field="20" count="1">
            <x v="0"/>
          </reference>
        </references>
      </pivotArea>
    </format>
    <format dxfId="1593">
      <pivotArea dataOnly="0" labelOnly="1" outline="0" fieldPosition="0">
        <references count="3">
          <reference field="0" count="1" selected="0">
            <x v="1"/>
          </reference>
          <reference field="1" count="1" selected="0">
            <x v="1371"/>
          </reference>
          <reference field="20" count="1">
            <x v="0"/>
          </reference>
        </references>
      </pivotArea>
    </format>
    <format dxfId="1592">
      <pivotArea dataOnly="0" labelOnly="1" outline="0" fieldPosition="0">
        <references count="3">
          <reference field="0" count="1" selected="0">
            <x v="1"/>
          </reference>
          <reference field="1" count="1" selected="0">
            <x v="1372"/>
          </reference>
          <reference field="20" count="1">
            <x v="0"/>
          </reference>
        </references>
      </pivotArea>
    </format>
    <format dxfId="1591">
      <pivotArea dataOnly="0" labelOnly="1" outline="0" fieldPosition="0">
        <references count="3">
          <reference field="0" count="1" selected="0">
            <x v="1"/>
          </reference>
          <reference field="1" count="1" selected="0">
            <x v="1373"/>
          </reference>
          <reference field="20" count="1">
            <x v="0"/>
          </reference>
        </references>
      </pivotArea>
    </format>
    <format dxfId="1590">
      <pivotArea dataOnly="0" labelOnly="1" outline="0" fieldPosition="0">
        <references count="3">
          <reference field="0" count="1" selected="0">
            <x v="1"/>
          </reference>
          <reference field="1" count="1" selected="0">
            <x v="1376"/>
          </reference>
          <reference field="20" count="1">
            <x v="0"/>
          </reference>
        </references>
      </pivotArea>
    </format>
    <format dxfId="1589">
      <pivotArea dataOnly="0" labelOnly="1" outline="0" fieldPosition="0">
        <references count="3">
          <reference field="0" count="1" selected="0">
            <x v="1"/>
          </reference>
          <reference field="1" count="1" selected="0">
            <x v="1380"/>
          </reference>
          <reference field="20" count="1">
            <x v="0"/>
          </reference>
        </references>
      </pivotArea>
    </format>
    <format dxfId="1588">
      <pivotArea dataOnly="0" labelOnly="1" outline="0" fieldPosition="0">
        <references count="3">
          <reference field="0" count="1" selected="0">
            <x v="1"/>
          </reference>
          <reference field="1" count="1" selected="0">
            <x v="1386"/>
          </reference>
          <reference field="20" count="1">
            <x v="0"/>
          </reference>
        </references>
      </pivotArea>
    </format>
    <format dxfId="1587">
      <pivotArea dataOnly="0" labelOnly="1" outline="0" fieldPosition="0">
        <references count="3">
          <reference field="0" count="1" selected="0">
            <x v="1"/>
          </reference>
          <reference field="1" count="1" selected="0">
            <x v="1402"/>
          </reference>
          <reference field="20" count="1">
            <x v="0"/>
          </reference>
        </references>
      </pivotArea>
    </format>
    <format dxfId="1586">
      <pivotArea dataOnly="0" labelOnly="1" outline="0" fieldPosition="0">
        <references count="3">
          <reference field="0" count="1" selected="0">
            <x v="1"/>
          </reference>
          <reference field="1" count="1" selected="0">
            <x v="1422"/>
          </reference>
          <reference field="20" count="1">
            <x v="0"/>
          </reference>
        </references>
      </pivotArea>
    </format>
    <format dxfId="1585">
      <pivotArea dataOnly="0" labelOnly="1" outline="0" fieldPosition="0">
        <references count="3">
          <reference field="0" count="1" selected="0">
            <x v="1"/>
          </reference>
          <reference field="1" count="1" selected="0">
            <x v="1442"/>
          </reference>
          <reference field="20" count="1">
            <x v="0"/>
          </reference>
        </references>
      </pivotArea>
    </format>
    <format dxfId="1584">
      <pivotArea dataOnly="0" labelOnly="1" outline="0" fieldPosition="0">
        <references count="3">
          <reference field="0" count="1" selected="0">
            <x v="1"/>
          </reference>
          <reference field="1" count="1" selected="0">
            <x v="1445"/>
          </reference>
          <reference field="20" count="1">
            <x v="0"/>
          </reference>
        </references>
      </pivotArea>
    </format>
    <format dxfId="1583">
      <pivotArea dataOnly="0" labelOnly="1" outline="0" fieldPosition="0">
        <references count="3">
          <reference field="0" count="1" selected="0">
            <x v="1"/>
          </reference>
          <reference field="1" count="1" selected="0">
            <x v="1461"/>
          </reference>
          <reference field="20" count="1">
            <x v="0"/>
          </reference>
        </references>
      </pivotArea>
    </format>
    <format dxfId="1582">
      <pivotArea dataOnly="0" labelOnly="1" outline="0" fieldPosition="0">
        <references count="3">
          <reference field="0" count="1" selected="0">
            <x v="1"/>
          </reference>
          <reference field="1" count="1" selected="0">
            <x v="1466"/>
          </reference>
          <reference field="20" count="1">
            <x v="0"/>
          </reference>
        </references>
      </pivotArea>
    </format>
    <format dxfId="1581">
      <pivotArea dataOnly="0" labelOnly="1" outline="0" fieldPosition="0">
        <references count="3">
          <reference field="0" count="1" selected="0">
            <x v="1"/>
          </reference>
          <reference field="1" count="1" selected="0">
            <x v="1475"/>
          </reference>
          <reference field="20" count="1">
            <x v="0"/>
          </reference>
        </references>
      </pivotArea>
    </format>
    <format dxfId="1580">
      <pivotArea dataOnly="0" labelOnly="1" outline="0" fieldPosition="0">
        <references count="3">
          <reference field="0" count="1" selected="0">
            <x v="1"/>
          </reference>
          <reference field="1" count="1" selected="0">
            <x v="1476"/>
          </reference>
          <reference field="20" count="1">
            <x v="0"/>
          </reference>
        </references>
      </pivotArea>
    </format>
    <format dxfId="1579">
      <pivotArea dataOnly="0" labelOnly="1" outline="0" fieldPosition="0">
        <references count="3">
          <reference field="0" count="1" selected="0">
            <x v="1"/>
          </reference>
          <reference field="1" count="1" selected="0">
            <x v="1483"/>
          </reference>
          <reference field="20" count="1">
            <x v="0"/>
          </reference>
        </references>
      </pivotArea>
    </format>
    <format dxfId="1578">
      <pivotArea dataOnly="0" labelOnly="1" outline="0" fieldPosition="0">
        <references count="3">
          <reference field="0" count="1" selected="0">
            <x v="1"/>
          </reference>
          <reference field="1" count="1" selected="0">
            <x v="1506"/>
          </reference>
          <reference field="20" count="1">
            <x v="0"/>
          </reference>
        </references>
      </pivotArea>
    </format>
    <format dxfId="1577">
      <pivotArea dataOnly="0" labelOnly="1" outline="0" fieldPosition="0">
        <references count="3">
          <reference field="0" count="1" selected="0">
            <x v="1"/>
          </reference>
          <reference field="1" count="1" selected="0">
            <x v="1511"/>
          </reference>
          <reference field="20" count="1">
            <x v="0"/>
          </reference>
        </references>
      </pivotArea>
    </format>
    <format dxfId="1576">
      <pivotArea dataOnly="0" labelOnly="1" outline="0" fieldPosition="0">
        <references count="3">
          <reference field="0" count="1" selected="0">
            <x v="1"/>
          </reference>
          <reference field="1" count="1" selected="0">
            <x v="1513"/>
          </reference>
          <reference field="20" count="1">
            <x v="0"/>
          </reference>
        </references>
      </pivotArea>
    </format>
    <format dxfId="1575">
      <pivotArea dataOnly="0" labelOnly="1" outline="0" fieldPosition="0">
        <references count="3">
          <reference field="0" count="1" selected="0">
            <x v="1"/>
          </reference>
          <reference field="1" count="1" selected="0">
            <x v="1523"/>
          </reference>
          <reference field="20" count="1">
            <x v="0"/>
          </reference>
        </references>
      </pivotArea>
    </format>
    <format dxfId="1574">
      <pivotArea dataOnly="0" labelOnly="1" outline="0" fieldPosition="0">
        <references count="3">
          <reference field="0" count="1" selected="0">
            <x v="1"/>
          </reference>
          <reference field="1" count="1" selected="0">
            <x v="1524"/>
          </reference>
          <reference field="20" count="1">
            <x v="0"/>
          </reference>
        </references>
      </pivotArea>
    </format>
    <format dxfId="1573">
      <pivotArea dataOnly="0" labelOnly="1" outline="0" fieldPosition="0">
        <references count="3">
          <reference field="0" count="1" selected="0">
            <x v="1"/>
          </reference>
          <reference field="1" count="1" selected="0">
            <x v="1534"/>
          </reference>
          <reference field="20" count="1">
            <x v="0"/>
          </reference>
        </references>
      </pivotArea>
    </format>
    <format dxfId="1572">
      <pivotArea dataOnly="0" labelOnly="1" outline="0" fieldPosition="0">
        <references count="3">
          <reference field="0" count="1" selected="0">
            <x v="1"/>
          </reference>
          <reference field="1" count="1" selected="0">
            <x v="1538"/>
          </reference>
          <reference field="20" count="1">
            <x v="0"/>
          </reference>
        </references>
      </pivotArea>
    </format>
    <format dxfId="1571">
      <pivotArea dataOnly="0" labelOnly="1" outline="0" fieldPosition="0">
        <references count="3">
          <reference field="0" count="1" selected="0">
            <x v="1"/>
          </reference>
          <reference field="1" count="1" selected="0">
            <x v="1547"/>
          </reference>
          <reference field="20" count="1">
            <x v="0"/>
          </reference>
        </references>
      </pivotArea>
    </format>
    <format dxfId="1570">
      <pivotArea dataOnly="0" labelOnly="1" outline="0" fieldPosition="0">
        <references count="3">
          <reference field="0" count="1" selected="0">
            <x v="1"/>
          </reference>
          <reference field="1" count="1" selected="0">
            <x v="1550"/>
          </reference>
          <reference field="20" count="1">
            <x v="0"/>
          </reference>
        </references>
      </pivotArea>
    </format>
    <format dxfId="1569">
      <pivotArea dataOnly="0" labelOnly="1" outline="0" fieldPosition="0">
        <references count="3">
          <reference field="0" count="1" selected="0">
            <x v="1"/>
          </reference>
          <reference field="1" count="1" selected="0">
            <x v="1551"/>
          </reference>
          <reference field="20" count="1">
            <x v="310"/>
          </reference>
        </references>
      </pivotArea>
    </format>
    <format dxfId="1568">
      <pivotArea dataOnly="0" labelOnly="1" outline="0" fieldPosition="0">
        <references count="3">
          <reference field="0" count="1" selected="0">
            <x v="1"/>
          </reference>
          <reference field="1" count="1" selected="0">
            <x v="1555"/>
          </reference>
          <reference field="20" count="1">
            <x v="0"/>
          </reference>
        </references>
      </pivotArea>
    </format>
    <format dxfId="1567">
      <pivotArea dataOnly="0" labelOnly="1" outline="0" fieldPosition="0">
        <references count="3">
          <reference field="0" count="1" selected="0">
            <x v="1"/>
          </reference>
          <reference field="1" count="1" selected="0">
            <x v="1563"/>
          </reference>
          <reference field="20" count="1">
            <x v="0"/>
          </reference>
        </references>
      </pivotArea>
    </format>
    <format dxfId="1566">
      <pivotArea dataOnly="0" labelOnly="1" outline="0" fieldPosition="0">
        <references count="3">
          <reference field="0" count="1" selected="0">
            <x v="1"/>
          </reference>
          <reference field="1" count="1" selected="0">
            <x v="1570"/>
          </reference>
          <reference field="20" count="1">
            <x v="0"/>
          </reference>
        </references>
      </pivotArea>
    </format>
    <format dxfId="1565">
      <pivotArea dataOnly="0" labelOnly="1" outline="0" fieldPosition="0">
        <references count="3">
          <reference field="0" count="1" selected="0">
            <x v="1"/>
          </reference>
          <reference field="1" count="1" selected="0">
            <x v="1571"/>
          </reference>
          <reference field="20" count="1">
            <x v="312"/>
          </reference>
        </references>
      </pivotArea>
    </format>
    <format dxfId="1564">
      <pivotArea dataOnly="0" labelOnly="1" outline="0" fieldPosition="0">
        <references count="3">
          <reference field="0" count="1" selected="0">
            <x v="1"/>
          </reference>
          <reference field="1" count="1" selected="0">
            <x v="1573"/>
          </reference>
          <reference field="20" count="1">
            <x v="313"/>
          </reference>
        </references>
      </pivotArea>
    </format>
    <format dxfId="1563">
      <pivotArea dataOnly="0" labelOnly="1" outline="0" fieldPosition="0">
        <references count="3">
          <reference field="0" count="1" selected="0">
            <x v="1"/>
          </reference>
          <reference field="1" count="1" selected="0">
            <x v="1579"/>
          </reference>
          <reference field="20" count="1">
            <x v="0"/>
          </reference>
        </references>
      </pivotArea>
    </format>
    <format dxfId="1562">
      <pivotArea dataOnly="0" labelOnly="1" outline="0" fieldPosition="0">
        <references count="3">
          <reference field="0" count="1" selected="0">
            <x v="1"/>
          </reference>
          <reference field="1" count="1" selected="0">
            <x v="1590"/>
          </reference>
          <reference field="20" count="1">
            <x v="0"/>
          </reference>
        </references>
      </pivotArea>
    </format>
    <format dxfId="1561">
      <pivotArea dataOnly="0" labelOnly="1" outline="0" fieldPosition="0">
        <references count="3">
          <reference field="0" count="1" selected="0">
            <x v="1"/>
          </reference>
          <reference field="1" count="1" selected="0">
            <x v="1604"/>
          </reference>
          <reference field="20" count="1">
            <x v="322"/>
          </reference>
        </references>
      </pivotArea>
    </format>
    <format dxfId="1560">
      <pivotArea dataOnly="0" labelOnly="1" outline="0" fieldPosition="0">
        <references count="3">
          <reference field="0" count="1" selected="0">
            <x v="1"/>
          </reference>
          <reference field="1" count="1" selected="0">
            <x v="1605"/>
          </reference>
          <reference field="20" count="1">
            <x v="0"/>
          </reference>
        </references>
      </pivotArea>
    </format>
    <format dxfId="1559">
      <pivotArea dataOnly="0" labelOnly="1" outline="0" fieldPosition="0">
        <references count="3">
          <reference field="0" count="1" selected="0">
            <x v="1"/>
          </reference>
          <reference field="1" count="1" selected="0">
            <x v="1607"/>
          </reference>
          <reference field="20" count="1">
            <x v="0"/>
          </reference>
        </references>
      </pivotArea>
    </format>
    <format dxfId="1558">
      <pivotArea dataOnly="0" labelOnly="1" outline="0" fieldPosition="0">
        <references count="3">
          <reference field="0" count="1" selected="0">
            <x v="1"/>
          </reference>
          <reference field="1" count="1" selected="0">
            <x v="1609"/>
          </reference>
          <reference field="20" count="1">
            <x v="0"/>
          </reference>
        </references>
      </pivotArea>
    </format>
    <format dxfId="1557">
      <pivotArea dataOnly="0" labelOnly="1" outline="0" fieldPosition="0">
        <references count="3">
          <reference field="0" count="1" selected="0">
            <x v="1"/>
          </reference>
          <reference field="1" count="1" selected="0">
            <x v="1612"/>
          </reference>
          <reference field="20" count="1">
            <x v="324"/>
          </reference>
        </references>
      </pivotArea>
    </format>
    <format dxfId="1556">
      <pivotArea dataOnly="0" labelOnly="1" outline="0" fieldPosition="0">
        <references count="3">
          <reference field="0" count="1" selected="0">
            <x v="1"/>
          </reference>
          <reference field="1" count="1" selected="0">
            <x v="1613"/>
          </reference>
          <reference field="20" count="1">
            <x v="323"/>
          </reference>
        </references>
      </pivotArea>
    </format>
    <format dxfId="1555">
      <pivotArea dataOnly="0" labelOnly="1" outline="0" fieldPosition="0">
        <references count="3">
          <reference field="0" count="1" selected="0">
            <x v="1"/>
          </reference>
          <reference field="1" count="1" selected="0">
            <x v="1629"/>
          </reference>
          <reference field="20" count="1">
            <x v="0"/>
          </reference>
        </references>
      </pivotArea>
    </format>
    <format dxfId="1554">
      <pivotArea dataOnly="0" labelOnly="1" outline="0" fieldPosition="0">
        <references count="3">
          <reference field="0" count="1" selected="0">
            <x v="1"/>
          </reference>
          <reference field="1" count="1" selected="0">
            <x v="1630"/>
          </reference>
          <reference field="20" count="1">
            <x v="0"/>
          </reference>
        </references>
      </pivotArea>
    </format>
    <format dxfId="1553">
      <pivotArea dataOnly="0" labelOnly="1" outline="0" fieldPosition="0">
        <references count="3">
          <reference field="0" count="1" selected="0">
            <x v="1"/>
          </reference>
          <reference field="1" count="1" selected="0">
            <x v="1633"/>
          </reference>
          <reference field="20" count="1">
            <x v="0"/>
          </reference>
        </references>
      </pivotArea>
    </format>
    <format dxfId="1552">
      <pivotArea dataOnly="0" labelOnly="1" outline="0" fieldPosition="0">
        <references count="3">
          <reference field="0" count="1" selected="0">
            <x v="1"/>
          </reference>
          <reference field="1" count="1" selected="0">
            <x v="1637"/>
          </reference>
          <reference field="20" count="1">
            <x v="0"/>
          </reference>
        </references>
      </pivotArea>
    </format>
    <format dxfId="1551">
      <pivotArea dataOnly="0" labelOnly="1" outline="0" fieldPosition="0">
        <references count="3">
          <reference field="0" count="1" selected="0">
            <x v="1"/>
          </reference>
          <reference field="1" count="1" selected="0">
            <x v="1646"/>
          </reference>
          <reference field="20" count="1">
            <x v="0"/>
          </reference>
        </references>
      </pivotArea>
    </format>
    <format dxfId="1550">
      <pivotArea dataOnly="0" labelOnly="1" outline="0" fieldPosition="0">
        <references count="3">
          <reference field="0" count="1" selected="0">
            <x v="1"/>
          </reference>
          <reference field="1" count="1" selected="0">
            <x v="1650"/>
          </reference>
          <reference field="20" count="1">
            <x v="0"/>
          </reference>
        </references>
      </pivotArea>
    </format>
    <format dxfId="1549">
      <pivotArea dataOnly="0" labelOnly="1" outline="0" fieldPosition="0">
        <references count="3">
          <reference field="0" count="1" selected="0">
            <x v="1"/>
          </reference>
          <reference field="1" count="1" selected="0">
            <x v="1653"/>
          </reference>
          <reference field="20" count="1">
            <x v="0"/>
          </reference>
        </references>
      </pivotArea>
    </format>
    <format dxfId="1548">
      <pivotArea dataOnly="0" labelOnly="1" outline="0" fieldPosition="0">
        <references count="3">
          <reference field="0" count="1" selected="0">
            <x v="1"/>
          </reference>
          <reference field="1" count="1" selected="0">
            <x v="1655"/>
          </reference>
          <reference field="20" count="1">
            <x v="331"/>
          </reference>
        </references>
      </pivotArea>
    </format>
    <format dxfId="1547">
      <pivotArea dataOnly="0" labelOnly="1" outline="0" fieldPosition="0">
        <references count="3">
          <reference field="0" count="1" selected="0">
            <x v="1"/>
          </reference>
          <reference field="1" count="1" selected="0">
            <x v="1665"/>
          </reference>
          <reference field="20" count="1">
            <x v="0"/>
          </reference>
        </references>
      </pivotArea>
    </format>
    <format dxfId="1546">
      <pivotArea dataOnly="0" labelOnly="1" outline="0" fieldPosition="0">
        <references count="3">
          <reference field="0" count="1" selected="0">
            <x v="1"/>
          </reference>
          <reference field="1" count="1" selected="0">
            <x v="1667"/>
          </reference>
          <reference field="20" count="1">
            <x v="0"/>
          </reference>
        </references>
      </pivotArea>
    </format>
    <format dxfId="1545">
      <pivotArea dataOnly="0" labelOnly="1" outline="0" fieldPosition="0">
        <references count="3">
          <reference field="0" count="1" selected="0">
            <x v="1"/>
          </reference>
          <reference field="1" count="1" selected="0">
            <x v="1668"/>
          </reference>
          <reference field="20" count="1">
            <x v="0"/>
          </reference>
        </references>
      </pivotArea>
    </format>
    <format dxfId="1544">
      <pivotArea dataOnly="0" labelOnly="1" outline="0" fieldPosition="0">
        <references count="3">
          <reference field="0" count="1" selected="0">
            <x v="1"/>
          </reference>
          <reference field="1" count="1" selected="0">
            <x v="1673"/>
          </reference>
          <reference field="20" count="1">
            <x v="0"/>
          </reference>
        </references>
      </pivotArea>
    </format>
    <format dxfId="1543">
      <pivotArea dataOnly="0" labelOnly="1" outline="0" fieldPosition="0">
        <references count="3">
          <reference field="0" count="1" selected="0">
            <x v="2"/>
          </reference>
          <reference field="1" count="1" selected="0">
            <x v="5"/>
          </reference>
          <reference field="20" count="1">
            <x v="0"/>
          </reference>
        </references>
      </pivotArea>
    </format>
    <format dxfId="1542">
      <pivotArea dataOnly="0" labelOnly="1" outline="0" fieldPosition="0">
        <references count="3">
          <reference field="0" count="1" selected="0">
            <x v="2"/>
          </reference>
          <reference field="1" count="1" selected="0">
            <x v="10"/>
          </reference>
          <reference field="20" count="1">
            <x v="0"/>
          </reference>
        </references>
      </pivotArea>
    </format>
    <format dxfId="1541">
      <pivotArea dataOnly="0" labelOnly="1" outline="0" fieldPosition="0">
        <references count="3">
          <reference field="0" count="1" selected="0">
            <x v="2"/>
          </reference>
          <reference field="1" count="1" selected="0">
            <x v="15"/>
          </reference>
          <reference field="20" count="1">
            <x v="0"/>
          </reference>
        </references>
      </pivotArea>
    </format>
    <format dxfId="1540">
      <pivotArea dataOnly="0" labelOnly="1" outline="0" fieldPosition="0">
        <references count="3">
          <reference field="0" count="1" selected="0">
            <x v="2"/>
          </reference>
          <reference field="1" count="1" selected="0">
            <x v="31"/>
          </reference>
          <reference field="20" count="1">
            <x v="0"/>
          </reference>
        </references>
      </pivotArea>
    </format>
    <format dxfId="1539">
      <pivotArea dataOnly="0" labelOnly="1" outline="0" fieldPosition="0">
        <references count="3">
          <reference field="0" count="1" selected="0">
            <x v="2"/>
          </reference>
          <reference field="1" count="1" selected="0">
            <x v="43"/>
          </reference>
          <reference field="20" count="1">
            <x v="0"/>
          </reference>
        </references>
      </pivotArea>
    </format>
    <format dxfId="1538">
      <pivotArea dataOnly="0" labelOnly="1" outline="0" fieldPosition="0">
        <references count="3">
          <reference field="0" count="1" selected="0">
            <x v="2"/>
          </reference>
          <reference field="1" count="1" selected="0">
            <x v="57"/>
          </reference>
          <reference field="20" count="1">
            <x v="0"/>
          </reference>
        </references>
      </pivotArea>
    </format>
    <format dxfId="1537">
      <pivotArea dataOnly="0" labelOnly="1" outline="0" fieldPosition="0">
        <references count="3">
          <reference field="0" count="1" selected="0">
            <x v="2"/>
          </reference>
          <reference field="1" count="1" selected="0">
            <x v="67"/>
          </reference>
          <reference field="20" count="1">
            <x v="0"/>
          </reference>
        </references>
      </pivotArea>
    </format>
    <format dxfId="1536">
      <pivotArea dataOnly="0" labelOnly="1" outline="0" fieldPosition="0">
        <references count="3">
          <reference field="0" count="1" selected="0">
            <x v="2"/>
          </reference>
          <reference field="1" count="1" selected="0">
            <x v="130"/>
          </reference>
          <reference field="20" count="1">
            <x v="0"/>
          </reference>
        </references>
      </pivotArea>
    </format>
    <format dxfId="1535">
      <pivotArea dataOnly="0" labelOnly="1" outline="0" fieldPosition="0">
        <references count="3">
          <reference field="0" count="1" selected="0">
            <x v="2"/>
          </reference>
          <reference field="1" count="1" selected="0">
            <x v="157"/>
          </reference>
          <reference field="20" count="1">
            <x v="0"/>
          </reference>
        </references>
      </pivotArea>
    </format>
    <format dxfId="1534">
      <pivotArea dataOnly="0" labelOnly="1" outline="0" fieldPosition="0">
        <references count="3">
          <reference field="0" count="1" selected="0">
            <x v="2"/>
          </reference>
          <reference field="1" count="1" selected="0">
            <x v="161"/>
          </reference>
          <reference field="20" count="1">
            <x v="0"/>
          </reference>
        </references>
      </pivotArea>
    </format>
    <format dxfId="1533">
      <pivotArea dataOnly="0" labelOnly="1" outline="0" fieldPosition="0">
        <references count="3">
          <reference field="0" count="1" selected="0">
            <x v="2"/>
          </reference>
          <reference field="1" count="1" selected="0">
            <x v="166"/>
          </reference>
          <reference field="20" count="1">
            <x v="0"/>
          </reference>
        </references>
      </pivotArea>
    </format>
    <format dxfId="1532">
      <pivotArea dataOnly="0" labelOnly="1" outline="0" fieldPosition="0">
        <references count="3">
          <reference field="0" count="1" selected="0">
            <x v="2"/>
          </reference>
          <reference field="1" count="1" selected="0">
            <x v="178"/>
          </reference>
          <reference field="20" count="1">
            <x v="0"/>
          </reference>
        </references>
      </pivotArea>
    </format>
    <format dxfId="1531">
      <pivotArea dataOnly="0" labelOnly="1" outline="0" fieldPosition="0">
        <references count="3">
          <reference field="0" count="1" selected="0">
            <x v="2"/>
          </reference>
          <reference field="1" count="1" selected="0">
            <x v="181"/>
          </reference>
          <reference field="20" count="1">
            <x v="0"/>
          </reference>
        </references>
      </pivotArea>
    </format>
    <format dxfId="1530">
      <pivotArea dataOnly="0" labelOnly="1" outline="0" fieldPosition="0">
        <references count="3">
          <reference field="0" count="1" selected="0">
            <x v="2"/>
          </reference>
          <reference field="1" count="1" selected="0">
            <x v="192"/>
          </reference>
          <reference field="20" count="1">
            <x v="0"/>
          </reference>
        </references>
      </pivotArea>
    </format>
    <format dxfId="1529">
      <pivotArea dataOnly="0" labelOnly="1" outline="0" fieldPosition="0">
        <references count="3">
          <reference field="0" count="1" selected="0">
            <x v="2"/>
          </reference>
          <reference field="1" count="1" selected="0">
            <x v="208"/>
          </reference>
          <reference field="20" count="1">
            <x v="0"/>
          </reference>
        </references>
      </pivotArea>
    </format>
    <format dxfId="1528">
      <pivotArea dataOnly="0" labelOnly="1" outline="0" fieldPosition="0">
        <references count="3">
          <reference field="0" count="1" selected="0">
            <x v="2"/>
          </reference>
          <reference field="1" count="1" selected="0">
            <x v="213"/>
          </reference>
          <reference field="20" count="1">
            <x v="0"/>
          </reference>
        </references>
      </pivotArea>
    </format>
    <format dxfId="1527">
      <pivotArea dataOnly="0" labelOnly="1" outline="0" fieldPosition="0">
        <references count="3">
          <reference field="0" count="1" selected="0">
            <x v="2"/>
          </reference>
          <reference field="1" count="1" selected="0">
            <x v="217"/>
          </reference>
          <reference field="20" count="1">
            <x v="0"/>
          </reference>
        </references>
      </pivotArea>
    </format>
    <format dxfId="1526">
      <pivotArea dataOnly="0" labelOnly="1" outline="0" fieldPosition="0">
        <references count="3">
          <reference field="0" count="1" selected="0">
            <x v="2"/>
          </reference>
          <reference field="1" count="1" selected="0">
            <x v="224"/>
          </reference>
          <reference field="20" count="1">
            <x v="0"/>
          </reference>
        </references>
      </pivotArea>
    </format>
    <format dxfId="1525">
      <pivotArea dataOnly="0" labelOnly="1" outline="0" fieldPosition="0">
        <references count="3">
          <reference field="0" count="1" selected="0">
            <x v="2"/>
          </reference>
          <reference field="1" count="1" selected="0">
            <x v="232"/>
          </reference>
          <reference field="20" count="1">
            <x v="0"/>
          </reference>
        </references>
      </pivotArea>
    </format>
    <format dxfId="1524">
      <pivotArea dataOnly="0" labelOnly="1" outline="0" fieldPosition="0">
        <references count="3">
          <reference field="0" count="1" selected="0">
            <x v="2"/>
          </reference>
          <reference field="1" count="1" selected="0">
            <x v="234"/>
          </reference>
          <reference field="20" count="1">
            <x v="0"/>
          </reference>
        </references>
      </pivotArea>
    </format>
    <format dxfId="1523">
      <pivotArea dataOnly="0" labelOnly="1" outline="0" fieldPosition="0">
        <references count="3">
          <reference field="0" count="1" selected="0">
            <x v="2"/>
          </reference>
          <reference field="1" count="1" selected="0">
            <x v="235"/>
          </reference>
          <reference field="20" count="1">
            <x v="0"/>
          </reference>
        </references>
      </pivotArea>
    </format>
    <format dxfId="1522">
      <pivotArea dataOnly="0" labelOnly="1" outline="0" fieldPosition="0">
        <references count="3">
          <reference field="0" count="1" selected="0">
            <x v="2"/>
          </reference>
          <reference field="1" count="1" selected="0">
            <x v="248"/>
          </reference>
          <reference field="20" count="1">
            <x v="16"/>
          </reference>
        </references>
      </pivotArea>
    </format>
    <format dxfId="1521">
      <pivotArea dataOnly="0" labelOnly="1" outline="0" fieldPosition="0">
        <references count="3">
          <reference field="0" count="1" selected="0">
            <x v="2"/>
          </reference>
          <reference field="1" count="1" selected="0">
            <x v="249"/>
          </reference>
          <reference field="20" count="1">
            <x v="0"/>
          </reference>
        </references>
      </pivotArea>
    </format>
    <format dxfId="1520">
      <pivotArea dataOnly="0" labelOnly="1" outline="0" fieldPosition="0">
        <references count="3">
          <reference field="0" count="1" selected="0">
            <x v="2"/>
          </reference>
          <reference field="1" count="1" selected="0">
            <x v="250"/>
          </reference>
          <reference field="20" count="1">
            <x v="0"/>
          </reference>
        </references>
      </pivotArea>
    </format>
    <format dxfId="1519">
      <pivotArea dataOnly="0" labelOnly="1" outline="0" fieldPosition="0">
        <references count="3">
          <reference field="0" count="1" selected="0">
            <x v="2"/>
          </reference>
          <reference field="1" count="1" selected="0">
            <x v="254"/>
          </reference>
          <reference field="20" count="1">
            <x v="0"/>
          </reference>
        </references>
      </pivotArea>
    </format>
    <format dxfId="1518">
      <pivotArea dataOnly="0" labelOnly="1" outline="0" fieldPosition="0">
        <references count="3">
          <reference field="0" count="1" selected="0">
            <x v="2"/>
          </reference>
          <reference field="1" count="1" selected="0">
            <x v="275"/>
          </reference>
          <reference field="20" count="1">
            <x v="0"/>
          </reference>
        </references>
      </pivotArea>
    </format>
    <format dxfId="1517">
      <pivotArea dataOnly="0" labelOnly="1" outline="0" fieldPosition="0">
        <references count="3">
          <reference field="0" count="1" selected="0">
            <x v="2"/>
          </reference>
          <reference field="1" count="1" selected="0">
            <x v="276"/>
          </reference>
          <reference field="20" count="1">
            <x v="0"/>
          </reference>
        </references>
      </pivotArea>
    </format>
    <format dxfId="1516">
      <pivotArea dataOnly="0" labelOnly="1" outline="0" fieldPosition="0">
        <references count="3">
          <reference field="0" count="1" selected="0">
            <x v="2"/>
          </reference>
          <reference field="1" count="1" selected="0">
            <x v="283"/>
          </reference>
          <reference field="20" count="1">
            <x v="0"/>
          </reference>
        </references>
      </pivotArea>
    </format>
    <format dxfId="1515">
      <pivotArea dataOnly="0" labelOnly="1" outline="0" fieldPosition="0">
        <references count="3">
          <reference field="0" count="1" selected="0">
            <x v="2"/>
          </reference>
          <reference field="1" count="1" selected="0">
            <x v="286"/>
          </reference>
          <reference field="20" count="1">
            <x v="21"/>
          </reference>
        </references>
      </pivotArea>
    </format>
    <format dxfId="1514">
      <pivotArea dataOnly="0" labelOnly="1" outline="0" fieldPosition="0">
        <references count="3">
          <reference field="0" count="1" selected="0">
            <x v="2"/>
          </reference>
          <reference field="1" count="1" selected="0">
            <x v="288"/>
          </reference>
          <reference field="20" count="1">
            <x v="0"/>
          </reference>
        </references>
      </pivotArea>
    </format>
    <format dxfId="1513">
      <pivotArea dataOnly="0" labelOnly="1" outline="0" fieldPosition="0">
        <references count="3">
          <reference field="0" count="1" selected="0">
            <x v="2"/>
          </reference>
          <reference field="1" count="1" selected="0">
            <x v="296"/>
          </reference>
          <reference field="20" count="1">
            <x v="0"/>
          </reference>
        </references>
      </pivotArea>
    </format>
    <format dxfId="1512">
      <pivotArea dataOnly="0" labelOnly="1" outline="0" fieldPosition="0">
        <references count="3">
          <reference field="0" count="1" selected="0">
            <x v="2"/>
          </reference>
          <reference field="1" count="1" selected="0">
            <x v="305"/>
          </reference>
          <reference field="20" count="1">
            <x v="0"/>
          </reference>
        </references>
      </pivotArea>
    </format>
    <format dxfId="1511">
      <pivotArea dataOnly="0" labelOnly="1" outline="0" fieldPosition="0">
        <references count="3">
          <reference field="0" count="1" selected="0">
            <x v="2"/>
          </reference>
          <reference field="1" count="1" selected="0">
            <x v="323"/>
          </reference>
          <reference field="20" count="1">
            <x v="30"/>
          </reference>
        </references>
      </pivotArea>
    </format>
    <format dxfId="1510">
      <pivotArea dataOnly="0" labelOnly="1" outline="0" fieldPosition="0">
        <references count="3">
          <reference field="0" count="1" selected="0">
            <x v="2"/>
          </reference>
          <reference field="1" count="1" selected="0">
            <x v="324"/>
          </reference>
          <reference field="20" count="1">
            <x v="32"/>
          </reference>
        </references>
      </pivotArea>
    </format>
    <format dxfId="1509">
      <pivotArea dataOnly="0" labelOnly="1" outline="0" fieldPosition="0">
        <references count="3">
          <reference field="0" count="1" selected="0">
            <x v="2"/>
          </reference>
          <reference field="1" count="1" selected="0">
            <x v="325"/>
          </reference>
          <reference field="20" count="1">
            <x v="33"/>
          </reference>
        </references>
      </pivotArea>
    </format>
    <format dxfId="1508">
      <pivotArea dataOnly="0" labelOnly="1" outline="0" fieldPosition="0">
        <references count="3">
          <reference field="0" count="1" selected="0">
            <x v="2"/>
          </reference>
          <reference field="1" count="1" selected="0">
            <x v="326"/>
          </reference>
          <reference field="20" count="1">
            <x v="34"/>
          </reference>
        </references>
      </pivotArea>
    </format>
    <format dxfId="1507">
      <pivotArea dataOnly="0" labelOnly="1" outline="0" fieldPosition="0">
        <references count="3">
          <reference field="0" count="1" selected="0">
            <x v="2"/>
          </reference>
          <reference field="1" count="1" selected="0">
            <x v="328"/>
          </reference>
          <reference field="20" count="1">
            <x v="0"/>
          </reference>
        </references>
      </pivotArea>
    </format>
    <format dxfId="1506">
      <pivotArea dataOnly="0" labelOnly="1" outline="0" fieldPosition="0">
        <references count="3">
          <reference field="0" count="1" selected="0">
            <x v="2"/>
          </reference>
          <reference field="1" count="1" selected="0">
            <x v="329"/>
          </reference>
          <reference field="20" count="1">
            <x v="0"/>
          </reference>
        </references>
      </pivotArea>
    </format>
    <format dxfId="1505">
      <pivotArea dataOnly="0" labelOnly="1" outline="0" fieldPosition="0">
        <references count="3">
          <reference field="0" count="1" selected="0">
            <x v="2"/>
          </reference>
          <reference field="1" count="1" selected="0">
            <x v="331"/>
          </reference>
          <reference field="20" count="1">
            <x v="0"/>
          </reference>
        </references>
      </pivotArea>
    </format>
    <format dxfId="1504">
      <pivotArea dataOnly="0" labelOnly="1" outline="0" fieldPosition="0">
        <references count="3">
          <reference field="0" count="1" selected="0">
            <x v="2"/>
          </reference>
          <reference field="1" count="1" selected="0">
            <x v="334"/>
          </reference>
          <reference field="20" count="1">
            <x v="0"/>
          </reference>
        </references>
      </pivotArea>
    </format>
    <format dxfId="1503">
      <pivotArea dataOnly="0" labelOnly="1" outline="0" fieldPosition="0">
        <references count="3">
          <reference field="0" count="1" selected="0">
            <x v="2"/>
          </reference>
          <reference field="1" count="1" selected="0">
            <x v="335"/>
          </reference>
          <reference field="20" count="1">
            <x v="0"/>
          </reference>
        </references>
      </pivotArea>
    </format>
    <format dxfId="1502">
      <pivotArea dataOnly="0" labelOnly="1" outline="0" fieldPosition="0">
        <references count="3">
          <reference field="0" count="1" selected="0">
            <x v="2"/>
          </reference>
          <reference field="1" count="1" selected="0">
            <x v="342"/>
          </reference>
          <reference field="20" count="1">
            <x v="0"/>
          </reference>
        </references>
      </pivotArea>
    </format>
    <format dxfId="1501">
      <pivotArea dataOnly="0" labelOnly="1" outline="0" fieldPosition="0">
        <references count="3">
          <reference field="0" count="1" selected="0">
            <x v="2"/>
          </reference>
          <reference field="1" count="1" selected="0">
            <x v="343"/>
          </reference>
          <reference field="20" count="1">
            <x v="0"/>
          </reference>
        </references>
      </pivotArea>
    </format>
    <format dxfId="1500">
      <pivotArea dataOnly="0" labelOnly="1" outline="0" fieldPosition="0">
        <references count="3">
          <reference field="0" count="1" selected="0">
            <x v="2"/>
          </reference>
          <reference field="1" count="1" selected="0">
            <x v="344"/>
          </reference>
          <reference field="20" count="1">
            <x v="0"/>
          </reference>
        </references>
      </pivotArea>
    </format>
    <format dxfId="1499">
      <pivotArea dataOnly="0" labelOnly="1" outline="0" fieldPosition="0">
        <references count="3">
          <reference field="0" count="1" selected="0">
            <x v="2"/>
          </reference>
          <reference field="1" count="1" selected="0">
            <x v="345"/>
          </reference>
          <reference field="20" count="1">
            <x v="39"/>
          </reference>
        </references>
      </pivotArea>
    </format>
    <format dxfId="1498">
      <pivotArea dataOnly="0" labelOnly="1" outline="0" fieldPosition="0">
        <references count="3">
          <reference field="0" count="1" selected="0">
            <x v="2"/>
          </reference>
          <reference field="1" count="1" selected="0">
            <x v="350"/>
          </reference>
          <reference field="20" count="1">
            <x v="0"/>
          </reference>
        </references>
      </pivotArea>
    </format>
    <format dxfId="1497">
      <pivotArea dataOnly="0" labelOnly="1" outline="0" fieldPosition="0">
        <references count="3">
          <reference field="0" count="1" selected="0">
            <x v="2"/>
          </reference>
          <reference field="1" count="1" selected="0">
            <x v="351"/>
          </reference>
          <reference field="20" count="1">
            <x v="0"/>
          </reference>
        </references>
      </pivotArea>
    </format>
    <format dxfId="1496">
      <pivotArea dataOnly="0" labelOnly="1" outline="0" fieldPosition="0">
        <references count="3">
          <reference field="0" count="1" selected="0">
            <x v="2"/>
          </reference>
          <reference field="1" count="1" selected="0">
            <x v="352"/>
          </reference>
          <reference field="20" count="1">
            <x v="0"/>
          </reference>
        </references>
      </pivotArea>
    </format>
    <format dxfId="1495">
      <pivotArea dataOnly="0" labelOnly="1" outline="0" fieldPosition="0">
        <references count="3">
          <reference field="0" count="1" selected="0">
            <x v="2"/>
          </reference>
          <reference field="1" count="1" selected="0">
            <x v="361"/>
          </reference>
          <reference field="20" count="1">
            <x v="48"/>
          </reference>
        </references>
      </pivotArea>
    </format>
    <format dxfId="1494">
      <pivotArea dataOnly="0" labelOnly="1" outline="0" fieldPosition="0">
        <references count="3">
          <reference field="0" count="1" selected="0">
            <x v="2"/>
          </reference>
          <reference field="1" count="1" selected="0">
            <x v="364"/>
          </reference>
          <reference field="20" count="1">
            <x v="0"/>
          </reference>
        </references>
      </pivotArea>
    </format>
    <format dxfId="1493">
      <pivotArea dataOnly="0" labelOnly="1" outline="0" fieldPosition="0">
        <references count="3">
          <reference field="0" count="1" selected="0">
            <x v="2"/>
          </reference>
          <reference field="1" count="1" selected="0">
            <x v="373"/>
          </reference>
          <reference field="20" count="1">
            <x v="0"/>
          </reference>
        </references>
      </pivotArea>
    </format>
    <format dxfId="1492">
      <pivotArea dataOnly="0" labelOnly="1" outline="0" fieldPosition="0">
        <references count="3">
          <reference field="0" count="1" selected="0">
            <x v="2"/>
          </reference>
          <reference field="1" count="1" selected="0">
            <x v="382"/>
          </reference>
          <reference field="20" count="1">
            <x v="0"/>
          </reference>
        </references>
      </pivotArea>
    </format>
    <format dxfId="1491">
      <pivotArea dataOnly="0" labelOnly="1" outline="0" fieldPosition="0">
        <references count="3">
          <reference field="0" count="1" selected="0">
            <x v="2"/>
          </reference>
          <reference field="1" count="1" selected="0">
            <x v="385"/>
          </reference>
          <reference field="20" count="1">
            <x v="0"/>
          </reference>
        </references>
      </pivotArea>
    </format>
    <format dxfId="1490">
      <pivotArea dataOnly="0" labelOnly="1" outline="0" fieldPosition="0">
        <references count="3">
          <reference field="0" count="1" selected="0">
            <x v="2"/>
          </reference>
          <reference field="1" count="1" selected="0">
            <x v="387"/>
          </reference>
          <reference field="20" count="1">
            <x v="0"/>
          </reference>
        </references>
      </pivotArea>
    </format>
    <format dxfId="1489">
      <pivotArea dataOnly="0" labelOnly="1" outline="0" fieldPosition="0">
        <references count="3">
          <reference field="0" count="1" selected="0">
            <x v="2"/>
          </reference>
          <reference field="1" count="1" selected="0">
            <x v="392"/>
          </reference>
          <reference field="20" count="1">
            <x v="51"/>
          </reference>
        </references>
      </pivotArea>
    </format>
    <format dxfId="1488">
      <pivotArea dataOnly="0" labelOnly="1" outline="0" fieldPosition="0">
        <references count="3">
          <reference field="0" count="1" selected="0">
            <x v="2"/>
          </reference>
          <reference field="1" count="1" selected="0">
            <x v="393"/>
          </reference>
          <reference field="20" count="1">
            <x v="52"/>
          </reference>
        </references>
      </pivotArea>
    </format>
    <format dxfId="1487">
      <pivotArea dataOnly="0" labelOnly="1" outline="0" fieldPosition="0">
        <references count="3">
          <reference field="0" count="1" selected="0">
            <x v="2"/>
          </reference>
          <reference field="1" count="1" selected="0">
            <x v="394"/>
          </reference>
          <reference field="20" count="1">
            <x v="53"/>
          </reference>
        </references>
      </pivotArea>
    </format>
    <format dxfId="1486">
      <pivotArea dataOnly="0" labelOnly="1" outline="0" fieldPosition="0">
        <references count="3">
          <reference field="0" count="1" selected="0">
            <x v="2"/>
          </reference>
          <reference field="1" count="1" selected="0">
            <x v="395"/>
          </reference>
          <reference field="20" count="1">
            <x v="54"/>
          </reference>
        </references>
      </pivotArea>
    </format>
    <format dxfId="1485">
      <pivotArea dataOnly="0" labelOnly="1" outline="0" fieldPosition="0">
        <references count="3">
          <reference field="0" count="1" selected="0">
            <x v="2"/>
          </reference>
          <reference field="1" count="1" selected="0">
            <x v="396"/>
          </reference>
          <reference field="20" count="1">
            <x v="0"/>
          </reference>
        </references>
      </pivotArea>
    </format>
    <format dxfId="1484">
      <pivotArea dataOnly="0" labelOnly="1" outline="0" fieldPosition="0">
        <references count="3">
          <reference field="0" count="1" selected="0">
            <x v="2"/>
          </reference>
          <reference field="1" count="1" selected="0">
            <x v="398"/>
          </reference>
          <reference field="20" count="1">
            <x v="0"/>
          </reference>
        </references>
      </pivotArea>
    </format>
    <format dxfId="1483">
      <pivotArea dataOnly="0" labelOnly="1" outline="0" fieldPosition="0">
        <references count="3">
          <reference field="0" count="1" selected="0">
            <x v="2"/>
          </reference>
          <reference field="1" count="1" selected="0">
            <x v="402"/>
          </reference>
          <reference field="20" count="1">
            <x v="55"/>
          </reference>
        </references>
      </pivotArea>
    </format>
    <format dxfId="1482">
      <pivotArea dataOnly="0" labelOnly="1" outline="0" fieldPosition="0">
        <references count="3">
          <reference field="0" count="1" selected="0">
            <x v="2"/>
          </reference>
          <reference field="1" count="1" selected="0">
            <x v="414"/>
          </reference>
          <reference field="20" count="1">
            <x v="0"/>
          </reference>
        </references>
      </pivotArea>
    </format>
    <format dxfId="1481">
      <pivotArea dataOnly="0" labelOnly="1" outline="0" fieldPosition="0">
        <references count="3">
          <reference field="0" count="1" selected="0">
            <x v="2"/>
          </reference>
          <reference field="1" count="1" selected="0">
            <x v="417"/>
          </reference>
          <reference field="20" count="1">
            <x v="58"/>
          </reference>
        </references>
      </pivotArea>
    </format>
    <format dxfId="1480">
      <pivotArea dataOnly="0" labelOnly="1" outline="0" fieldPosition="0">
        <references count="3">
          <reference field="0" count="1" selected="0">
            <x v="2"/>
          </reference>
          <reference field="1" count="1" selected="0">
            <x v="418"/>
          </reference>
          <reference field="20" count="1">
            <x v="59"/>
          </reference>
        </references>
      </pivotArea>
    </format>
    <format dxfId="1479">
      <pivotArea dataOnly="0" labelOnly="1" outline="0" fieldPosition="0">
        <references count="3">
          <reference field="0" count="1" selected="0">
            <x v="2"/>
          </reference>
          <reference field="1" count="1" selected="0">
            <x v="427"/>
          </reference>
          <reference field="20" count="1">
            <x v="0"/>
          </reference>
        </references>
      </pivotArea>
    </format>
    <format dxfId="1478">
      <pivotArea dataOnly="0" labelOnly="1" outline="0" fieldPosition="0">
        <references count="3">
          <reference field="0" count="1" selected="0">
            <x v="2"/>
          </reference>
          <reference field="1" count="1" selected="0">
            <x v="438"/>
          </reference>
          <reference field="20" count="1">
            <x v="0"/>
          </reference>
        </references>
      </pivotArea>
    </format>
    <format dxfId="1477">
      <pivotArea dataOnly="0" labelOnly="1" outline="0" fieldPosition="0">
        <references count="3">
          <reference field="0" count="1" selected="0">
            <x v="2"/>
          </reference>
          <reference field="1" count="1" selected="0">
            <x v="441"/>
          </reference>
          <reference field="20" count="1">
            <x v="0"/>
          </reference>
        </references>
      </pivotArea>
    </format>
    <format dxfId="1476">
      <pivotArea dataOnly="0" labelOnly="1" outline="0" fieldPosition="0">
        <references count="3">
          <reference field="0" count="1" selected="0">
            <x v="2"/>
          </reference>
          <reference field="1" count="1" selected="0">
            <x v="444"/>
          </reference>
          <reference field="20" count="1">
            <x v="0"/>
          </reference>
        </references>
      </pivotArea>
    </format>
    <format dxfId="1475">
      <pivotArea dataOnly="0" labelOnly="1" outline="0" fieldPosition="0">
        <references count="3">
          <reference field="0" count="1" selected="0">
            <x v="2"/>
          </reference>
          <reference field="1" count="1" selected="0">
            <x v="460"/>
          </reference>
          <reference field="20" count="1">
            <x v="0"/>
          </reference>
        </references>
      </pivotArea>
    </format>
    <format dxfId="1474">
      <pivotArea dataOnly="0" labelOnly="1" outline="0" fieldPosition="0">
        <references count="3">
          <reference field="0" count="1" selected="0">
            <x v="2"/>
          </reference>
          <reference field="1" count="1" selected="0">
            <x v="466"/>
          </reference>
          <reference field="20" count="1">
            <x v="0"/>
          </reference>
        </references>
      </pivotArea>
    </format>
    <format dxfId="1473">
      <pivotArea dataOnly="0" labelOnly="1" outline="0" fieldPosition="0">
        <references count="3">
          <reference field="0" count="1" selected="0">
            <x v="2"/>
          </reference>
          <reference field="1" count="1" selected="0">
            <x v="467"/>
          </reference>
          <reference field="20" count="1">
            <x v="0"/>
          </reference>
        </references>
      </pivotArea>
    </format>
    <format dxfId="1472">
      <pivotArea dataOnly="0" labelOnly="1" outline="0" fieldPosition="0">
        <references count="3">
          <reference field="0" count="1" selected="0">
            <x v="2"/>
          </reference>
          <reference field="1" count="1" selected="0">
            <x v="468"/>
          </reference>
          <reference field="20" count="1">
            <x v="0"/>
          </reference>
        </references>
      </pivotArea>
    </format>
    <format dxfId="1471">
      <pivotArea dataOnly="0" labelOnly="1" outline="0" fieldPosition="0">
        <references count="3">
          <reference field="0" count="1" selected="0">
            <x v="2"/>
          </reference>
          <reference field="1" count="1" selected="0">
            <x v="476"/>
          </reference>
          <reference field="20" count="1">
            <x v="0"/>
          </reference>
        </references>
      </pivotArea>
    </format>
    <format dxfId="1470">
      <pivotArea dataOnly="0" labelOnly="1" outline="0" fieldPosition="0">
        <references count="3">
          <reference field="0" count="1" selected="0">
            <x v="2"/>
          </reference>
          <reference field="1" count="1" selected="0">
            <x v="477"/>
          </reference>
          <reference field="20" count="1">
            <x v="0"/>
          </reference>
        </references>
      </pivotArea>
    </format>
    <format dxfId="1469">
      <pivotArea dataOnly="0" labelOnly="1" outline="0" fieldPosition="0">
        <references count="3">
          <reference field="0" count="1" selected="0">
            <x v="2"/>
          </reference>
          <reference field="1" count="1" selected="0">
            <x v="481"/>
          </reference>
          <reference field="20" count="1">
            <x v="0"/>
          </reference>
        </references>
      </pivotArea>
    </format>
    <format dxfId="1468">
      <pivotArea dataOnly="0" labelOnly="1" outline="0" fieldPosition="0">
        <references count="3">
          <reference field="0" count="1" selected="0">
            <x v="2"/>
          </reference>
          <reference field="1" count="1" selected="0">
            <x v="485"/>
          </reference>
          <reference field="20" count="1">
            <x v="0"/>
          </reference>
        </references>
      </pivotArea>
    </format>
    <format dxfId="1467">
      <pivotArea dataOnly="0" labelOnly="1" outline="0" fieldPosition="0">
        <references count="3">
          <reference field="0" count="1" selected="0">
            <x v="2"/>
          </reference>
          <reference field="1" count="1" selected="0">
            <x v="486"/>
          </reference>
          <reference field="20" count="1">
            <x v="0"/>
          </reference>
        </references>
      </pivotArea>
    </format>
    <format dxfId="1466">
      <pivotArea dataOnly="0" labelOnly="1" outline="0" fieldPosition="0">
        <references count="3">
          <reference field="0" count="1" selected="0">
            <x v="2"/>
          </reference>
          <reference field="1" count="1" selected="0">
            <x v="500"/>
          </reference>
          <reference field="20" count="1">
            <x v="0"/>
          </reference>
        </references>
      </pivotArea>
    </format>
    <format dxfId="1465">
      <pivotArea dataOnly="0" labelOnly="1" outline="0" fieldPosition="0">
        <references count="3">
          <reference field="0" count="1" selected="0">
            <x v="2"/>
          </reference>
          <reference field="1" count="1" selected="0">
            <x v="501"/>
          </reference>
          <reference field="20" count="1">
            <x v="0"/>
          </reference>
        </references>
      </pivotArea>
    </format>
    <format dxfId="1464">
      <pivotArea dataOnly="0" labelOnly="1" outline="0" fieldPosition="0">
        <references count="3">
          <reference field="0" count="1" selected="0">
            <x v="2"/>
          </reference>
          <reference field="1" count="1" selected="0">
            <x v="503"/>
          </reference>
          <reference field="20" count="1">
            <x v="0"/>
          </reference>
        </references>
      </pivotArea>
    </format>
    <format dxfId="1463">
      <pivotArea dataOnly="0" labelOnly="1" outline="0" fieldPosition="0">
        <references count="3">
          <reference field="0" count="1" selected="0">
            <x v="2"/>
          </reference>
          <reference field="1" count="1" selected="0">
            <x v="504"/>
          </reference>
          <reference field="20" count="1">
            <x v="0"/>
          </reference>
        </references>
      </pivotArea>
    </format>
    <format dxfId="1462">
      <pivotArea dataOnly="0" labelOnly="1" outline="0" fieldPosition="0">
        <references count="3">
          <reference field="0" count="1" selected="0">
            <x v="2"/>
          </reference>
          <reference field="1" count="1" selected="0">
            <x v="505"/>
          </reference>
          <reference field="20" count="1">
            <x v="0"/>
          </reference>
        </references>
      </pivotArea>
    </format>
    <format dxfId="1461">
      <pivotArea dataOnly="0" labelOnly="1" outline="0" fieldPosition="0">
        <references count="3">
          <reference field="0" count="1" selected="0">
            <x v="2"/>
          </reference>
          <reference field="1" count="1" selected="0">
            <x v="506"/>
          </reference>
          <reference field="20" count="1">
            <x v="0"/>
          </reference>
        </references>
      </pivotArea>
    </format>
    <format dxfId="1460">
      <pivotArea dataOnly="0" labelOnly="1" outline="0" fieldPosition="0">
        <references count="3">
          <reference field="0" count="1" selected="0">
            <x v="2"/>
          </reference>
          <reference field="1" count="1" selected="0">
            <x v="519"/>
          </reference>
          <reference field="20" count="1">
            <x v="0"/>
          </reference>
        </references>
      </pivotArea>
    </format>
    <format dxfId="1459">
      <pivotArea dataOnly="0" labelOnly="1" outline="0" fieldPosition="0">
        <references count="3">
          <reference field="0" count="1" selected="0">
            <x v="2"/>
          </reference>
          <reference field="1" count="1" selected="0">
            <x v="525"/>
          </reference>
          <reference field="20" count="1">
            <x v="0"/>
          </reference>
        </references>
      </pivotArea>
    </format>
    <format dxfId="1458">
      <pivotArea dataOnly="0" labelOnly="1" outline="0" fieldPosition="0">
        <references count="3">
          <reference field="0" count="1" selected="0">
            <x v="2"/>
          </reference>
          <reference field="1" count="1" selected="0">
            <x v="546"/>
          </reference>
          <reference field="20" count="1">
            <x v="0"/>
          </reference>
        </references>
      </pivotArea>
    </format>
    <format dxfId="1457">
      <pivotArea dataOnly="0" labelOnly="1" outline="0" fieldPosition="0">
        <references count="3">
          <reference field="0" count="1" selected="0">
            <x v="2"/>
          </reference>
          <reference field="1" count="1" selected="0">
            <x v="551"/>
          </reference>
          <reference field="20" count="1">
            <x v="0"/>
          </reference>
        </references>
      </pivotArea>
    </format>
    <format dxfId="1456">
      <pivotArea dataOnly="0" labelOnly="1" outline="0" fieldPosition="0">
        <references count="3">
          <reference field="0" count="1" selected="0">
            <x v="2"/>
          </reference>
          <reference field="1" count="1" selected="0">
            <x v="562"/>
          </reference>
          <reference field="20" count="1">
            <x v="0"/>
          </reference>
        </references>
      </pivotArea>
    </format>
    <format dxfId="1455">
      <pivotArea dataOnly="0" labelOnly="1" outline="0" fieldPosition="0">
        <references count="3">
          <reference field="0" count="1" selected="0">
            <x v="2"/>
          </reference>
          <reference field="1" count="1" selected="0">
            <x v="574"/>
          </reference>
          <reference field="20" count="1">
            <x v="82"/>
          </reference>
        </references>
      </pivotArea>
    </format>
    <format dxfId="1454">
      <pivotArea dataOnly="0" labelOnly="1" outline="0" fieldPosition="0">
        <references count="3">
          <reference field="0" count="1" selected="0">
            <x v="2"/>
          </reference>
          <reference field="1" count="1" selected="0">
            <x v="576"/>
          </reference>
          <reference field="20" count="1">
            <x v="0"/>
          </reference>
        </references>
      </pivotArea>
    </format>
    <format dxfId="1453">
      <pivotArea dataOnly="0" labelOnly="1" outline="0" fieldPosition="0">
        <references count="3">
          <reference field="0" count="1" selected="0">
            <x v="2"/>
          </reference>
          <reference field="1" count="1" selected="0">
            <x v="577"/>
          </reference>
          <reference field="20" count="1">
            <x v="0"/>
          </reference>
        </references>
      </pivotArea>
    </format>
    <format dxfId="1452">
      <pivotArea dataOnly="0" labelOnly="1" outline="0" fieldPosition="0">
        <references count="3">
          <reference field="0" count="1" selected="0">
            <x v="2"/>
          </reference>
          <reference field="1" count="1" selected="0">
            <x v="583"/>
          </reference>
          <reference field="20" count="1">
            <x v="0"/>
          </reference>
        </references>
      </pivotArea>
    </format>
    <format dxfId="1451">
      <pivotArea dataOnly="0" labelOnly="1" outline="0" fieldPosition="0">
        <references count="3">
          <reference field="0" count="1" selected="0">
            <x v="2"/>
          </reference>
          <reference field="1" count="1" selected="0">
            <x v="604"/>
          </reference>
          <reference field="20" count="1">
            <x v="0"/>
          </reference>
        </references>
      </pivotArea>
    </format>
    <format dxfId="1450">
      <pivotArea dataOnly="0" labelOnly="1" outline="0" fieldPosition="0">
        <references count="3">
          <reference field="0" count="1" selected="0">
            <x v="2"/>
          </reference>
          <reference field="1" count="1" selected="0">
            <x v="610"/>
          </reference>
          <reference field="20" count="1">
            <x v="0"/>
          </reference>
        </references>
      </pivotArea>
    </format>
    <format dxfId="1449">
      <pivotArea dataOnly="0" labelOnly="1" outline="0" fieldPosition="0">
        <references count="3">
          <reference field="0" count="1" selected="0">
            <x v="2"/>
          </reference>
          <reference field="1" count="1" selected="0">
            <x v="624"/>
          </reference>
          <reference field="20" count="1">
            <x v="0"/>
          </reference>
        </references>
      </pivotArea>
    </format>
    <format dxfId="1448">
      <pivotArea dataOnly="0" labelOnly="1" outline="0" fieldPosition="0">
        <references count="3">
          <reference field="0" count="1" selected="0">
            <x v="2"/>
          </reference>
          <reference field="1" count="1" selected="0">
            <x v="626"/>
          </reference>
          <reference field="20" count="1">
            <x v="96"/>
          </reference>
        </references>
      </pivotArea>
    </format>
    <format dxfId="1447">
      <pivotArea dataOnly="0" labelOnly="1" outline="0" fieldPosition="0">
        <references count="3">
          <reference field="0" count="1" selected="0">
            <x v="2"/>
          </reference>
          <reference field="1" count="1" selected="0">
            <x v="627"/>
          </reference>
          <reference field="20" count="1">
            <x v="0"/>
          </reference>
        </references>
      </pivotArea>
    </format>
    <format dxfId="1446">
      <pivotArea dataOnly="0" labelOnly="1" outline="0" fieldPosition="0">
        <references count="3">
          <reference field="0" count="1" selected="0">
            <x v="2"/>
          </reference>
          <reference field="1" count="1" selected="0">
            <x v="634"/>
          </reference>
          <reference field="20" count="1">
            <x v="0"/>
          </reference>
        </references>
      </pivotArea>
    </format>
    <format dxfId="1445">
      <pivotArea dataOnly="0" labelOnly="1" outline="0" fieldPosition="0">
        <references count="3">
          <reference field="0" count="1" selected="0">
            <x v="2"/>
          </reference>
          <reference field="1" count="1" selected="0">
            <x v="662"/>
          </reference>
          <reference field="20" count="1">
            <x v="0"/>
          </reference>
        </references>
      </pivotArea>
    </format>
    <format dxfId="1444">
      <pivotArea dataOnly="0" labelOnly="1" outline="0" fieldPosition="0">
        <references count="3">
          <reference field="0" count="1" selected="0">
            <x v="2"/>
          </reference>
          <reference field="1" count="1" selected="0">
            <x v="676"/>
          </reference>
          <reference field="20" count="1">
            <x v="0"/>
          </reference>
        </references>
      </pivotArea>
    </format>
    <format dxfId="1443">
      <pivotArea dataOnly="0" labelOnly="1" outline="0" fieldPosition="0">
        <references count="3">
          <reference field="0" count="1" selected="0">
            <x v="2"/>
          </reference>
          <reference field="1" count="1" selected="0">
            <x v="679"/>
          </reference>
          <reference field="20" count="1">
            <x v="0"/>
          </reference>
        </references>
      </pivotArea>
    </format>
    <format dxfId="1442">
      <pivotArea dataOnly="0" labelOnly="1" outline="0" fieldPosition="0">
        <references count="3">
          <reference field="0" count="1" selected="0">
            <x v="2"/>
          </reference>
          <reference field="1" count="1" selected="0">
            <x v="692"/>
          </reference>
          <reference field="20" count="1">
            <x v="0"/>
          </reference>
        </references>
      </pivotArea>
    </format>
    <format dxfId="1441">
      <pivotArea dataOnly="0" labelOnly="1" outline="0" fieldPosition="0">
        <references count="3">
          <reference field="0" count="1" selected="0">
            <x v="2"/>
          </reference>
          <reference field="1" count="1" selected="0">
            <x v="703"/>
          </reference>
          <reference field="20" count="1">
            <x v="0"/>
          </reference>
        </references>
      </pivotArea>
    </format>
    <format dxfId="1440">
      <pivotArea dataOnly="0" labelOnly="1" outline="0" fieldPosition="0">
        <references count="3">
          <reference field="0" count="1" selected="0">
            <x v="2"/>
          </reference>
          <reference field="1" count="1" selected="0">
            <x v="704"/>
          </reference>
          <reference field="20" count="1">
            <x v="108"/>
          </reference>
        </references>
      </pivotArea>
    </format>
    <format dxfId="1439">
      <pivotArea dataOnly="0" labelOnly="1" outline="0" fieldPosition="0">
        <references count="3">
          <reference field="0" count="1" selected="0">
            <x v="2"/>
          </reference>
          <reference field="1" count="1" selected="0">
            <x v="710"/>
          </reference>
          <reference field="20" count="1">
            <x v="0"/>
          </reference>
        </references>
      </pivotArea>
    </format>
    <format dxfId="1438">
      <pivotArea dataOnly="0" labelOnly="1" outline="0" fieldPosition="0">
        <references count="3">
          <reference field="0" count="1" selected="0">
            <x v="2"/>
          </reference>
          <reference field="1" count="1" selected="0">
            <x v="721"/>
          </reference>
          <reference field="20" count="1">
            <x v="0"/>
          </reference>
        </references>
      </pivotArea>
    </format>
    <format dxfId="1437">
      <pivotArea dataOnly="0" labelOnly="1" outline="0" fieldPosition="0">
        <references count="3">
          <reference field="0" count="1" selected="0">
            <x v="2"/>
          </reference>
          <reference field="1" count="1" selected="0">
            <x v="725"/>
          </reference>
          <reference field="20" count="1">
            <x v="0"/>
          </reference>
        </references>
      </pivotArea>
    </format>
    <format dxfId="1436">
      <pivotArea dataOnly="0" labelOnly="1" outline="0" fieldPosition="0">
        <references count="3">
          <reference field="0" count="1" selected="0">
            <x v="2"/>
          </reference>
          <reference field="1" count="1" selected="0">
            <x v="728"/>
          </reference>
          <reference field="20" count="1">
            <x v="0"/>
          </reference>
        </references>
      </pivotArea>
    </format>
    <format dxfId="1435">
      <pivotArea dataOnly="0" labelOnly="1" outline="0" fieldPosition="0">
        <references count="3">
          <reference field="0" count="1" selected="0">
            <x v="2"/>
          </reference>
          <reference field="1" count="1" selected="0">
            <x v="729"/>
          </reference>
          <reference field="20" count="1">
            <x v="119"/>
          </reference>
        </references>
      </pivotArea>
    </format>
    <format dxfId="1434">
      <pivotArea dataOnly="0" labelOnly="1" outline="0" fieldPosition="0">
        <references count="3">
          <reference field="0" count="1" selected="0">
            <x v="2"/>
          </reference>
          <reference field="1" count="1" selected="0">
            <x v="730"/>
          </reference>
          <reference field="20" count="1">
            <x v="0"/>
          </reference>
        </references>
      </pivotArea>
    </format>
    <format dxfId="1433">
      <pivotArea dataOnly="0" labelOnly="1" outline="0" fieldPosition="0">
        <references count="3">
          <reference field="0" count="1" selected="0">
            <x v="2"/>
          </reference>
          <reference field="1" count="1" selected="0">
            <x v="736"/>
          </reference>
          <reference field="20" count="1">
            <x v="0"/>
          </reference>
        </references>
      </pivotArea>
    </format>
    <format dxfId="1432">
      <pivotArea dataOnly="0" labelOnly="1" outline="0" fieldPosition="0">
        <references count="3">
          <reference field="0" count="1" selected="0">
            <x v="2"/>
          </reference>
          <reference field="1" count="1" selected="0">
            <x v="737"/>
          </reference>
          <reference field="20" count="1">
            <x v="0"/>
          </reference>
        </references>
      </pivotArea>
    </format>
    <format dxfId="1431">
      <pivotArea dataOnly="0" labelOnly="1" outline="0" fieldPosition="0">
        <references count="3">
          <reference field="0" count="1" selected="0">
            <x v="2"/>
          </reference>
          <reference field="1" count="1" selected="0">
            <x v="738"/>
          </reference>
          <reference field="20" count="1">
            <x v="0"/>
          </reference>
        </references>
      </pivotArea>
    </format>
    <format dxfId="1430">
      <pivotArea dataOnly="0" labelOnly="1" outline="0" fieldPosition="0">
        <references count="3">
          <reference field="0" count="1" selected="0">
            <x v="2"/>
          </reference>
          <reference field="1" count="1" selected="0">
            <x v="770"/>
          </reference>
          <reference field="20" count="1">
            <x v="0"/>
          </reference>
        </references>
      </pivotArea>
    </format>
    <format dxfId="1429">
      <pivotArea dataOnly="0" labelOnly="1" outline="0" fieldPosition="0">
        <references count="3">
          <reference field="0" count="1" selected="0">
            <x v="2"/>
          </reference>
          <reference field="1" count="1" selected="0">
            <x v="788"/>
          </reference>
          <reference field="20" count="1">
            <x v="131"/>
          </reference>
        </references>
      </pivotArea>
    </format>
    <format dxfId="1428">
      <pivotArea dataOnly="0" labelOnly="1" outline="0" fieldPosition="0">
        <references count="3">
          <reference field="0" count="1" selected="0">
            <x v="2"/>
          </reference>
          <reference field="1" count="1" selected="0">
            <x v="795"/>
          </reference>
          <reference field="20" count="1">
            <x v="0"/>
          </reference>
        </references>
      </pivotArea>
    </format>
    <format dxfId="1427">
      <pivotArea dataOnly="0" labelOnly="1" outline="0" fieldPosition="0">
        <references count="3">
          <reference field="0" count="1" selected="0">
            <x v="2"/>
          </reference>
          <reference field="1" count="1" selected="0">
            <x v="806"/>
          </reference>
          <reference field="20" count="1">
            <x v="0"/>
          </reference>
        </references>
      </pivotArea>
    </format>
    <format dxfId="1426">
      <pivotArea dataOnly="0" labelOnly="1" outline="0" fieldPosition="0">
        <references count="3">
          <reference field="0" count="1" selected="0">
            <x v="2"/>
          </reference>
          <reference field="1" count="1" selected="0">
            <x v="808"/>
          </reference>
          <reference field="20" count="1">
            <x v="137"/>
          </reference>
        </references>
      </pivotArea>
    </format>
    <format dxfId="1425">
      <pivotArea dataOnly="0" labelOnly="1" outline="0" fieldPosition="0">
        <references count="3">
          <reference field="0" count="1" selected="0">
            <x v="2"/>
          </reference>
          <reference field="1" count="1" selected="0">
            <x v="809"/>
          </reference>
          <reference field="20" count="1">
            <x v="136"/>
          </reference>
        </references>
      </pivotArea>
    </format>
    <format dxfId="1424">
      <pivotArea dataOnly="0" labelOnly="1" outline="0" fieldPosition="0">
        <references count="3">
          <reference field="0" count="1" selected="0">
            <x v="2"/>
          </reference>
          <reference field="1" count="1" selected="0">
            <x v="810"/>
          </reference>
          <reference field="20" count="1">
            <x v="0"/>
          </reference>
        </references>
      </pivotArea>
    </format>
    <format dxfId="1423">
      <pivotArea dataOnly="0" labelOnly="1" outline="0" fieldPosition="0">
        <references count="3">
          <reference field="0" count="1" selected="0">
            <x v="2"/>
          </reference>
          <reference field="1" count="1" selected="0">
            <x v="816"/>
          </reference>
          <reference field="20" count="1">
            <x v="0"/>
          </reference>
        </references>
      </pivotArea>
    </format>
    <format dxfId="1422">
      <pivotArea dataOnly="0" labelOnly="1" outline="0" fieldPosition="0">
        <references count="3">
          <reference field="0" count="1" selected="0">
            <x v="2"/>
          </reference>
          <reference field="1" count="1" selected="0">
            <x v="818"/>
          </reference>
          <reference field="20" count="1">
            <x v="0"/>
          </reference>
        </references>
      </pivotArea>
    </format>
    <format dxfId="1421">
      <pivotArea dataOnly="0" labelOnly="1" outline="0" fieldPosition="0">
        <references count="3">
          <reference field="0" count="1" selected="0">
            <x v="2"/>
          </reference>
          <reference field="1" count="1" selected="0">
            <x v="826"/>
          </reference>
          <reference field="20" count="1">
            <x v="143"/>
          </reference>
        </references>
      </pivotArea>
    </format>
    <format dxfId="1420">
      <pivotArea dataOnly="0" labelOnly="1" outline="0" fieldPosition="0">
        <references count="3">
          <reference field="0" count="1" selected="0">
            <x v="2"/>
          </reference>
          <reference field="1" count="1" selected="0">
            <x v="830"/>
          </reference>
          <reference field="20" count="1">
            <x v="0"/>
          </reference>
        </references>
      </pivotArea>
    </format>
    <format dxfId="1419">
      <pivotArea dataOnly="0" labelOnly="1" outline="0" fieldPosition="0">
        <references count="3">
          <reference field="0" count="1" selected="0">
            <x v="2"/>
          </reference>
          <reference field="1" count="1" selected="0">
            <x v="835"/>
          </reference>
          <reference field="20" count="1">
            <x v="145"/>
          </reference>
        </references>
      </pivotArea>
    </format>
    <format dxfId="1418">
      <pivotArea dataOnly="0" labelOnly="1" outline="0" fieldPosition="0">
        <references count="3">
          <reference field="0" count="1" selected="0">
            <x v="2"/>
          </reference>
          <reference field="1" count="1" selected="0">
            <x v="889"/>
          </reference>
          <reference field="20" count="1">
            <x v="0"/>
          </reference>
        </references>
      </pivotArea>
    </format>
    <format dxfId="1417">
      <pivotArea dataOnly="0" labelOnly="1" outline="0" fieldPosition="0">
        <references count="3">
          <reference field="0" count="1" selected="0">
            <x v="2"/>
          </reference>
          <reference field="1" count="1" selected="0">
            <x v="900"/>
          </reference>
          <reference field="20" count="1">
            <x v="0"/>
          </reference>
        </references>
      </pivotArea>
    </format>
    <format dxfId="1416">
      <pivotArea dataOnly="0" labelOnly="1" outline="0" fieldPosition="0">
        <references count="3">
          <reference field="0" count="1" selected="0">
            <x v="2"/>
          </reference>
          <reference field="1" count="1" selected="0">
            <x v="909"/>
          </reference>
          <reference field="20" count="1">
            <x v="0"/>
          </reference>
        </references>
      </pivotArea>
    </format>
    <format dxfId="1415">
      <pivotArea dataOnly="0" labelOnly="1" outline="0" fieldPosition="0">
        <references count="3">
          <reference field="0" count="1" selected="0">
            <x v="2"/>
          </reference>
          <reference field="1" count="1" selected="0">
            <x v="927"/>
          </reference>
          <reference field="20" count="1">
            <x v="164"/>
          </reference>
        </references>
      </pivotArea>
    </format>
    <format dxfId="1414">
      <pivotArea dataOnly="0" labelOnly="1" outline="0" fieldPosition="0">
        <references count="3">
          <reference field="0" count="1" selected="0">
            <x v="2"/>
          </reference>
          <reference field="1" count="1" selected="0">
            <x v="936"/>
          </reference>
          <reference field="20" count="1">
            <x v="0"/>
          </reference>
        </references>
      </pivotArea>
    </format>
    <format dxfId="1413">
      <pivotArea dataOnly="0" labelOnly="1" outline="0" fieldPosition="0">
        <references count="3">
          <reference field="0" count="1" selected="0">
            <x v="2"/>
          </reference>
          <reference field="1" count="1" selected="0">
            <x v="938"/>
          </reference>
          <reference field="20" count="1">
            <x v="0"/>
          </reference>
        </references>
      </pivotArea>
    </format>
    <format dxfId="1412">
      <pivotArea dataOnly="0" labelOnly="1" outline="0" fieldPosition="0">
        <references count="3">
          <reference field="0" count="1" selected="0">
            <x v="2"/>
          </reference>
          <reference field="1" count="1" selected="0">
            <x v="945"/>
          </reference>
          <reference field="20" count="1">
            <x v="0"/>
          </reference>
        </references>
      </pivotArea>
    </format>
    <format dxfId="1411">
      <pivotArea dataOnly="0" labelOnly="1" outline="0" fieldPosition="0">
        <references count="3">
          <reference field="0" count="1" selected="0">
            <x v="2"/>
          </reference>
          <reference field="1" count="1" selected="0">
            <x v="948"/>
          </reference>
          <reference field="20" count="1">
            <x v="0"/>
          </reference>
        </references>
      </pivotArea>
    </format>
    <format dxfId="1410">
      <pivotArea dataOnly="0" labelOnly="1" outline="0" fieldPosition="0">
        <references count="3">
          <reference field="0" count="1" selected="0">
            <x v="2"/>
          </reference>
          <reference field="1" count="1" selected="0">
            <x v="967"/>
          </reference>
          <reference field="20" count="1">
            <x v="177"/>
          </reference>
        </references>
      </pivotArea>
    </format>
    <format dxfId="1409">
      <pivotArea dataOnly="0" labelOnly="1" outline="0" fieldPosition="0">
        <references count="3">
          <reference field="0" count="1" selected="0">
            <x v="2"/>
          </reference>
          <reference field="1" count="1" selected="0">
            <x v="983"/>
          </reference>
          <reference field="20" count="1">
            <x v="0"/>
          </reference>
        </references>
      </pivotArea>
    </format>
    <format dxfId="1408">
      <pivotArea dataOnly="0" labelOnly="1" outline="0" fieldPosition="0">
        <references count="3">
          <reference field="0" count="1" selected="0">
            <x v="2"/>
          </reference>
          <reference field="1" count="1" selected="0">
            <x v="989"/>
          </reference>
          <reference field="20" count="1">
            <x v="183"/>
          </reference>
        </references>
      </pivotArea>
    </format>
    <format dxfId="1407">
      <pivotArea dataOnly="0" labelOnly="1" outline="0" fieldPosition="0">
        <references count="3">
          <reference field="0" count="1" selected="0">
            <x v="2"/>
          </reference>
          <reference field="1" count="1" selected="0">
            <x v="1001"/>
          </reference>
          <reference field="20" count="1">
            <x v="0"/>
          </reference>
        </references>
      </pivotArea>
    </format>
    <format dxfId="1406">
      <pivotArea dataOnly="0" labelOnly="1" outline="0" fieldPosition="0">
        <references count="3">
          <reference field="0" count="1" selected="0">
            <x v="2"/>
          </reference>
          <reference field="1" count="1" selected="0">
            <x v="1003"/>
          </reference>
          <reference field="20" count="1">
            <x v="0"/>
          </reference>
        </references>
      </pivotArea>
    </format>
    <format dxfId="1405">
      <pivotArea dataOnly="0" labelOnly="1" outline="0" fieldPosition="0">
        <references count="3">
          <reference field="0" count="1" selected="0">
            <x v="2"/>
          </reference>
          <reference field="1" count="1" selected="0">
            <x v="1004"/>
          </reference>
          <reference field="20" count="1">
            <x v="0"/>
          </reference>
        </references>
      </pivotArea>
    </format>
    <format dxfId="1404">
      <pivotArea dataOnly="0" labelOnly="1" outline="0" fieldPosition="0">
        <references count="3">
          <reference field="0" count="1" selected="0">
            <x v="2"/>
          </reference>
          <reference field="1" count="1" selected="0">
            <x v="1011"/>
          </reference>
          <reference field="20" count="1">
            <x v="0"/>
          </reference>
        </references>
      </pivotArea>
    </format>
    <format dxfId="1403">
      <pivotArea dataOnly="0" labelOnly="1" outline="0" fieldPosition="0">
        <references count="3">
          <reference field="0" count="1" selected="0">
            <x v="2"/>
          </reference>
          <reference field="1" count="1" selected="0">
            <x v="1013"/>
          </reference>
          <reference field="20" count="1">
            <x v="0"/>
          </reference>
        </references>
      </pivotArea>
    </format>
    <format dxfId="1402">
      <pivotArea dataOnly="0" labelOnly="1" outline="0" fieldPosition="0">
        <references count="3">
          <reference field="0" count="1" selected="0">
            <x v="2"/>
          </reference>
          <reference field="1" count="1" selected="0">
            <x v="1019"/>
          </reference>
          <reference field="20" count="1">
            <x v="195"/>
          </reference>
        </references>
      </pivotArea>
    </format>
    <format dxfId="1401">
      <pivotArea dataOnly="0" labelOnly="1" outline="0" fieldPosition="0">
        <references count="3">
          <reference field="0" count="1" selected="0">
            <x v="2"/>
          </reference>
          <reference field="1" count="1" selected="0">
            <x v="1021"/>
          </reference>
          <reference field="20" count="1">
            <x v="0"/>
          </reference>
        </references>
      </pivotArea>
    </format>
    <format dxfId="1400">
      <pivotArea dataOnly="0" labelOnly="1" outline="0" fieldPosition="0">
        <references count="3">
          <reference field="0" count="1" selected="0">
            <x v="2"/>
          </reference>
          <reference field="1" count="1" selected="0">
            <x v="1024"/>
          </reference>
          <reference field="20" count="1">
            <x v="0"/>
          </reference>
        </references>
      </pivotArea>
    </format>
    <format dxfId="1399">
      <pivotArea dataOnly="0" labelOnly="1" outline="0" fieldPosition="0">
        <references count="3">
          <reference field="0" count="1" selected="0">
            <x v="2"/>
          </reference>
          <reference field="1" count="1" selected="0">
            <x v="1025"/>
          </reference>
          <reference field="20" count="1">
            <x v="0"/>
          </reference>
        </references>
      </pivotArea>
    </format>
    <format dxfId="1398">
      <pivotArea dataOnly="0" labelOnly="1" outline="0" fieldPosition="0">
        <references count="3">
          <reference field="0" count="1" selected="0">
            <x v="2"/>
          </reference>
          <reference field="1" count="1" selected="0">
            <x v="1034"/>
          </reference>
          <reference field="20" count="1">
            <x v="201"/>
          </reference>
        </references>
      </pivotArea>
    </format>
    <format dxfId="1397">
      <pivotArea dataOnly="0" labelOnly="1" outline="0" fieldPosition="0">
        <references count="3">
          <reference field="0" count="1" selected="0">
            <x v="2"/>
          </reference>
          <reference field="1" count="1" selected="0">
            <x v="1054"/>
          </reference>
          <reference field="20" count="1">
            <x v="210"/>
          </reference>
        </references>
      </pivotArea>
    </format>
    <format dxfId="1396">
      <pivotArea dataOnly="0" labelOnly="1" outline="0" fieldPosition="0">
        <references count="3">
          <reference field="0" count="1" selected="0">
            <x v="2"/>
          </reference>
          <reference field="1" count="1" selected="0">
            <x v="1056"/>
          </reference>
          <reference field="20" count="1">
            <x v="0"/>
          </reference>
        </references>
      </pivotArea>
    </format>
    <format dxfId="1395">
      <pivotArea dataOnly="0" labelOnly="1" outline="0" fieldPosition="0">
        <references count="3">
          <reference field="0" count="1" selected="0">
            <x v="2"/>
          </reference>
          <reference field="1" count="1" selected="0">
            <x v="1064"/>
          </reference>
          <reference field="20" count="1">
            <x v="0"/>
          </reference>
        </references>
      </pivotArea>
    </format>
    <format dxfId="1394">
      <pivotArea dataOnly="0" labelOnly="1" outline="0" fieldPosition="0">
        <references count="3">
          <reference field="0" count="1" selected="0">
            <x v="2"/>
          </reference>
          <reference field="1" count="1" selected="0">
            <x v="1065"/>
          </reference>
          <reference field="20" count="1">
            <x v="0"/>
          </reference>
        </references>
      </pivotArea>
    </format>
    <format dxfId="1393">
      <pivotArea dataOnly="0" labelOnly="1" outline="0" fieldPosition="0">
        <references count="3">
          <reference field="0" count="1" selected="0">
            <x v="2"/>
          </reference>
          <reference field="1" count="1" selected="0">
            <x v="1071"/>
          </reference>
          <reference field="20" count="1">
            <x v="0"/>
          </reference>
        </references>
      </pivotArea>
    </format>
    <format dxfId="1392">
      <pivotArea dataOnly="0" labelOnly="1" outline="0" fieldPosition="0">
        <references count="3">
          <reference field="0" count="1" selected="0">
            <x v="2"/>
          </reference>
          <reference field="1" count="1" selected="0">
            <x v="1073"/>
          </reference>
          <reference field="20" count="1">
            <x v="0"/>
          </reference>
        </references>
      </pivotArea>
    </format>
    <format dxfId="1391">
      <pivotArea dataOnly="0" labelOnly="1" outline="0" fieldPosition="0">
        <references count="3">
          <reference field="0" count="1" selected="0">
            <x v="2"/>
          </reference>
          <reference field="1" count="1" selected="0">
            <x v="1074"/>
          </reference>
          <reference field="20" count="1">
            <x v="0"/>
          </reference>
        </references>
      </pivotArea>
    </format>
    <format dxfId="1390">
      <pivotArea dataOnly="0" labelOnly="1" outline="0" fieldPosition="0">
        <references count="3">
          <reference field="0" count="1" selected="0">
            <x v="2"/>
          </reference>
          <reference field="1" count="1" selected="0">
            <x v="1075"/>
          </reference>
          <reference field="20" count="1">
            <x v="0"/>
          </reference>
        </references>
      </pivotArea>
    </format>
    <format dxfId="1389">
      <pivotArea dataOnly="0" labelOnly="1" outline="0" fieldPosition="0">
        <references count="3">
          <reference field="0" count="1" selected="0">
            <x v="2"/>
          </reference>
          <reference field="1" count="1" selected="0">
            <x v="1076"/>
          </reference>
          <reference field="20" count="1">
            <x v="0"/>
          </reference>
        </references>
      </pivotArea>
    </format>
    <format dxfId="1388">
      <pivotArea dataOnly="0" labelOnly="1" outline="0" fieldPosition="0">
        <references count="3">
          <reference field="0" count="1" selected="0">
            <x v="2"/>
          </reference>
          <reference field="1" count="1" selected="0">
            <x v="1079"/>
          </reference>
          <reference field="20" count="1">
            <x v="0"/>
          </reference>
        </references>
      </pivotArea>
    </format>
    <format dxfId="1387">
      <pivotArea dataOnly="0" labelOnly="1" outline="0" fieldPosition="0">
        <references count="3">
          <reference field="0" count="1" selected="0">
            <x v="2"/>
          </reference>
          <reference field="1" count="1" selected="0">
            <x v="1084"/>
          </reference>
          <reference field="20" count="1">
            <x v="0"/>
          </reference>
        </references>
      </pivotArea>
    </format>
    <format dxfId="1386">
      <pivotArea dataOnly="0" labelOnly="1" outline="0" fieldPosition="0">
        <references count="3">
          <reference field="0" count="1" selected="0">
            <x v="2"/>
          </reference>
          <reference field="1" count="1" selected="0">
            <x v="1096"/>
          </reference>
          <reference field="20" count="1">
            <x v="221"/>
          </reference>
        </references>
      </pivotArea>
    </format>
    <format dxfId="1385">
      <pivotArea dataOnly="0" labelOnly="1" outline="0" fieldPosition="0">
        <references count="3">
          <reference field="0" count="1" selected="0">
            <x v="2"/>
          </reference>
          <reference field="1" count="1" selected="0">
            <x v="1097"/>
          </reference>
          <reference field="20" count="1">
            <x v="223"/>
          </reference>
        </references>
      </pivotArea>
    </format>
    <format dxfId="1384">
      <pivotArea dataOnly="0" labelOnly="1" outline="0" fieldPosition="0">
        <references count="3">
          <reference field="0" count="1" selected="0">
            <x v="2"/>
          </reference>
          <reference field="1" count="1" selected="0">
            <x v="1100"/>
          </reference>
          <reference field="20" count="1">
            <x v="0"/>
          </reference>
        </references>
      </pivotArea>
    </format>
    <format dxfId="1383">
      <pivotArea dataOnly="0" labelOnly="1" outline="0" fieldPosition="0">
        <references count="3">
          <reference field="0" count="1" selected="0">
            <x v="2"/>
          </reference>
          <reference field="1" count="1" selected="0">
            <x v="1101"/>
          </reference>
          <reference field="20" count="1">
            <x v="0"/>
          </reference>
        </references>
      </pivotArea>
    </format>
    <format dxfId="1382">
      <pivotArea dataOnly="0" labelOnly="1" outline="0" fieldPosition="0">
        <references count="3">
          <reference field="0" count="1" selected="0">
            <x v="2"/>
          </reference>
          <reference field="1" count="1" selected="0">
            <x v="1121"/>
          </reference>
          <reference field="20" count="1">
            <x v="0"/>
          </reference>
        </references>
      </pivotArea>
    </format>
    <format dxfId="1381">
      <pivotArea dataOnly="0" labelOnly="1" outline="0" fieldPosition="0">
        <references count="3">
          <reference field="0" count="1" selected="0">
            <x v="2"/>
          </reference>
          <reference field="1" count="1" selected="0">
            <x v="1126"/>
          </reference>
          <reference field="20" count="1">
            <x v="233"/>
          </reference>
        </references>
      </pivotArea>
    </format>
    <format dxfId="1380">
      <pivotArea dataOnly="0" labelOnly="1" outline="0" fieldPosition="0">
        <references count="3">
          <reference field="0" count="1" selected="0">
            <x v="2"/>
          </reference>
          <reference field="1" count="1" selected="0">
            <x v="1127"/>
          </reference>
          <reference field="20" count="1">
            <x v="0"/>
          </reference>
        </references>
      </pivotArea>
    </format>
    <format dxfId="1379">
      <pivotArea dataOnly="0" labelOnly="1" outline="0" fieldPosition="0">
        <references count="3">
          <reference field="0" count="1" selected="0">
            <x v="2"/>
          </reference>
          <reference field="1" count="1" selected="0">
            <x v="1134"/>
          </reference>
          <reference field="20" count="1">
            <x v="0"/>
          </reference>
        </references>
      </pivotArea>
    </format>
    <format dxfId="1378">
      <pivotArea dataOnly="0" labelOnly="1" outline="0" fieldPosition="0">
        <references count="3">
          <reference field="0" count="1" selected="0">
            <x v="2"/>
          </reference>
          <reference field="1" count="1" selected="0">
            <x v="1138"/>
          </reference>
          <reference field="20" count="1">
            <x v="0"/>
          </reference>
        </references>
      </pivotArea>
    </format>
    <format dxfId="1377">
      <pivotArea dataOnly="0" labelOnly="1" outline="0" fieldPosition="0">
        <references count="3">
          <reference field="0" count="1" selected="0">
            <x v="2"/>
          </reference>
          <reference field="1" count="1" selected="0">
            <x v="1139"/>
          </reference>
          <reference field="20" count="1">
            <x v="0"/>
          </reference>
        </references>
      </pivotArea>
    </format>
    <format dxfId="1376">
      <pivotArea dataOnly="0" labelOnly="1" outline="0" fieldPosition="0">
        <references count="3">
          <reference field="0" count="1" selected="0">
            <x v="2"/>
          </reference>
          <reference field="1" count="1" selected="0">
            <x v="1151"/>
          </reference>
          <reference field="20" count="1">
            <x v="0"/>
          </reference>
        </references>
      </pivotArea>
    </format>
    <format dxfId="1375">
      <pivotArea dataOnly="0" labelOnly="1" outline="0" fieldPosition="0">
        <references count="3">
          <reference field="0" count="1" selected="0">
            <x v="2"/>
          </reference>
          <reference field="1" count="1" selected="0">
            <x v="1165"/>
          </reference>
          <reference field="20" count="1">
            <x v="0"/>
          </reference>
        </references>
      </pivotArea>
    </format>
    <format dxfId="1374">
      <pivotArea dataOnly="0" labelOnly="1" outline="0" fieldPosition="0">
        <references count="3">
          <reference field="0" count="1" selected="0">
            <x v="2"/>
          </reference>
          <reference field="1" count="1" selected="0">
            <x v="1171"/>
          </reference>
          <reference field="20" count="1">
            <x v="0"/>
          </reference>
        </references>
      </pivotArea>
    </format>
    <format dxfId="1373">
      <pivotArea dataOnly="0" labelOnly="1" outline="0" fieldPosition="0">
        <references count="3">
          <reference field="0" count="1" selected="0">
            <x v="2"/>
          </reference>
          <reference field="1" count="1" selected="0">
            <x v="1181"/>
          </reference>
          <reference field="20" count="1">
            <x v="0"/>
          </reference>
        </references>
      </pivotArea>
    </format>
    <format dxfId="1372">
      <pivotArea dataOnly="0" labelOnly="1" outline="0" fieldPosition="0">
        <references count="3">
          <reference field="0" count="1" selected="0">
            <x v="2"/>
          </reference>
          <reference field="1" count="1" selected="0">
            <x v="1182"/>
          </reference>
          <reference field="20" count="1">
            <x v="252"/>
          </reference>
        </references>
      </pivotArea>
    </format>
    <format dxfId="1371">
      <pivotArea dataOnly="0" labelOnly="1" outline="0" fieldPosition="0">
        <references count="3">
          <reference field="0" count="1" selected="0">
            <x v="2"/>
          </reference>
          <reference field="1" count="1" selected="0">
            <x v="1183"/>
          </reference>
          <reference field="20" count="1">
            <x v="0"/>
          </reference>
        </references>
      </pivotArea>
    </format>
    <format dxfId="1370">
      <pivotArea dataOnly="0" labelOnly="1" outline="0" fieldPosition="0">
        <references count="3">
          <reference field="0" count="1" selected="0">
            <x v="2"/>
          </reference>
          <reference field="1" count="1" selected="0">
            <x v="1185"/>
          </reference>
          <reference field="20" count="1">
            <x v="0"/>
          </reference>
        </references>
      </pivotArea>
    </format>
    <format dxfId="1369">
      <pivotArea dataOnly="0" labelOnly="1" outline="0" fieldPosition="0">
        <references count="3">
          <reference field="0" count="1" selected="0">
            <x v="2"/>
          </reference>
          <reference field="1" count="1" selected="0">
            <x v="1187"/>
          </reference>
          <reference field="20" count="1">
            <x v="255"/>
          </reference>
        </references>
      </pivotArea>
    </format>
    <format dxfId="1368">
      <pivotArea dataOnly="0" labelOnly="1" outline="0" fieldPosition="0">
        <references count="3">
          <reference field="0" count="1" selected="0">
            <x v="2"/>
          </reference>
          <reference field="1" count="1" selected="0">
            <x v="1190"/>
          </reference>
          <reference field="20" count="1">
            <x v="259"/>
          </reference>
        </references>
      </pivotArea>
    </format>
    <format dxfId="1367">
      <pivotArea dataOnly="0" labelOnly="1" outline="0" fieldPosition="0">
        <references count="3">
          <reference field="0" count="1" selected="0">
            <x v="2"/>
          </reference>
          <reference field="1" count="1" selected="0">
            <x v="1199"/>
          </reference>
          <reference field="20" count="1">
            <x v="0"/>
          </reference>
        </references>
      </pivotArea>
    </format>
    <format dxfId="1366">
      <pivotArea dataOnly="0" labelOnly="1" outline="0" fieldPosition="0">
        <references count="3">
          <reference field="0" count="1" selected="0">
            <x v="2"/>
          </reference>
          <reference field="1" count="1" selected="0">
            <x v="1209"/>
          </reference>
          <reference field="20" count="1">
            <x v="269"/>
          </reference>
        </references>
      </pivotArea>
    </format>
    <format dxfId="1365">
      <pivotArea dataOnly="0" labelOnly="1" outline="0" fieldPosition="0">
        <references count="3">
          <reference field="0" count="1" selected="0">
            <x v="2"/>
          </reference>
          <reference field="1" count="1" selected="0">
            <x v="1210"/>
          </reference>
          <reference field="20" count="1">
            <x v="271"/>
          </reference>
        </references>
      </pivotArea>
    </format>
    <format dxfId="1364">
      <pivotArea dataOnly="0" labelOnly="1" outline="0" fieldPosition="0">
        <references count="3">
          <reference field="0" count="1" selected="0">
            <x v="2"/>
          </reference>
          <reference field="1" count="1" selected="0">
            <x v="1215"/>
          </reference>
          <reference field="20" count="1">
            <x v="0"/>
          </reference>
        </references>
      </pivotArea>
    </format>
    <format dxfId="1363">
      <pivotArea dataOnly="0" labelOnly="1" outline="0" fieldPosition="0">
        <references count="3">
          <reference field="0" count="1" selected="0">
            <x v="2"/>
          </reference>
          <reference field="1" count="1" selected="0">
            <x v="1217"/>
          </reference>
          <reference field="20" count="1">
            <x v="275"/>
          </reference>
        </references>
      </pivotArea>
    </format>
    <format dxfId="1362">
      <pivotArea dataOnly="0" labelOnly="1" outline="0" fieldPosition="0">
        <references count="3">
          <reference field="0" count="1" selected="0">
            <x v="2"/>
          </reference>
          <reference field="1" count="1" selected="0">
            <x v="1219"/>
          </reference>
          <reference field="20" count="1">
            <x v="0"/>
          </reference>
        </references>
      </pivotArea>
    </format>
    <format dxfId="1361">
      <pivotArea dataOnly="0" labelOnly="1" outline="0" fieldPosition="0">
        <references count="3">
          <reference field="0" count="1" selected="0">
            <x v="2"/>
          </reference>
          <reference field="1" count="1" selected="0">
            <x v="1221"/>
          </reference>
          <reference field="20" count="1">
            <x v="0"/>
          </reference>
        </references>
      </pivotArea>
    </format>
    <format dxfId="1360">
      <pivotArea dataOnly="0" labelOnly="1" outline="0" fieldPosition="0">
        <references count="3">
          <reference field="0" count="1" selected="0">
            <x v="2"/>
          </reference>
          <reference field="1" count="1" selected="0">
            <x v="1223"/>
          </reference>
          <reference field="20" count="1">
            <x v="278"/>
          </reference>
        </references>
      </pivotArea>
    </format>
    <format dxfId="1359">
      <pivotArea dataOnly="0" labelOnly="1" outline="0" fieldPosition="0">
        <references count="3">
          <reference field="0" count="1" selected="0">
            <x v="2"/>
          </reference>
          <reference field="1" count="1" selected="0">
            <x v="1227"/>
          </reference>
          <reference field="20" count="1">
            <x v="0"/>
          </reference>
        </references>
      </pivotArea>
    </format>
    <format dxfId="1358">
      <pivotArea dataOnly="0" labelOnly="1" outline="0" fieldPosition="0">
        <references count="3">
          <reference field="0" count="1" selected="0">
            <x v="2"/>
          </reference>
          <reference field="1" count="1" selected="0">
            <x v="1240"/>
          </reference>
          <reference field="20" count="1">
            <x v="0"/>
          </reference>
        </references>
      </pivotArea>
    </format>
    <format dxfId="1357">
      <pivotArea dataOnly="0" labelOnly="1" outline="0" fieldPosition="0">
        <references count="3">
          <reference field="0" count="1" selected="0">
            <x v="2"/>
          </reference>
          <reference field="1" count="1" selected="0">
            <x v="1254"/>
          </reference>
          <reference field="20" count="1">
            <x v="0"/>
          </reference>
        </references>
      </pivotArea>
    </format>
    <format dxfId="1356">
      <pivotArea dataOnly="0" labelOnly="1" outline="0" fieldPosition="0">
        <references count="3">
          <reference field="0" count="1" selected="0">
            <x v="2"/>
          </reference>
          <reference field="1" count="1" selected="0">
            <x v="1257"/>
          </reference>
          <reference field="20" count="1">
            <x v="0"/>
          </reference>
        </references>
      </pivotArea>
    </format>
    <format dxfId="1355">
      <pivotArea dataOnly="0" labelOnly="1" outline="0" fieldPosition="0">
        <references count="3">
          <reference field="0" count="1" selected="0">
            <x v="2"/>
          </reference>
          <reference field="1" count="1" selected="0">
            <x v="1290"/>
          </reference>
          <reference field="20" count="1">
            <x v="0"/>
          </reference>
        </references>
      </pivotArea>
    </format>
    <format dxfId="1354">
      <pivotArea dataOnly="0" labelOnly="1" outline="0" fieldPosition="0">
        <references count="3">
          <reference field="0" count="1" selected="0">
            <x v="2"/>
          </reference>
          <reference field="1" count="1" selected="0">
            <x v="1295"/>
          </reference>
          <reference field="20" count="1">
            <x v="0"/>
          </reference>
        </references>
      </pivotArea>
    </format>
    <format dxfId="1353">
      <pivotArea dataOnly="0" labelOnly="1" outline="0" fieldPosition="0">
        <references count="3">
          <reference field="0" count="1" selected="0">
            <x v="2"/>
          </reference>
          <reference field="1" count="1" selected="0">
            <x v="1307"/>
          </reference>
          <reference field="20" count="1">
            <x v="0"/>
          </reference>
        </references>
      </pivotArea>
    </format>
    <format dxfId="1352">
      <pivotArea dataOnly="0" labelOnly="1" outline="0" fieldPosition="0">
        <references count="3">
          <reference field="0" count="1" selected="0">
            <x v="2"/>
          </reference>
          <reference field="1" count="1" selected="0">
            <x v="1315"/>
          </reference>
          <reference field="20" count="1">
            <x v="0"/>
          </reference>
        </references>
      </pivotArea>
    </format>
    <format dxfId="1351">
      <pivotArea dataOnly="0" labelOnly="1" outline="0" fieldPosition="0">
        <references count="3">
          <reference field="0" count="1" selected="0">
            <x v="2"/>
          </reference>
          <reference field="1" count="1" selected="0">
            <x v="1316"/>
          </reference>
          <reference field="20" count="1">
            <x v="0"/>
          </reference>
        </references>
      </pivotArea>
    </format>
    <format dxfId="1350">
      <pivotArea dataOnly="0" labelOnly="1" outline="0" fieldPosition="0">
        <references count="3">
          <reference field="0" count="1" selected="0">
            <x v="2"/>
          </reference>
          <reference field="1" count="1" selected="0">
            <x v="1317"/>
          </reference>
          <reference field="20" count="1">
            <x v="0"/>
          </reference>
        </references>
      </pivotArea>
    </format>
    <format dxfId="1349">
      <pivotArea dataOnly="0" labelOnly="1" outline="0" fieldPosition="0">
        <references count="3">
          <reference field="0" count="1" selected="0">
            <x v="2"/>
          </reference>
          <reference field="1" count="1" selected="0">
            <x v="1342"/>
          </reference>
          <reference field="20" count="1">
            <x v="0"/>
          </reference>
        </references>
      </pivotArea>
    </format>
    <format dxfId="1348">
      <pivotArea dataOnly="0" labelOnly="1" outline="0" fieldPosition="0">
        <references count="3">
          <reference field="0" count="1" selected="0">
            <x v="2"/>
          </reference>
          <reference field="1" count="1" selected="0">
            <x v="1356"/>
          </reference>
          <reference field="20" count="1">
            <x v="0"/>
          </reference>
        </references>
      </pivotArea>
    </format>
    <format dxfId="1347">
      <pivotArea dataOnly="0" labelOnly="1" outline="0" fieldPosition="0">
        <references count="3">
          <reference field="0" count="1" selected="0">
            <x v="2"/>
          </reference>
          <reference field="1" count="1" selected="0">
            <x v="1368"/>
          </reference>
          <reference field="20" count="1">
            <x v="0"/>
          </reference>
        </references>
      </pivotArea>
    </format>
    <format dxfId="1346">
      <pivotArea dataOnly="0" labelOnly="1" outline="0" fieldPosition="0">
        <references count="3">
          <reference field="0" count="1" selected="0">
            <x v="2"/>
          </reference>
          <reference field="1" count="1" selected="0">
            <x v="1374"/>
          </reference>
          <reference field="20" count="1">
            <x v="0"/>
          </reference>
        </references>
      </pivotArea>
    </format>
    <format dxfId="1345">
      <pivotArea dataOnly="0" labelOnly="1" outline="0" fieldPosition="0">
        <references count="3">
          <reference field="0" count="1" selected="0">
            <x v="2"/>
          </reference>
          <reference field="1" count="1" selected="0">
            <x v="1378"/>
          </reference>
          <reference field="20" count="1">
            <x v="0"/>
          </reference>
        </references>
      </pivotArea>
    </format>
    <format dxfId="1344">
      <pivotArea dataOnly="0" labelOnly="1" outline="0" fieldPosition="0">
        <references count="3">
          <reference field="0" count="1" selected="0">
            <x v="2"/>
          </reference>
          <reference field="1" count="1" selected="0">
            <x v="1387"/>
          </reference>
          <reference field="20" count="1">
            <x v="0"/>
          </reference>
        </references>
      </pivotArea>
    </format>
    <format dxfId="1343">
      <pivotArea dataOnly="0" labelOnly="1" outline="0" fieldPosition="0">
        <references count="3">
          <reference field="0" count="1" selected="0">
            <x v="2"/>
          </reference>
          <reference field="1" count="1" selected="0">
            <x v="1400"/>
          </reference>
          <reference field="20" count="1">
            <x v="0"/>
          </reference>
        </references>
      </pivotArea>
    </format>
    <format dxfId="1342">
      <pivotArea dataOnly="0" labelOnly="1" outline="0" fieldPosition="0">
        <references count="3">
          <reference field="0" count="1" selected="0">
            <x v="2"/>
          </reference>
          <reference field="1" count="1" selected="0">
            <x v="1408"/>
          </reference>
          <reference field="20" count="1">
            <x v="0"/>
          </reference>
        </references>
      </pivotArea>
    </format>
    <format dxfId="1341">
      <pivotArea dataOnly="0" labelOnly="1" outline="0" fieldPosition="0">
        <references count="3">
          <reference field="0" count="1" selected="0">
            <x v="2"/>
          </reference>
          <reference field="1" count="1" selected="0">
            <x v="1409"/>
          </reference>
          <reference field="20" count="1">
            <x v="0"/>
          </reference>
        </references>
      </pivotArea>
    </format>
    <format dxfId="1340">
      <pivotArea dataOnly="0" labelOnly="1" outline="0" fieldPosition="0">
        <references count="3">
          <reference field="0" count="1" selected="0">
            <x v="2"/>
          </reference>
          <reference field="1" count="1" selected="0">
            <x v="1412"/>
          </reference>
          <reference field="20" count="1">
            <x v="0"/>
          </reference>
        </references>
      </pivotArea>
    </format>
    <format dxfId="1339">
      <pivotArea dataOnly="0" labelOnly="1" outline="0" fieldPosition="0">
        <references count="3">
          <reference field="0" count="1" selected="0">
            <x v="2"/>
          </reference>
          <reference field="1" count="1" selected="0">
            <x v="1414"/>
          </reference>
          <reference field="20" count="1">
            <x v="0"/>
          </reference>
        </references>
      </pivotArea>
    </format>
    <format dxfId="1338">
      <pivotArea dataOnly="0" labelOnly="1" outline="0" fieldPosition="0">
        <references count="3">
          <reference field="0" count="1" selected="0">
            <x v="2"/>
          </reference>
          <reference field="1" count="1" selected="0">
            <x v="1432"/>
          </reference>
          <reference field="20" count="1">
            <x v="0"/>
          </reference>
        </references>
      </pivotArea>
    </format>
    <format dxfId="1337">
      <pivotArea dataOnly="0" labelOnly="1" outline="0" fieldPosition="0">
        <references count="3">
          <reference field="0" count="1" selected="0">
            <x v="2"/>
          </reference>
          <reference field="1" count="1" selected="0">
            <x v="1439"/>
          </reference>
          <reference field="20" count="1">
            <x v="0"/>
          </reference>
        </references>
      </pivotArea>
    </format>
    <format dxfId="1336">
      <pivotArea dataOnly="0" labelOnly="1" outline="0" fieldPosition="0">
        <references count="3">
          <reference field="0" count="1" selected="0">
            <x v="2"/>
          </reference>
          <reference field="1" count="1" selected="0">
            <x v="1440"/>
          </reference>
          <reference field="20" count="1">
            <x v="0"/>
          </reference>
        </references>
      </pivotArea>
    </format>
    <format dxfId="1335">
      <pivotArea dataOnly="0" labelOnly="1" outline="0" fieldPosition="0">
        <references count="3">
          <reference field="0" count="1" selected="0">
            <x v="2"/>
          </reference>
          <reference field="1" count="1" selected="0">
            <x v="1451"/>
          </reference>
          <reference field="20" count="1">
            <x v="0"/>
          </reference>
        </references>
      </pivotArea>
    </format>
    <format dxfId="1334">
      <pivotArea dataOnly="0" labelOnly="1" outline="0" fieldPosition="0">
        <references count="3">
          <reference field="0" count="1" selected="0">
            <x v="2"/>
          </reference>
          <reference field="1" count="1" selected="0">
            <x v="1458"/>
          </reference>
          <reference field="20" count="1">
            <x v="0"/>
          </reference>
        </references>
      </pivotArea>
    </format>
    <format dxfId="1333">
      <pivotArea dataOnly="0" labelOnly="1" outline="0" fieldPosition="0">
        <references count="3">
          <reference field="0" count="1" selected="0">
            <x v="2"/>
          </reference>
          <reference field="1" count="1" selected="0">
            <x v="1459"/>
          </reference>
          <reference field="20" count="1">
            <x v="0"/>
          </reference>
        </references>
      </pivotArea>
    </format>
    <format dxfId="1332">
      <pivotArea dataOnly="0" labelOnly="1" outline="0" fieldPosition="0">
        <references count="3">
          <reference field="0" count="1" selected="0">
            <x v="2"/>
          </reference>
          <reference field="1" count="1" selected="0">
            <x v="1470"/>
          </reference>
          <reference field="20" count="1">
            <x v="0"/>
          </reference>
        </references>
      </pivotArea>
    </format>
    <format dxfId="1331">
      <pivotArea dataOnly="0" labelOnly="1" outline="0" fieldPosition="0">
        <references count="3">
          <reference field="0" count="1" selected="0">
            <x v="2"/>
          </reference>
          <reference field="1" count="1" selected="0">
            <x v="1477"/>
          </reference>
          <reference field="20" count="1">
            <x v="0"/>
          </reference>
        </references>
      </pivotArea>
    </format>
    <format dxfId="1330">
      <pivotArea dataOnly="0" labelOnly="1" outline="0" fieldPosition="0">
        <references count="3">
          <reference field="0" count="1" selected="0">
            <x v="2"/>
          </reference>
          <reference field="1" count="1" selected="0">
            <x v="1485"/>
          </reference>
          <reference field="20" count="1">
            <x v="0"/>
          </reference>
        </references>
      </pivotArea>
    </format>
    <format dxfId="1329">
      <pivotArea dataOnly="0" labelOnly="1" outline="0" fieldPosition="0">
        <references count="3">
          <reference field="0" count="1" selected="0">
            <x v="2"/>
          </reference>
          <reference field="1" count="1" selected="0">
            <x v="1504"/>
          </reference>
          <reference field="20" count="1">
            <x v="0"/>
          </reference>
        </references>
      </pivotArea>
    </format>
    <format dxfId="1328">
      <pivotArea dataOnly="0" labelOnly="1" outline="0" fieldPosition="0">
        <references count="3">
          <reference field="0" count="1" selected="0">
            <x v="2"/>
          </reference>
          <reference field="1" count="1" selected="0">
            <x v="1507"/>
          </reference>
          <reference field="20" count="1">
            <x v="0"/>
          </reference>
        </references>
      </pivotArea>
    </format>
    <format dxfId="1327">
      <pivotArea dataOnly="0" labelOnly="1" outline="0" fieldPosition="0">
        <references count="3">
          <reference field="0" count="1" selected="0">
            <x v="2"/>
          </reference>
          <reference field="1" count="1" selected="0">
            <x v="1510"/>
          </reference>
          <reference field="20" count="1">
            <x v="0"/>
          </reference>
        </references>
      </pivotArea>
    </format>
    <format dxfId="1326">
      <pivotArea dataOnly="0" labelOnly="1" outline="0" fieldPosition="0">
        <references count="3">
          <reference field="0" count="1" selected="0">
            <x v="2"/>
          </reference>
          <reference field="1" count="1" selected="0">
            <x v="1516"/>
          </reference>
          <reference field="20" count="1">
            <x v="0"/>
          </reference>
        </references>
      </pivotArea>
    </format>
    <format dxfId="1325">
      <pivotArea dataOnly="0" labelOnly="1" outline="0" fieldPosition="0">
        <references count="3">
          <reference field="0" count="1" selected="0">
            <x v="2"/>
          </reference>
          <reference field="1" count="1" selected="0">
            <x v="1519"/>
          </reference>
          <reference field="20" count="1">
            <x v="0"/>
          </reference>
        </references>
      </pivotArea>
    </format>
    <format dxfId="1324">
      <pivotArea dataOnly="0" labelOnly="1" outline="0" fieldPosition="0">
        <references count="3">
          <reference field="0" count="1" selected="0">
            <x v="2"/>
          </reference>
          <reference field="1" count="1" selected="0">
            <x v="1522"/>
          </reference>
          <reference field="20" count="1">
            <x v="0"/>
          </reference>
        </references>
      </pivotArea>
    </format>
    <format dxfId="1323">
      <pivotArea dataOnly="0" labelOnly="1" outline="0" fieldPosition="0">
        <references count="3">
          <reference field="0" count="1" selected="0">
            <x v="2"/>
          </reference>
          <reference field="1" count="1" selected="0">
            <x v="1525"/>
          </reference>
          <reference field="20" count="1">
            <x v="0"/>
          </reference>
        </references>
      </pivotArea>
    </format>
    <format dxfId="1322">
      <pivotArea dataOnly="0" labelOnly="1" outline="0" fieldPosition="0">
        <references count="3">
          <reference field="0" count="1" selected="0">
            <x v="2"/>
          </reference>
          <reference field="1" count="1" selected="0">
            <x v="1529"/>
          </reference>
          <reference field="20" count="1">
            <x v="0"/>
          </reference>
        </references>
      </pivotArea>
    </format>
    <format dxfId="1321">
      <pivotArea dataOnly="0" labelOnly="1" outline="0" fieldPosition="0">
        <references count="3">
          <reference field="0" count="1" selected="0">
            <x v="2"/>
          </reference>
          <reference field="1" count="1" selected="0">
            <x v="1530"/>
          </reference>
          <reference field="20" count="1">
            <x v="0"/>
          </reference>
        </references>
      </pivotArea>
    </format>
    <format dxfId="1320">
      <pivotArea dataOnly="0" labelOnly="1" outline="0" fieldPosition="0">
        <references count="3">
          <reference field="0" count="1" selected="0">
            <x v="2"/>
          </reference>
          <reference field="1" count="1" selected="0">
            <x v="1531"/>
          </reference>
          <reference field="20" count="1">
            <x v="0"/>
          </reference>
        </references>
      </pivotArea>
    </format>
    <format dxfId="1319">
      <pivotArea dataOnly="0" labelOnly="1" outline="0" fieldPosition="0">
        <references count="3">
          <reference field="0" count="1" selected="0">
            <x v="2"/>
          </reference>
          <reference field="1" count="1" selected="0">
            <x v="1532"/>
          </reference>
          <reference field="20" count="1">
            <x v="0"/>
          </reference>
        </references>
      </pivotArea>
    </format>
    <format dxfId="1318">
      <pivotArea dataOnly="0" labelOnly="1" outline="0" fieldPosition="0">
        <references count="3">
          <reference field="0" count="1" selected="0">
            <x v="2"/>
          </reference>
          <reference field="1" count="1" selected="0">
            <x v="1533"/>
          </reference>
          <reference field="20" count="1">
            <x v="0"/>
          </reference>
        </references>
      </pivotArea>
    </format>
    <format dxfId="1317">
      <pivotArea dataOnly="0" labelOnly="1" outline="0" fieldPosition="0">
        <references count="3">
          <reference field="0" count="1" selected="0">
            <x v="2"/>
          </reference>
          <reference field="1" count="1" selected="0">
            <x v="1541"/>
          </reference>
          <reference field="20" count="1">
            <x v="0"/>
          </reference>
        </references>
      </pivotArea>
    </format>
    <format dxfId="1316">
      <pivotArea dataOnly="0" labelOnly="1" outline="0" fieldPosition="0">
        <references count="3">
          <reference field="0" count="1" selected="0">
            <x v="2"/>
          </reference>
          <reference field="1" count="1" selected="0">
            <x v="1542"/>
          </reference>
          <reference field="20" count="1">
            <x v="0"/>
          </reference>
        </references>
      </pivotArea>
    </format>
    <format dxfId="1315">
      <pivotArea dataOnly="0" labelOnly="1" outline="0" fieldPosition="0">
        <references count="3">
          <reference field="0" count="1" selected="0">
            <x v="2"/>
          </reference>
          <reference field="1" count="1" selected="0">
            <x v="1549"/>
          </reference>
          <reference field="20" count="1">
            <x v="0"/>
          </reference>
        </references>
      </pivotArea>
    </format>
    <format dxfId="1314">
      <pivotArea dataOnly="0" labelOnly="1" outline="0" fieldPosition="0">
        <references count="3">
          <reference field="0" count="1" selected="0">
            <x v="2"/>
          </reference>
          <reference field="1" count="1" selected="0">
            <x v="1558"/>
          </reference>
          <reference field="20" count="1">
            <x v="0"/>
          </reference>
        </references>
      </pivotArea>
    </format>
    <format dxfId="1313">
      <pivotArea dataOnly="0" labelOnly="1" outline="0" fieldPosition="0">
        <references count="3">
          <reference field="0" count="1" selected="0">
            <x v="2"/>
          </reference>
          <reference field="1" count="1" selected="0">
            <x v="1566"/>
          </reference>
          <reference field="20" count="1">
            <x v="0"/>
          </reference>
        </references>
      </pivotArea>
    </format>
    <format dxfId="1312">
      <pivotArea dataOnly="0" labelOnly="1" outline="0" fieldPosition="0">
        <references count="3">
          <reference field="0" count="1" selected="0">
            <x v="2"/>
          </reference>
          <reference field="1" count="1" selected="0">
            <x v="1600"/>
          </reference>
          <reference field="20" count="1">
            <x v="0"/>
          </reference>
        </references>
      </pivotArea>
    </format>
    <format dxfId="1311">
      <pivotArea dataOnly="0" labelOnly="1" outline="0" fieldPosition="0">
        <references count="3">
          <reference field="0" count="1" selected="0">
            <x v="2"/>
          </reference>
          <reference field="1" count="1" selected="0">
            <x v="1601"/>
          </reference>
          <reference field="20" count="1">
            <x v="0"/>
          </reference>
        </references>
      </pivotArea>
    </format>
    <format dxfId="1310">
      <pivotArea dataOnly="0" labelOnly="1" outline="0" fieldPosition="0">
        <references count="3">
          <reference field="0" count="1" selected="0">
            <x v="2"/>
          </reference>
          <reference field="1" count="1" selected="0">
            <x v="1626"/>
          </reference>
          <reference field="20" count="1">
            <x v="0"/>
          </reference>
        </references>
      </pivotArea>
    </format>
    <format dxfId="1309">
      <pivotArea dataOnly="0" labelOnly="1" outline="0" fieldPosition="0">
        <references count="3">
          <reference field="0" count="1" selected="0">
            <x v="2"/>
          </reference>
          <reference field="1" count="1" selected="0">
            <x v="1636"/>
          </reference>
          <reference field="20" count="1">
            <x v="0"/>
          </reference>
        </references>
      </pivotArea>
    </format>
    <format dxfId="1308">
      <pivotArea dataOnly="0" labelOnly="1" outline="0" fieldPosition="0">
        <references count="3">
          <reference field="0" count="1" selected="0">
            <x v="2"/>
          </reference>
          <reference field="1" count="1" selected="0">
            <x v="1638"/>
          </reference>
          <reference field="20" count="1">
            <x v="0"/>
          </reference>
        </references>
      </pivotArea>
    </format>
    <format dxfId="1307">
      <pivotArea dataOnly="0" labelOnly="1" outline="0" fieldPosition="0">
        <references count="3">
          <reference field="0" count="1" selected="0">
            <x v="2"/>
          </reference>
          <reference field="1" count="1" selected="0">
            <x v="1642"/>
          </reference>
          <reference field="20" count="1">
            <x v="0"/>
          </reference>
        </references>
      </pivotArea>
    </format>
    <format dxfId="1306">
      <pivotArea dataOnly="0" labelOnly="1" outline="0" fieldPosition="0">
        <references count="3">
          <reference field="0" count="1" selected="0">
            <x v="2"/>
          </reference>
          <reference field="1" count="1" selected="0">
            <x v="1643"/>
          </reference>
          <reference field="20" count="1">
            <x v="0"/>
          </reference>
        </references>
      </pivotArea>
    </format>
    <format dxfId="1305">
      <pivotArea dataOnly="0" labelOnly="1" outline="0" fieldPosition="0">
        <references count="3">
          <reference field="0" count="1" selected="0">
            <x v="2"/>
          </reference>
          <reference field="1" count="1" selected="0">
            <x v="1657"/>
          </reference>
          <reference field="20" count="1">
            <x v="0"/>
          </reference>
        </references>
      </pivotArea>
    </format>
    <format dxfId="1304">
      <pivotArea dataOnly="0" labelOnly="1" outline="0" fieldPosition="0">
        <references count="3">
          <reference field="0" count="1" selected="0">
            <x v="2"/>
          </reference>
          <reference field="1" count="1" selected="0">
            <x v="1670"/>
          </reference>
          <reference field="20" count="1">
            <x v="0"/>
          </reference>
        </references>
      </pivotArea>
    </format>
    <format dxfId="1303">
      <pivotArea dataOnly="0" labelOnly="1" outline="0" fieldPosition="0">
        <references count="3">
          <reference field="0" count="1" selected="0">
            <x v="2"/>
          </reference>
          <reference field="1" count="1" selected="0">
            <x v="1672"/>
          </reference>
          <reference field="20" count="1">
            <x v="0"/>
          </reference>
        </references>
      </pivotArea>
    </format>
    <format dxfId="1302">
      <pivotArea dataOnly="0" labelOnly="1" outline="0" fieldPosition="0">
        <references count="3">
          <reference field="0" count="1" selected="0">
            <x v="3"/>
          </reference>
          <reference field="1" count="1" selected="0">
            <x v="11"/>
          </reference>
          <reference field="20" count="1">
            <x v="0"/>
          </reference>
        </references>
      </pivotArea>
    </format>
    <format dxfId="1301">
      <pivotArea dataOnly="0" labelOnly="1" outline="0" fieldPosition="0">
        <references count="3">
          <reference field="0" count="1" selected="0">
            <x v="3"/>
          </reference>
          <reference field="1" count="1" selected="0">
            <x v="13"/>
          </reference>
          <reference field="20" count="1">
            <x v="0"/>
          </reference>
        </references>
      </pivotArea>
    </format>
    <format dxfId="1300">
      <pivotArea dataOnly="0" labelOnly="1" outline="0" fieldPosition="0">
        <references count="3">
          <reference field="0" count="1" selected="0">
            <x v="3"/>
          </reference>
          <reference field="1" count="1" selected="0">
            <x v="14"/>
          </reference>
          <reference field="20" count="1">
            <x v="0"/>
          </reference>
        </references>
      </pivotArea>
    </format>
    <format dxfId="1299">
      <pivotArea dataOnly="0" labelOnly="1" outline="0" fieldPosition="0">
        <references count="3">
          <reference field="0" count="1" selected="0">
            <x v="3"/>
          </reference>
          <reference field="1" count="1" selected="0">
            <x v="26"/>
          </reference>
          <reference field="20" count="1">
            <x v="0"/>
          </reference>
        </references>
      </pivotArea>
    </format>
    <format dxfId="1298">
      <pivotArea dataOnly="0" labelOnly="1" outline="0" fieldPosition="0">
        <references count="3">
          <reference field="0" count="1" selected="0">
            <x v="3"/>
          </reference>
          <reference field="1" count="1" selected="0">
            <x v="35"/>
          </reference>
          <reference field="20" count="1">
            <x v="2"/>
          </reference>
        </references>
      </pivotArea>
    </format>
    <format dxfId="1297">
      <pivotArea dataOnly="0" labelOnly="1" outline="0" fieldPosition="0">
        <references count="3">
          <reference field="0" count="1" selected="0">
            <x v="3"/>
          </reference>
          <reference field="1" count="1" selected="0">
            <x v="50"/>
          </reference>
          <reference field="20" count="1">
            <x v="0"/>
          </reference>
        </references>
      </pivotArea>
    </format>
    <format dxfId="1296">
      <pivotArea dataOnly="0" labelOnly="1" outline="0" fieldPosition="0">
        <references count="3">
          <reference field="0" count="1" selected="0">
            <x v="3"/>
          </reference>
          <reference field="1" count="1" selected="0">
            <x v="51"/>
          </reference>
          <reference field="20" count="1">
            <x v="0"/>
          </reference>
        </references>
      </pivotArea>
    </format>
    <format dxfId="1295">
      <pivotArea dataOnly="0" labelOnly="1" outline="0" fieldPosition="0">
        <references count="3">
          <reference field="0" count="1" selected="0">
            <x v="3"/>
          </reference>
          <reference field="1" count="1" selected="0">
            <x v="60"/>
          </reference>
          <reference field="20" count="1">
            <x v="0"/>
          </reference>
        </references>
      </pivotArea>
    </format>
    <format dxfId="1294">
      <pivotArea dataOnly="0" labelOnly="1" outline="0" fieldPosition="0">
        <references count="3">
          <reference field="0" count="1" selected="0">
            <x v="3"/>
          </reference>
          <reference field="1" count="1" selected="0">
            <x v="78"/>
          </reference>
          <reference field="20" count="1">
            <x v="0"/>
          </reference>
        </references>
      </pivotArea>
    </format>
    <format dxfId="1293">
      <pivotArea dataOnly="0" labelOnly="1" outline="0" fieldPosition="0">
        <references count="3">
          <reference field="0" count="1" selected="0">
            <x v="3"/>
          </reference>
          <reference field="1" count="1" selected="0">
            <x v="104"/>
          </reference>
          <reference field="20" count="1">
            <x v="0"/>
          </reference>
        </references>
      </pivotArea>
    </format>
    <format dxfId="1292">
      <pivotArea dataOnly="0" labelOnly="1" outline="0" fieldPosition="0">
        <references count="3">
          <reference field="0" count="1" selected="0">
            <x v="3"/>
          </reference>
          <reference field="1" count="1" selected="0">
            <x v="112"/>
          </reference>
          <reference field="20" count="1">
            <x v="0"/>
          </reference>
        </references>
      </pivotArea>
    </format>
    <format dxfId="1291">
      <pivotArea dataOnly="0" labelOnly="1" outline="0" fieldPosition="0">
        <references count="3">
          <reference field="0" count="1" selected="0">
            <x v="3"/>
          </reference>
          <reference field="1" count="1" selected="0">
            <x v="115"/>
          </reference>
          <reference field="20" count="1">
            <x v="0"/>
          </reference>
        </references>
      </pivotArea>
    </format>
    <format dxfId="1290">
      <pivotArea dataOnly="0" labelOnly="1" outline="0" fieldPosition="0">
        <references count="3">
          <reference field="0" count="1" selected="0">
            <x v="3"/>
          </reference>
          <reference field="1" count="1" selected="0">
            <x v="164"/>
          </reference>
          <reference field="20" count="1">
            <x v="0"/>
          </reference>
        </references>
      </pivotArea>
    </format>
    <format dxfId="1289">
      <pivotArea dataOnly="0" labelOnly="1" outline="0" fieldPosition="0">
        <references count="3">
          <reference field="0" count="1" selected="0">
            <x v="3"/>
          </reference>
          <reference field="1" count="1" selected="0">
            <x v="187"/>
          </reference>
          <reference field="20" count="1">
            <x v="0"/>
          </reference>
        </references>
      </pivotArea>
    </format>
    <format dxfId="1288">
      <pivotArea dataOnly="0" labelOnly="1" outline="0" fieldPosition="0">
        <references count="3">
          <reference field="0" count="1" selected="0">
            <x v="3"/>
          </reference>
          <reference field="1" count="1" selected="0">
            <x v="229"/>
          </reference>
          <reference field="20" count="1">
            <x v="15"/>
          </reference>
        </references>
      </pivotArea>
    </format>
    <format dxfId="1287">
      <pivotArea dataOnly="0" labelOnly="1" outline="0" fieldPosition="0">
        <references count="3">
          <reference field="0" count="1" selected="0">
            <x v="3"/>
          </reference>
          <reference field="1" count="1" selected="0">
            <x v="300"/>
          </reference>
          <reference field="20" count="1">
            <x v="26"/>
          </reference>
        </references>
      </pivotArea>
    </format>
    <format dxfId="1286">
      <pivotArea dataOnly="0" labelOnly="1" outline="0" fieldPosition="0">
        <references count="3">
          <reference field="0" count="1" selected="0">
            <x v="3"/>
          </reference>
          <reference field="1" count="1" selected="0">
            <x v="321"/>
          </reference>
          <reference field="20" count="1">
            <x v="29"/>
          </reference>
        </references>
      </pivotArea>
    </format>
    <format dxfId="1285">
      <pivotArea dataOnly="0" labelOnly="1" outline="0" fieldPosition="0">
        <references count="3">
          <reference field="0" count="1" selected="0">
            <x v="3"/>
          </reference>
          <reference field="1" count="1" selected="0">
            <x v="437"/>
          </reference>
          <reference field="20" count="1">
            <x v="0"/>
          </reference>
        </references>
      </pivotArea>
    </format>
    <format dxfId="1284">
      <pivotArea dataOnly="0" labelOnly="1" outline="0" fieldPosition="0">
        <references count="3">
          <reference field="0" count="1" selected="0">
            <x v="3"/>
          </reference>
          <reference field="1" count="1" selected="0">
            <x v="446"/>
          </reference>
          <reference field="20" count="1">
            <x v="64"/>
          </reference>
        </references>
      </pivotArea>
    </format>
    <format dxfId="1283">
      <pivotArea dataOnly="0" labelOnly="1" outline="0" fieldPosition="0">
        <references count="3">
          <reference field="0" count="1" selected="0">
            <x v="3"/>
          </reference>
          <reference field="1" count="1" selected="0">
            <x v="464"/>
          </reference>
          <reference field="20" count="1">
            <x v="0"/>
          </reference>
        </references>
      </pivotArea>
    </format>
    <format dxfId="1282">
      <pivotArea dataOnly="0" labelOnly="1" outline="0" fieldPosition="0">
        <references count="3">
          <reference field="0" count="1" selected="0">
            <x v="3"/>
          </reference>
          <reference field="1" count="1" selected="0">
            <x v="475"/>
          </reference>
          <reference field="20" count="1">
            <x v="69"/>
          </reference>
        </references>
      </pivotArea>
    </format>
    <format dxfId="1281">
      <pivotArea dataOnly="0" labelOnly="1" outline="0" fieldPosition="0">
        <references count="3">
          <reference field="0" count="1" selected="0">
            <x v="3"/>
          </reference>
          <reference field="1" count="1" selected="0">
            <x v="629"/>
          </reference>
          <reference field="20" count="1">
            <x v="97"/>
          </reference>
        </references>
      </pivotArea>
    </format>
    <format dxfId="1280">
      <pivotArea dataOnly="0" labelOnly="1" outline="0" fieldPosition="0">
        <references count="3">
          <reference field="0" count="1" selected="0">
            <x v="3"/>
          </reference>
          <reference field="1" count="1" selected="0">
            <x v="652"/>
          </reference>
          <reference field="20" count="1">
            <x v="0"/>
          </reference>
        </references>
      </pivotArea>
    </format>
    <format dxfId="1279">
      <pivotArea dataOnly="0" labelOnly="1" outline="0" fieldPosition="0">
        <references count="3">
          <reference field="0" count="1" selected="0">
            <x v="3"/>
          </reference>
          <reference field="1" count="1" selected="0">
            <x v="714"/>
          </reference>
          <reference field="20" count="1">
            <x v="0"/>
          </reference>
        </references>
      </pivotArea>
    </format>
    <format dxfId="1278">
      <pivotArea dataOnly="0" labelOnly="1" outline="0" fieldPosition="0">
        <references count="3">
          <reference field="0" count="1" selected="0">
            <x v="3"/>
          </reference>
          <reference field="1" count="1" selected="0">
            <x v="715"/>
          </reference>
          <reference field="20" count="1">
            <x v="112"/>
          </reference>
        </references>
      </pivotArea>
    </format>
    <format dxfId="1277">
      <pivotArea dataOnly="0" labelOnly="1" outline="0" fieldPosition="0">
        <references count="3">
          <reference field="0" count="1" selected="0">
            <x v="3"/>
          </reference>
          <reference field="1" count="1" selected="0">
            <x v="720"/>
          </reference>
          <reference field="20" count="1">
            <x v="115"/>
          </reference>
        </references>
      </pivotArea>
    </format>
    <format dxfId="1276">
      <pivotArea dataOnly="0" labelOnly="1" outline="0" fieldPosition="0">
        <references count="3">
          <reference field="0" count="1" selected="0">
            <x v="3"/>
          </reference>
          <reference field="1" count="1" selected="0">
            <x v="903"/>
          </reference>
          <reference field="20" count="1">
            <x v="0"/>
          </reference>
        </references>
      </pivotArea>
    </format>
    <format dxfId="1275">
      <pivotArea dataOnly="0" labelOnly="1" outline="0" fieldPosition="0">
        <references count="3">
          <reference field="0" count="1" selected="0">
            <x v="3"/>
          </reference>
          <reference field="1" count="1" selected="0">
            <x v="943"/>
          </reference>
          <reference field="20" count="1">
            <x v="168"/>
          </reference>
        </references>
      </pivotArea>
    </format>
    <format dxfId="1274">
      <pivotArea dataOnly="0" labelOnly="1" outline="0" fieldPosition="0">
        <references count="3">
          <reference field="0" count="1" selected="0">
            <x v="3"/>
          </reference>
          <reference field="1" count="1" selected="0">
            <x v="980"/>
          </reference>
          <reference field="20" count="1">
            <x v="181"/>
          </reference>
        </references>
      </pivotArea>
    </format>
    <format dxfId="1273">
      <pivotArea dataOnly="0" labelOnly="1" outline="0" fieldPosition="0">
        <references count="3">
          <reference field="0" count="1" selected="0">
            <x v="3"/>
          </reference>
          <reference field="1" count="1" selected="0">
            <x v="1002"/>
          </reference>
          <reference field="20" count="1">
            <x v="189"/>
          </reference>
        </references>
      </pivotArea>
    </format>
    <format dxfId="1272">
      <pivotArea dataOnly="0" labelOnly="1" outline="0" fieldPosition="0">
        <references count="3">
          <reference field="0" count="1" selected="0">
            <x v="3"/>
          </reference>
          <reference field="1" count="1" selected="0">
            <x v="1005"/>
          </reference>
          <reference field="20" count="1">
            <x v="190"/>
          </reference>
        </references>
      </pivotArea>
    </format>
    <format dxfId="1271">
      <pivotArea dataOnly="0" labelOnly="1" outline="0" fieldPosition="0">
        <references count="3">
          <reference field="0" count="1" selected="0">
            <x v="3"/>
          </reference>
          <reference field="1" count="1" selected="0">
            <x v="1006"/>
          </reference>
          <reference field="20" count="1">
            <x v="191"/>
          </reference>
        </references>
      </pivotArea>
    </format>
    <format dxfId="1270">
      <pivotArea dataOnly="0" labelOnly="1" outline="0" fieldPosition="0">
        <references count="3">
          <reference field="0" count="1" selected="0">
            <x v="3"/>
          </reference>
          <reference field="1" count="1" selected="0">
            <x v="1012"/>
          </reference>
          <reference field="20" count="1">
            <x v="192"/>
          </reference>
        </references>
      </pivotArea>
    </format>
    <format dxfId="1269">
      <pivotArea dataOnly="0" labelOnly="1" outline="0" fieldPosition="0">
        <references count="3">
          <reference field="0" count="1" selected="0">
            <x v="3"/>
          </reference>
          <reference field="1" count="1" selected="0">
            <x v="1015"/>
          </reference>
          <reference field="20" count="1">
            <x v="193"/>
          </reference>
        </references>
      </pivotArea>
    </format>
    <format dxfId="1268">
      <pivotArea dataOnly="0" labelOnly="1" outline="0" fieldPosition="0">
        <references count="3">
          <reference field="0" count="1" selected="0">
            <x v="3"/>
          </reference>
          <reference field="1" count="1" selected="0">
            <x v="1022"/>
          </reference>
          <reference field="20" count="1">
            <x v="196"/>
          </reference>
        </references>
      </pivotArea>
    </format>
    <format dxfId="1267">
      <pivotArea dataOnly="0" labelOnly="1" outline="0" fieldPosition="0">
        <references count="3">
          <reference field="0" count="1" selected="0">
            <x v="3"/>
          </reference>
          <reference field="1" count="1" selected="0">
            <x v="1030"/>
          </reference>
          <reference field="20" count="1">
            <x v="198"/>
          </reference>
        </references>
      </pivotArea>
    </format>
    <format dxfId="1266">
      <pivotArea dataOnly="0" labelOnly="1" outline="0" fieldPosition="0">
        <references count="3">
          <reference field="0" count="1" selected="0">
            <x v="3"/>
          </reference>
          <reference field="1" count="1" selected="0">
            <x v="1031"/>
          </reference>
          <reference field="20" count="1">
            <x v="336"/>
          </reference>
        </references>
      </pivotArea>
    </format>
    <format dxfId="1265">
      <pivotArea dataOnly="0" labelOnly="1" outline="0" fieldPosition="0">
        <references count="3">
          <reference field="0" count="1" selected="0">
            <x v="3"/>
          </reference>
          <reference field="1" count="1" selected="0">
            <x v="1032"/>
          </reference>
          <reference field="20" count="1">
            <x v="199"/>
          </reference>
        </references>
      </pivotArea>
    </format>
    <format dxfId="1264">
      <pivotArea dataOnly="0" labelOnly="1" outline="0" fieldPosition="0">
        <references count="3">
          <reference field="0" count="1" selected="0">
            <x v="3"/>
          </reference>
          <reference field="1" count="1" selected="0">
            <x v="1033"/>
          </reference>
          <reference field="20" count="1">
            <x v="200"/>
          </reference>
        </references>
      </pivotArea>
    </format>
    <format dxfId="1263">
      <pivotArea dataOnly="0" labelOnly="1" outline="0" fieldPosition="0">
        <references count="3">
          <reference field="0" count="1" selected="0">
            <x v="3"/>
          </reference>
          <reference field="1" count="1" selected="0">
            <x v="1035"/>
          </reference>
          <reference field="20" count="1">
            <x v="202"/>
          </reference>
        </references>
      </pivotArea>
    </format>
    <format dxfId="1262">
      <pivotArea dataOnly="0" labelOnly="1" outline="0" fieldPosition="0">
        <references count="3">
          <reference field="0" count="1" selected="0">
            <x v="3"/>
          </reference>
          <reference field="1" count="1" selected="0">
            <x v="1045"/>
          </reference>
          <reference field="20" count="1">
            <x v="206"/>
          </reference>
        </references>
      </pivotArea>
    </format>
    <format dxfId="1261">
      <pivotArea dataOnly="0" labelOnly="1" outline="0" fieldPosition="0">
        <references count="3">
          <reference field="0" count="1" selected="0">
            <x v="3"/>
          </reference>
          <reference field="1" count="1" selected="0">
            <x v="1113"/>
          </reference>
          <reference field="20" count="1">
            <x v="0"/>
          </reference>
        </references>
      </pivotArea>
    </format>
    <format dxfId="1260">
      <pivotArea dataOnly="0" labelOnly="1" outline="0" fieldPosition="0">
        <references count="3">
          <reference field="0" count="1" selected="0">
            <x v="3"/>
          </reference>
          <reference field="1" count="1" selected="0">
            <x v="1294"/>
          </reference>
          <reference field="20" count="1">
            <x v="300"/>
          </reference>
        </references>
      </pivotArea>
    </format>
    <format dxfId="1259">
      <pivotArea dataOnly="0" labelOnly="1" outline="0" fieldPosition="0">
        <references count="3">
          <reference field="0" count="1" selected="0">
            <x v="3"/>
          </reference>
          <reference field="1" count="1" selected="0">
            <x v="1348"/>
          </reference>
          <reference field="20" count="1">
            <x v="0"/>
          </reference>
        </references>
      </pivotArea>
    </format>
    <format dxfId="1258">
      <pivotArea dataOnly="0" labelOnly="1" outline="0" fieldPosition="0">
        <references count="3">
          <reference field="0" count="1" selected="0">
            <x v="3"/>
          </reference>
          <reference field="1" count="1" selected="0">
            <x v="1351"/>
          </reference>
          <reference field="20" count="1">
            <x v="0"/>
          </reference>
        </references>
      </pivotArea>
    </format>
    <format dxfId="1257">
      <pivotArea dataOnly="0" labelOnly="1" outline="0" fieldPosition="0">
        <references count="3">
          <reference field="0" count="1" selected="0">
            <x v="3"/>
          </reference>
          <reference field="1" count="1" selected="0">
            <x v="1357"/>
          </reference>
          <reference field="20" count="1">
            <x v="0"/>
          </reference>
        </references>
      </pivotArea>
    </format>
    <format dxfId="1256">
      <pivotArea dataOnly="0" labelOnly="1" outline="0" fieldPosition="0">
        <references count="3">
          <reference field="0" count="1" selected="0">
            <x v="3"/>
          </reference>
          <reference field="1" count="1" selected="0">
            <x v="1388"/>
          </reference>
          <reference field="20" count="1">
            <x v="0"/>
          </reference>
        </references>
      </pivotArea>
    </format>
    <format dxfId="1255">
      <pivotArea dataOnly="0" labelOnly="1" outline="0" fieldPosition="0">
        <references count="3">
          <reference field="0" count="1" selected="0">
            <x v="3"/>
          </reference>
          <reference field="1" count="1" selected="0">
            <x v="1389"/>
          </reference>
          <reference field="20" count="1">
            <x v="0"/>
          </reference>
        </references>
      </pivotArea>
    </format>
    <format dxfId="1254">
      <pivotArea dataOnly="0" labelOnly="1" outline="0" fieldPosition="0">
        <references count="3">
          <reference field="0" count="1" selected="0">
            <x v="3"/>
          </reference>
          <reference field="1" count="1" selected="0">
            <x v="1403"/>
          </reference>
          <reference field="20" count="1">
            <x v="0"/>
          </reference>
        </references>
      </pivotArea>
    </format>
    <format dxfId="1253">
      <pivotArea dataOnly="0" labelOnly="1" outline="0" fieldPosition="0">
        <references count="3">
          <reference field="0" count="1" selected="0">
            <x v="3"/>
          </reference>
          <reference field="1" count="1" selected="0">
            <x v="1404"/>
          </reference>
          <reference field="20" count="1">
            <x v="0"/>
          </reference>
        </references>
      </pivotArea>
    </format>
    <format dxfId="1252">
      <pivotArea dataOnly="0" labelOnly="1" outline="0" fieldPosition="0">
        <references count="3">
          <reference field="0" count="1" selected="0">
            <x v="3"/>
          </reference>
          <reference field="1" count="1" selected="0">
            <x v="1407"/>
          </reference>
          <reference field="20" count="1">
            <x v="0"/>
          </reference>
        </references>
      </pivotArea>
    </format>
    <format dxfId="1251">
      <pivotArea dataOnly="0" labelOnly="1" outline="0" fieldPosition="0">
        <references count="3">
          <reference field="0" count="1" selected="0">
            <x v="3"/>
          </reference>
          <reference field="1" count="1" selected="0">
            <x v="1411"/>
          </reference>
          <reference field="20" count="1">
            <x v="0"/>
          </reference>
        </references>
      </pivotArea>
    </format>
    <format dxfId="1250">
      <pivotArea dataOnly="0" labelOnly="1" outline="0" fieldPosition="0">
        <references count="3">
          <reference field="0" count="1" selected="0">
            <x v="3"/>
          </reference>
          <reference field="1" count="1" selected="0">
            <x v="1484"/>
          </reference>
          <reference field="20" count="1">
            <x v="0"/>
          </reference>
        </references>
      </pivotArea>
    </format>
    <format dxfId="1249">
      <pivotArea dataOnly="0" labelOnly="1" outline="0" fieldPosition="0">
        <references count="3">
          <reference field="0" count="1" selected="0">
            <x v="3"/>
          </reference>
          <reference field="1" count="1" selected="0">
            <x v="1585"/>
          </reference>
          <reference field="20" count="1">
            <x v="0"/>
          </reference>
        </references>
      </pivotArea>
    </format>
    <format dxfId="1248">
      <pivotArea dataOnly="0" labelOnly="1" outline="0" fieldPosition="0">
        <references count="3">
          <reference field="0" count="1" selected="0">
            <x v="3"/>
          </reference>
          <reference field="1" count="1" selected="0">
            <x v="1658"/>
          </reference>
          <reference field="20" count="1">
            <x v="332"/>
          </reference>
        </references>
      </pivotArea>
    </format>
    <format dxfId="1247">
      <pivotArea dataOnly="0" labelOnly="1" outline="0" fieldPosition="0">
        <references count="3">
          <reference field="0" count="1" selected="0">
            <x v="3"/>
          </reference>
          <reference field="1" count="1" selected="0">
            <x v="1659"/>
          </reference>
          <reference field="20" count="1">
            <x v="334"/>
          </reference>
        </references>
      </pivotArea>
    </format>
    <format dxfId="1246">
      <pivotArea dataOnly="0" labelOnly="1" outline="0" fieldPosition="0">
        <references count="3">
          <reference field="0" count="1" selected="0">
            <x v="3"/>
          </reference>
          <reference field="1" count="1" selected="0">
            <x v="1660"/>
          </reference>
          <reference field="20" count="1">
            <x v="0"/>
          </reference>
        </references>
      </pivotArea>
    </format>
    <format dxfId="1245">
      <pivotArea dataOnly="0" labelOnly="1" outline="0" fieldPosition="0">
        <references count="3">
          <reference field="0" count="1" selected="0">
            <x v="3"/>
          </reference>
          <reference field="1" count="1" selected="0">
            <x v="1662"/>
          </reference>
          <reference field="20" count="1">
            <x v="335"/>
          </reference>
        </references>
      </pivotArea>
    </format>
    <format dxfId="1244">
      <pivotArea dataOnly="0" labelOnly="1" outline="0" fieldPosition="0">
        <references count="3">
          <reference field="0" count="1" selected="0">
            <x v="3"/>
          </reference>
          <reference field="1" count="1" selected="0">
            <x v="1663"/>
          </reference>
          <reference field="20" count="1">
            <x v="0"/>
          </reference>
        </references>
      </pivotArea>
    </format>
    <format dxfId="1243">
      <pivotArea dataOnly="0" labelOnly="1" outline="0" fieldPosition="0">
        <references count="3">
          <reference field="0" count="1" selected="0">
            <x v="4"/>
          </reference>
          <reference field="1" count="1" selected="0">
            <x v="133"/>
          </reference>
          <reference field="20" count="1">
            <x v="5"/>
          </reference>
        </references>
      </pivotArea>
    </format>
    <format dxfId="1242">
      <pivotArea dataOnly="0" labelOnly="1" outline="0" fieldPosition="0">
        <references count="3">
          <reference field="0" count="1" selected="0">
            <x v="4"/>
          </reference>
          <reference field="1" count="1" selected="0">
            <x v="135"/>
          </reference>
          <reference field="20" count="1">
            <x v="8"/>
          </reference>
        </references>
      </pivotArea>
    </format>
    <format dxfId="1241">
      <pivotArea dataOnly="0" labelOnly="1" outline="0" fieldPosition="0">
        <references count="3">
          <reference field="0" count="1" selected="0">
            <x v="4"/>
          </reference>
          <reference field="1" count="1" selected="0">
            <x v="136"/>
          </reference>
          <reference field="20" count="1">
            <x v="0"/>
          </reference>
        </references>
      </pivotArea>
    </format>
    <format dxfId="1240">
      <pivotArea dataOnly="0" labelOnly="1" outline="0" fieldPosition="0">
        <references count="3">
          <reference field="0" count="1" selected="0">
            <x v="4"/>
          </reference>
          <reference field="1" count="1" selected="0">
            <x v="146"/>
          </reference>
          <reference field="20" count="1">
            <x v="0"/>
          </reference>
        </references>
      </pivotArea>
    </format>
    <format dxfId="1239">
      <pivotArea dataOnly="0" labelOnly="1" outline="0" fieldPosition="0">
        <references count="3">
          <reference field="0" count="1" selected="0">
            <x v="4"/>
          </reference>
          <reference field="1" count="1" selected="0">
            <x v="191"/>
          </reference>
          <reference field="20" count="1">
            <x v="0"/>
          </reference>
        </references>
      </pivotArea>
    </format>
    <format dxfId="1238">
      <pivotArea dataOnly="0" labelOnly="1" outline="0" fieldPosition="0">
        <references count="3">
          <reference field="0" count="1" selected="0">
            <x v="4"/>
          </reference>
          <reference field="1" count="1" selected="0">
            <x v="200"/>
          </reference>
          <reference field="20" count="1">
            <x v="0"/>
          </reference>
        </references>
      </pivotArea>
    </format>
    <format dxfId="1237">
      <pivotArea dataOnly="0" labelOnly="1" outline="0" fieldPosition="0">
        <references count="3">
          <reference field="0" count="1" selected="0">
            <x v="4"/>
          </reference>
          <reference field="1" count="1" selected="0">
            <x v="205"/>
          </reference>
          <reference field="20" count="1">
            <x v="0"/>
          </reference>
        </references>
      </pivotArea>
    </format>
    <format dxfId="1236">
      <pivotArea dataOnly="0" labelOnly="1" outline="0" fieldPosition="0">
        <references count="3">
          <reference field="0" count="1" selected="0">
            <x v="4"/>
          </reference>
          <reference field="1" count="1" selected="0">
            <x v="221"/>
          </reference>
          <reference field="20" count="1">
            <x v="0"/>
          </reference>
        </references>
      </pivotArea>
    </format>
    <format dxfId="1235">
      <pivotArea dataOnly="0" labelOnly="1" outline="0" fieldPosition="0">
        <references count="3">
          <reference field="0" count="1" selected="0">
            <x v="4"/>
          </reference>
          <reference field="1" count="1" selected="0">
            <x v="255"/>
          </reference>
          <reference field="20" count="1">
            <x v="0"/>
          </reference>
        </references>
      </pivotArea>
    </format>
    <format dxfId="1234">
      <pivotArea dataOnly="0" labelOnly="1" outline="0" fieldPosition="0">
        <references count="3">
          <reference field="0" count="1" selected="0">
            <x v="4"/>
          </reference>
          <reference field="1" count="1" selected="0">
            <x v="262"/>
          </reference>
          <reference field="20" count="1">
            <x v="19"/>
          </reference>
        </references>
      </pivotArea>
    </format>
    <format dxfId="1233">
      <pivotArea dataOnly="0" labelOnly="1" outline="0" fieldPosition="0">
        <references count="3">
          <reference field="0" count="1" selected="0">
            <x v="4"/>
          </reference>
          <reference field="1" count="1" selected="0">
            <x v="279"/>
          </reference>
          <reference field="20" count="1">
            <x v="0"/>
          </reference>
        </references>
      </pivotArea>
    </format>
    <format dxfId="1232">
      <pivotArea dataOnly="0" labelOnly="1" outline="0" fieldPosition="0">
        <references count="3">
          <reference field="0" count="1" selected="0">
            <x v="4"/>
          </reference>
          <reference field="1" count="1" selected="0">
            <x v="319"/>
          </reference>
          <reference field="20" count="1">
            <x v="0"/>
          </reference>
        </references>
      </pivotArea>
    </format>
    <format dxfId="1231">
      <pivotArea dataOnly="0" labelOnly="1" outline="0" fieldPosition="0">
        <references count="3">
          <reference field="0" count="1" selected="0">
            <x v="4"/>
          </reference>
          <reference field="1" count="1" selected="0">
            <x v="320"/>
          </reference>
          <reference field="20" count="1">
            <x v="0"/>
          </reference>
        </references>
      </pivotArea>
    </format>
    <format dxfId="1230">
      <pivotArea dataOnly="0" labelOnly="1" outline="0" fieldPosition="0">
        <references count="3">
          <reference field="0" count="1" selected="0">
            <x v="4"/>
          </reference>
          <reference field="1" count="1" selected="0">
            <x v="322"/>
          </reference>
          <reference field="20" count="1">
            <x v="0"/>
          </reference>
        </references>
      </pivotArea>
    </format>
    <format dxfId="1229">
      <pivotArea dataOnly="0" labelOnly="1" outline="0" fieldPosition="0">
        <references count="3">
          <reference field="0" count="1" selected="0">
            <x v="4"/>
          </reference>
          <reference field="1" count="1" selected="0">
            <x v="333"/>
          </reference>
          <reference field="20" count="1">
            <x v="0"/>
          </reference>
        </references>
      </pivotArea>
    </format>
    <format dxfId="1228">
      <pivotArea dataOnly="0" labelOnly="1" outline="0" fieldPosition="0">
        <references count="3">
          <reference field="0" count="1" selected="0">
            <x v="4"/>
          </reference>
          <reference field="1" count="1" selected="0">
            <x v="336"/>
          </reference>
          <reference field="20" count="1">
            <x v="35"/>
          </reference>
        </references>
      </pivotArea>
    </format>
    <format dxfId="1227">
      <pivotArea dataOnly="0" labelOnly="1" outline="0" fieldPosition="0">
        <references count="3">
          <reference field="0" count="1" selected="0">
            <x v="4"/>
          </reference>
          <reference field="1" count="1" selected="0">
            <x v="445"/>
          </reference>
          <reference field="20" count="1">
            <x v="0"/>
          </reference>
        </references>
      </pivotArea>
    </format>
    <format dxfId="1226">
      <pivotArea dataOnly="0" labelOnly="1" outline="0" fieldPosition="0">
        <references count="3">
          <reference field="0" count="1" selected="0">
            <x v="4"/>
          </reference>
          <reference field="1" count="1" selected="0">
            <x v="471"/>
          </reference>
          <reference field="20" count="1">
            <x v="0"/>
          </reference>
        </references>
      </pivotArea>
    </format>
    <format dxfId="1225">
      <pivotArea dataOnly="0" labelOnly="1" outline="0" fieldPosition="0">
        <references count="3">
          <reference field="0" count="1" selected="0">
            <x v="4"/>
          </reference>
          <reference field="1" count="1" selected="0">
            <x v="479"/>
          </reference>
          <reference field="20" count="1">
            <x v="0"/>
          </reference>
        </references>
      </pivotArea>
    </format>
    <format dxfId="1224">
      <pivotArea dataOnly="0" labelOnly="1" outline="0" fieldPosition="0">
        <references count="3">
          <reference field="0" count="1" selected="0">
            <x v="4"/>
          </reference>
          <reference field="1" count="1" selected="0">
            <x v="522"/>
          </reference>
          <reference field="20" count="1">
            <x v="0"/>
          </reference>
        </references>
      </pivotArea>
    </format>
    <format dxfId="1223">
      <pivotArea dataOnly="0" labelOnly="1" outline="0" fieldPosition="0">
        <references count="3">
          <reference field="0" count="1" selected="0">
            <x v="4"/>
          </reference>
          <reference field="1" count="1" selected="0">
            <x v="524"/>
          </reference>
          <reference field="20" count="1">
            <x v="0"/>
          </reference>
        </references>
      </pivotArea>
    </format>
    <format dxfId="1222">
      <pivotArea dataOnly="0" labelOnly="1" outline="0" fieldPosition="0">
        <references count="3">
          <reference field="0" count="1" selected="0">
            <x v="4"/>
          </reference>
          <reference field="1" count="1" selected="0">
            <x v="567"/>
          </reference>
          <reference field="20" count="1">
            <x v="0"/>
          </reference>
        </references>
      </pivotArea>
    </format>
    <format dxfId="1221">
      <pivotArea dataOnly="0" labelOnly="1" outline="0" fieldPosition="0">
        <references count="3">
          <reference field="0" count="1" selected="0">
            <x v="4"/>
          </reference>
          <reference field="1" count="1" selected="0">
            <x v="570"/>
          </reference>
          <reference field="20" count="1">
            <x v="0"/>
          </reference>
        </references>
      </pivotArea>
    </format>
    <format dxfId="1220">
      <pivotArea dataOnly="0" labelOnly="1" outline="0" fieldPosition="0">
        <references count="3">
          <reference field="0" count="1" selected="0">
            <x v="4"/>
          </reference>
          <reference field="1" count="1" selected="0">
            <x v="572"/>
          </reference>
          <reference field="20" count="1">
            <x v="80"/>
          </reference>
        </references>
      </pivotArea>
    </format>
    <format dxfId="1219">
      <pivotArea dataOnly="0" labelOnly="1" outline="0" fieldPosition="0">
        <references count="3">
          <reference field="0" count="1" selected="0">
            <x v="4"/>
          </reference>
          <reference field="1" count="1" selected="0">
            <x v="636"/>
          </reference>
          <reference field="20" count="1">
            <x v="0"/>
          </reference>
        </references>
      </pivotArea>
    </format>
    <format dxfId="1218">
      <pivotArea dataOnly="0" labelOnly="1" outline="0" fieldPosition="0">
        <references count="3">
          <reference field="0" count="1" selected="0">
            <x v="4"/>
          </reference>
          <reference field="1" count="1" selected="0">
            <x v="671"/>
          </reference>
          <reference field="20" count="1">
            <x v="0"/>
          </reference>
        </references>
      </pivotArea>
    </format>
    <format dxfId="1217">
      <pivotArea dataOnly="0" labelOnly="1" outline="0" fieldPosition="0">
        <references count="3">
          <reference field="0" count="1" selected="0">
            <x v="4"/>
          </reference>
          <reference field="1" count="1" selected="0">
            <x v="681"/>
          </reference>
          <reference field="20" count="1">
            <x v="0"/>
          </reference>
        </references>
      </pivotArea>
    </format>
    <format dxfId="1216">
      <pivotArea dataOnly="0" labelOnly="1" outline="0" fieldPosition="0">
        <references count="3">
          <reference field="0" count="1" selected="0">
            <x v="4"/>
          </reference>
          <reference field="1" count="1" selected="0">
            <x v="696"/>
          </reference>
          <reference field="20" count="1">
            <x v="0"/>
          </reference>
        </references>
      </pivotArea>
    </format>
    <format dxfId="1215">
      <pivotArea dataOnly="0" labelOnly="1" outline="0" fieldPosition="0">
        <references count="3">
          <reference field="0" count="1" selected="0">
            <x v="4"/>
          </reference>
          <reference field="1" count="1" selected="0">
            <x v="697"/>
          </reference>
          <reference field="20" count="1">
            <x v="107"/>
          </reference>
        </references>
      </pivotArea>
    </format>
    <format dxfId="1214">
      <pivotArea dataOnly="0" labelOnly="1" outline="0" fieldPosition="0">
        <references count="3">
          <reference field="0" count="1" selected="0">
            <x v="4"/>
          </reference>
          <reference field="1" count="1" selected="0">
            <x v="698"/>
          </reference>
          <reference field="20" count="1">
            <x v="0"/>
          </reference>
        </references>
      </pivotArea>
    </format>
    <format dxfId="1213">
      <pivotArea dataOnly="0" labelOnly="1" outline="0" fieldPosition="0">
        <references count="3">
          <reference field="0" count="1" selected="0">
            <x v="4"/>
          </reference>
          <reference field="1" count="1" selected="0">
            <x v="706"/>
          </reference>
          <reference field="20" count="1">
            <x v="0"/>
          </reference>
        </references>
      </pivotArea>
    </format>
    <format dxfId="1212">
      <pivotArea dataOnly="0" labelOnly="1" outline="0" fieldPosition="0">
        <references count="3">
          <reference field="0" count="1" selected="0">
            <x v="4"/>
          </reference>
          <reference field="1" count="1" selected="0">
            <x v="719"/>
          </reference>
          <reference field="20" count="1">
            <x v="0"/>
          </reference>
        </references>
      </pivotArea>
    </format>
    <format dxfId="1211">
      <pivotArea dataOnly="0" labelOnly="1" outline="0" fieldPosition="0">
        <references count="3">
          <reference field="0" count="1" selected="0">
            <x v="4"/>
          </reference>
          <reference field="1" count="1" selected="0">
            <x v="744"/>
          </reference>
          <reference field="20" count="1">
            <x v="0"/>
          </reference>
        </references>
      </pivotArea>
    </format>
    <format dxfId="1210">
      <pivotArea dataOnly="0" labelOnly="1" outline="0" fieldPosition="0">
        <references count="3">
          <reference field="0" count="1" selected="0">
            <x v="4"/>
          </reference>
          <reference field="1" count="1" selected="0">
            <x v="762"/>
          </reference>
          <reference field="20" count="1">
            <x v="0"/>
          </reference>
        </references>
      </pivotArea>
    </format>
    <format dxfId="1209">
      <pivotArea dataOnly="0" labelOnly="1" outline="0" fieldPosition="0">
        <references count="3">
          <reference field="0" count="1" selected="0">
            <x v="4"/>
          </reference>
          <reference field="1" count="1" selected="0">
            <x v="777"/>
          </reference>
          <reference field="20" count="1">
            <x v="0"/>
          </reference>
        </references>
      </pivotArea>
    </format>
    <format dxfId="1208">
      <pivotArea dataOnly="0" labelOnly="1" outline="0" fieldPosition="0">
        <references count="3">
          <reference field="0" count="1" selected="0">
            <x v="4"/>
          </reference>
          <reference field="1" count="1" selected="0">
            <x v="778"/>
          </reference>
          <reference field="20" count="1">
            <x v="0"/>
          </reference>
        </references>
      </pivotArea>
    </format>
    <format dxfId="1207">
      <pivotArea dataOnly="0" labelOnly="1" outline="0" fieldPosition="0">
        <references count="3">
          <reference field="0" count="1" selected="0">
            <x v="4"/>
          </reference>
          <reference field="1" count="1" selected="0">
            <x v="781"/>
          </reference>
          <reference field="20" count="1">
            <x v="0"/>
          </reference>
        </references>
      </pivotArea>
    </format>
    <format dxfId="1206">
      <pivotArea dataOnly="0" labelOnly="1" outline="0" fieldPosition="0">
        <references count="3">
          <reference field="0" count="1" selected="0">
            <x v="4"/>
          </reference>
          <reference field="1" count="1" selected="0">
            <x v="782"/>
          </reference>
          <reference field="20" count="1">
            <x v="0"/>
          </reference>
        </references>
      </pivotArea>
    </format>
    <format dxfId="1205">
      <pivotArea dataOnly="0" labelOnly="1" outline="0" fieldPosition="0">
        <references count="3">
          <reference field="0" count="1" selected="0">
            <x v="4"/>
          </reference>
          <reference field="1" count="1" selected="0">
            <x v="802"/>
          </reference>
          <reference field="20" count="1">
            <x v="0"/>
          </reference>
        </references>
      </pivotArea>
    </format>
    <format dxfId="1204">
      <pivotArea dataOnly="0" labelOnly="1" outline="0" fieldPosition="0">
        <references count="3">
          <reference field="0" count="1" selected="0">
            <x v="4"/>
          </reference>
          <reference field="1" count="1" selected="0">
            <x v="812"/>
          </reference>
          <reference field="20" count="1">
            <x v="0"/>
          </reference>
        </references>
      </pivotArea>
    </format>
    <format dxfId="1203">
      <pivotArea dataOnly="0" labelOnly="1" outline="0" fieldPosition="0">
        <references count="3">
          <reference field="0" count="1" selected="0">
            <x v="4"/>
          </reference>
          <reference field="1" count="1" selected="0">
            <x v="863"/>
          </reference>
          <reference field="20" count="1">
            <x v="0"/>
          </reference>
        </references>
      </pivotArea>
    </format>
    <format dxfId="1202">
      <pivotArea dataOnly="0" labelOnly="1" outline="0" fieldPosition="0">
        <references count="3">
          <reference field="0" count="1" selected="0">
            <x v="4"/>
          </reference>
          <reference field="1" count="1" selected="0">
            <x v="884"/>
          </reference>
          <reference field="20" count="1">
            <x v="0"/>
          </reference>
        </references>
      </pivotArea>
    </format>
    <format dxfId="1201">
      <pivotArea dataOnly="0" labelOnly="1" outline="0" fieldPosition="0">
        <references count="3">
          <reference field="0" count="1" selected="0">
            <x v="4"/>
          </reference>
          <reference field="1" count="1" selected="0">
            <x v="887"/>
          </reference>
          <reference field="20" count="1">
            <x v="0"/>
          </reference>
        </references>
      </pivotArea>
    </format>
    <format dxfId="1200">
      <pivotArea dataOnly="0" labelOnly="1" outline="0" fieldPosition="0">
        <references count="3">
          <reference field="0" count="1" selected="0">
            <x v="4"/>
          </reference>
          <reference field="1" count="1" selected="0">
            <x v="890"/>
          </reference>
          <reference field="20" count="1">
            <x v="0"/>
          </reference>
        </references>
      </pivotArea>
    </format>
    <format dxfId="1199">
      <pivotArea dataOnly="0" labelOnly="1" outline="0" fieldPosition="0">
        <references count="3">
          <reference field="0" count="1" selected="0">
            <x v="4"/>
          </reference>
          <reference field="1" count="1" selected="0">
            <x v="928"/>
          </reference>
          <reference field="20" count="1">
            <x v="0"/>
          </reference>
        </references>
      </pivotArea>
    </format>
    <format dxfId="1198">
      <pivotArea dataOnly="0" labelOnly="1" outline="0" fieldPosition="0">
        <references count="3">
          <reference field="0" count="1" selected="0">
            <x v="4"/>
          </reference>
          <reference field="1" count="1" selected="0">
            <x v="952"/>
          </reference>
          <reference field="20" count="1">
            <x v="172"/>
          </reference>
        </references>
      </pivotArea>
    </format>
    <format dxfId="1197">
      <pivotArea dataOnly="0" labelOnly="1" outline="0" fieldPosition="0">
        <references count="3">
          <reference field="0" count="1" selected="0">
            <x v="4"/>
          </reference>
          <reference field="1" count="1" selected="0">
            <x v="957"/>
          </reference>
          <reference field="20" count="1">
            <x v="174"/>
          </reference>
        </references>
      </pivotArea>
    </format>
    <format dxfId="1196">
      <pivotArea dataOnly="0" labelOnly="1" outline="0" fieldPosition="0">
        <references count="3">
          <reference field="0" count="1" selected="0">
            <x v="4"/>
          </reference>
          <reference field="1" count="1" selected="0">
            <x v="968"/>
          </reference>
          <reference field="20" count="1">
            <x v="0"/>
          </reference>
        </references>
      </pivotArea>
    </format>
    <format dxfId="1195">
      <pivotArea dataOnly="0" labelOnly="1" outline="0" fieldPosition="0">
        <references count="3">
          <reference field="0" count="1" selected="0">
            <x v="4"/>
          </reference>
          <reference field="1" count="1" selected="0">
            <x v="970"/>
          </reference>
          <reference field="20" count="1">
            <x v="178"/>
          </reference>
        </references>
      </pivotArea>
    </format>
    <format dxfId="1194">
      <pivotArea dataOnly="0" labelOnly="1" outline="0" fieldPosition="0">
        <references count="3">
          <reference field="0" count="1" selected="0">
            <x v="4"/>
          </reference>
          <reference field="1" count="1" selected="0">
            <x v="977"/>
          </reference>
          <reference field="20" count="1">
            <x v="0"/>
          </reference>
        </references>
      </pivotArea>
    </format>
    <format dxfId="1193">
      <pivotArea dataOnly="0" labelOnly="1" outline="0" fieldPosition="0">
        <references count="3">
          <reference field="0" count="1" selected="0">
            <x v="4"/>
          </reference>
          <reference field="1" count="1" selected="0">
            <x v="999"/>
          </reference>
          <reference field="20" count="1">
            <x v="188"/>
          </reference>
        </references>
      </pivotArea>
    </format>
    <format dxfId="1192">
      <pivotArea dataOnly="0" labelOnly="1" outline="0" fieldPosition="0">
        <references count="3">
          <reference field="0" count="1" selected="0">
            <x v="4"/>
          </reference>
          <reference field="1" count="1" selected="0">
            <x v="1039"/>
          </reference>
          <reference field="20" count="1">
            <x v="204"/>
          </reference>
        </references>
      </pivotArea>
    </format>
    <format dxfId="1191">
      <pivotArea dataOnly="0" labelOnly="1" outline="0" fieldPosition="0">
        <references count="3">
          <reference field="0" count="1" selected="0">
            <x v="4"/>
          </reference>
          <reference field="1" count="1" selected="0">
            <x v="1059"/>
          </reference>
          <reference field="20" count="1">
            <x v="0"/>
          </reference>
        </references>
      </pivotArea>
    </format>
    <format dxfId="1190">
      <pivotArea dataOnly="0" labelOnly="1" outline="0" fieldPosition="0">
        <references count="3">
          <reference field="0" count="1" selected="0">
            <x v="4"/>
          </reference>
          <reference field="1" count="1" selected="0">
            <x v="1073"/>
          </reference>
          <reference field="20" count="1">
            <x v="0"/>
          </reference>
        </references>
      </pivotArea>
    </format>
    <format dxfId="1189">
      <pivotArea dataOnly="0" labelOnly="1" outline="0" fieldPosition="0">
        <references count="3">
          <reference field="0" count="1" selected="0">
            <x v="4"/>
          </reference>
          <reference field="1" count="1" selected="0">
            <x v="1088"/>
          </reference>
          <reference field="20" count="1">
            <x v="0"/>
          </reference>
        </references>
      </pivotArea>
    </format>
    <format dxfId="1188">
      <pivotArea dataOnly="0" labelOnly="1" outline="0" fieldPosition="0">
        <references count="3">
          <reference field="0" count="1" selected="0">
            <x v="4"/>
          </reference>
          <reference field="1" count="1" selected="0">
            <x v="1122"/>
          </reference>
          <reference field="20" count="1">
            <x v="230"/>
          </reference>
        </references>
      </pivotArea>
    </format>
    <format dxfId="1187">
      <pivotArea dataOnly="0" labelOnly="1" outline="0" fieldPosition="0">
        <references count="3">
          <reference field="0" count="1" selected="0">
            <x v="4"/>
          </reference>
          <reference field="1" count="1" selected="0">
            <x v="1140"/>
          </reference>
          <reference field="20" count="1">
            <x v="0"/>
          </reference>
        </references>
      </pivotArea>
    </format>
    <format dxfId="1186">
      <pivotArea dataOnly="0" labelOnly="1" outline="0" fieldPosition="0">
        <references count="3">
          <reference field="0" count="1" selected="0">
            <x v="4"/>
          </reference>
          <reference field="1" count="1" selected="0">
            <x v="1174"/>
          </reference>
          <reference field="20" count="1">
            <x v="248"/>
          </reference>
        </references>
      </pivotArea>
    </format>
    <format dxfId="1185">
      <pivotArea dataOnly="0" labelOnly="1" outline="0" fieldPosition="0">
        <references count="3">
          <reference field="0" count="1" selected="0">
            <x v="4"/>
          </reference>
          <reference field="1" count="1" selected="0">
            <x v="1234"/>
          </reference>
          <reference field="20" count="1">
            <x v="0"/>
          </reference>
        </references>
      </pivotArea>
    </format>
    <format dxfId="1184">
      <pivotArea dataOnly="0" labelOnly="1" outline="0" fieldPosition="0">
        <references count="3">
          <reference field="0" count="1" selected="0">
            <x v="4"/>
          </reference>
          <reference field="1" count="1" selected="0">
            <x v="1288"/>
          </reference>
          <reference field="20" count="1">
            <x v="0"/>
          </reference>
        </references>
      </pivotArea>
    </format>
    <format dxfId="1183">
      <pivotArea dataOnly="0" labelOnly="1" outline="0" fieldPosition="0">
        <references count="3">
          <reference field="0" count="1" selected="0">
            <x v="4"/>
          </reference>
          <reference field="1" count="1" selected="0">
            <x v="1305"/>
          </reference>
          <reference field="20" count="1">
            <x v="0"/>
          </reference>
        </references>
      </pivotArea>
    </format>
    <format dxfId="1182">
      <pivotArea dataOnly="0" labelOnly="1" outline="0" fieldPosition="0">
        <references count="3">
          <reference field="0" count="1" selected="0">
            <x v="4"/>
          </reference>
          <reference field="1" count="1" selected="0">
            <x v="1306"/>
          </reference>
          <reference field="20" count="1">
            <x v="0"/>
          </reference>
        </references>
      </pivotArea>
    </format>
    <format dxfId="1181">
      <pivotArea dataOnly="0" labelOnly="1" outline="0" fieldPosition="0">
        <references count="3">
          <reference field="0" count="1" selected="0">
            <x v="4"/>
          </reference>
          <reference field="1" count="1" selected="0">
            <x v="1347"/>
          </reference>
          <reference field="20" count="1">
            <x v="0"/>
          </reference>
        </references>
      </pivotArea>
    </format>
    <format dxfId="1180">
      <pivotArea dataOnly="0" labelOnly="1" outline="0" fieldPosition="0">
        <references count="3">
          <reference field="0" count="1" selected="0">
            <x v="4"/>
          </reference>
          <reference field="1" count="1" selected="0">
            <x v="1366"/>
          </reference>
          <reference field="20" count="1">
            <x v="0"/>
          </reference>
        </references>
      </pivotArea>
    </format>
    <format dxfId="1179">
      <pivotArea dataOnly="0" labelOnly="1" outline="0" fieldPosition="0">
        <references count="3">
          <reference field="0" count="1" selected="0">
            <x v="4"/>
          </reference>
          <reference field="1" count="1" selected="0">
            <x v="1381"/>
          </reference>
          <reference field="20" count="1">
            <x v="0"/>
          </reference>
        </references>
      </pivotArea>
    </format>
    <format dxfId="1178">
      <pivotArea dataOnly="0" labelOnly="1" outline="0" fieldPosition="0">
        <references count="3">
          <reference field="0" count="1" selected="0">
            <x v="4"/>
          </reference>
          <reference field="1" count="1" selected="0">
            <x v="1384"/>
          </reference>
          <reference field="20" count="1">
            <x v="0"/>
          </reference>
        </references>
      </pivotArea>
    </format>
    <format dxfId="1177">
      <pivotArea dataOnly="0" labelOnly="1" outline="0" fieldPosition="0">
        <references count="3">
          <reference field="0" count="1" selected="0">
            <x v="4"/>
          </reference>
          <reference field="1" count="1" selected="0">
            <x v="1390"/>
          </reference>
          <reference field="20" count="1">
            <x v="0"/>
          </reference>
        </references>
      </pivotArea>
    </format>
    <format dxfId="1176">
      <pivotArea dataOnly="0" labelOnly="1" outline="0" fieldPosition="0">
        <references count="3">
          <reference field="0" count="1" selected="0">
            <x v="4"/>
          </reference>
          <reference field="1" count="1" selected="0">
            <x v="1391"/>
          </reference>
          <reference field="20" count="1">
            <x v="0"/>
          </reference>
        </references>
      </pivotArea>
    </format>
    <format dxfId="1175">
      <pivotArea dataOnly="0" labelOnly="1" outline="0" fieldPosition="0">
        <references count="3">
          <reference field="0" count="1" selected="0">
            <x v="4"/>
          </reference>
          <reference field="1" count="1" selected="0">
            <x v="1418"/>
          </reference>
          <reference field="20" count="1">
            <x v="0"/>
          </reference>
        </references>
      </pivotArea>
    </format>
    <format dxfId="1174">
      <pivotArea dataOnly="0" labelOnly="1" outline="0" fieldPosition="0">
        <references count="3">
          <reference field="0" count="1" selected="0">
            <x v="4"/>
          </reference>
          <reference field="1" count="1" selected="0">
            <x v="1419"/>
          </reference>
          <reference field="20" count="1">
            <x v="0"/>
          </reference>
        </references>
      </pivotArea>
    </format>
    <format dxfId="1173">
      <pivotArea dataOnly="0" labelOnly="1" outline="0" fieldPosition="0">
        <references count="3">
          <reference field="0" count="1" selected="0">
            <x v="4"/>
          </reference>
          <reference field="1" count="1" selected="0">
            <x v="1420"/>
          </reference>
          <reference field="20" count="1">
            <x v="0"/>
          </reference>
        </references>
      </pivotArea>
    </format>
    <format dxfId="1172">
      <pivotArea dataOnly="0" labelOnly="1" outline="0" fieldPosition="0">
        <references count="3">
          <reference field="0" count="1" selected="0">
            <x v="4"/>
          </reference>
          <reference field="1" count="1" selected="0">
            <x v="1421"/>
          </reference>
          <reference field="20" count="1">
            <x v="0"/>
          </reference>
        </references>
      </pivotArea>
    </format>
    <format dxfId="1171">
      <pivotArea dataOnly="0" labelOnly="1" outline="0" fieldPosition="0">
        <references count="3">
          <reference field="0" count="1" selected="0">
            <x v="4"/>
          </reference>
          <reference field="1" count="1" selected="0">
            <x v="1424"/>
          </reference>
          <reference field="20" count="1">
            <x v="0"/>
          </reference>
        </references>
      </pivotArea>
    </format>
    <format dxfId="1170">
      <pivotArea dataOnly="0" labelOnly="1" outline="0" fieldPosition="0">
        <references count="3">
          <reference field="0" count="1" selected="0">
            <x v="4"/>
          </reference>
          <reference field="1" count="1" selected="0">
            <x v="1426"/>
          </reference>
          <reference field="20" count="1">
            <x v="0"/>
          </reference>
        </references>
      </pivotArea>
    </format>
    <format dxfId="1169">
      <pivotArea dataOnly="0" labelOnly="1" outline="0" fieldPosition="0">
        <references count="3">
          <reference field="0" count="1" selected="0">
            <x v="4"/>
          </reference>
          <reference field="1" count="1" selected="0">
            <x v="1427"/>
          </reference>
          <reference field="20" count="1">
            <x v="0"/>
          </reference>
        </references>
      </pivotArea>
    </format>
    <format dxfId="1168">
      <pivotArea dataOnly="0" labelOnly="1" outline="0" fieldPosition="0">
        <references count="3">
          <reference field="0" count="1" selected="0">
            <x v="4"/>
          </reference>
          <reference field="1" count="1" selected="0">
            <x v="1431"/>
          </reference>
          <reference field="20" count="1">
            <x v="0"/>
          </reference>
        </references>
      </pivotArea>
    </format>
    <format dxfId="1167">
      <pivotArea dataOnly="0" labelOnly="1" outline="0" fieldPosition="0">
        <references count="3">
          <reference field="0" count="1" selected="0">
            <x v="4"/>
          </reference>
          <reference field="1" count="1" selected="0">
            <x v="1438"/>
          </reference>
          <reference field="20" count="1">
            <x v="0"/>
          </reference>
        </references>
      </pivotArea>
    </format>
    <format dxfId="1166">
      <pivotArea dataOnly="0" labelOnly="1" outline="0" fieldPosition="0">
        <references count="3">
          <reference field="0" count="1" selected="0">
            <x v="4"/>
          </reference>
          <reference field="1" count="1" selected="0">
            <x v="1456"/>
          </reference>
          <reference field="20" count="1">
            <x v="0"/>
          </reference>
        </references>
      </pivotArea>
    </format>
    <format dxfId="1165">
      <pivotArea dataOnly="0" labelOnly="1" outline="0" fieldPosition="0">
        <references count="3">
          <reference field="0" count="1" selected="0">
            <x v="4"/>
          </reference>
          <reference field="1" count="1" selected="0">
            <x v="1492"/>
          </reference>
          <reference field="20" count="1">
            <x v="0"/>
          </reference>
        </references>
      </pivotArea>
    </format>
    <format dxfId="1164">
      <pivotArea dataOnly="0" labelOnly="1" outline="0" fieldPosition="0">
        <references count="3">
          <reference field="0" count="1" selected="0">
            <x v="4"/>
          </reference>
          <reference field="1" count="1" selected="0">
            <x v="1515"/>
          </reference>
          <reference field="20" count="1">
            <x v="0"/>
          </reference>
        </references>
      </pivotArea>
    </format>
    <format dxfId="1163">
      <pivotArea dataOnly="0" labelOnly="1" outline="0" fieldPosition="0">
        <references count="3">
          <reference field="0" count="1" selected="0">
            <x v="4"/>
          </reference>
          <reference field="1" count="1" selected="0">
            <x v="1553"/>
          </reference>
          <reference field="20" count="1">
            <x v="0"/>
          </reference>
        </references>
      </pivotArea>
    </format>
    <format dxfId="1162">
      <pivotArea dataOnly="0" labelOnly="1" outline="0" fieldPosition="0">
        <references count="3">
          <reference field="0" count="1" selected="0">
            <x v="4"/>
          </reference>
          <reference field="1" count="1" selected="0">
            <x v="1567"/>
          </reference>
          <reference field="20" count="1">
            <x v="0"/>
          </reference>
        </references>
      </pivotArea>
    </format>
    <format dxfId="1161">
      <pivotArea dataOnly="0" labelOnly="1" outline="0" fieldPosition="0">
        <references count="3">
          <reference field="0" count="1" selected="0">
            <x v="4"/>
          </reference>
          <reference field="1" count="1" selected="0">
            <x v="1644"/>
          </reference>
          <reference field="20" count="1">
            <x v="0"/>
          </reference>
        </references>
      </pivotArea>
    </format>
    <format dxfId="1160">
      <pivotArea dataOnly="0" labelOnly="1" outline="0" fieldPosition="0">
        <references count="3">
          <reference field="0" count="1" selected="0">
            <x v="4"/>
          </reference>
          <reference field="1" count="1" selected="0">
            <x v="1671"/>
          </reference>
          <reference field="20" count="1">
            <x v="0"/>
          </reference>
        </references>
      </pivotArea>
    </format>
    <format dxfId="1159">
      <pivotArea dataOnly="0" labelOnly="1" outline="0" fieldPosition="0">
        <references count="3">
          <reference field="0" count="1" selected="0">
            <x v="5"/>
          </reference>
          <reference field="1" count="1" selected="0">
            <x v="4"/>
          </reference>
          <reference field="20" count="1">
            <x v="0"/>
          </reference>
        </references>
      </pivotArea>
    </format>
    <format dxfId="1158">
      <pivotArea dataOnly="0" labelOnly="1" outline="0" fieldPosition="0">
        <references count="3">
          <reference field="0" count="1" selected="0">
            <x v="5"/>
          </reference>
          <reference field="1" count="1" selected="0">
            <x v="16"/>
          </reference>
          <reference field="20" count="1">
            <x v="0"/>
          </reference>
        </references>
      </pivotArea>
    </format>
    <format dxfId="1157">
      <pivotArea dataOnly="0" labelOnly="1" outline="0" fieldPosition="0">
        <references count="3">
          <reference field="0" count="1" selected="0">
            <x v="5"/>
          </reference>
          <reference field="1" count="1" selected="0">
            <x v="18"/>
          </reference>
          <reference field="20" count="1">
            <x v="0"/>
          </reference>
        </references>
      </pivotArea>
    </format>
    <format dxfId="1156">
      <pivotArea dataOnly="0" labelOnly="1" outline="0" fieldPosition="0">
        <references count="3">
          <reference field="0" count="1" selected="0">
            <x v="5"/>
          </reference>
          <reference field="1" count="1" selected="0">
            <x v="22"/>
          </reference>
          <reference field="20" count="1">
            <x v="0"/>
          </reference>
        </references>
      </pivotArea>
    </format>
    <format dxfId="1155">
      <pivotArea dataOnly="0" labelOnly="1" outline="0" fieldPosition="0">
        <references count="3">
          <reference field="0" count="1" selected="0">
            <x v="5"/>
          </reference>
          <reference field="1" count="1" selected="0">
            <x v="37"/>
          </reference>
          <reference field="20" count="1">
            <x v="0"/>
          </reference>
        </references>
      </pivotArea>
    </format>
    <format dxfId="1154">
      <pivotArea dataOnly="0" labelOnly="1" outline="0" fieldPosition="0">
        <references count="3">
          <reference field="0" count="1" selected="0">
            <x v="5"/>
          </reference>
          <reference field="1" count="1" selected="0">
            <x v="41"/>
          </reference>
          <reference field="20" count="1">
            <x v="0"/>
          </reference>
        </references>
      </pivotArea>
    </format>
    <format dxfId="1153">
      <pivotArea dataOnly="0" labelOnly="1" outline="0" fieldPosition="0">
        <references count="3">
          <reference field="0" count="1" selected="0">
            <x v="5"/>
          </reference>
          <reference field="1" count="1" selected="0">
            <x v="56"/>
          </reference>
          <reference field="20" count="1">
            <x v="0"/>
          </reference>
        </references>
      </pivotArea>
    </format>
    <format dxfId="1152">
      <pivotArea dataOnly="0" labelOnly="1" outline="0" fieldPosition="0">
        <references count="3">
          <reference field="0" count="1" selected="0">
            <x v="5"/>
          </reference>
          <reference field="1" count="1" selected="0">
            <x v="59"/>
          </reference>
          <reference field="20" count="1">
            <x v="0"/>
          </reference>
        </references>
      </pivotArea>
    </format>
    <format dxfId="1151">
      <pivotArea dataOnly="0" labelOnly="1" outline="0" fieldPosition="0">
        <references count="3">
          <reference field="0" count="1" selected="0">
            <x v="5"/>
          </reference>
          <reference field="1" count="1" selected="0">
            <x v="75"/>
          </reference>
          <reference field="20" count="1">
            <x v="0"/>
          </reference>
        </references>
      </pivotArea>
    </format>
    <format dxfId="1150">
      <pivotArea dataOnly="0" labelOnly="1" outline="0" fieldPosition="0">
        <references count="3">
          <reference field="0" count="1" selected="0">
            <x v="5"/>
          </reference>
          <reference field="1" count="1" selected="0">
            <x v="76"/>
          </reference>
          <reference field="20" count="1">
            <x v="0"/>
          </reference>
        </references>
      </pivotArea>
    </format>
    <format dxfId="1149">
      <pivotArea dataOnly="0" labelOnly="1" outline="0" fieldPosition="0">
        <references count="3">
          <reference field="0" count="1" selected="0">
            <x v="5"/>
          </reference>
          <reference field="1" count="1" selected="0">
            <x v="77"/>
          </reference>
          <reference field="20" count="1">
            <x v="0"/>
          </reference>
        </references>
      </pivotArea>
    </format>
    <format dxfId="1148">
      <pivotArea dataOnly="0" labelOnly="1" outline="0" fieldPosition="0">
        <references count="3">
          <reference field="0" count="1" selected="0">
            <x v="5"/>
          </reference>
          <reference field="1" count="1" selected="0">
            <x v="102"/>
          </reference>
          <reference field="20" count="1">
            <x v="0"/>
          </reference>
        </references>
      </pivotArea>
    </format>
    <format dxfId="1147">
      <pivotArea dataOnly="0" labelOnly="1" outline="0" fieldPosition="0">
        <references count="3">
          <reference field="0" count="1" selected="0">
            <x v="5"/>
          </reference>
          <reference field="1" count="1" selected="0">
            <x v="126"/>
          </reference>
          <reference field="20" count="1">
            <x v="0"/>
          </reference>
        </references>
      </pivotArea>
    </format>
    <format dxfId="1146">
      <pivotArea dataOnly="0" labelOnly="1" outline="0" fieldPosition="0">
        <references count="3">
          <reference field="0" count="1" selected="0">
            <x v="5"/>
          </reference>
          <reference field="1" count="1" selected="0">
            <x v="140"/>
          </reference>
          <reference field="20" count="1">
            <x v="9"/>
          </reference>
        </references>
      </pivotArea>
    </format>
    <format dxfId="1145">
      <pivotArea dataOnly="0" labelOnly="1" outline="0" fieldPosition="0">
        <references count="3">
          <reference field="0" count="1" selected="0">
            <x v="5"/>
          </reference>
          <reference field="1" count="1" selected="0">
            <x v="143"/>
          </reference>
          <reference field="20" count="1">
            <x v="0"/>
          </reference>
        </references>
      </pivotArea>
    </format>
    <format dxfId="1144">
      <pivotArea dataOnly="0" labelOnly="1" outline="0" fieldPosition="0">
        <references count="3">
          <reference field="0" count="1" selected="0">
            <x v="5"/>
          </reference>
          <reference field="1" count="1" selected="0">
            <x v="150"/>
          </reference>
          <reference field="20" count="1">
            <x v="11"/>
          </reference>
        </references>
      </pivotArea>
    </format>
    <format dxfId="1143">
      <pivotArea dataOnly="0" labelOnly="1" outline="0" fieldPosition="0">
        <references count="3">
          <reference field="0" count="1" selected="0">
            <x v="5"/>
          </reference>
          <reference field="1" count="1" selected="0">
            <x v="176"/>
          </reference>
          <reference field="20" count="1">
            <x v="0"/>
          </reference>
        </references>
      </pivotArea>
    </format>
    <format dxfId="1142">
      <pivotArea dataOnly="0" labelOnly="1" outline="0" fieldPosition="0">
        <references count="3">
          <reference field="0" count="1" selected="0">
            <x v="5"/>
          </reference>
          <reference field="1" count="1" selected="0">
            <x v="185"/>
          </reference>
          <reference field="20" count="1">
            <x v="0"/>
          </reference>
        </references>
      </pivotArea>
    </format>
    <format dxfId="1141">
      <pivotArea dataOnly="0" labelOnly="1" outline="0" fieldPosition="0">
        <references count="3">
          <reference field="0" count="1" selected="0">
            <x v="5"/>
          </reference>
          <reference field="1" count="1" selected="0">
            <x v="203"/>
          </reference>
          <reference field="20" count="1">
            <x v="0"/>
          </reference>
        </references>
      </pivotArea>
    </format>
    <format dxfId="1140">
      <pivotArea dataOnly="0" labelOnly="1" outline="0" fieldPosition="0">
        <references count="3">
          <reference field="0" count="1" selected="0">
            <x v="5"/>
          </reference>
          <reference field="1" count="1" selected="0">
            <x v="212"/>
          </reference>
          <reference field="20" count="1">
            <x v="0"/>
          </reference>
        </references>
      </pivotArea>
    </format>
    <format dxfId="1139">
      <pivotArea dataOnly="0" labelOnly="1" outline="0" fieldPosition="0">
        <references count="3">
          <reference field="0" count="1" selected="0">
            <x v="5"/>
          </reference>
          <reference field="1" count="1" selected="0">
            <x v="218"/>
          </reference>
          <reference field="20" count="1">
            <x v="0"/>
          </reference>
        </references>
      </pivotArea>
    </format>
    <format dxfId="1138">
      <pivotArea dataOnly="0" labelOnly="1" outline="0" fieldPosition="0">
        <references count="3">
          <reference field="0" count="1" selected="0">
            <x v="5"/>
          </reference>
          <reference field="1" count="1" selected="0">
            <x v="251"/>
          </reference>
          <reference field="20" count="1">
            <x v="0"/>
          </reference>
        </references>
      </pivotArea>
    </format>
    <format dxfId="1137">
      <pivotArea dataOnly="0" labelOnly="1" outline="0" fieldPosition="0">
        <references count="3">
          <reference field="0" count="1" selected="0">
            <x v="5"/>
          </reference>
          <reference field="1" count="1" selected="0">
            <x v="252"/>
          </reference>
          <reference field="20" count="1">
            <x v="0"/>
          </reference>
        </references>
      </pivotArea>
    </format>
    <format dxfId="1136">
      <pivotArea dataOnly="0" labelOnly="1" outline="0" fieldPosition="0">
        <references count="3">
          <reference field="0" count="1" selected="0">
            <x v="5"/>
          </reference>
          <reference field="1" count="1" selected="0">
            <x v="269"/>
          </reference>
          <reference field="20" count="1">
            <x v="0"/>
          </reference>
        </references>
      </pivotArea>
    </format>
    <format dxfId="1135">
      <pivotArea dataOnly="0" labelOnly="1" outline="0" fieldPosition="0">
        <references count="3">
          <reference field="0" count="1" selected="0">
            <x v="5"/>
          </reference>
          <reference field="1" count="1" selected="0">
            <x v="285"/>
          </reference>
          <reference field="20" count="1">
            <x v="20"/>
          </reference>
        </references>
      </pivotArea>
    </format>
    <format dxfId="1134">
      <pivotArea dataOnly="0" labelOnly="1" outline="0" fieldPosition="0">
        <references count="3">
          <reference field="0" count="1" selected="0">
            <x v="5"/>
          </reference>
          <reference field="1" count="1" selected="0">
            <x v="289"/>
          </reference>
          <reference field="20" count="1">
            <x v="0"/>
          </reference>
        </references>
      </pivotArea>
    </format>
    <format dxfId="1133">
      <pivotArea dataOnly="0" labelOnly="1" outline="0" fieldPosition="0">
        <references count="3">
          <reference field="0" count="1" selected="0">
            <x v="5"/>
          </reference>
          <reference field="1" count="1" selected="0">
            <x v="290"/>
          </reference>
          <reference field="20" count="1">
            <x v="0"/>
          </reference>
        </references>
      </pivotArea>
    </format>
    <format dxfId="1132">
      <pivotArea dataOnly="0" labelOnly="1" outline="0" fieldPosition="0">
        <references count="3">
          <reference field="0" count="1" selected="0">
            <x v="5"/>
          </reference>
          <reference field="1" count="1" selected="0">
            <x v="291"/>
          </reference>
          <reference field="20" count="1">
            <x v="0"/>
          </reference>
        </references>
      </pivotArea>
    </format>
    <format dxfId="1131">
      <pivotArea dataOnly="0" labelOnly="1" outline="0" fieldPosition="0">
        <references count="3">
          <reference field="0" count="1" selected="0">
            <x v="5"/>
          </reference>
          <reference field="1" count="1" selected="0">
            <x v="315"/>
          </reference>
          <reference field="20" count="1">
            <x v="28"/>
          </reference>
        </references>
      </pivotArea>
    </format>
    <format dxfId="1130">
      <pivotArea dataOnly="0" labelOnly="1" outline="0" fieldPosition="0">
        <references count="3">
          <reference field="0" count="1" selected="0">
            <x v="5"/>
          </reference>
          <reference field="1" count="1" selected="0">
            <x v="316"/>
          </reference>
          <reference field="20" count="1">
            <x v="0"/>
          </reference>
        </references>
      </pivotArea>
    </format>
    <format dxfId="1129">
      <pivotArea dataOnly="0" labelOnly="1" outline="0" fieldPosition="0">
        <references count="3">
          <reference field="0" count="1" selected="0">
            <x v="5"/>
          </reference>
          <reference field="1" count="1" selected="0">
            <x v="318"/>
          </reference>
          <reference field="20" count="1">
            <x v="0"/>
          </reference>
        </references>
      </pivotArea>
    </format>
    <format dxfId="1128">
      <pivotArea dataOnly="0" labelOnly="1" outline="0" fieldPosition="0">
        <references count="3">
          <reference field="0" count="1" selected="0">
            <x v="5"/>
          </reference>
          <reference field="1" count="1" selected="0">
            <x v="337"/>
          </reference>
          <reference field="20" count="1">
            <x v="36"/>
          </reference>
        </references>
      </pivotArea>
    </format>
    <format dxfId="1127">
      <pivotArea dataOnly="0" labelOnly="1" outline="0" fieldPosition="0">
        <references count="3">
          <reference field="0" count="1" selected="0">
            <x v="5"/>
          </reference>
          <reference field="1" count="1" selected="0">
            <x v="363"/>
          </reference>
          <reference field="20" count="1">
            <x v="0"/>
          </reference>
        </references>
      </pivotArea>
    </format>
    <format dxfId="1126">
      <pivotArea dataOnly="0" labelOnly="1" outline="0" fieldPosition="0">
        <references count="3">
          <reference field="0" count="1" selected="0">
            <x v="5"/>
          </reference>
          <reference field="1" count="1" selected="0">
            <x v="369"/>
          </reference>
          <reference field="20" count="1">
            <x v="0"/>
          </reference>
        </references>
      </pivotArea>
    </format>
    <format dxfId="1125">
      <pivotArea dataOnly="0" labelOnly="1" outline="0" fieldPosition="0">
        <references count="3">
          <reference field="0" count="1" selected="0">
            <x v="5"/>
          </reference>
          <reference field="1" count="1" selected="0">
            <x v="383"/>
          </reference>
          <reference field="20" count="1">
            <x v="0"/>
          </reference>
        </references>
      </pivotArea>
    </format>
    <format dxfId="1124">
      <pivotArea dataOnly="0" labelOnly="1" outline="0" fieldPosition="0">
        <references count="3">
          <reference field="0" count="1" selected="0">
            <x v="5"/>
          </reference>
          <reference field="1" count="1" selected="0">
            <x v="410"/>
          </reference>
          <reference field="20" count="1">
            <x v="56"/>
          </reference>
        </references>
      </pivotArea>
    </format>
    <format dxfId="1123">
      <pivotArea dataOnly="0" labelOnly="1" outline="0" fieldPosition="0">
        <references count="3">
          <reference field="0" count="1" selected="0">
            <x v="5"/>
          </reference>
          <reference field="1" count="1" selected="0">
            <x v="411"/>
          </reference>
          <reference field="20" count="1">
            <x v="57"/>
          </reference>
        </references>
      </pivotArea>
    </format>
    <format dxfId="1122">
      <pivotArea dataOnly="0" labelOnly="1" outline="0" fieldPosition="0">
        <references count="3">
          <reference field="0" count="1" selected="0">
            <x v="5"/>
          </reference>
          <reference field="1" count="1" selected="0">
            <x v="420"/>
          </reference>
          <reference field="20" count="1">
            <x v="60"/>
          </reference>
        </references>
      </pivotArea>
    </format>
    <format dxfId="1121">
      <pivotArea dataOnly="0" labelOnly="1" outline="0" fieldPosition="0">
        <references count="3">
          <reference field="0" count="1" selected="0">
            <x v="5"/>
          </reference>
          <reference field="1" count="1" selected="0">
            <x v="421"/>
          </reference>
          <reference field="20" count="1">
            <x v="61"/>
          </reference>
        </references>
      </pivotArea>
    </format>
    <format dxfId="1120">
      <pivotArea dataOnly="0" labelOnly="1" outline="0" fieldPosition="0">
        <references count="3">
          <reference field="0" count="1" selected="0">
            <x v="5"/>
          </reference>
          <reference field="1" count="1" selected="0">
            <x v="428"/>
          </reference>
          <reference field="20" count="1">
            <x v="63"/>
          </reference>
        </references>
      </pivotArea>
    </format>
    <format dxfId="1119">
      <pivotArea dataOnly="0" labelOnly="1" outline="0" fieldPosition="0">
        <references count="3">
          <reference field="0" count="1" selected="0">
            <x v="5"/>
          </reference>
          <reference field="1" count="1" selected="0">
            <x v="459"/>
          </reference>
          <reference field="20" count="1">
            <x v="0"/>
          </reference>
        </references>
      </pivotArea>
    </format>
    <format dxfId="1118">
      <pivotArea dataOnly="0" labelOnly="1" outline="0" fieldPosition="0">
        <references count="3">
          <reference field="0" count="1" selected="0">
            <x v="5"/>
          </reference>
          <reference field="1" count="1" selected="0">
            <x v="477"/>
          </reference>
          <reference field="20" count="1">
            <x v="0"/>
          </reference>
        </references>
      </pivotArea>
    </format>
    <format dxfId="1117">
      <pivotArea dataOnly="0" labelOnly="1" outline="0" fieldPosition="0">
        <references count="3">
          <reference field="0" count="1" selected="0">
            <x v="5"/>
          </reference>
          <reference field="1" count="1" selected="0">
            <x v="482"/>
          </reference>
          <reference field="20" count="1">
            <x v="0"/>
          </reference>
        </references>
      </pivotArea>
    </format>
    <format dxfId="1116">
      <pivotArea dataOnly="0" labelOnly="1" outline="0" fieldPosition="0">
        <references count="3">
          <reference field="0" count="1" selected="0">
            <x v="5"/>
          </reference>
          <reference field="1" count="1" selected="0">
            <x v="483"/>
          </reference>
          <reference field="20" count="1">
            <x v="71"/>
          </reference>
        </references>
      </pivotArea>
    </format>
    <format dxfId="1115">
      <pivotArea dataOnly="0" labelOnly="1" outline="0" fieldPosition="0">
        <references count="3">
          <reference field="0" count="1" selected="0">
            <x v="5"/>
          </reference>
          <reference field="1" count="1" selected="0">
            <x v="487"/>
          </reference>
          <reference field="20" count="1">
            <x v="0"/>
          </reference>
        </references>
      </pivotArea>
    </format>
    <format dxfId="1114">
      <pivotArea dataOnly="0" labelOnly="1" outline="0" fieldPosition="0">
        <references count="3">
          <reference field="0" count="1" selected="0">
            <x v="5"/>
          </reference>
          <reference field="1" count="1" selected="0">
            <x v="491"/>
          </reference>
          <reference field="20" count="1">
            <x v="0"/>
          </reference>
        </references>
      </pivotArea>
    </format>
    <format dxfId="1113">
      <pivotArea dataOnly="0" labelOnly="1" outline="0" fieldPosition="0">
        <references count="3">
          <reference field="0" count="1" selected="0">
            <x v="5"/>
          </reference>
          <reference field="1" count="1" selected="0">
            <x v="492"/>
          </reference>
          <reference field="20" count="1">
            <x v="0"/>
          </reference>
        </references>
      </pivotArea>
    </format>
    <format dxfId="1112">
      <pivotArea dataOnly="0" labelOnly="1" outline="0" fieldPosition="0">
        <references count="3">
          <reference field="0" count="1" selected="0">
            <x v="5"/>
          </reference>
          <reference field="1" count="1" selected="0">
            <x v="498"/>
          </reference>
          <reference field="20" count="1">
            <x v="0"/>
          </reference>
        </references>
      </pivotArea>
    </format>
    <format dxfId="1111">
      <pivotArea dataOnly="0" labelOnly="1" outline="0" fieldPosition="0">
        <references count="3">
          <reference field="0" count="1" selected="0">
            <x v="5"/>
          </reference>
          <reference field="1" count="1" selected="0">
            <x v="527"/>
          </reference>
          <reference field="20" count="1">
            <x v="0"/>
          </reference>
        </references>
      </pivotArea>
    </format>
    <format dxfId="1110">
      <pivotArea dataOnly="0" labelOnly="1" outline="0" fieldPosition="0">
        <references count="3">
          <reference field="0" count="1" selected="0">
            <x v="5"/>
          </reference>
          <reference field="1" count="1" selected="0">
            <x v="559"/>
          </reference>
          <reference field="20" count="1">
            <x v="0"/>
          </reference>
        </references>
      </pivotArea>
    </format>
    <format dxfId="1109">
      <pivotArea dataOnly="0" labelOnly="1" outline="0" fieldPosition="0">
        <references count="3">
          <reference field="0" count="1" selected="0">
            <x v="5"/>
          </reference>
          <reference field="1" count="1" selected="0">
            <x v="561"/>
          </reference>
          <reference field="20" count="1">
            <x v="0"/>
          </reference>
        </references>
      </pivotArea>
    </format>
    <format dxfId="1108">
      <pivotArea dataOnly="0" labelOnly="1" outline="0" fieldPosition="0">
        <references count="3">
          <reference field="0" count="1" selected="0">
            <x v="5"/>
          </reference>
          <reference field="1" count="1" selected="0">
            <x v="579"/>
          </reference>
          <reference field="20" count="1">
            <x v="84"/>
          </reference>
        </references>
      </pivotArea>
    </format>
    <format dxfId="1107">
      <pivotArea dataOnly="0" labelOnly="1" outline="0" fieldPosition="0">
        <references count="3">
          <reference field="0" count="1" selected="0">
            <x v="5"/>
          </reference>
          <reference field="1" count="1" selected="0">
            <x v="587"/>
          </reference>
          <reference field="20" count="1">
            <x v="0"/>
          </reference>
        </references>
      </pivotArea>
    </format>
    <format dxfId="1106">
      <pivotArea dataOnly="0" labelOnly="1" outline="0" fieldPosition="0">
        <references count="3">
          <reference field="0" count="1" selected="0">
            <x v="5"/>
          </reference>
          <reference field="1" count="1" selected="0">
            <x v="595"/>
          </reference>
          <reference field="20" count="1">
            <x v="90"/>
          </reference>
        </references>
      </pivotArea>
    </format>
    <format dxfId="1105">
      <pivotArea dataOnly="0" labelOnly="1" outline="0" fieldPosition="0">
        <references count="3">
          <reference field="0" count="1" selected="0">
            <x v="5"/>
          </reference>
          <reference field="1" count="1" selected="0">
            <x v="597"/>
          </reference>
          <reference field="20" count="1">
            <x v="0"/>
          </reference>
        </references>
      </pivotArea>
    </format>
    <format dxfId="1104">
      <pivotArea dataOnly="0" labelOnly="1" outline="0" fieldPosition="0">
        <references count="3">
          <reference field="0" count="1" selected="0">
            <x v="5"/>
          </reference>
          <reference field="1" count="1" selected="0">
            <x v="598"/>
          </reference>
          <reference field="20" count="1">
            <x v="0"/>
          </reference>
        </references>
      </pivotArea>
    </format>
    <format dxfId="1103">
      <pivotArea dataOnly="0" labelOnly="1" outline="0" fieldPosition="0">
        <references count="3">
          <reference field="0" count="1" selected="0">
            <x v="5"/>
          </reference>
          <reference field="1" count="1" selected="0">
            <x v="645"/>
          </reference>
          <reference field="20" count="1">
            <x v="0"/>
          </reference>
        </references>
      </pivotArea>
    </format>
    <format dxfId="1102">
      <pivotArea dataOnly="0" labelOnly="1" outline="0" fieldPosition="0">
        <references count="3">
          <reference field="0" count="1" selected="0">
            <x v="5"/>
          </reference>
          <reference field="1" count="1" selected="0">
            <x v="665"/>
          </reference>
          <reference field="20" count="1">
            <x v="0"/>
          </reference>
        </references>
      </pivotArea>
    </format>
    <format dxfId="1101">
      <pivotArea dataOnly="0" labelOnly="1" outline="0" fieldPosition="0">
        <references count="3">
          <reference field="0" count="1" selected="0">
            <x v="5"/>
          </reference>
          <reference field="1" count="1" selected="0">
            <x v="675"/>
          </reference>
          <reference field="20" count="1">
            <x v="0"/>
          </reference>
        </references>
      </pivotArea>
    </format>
    <format dxfId="1100">
      <pivotArea dataOnly="0" labelOnly="1" outline="0" fieldPosition="0">
        <references count="3">
          <reference field="0" count="1" selected="0">
            <x v="5"/>
          </reference>
          <reference field="1" count="1" selected="0">
            <x v="699"/>
          </reference>
          <reference field="20" count="1">
            <x v="0"/>
          </reference>
        </references>
      </pivotArea>
    </format>
    <format dxfId="1099">
      <pivotArea dataOnly="0" labelOnly="1" outline="0" fieldPosition="0">
        <references count="3">
          <reference field="0" count="1" selected="0">
            <x v="5"/>
          </reference>
          <reference field="1" count="1" selected="0">
            <x v="701"/>
          </reference>
          <reference field="20" count="1">
            <x v="0"/>
          </reference>
        </references>
      </pivotArea>
    </format>
    <format dxfId="1098">
      <pivotArea dataOnly="0" labelOnly="1" outline="0" fieldPosition="0">
        <references count="3">
          <reference field="0" count="1" selected="0">
            <x v="5"/>
          </reference>
          <reference field="1" count="1" selected="0">
            <x v="713"/>
          </reference>
          <reference field="20" count="1">
            <x v="111"/>
          </reference>
        </references>
      </pivotArea>
    </format>
    <format dxfId="1097">
      <pivotArea dataOnly="0" labelOnly="1" outline="0" fieldPosition="0">
        <references count="3">
          <reference field="0" count="1" selected="0">
            <x v="5"/>
          </reference>
          <reference field="1" count="1" selected="0">
            <x v="727"/>
          </reference>
          <reference field="20" count="1">
            <x v="117"/>
          </reference>
        </references>
      </pivotArea>
    </format>
    <format dxfId="1096">
      <pivotArea dataOnly="0" labelOnly="1" outline="0" fieldPosition="0">
        <references count="3">
          <reference field="0" count="1" selected="0">
            <x v="5"/>
          </reference>
          <reference field="1" count="1" selected="0">
            <x v="740"/>
          </reference>
          <reference field="20" count="1">
            <x v="0"/>
          </reference>
        </references>
      </pivotArea>
    </format>
    <format dxfId="1095">
      <pivotArea dataOnly="0" labelOnly="1" outline="0" fieldPosition="0">
        <references count="3">
          <reference field="0" count="1" selected="0">
            <x v="5"/>
          </reference>
          <reference field="1" count="1" selected="0">
            <x v="789"/>
          </reference>
          <reference field="20" count="1">
            <x v="132"/>
          </reference>
        </references>
      </pivotArea>
    </format>
    <format dxfId="1094">
      <pivotArea dataOnly="0" labelOnly="1" outline="0" fieldPosition="0">
        <references count="3">
          <reference field="0" count="1" selected="0">
            <x v="5"/>
          </reference>
          <reference field="1" count="1" selected="0">
            <x v="790"/>
          </reference>
          <reference field="20" count="1">
            <x v="0"/>
          </reference>
        </references>
      </pivotArea>
    </format>
    <format dxfId="1093">
      <pivotArea dataOnly="0" labelOnly="1" outline="0" fieldPosition="0">
        <references count="3">
          <reference field="0" count="1" selected="0">
            <x v="5"/>
          </reference>
          <reference field="1" count="1" selected="0">
            <x v="796"/>
          </reference>
          <reference field="20" count="1">
            <x v="0"/>
          </reference>
        </references>
      </pivotArea>
    </format>
    <format dxfId="1092">
      <pivotArea dataOnly="0" labelOnly="1" outline="0" fieldPosition="0">
        <references count="3">
          <reference field="0" count="1" selected="0">
            <x v="5"/>
          </reference>
          <reference field="1" count="1" selected="0">
            <x v="798"/>
          </reference>
          <reference field="20" count="1">
            <x v="0"/>
          </reference>
        </references>
      </pivotArea>
    </format>
    <format dxfId="1091">
      <pivotArea dataOnly="0" labelOnly="1" outline="0" fieldPosition="0">
        <references count="3">
          <reference field="0" count="1" selected="0">
            <x v="5"/>
          </reference>
          <reference field="1" count="1" selected="0">
            <x v="847"/>
          </reference>
          <reference field="20" count="1">
            <x v="0"/>
          </reference>
        </references>
      </pivotArea>
    </format>
    <format dxfId="1090">
      <pivotArea dataOnly="0" labelOnly="1" outline="0" fieldPosition="0">
        <references count="3">
          <reference field="0" count="1" selected="0">
            <x v="5"/>
          </reference>
          <reference field="1" count="1" selected="0">
            <x v="850"/>
          </reference>
          <reference field="20" count="1">
            <x v="0"/>
          </reference>
        </references>
      </pivotArea>
    </format>
    <format dxfId="1089">
      <pivotArea dataOnly="0" labelOnly="1" outline="0" fieldPosition="0">
        <references count="3">
          <reference field="0" count="1" selected="0">
            <x v="5"/>
          </reference>
          <reference field="1" count="1" selected="0">
            <x v="862"/>
          </reference>
          <reference field="20" count="1">
            <x v="0"/>
          </reference>
        </references>
      </pivotArea>
    </format>
    <format dxfId="1088">
      <pivotArea dataOnly="0" labelOnly="1" outline="0" fieldPosition="0">
        <references count="3">
          <reference field="0" count="1" selected="0">
            <x v="5"/>
          </reference>
          <reference field="1" count="1" selected="0">
            <x v="894"/>
          </reference>
          <reference field="20" count="1">
            <x v="0"/>
          </reference>
        </references>
      </pivotArea>
    </format>
    <format dxfId="1087">
      <pivotArea dataOnly="0" labelOnly="1" outline="0" fieldPosition="0">
        <references count="3">
          <reference field="0" count="1" selected="0">
            <x v="5"/>
          </reference>
          <reference field="1" count="1" selected="0">
            <x v="920"/>
          </reference>
          <reference field="20" count="1">
            <x v="161"/>
          </reference>
        </references>
      </pivotArea>
    </format>
    <format dxfId="1086">
      <pivotArea dataOnly="0" labelOnly="1" outline="0" fieldPosition="0">
        <references count="3">
          <reference field="0" count="1" selected="0">
            <x v="5"/>
          </reference>
          <reference field="1" count="1" selected="0">
            <x v="930"/>
          </reference>
          <reference field="20" count="1">
            <x v="0"/>
          </reference>
        </references>
      </pivotArea>
    </format>
    <format dxfId="1085">
      <pivotArea dataOnly="0" labelOnly="1" outline="0" fieldPosition="0">
        <references count="3">
          <reference field="0" count="1" selected="0">
            <x v="5"/>
          </reference>
          <reference field="1" count="1" selected="0">
            <x v="934"/>
          </reference>
          <reference field="20" count="1">
            <x v="0"/>
          </reference>
        </references>
      </pivotArea>
    </format>
    <format dxfId="1084">
      <pivotArea dataOnly="0" labelOnly="1" outline="0" fieldPosition="0">
        <references count="3">
          <reference field="0" count="1" selected="0">
            <x v="5"/>
          </reference>
          <reference field="1" count="1" selected="0">
            <x v="936"/>
          </reference>
          <reference field="20" count="1">
            <x v="0"/>
          </reference>
        </references>
      </pivotArea>
    </format>
    <format dxfId="1083">
      <pivotArea dataOnly="0" labelOnly="1" outline="0" fieldPosition="0">
        <references count="3">
          <reference field="0" count="1" selected="0">
            <x v="5"/>
          </reference>
          <reference field="1" count="1" selected="0">
            <x v="955"/>
          </reference>
          <reference field="20" count="1">
            <x v="0"/>
          </reference>
        </references>
      </pivotArea>
    </format>
    <format dxfId="1082">
      <pivotArea dataOnly="0" labelOnly="1" outline="0" fieldPosition="0">
        <references count="3">
          <reference field="0" count="1" selected="0">
            <x v="5"/>
          </reference>
          <reference field="1" count="1" selected="0">
            <x v="966"/>
          </reference>
          <reference field="20" count="1">
            <x v="0"/>
          </reference>
        </references>
      </pivotArea>
    </format>
    <format dxfId="1081">
      <pivotArea dataOnly="0" labelOnly="1" outline="0" fieldPosition="0">
        <references count="3">
          <reference field="0" count="1" selected="0">
            <x v="5"/>
          </reference>
          <reference field="1" count="1" selected="0">
            <x v="979"/>
          </reference>
          <reference field="20" count="1">
            <x v="0"/>
          </reference>
        </references>
      </pivotArea>
    </format>
    <format dxfId="1080">
      <pivotArea dataOnly="0" labelOnly="1" outline="0" fieldPosition="0">
        <references count="3">
          <reference field="0" count="1" selected="0">
            <x v="5"/>
          </reference>
          <reference field="1" count="1" selected="0">
            <x v="982"/>
          </reference>
          <reference field="20" count="1">
            <x v="0"/>
          </reference>
        </references>
      </pivotArea>
    </format>
    <format dxfId="1079">
      <pivotArea dataOnly="0" labelOnly="1" outline="0" fieldPosition="0">
        <references count="3">
          <reference field="0" count="1" selected="0">
            <x v="5"/>
          </reference>
          <reference field="1" count="1" selected="0">
            <x v="1047"/>
          </reference>
          <reference field="20" count="1">
            <x v="0"/>
          </reference>
        </references>
      </pivotArea>
    </format>
    <format dxfId="1078">
      <pivotArea dataOnly="0" labelOnly="1" outline="0" fieldPosition="0">
        <references count="3">
          <reference field="0" count="1" selected="0">
            <x v="5"/>
          </reference>
          <reference field="1" count="1" selected="0">
            <x v="1059"/>
          </reference>
          <reference field="20" count="1">
            <x v="0"/>
          </reference>
        </references>
      </pivotArea>
    </format>
    <format dxfId="1077">
      <pivotArea dataOnly="0" labelOnly="1" outline="0" fieldPosition="0">
        <references count="3">
          <reference field="0" count="1" selected="0">
            <x v="5"/>
          </reference>
          <reference field="1" count="1" selected="0">
            <x v="1060"/>
          </reference>
          <reference field="20" count="1">
            <x v="0"/>
          </reference>
        </references>
      </pivotArea>
    </format>
    <format dxfId="1076">
      <pivotArea dataOnly="0" labelOnly="1" outline="0" fieldPosition="0">
        <references count="3">
          <reference field="0" count="1" selected="0">
            <x v="5"/>
          </reference>
          <reference field="1" count="1" selected="0">
            <x v="1094"/>
          </reference>
          <reference field="20" count="1">
            <x v="219"/>
          </reference>
        </references>
      </pivotArea>
    </format>
    <format dxfId="1075">
      <pivotArea dataOnly="0" labelOnly="1" outline="0" fieldPosition="0">
        <references count="3">
          <reference field="0" count="1" selected="0">
            <x v="5"/>
          </reference>
          <reference field="1" count="1" selected="0">
            <x v="1095"/>
          </reference>
          <reference field="20" count="1">
            <x v="220"/>
          </reference>
        </references>
      </pivotArea>
    </format>
    <format dxfId="1074">
      <pivotArea dataOnly="0" labelOnly="1" outline="0" fieldPosition="0">
        <references count="3">
          <reference field="0" count="1" selected="0">
            <x v="5"/>
          </reference>
          <reference field="1" count="1" selected="0">
            <x v="1097"/>
          </reference>
          <reference field="20" count="1">
            <x v="222"/>
          </reference>
        </references>
      </pivotArea>
    </format>
    <format dxfId="1073">
      <pivotArea dataOnly="0" labelOnly="1" outline="0" fieldPosition="0">
        <references count="3">
          <reference field="0" count="1" selected="0">
            <x v="5"/>
          </reference>
          <reference field="1" count="1" selected="0">
            <x v="1098"/>
          </reference>
          <reference field="20" count="1">
            <x v="224"/>
          </reference>
        </references>
      </pivotArea>
    </format>
    <format dxfId="1072">
      <pivotArea dataOnly="0" labelOnly="1" outline="0" fieldPosition="0">
        <references count="3">
          <reference field="0" count="1" selected="0">
            <x v="5"/>
          </reference>
          <reference field="1" count="1" selected="0">
            <x v="1099"/>
          </reference>
          <reference field="20" count="1">
            <x v="225"/>
          </reference>
        </references>
      </pivotArea>
    </format>
    <format dxfId="1071">
      <pivotArea dataOnly="0" labelOnly="1" outline="0" fieldPosition="0">
        <references count="3">
          <reference field="0" count="1" selected="0">
            <x v="5"/>
          </reference>
          <reference field="1" count="1" selected="0">
            <x v="1102"/>
          </reference>
          <reference field="20" count="1">
            <x v="0"/>
          </reference>
        </references>
      </pivotArea>
    </format>
    <format dxfId="1070">
      <pivotArea dataOnly="0" labelOnly="1" outline="0" fieldPosition="0">
        <references count="3">
          <reference field="0" count="1" selected="0">
            <x v="5"/>
          </reference>
          <reference field="1" count="1" selected="0">
            <x v="1110"/>
          </reference>
          <reference field="20" count="1">
            <x v="0"/>
          </reference>
        </references>
      </pivotArea>
    </format>
    <format dxfId="1069">
      <pivotArea dataOnly="0" labelOnly="1" outline="0" fieldPosition="0">
        <references count="3">
          <reference field="0" count="1" selected="0">
            <x v="5"/>
          </reference>
          <reference field="1" count="1" selected="0">
            <x v="1111"/>
          </reference>
          <reference field="20" count="1">
            <x v="0"/>
          </reference>
        </references>
      </pivotArea>
    </format>
    <format dxfId="1068">
      <pivotArea dataOnly="0" labelOnly="1" outline="0" fieldPosition="0">
        <references count="3">
          <reference field="0" count="1" selected="0">
            <x v="5"/>
          </reference>
          <reference field="1" count="1" selected="0">
            <x v="1131"/>
          </reference>
          <reference field="20" count="1">
            <x v="0"/>
          </reference>
        </references>
      </pivotArea>
    </format>
    <format dxfId="1067">
      <pivotArea dataOnly="0" labelOnly="1" outline="0" fieldPosition="0">
        <references count="3">
          <reference field="0" count="1" selected="0">
            <x v="5"/>
          </reference>
          <reference field="1" count="1" selected="0">
            <x v="1132"/>
          </reference>
          <reference field="20" count="1">
            <x v="0"/>
          </reference>
        </references>
      </pivotArea>
    </format>
    <format dxfId="1066">
      <pivotArea dataOnly="0" labelOnly="1" outline="0" fieldPosition="0">
        <references count="3">
          <reference field="0" count="1" selected="0">
            <x v="5"/>
          </reference>
          <reference field="1" count="1" selected="0">
            <x v="1137"/>
          </reference>
          <reference field="20" count="1">
            <x v="0"/>
          </reference>
        </references>
      </pivotArea>
    </format>
    <format dxfId="1065">
      <pivotArea dataOnly="0" labelOnly="1" outline="0" fieldPosition="0">
        <references count="3">
          <reference field="0" count="1" selected="0">
            <x v="5"/>
          </reference>
          <reference field="1" count="1" selected="0">
            <x v="1170"/>
          </reference>
          <reference field="20" count="1">
            <x v="0"/>
          </reference>
        </references>
      </pivotArea>
    </format>
    <format dxfId="1064">
      <pivotArea dataOnly="0" labelOnly="1" outline="0" fieldPosition="0">
        <references count="3">
          <reference field="0" count="1" selected="0">
            <x v="5"/>
          </reference>
          <reference field="1" count="1" selected="0">
            <x v="1172"/>
          </reference>
          <reference field="20" count="1">
            <x v="0"/>
          </reference>
        </references>
      </pivotArea>
    </format>
    <format dxfId="1063">
      <pivotArea dataOnly="0" labelOnly="1" outline="0" fieldPosition="0">
        <references count="3">
          <reference field="0" count="1" selected="0">
            <x v="5"/>
          </reference>
          <reference field="1" count="1" selected="0">
            <x v="1206"/>
          </reference>
          <reference field="20" count="1">
            <x v="266"/>
          </reference>
        </references>
      </pivotArea>
    </format>
    <format dxfId="1062">
      <pivotArea dataOnly="0" labelOnly="1" outline="0" fieldPosition="0">
        <references count="3">
          <reference field="0" count="1" selected="0">
            <x v="5"/>
          </reference>
          <reference field="1" count="1" selected="0">
            <x v="1207"/>
          </reference>
          <reference field="20" count="1">
            <x v="267"/>
          </reference>
        </references>
      </pivotArea>
    </format>
    <format dxfId="1061">
      <pivotArea dataOnly="0" labelOnly="1" outline="0" fieldPosition="0">
        <references count="3">
          <reference field="0" count="1" selected="0">
            <x v="5"/>
          </reference>
          <reference field="1" count="1" selected="0">
            <x v="1208"/>
          </reference>
          <reference field="20" count="1">
            <x v="268"/>
          </reference>
        </references>
      </pivotArea>
    </format>
    <format dxfId="1060">
      <pivotArea dataOnly="0" labelOnly="1" outline="0" fieldPosition="0">
        <references count="3">
          <reference field="0" count="1" selected="0">
            <x v="5"/>
          </reference>
          <reference field="1" count="1" selected="0">
            <x v="1237"/>
          </reference>
          <reference field="20" count="1">
            <x v="283"/>
          </reference>
        </references>
      </pivotArea>
    </format>
    <format dxfId="1059">
      <pivotArea dataOnly="0" labelOnly="1" outline="0" fieldPosition="0">
        <references count="3">
          <reference field="0" count="1" selected="0">
            <x v="5"/>
          </reference>
          <reference field="1" count="1" selected="0">
            <x v="1277"/>
          </reference>
          <reference field="20" count="1">
            <x v="0"/>
          </reference>
        </references>
      </pivotArea>
    </format>
    <format dxfId="1058">
      <pivotArea dataOnly="0" labelOnly="1" outline="0" fieldPosition="0">
        <references count="3">
          <reference field="0" count="1" selected="0">
            <x v="5"/>
          </reference>
          <reference field="1" count="1" selected="0">
            <x v="1278"/>
          </reference>
          <reference field="20" count="1">
            <x v="0"/>
          </reference>
        </references>
      </pivotArea>
    </format>
    <format dxfId="1057">
      <pivotArea dataOnly="0" labelOnly="1" outline="0" fieldPosition="0">
        <references count="3">
          <reference field="0" count="1" selected="0">
            <x v="5"/>
          </reference>
          <reference field="1" count="1" selected="0">
            <x v="1282"/>
          </reference>
          <reference field="20" count="1">
            <x v="298"/>
          </reference>
        </references>
      </pivotArea>
    </format>
    <format dxfId="1056">
      <pivotArea dataOnly="0" labelOnly="1" outline="0" fieldPosition="0">
        <references count="3">
          <reference field="0" count="1" selected="0">
            <x v="5"/>
          </reference>
          <reference field="1" count="1" selected="0">
            <x v="1308"/>
          </reference>
          <reference field="20" count="1">
            <x v="0"/>
          </reference>
        </references>
      </pivotArea>
    </format>
    <format dxfId="1055">
      <pivotArea dataOnly="0" labelOnly="1" outline="0" fieldPosition="0">
        <references count="3">
          <reference field="0" count="1" selected="0">
            <x v="5"/>
          </reference>
          <reference field="1" count="1" selected="0">
            <x v="1310"/>
          </reference>
          <reference field="20" count="1">
            <x v="304"/>
          </reference>
        </references>
      </pivotArea>
    </format>
    <format dxfId="1054">
      <pivotArea dataOnly="0" labelOnly="1" outline="0" fieldPosition="0">
        <references count="3">
          <reference field="0" count="1" selected="0">
            <x v="5"/>
          </reference>
          <reference field="1" count="1" selected="0">
            <x v="1312"/>
          </reference>
          <reference field="20" count="1">
            <x v="0"/>
          </reference>
        </references>
      </pivotArea>
    </format>
    <format dxfId="1053">
      <pivotArea dataOnly="0" labelOnly="1" outline="0" fieldPosition="0">
        <references count="3">
          <reference field="0" count="1" selected="0">
            <x v="5"/>
          </reference>
          <reference field="1" count="1" selected="0">
            <x v="1319"/>
          </reference>
          <reference field="20" count="1">
            <x v="0"/>
          </reference>
        </references>
      </pivotArea>
    </format>
    <format dxfId="1052">
      <pivotArea dataOnly="0" labelOnly="1" outline="0" fieldPosition="0">
        <references count="3">
          <reference field="0" count="1" selected="0">
            <x v="5"/>
          </reference>
          <reference field="1" count="1" selected="0">
            <x v="1322"/>
          </reference>
          <reference field="20" count="1">
            <x v="0"/>
          </reference>
        </references>
      </pivotArea>
    </format>
    <format dxfId="1051">
      <pivotArea dataOnly="0" labelOnly="1" outline="0" fieldPosition="0">
        <references count="3">
          <reference field="0" count="1" selected="0">
            <x v="5"/>
          </reference>
          <reference field="1" count="1" selected="0">
            <x v="1346"/>
          </reference>
          <reference field="20" count="1">
            <x v="0"/>
          </reference>
        </references>
      </pivotArea>
    </format>
    <format dxfId="1050">
      <pivotArea dataOnly="0" labelOnly="1" outline="0" fieldPosition="0">
        <references count="3">
          <reference field="0" count="1" selected="0">
            <x v="5"/>
          </reference>
          <reference field="1" count="1" selected="0">
            <x v="1361"/>
          </reference>
          <reference field="20" count="1">
            <x v="0"/>
          </reference>
        </references>
      </pivotArea>
    </format>
    <format dxfId="1049">
      <pivotArea dataOnly="0" labelOnly="1" outline="0" fieldPosition="0">
        <references count="3">
          <reference field="0" count="1" selected="0">
            <x v="5"/>
          </reference>
          <reference field="1" count="1" selected="0">
            <x v="1399"/>
          </reference>
          <reference field="20" count="1">
            <x v="0"/>
          </reference>
        </references>
      </pivotArea>
    </format>
    <format dxfId="1048">
      <pivotArea dataOnly="0" labelOnly="1" outline="0" fieldPosition="0">
        <references count="3">
          <reference field="0" count="1" selected="0">
            <x v="5"/>
          </reference>
          <reference field="1" count="1" selected="0">
            <x v="1410"/>
          </reference>
          <reference field="20" count="1">
            <x v="0"/>
          </reference>
        </references>
      </pivotArea>
    </format>
    <format dxfId="1047">
      <pivotArea dataOnly="0" labelOnly="1" outline="0" fieldPosition="0">
        <references count="3">
          <reference field="0" count="1" selected="0">
            <x v="5"/>
          </reference>
          <reference field="1" count="1" selected="0">
            <x v="1440"/>
          </reference>
          <reference field="20" count="1">
            <x v="0"/>
          </reference>
        </references>
      </pivotArea>
    </format>
    <format dxfId="1046">
      <pivotArea dataOnly="0" labelOnly="1" outline="0" fieldPosition="0">
        <references count="3">
          <reference field="0" count="1" selected="0">
            <x v="5"/>
          </reference>
          <reference field="1" count="1" selected="0">
            <x v="1449"/>
          </reference>
          <reference field="20" count="1">
            <x v="0"/>
          </reference>
        </references>
      </pivotArea>
    </format>
    <format dxfId="1045">
      <pivotArea dataOnly="0" labelOnly="1" outline="0" fieldPosition="0">
        <references count="3">
          <reference field="0" count="1" selected="0">
            <x v="5"/>
          </reference>
          <reference field="1" count="1" selected="0">
            <x v="1457"/>
          </reference>
          <reference field="20" count="1">
            <x v="0"/>
          </reference>
        </references>
      </pivotArea>
    </format>
    <format dxfId="1044">
      <pivotArea dataOnly="0" labelOnly="1" outline="0" fieldPosition="0">
        <references count="3">
          <reference field="0" count="1" selected="0">
            <x v="5"/>
          </reference>
          <reference field="1" count="1" selected="0">
            <x v="1473"/>
          </reference>
          <reference field="20" count="1">
            <x v="0"/>
          </reference>
        </references>
      </pivotArea>
    </format>
    <format dxfId="1043">
      <pivotArea dataOnly="0" labelOnly="1" outline="0" fieldPosition="0">
        <references count="3">
          <reference field="0" count="1" selected="0">
            <x v="5"/>
          </reference>
          <reference field="1" count="1" selected="0">
            <x v="1474"/>
          </reference>
          <reference field="20" count="1">
            <x v="0"/>
          </reference>
        </references>
      </pivotArea>
    </format>
    <format dxfId="1042">
      <pivotArea dataOnly="0" labelOnly="1" outline="0" fieldPosition="0">
        <references count="3">
          <reference field="0" count="1" selected="0">
            <x v="5"/>
          </reference>
          <reference field="1" count="1" selected="0">
            <x v="1481"/>
          </reference>
          <reference field="20" count="1">
            <x v="0"/>
          </reference>
        </references>
      </pivotArea>
    </format>
    <format dxfId="1041">
      <pivotArea dataOnly="0" labelOnly="1" outline="0" fieldPosition="0">
        <references count="3">
          <reference field="0" count="1" selected="0">
            <x v="5"/>
          </reference>
          <reference field="1" count="1" selected="0">
            <x v="1490"/>
          </reference>
          <reference field="20" count="1">
            <x v="0"/>
          </reference>
        </references>
      </pivotArea>
    </format>
    <format dxfId="1040">
      <pivotArea dataOnly="0" labelOnly="1" outline="0" fieldPosition="0">
        <references count="3">
          <reference field="0" count="1" selected="0">
            <x v="5"/>
          </reference>
          <reference field="1" count="1" selected="0">
            <x v="1503"/>
          </reference>
          <reference field="20" count="1">
            <x v="0"/>
          </reference>
        </references>
      </pivotArea>
    </format>
    <format dxfId="1039">
      <pivotArea dataOnly="0" labelOnly="1" outline="0" fieldPosition="0">
        <references count="3">
          <reference field="0" count="1" selected="0">
            <x v="5"/>
          </reference>
          <reference field="1" count="1" selected="0">
            <x v="1520"/>
          </reference>
          <reference field="20" count="1">
            <x v="0"/>
          </reference>
        </references>
      </pivotArea>
    </format>
    <format dxfId="1038">
      <pivotArea dataOnly="0" labelOnly="1" outline="0" fieldPosition="0">
        <references count="3">
          <reference field="0" count="1" selected="0">
            <x v="5"/>
          </reference>
          <reference field="1" count="1" selected="0">
            <x v="1527"/>
          </reference>
          <reference field="20" count="1">
            <x v="0"/>
          </reference>
        </references>
      </pivotArea>
    </format>
    <format dxfId="1037">
      <pivotArea dataOnly="0" labelOnly="1" outline="0" fieldPosition="0">
        <references count="3">
          <reference field="0" count="1" selected="0">
            <x v="5"/>
          </reference>
          <reference field="1" count="1" selected="0">
            <x v="1548"/>
          </reference>
          <reference field="20" count="1">
            <x v="0"/>
          </reference>
        </references>
      </pivotArea>
    </format>
    <format dxfId="1036">
      <pivotArea dataOnly="0" labelOnly="1" outline="0" fieldPosition="0">
        <references count="3">
          <reference field="0" count="1" selected="0">
            <x v="5"/>
          </reference>
          <reference field="1" count="1" selected="0">
            <x v="1552"/>
          </reference>
          <reference field="20" count="1">
            <x v="0"/>
          </reference>
        </references>
      </pivotArea>
    </format>
    <format dxfId="1035">
      <pivotArea dataOnly="0" labelOnly="1" outline="0" fieldPosition="0">
        <references count="3">
          <reference field="0" count="1" selected="0">
            <x v="5"/>
          </reference>
          <reference field="1" count="1" selected="0">
            <x v="1561"/>
          </reference>
          <reference field="20" count="1">
            <x v="0"/>
          </reference>
        </references>
      </pivotArea>
    </format>
    <format dxfId="1034">
      <pivotArea dataOnly="0" labelOnly="1" outline="0" fieldPosition="0">
        <references count="3">
          <reference field="0" count="1" selected="0">
            <x v="5"/>
          </reference>
          <reference field="1" count="1" selected="0">
            <x v="1575"/>
          </reference>
          <reference field="20" count="1">
            <x v="0"/>
          </reference>
        </references>
      </pivotArea>
    </format>
    <format dxfId="1033">
      <pivotArea dataOnly="0" labelOnly="1" outline="0" fieldPosition="0">
        <references count="3">
          <reference field="0" count="1" selected="0">
            <x v="5"/>
          </reference>
          <reference field="1" count="1" selected="0">
            <x v="1582"/>
          </reference>
          <reference field="20" count="1">
            <x v="315"/>
          </reference>
        </references>
      </pivotArea>
    </format>
    <format dxfId="1032">
      <pivotArea dataOnly="0" labelOnly="1" outline="0" fieldPosition="0">
        <references count="3">
          <reference field="0" count="1" selected="0">
            <x v="5"/>
          </reference>
          <reference field="1" count="1" selected="0">
            <x v="1583"/>
          </reference>
          <reference field="20" count="1">
            <x v="0"/>
          </reference>
        </references>
      </pivotArea>
    </format>
    <format dxfId="1031">
      <pivotArea dataOnly="0" labelOnly="1" outline="0" fieldPosition="0">
        <references count="3">
          <reference field="0" count="1" selected="0">
            <x v="5"/>
          </reference>
          <reference field="1" count="1" selected="0">
            <x v="1584"/>
          </reference>
          <reference field="20" count="1">
            <x v="316"/>
          </reference>
        </references>
      </pivotArea>
    </format>
    <format dxfId="1030">
      <pivotArea dataOnly="0" labelOnly="1" outline="0" fieldPosition="0">
        <references count="3">
          <reference field="0" count="1" selected="0">
            <x v="5"/>
          </reference>
          <reference field="1" count="1" selected="0">
            <x v="1606"/>
          </reference>
          <reference field="20" count="1">
            <x v="0"/>
          </reference>
        </references>
      </pivotArea>
    </format>
    <format dxfId="1029">
      <pivotArea dataOnly="0" labelOnly="1" outline="0" fieldPosition="0">
        <references count="3">
          <reference field="0" count="1" selected="0">
            <x v="5"/>
          </reference>
          <reference field="1" count="1" selected="0">
            <x v="1608"/>
          </reference>
          <reference field="20" count="1">
            <x v="0"/>
          </reference>
        </references>
      </pivotArea>
    </format>
    <format dxfId="1028">
      <pivotArea dataOnly="0" labelOnly="1" outline="0" fieldPosition="0">
        <references count="3">
          <reference field="0" count="1" selected="0">
            <x v="5"/>
          </reference>
          <reference field="1" count="1" selected="0">
            <x v="1651"/>
          </reference>
          <reference field="20" count="1">
            <x v="0"/>
          </reference>
        </references>
      </pivotArea>
    </format>
    <format dxfId="1027">
      <pivotArea dataOnly="0" labelOnly="1" outline="0" fieldPosition="0">
        <references count="3">
          <reference field="0" count="1" selected="0">
            <x v="5"/>
          </reference>
          <reference field="1" count="1" selected="0">
            <x v="1661"/>
          </reference>
          <reference field="20" count="1">
            <x v="0"/>
          </reference>
        </references>
      </pivotArea>
    </format>
    <format dxfId="1026">
      <pivotArea dataOnly="0" labelOnly="1" outline="0" fieldPosition="0">
        <references count="3">
          <reference field="0" count="1" selected="0">
            <x v="6"/>
          </reference>
          <reference field="1" count="1" selected="0">
            <x v="12"/>
          </reference>
          <reference field="20" count="1">
            <x v="0"/>
          </reference>
        </references>
      </pivotArea>
    </format>
    <format dxfId="1025">
      <pivotArea dataOnly="0" labelOnly="1" outline="0" fieldPosition="0">
        <references count="3">
          <reference field="0" count="1" selected="0">
            <x v="6"/>
          </reference>
          <reference field="1" count="1" selected="0">
            <x v="40"/>
          </reference>
          <reference field="20" count="1">
            <x v="0"/>
          </reference>
        </references>
      </pivotArea>
    </format>
    <format dxfId="1024">
      <pivotArea dataOnly="0" labelOnly="1" outline="0" fieldPosition="0">
        <references count="3">
          <reference field="0" count="1" selected="0">
            <x v="6"/>
          </reference>
          <reference field="1" count="1" selected="0">
            <x v="47"/>
          </reference>
          <reference field="20" count="1">
            <x v="0"/>
          </reference>
        </references>
      </pivotArea>
    </format>
    <format dxfId="1023">
      <pivotArea dataOnly="0" labelOnly="1" outline="0" fieldPosition="0">
        <references count="3">
          <reference field="0" count="1" selected="0">
            <x v="6"/>
          </reference>
          <reference field="1" count="1" selected="0">
            <x v="82"/>
          </reference>
          <reference field="20" count="1">
            <x v="0"/>
          </reference>
        </references>
      </pivotArea>
    </format>
    <format dxfId="1022">
      <pivotArea dataOnly="0" labelOnly="1" outline="0" fieldPosition="0">
        <references count="3">
          <reference field="0" count="1" selected="0">
            <x v="6"/>
          </reference>
          <reference field="1" count="1" selected="0">
            <x v="83"/>
          </reference>
          <reference field="20" count="1">
            <x v="0"/>
          </reference>
        </references>
      </pivotArea>
    </format>
    <format dxfId="1021">
      <pivotArea dataOnly="0" labelOnly="1" outline="0" fieldPosition="0">
        <references count="3">
          <reference field="0" count="1" selected="0">
            <x v="6"/>
          </reference>
          <reference field="1" count="1" selected="0">
            <x v="101"/>
          </reference>
          <reference field="20" count="1">
            <x v="0"/>
          </reference>
        </references>
      </pivotArea>
    </format>
    <format dxfId="1020">
      <pivotArea dataOnly="0" labelOnly="1" outline="0" fieldPosition="0">
        <references count="3">
          <reference field="0" count="1" selected="0">
            <x v="6"/>
          </reference>
          <reference field="1" count="1" selected="0">
            <x v="120"/>
          </reference>
          <reference field="20" count="1">
            <x v="0"/>
          </reference>
        </references>
      </pivotArea>
    </format>
    <format dxfId="1019">
      <pivotArea dataOnly="0" labelOnly="1" outline="0" fieldPosition="0">
        <references count="3">
          <reference field="0" count="1" selected="0">
            <x v="6"/>
          </reference>
          <reference field="1" count="1" selected="0">
            <x v="127"/>
          </reference>
          <reference field="20" count="1">
            <x v="0"/>
          </reference>
        </references>
      </pivotArea>
    </format>
    <format dxfId="1018">
      <pivotArea dataOnly="0" labelOnly="1" outline="0" fieldPosition="0">
        <references count="3">
          <reference field="0" count="1" selected="0">
            <x v="6"/>
          </reference>
          <reference field="1" count="1" selected="0">
            <x v="137"/>
          </reference>
          <reference field="20" count="1">
            <x v="0"/>
          </reference>
        </references>
      </pivotArea>
    </format>
    <format dxfId="1017">
      <pivotArea dataOnly="0" labelOnly="1" outline="0" fieldPosition="0">
        <references count="3">
          <reference field="0" count="1" selected="0">
            <x v="6"/>
          </reference>
          <reference field="1" count="1" selected="0">
            <x v="144"/>
          </reference>
          <reference field="20" count="1">
            <x v="10"/>
          </reference>
        </references>
      </pivotArea>
    </format>
    <format dxfId="1016">
      <pivotArea dataOnly="0" labelOnly="1" outline="0" fieldPosition="0">
        <references count="3">
          <reference field="0" count="1" selected="0">
            <x v="6"/>
          </reference>
          <reference field="1" count="1" selected="0">
            <x v="147"/>
          </reference>
          <reference field="20" count="1">
            <x v="0"/>
          </reference>
        </references>
      </pivotArea>
    </format>
    <format dxfId="1015">
      <pivotArea dataOnly="0" labelOnly="1" outline="0" fieldPosition="0">
        <references count="3">
          <reference field="0" count="1" selected="0">
            <x v="6"/>
          </reference>
          <reference field="1" count="1" selected="0">
            <x v="154"/>
          </reference>
          <reference field="20" count="1">
            <x v="0"/>
          </reference>
        </references>
      </pivotArea>
    </format>
    <format dxfId="1014">
      <pivotArea dataOnly="0" labelOnly="1" outline="0" fieldPosition="0">
        <references count="3">
          <reference field="0" count="1" selected="0">
            <x v="6"/>
          </reference>
          <reference field="1" count="1" selected="0">
            <x v="159"/>
          </reference>
          <reference field="20" count="1">
            <x v="0"/>
          </reference>
        </references>
      </pivotArea>
    </format>
    <format dxfId="1013">
      <pivotArea dataOnly="0" labelOnly="1" outline="0" fieldPosition="0">
        <references count="3">
          <reference field="0" count="1" selected="0">
            <x v="6"/>
          </reference>
          <reference field="1" count="1" selected="0">
            <x v="204"/>
          </reference>
          <reference field="20" count="1">
            <x v="0"/>
          </reference>
        </references>
      </pivotArea>
    </format>
    <format dxfId="1012">
      <pivotArea dataOnly="0" labelOnly="1" outline="0" fieldPosition="0">
        <references count="3">
          <reference field="0" count="1" selected="0">
            <x v="6"/>
          </reference>
          <reference field="1" count="1" selected="0">
            <x v="207"/>
          </reference>
          <reference field="20" count="1">
            <x v="0"/>
          </reference>
        </references>
      </pivotArea>
    </format>
    <format dxfId="1011">
      <pivotArea dataOnly="0" labelOnly="1" outline="0" fieldPosition="0">
        <references count="3">
          <reference field="0" count="1" selected="0">
            <x v="6"/>
          </reference>
          <reference field="1" count="1" selected="0">
            <x v="236"/>
          </reference>
          <reference field="20" count="1">
            <x v="0"/>
          </reference>
        </references>
      </pivotArea>
    </format>
    <format dxfId="1010">
      <pivotArea dataOnly="0" labelOnly="1" outline="0" fieldPosition="0">
        <references count="3">
          <reference field="0" count="1" selected="0">
            <x v="6"/>
          </reference>
          <reference field="1" count="1" selected="0">
            <x v="244"/>
          </reference>
          <reference field="20" count="1">
            <x v="0"/>
          </reference>
        </references>
      </pivotArea>
    </format>
    <format dxfId="1009">
      <pivotArea dataOnly="0" labelOnly="1" outline="0" fieldPosition="0">
        <references count="3">
          <reference field="0" count="1" selected="0">
            <x v="6"/>
          </reference>
          <reference field="1" count="1" selected="0">
            <x v="256"/>
          </reference>
          <reference field="20" count="1">
            <x v="0"/>
          </reference>
        </references>
      </pivotArea>
    </format>
    <format dxfId="1008">
      <pivotArea dataOnly="0" labelOnly="1" outline="0" fieldPosition="0">
        <references count="3">
          <reference field="0" count="1" selected="0">
            <x v="6"/>
          </reference>
          <reference field="1" count="1" selected="0">
            <x v="257"/>
          </reference>
          <reference field="20" count="1">
            <x v="17"/>
          </reference>
        </references>
      </pivotArea>
    </format>
    <format dxfId="1007">
      <pivotArea dataOnly="0" labelOnly="1" outline="0" fieldPosition="0">
        <references count="3">
          <reference field="0" count="1" selected="0">
            <x v="6"/>
          </reference>
          <reference field="1" count="1" selected="0">
            <x v="273"/>
          </reference>
          <reference field="20" count="1">
            <x v="0"/>
          </reference>
        </references>
      </pivotArea>
    </format>
    <format dxfId="1006">
      <pivotArea dataOnly="0" labelOnly="1" outline="0" fieldPosition="0">
        <references count="3">
          <reference field="0" count="1" selected="0">
            <x v="6"/>
          </reference>
          <reference field="1" count="1" selected="0">
            <x v="278"/>
          </reference>
          <reference field="20" count="1">
            <x v="0"/>
          </reference>
        </references>
      </pivotArea>
    </format>
    <format dxfId="1005">
      <pivotArea dataOnly="0" labelOnly="1" outline="0" fieldPosition="0">
        <references count="3">
          <reference field="0" count="1" selected="0">
            <x v="6"/>
          </reference>
          <reference field="1" count="1" selected="0">
            <x v="310"/>
          </reference>
          <reference field="20" count="1">
            <x v="0"/>
          </reference>
        </references>
      </pivotArea>
    </format>
    <format dxfId="1004">
      <pivotArea dataOnly="0" labelOnly="1" outline="0" fieldPosition="0">
        <references count="3">
          <reference field="0" count="1" selected="0">
            <x v="6"/>
          </reference>
          <reference field="1" count="1" selected="0">
            <x v="313"/>
          </reference>
          <reference field="20" count="1">
            <x v="0"/>
          </reference>
        </references>
      </pivotArea>
    </format>
    <format dxfId="1003">
      <pivotArea dataOnly="0" labelOnly="1" outline="0" fieldPosition="0">
        <references count="3">
          <reference field="0" count="1" selected="0">
            <x v="6"/>
          </reference>
          <reference field="1" count="1" selected="0">
            <x v="346"/>
          </reference>
          <reference field="20" count="1">
            <x v="40"/>
          </reference>
        </references>
      </pivotArea>
    </format>
    <format dxfId="1002">
      <pivotArea dataOnly="0" labelOnly="1" outline="0" fieldPosition="0">
        <references count="3">
          <reference field="0" count="1" selected="0">
            <x v="6"/>
          </reference>
          <reference field="1" count="1" selected="0">
            <x v="347"/>
          </reference>
          <reference field="20" count="1">
            <x v="41"/>
          </reference>
        </references>
      </pivotArea>
    </format>
    <format dxfId="1001">
      <pivotArea dataOnly="0" labelOnly="1" outline="0" fieldPosition="0">
        <references count="3">
          <reference field="0" count="1" selected="0">
            <x v="6"/>
          </reference>
          <reference field="1" count="1" selected="0">
            <x v="348"/>
          </reference>
          <reference field="20" count="1">
            <x v="42"/>
          </reference>
        </references>
      </pivotArea>
    </format>
    <format dxfId="1000">
      <pivotArea dataOnly="0" labelOnly="1" outline="0" fieldPosition="0">
        <references count="3">
          <reference field="0" count="1" selected="0">
            <x v="6"/>
          </reference>
          <reference field="1" count="1" selected="0">
            <x v="365"/>
          </reference>
          <reference field="20" count="1">
            <x v="49"/>
          </reference>
        </references>
      </pivotArea>
    </format>
    <format dxfId="999">
      <pivotArea dataOnly="0" labelOnly="1" outline="0" fieldPosition="0">
        <references count="3">
          <reference field="0" count="1" selected="0">
            <x v="6"/>
          </reference>
          <reference field="1" count="1" selected="0">
            <x v="366"/>
          </reference>
          <reference field="20" count="1">
            <x v="0"/>
          </reference>
        </references>
      </pivotArea>
    </format>
    <format dxfId="998">
      <pivotArea dataOnly="0" labelOnly="1" outline="0" fieldPosition="0">
        <references count="3">
          <reference field="0" count="1" selected="0">
            <x v="6"/>
          </reference>
          <reference field="1" count="1" selected="0">
            <x v="384"/>
          </reference>
          <reference field="20" count="1">
            <x v="50"/>
          </reference>
        </references>
      </pivotArea>
    </format>
    <format dxfId="997">
      <pivotArea dataOnly="0" labelOnly="1" outline="0" fieldPosition="0">
        <references count="3">
          <reference field="0" count="1" selected="0">
            <x v="6"/>
          </reference>
          <reference field="1" count="1" selected="0">
            <x v="406"/>
          </reference>
          <reference field="20" count="1">
            <x v="0"/>
          </reference>
        </references>
      </pivotArea>
    </format>
    <format dxfId="996">
      <pivotArea dataOnly="0" labelOnly="1" outline="0" fieldPosition="0">
        <references count="3">
          <reference field="0" count="1" selected="0">
            <x v="6"/>
          </reference>
          <reference field="1" count="1" selected="0">
            <x v="409"/>
          </reference>
          <reference field="20" count="1">
            <x v="0"/>
          </reference>
        </references>
      </pivotArea>
    </format>
    <format dxfId="995">
      <pivotArea dataOnly="0" labelOnly="1" outline="0" fieldPosition="0">
        <references count="3">
          <reference field="0" count="1" selected="0">
            <x v="6"/>
          </reference>
          <reference field="1" count="1" selected="0">
            <x v="453"/>
          </reference>
          <reference field="20" count="1">
            <x v="0"/>
          </reference>
        </references>
      </pivotArea>
    </format>
    <format dxfId="994">
      <pivotArea dataOnly="0" labelOnly="1" outline="0" fieldPosition="0">
        <references count="3">
          <reference field="0" count="1" selected="0">
            <x v="6"/>
          </reference>
          <reference field="1" count="1" selected="0">
            <x v="495"/>
          </reference>
          <reference field="20" count="1">
            <x v="0"/>
          </reference>
        </references>
      </pivotArea>
    </format>
    <format dxfId="993">
      <pivotArea dataOnly="0" labelOnly="1" outline="0" fieldPosition="0">
        <references count="3">
          <reference field="0" count="1" selected="0">
            <x v="6"/>
          </reference>
          <reference field="1" count="1" selected="0">
            <x v="496"/>
          </reference>
          <reference field="20" count="1">
            <x v="0"/>
          </reference>
        </references>
      </pivotArea>
    </format>
    <format dxfId="992">
      <pivotArea dataOnly="0" labelOnly="1" outline="0" fieldPosition="0">
        <references count="3">
          <reference field="0" count="1" selected="0">
            <x v="6"/>
          </reference>
          <reference field="1" count="1" selected="0">
            <x v="497"/>
          </reference>
          <reference field="20" count="1">
            <x v="0"/>
          </reference>
        </references>
      </pivotArea>
    </format>
    <format dxfId="991">
      <pivotArea dataOnly="0" labelOnly="1" outline="0" fieldPosition="0">
        <references count="3">
          <reference field="0" count="1" selected="0">
            <x v="6"/>
          </reference>
          <reference field="1" count="1" selected="0">
            <x v="509"/>
          </reference>
          <reference field="20" count="1">
            <x v="0"/>
          </reference>
        </references>
      </pivotArea>
    </format>
    <format dxfId="990">
      <pivotArea dataOnly="0" labelOnly="1" outline="0" fieldPosition="0">
        <references count="3">
          <reference field="0" count="1" selected="0">
            <x v="6"/>
          </reference>
          <reference field="1" count="1" selected="0">
            <x v="530"/>
          </reference>
          <reference field="20" count="1">
            <x v="0"/>
          </reference>
        </references>
      </pivotArea>
    </format>
    <format dxfId="989">
      <pivotArea dataOnly="0" labelOnly="1" outline="0" fieldPosition="0">
        <references count="3">
          <reference field="0" count="1" selected="0">
            <x v="6"/>
          </reference>
          <reference field="1" count="1" selected="0">
            <x v="548"/>
          </reference>
          <reference field="20" count="1">
            <x v="0"/>
          </reference>
        </references>
      </pivotArea>
    </format>
    <format dxfId="988">
      <pivotArea dataOnly="0" labelOnly="1" outline="0" fieldPosition="0">
        <references count="3">
          <reference field="0" count="1" selected="0">
            <x v="6"/>
          </reference>
          <reference field="1" count="1" selected="0">
            <x v="568"/>
          </reference>
          <reference field="20" count="1">
            <x v="0"/>
          </reference>
        </references>
      </pivotArea>
    </format>
    <format dxfId="987">
      <pivotArea dataOnly="0" labelOnly="1" outline="0" fieldPosition="0">
        <references count="3">
          <reference field="0" count="1" selected="0">
            <x v="6"/>
          </reference>
          <reference field="1" count="1" selected="0">
            <x v="572"/>
          </reference>
          <reference field="20" count="1">
            <x v="81"/>
          </reference>
        </references>
      </pivotArea>
    </format>
    <format dxfId="986">
      <pivotArea dataOnly="0" labelOnly="1" outline="0" fieldPosition="0">
        <references count="3">
          <reference field="0" count="1" selected="0">
            <x v="6"/>
          </reference>
          <reference field="1" count="1" selected="0">
            <x v="599"/>
          </reference>
          <reference field="20" count="1">
            <x v="0"/>
          </reference>
        </references>
      </pivotArea>
    </format>
    <format dxfId="985">
      <pivotArea dataOnly="0" labelOnly="1" outline="0" fieldPosition="0">
        <references count="3">
          <reference field="0" count="1" selected="0">
            <x v="6"/>
          </reference>
          <reference field="1" count="1" selected="0">
            <x v="608"/>
          </reference>
          <reference field="20" count="1">
            <x v="0"/>
          </reference>
        </references>
      </pivotArea>
    </format>
    <format dxfId="984">
      <pivotArea dataOnly="0" labelOnly="1" outline="0" fieldPosition="0">
        <references count="3">
          <reference field="0" count="1" selected="0">
            <x v="6"/>
          </reference>
          <reference field="1" count="1" selected="0">
            <x v="613"/>
          </reference>
          <reference field="20" count="1">
            <x v="0"/>
          </reference>
        </references>
      </pivotArea>
    </format>
    <format dxfId="983">
      <pivotArea dataOnly="0" labelOnly="1" outline="0" fieldPosition="0">
        <references count="3">
          <reference field="0" count="1" selected="0">
            <x v="6"/>
          </reference>
          <reference field="1" count="1" selected="0">
            <x v="615"/>
          </reference>
          <reference field="20" count="1">
            <x v="93"/>
          </reference>
        </references>
      </pivotArea>
    </format>
    <format dxfId="982">
      <pivotArea dataOnly="0" labelOnly="1" outline="0" fieldPosition="0">
        <references count="3">
          <reference field="0" count="1" selected="0">
            <x v="6"/>
          </reference>
          <reference field="1" count="1" selected="0">
            <x v="616"/>
          </reference>
          <reference field="20" count="1">
            <x v="94"/>
          </reference>
        </references>
      </pivotArea>
    </format>
    <format dxfId="981">
      <pivotArea dataOnly="0" labelOnly="1" outline="0" fieldPosition="0">
        <references count="3">
          <reference field="0" count="1" selected="0">
            <x v="6"/>
          </reference>
          <reference field="1" count="1" selected="0">
            <x v="619"/>
          </reference>
          <reference field="20" count="1">
            <x v="0"/>
          </reference>
        </references>
      </pivotArea>
    </format>
    <format dxfId="980">
      <pivotArea dataOnly="0" labelOnly="1" outline="0" fieldPosition="0">
        <references count="3">
          <reference field="0" count="1" selected="0">
            <x v="6"/>
          </reference>
          <reference field="1" count="1" selected="0">
            <x v="621"/>
          </reference>
          <reference field="20" count="1">
            <x v="0"/>
          </reference>
        </references>
      </pivotArea>
    </format>
    <format dxfId="979">
      <pivotArea dataOnly="0" labelOnly="1" outline="0" fieldPosition="0">
        <references count="3">
          <reference field="0" count="1" selected="0">
            <x v="6"/>
          </reference>
          <reference field="1" count="1" selected="0">
            <x v="630"/>
          </reference>
          <reference field="20" count="1">
            <x v="0"/>
          </reference>
        </references>
      </pivotArea>
    </format>
    <format dxfId="978">
      <pivotArea dataOnly="0" labelOnly="1" outline="0" fieldPosition="0">
        <references count="3">
          <reference field="0" count="1" selected="0">
            <x v="6"/>
          </reference>
          <reference field="1" count="1" selected="0">
            <x v="632"/>
          </reference>
          <reference field="20" count="1">
            <x v="0"/>
          </reference>
        </references>
      </pivotArea>
    </format>
    <format dxfId="977">
      <pivotArea dataOnly="0" labelOnly="1" outline="0" fieldPosition="0">
        <references count="3">
          <reference field="0" count="1" selected="0">
            <x v="6"/>
          </reference>
          <reference field="1" count="1" selected="0">
            <x v="640"/>
          </reference>
          <reference field="20" count="1">
            <x v="0"/>
          </reference>
        </references>
      </pivotArea>
    </format>
    <format dxfId="976">
      <pivotArea dataOnly="0" labelOnly="1" outline="0" fieldPosition="0">
        <references count="3">
          <reference field="0" count="1" selected="0">
            <x v="6"/>
          </reference>
          <reference field="1" count="1" selected="0">
            <x v="643"/>
          </reference>
          <reference field="20" count="1">
            <x v="98"/>
          </reference>
        </references>
      </pivotArea>
    </format>
    <format dxfId="975">
      <pivotArea dataOnly="0" labelOnly="1" outline="0" fieldPosition="0">
        <references count="3">
          <reference field="0" count="1" selected="0">
            <x v="6"/>
          </reference>
          <reference field="1" count="1" selected="0">
            <x v="644"/>
          </reference>
          <reference field="20" count="1">
            <x v="99"/>
          </reference>
        </references>
      </pivotArea>
    </format>
    <format dxfId="974">
      <pivotArea dataOnly="0" labelOnly="1" outline="0" fieldPosition="0">
        <references count="3">
          <reference field="0" count="1" selected="0">
            <x v="6"/>
          </reference>
          <reference field="1" count="1" selected="0">
            <x v="651"/>
          </reference>
          <reference field="20" count="1">
            <x v="0"/>
          </reference>
        </references>
      </pivotArea>
    </format>
    <format dxfId="973">
      <pivotArea dataOnly="0" labelOnly="1" outline="0" fieldPosition="0">
        <references count="3">
          <reference field="0" count="1" selected="0">
            <x v="6"/>
          </reference>
          <reference field="1" count="1" selected="0">
            <x v="655"/>
          </reference>
          <reference field="20" count="1">
            <x v="0"/>
          </reference>
        </references>
      </pivotArea>
    </format>
    <format dxfId="972">
      <pivotArea dataOnly="0" labelOnly="1" outline="0" fieldPosition="0">
        <references count="3">
          <reference field="0" count="1" selected="0">
            <x v="6"/>
          </reference>
          <reference field="1" count="1" selected="0">
            <x v="661"/>
          </reference>
          <reference field="20" count="1">
            <x v="0"/>
          </reference>
        </references>
      </pivotArea>
    </format>
    <format dxfId="971">
      <pivotArea dataOnly="0" labelOnly="1" outline="0" fieldPosition="0">
        <references count="3">
          <reference field="0" count="1" selected="0">
            <x v="6"/>
          </reference>
          <reference field="1" count="1" selected="0">
            <x v="670"/>
          </reference>
          <reference field="20" count="1">
            <x v="0"/>
          </reference>
        </references>
      </pivotArea>
    </format>
    <format dxfId="970">
      <pivotArea dataOnly="0" labelOnly="1" outline="0" fieldPosition="0">
        <references count="3">
          <reference field="0" count="1" selected="0">
            <x v="6"/>
          </reference>
          <reference field="1" count="1" selected="0">
            <x v="673"/>
          </reference>
          <reference field="20" count="1">
            <x v="0"/>
          </reference>
        </references>
      </pivotArea>
    </format>
    <format dxfId="969">
      <pivotArea dataOnly="0" labelOnly="1" outline="0" fieldPosition="0">
        <references count="3">
          <reference field="0" count="1" selected="0">
            <x v="6"/>
          </reference>
          <reference field="1" count="1" selected="0">
            <x v="705"/>
          </reference>
          <reference field="20" count="1">
            <x v="0"/>
          </reference>
        </references>
      </pivotArea>
    </format>
    <format dxfId="968">
      <pivotArea dataOnly="0" labelOnly="1" outline="0" fieldPosition="0">
        <references count="3">
          <reference field="0" count="1" selected="0">
            <x v="6"/>
          </reference>
          <reference field="1" count="1" selected="0">
            <x v="729"/>
          </reference>
          <reference field="20" count="1">
            <x v="118"/>
          </reference>
        </references>
      </pivotArea>
    </format>
    <format dxfId="967">
      <pivotArea dataOnly="0" labelOnly="1" outline="0" fieldPosition="0">
        <references count="3">
          <reference field="0" count="1" selected="0">
            <x v="6"/>
          </reference>
          <reference field="1" count="1" selected="0">
            <x v="731"/>
          </reference>
          <reference field="20" count="1">
            <x v="0"/>
          </reference>
        </references>
      </pivotArea>
    </format>
    <format dxfId="966">
      <pivotArea dataOnly="0" labelOnly="1" outline="0" fieldPosition="0">
        <references count="3">
          <reference field="0" count="1" selected="0">
            <x v="6"/>
          </reference>
          <reference field="1" count="1" selected="0">
            <x v="733"/>
          </reference>
          <reference field="20" count="1">
            <x v="0"/>
          </reference>
        </references>
      </pivotArea>
    </format>
    <format dxfId="965">
      <pivotArea dataOnly="0" labelOnly="1" outline="0" fieldPosition="0">
        <references count="3">
          <reference field="0" count="1" selected="0">
            <x v="6"/>
          </reference>
          <reference field="1" count="1" selected="0">
            <x v="739"/>
          </reference>
          <reference field="20" count="1">
            <x v="0"/>
          </reference>
        </references>
      </pivotArea>
    </format>
    <format dxfId="964">
      <pivotArea dataOnly="0" labelOnly="1" outline="0" fieldPosition="0">
        <references count="3">
          <reference field="0" count="1" selected="0">
            <x v="6"/>
          </reference>
          <reference field="1" count="1" selected="0">
            <x v="776"/>
          </reference>
          <reference field="20" count="1">
            <x v="0"/>
          </reference>
        </references>
      </pivotArea>
    </format>
    <format dxfId="963">
      <pivotArea dataOnly="0" labelOnly="1" outline="0" fieldPosition="0">
        <references count="3">
          <reference field="0" count="1" selected="0">
            <x v="6"/>
          </reference>
          <reference field="1" count="1" selected="0">
            <x v="780"/>
          </reference>
          <reference field="20" count="1">
            <x v="0"/>
          </reference>
        </references>
      </pivotArea>
    </format>
    <format dxfId="962">
      <pivotArea dataOnly="0" labelOnly="1" outline="0" fieldPosition="0">
        <references count="3">
          <reference field="0" count="1" selected="0">
            <x v="6"/>
          </reference>
          <reference field="1" count="1" selected="0">
            <x v="785"/>
          </reference>
          <reference field="20" count="1">
            <x v="130"/>
          </reference>
        </references>
      </pivotArea>
    </format>
    <format dxfId="961">
      <pivotArea dataOnly="0" labelOnly="1" outline="0" fieldPosition="0">
        <references count="3">
          <reference field="0" count="1" selected="0">
            <x v="6"/>
          </reference>
          <reference field="1" count="1" selected="0">
            <x v="793"/>
          </reference>
          <reference field="20" count="1">
            <x v="133"/>
          </reference>
        </references>
      </pivotArea>
    </format>
    <format dxfId="960">
      <pivotArea dataOnly="0" labelOnly="1" outline="0" fieldPosition="0">
        <references count="3">
          <reference field="0" count="1" selected="0">
            <x v="6"/>
          </reference>
          <reference field="1" count="1" selected="0">
            <x v="794"/>
          </reference>
          <reference field="20" count="1">
            <x v="134"/>
          </reference>
        </references>
      </pivotArea>
    </format>
    <format dxfId="959">
      <pivotArea dataOnly="0" labelOnly="1" outline="0" fieldPosition="0">
        <references count="3">
          <reference field="0" count="1" selected="0">
            <x v="6"/>
          </reference>
          <reference field="1" count="1" selected="0">
            <x v="801"/>
          </reference>
          <reference field="20" count="1">
            <x v="0"/>
          </reference>
        </references>
      </pivotArea>
    </format>
    <format dxfId="958">
      <pivotArea dataOnly="0" labelOnly="1" outline="0" fieldPosition="0">
        <references count="3">
          <reference field="0" count="1" selected="0">
            <x v="6"/>
          </reference>
          <reference field="1" count="1" selected="0">
            <x v="807"/>
          </reference>
          <reference field="20" count="1">
            <x v="0"/>
          </reference>
        </references>
      </pivotArea>
    </format>
    <format dxfId="957">
      <pivotArea dataOnly="0" labelOnly="1" outline="0" fieldPosition="0">
        <references count="3">
          <reference field="0" count="1" selected="0">
            <x v="6"/>
          </reference>
          <reference field="1" count="1" selected="0">
            <x v="825"/>
          </reference>
          <reference field="20" count="1">
            <x v="142"/>
          </reference>
        </references>
      </pivotArea>
    </format>
    <format dxfId="956">
      <pivotArea dataOnly="0" labelOnly="1" outline="0" fieldPosition="0">
        <references count="3">
          <reference field="0" count="1" selected="0">
            <x v="6"/>
          </reference>
          <reference field="1" count="1" selected="0">
            <x v="831"/>
          </reference>
          <reference field="20" count="1">
            <x v="0"/>
          </reference>
        </references>
      </pivotArea>
    </format>
    <format dxfId="955">
      <pivotArea dataOnly="0" labelOnly="1" outline="0" fieldPosition="0">
        <references count="3">
          <reference field="0" count="1" selected="0">
            <x v="6"/>
          </reference>
          <reference field="1" count="1" selected="0">
            <x v="843"/>
          </reference>
          <reference field="20" count="1">
            <x v="151"/>
          </reference>
        </references>
      </pivotArea>
    </format>
    <format dxfId="954">
      <pivotArea dataOnly="0" labelOnly="1" outline="0" fieldPosition="0">
        <references count="3">
          <reference field="0" count="1" selected="0">
            <x v="6"/>
          </reference>
          <reference field="1" count="1" selected="0">
            <x v="853"/>
          </reference>
          <reference field="20" count="1">
            <x v="0"/>
          </reference>
        </references>
      </pivotArea>
    </format>
    <format dxfId="953">
      <pivotArea dataOnly="0" labelOnly="1" outline="0" fieldPosition="0">
        <references count="3">
          <reference field="0" count="1" selected="0">
            <x v="6"/>
          </reference>
          <reference field="1" count="1" selected="0">
            <x v="858"/>
          </reference>
          <reference field="20" count="1">
            <x v="0"/>
          </reference>
        </references>
      </pivotArea>
    </format>
    <format dxfId="952">
      <pivotArea dataOnly="0" labelOnly="1" outline="0" fieldPosition="0">
        <references count="3">
          <reference field="0" count="1" selected="0">
            <x v="6"/>
          </reference>
          <reference field="1" count="1" selected="0">
            <x v="877"/>
          </reference>
          <reference field="20" count="1">
            <x v="0"/>
          </reference>
        </references>
      </pivotArea>
    </format>
    <format dxfId="951">
      <pivotArea dataOnly="0" labelOnly="1" outline="0" fieldPosition="0">
        <references count="3">
          <reference field="0" count="1" selected="0">
            <x v="6"/>
          </reference>
          <reference field="1" count="1" selected="0">
            <x v="878"/>
          </reference>
          <reference field="20" count="1">
            <x v="0"/>
          </reference>
        </references>
      </pivotArea>
    </format>
    <format dxfId="950">
      <pivotArea dataOnly="0" labelOnly="1" outline="0" fieldPosition="0">
        <references count="3">
          <reference field="0" count="1" selected="0">
            <x v="6"/>
          </reference>
          <reference field="1" count="1" selected="0">
            <x v="883"/>
          </reference>
          <reference field="20" count="1">
            <x v="0"/>
          </reference>
        </references>
      </pivotArea>
    </format>
    <format dxfId="949">
      <pivotArea dataOnly="0" labelOnly="1" outline="0" fieldPosition="0">
        <references count="3">
          <reference field="0" count="1" selected="0">
            <x v="6"/>
          </reference>
          <reference field="1" count="1" selected="0">
            <x v="893"/>
          </reference>
          <reference field="20" count="1">
            <x v="155"/>
          </reference>
        </references>
      </pivotArea>
    </format>
    <format dxfId="948">
      <pivotArea dataOnly="0" labelOnly="1" outline="0" fieldPosition="0">
        <references count="3">
          <reference field="0" count="1" selected="0">
            <x v="6"/>
          </reference>
          <reference field="1" count="1" selected="0">
            <x v="895"/>
          </reference>
          <reference field="20" count="1">
            <x v="0"/>
          </reference>
        </references>
      </pivotArea>
    </format>
    <format dxfId="947">
      <pivotArea dataOnly="0" labelOnly="1" outline="0" fieldPosition="0">
        <references count="3">
          <reference field="0" count="1" selected="0">
            <x v="6"/>
          </reference>
          <reference field="1" count="1" selected="0">
            <x v="898"/>
          </reference>
          <reference field="20" count="1">
            <x v="0"/>
          </reference>
        </references>
      </pivotArea>
    </format>
    <format dxfId="946">
      <pivotArea dataOnly="0" labelOnly="1" outline="0" fieldPosition="0">
        <references count="3">
          <reference field="0" count="1" selected="0">
            <x v="6"/>
          </reference>
          <reference field="1" count="1" selected="0">
            <x v="899"/>
          </reference>
          <reference field="20" count="1">
            <x v="0"/>
          </reference>
        </references>
      </pivotArea>
    </format>
    <format dxfId="945">
      <pivotArea dataOnly="0" labelOnly="1" outline="0" fieldPosition="0">
        <references count="3">
          <reference field="0" count="1" selected="0">
            <x v="6"/>
          </reference>
          <reference field="1" count="1" selected="0">
            <x v="907"/>
          </reference>
          <reference field="20" count="1">
            <x v="157"/>
          </reference>
        </references>
      </pivotArea>
    </format>
    <format dxfId="944">
      <pivotArea dataOnly="0" labelOnly="1" outline="0" fieldPosition="0">
        <references count="3">
          <reference field="0" count="1" selected="0">
            <x v="6"/>
          </reference>
          <reference field="1" count="1" selected="0">
            <x v="908"/>
          </reference>
          <reference field="20" count="1">
            <x v="0"/>
          </reference>
        </references>
      </pivotArea>
    </format>
    <format dxfId="943">
      <pivotArea dataOnly="0" labelOnly="1" outline="0" fieldPosition="0">
        <references count="3">
          <reference field="0" count="1" selected="0">
            <x v="6"/>
          </reference>
          <reference field="1" count="1" selected="0">
            <x v="924"/>
          </reference>
          <reference field="20" count="1">
            <x v="0"/>
          </reference>
        </references>
      </pivotArea>
    </format>
    <format dxfId="942">
      <pivotArea dataOnly="0" labelOnly="1" outline="0" fieldPosition="0">
        <references count="3">
          <reference field="0" count="1" selected="0">
            <x v="6"/>
          </reference>
          <reference field="1" count="1" selected="0">
            <x v="935"/>
          </reference>
          <reference field="20" count="1">
            <x v="166"/>
          </reference>
        </references>
      </pivotArea>
    </format>
    <format dxfId="941">
      <pivotArea dataOnly="0" labelOnly="1" outline="0" fieldPosition="0">
        <references count="3">
          <reference field="0" count="1" selected="0">
            <x v="6"/>
          </reference>
          <reference field="1" count="1" selected="0">
            <x v="954"/>
          </reference>
          <reference field="20" count="1">
            <x v="173"/>
          </reference>
        </references>
      </pivotArea>
    </format>
    <format dxfId="940">
      <pivotArea dataOnly="0" labelOnly="1" outline="0" fieldPosition="0">
        <references count="3">
          <reference field="0" count="1" selected="0">
            <x v="6"/>
          </reference>
          <reference field="1" count="1" selected="0">
            <x v="1009"/>
          </reference>
          <reference field="20" count="1">
            <x v="0"/>
          </reference>
        </references>
      </pivotArea>
    </format>
    <format dxfId="939">
      <pivotArea dataOnly="0" labelOnly="1" outline="0" fieldPosition="0">
        <references count="3">
          <reference field="0" count="1" selected="0">
            <x v="6"/>
          </reference>
          <reference field="1" count="1" selected="0">
            <x v="1016"/>
          </reference>
          <reference field="20" count="1">
            <x v="0"/>
          </reference>
        </references>
      </pivotArea>
    </format>
    <format dxfId="938">
      <pivotArea dataOnly="0" labelOnly="1" outline="0" fieldPosition="0">
        <references count="3">
          <reference field="0" count="1" selected="0">
            <x v="6"/>
          </reference>
          <reference field="1" count="1" selected="0">
            <x v="1038"/>
          </reference>
          <reference field="20" count="1">
            <x v="0"/>
          </reference>
        </references>
      </pivotArea>
    </format>
    <format dxfId="937">
      <pivotArea dataOnly="0" labelOnly="1" outline="0" fieldPosition="0">
        <references count="3">
          <reference field="0" count="1" selected="0">
            <x v="6"/>
          </reference>
          <reference field="1" count="1" selected="0">
            <x v="1041"/>
          </reference>
          <reference field="20" count="1">
            <x v="0"/>
          </reference>
        </references>
      </pivotArea>
    </format>
    <format dxfId="936">
      <pivotArea dataOnly="0" labelOnly="1" outline="0" fieldPosition="0">
        <references count="3">
          <reference field="0" count="1" selected="0">
            <x v="6"/>
          </reference>
          <reference field="1" count="1" selected="0">
            <x v="1057"/>
          </reference>
          <reference field="20" count="1">
            <x v="0"/>
          </reference>
        </references>
      </pivotArea>
    </format>
    <format dxfId="935">
      <pivotArea dataOnly="0" labelOnly="1" outline="0" fieldPosition="0">
        <references count="3">
          <reference field="0" count="1" selected="0">
            <x v="6"/>
          </reference>
          <reference field="1" count="1" selected="0">
            <x v="1058"/>
          </reference>
          <reference field="20" count="1">
            <x v="0"/>
          </reference>
        </references>
      </pivotArea>
    </format>
    <format dxfId="934">
      <pivotArea dataOnly="0" labelOnly="1" outline="0" fieldPosition="0">
        <references count="3">
          <reference field="0" count="1" selected="0">
            <x v="6"/>
          </reference>
          <reference field="1" count="1" selected="0">
            <x v="1068"/>
          </reference>
          <reference field="20" count="1">
            <x v="0"/>
          </reference>
        </references>
      </pivotArea>
    </format>
    <format dxfId="933">
      <pivotArea dataOnly="0" labelOnly="1" outline="0" fieldPosition="0">
        <references count="3">
          <reference field="0" count="1" selected="0">
            <x v="6"/>
          </reference>
          <reference field="1" count="1" selected="0">
            <x v="1073"/>
          </reference>
          <reference field="20" count="1">
            <x v="0"/>
          </reference>
        </references>
      </pivotArea>
    </format>
    <format dxfId="932">
      <pivotArea dataOnly="0" labelOnly="1" outline="0" fieldPosition="0">
        <references count="3">
          <reference field="0" count="1" selected="0">
            <x v="6"/>
          </reference>
          <reference field="1" count="1" selected="0">
            <x v="1080"/>
          </reference>
          <reference field="20" count="1">
            <x v="0"/>
          </reference>
        </references>
      </pivotArea>
    </format>
    <format dxfId="931">
      <pivotArea dataOnly="0" labelOnly="1" outline="0" fieldPosition="0">
        <references count="3">
          <reference field="0" count="1" selected="0">
            <x v="6"/>
          </reference>
          <reference field="1" count="1" selected="0">
            <x v="1090"/>
          </reference>
          <reference field="20" count="1">
            <x v="0"/>
          </reference>
        </references>
      </pivotArea>
    </format>
    <format dxfId="930">
      <pivotArea dataOnly="0" labelOnly="1" outline="0" fieldPosition="0">
        <references count="3">
          <reference field="0" count="1" selected="0">
            <x v="6"/>
          </reference>
          <reference field="1" count="1" selected="0">
            <x v="1108"/>
          </reference>
          <reference field="20" count="1">
            <x v="228"/>
          </reference>
        </references>
      </pivotArea>
    </format>
    <format dxfId="929">
      <pivotArea dataOnly="0" labelOnly="1" outline="0" fieldPosition="0">
        <references count="3">
          <reference field="0" count="1" selected="0">
            <x v="6"/>
          </reference>
          <reference field="1" count="1" selected="0">
            <x v="1120"/>
          </reference>
          <reference field="20" count="1">
            <x v="0"/>
          </reference>
        </references>
      </pivotArea>
    </format>
    <format dxfId="928">
      <pivotArea dataOnly="0" labelOnly="1" outline="0" fieldPosition="0">
        <references count="3">
          <reference field="0" count="1" selected="0">
            <x v="6"/>
          </reference>
          <reference field="1" count="1" selected="0">
            <x v="1122"/>
          </reference>
          <reference field="20" count="1">
            <x v="231"/>
          </reference>
        </references>
      </pivotArea>
    </format>
    <format dxfId="927">
      <pivotArea dataOnly="0" labelOnly="1" outline="0" fieldPosition="0">
        <references count="3">
          <reference field="0" count="1" selected="0">
            <x v="6"/>
          </reference>
          <reference field="1" count="1" selected="0">
            <x v="1150"/>
          </reference>
          <reference field="20" count="1">
            <x v="0"/>
          </reference>
        </references>
      </pivotArea>
    </format>
    <format dxfId="926">
      <pivotArea dataOnly="0" labelOnly="1" outline="0" fieldPosition="0">
        <references count="3">
          <reference field="0" count="1" selected="0">
            <x v="6"/>
          </reference>
          <reference field="1" count="1" selected="0">
            <x v="1152"/>
          </reference>
          <reference field="20" count="1">
            <x v="0"/>
          </reference>
        </references>
      </pivotArea>
    </format>
    <format dxfId="925">
      <pivotArea dataOnly="0" labelOnly="1" outline="0" fieldPosition="0">
        <references count="3">
          <reference field="0" count="1" selected="0">
            <x v="6"/>
          </reference>
          <reference field="1" count="1" selected="0">
            <x v="1153"/>
          </reference>
          <reference field="20" count="1">
            <x v="242"/>
          </reference>
        </references>
      </pivotArea>
    </format>
    <format dxfId="924">
      <pivotArea dataOnly="0" labelOnly="1" outline="0" fieldPosition="0">
        <references count="3">
          <reference field="0" count="1" selected="0">
            <x v="6"/>
          </reference>
          <reference field="1" count="1" selected="0">
            <x v="1155"/>
          </reference>
          <reference field="20" count="1">
            <x v="245"/>
          </reference>
        </references>
      </pivotArea>
    </format>
    <format dxfId="923">
      <pivotArea dataOnly="0" labelOnly="1" outline="0" fieldPosition="0">
        <references count="3">
          <reference field="0" count="1" selected="0">
            <x v="6"/>
          </reference>
          <reference field="1" count="1" selected="0">
            <x v="1167"/>
          </reference>
          <reference field="20" count="1">
            <x v="0"/>
          </reference>
        </references>
      </pivotArea>
    </format>
    <format dxfId="922">
      <pivotArea dataOnly="0" labelOnly="1" outline="0" fieldPosition="0">
        <references count="3">
          <reference field="0" count="1" selected="0">
            <x v="6"/>
          </reference>
          <reference field="1" count="1" selected="0">
            <x v="1168"/>
          </reference>
          <reference field="20" count="1">
            <x v="247"/>
          </reference>
        </references>
      </pivotArea>
    </format>
    <format dxfId="921">
      <pivotArea dataOnly="0" labelOnly="1" outline="0" fieldPosition="0">
        <references count="3">
          <reference field="0" count="1" selected="0">
            <x v="6"/>
          </reference>
          <reference field="1" count="1" selected="0">
            <x v="1169"/>
          </reference>
          <reference field="20" count="1">
            <x v="0"/>
          </reference>
        </references>
      </pivotArea>
    </format>
    <format dxfId="920">
      <pivotArea dataOnly="0" labelOnly="1" outline="0" fieldPosition="0">
        <references count="3">
          <reference field="0" count="1" selected="0">
            <x v="6"/>
          </reference>
          <reference field="1" count="1" selected="0">
            <x v="1200"/>
          </reference>
          <reference field="20" count="1">
            <x v="0"/>
          </reference>
        </references>
      </pivotArea>
    </format>
    <format dxfId="919">
      <pivotArea dataOnly="0" labelOnly="1" outline="0" fieldPosition="0">
        <references count="3">
          <reference field="0" count="1" selected="0">
            <x v="6"/>
          </reference>
          <reference field="1" count="1" selected="0">
            <x v="1255"/>
          </reference>
          <reference field="20" count="1">
            <x v="0"/>
          </reference>
        </references>
      </pivotArea>
    </format>
    <format dxfId="918">
      <pivotArea dataOnly="0" labelOnly="1" outline="0" fieldPosition="0">
        <references count="3">
          <reference field="0" count="1" selected="0">
            <x v="6"/>
          </reference>
          <reference field="1" count="1" selected="0">
            <x v="1281"/>
          </reference>
          <reference field="20" count="1">
            <x v="0"/>
          </reference>
        </references>
      </pivotArea>
    </format>
    <format dxfId="917">
      <pivotArea dataOnly="0" labelOnly="1" outline="0" fieldPosition="0">
        <references count="3">
          <reference field="0" count="1" selected="0">
            <x v="6"/>
          </reference>
          <reference field="1" count="1" selected="0">
            <x v="1299"/>
          </reference>
          <reference field="20" count="1">
            <x v="0"/>
          </reference>
        </references>
      </pivotArea>
    </format>
    <format dxfId="916">
      <pivotArea dataOnly="0" labelOnly="1" outline="0" fieldPosition="0">
        <references count="3">
          <reference field="0" count="1" selected="0">
            <x v="6"/>
          </reference>
          <reference field="1" count="1" selected="0">
            <x v="1323"/>
          </reference>
          <reference field="20" count="1">
            <x v="0"/>
          </reference>
        </references>
      </pivotArea>
    </format>
    <format dxfId="915">
      <pivotArea dataOnly="0" labelOnly="1" outline="0" fieldPosition="0">
        <references count="3">
          <reference field="0" count="1" selected="0">
            <x v="6"/>
          </reference>
          <reference field="1" count="1" selected="0">
            <x v="1324"/>
          </reference>
          <reference field="20" count="1">
            <x v="0"/>
          </reference>
        </references>
      </pivotArea>
    </format>
    <format dxfId="914">
      <pivotArea dataOnly="0" labelOnly="1" outline="0" fieldPosition="0">
        <references count="3">
          <reference field="0" count="1" selected="0">
            <x v="6"/>
          </reference>
          <reference field="1" count="1" selected="0">
            <x v="1375"/>
          </reference>
          <reference field="20" count="1">
            <x v="0"/>
          </reference>
        </references>
      </pivotArea>
    </format>
    <format dxfId="913">
      <pivotArea dataOnly="0" labelOnly="1" outline="0" fieldPosition="0">
        <references count="3">
          <reference field="0" count="1" selected="0">
            <x v="6"/>
          </reference>
          <reference field="1" count="1" selected="0">
            <x v="1379"/>
          </reference>
          <reference field="20" count="1">
            <x v="0"/>
          </reference>
        </references>
      </pivotArea>
    </format>
    <format dxfId="912">
      <pivotArea dataOnly="0" labelOnly="1" outline="0" fieldPosition="0">
        <references count="3">
          <reference field="0" count="1" selected="0">
            <x v="6"/>
          </reference>
          <reference field="1" count="1" selected="0">
            <x v="1423"/>
          </reference>
          <reference field="20" count="1">
            <x v="0"/>
          </reference>
        </references>
      </pivotArea>
    </format>
    <format dxfId="911">
      <pivotArea dataOnly="0" labelOnly="1" outline="0" fieldPosition="0">
        <references count="3">
          <reference field="0" count="1" selected="0">
            <x v="6"/>
          </reference>
          <reference field="1" count="1" selected="0">
            <x v="1425"/>
          </reference>
          <reference field="20" count="1">
            <x v="0"/>
          </reference>
        </references>
      </pivotArea>
    </format>
    <format dxfId="910">
      <pivotArea dataOnly="0" labelOnly="1" outline="0" fieldPosition="0">
        <references count="3">
          <reference field="0" count="1" selected="0">
            <x v="6"/>
          </reference>
          <reference field="1" count="1" selected="0">
            <x v="1430"/>
          </reference>
          <reference field="20" count="1">
            <x v="0"/>
          </reference>
        </references>
      </pivotArea>
    </format>
    <format dxfId="909">
      <pivotArea dataOnly="0" labelOnly="1" outline="0" fieldPosition="0">
        <references count="3">
          <reference field="0" count="1" selected="0">
            <x v="6"/>
          </reference>
          <reference field="1" count="1" selected="0">
            <x v="1436"/>
          </reference>
          <reference field="20" count="1">
            <x v="0"/>
          </reference>
        </references>
      </pivotArea>
    </format>
    <format dxfId="908">
      <pivotArea dataOnly="0" labelOnly="1" outline="0" fieldPosition="0">
        <references count="3">
          <reference field="0" count="1" selected="0">
            <x v="6"/>
          </reference>
          <reference field="1" count="1" selected="0">
            <x v="1437"/>
          </reference>
          <reference field="20" count="1">
            <x v="0"/>
          </reference>
        </references>
      </pivotArea>
    </format>
    <format dxfId="907">
      <pivotArea dataOnly="0" labelOnly="1" outline="0" fieldPosition="0">
        <references count="3">
          <reference field="0" count="1" selected="0">
            <x v="6"/>
          </reference>
          <reference field="1" count="1" selected="0">
            <x v="1463"/>
          </reference>
          <reference field="20" count="1">
            <x v="0"/>
          </reference>
        </references>
      </pivotArea>
    </format>
    <format dxfId="906">
      <pivotArea dataOnly="0" labelOnly="1" outline="0" fieldPosition="0">
        <references count="3">
          <reference field="0" count="1" selected="0">
            <x v="6"/>
          </reference>
          <reference field="1" count="1" selected="0">
            <x v="1495"/>
          </reference>
          <reference field="20" count="1">
            <x v="0"/>
          </reference>
        </references>
      </pivotArea>
    </format>
    <format dxfId="905">
      <pivotArea dataOnly="0" labelOnly="1" outline="0" fieldPosition="0">
        <references count="3">
          <reference field="0" count="1" selected="0">
            <x v="6"/>
          </reference>
          <reference field="1" count="1" selected="0">
            <x v="1500"/>
          </reference>
          <reference field="20" count="1">
            <x v="0"/>
          </reference>
        </references>
      </pivotArea>
    </format>
    <format dxfId="904">
      <pivotArea dataOnly="0" labelOnly="1" outline="0" fieldPosition="0">
        <references count="3">
          <reference field="0" count="1" selected="0">
            <x v="6"/>
          </reference>
          <reference field="1" count="1" selected="0">
            <x v="1502"/>
          </reference>
          <reference field="20" count="1">
            <x v="0"/>
          </reference>
        </references>
      </pivotArea>
    </format>
    <format dxfId="903">
      <pivotArea dataOnly="0" labelOnly="1" outline="0" fieldPosition="0">
        <references count="3">
          <reference field="0" count="1" selected="0">
            <x v="6"/>
          </reference>
          <reference field="1" count="1" selected="0">
            <x v="1508"/>
          </reference>
          <reference field="20" count="1">
            <x v="0"/>
          </reference>
        </references>
      </pivotArea>
    </format>
    <format dxfId="902">
      <pivotArea dataOnly="0" labelOnly="1" outline="0" fieldPosition="0">
        <references count="3">
          <reference field="0" count="1" selected="0">
            <x v="6"/>
          </reference>
          <reference field="1" count="1" selected="0">
            <x v="1528"/>
          </reference>
          <reference field="20" count="1">
            <x v="0"/>
          </reference>
        </references>
      </pivotArea>
    </format>
    <format dxfId="901">
      <pivotArea dataOnly="0" labelOnly="1" outline="0" fieldPosition="0">
        <references count="3">
          <reference field="0" count="1" selected="0">
            <x v="6"/>
          </reference>
          <reference field="1" count="1" selected="0">
            <x v="1539"/>
          </reference>
          <reference field="20" count="1">
            <x v="0"/>
          </reference>
        </references>
      </pivotArea>
    </format>
    <format dxfId="900">
      <pivotArea dataOnly="0" labelOnly="1" outline="0" fieldPosition="0">
        <references count="3">
          <reference field="0" count="1" selected="0">
            <x v="6"/>
          </reference>
          <reference field="1" count="1" selected="0">
            <x v="1544"/>
          </reference>
          <reference field="20" count="1">
            <x v="0"/>
          </reference>
        </references>
      </pivotArea>
    </format>
    <format dxfId="899">
      <pivotArea dataOnly="0" labelOnly="1" outline="0" fieldPosition="0">
        <references count="3">
          <reference field="0" count="1" selected="0">
            <x v="6"/>
          </reference>
          <reference field="1" count="1" selected="0">
            <x v="1545"/>
          </reference>
          <reference field="20" count="1">
            <x v="0"/>
          </reference>
        </references>
      </pivotArea>
    </format>
    <format dxfId="898">
      <pivotArea dataOnly="0" labelOnly="1" outline="0" fieldPosition="0">
        <references count="3">
          <reference field="0" count="1" selected="0">
            <x v="6"/>
          </reference>
          <reference field="1" count="1" selected="0">
            <x v="1577"/>
          </reference>
          <reference field="20" count="1">
            <x v="0"/>
          </reference>
        </references>
      </pivotArea>
    </format>
    <format dxfId="897">
      <pivotArea dataOnly="0" labelOnly="1" outline="0" fieldPosition="0">
        <references count="3">
          <reference field="0" count="1" selected="0">
            <x v="6"/>
          </reference>
          <reference field="1" count="1" selected="0">
            <x v="1578"/>
          </reference>
          <reference field="20" count="1">
            <x v="0"/>
          </reference>
        </references>
      </pivotArea>
    </format>
    <format dxfId="896">
      <pivotArea dataOnly="0" labelOnly="1" outline="0" fieldPosition="0">
        <references count="3">
          <reference field="0" count="1" selected="0">
            <x v="6"/>
          </reference>
          <reference field="1" count="1" selected="0">
            <x v="1619"/>
          </reference>
          <reference field="20" count="1">
            <x v="325"/>
          </reference>
        </references>
      </pivotArea>
    </format>
    <format dxfId="895">
      <pivotArea dataOnly="0" labelOnly="1" outline="0" fieldPosition="0">
        <references count="3">
          <reference field="0" count="1" selected="0">
            <x v="6"/>
          </reference>
          <reference field="1" count="1" selected="0">
            <x v="1640"/>
          </reference>
          <reference field="20" count="1">
            <x v="0"/>
          </reference>
        </references>
      </pivotArea>
    </format>
    <format dxfId="894">
      <pivotArea dataOnly="0" labelOnly="1" outline="0" fieldPosition="0">
        <references count="3">
          <reference field="0" count="1" selected="0">
            <x v="6"/>
          </reference>
          <reference field="1" count="1" selected="0">
            <x v="1641"/>
          </reference>
          <reference field="20" count="1">
            <x v="0"/>
          </reference>
        </references>
      </pivotArea>
    </format>
    <format dxfId="893">
      <pivotArea dataOnly="0" labelOnly="1" outline="0" fieldPosition="0">
        <references count="3">
          <reference field="0" count="1" selected="0">
            <x v="6"/>
          </reference>
          <reference field="1" count="1" selected="0">
            <x v="1664"/>
          </reference>
          <reference field="20" count="1">
            <x v="0"/>
          </reference>
        </references>
      </pivotArea>
    </format>
    <format dxfId="892">
      <pivotArea dataOnly="0" labelOnly="1" outline="0" fieldPosition="0">
        <references count="3">
          <reference field="0" count="1" selected="0">
            <x v="6"/>
          </reference>
          <reference field="1" count="1" selected="0">
            <x v="1667"/>
          </reference>
          <reference field="20" count="1">
            <x v="0"/>
          </reference>
        </references>
      </pivotArea>
    </format>
    <format dxfId="891">
      <pivotArea dataOnly="0" labelOnly="1" outline="0" fieldPosition="0">
        <references count="3">
          <reference field="0" count="1" selected="0">
            <x v="7"/>
          </reference>
          <reference field="1" count="1" selected="0">
            <x v="1"/>
          </reference>
          <reference field="20" count="1">
            <x v="0"/>
          </reference>
        </references>
      </pivotArea>
    </format>
    <format dxfId="890">
      <pivotArea dataOnly="0" labelOnly="1" outline="0" fieldPosition="0">
        <references count="3">
          <reference field="0" count="1" selected="0">
            <x v="7"/>
          </reference>
          <reference field="1" count="1" selected="0">
            <x v="3"/>
          </reference>
          <reference field="20" count="1">
            <x v="0"/>
          </reference>
        </references>
      </pivotArea>
    </format>
    <format dxfId="889">
      <pivotArea dataOnly="0" labelOnly="1" outline="0" fieldPosition="0">
        <references count="3">
          <reference field="0" count="1" selected="0">
            <x v="7"/>
          </reference>
          <reference field="1" count="1" selected="0">
            <x v="6"/>
          </reference>
          <reference field="20" count="1">
            <x v="0"/>
          </reference>
        </references>
      </pivotArea>
    </format>
    <format dxfId="888">
      <pivotArea dataOnly="0" labelOnly="1" outline="0" fieldPosition="0">
        <references count="3">
          <reference field="0" count="1" selected="0">
            <x v="7"/>
          </reference>
          <reference field="1" count="1" selected="0">
            <x v="17"/>
          </reference>
          <reference field="20" count="1">
            <x v="0"/>
          </reference>
        </references>
      </pivotArea>
    </format>
    <format dxfId="887">
      <pivotArea dataOnly="0" labelOnly="1" outline="0" fieldPosition="0">
        <references count="3">
          <reference field="0" count="1" selected="0">
            <x v="7"/>
          </reference>
          <reference field="1" count="1" selected="0">
            <x v="24"/>
          </reference>
          <reference field="20" count="1">
            <x v="0"/>
          </reference>
        </references>
      </pivotArea>
    </format>
    <format dxfId="886">
      <pivotArea dataOnly="0" labelOnly="1" outline="0" fieldPosition="0">
        <references count="3">
          <reference field="0" count="1" selected="0">
            <x v="7"/>
          </reference>
          <reference field="1" count="1" selected="0">
            <x v="27"/>
          </reference>
          <reference field="20" count="1">
            <x v="0"/>
          </reference>
        </references>
      </pivotArea>
    </format>
    <format dxfId="885">
      <pivotArea dataOnly="0" labelOnly="1" outline="0" fieldPosition="0">
        <references count="3">
          <reference field="0" count="1" selected="0">
            <x v="7"/>
          </reference>
          <reference field="1" count="1" selected="0">
            <x v="28"/>
          </reference>
          <reference field="20" count="1">
            <x v="0"/>
          </reference>
        </references>
      </pivotArea>
    </format>
    <format dxfId="884">
      <pivotArea dataOnly="0" labelOnly="1" outline="0" fieldPosition="0">
        <references count="3">
          <reference field="0" count="1" selected="0">
            <x v="7"/>
          </reference>
          <reference field="1" count="1" selected="0">
            <x v="38"/>
          </reference>
          <reference field="20" count="1">
            <x v="0"/>
          </reference>
        </references>
      </pivotArea>
    </format>
    <format dxfId="883">
      <pivotArea dataOnly="0" labelOnly="1" outline="0" fieldPosition="0">
        <references count="3">
          <reference field="0" count="1" selected="0">
            <x v="7"/>
          </reference>
          <reference field="1" count="1" selected="0">
            <x v="39"/>
          </reference>
          <reference field="20" count="1">
            <x v="0"/>
          </reference>
        </references>
      </pivotArea>
    </format>
    <format dxfId="882">
      <pivotArea dataOnly="0" labelOnly="1" outline="0" fieldPosition="0">
        <references count="3">
          <reference field="0" count="1" selected="0">
            <x v="7"/>
          </reference>
          <reference field="1" count="1" selected="0">
            <x v="44"/>
          </reference>
          <reference field="20" count="1">
            <x v="0"/>
          </reference>
        </references>
      </pivotArea>
    </format>
    <format dxfId="881">
      <pivotArea dataOnly="0" labelOnly="1" outline="0" fieldPosition="0">
        <references count="3">
          <reference field="0" count="1" selected="0">
            <x v="7"/>
          </reference>
          <reference field="1" count="1" selected="0">
            <x v="45"/>
          </reference>
          <reference field="20" count="1">
            <x v="0"/>
          </reference>
        </references>
      </pivotArea>
    </format>
    <format dxfId="880">
      <pivotArea dataOnly="0" labelOnly="1" outline="0" fieldPosition="0">
        <references count="3">
          <reference field="0" count="1" selected="0">
            <x v="7"/>
          </reference>
          <reference field="1" count="1" selected="0">
            <x v="49"/>
          </reference>
          <reference field="20" count="1">
            <x v="0"/>
          </reference>
        </references>
      </pivotArea>
    </format>
    <format dxfId="879">
      <pivotArea dataOnly="0" labelOnly="1" outline="0" fieldPosition="0">
        <references count="3">
          <reference field="0" count="1" selected="0">
            <x v="7"/>
          </reference>
          <reference field="1" count="1" selected="0">
            <x v="55"/>
          </reference>
          <reference field="20" count="1">
            <x v="0"/>
          </reference>
        </references>
      </pivotArea>
    </format>
    <format dxfId="878">
      <pivotArea dataOnly="0" labelOnly="1" outline="0" fieldPosition="0">
        <references count="3">
          <reference field="0" count="1" selected="0">
            <x v="7"/>
          </reference>
          <reference field="1" count="1" selected="0">
            <x v="58"/>
          </reference>
          <reference field="20" count="1">
            <x v="0"/>
          </reference>
        </references>
      </pivotArea>
    </format>
    <format dxfId="877">
      <pivotArea dataOnly="0" labelOnly="1" outline="0" fieldPosition="0">
        <references count="3">
          <reference field="0" count="1" selected="0">
            <x v="7"/>
          </reference>
          <reference field="1" count="1" selected="0">
            <x v="63"/>
          </reference>
          <reference field="20" count="1">
            <x v="0"/>
          </reference>
        </references>
      </pivotArea>
    </format>
    <format dxfId="876">
      <pivotArea dataOnly="0" labelOnly="1" outline="0" fieldPosition="0">
        <references count="3">
          <reference field="0" count="1" selected="0">
            <x v="7"/>
          </reference>
          <reference field="1" count="1" selected="0">
            <x v="64"/>
          </reference>
          <reference field="20" count="1">
            <x v="0"/>
          </reference>
        </references>
      </pivotArea>
    </format>
    <format dxfId="875">
      <pivotArea dataOnly="0" labelOnly="1" outline="0" fieldPosition="0">
        <references count="3">
          <reference field="0" count="1" selected="0">
            <x v="7"/>
          </reference>
          <reference field="1" count="1" selected="0">
            <x v="65"/>
          </reference>
          <reference field="20" count="1">
            <x v="0"/>
          </reference>
        </references>
      </pivotArea>
    </format>
    <format dxfId="874">
      <pivotArea dataOnly="0" labelOnly="1" outline="0" fieldPosition="0">
        <references count="3">
          <reference field="0" count="1" selected="0">
            <x v="7"/>
          </reference>
          <reference field="1" count="1" selected="0">
            <x v="71"/>
          </reference>
          <reference field="20" count="1">
            <x v="0"/>
          </reference>
        </references>
      </pivotArea>
    </format>
    <format dxfId="873">
      <pivotArea dataOnly="0" labelOnly="1" outline="0" fieldPosition="0">
        <references count="3">
          <reference field="0" count="1" selected="0">
            <x v="7"/>
          </reference>
          <reference field="1" count="1" selected="0">
            <x v="72"/>
          </reference>
          <reference field="20" count="1">
            <x v="0"/>
          </reference>
        </references>
      </pivotArea>
    </format>
    <format dxfId="872">
      <pivotArea dataOnly="0" labelOnly="1" outline="0" fieldPosition="0">
        <references count="3">
          <reference field="0" count="1" selected="0">
            <x v="7"/>
          </reference>
          <reference field="1" count="1" selected="0">
            <x v="73"/>
          </reference>
          <reference field="20" count="1">
            <x v="0"/>
          </reference>
        </references>
      </pivotArea>
    </format>
    <format dxfId="871">
      <pivotArea dataOnly="0" labelOnly="1" outline="0" fieldPosition="0">
        <references count="3">
          <reference field="0" count="1" selected="0">
            <x v="7"/>
          </reference>
          <reference field="1" count="1" selected="0">
            <x v="74"/>
          </reference>
          <reference field="20" count="1">
            <x v="0"/>
          </reference>
        </references>
      </pivotArea>
    </format>
    <format dxfId="870">
      <pivotArea dataOnly="0" labelOnly="1" outline="0" fieldPosition="0">
        <references count="3">
          <reference field="0" count="1" selected="0">
            <x v="7"/>
          </reference>
          <reference field="1" count="1" selected="0">
            <x v="79"/>
          </reference>
          <reference field="20" count="1">
            <x v="0"/>
          </reference>
        </references>
      </pivotArea>
    </format>
    <format dxfId="869">
      <pivotArea dataOnly="0" labelOnly="1" outline="0" fieldPosition="0">
        <references count="3">
          <reference field="0" count="1" selected="0">
            <x v="7"/>
          </reference>
          <reference field="1" count="1" selected="0">
            <x v="81"/>
          </reference>
          <reference field="20" count="1">
            <x v="0"/>
          </reference>
        </references>
      </pivotArea>
    </format>
    <format dxfId="868">
      <pivotArea dataOnly="0" labelOnly="1" outline="0" fieldPosition="0">
        <references count="3">
          <reference field="0" count="1" selected="0">
            <x v="7"/>
          </reference>
          <reference field="1" count="1" selected="0">
            <x v="84"/>
          </reference>
          <reference field="20" count="1">
            <x v="0"/>
          </reference>
        </references>
      </pivotArea>
    </format>
    <format dxfId="867">
      <pivotArea dataOnly="0" labelOnly="1" outline="0" fieldPosition="0">
        <references count="3">
          <reference field="0" count="1" selected="0">
            <x v="7"/>
          </reference>
          <reference field="1" count="1" selected="0">
            <x v="85"/>
          </reference>
          <reference field="20" count="1">
            <x v="0"/>
          </reference>
        </references>
      </pivotArea>
    </format>
    <format dxfId="866">
      <pivotArea dataOnly="0" labelOnly="1" outline="0" fieldPosition="0">
        <references count="3">
          <reference field="0" count="1" selected="0">
            <x v="7"/>
          </reference>
          <reference field="1" count="1" selected="0">
            <x v="89"/>
          </reference>
          <reference field="20" count="1">
            <x v="0"/>
          </reference>
        </references>
      </pivotArea>
    </format>
    <format dxfId="865">
      <pivotArea dataOnly="0" labelOnly="1" outline="0" fieldPosition="0">
        <references count="3">
          <reference field="0" count="1" selected="0">
            <x v="7"/>
          </reference>
          <reference field="1" count="1" selected="0">
            <x v="90"/>
          </reference>
          <reference field="20" count="1">
            <x v="0"/>
          </reference>
        </references>
      </pivotArea>
    </format>
    <format dxfId="864">
      <pivotArea dataOnly="0" labelOnly="1" outline="0" fieldPosition="0">
        <references count="3">
          <reference field="0" count="1" selected="0">
            <x v="7"/>
          </reference>
          <reference field="1" count="1" selected="0">
            <x v="91"/>
          </reference>
          <reference field="20" count="1">
            <x v="0"/>
          </reference>
        </references>
      </pivotArea>
    </format>
    <format dxfId="863">
      <pivotArea dataOnly="0" labelOnly="1" outline="0" fieldPosition="0">
        <references count="3">
          <reference field="0" count="1" selected="0">
            <x v="7"/>
          </reference>
          <reference field="1" count="1" selected="0">
            <x v="92"/>
          </reference>
          <reference field="20" count="1">
            <x v="0"/>
          </reference>
        </references>
      </pivotArea>
    </format>
    <format dxfId="862">
      <pivotArea dataOnly="0" labelOnly="1" outline="0" fieldPosition="0">
        <references count="3">
          <reference field="0" count="1" selected="0">
            <x v="7"/>
          </reference>
          <reference field="1" count="1" selected="0">
            <x v="93"/>
          </reference>
          <reference field="20" count="1">
            <x v="0"/>
          </reference>
        </references>
      </pivotArea>
    </format>
    <format dxfId="861">
      <pivotArea dataOnly="0" labelOnly="1" outline="0" fieldPosition="0">
        <references count="3">
          <reference field="0" count="1" selected="0">
            <x v="7"/>
          </reference>
          <reference field="1" count="1" selected="0">
            <x v="94"/>
          </reference>
          <reference field="20" count="1">
            <x v="0"/>
          </reference>
        </references>
      </pivotArea>
    </format>
    <format dxfId="860">
      <pivotArea dataOnly="0" labelOnly="1" outline="0" fieldPosition="0">
        <references count="3">
          <reference field="0" count="1" selected="0">
            <x v="7"/>
          </reference>
          <reference field="1" count="1" selected="0">
            <x v="95"/>
          </reference>
          <reference field="20" count="1">
            <x v="0"/>
          </reference>
        </references>
      </pivotArea>
    </format>
    <format dxfId="859">
      <pivotArea dataOnly="0" labelOnly="1" outline="0" fieldPosition="0">
        <references count="3">
          <reference field="0" count="1" selected="0">
            <x v="7"/>
          </reference>
          <reference field="1" count="1" selected="0">
            <x v="96"/>
          </reference>
          <reference field="20" count="1">
            <x v="0"/>
          </reference>
        </references>
      </pivotArea>
    </format>
    <format dxfId="858">
      <pivotArea dataOnly="0" labelOnly="1" outline="0" fieldPosition="0">
        <references count="3">
          <reference field="0" count="1" selected="0">
            <x v="7"/>
          </reference>
          <reference field="1" count="1" selected="0">
            <x v="103"/>
          </reference>
          <reference field="20" count="1">
            <x v="0"/>
          </reference>
        </references>
      </pivotArea>
    </format>
    <format dxfId="857">
      <pivotArea dataOnly="0" labelOnly="1" outline="0" fieldPosition="0">
        <references count="3">
          <reference field="0" count="1" selected="0">
            <x v="7"/>
          </reference>
          <reference field="1" count="1" selected="0">
            <x v="114"/>
          </reference>
          <reference field="20" count="1">
            <x v="0"/>
          </reference>
        </references>
      </pivotArea>
    </format>
    <format dxfId="856">
      <pivotArea dataOnly="0" labelOnly="1" outline="0" fieldPosition="0">
        <references count="3">
          <reference field="0" count="1" selected="0">
            <x v="7"/>
          </reference>
          <reference field="1" count="1" selected="0">
            <x v="116"/>
          </reference>
          <reference field="20" count="1">
            <x v="0"/>
          </reference>
        </references>
      </pivotArea>
    </format>
    <format dxfId="855">
      <pivotArea dataOnly="0" labelOnly="1" outline="0" fieldPosition="0">
        <references count="3">
          <reference field="0" count="1" selected="0">
            <x v="7"/>
          </reference>
          <reference field="1" count="1" selected="0">
            <x v="122"/>
          </reference>
          <reference field="20" count="1">
            <x v="3"/>
          </reference>
        </references>
      </pivotArea>
    </format>
    <format dxfId="854">
      <pivotArea dataOnly="0" labelOnly="1" outline="0" fieldPosition="0">
        <references count="3">
          <reference field="0" count="1" selected="0">
            <x v="7"/>
          </reference>
          <reference field="1" count="1" selected="0">
            <x v="145"/>
          </reference>
          <reference field="20" count="1">
            <x v="0"/>
          </reference>
        </references>
      </pivotArea>
    </format>
    <format dxfId="853">
      <pivotArea dataOnly="0" labelOnly="1" outline="0" fieldPosition="0">
        <references count="3">
          <reference field="0" count="1" selected="0">
            <x v="7"/>
          </reference>
          <reference field="1" count="1" selected="0">
            <x v="148"/>
          </reference>
          <reference field="20" count="1">
            <x v="0"/>
          </reference>
        </references>
      </pivotArea>
    </format>
    <format dxfId="852">
      <pivotArea dataOnly="0" labelOnly="1" outline="0" fieldPosition="0">
        <references count="3">
          <reference field="0" count="1" selected="0">
            <x v="7"/>
          </reference>
          <reference field="1" count="1" selected="0">
            <x v="155"/>
          </reference>
          <reference field="20" count="1">
            <x v="0"/>
          </reference>
        </references>
      </pivotArea>
    </format>
    <format dxfId="851">
      <pivotArea dataOnly="0" labelOnly="1" outline="0" fieldPosition="0">
        <references count="3">
          <reference field="0" count="1" selected="0">
            <x v="7"/>
          </reference>
          <reference field="1" count="1" selected="0">
            <x v="160"/>
          </reference>
          <reference field="20" count="1">
            <x v="0"/>
          </reference>
        </references>
      </pivotArea>
    </format>
    <format dxfId="850">
      <pivotArea dataOnly="0" labelOnly="1" outline="0" fieldPosition="0">
        <references count="3">
          <reference field="0" count="1" selected="0">
            <x v="7"/>
          </reference>
          <reference field="1" count="1" selected="0">
            <x v="162"/>
          </reference>
          <reference field="20" count="1">
            <x v="0"/>
          </reference>
        </references>
      </pivotArea>
    </format>
    <format dxfId="849">
      <pivotArea dataOnly="0" labelOnly="1" outline="0" fieldPosition="0">
        <references count="3">
          <reference field="0" count="1" selected="0">
            <x v="7"/>
          </reference>
          <reference field="1" count="1" selected="0">
            <x v="163"/>
          </reference>
          <reference field="20" count="1">
            <x v="0"/>
          </reference>
        </references>
      </pivotArea>
    </format>
    <format dxfId="848">
      <pivotArea dataOnly="0" labelOnly="1" outline="0" fieldPosition="0">
        <references count="3">
          <reference field="0" count="1" selected="0">
            <x v="7"/>
          </reference>
          <reference field="1" count="1" selected="0">
            <x v="169"/>
          </reference>
          <reference field="20" count="1">
            <x v="14"/>
          </reference>
        </references>
      </pivotArea>
    </format>
    <format dxfId="847">
      <pivotArea dataOnly="0" labelOnly="1" outline="0" fieldPosition="0">
        <references count="3">
          <reference field="0" count="1" selected="0">
            <x v="7"/>
          </reference>
          <reference field="1" count="1" selected="0">
            <x v="171"/>
          </reference>
          <reference field="20" count="1">
            <x v="0"/>
          </reference>
        </references>
      </pivotArea>
    </format>
    <format dxfId="846">
      <pivotArea dataOnly="0" labelOnly="1" outline="0" fieldPosition="0">
        <references count="3">
          <reference field="0" count="1" selected="0">
            <x v="7"/>
          </reference>
          <reference field="1" count="1" selected="0">
            <x v="174"/>
          </reference>
          <reference field="20" count="1">
            <x v="0"/>
          </reference>
        </references>
      </pivotArea>
    </format>
    <format dxfId="845">
      <pivotArea dataOnly="0" labelOnly="1" outline="0" fieldPosition="0">
        <references count="3">
          <reference field="0" count="1" selected="0">
            <x v="7"/>
          </reference>
          <reference field="1" count="1" selected="0">
            <x v="179"/>
          </reference>
          <reference field="20" count="1">
            <x v="0"/>
          </reference>
        </references>
      </pivotArea>
    </format>
    <format dxfId="844">
      <pivotArea dataOnly="0" labelOnly="1" outline="0" fieldPosition="0">
        <references count="3">
          <reference field="0" count="1" selected="0">
            <x v="7"/>
          </reference>
          <reference field="1" count="1" selected="0">
            <x v="184"/>
          </reference>
          <reference field="20" count="1">
            <x v="0"/>
          </reference>
        </references>
      </pivotArea>
    </format>
    <format dxfId="843">
      <pivotArea dataOnly="0" labelOnly="1" outline="0" fieldPosition="0">
        <references count="3">
          <reference field="0" count="1" selected="0">
            <x v="7"/>
          </reference>
          <reference field="1" count="1" selected="0">
            <x v="186"/>
          </reference>
          <reference field="20" count="1">
            <x v="0"/>
          </reference>
        </references>
      </pivotArea>
    </format>
    <format dxfId="842">
      <pivotArea dataOnly="0" labelOnly="1" outline="0" fieldPosition="0">
        <references count="3">
          <reference field="0" count="1" selected="0">
            <x v="7"/>
          </reference>
          <reference field="1" count="1" selected="0">
            <x v="193"/>
          </reference>
          <reference field="20" count="1">
            <x v="0"/>
          </reference>
        </references>
      </pivotArea>
    </format>
    <format dxfId="841">
      <pivotArea dataOnly="0" labelOnly="1" outline="0" fieldPosition="0">
        <references count="3">
          <reference field="0" count="1" selected="0">
            <x v="7"/>
          </reference>
          <reference field="1" count="1" selected="0">
            <x v="195"/>
          </reference>
          <reference field="20" count="1">
            <x v="0"/>
          </reference>
        </references>
      </pivotArea>
    </format>
    <format dxfId="840">
      <pivotArea dataOnly="0" labelOnly="1" outline="0" fieldPosition="0">
        <references count="3">
          <reference field="0" count="1" selected="0">
            <x v="7"/>
          </reference>
          <reference field="1" count="1" selected="0">
            <x v="201"/>
          </reference>
          <reference field="20" count="1">
            <x v="0"/>
          </reference>
        </references>
      </pivotArea>
    </format>
    <format dxfId="839">
      <pivotArea dataOnly="0" labelOnly="1" outline="0" fieldPosition="0">
        <references count="3">
          <reference field="0" count="1" selected="0">
            <x v="7"/>
          </reference>
          <reference field="1" count="1" selected="0">
            <x v="202"/>
          </reference>
          <reference field="20" count="1">
            <x v="0"/>
          </reference>
        </references>
      </pivotArea>
    </format>
    <format dxfId="838">
      <pivotArea dataOnly="0" labelOnly="1" outline="0" fieldPosition="0">
        <references count="3">
          <reference field="0" count="1" selected="0">
            <x v="7"/>
          </reference>
          <reference field="1" count="1" selected="0">
            <x v="209"/>
          </reference>
          <reference field="20" count="1">
            <x v="0"/>
          </reference>
        </references>
      </pivotArea>
    </format>
    <format dxfId="837">
      <pivotArea dataOnly="0" labelOnly="1" outline="0" fieldPosition="0">
        <references count="3">
          <reference field="0" count="1" selected="0">
            <x v="7"/>
          </reference>
          <reference field="1" count="1" selected="0">
            <x v="211"/>
          </reference>
          <reference field="20" count="1">
            <x v="0"/>
          </reference>
        </references>
      </pivotArea>
    </format>
    <format dxfId="836">
      <pivotArea dataOnly="0" labelOnly="1" outline="0" fieldPosition="0">
        <references count="3">
          <reference field="0" count="1" selected="0">
            <x v="7"/>
          </reference>
          <reference field="1" count="1" selected="0">
            <x v="216"/>
          </reference>
          <reference field="20" count="1">
            <x v="0"/>
          </reference>
        </references>
      </pivotArea>
    </format>
    <format dxfId="835">
      <pivotArea dataOnly="0" labelOnly="1" outline="0" fieldPosition="0">
        <references count="3">
          <reference field="0" count="1" selected="0">
            <x v="7"/>
          </reference>
          <reference field="1" count="1" selected="0">
            <x v="220"/>
          </reference>
          <reference field="20" count="1">
            <x v="0"/>
          </reference>
        </references>
      </pivotArea>
    </format>
    <format dxfId="834">
      <pivotArea dataOnly="0" labelOnly="1" outline="0" fieldPosition="0">
        <references count="3">
          <reference field="0" count="1" selected="0">
            <x v="7"/>
          </reference>
          <reference field="1" count="1" selected="0">
            <x v="222"/>
          </reference>
          <reference field="20" count="1">
            <x v="0"/>
          </reference>
        </references>
      </pivotArea>
    </format>
    <format dxfId="833">
      <pivotArea dataOnly="0" labelOnly="1" outline="0" fieldPosition="0">
        <references count="3">
          <reference field="0" count="1" selected="0">
            <x v="7"/>
          </reference>
          <reference field="1" count="1" selected="0">
            <x v="231"/>
          </reference>
          <reference field="20" count="1">
            <x v="0"/>
          </reference>
        </references>
      </pivotArea>
    </format>
    <format dxfId="832">
      <pivotArea dataOnly="0" labelOnly="1" outline="0" fieldPosition="0">
        <references count="3">
          <reference field="0" count="1" selected="0">
            <x v="7"/>
          </reference>
          <reference field="1" count="1" selected="0">
            <x v="233"/>
          </reference>
          <reference field="20" count="1">
            <x v="0"/>
          </reference>
        </references>
      </pivotArea>
    </format>
    <format dxfId="831">
      <pivotArea dataOnly="0" labelOnly="1" outline="0" fieldPosition="0">
        <references count="3">
          <reference field="0" count="1" selected="0">
            <x v="7"/>
          </reference>
          <reference field="1" count="1" selected="0">
            <x v="237"/>
          </reference>
          <reference field="20" count="1">
            <x v="0"/>
          </reference>
        </references>
      </pivotArea>
    </format>
    <format dxfId="830">
      <pivotArea dataOnly="0" labelOnly="1" outline="0" fieldPosition="0">
        <references count="3">
          <reference field="0" count="1" selected="0">
            <x v="7"/>
          </reference>
          <reference field="1" count="1" selected="0">
            <x v="239"/>
          </reference>
          <reference field="20" count="1">
            <x v="0"/>
          </reference>
        </references>
      </pivotArea>
    </format>
    <format dxfId="829">
      <pivotArea dataOnly="0" labelOnly="1" outline="0" fieldPosition="0">
        <references count="3">
          <reference field="0" count="1" selected="0">
            <x v="7"/>
          </reference>
          <reference field="1" count="1" selected="0">
            <x v="247"/>
          </reference>
          <reference field="20" count="1">
            <x v="0"/>
          </reference>
        </references>
      </pivotArea>
    </format>
    <format dxfId="828">
      <pivotArea dataOnly="0" labelOnly="1" outline="0" fieldPosition="0">
        <references count="3">
          <reference field="0" count="1" selected="0">
            <x v="7"/>
          </reference>
          <reference field="1" count="1" selected="0">
            <x v="261"/>
          </reference>
          <reference field="20" count="1">
            <x v="0"/>
          </reference>
        </references>
      </pivotArea>
    </format>
    <format dxfId="827">
      <pivotArea dataOnly="0" labelOnly="1" outline="0" fieldPosition="0">
        <references count="3">
          <reference field="0" count="1" selected="0">
            <x v="7"/>
          </reference>
          <reference field="1" count="1" selected="0">
            <x v="277"/>
          </reference>
          <reference field="20" count="1">
            <x v="0"/>
          </reference>
        </references>
      </pivotArea>
    </format>
    <format dxfId="826">
      <pivotArea dataOnly="0" labelOnly="1" outline="0" fieldPosition="0">
        <references count="3">
          <reference field="0" count="1" selected="0">
            <x v="7"/>
          </reference>
          <reference field="1" count="1" selected="0">
            <x v="281"/>
          </reference>
          <reference field="20" count="1">
            <x v="0"/>
          </reference>
        </references>
      </pivotArea>
    </format>
    <format dxfId="825">
      <pivotArea dataOnly="0" labelOnly="1" outline="0" fieldPosition="0">
        <references count="3">
          <reference field="0" count="1" selected="0">
            <x v="7"/>
          </reference>
          <reference field="1" count="1" selected="0">
            <x v="287"/>
          </reference>
          <reference field="20" count="1">
            <x v="0"/>
          </reference>
        </references>
      </pivotArea>
    </format>
    <format dxfId="824">
      <pivotArea dataOnly="0" labelOnly="1" outline="0" fieldPosition="0">
        <references count="3">
          <reference field="0" count="1" selected="0">
            <x v="7"/>
          </reference>
          <reference field="1" count="1" selected="0">
            <x v="293"/>
          </reference>
          <reference field="20" count="1">
            <x v="23"/>
          </reference>
        </references>
      </pivotArea>
    </format>
    <format dxfId="823">
      <pivotArea dataOnly="0" labelOnly="1" outline="0" fieldPosition="0">
        <references count="3">
          <reference field="0" count="1" selected="0">
            <x v="7"/>
          </reference>
          <reference field="1" count="1" selected="0">
            <x v="299"/>
          </reference>
          <reference field="20" count="1">
            <x v="25"/>
          </reference>
        </references>
      </pivotArea>
    </format>
    <format dxfId="822">
      <pivotArea dataOnly="0" labelOnly="1" outline="0" fieldPosition="0">
        <references count="3">
          <reference field="0" count="1" selected="0">
            <x v="7"/>
          </reference>
          <reference field="1" count="1" selected="0">
            <x v="301"/>
          </reference>
          <reference field="20" count="1">
            <x v="0"/>
          </reference>
        </references>
      </pivotArea>
    </format>
    <format dxfId="821">
      <pivotArea dataOnly="0" labelOnly="1" outline="0" fieldPosition="0">
        <references count="3">
          <reference field="0" count="1" selected="0">
            <x v="7"/>
          </reference>
          <reference field="1" count="1" selected="0">
            <x v="302"/>
          </reference>
          <reference field="20" count="1">
            <x v="0"/>
          </reference>
        </references>
      </pivotArea>
    </format>
    <format dxfId="820">
      <pivotArea dataOnly="0" labelOnly="1" outline="0" fieldPosition="0">
        <references count="3">
          <reference field="0" count="1" selected="0">
            <x v="7"/>
          </reference>
          <reference field="1" count="1" selected="0">
            <x v="303"/>
          </reference>
          <reference field="20" count="1">
            <x v="0"/>
          </reference>
        </references>
      </pivotArea>
    </format>
    <format dxfId="819">
      <pivotArea dataOnly="0" labelOnly="1" outline="0" fieldPosition="0">
        <references count="3">
          <reference field="0" count="1" selected="0">
            <x v="7"/>
          </reference>
          <reference field="1" count="1" selected="0">
            <x v="304"/>
          </reference>
          <reference field="20" count="1">
            <x v="0"/>
          </reference>
        </references>
      </pivotArea>
    </format>
    <format dxfId="818">
      <pivotArea dataOnly="0" labelOnly="1" outline="0" fieldPosition="0">
        <references count="3">
          <reference field="0" count="1" selected="0">
            <x v="7"/>
          </reference>
          <reference field="1" count="1" selected="0">
            <x v="311"/>
          </reference>
          <reference field="20" count="1">
            <x v="27"/>
          </reference>
        </references>
      </pivotArea>
    </format>
    <format dxfId="817">
      <pivotArea dataOnly="0" labelOnly="1" outline="0" fieldPosition="0">
        <references count="3">
          <reference field="0" count="1" selected="0">
            <x v="7"/>
          </reference>
          <reference field="1" count="1" selected="0">
            <x v="314"/>
          </reference>
          <reference field="20" count="1">
            <x v="0"/>
          </reference>
        </references>
      </pivotArea>
    </format>
    <format dxfId="816">
      <pivotArea dataOnly="0" labelOnly="1" outline="0" fieldPosition="0">
        <references count="3">
          <reference field="0" count="1" selected="0">
            <x v="7"/>
          </reference>
          <reference field="1" count="1" selected="0">
            <x v="332"/>
          </reference>
          <reference field="20" count="1">
            <x v="0"/>
          </reference>
        </references>
      </pivotArea>
    </format>
    <format dxfId="815">
      <pivotArea dataOnly="0" labelOnly="1" outline="0" fieldPosition="0">
        <references count="3">
          <reference field="0" count="1" selected="0">
            <x v="7"/>
          </reference>
          <reference field="1" count="1" selected="0">
            <x v="338"/>
          </reference>
          <reference field="20" count="1">
            <x v="37"/>
          </reference>
        </references>
      </pivotArea>
    </format>
    <format dxfId="814">
      <pivotArea dataOnly="0" labelOnly="1" outline="0" fieldPosition="0">
        <references count="3">
          <reference field="0" count="1" selected="0">
            <x v="7"/>
          </reference>
          <reference field="1" count="1" selected="0">
            <x v="341"/>
          </reference>
          <reference field="20" count="1">
            <x v="0"/>
          </reference>
        </references>
      </pivotArea>
    </format>
    <format dxfId="813">
      <pivotArea dataOnly="0" labelOnly="1" outline="0" fieldPosition="0">
        <references count="3">
          <reference field="0" count="1" selected="0">
            <x v="7"/>
          </reference>
          <reference field="1" count="1" selected="0">
            <x v="349"/>
          </reference>
          <reference field="20" count="1">
            <x v="0"/>
          </reference>
        </references>
      </pivotArea>
    </format>
    <format dxfId="812">
      <pivotArea dataOnly="0" labelOnly="1" outline="0" fieldPosition="0">
        <references count="3">
          <reference field="0" count="1" selected="0">
            <x v="7"/>
          </reference>
          <reference field="1" count="1" selected="0">
            <x v="381"/>
          </reference>
          <reference field="20" count="1">
            <x v="0"/>
          </reference>
        </references>
      </pivotArea>
    </format>
    <format dxfId="811">
      <pivotArea dataOnly="0" labelOnly="1" outline="0" fieldPosition="0">
        <references count="3">
          <reference field="0" count="1" selected="0">
            <x v="7"/>
          </reference>
          <reference field="1" count="1" selected="0">
            <x v="388"/>
          </reference>
          <reference field="20" count="1">
            <x v="0"/>
          </reference>
        </references>
      </pivotArea>
    </format>
    <format dxfId="810">
      <pivotArea dataOnly="0" labelOnly="1" outline="0" fieldPosition="0">
        <references count="3">
          <reference field="0" count="1" selected="0">
            <x v="7"/>
          </reference>
          <reference field="1" count="1" selected="0">
            <x v="389"/>
          </reference>
          <reference field="20" count="1">
            <x v="0"/>
          </reference>
        </references>
      </pivotArea>
    </format>
    <format dxfId="809">
      <pivotArea dataOnly="0" labelOnly="1" outline="0" fieldPosition="0">
        <references count="3">
          <reference field="0" count="1" selected="0">
            <x v="7"/>
          </reference>
          <reference field="1" count="1" selected="0">
            <x v="390"/>
          </reference>
          <reference field="20" count="1">
            <x v="0"/>
          </reference>
        </references>
      </pivotArea>
    </format>
    <format dxfId="808">
      <pivotArea dataOnly="0" labelOnly="1" outline="0" fieldPosition="0">
        <references count="3">
          <reference field="0" count="1" selected="0">
            <x v="7"/>
          </reference>
          <reference field="1" count="1" selected="0">
            <x v="391"/>
          </reference>
          <reference field="20" count="1">
            <x v="0"/>
          </reference>
        </references>
      </pivotArea>
    </format>
    <format dxfId="807">
      <pivotArea dataOnly="0" labelOnly="1" outline="0" fieldPosition="0">
        <references count="3">
          <reference field="0" count="1" selected="0">
            <x v="7"/>
          </reference>
          <reference field="1" count="1" selected="0">
            <x v="400"/>
          </reference>
          <reference field="20" count="1">
            <x v="0"/>
          </reference>
        </references>
      </pivotArea>
    </format>
    <format dxfId="806">
      <pivotArea dataOnly="0" labelOnly="1" outline="0" fieldPosition="0">
        <references count="3">
          <reference field="0" count="1" selected="0">
            <x v="7"/>
          </reference>
          <reference field="1" count="1" selected="0">
            <x v="401"/>
          </reference>
          <reference field="20" count="1">
            <x v="0"/>
          </reference>
        </references>
      </pivotArea>
    </format>
    <format dxfId="805">
      <pivotArea dataOnly="0" labelOnly="1" outline="0" fieldPosition="0">
        <references count="3">
          <reference field="0" count="1" selected="0">
            <x v="7"/>
          </reference>
          <reference field="1" count="1" selected="0">
            <x v="403"/>
          </reference>
          <reference field="20" count="1">
            <x v="0"/>
          </reference>
        </references>
      </pivotArea>
    </format>
    <format dxfId="804">
      <pivotArea dataOnly="0" labelOnly="1" outline="0" fieldPosition="0">
        <references count="3">
          <reference field="0" count="1" selected="0">
            <x v="7"/>
          </reference>
          <reference field="1" count="1" selected="0">
            <x v="404"/>
          </reference>
          <reference field="20" count="1">
            <x v="0"/>
          </reference>
        </references>
      </pivotArea>
    </format>
    <format dxfId="803">
      <pivotArea dataOnly="0" labelOnly="1" outline="0" fieldPosition="0">
        <references count="3">
          <reference field="0" count="1" selected="0">
            <x v="7"/>
          </reference>
          <reference field="1" count="1" selected="0">
            <x v="405"/>
          </reference>
          <reference field="20" count="1">
            <x v="0"/>
          </reference>
        </references>
      </pivotArea>
    </format>
    <format dxfId="802">
      <pivotArea dataOnly="0" labelOnly="1" outline="0" fieldPosition="0">
        <references count="3">
          <reference field="0" count="1" selected="0">
            <x v="7"/>
          </reference>
          <reference field="1" count="1" selected="0">
            <x v="407"/>
          </reference>
          <reference field="20" count="1">
            <x v="0"/>
          </reference>
        </references>
      </pivotArea>
    </format>
    <format dxfId="801">
      <pivotArea dataOnly="0" labelOnly="1" outline="0" fieldPosition="0">
        <references count="3">
          <reference field="0" count="1" selected="0">
            <x v="7"/>
          </reference>
          <reference field="1" count="1" selected="0">
            <x v="408"/>
          </reference>
          <reference field="20" count="1">
            <x v="0"/>
          </reference>
        </references>
      </pivotArea>
    </format>
    <format dxfId="800">
      <pivotArea dataOnly="0" labelOnly="1" outline="0" fieldPosition="0">
        <references count="3">
          <reference field="0" count="1" selected="0">
            <x v="7"/>
          </reference>
          <reference field="1" count="1" selected="0">
            <x v="422"/>
          </reference>
          <reference field="20" count="1">
            <x v="0"/>
          </reference>
        </references>
      </pivotArea>
    </format>
    <format dxfId="799">
      <pivotArea dataOnly="0" labelOnly="1" outline="0" fieldPosition="0">
        <references count="3">
          <reference field="0" count="1" selected="0">
            <x v="7"/>
          </reference>
          <reference field="1" count="1" selected="0">
            <x v="429"/>
          </reference>
          <reference field="20" count="1">
            <x v="0"/>
          </reference>
        </references>
      </pivotArea>
    </format>
    <format dxfId="798">
      <pivotArea dataOnly="0" labelOnly="1" outline="0" fieldPosition="0">
        <references count="3">
          <reference field="0" count="1" selected="0">
            <x v="7"/>
          </reference>
          <reference field="1" count="1" selected="0">
            <x v="434"/>
          </reference>
          <reference field="20" count="1">
            <x v="0"/>
          </reference>
        </references>
      </pivotArea>
    </format>
    <format dxfId="797">
      <pivotArea dataOnly="0" labelOnly="1" outline="0" fieldPosition="0">
        <references count="3">
          <reference field="0" count="1" selected="0">
            <x v="7"/>
          </reference>
          <reference field="1" count="1" selected="0">
            <x v="436"/>
          </reference>
          <reference field="20" count="1">
            <x v="0"/>
          </reference>
        </references>
      </pivotArea>
    </format>
    <format dxfId="796">
      <pivotArea dataOnly="0" labelOnly="1" outline="0" fieldPosition="0">
        <references count="3">
          <reference field="0" count="1" selected="0">
            <x v="7"/>
          </reference>
          <reference field="1" count="1" selected="0">
            <x v="450"/>
          </reference>
          <reference field="20" count="1">
            <x v="65"/>
          </reference>
        </references>
      </pivotArea>
    </format>
    <format dxfId="795">
      <pivotArea dataOnly="0" labelOnly="1" outline="0" fieldPosition="0">
        <references count="3">
          <reference field="0" count="1" selected="0">
            <x v="7"/>
          </reference>
          <reference field="1" count="1" selected="0">
            <x v="451"/>
          </reference>
          <reference field="20" count="1">
            <x v="0"/>
          </reference>
        </references>
      </pivotArea>
    </format>
    <format dxfId="794">
      <pivotArea dataOnly="0" labelOnly="1" outline="0" fieldPosition="0">
        <references count="3">
          <reference field="0" count="1" selected="0">
            <x v="7"/>
          </reference>
          <reference field="1" count="1" selected="0">
            <x v="454"/>
          </reference>
          <reference field="20" count="1">
            <x v="0"/>
          </reference>
        </references>
      </pivotArea>
    </format>
    <format dxfId="793">
      <pivotArea dataOnly="0" labelOnly="1" outline="0" fieldPosition="0">
        <references count="3">
          <reference field="0" count="1" selected="0">
            <x v="7"/>
          </reference>
          <reference field="1" count="1" selected="0">
            <x v="455"/>
          </reference>
          <reference field="20" count="1">
            <x v="66"/>
          </reference>
        </references>
      </pivotArea>
    </format>
    <format dxfId="792">
      <pivotArea dataOnly="0" labelOnly="1" outline="0" fieldPosition="0">
        <references count="3">
          <reference field="0" count="1" selected="0">
            <x v="7"/>
          </reference>
          <reference field="1" count="1" selected="0">
            <x v="457"/>
          </reference>
          <reference field="20" count="1">
            <x v="0"/>
          </reference>
        </references>
      </pivotArea>
    </format>
    <format dxfId="791">
      <pivotArea dataOnly="0" labelOnly="1" outline="0" fieldPosition="0">
        <references count="3">
          <reference field="0" count="1" selected="0">
            <x v="7"/>
          </reference>
          <reference field="1" count="1" selected="0">
            <x v="461"/>
          </reference>
          <reference field="20" count="1">
            <x v="0"/>
          </reference>
        </references>
      </pivotArea>
    </format>
    <format dxfId="790">
      <pivotArea dataOnly="0" labelOnly="1" outline="0" fieldPosition="0">
        <references count="3">
          <reference field="0" count="1" selected="0">
            <x v="7"/>
          </reference>
          <reference field="1" count="1" selected="0">
            <x v="465"/>
          </reference>
          <reference field="20" count="1">
            <x v="0"/>
          </reference>
        </references>
      </pivotArea>
    </format>
    <format dxfId="789">
      <pivotArea dataOnly="0" labelOnly="1" outline="0" fieldPosition="0">
        <references count="3">
          <reference field="0" count="1" selected="0">
            <x v="7"/>
          </reference>
          <reference field="1" count="1" selected="0">
            <x v="469"/>
          </reference>
          <reference field="20" count="1">
            <x v="0"/>
          </reference>
        </references>
      </pivotArea>
    </format>
    <format dxfId="788">
      <pivotArea dataOnly="0" labelOnly="1" outline="0" fieldPosition="0">
        <references count="3">
          <reference field="0" count="1" selected="0">
            <x v="7"/>
          </reference>
          <reference field="1" count="1" selected="0">
            <x v="480"/>
          </reference>
          <reference field="20" count="1">
            <x v="70"/>
          </reference>
        </references>
      </pivotArea>
    </format>
    <format dxfId="787">
      <pivotArea dataOnly="0" labelOnly="1" outline="0" fieldPosition="0">
        <references count="3">
          <reference field="0" count="1" selected="0">
            <x v="7"/>
          </reference>
          <reference field="1" count="1" selected="0">
            <x v="488"/>
          </reference>
          <reference field="20" count="1">
            <x v="0"/>
          </reference>
        </references>
      </pivotArea>
    </format>
    <format dxfId="786">
      <pivotArea dataOnly="0" labelOnly="1" outline="0" fieldPosition="0">
        <references count="3">
          <reference field="0" count="1" selected="0">
            <x v="7"/>
          </reference>
          <reference field="1" count="1" selected="0">
            <x v="499"/>
          </reference>
          <reference field="20" count="1">
            <x v="0"/>
          </reference>
        </references>
      </pivotArea>
    </format>
    <format dxfId="785">
      <pivotArea dataOnly="0" labelOnly="1" outline="0" fieldPosition="0">
        <references count="3">
          <reference field="0" count="1" selected="0">
            <x v="7"/>
          </reference>
          <reference field="1" count="1" selected="0">
            <x v="507"/>
          </reference>
          <reference field="20" count="1">
            <x v="0"/>
          </reference>
        </references>
      </pivotArea>
    </format>
    <format dxfId="784">
      <pivotArea dataOnly="0" labelOnly="1" outline="0" fieldPosition="0">
        <references count="3">
          <reference field="0" count="1" selected="0">
            <x v="7"/>
          </reference>
          <reference field="1" count="1" selected="0">
            <x v="508"/>
          </reference>
          <reference field="20" count="1">
            <x v="0"/>
          </reference>
        </references>
      </pivotArea>
    </format>
    <format dxfId="783">
      <pivotArea dataOnly="0" labelOnly="1" outline="0" fieldPosition="0">
        <references count="3">
          <reference field="0" count="1" selected="0">
            <x v="7"/>
          </reference>
          <reference field="1" count="1" selected="0">
            <x v="514"/>
          </reference>
          <reference field="20" count="1">
            <x v="0"/>
          </reference>
        </references>
      </pivotArea>
    </format>
    <format dxfId="782">
      <pivotArea dataOnly="0" labelOnly="1" outline="0" fieldPosition="0">
        <references count="3">
          <reference field="0" count="1" selected="0">
            <x v="7"/>
          </reference>
          <reference field="1" count="1" selected="0">
            <x v="515"/>
          </reference>
          <reference field="20" count="1">
            <x v="0"/>
          </reference>
        </references>
      </pivotArea>
    </format>
    <format dxfId="781">
      <pivotArea dataOnly="0" labelOnly="1" outline="0" fieldPosition="0">
        <references count="3">
          <reference field="0" count="1" selected="0">
            <x v="7"/>
          </reference>
          <reference field="1" count="1" selected="0">
            <x v="518"/>
          </reference>
          <reference field="20" count="1">
            <x v="0"/>
          </reference>
        </references>
      </pivotArea>
    </format>
    <format dxfId="780">
      <pivotArea dataOnly="0" labelOnly="1" outline="0" fieldPosition="0">
        <references count="3">
          <reference field="0" count="1" selected="0">
            <x v="7"/>
          </reference>
          <reference field="1" count="1" selected="0">
            <x v="520"/>
          </reference>
          <reference field="20" count="1">
            <x v="0"/>
          </reference>
        </references>
      </pivotArea>
    </format>
    <format dxfId="779">
      <pivotArea dataOnly="0" labelOnly="1" outline="0" fieldPosition="0">
        <references count="3">
          <reference field="0" count="1" selected="0">
            <x v="7"/>
          </reference>
          <reference field="1" count="1" selected="0">
            <x v="521"/>
          </reference>
          <reference field="20" count="1">
            <x v="0"/>
          </reference>
        </references>
      </pivotArea>
    </format>
    <format dxfId="778">
      <pivotArea dataOnly="0" labelOnly="1" outline="0" fieldPosition="0">
        <references count="3">
          <reference field="0" count="1" selected="0">
            <x v="7"/>
          </reference>
          <reference field="1" count="1" selected="0">
            <x v="534"/>
          </reference>
          <reference field="20" count="1">
            <x v="75"/>
          </reference>
        </references>
      </pivotArea>
    </format>
    <format dxfId="777">
      <pivotArea dataOnly="0" labelOnly="1" outline="0" fieldPosition="0">
        <references count="3">
          <reference field="0" count="1" selected="0">
            <x v="7"/>
          </reference>
          <reference field="1" count="1" selected="0">
            <x v="536"/>
          </reference>
          <reference field="20" count="1">
            <x v="76"/>
          </reference>
        </references>
      </pivotArea>
    </format>
    <format dxfId="776">
      <pivotArea dataOnly="0" labelOnly="1" outline="0" fieldPosition="0">
        <references count="3">
          <reference field="0" count="1" selected="0">
            <x v="7"/>
          </reference>
          <reference field="1" count="1" selected="0">
            <x v="549"/>
          </reference>
          <reference field="20" count="1">
            <x v="0"/>
          </reference>
        </references>
      </pivotArea>
    </format>
    <format dxfId="775">
      <pivotArea dataOnly="0" labelOnly="1" outline="0" fieldPosition="0">
        <references count="3">
          <reference field="0" count="1" selected="0">
            <x v="7"/>
          </reference>
          <reference field="1" count="1" selected="0">
            <x v="550"/>
          </reference>
          <reference field="20" count="1">
            <x v="0"/>
          </reference>
        </references>
      </pivotArea>
    </format>
    <format dxfId="774">
      <pivotArea dataOnly="0" labelOnly="1" outline="0" fieldPosition="0">
        <references count="3">
          <reference field="0" count="1" selected="0">
            <x v="7"/>
          </reference>
          <reference field="1" count="1" selected="0">
            <x v="552"/>
          </reference>
          <reference field="20" count="1">
            <x v="0"/>
          </reference>
        </references>
      </pivotArea>
    </format>
    <format dxfId="773">
      <pivotArea dataOnly="0" labelOnly="1" outline="0" fieldPosition="0">
        <references count="3">
          <reference field="0" count="1" selected="0">
            <x v="7"/>
          </reference>
          <reference field="1" count="1" selected="0">
            <x v="554"/>
          </reference>
          <reference field="20" count="1">
            <x v="0"/>
          </reference>
        </references>
      </pivotArea>
    </format>
    <format dxfId="772">
      <pivotArea dataOnly="0" labelOnly="1" outline="0" fieldPosition="0">
        <references count="3">
          <reference field="0" count="1" selected="0">
            <x v="7"/>
          </reference>
          <reference field="1" count="1" selected="0">
            <x v="556"/>
          </reference>
          <reference field="20" count="1">
            <x v="0"/>
          </reference>
        </references>
      </pivotArea>
    </format>
    <format dxfId="771">
      <pivotArea dataOnly="0" labelOnly="1" outline="0" fieldPosition="0">
        <references count="3">
          <reference field="0" count="1" selected="0">
            <x v="7"/>
          </reference>
          <reference field="1" count="1" selected="0">
            <x v="557"/>
          </reference>
          <reference field="20" count="1">
            <x v="0"/>
          </reference>
        </references>
      </pivotArea>
    </format>
    <format dxfId="770">
      <pivotArea dataOnly="0" labelOnly="1" outline="0" fieldPosition="0">
        <references count="3">
          <reference field="0" count="1" selected="0">
            <x v="7"/>
          </reference>
          <reference field="1" count="1" selected="0">
            <x v="558"/>
          </reference>
          <reference field="20" count="1">
            <x v="0"/>
          </reference>
        </references>
      </pivotArea>
    </format>
    <format dxfId="769">
      <pivotArea dataOnly="0" labelOnly="1" outline="0" fieldPosition="0">
        <references count="3">
          <reference field="0" count="1" selected="0">
            <x v="7"/>
          </reference>
          <reference field="1" count="1" selected="0">
            <x v="564"/>
          </reference>
          <reference field="20" count="1">
            <x v="79"/>
          </reference>
        </references>
      </pivotArea>
    </format>
    <format dxfId="768">
      <pivotArea dataOnly="0" labelOnly="1" outline="0" fieldPosition="0">
        <references count="3">
          <reference field="0" count="1" selected="0">
            <x v="7"/>
          </reference>
          <reference field="1" count="1" selected="0">
            <x v="565"/>
          </reference>
          <reference field="20" count="1">
            <x v="0"/>
          </reference>
        </references>
      </pivotArea>
    </format>
    <format dxfId="767">
      <pivotArea dataOnly="0" labelOnly="1" outline="0" fieldPosition="0">
        <references count="3">
          <reference field="0" count="1" selected="0">
            <x v="7"/>
          </reference>
          <reference field="1" count="1" selected="0">
            <x v="569"/>
          </reference>
          <reference field="20" count="1">
            <x v="0"/>
          </reference>
        </references>
      </pivotArea>
    </format>
    <format dxfId="766">
      <pivotArea dataOnly="0" labelOnly="1" outline="0" fieldPosition="0">
        <references count="3">
          <reference field="0" count="1" selected="0">
            <x v="7"/>
          </reference>
          <reference field="1" count="1" selected="0">
            <x v="573"/>
          </reference>
          <reference field="20" count="1">
            <x v="0"/>
          </reference>
        </references>
      </pivotArea>
    </format>
    <format dxfId="765">
      <pivotArea dataOnly="0" labelOnly="1" outline="0" fieldPosition="0">
        <references count="3">
          <reference field="0" count="1" selected="0">
            <x v="7"/>
          </reference>
          <reference field="1" count="1" selected="0">
            <x v="575"/>
          </reference>
          <reference field="20" count="1">
            <x v="83"/>
          </reference>
        </references>
      </pivotArea>
    </format>
    <format dxfId="764">
      <pivotArea dataOnly="0" labelOnly="1" outline="0" fieldPosition="0">
        <references count="3">
          <reference field="0" count="1" selected="0">
            <x v="7"/>
          </reference>
          <reference field="1" count="1" selected="0">
            <x v="580"/>
          </reference>
          <reference field="20" count="1">
            <x v="85"/>
          </reference>
        </references>
      </pivotArea>
    </format>
    <format dxfId="763">
      <pivotArea dataOnly="0" labelOnly="1" outline="0" fieldPosition="0">
        <references count="3">
          <reference field="0" count="1" selected="0">
            <x v="7"/>
          </reference>
          <reference field="1" count="1" selected="0">
            <x v="589"/>
          </reference>
          <reference field="20" count="1">
            <x v="0"/>
          </reference>
        </references>
      </pivotArea>
    </format>
    <format dxfId="762">
      <pivotArea dataOnly="0" labelOnly="1" outline="0" fieldPosition="0">
        <references count="3">
          <reference field="0" count="1" selected="0">
            <x v="7"/>
          </reference>
          <reference field="1" count="1" selected="0">
            <x v="590"/>
          </reference>
          <reference field="20" count="1">
            <x v="0"/>
          </reference>
        </references>
      </pivotArea>
    </format>
    <format dxfId="761">
      <pivotArea dataOnly="0" labelOnly="1" outline="0" fieldPosition="0">
        <references count="3">
          <reference field="0" count="1" selected="0">
            <x v="7"/>
          </reference>
          <reference field="1" count="1" selected="0">
            <x v="592"/>
          </reference>
          <reference field="20" count="1">
            <x v="88"/>
          </reference>
        </references>
      </pivotArea>
    </format>
    <format dxfId="760">
      <pivotArea dataOnly="0" labelOnly="1" outline="0" fieldPosition="0">
        <references count="3">
          <reference field="0" count="1" selected="0">
            <x v="7"/>
          </reference>
          <reference field="1" count="1" selected="0">
            <x v="593"/>
          </reference>
          <reference field="20" count="1">
            <x v="89"/>
          </reference>
        </references>
      </pivotArea>
    </format>
    <format dxfId="759">
      <pivotArea dataOnly="0" labelOnly="1" outline="0" fieldPosition="0">
        <references count="3">
          <reference field="0" count="1" selected="0">
            <x v="7"/>
          </reference>
          <reference field="1" count="1" selected="0">
            <x v="594"/>
          </reference>
          <reference field="20" count="1">
            <x v="0"/>
          </reference>
        </references>
      </pivotArea>
    </format>
    <format dxfId="758">
      <pivotArea dataOnly="0" labelOnly="1" outline="0" fieldPosition="0">
        <references count="3">
          <reference field="0" count="1" selected="0">
            <x v="7"/>
          </reference>
          <reference field="1" count="1" selected="0">
            <x v="596"/>
          </reference>
          <reference field="20" count="1">
            <x v="91"/>
          </reference>
        </references>
      </pivotArea>
    </format>
    <format dxfId="757">
      <pivotArea dataOnly="0" labelOnly="1" outline="0" fieldPosition="0">
        <references count="3">
          <reference field="0" count="1" selected="0">
            <x v="7"/>
          </reference>
          <reference field="1" count="1" selected="0">
            <x v="602"/>
          </reference>
          <reference field="20" count="1">
            <x v="0"/>
          </reference>
        </references>
      </pivotArea>
    </format>
    <format dxfId="756">
      <pivotArea dataOnly="0" labelOnly="1" outline="0" fieldPosition="0">
        <references count="3">
          <reference field="0" count="1" selected="0">
            <x v="7"/>
          </reference>
          <reference field="1" count="1" selected="0">
            <x v="611"/>
          </reference>
          <reference field="20" count="1">
            <x v="0"/>
          </reference>
        </references>
      </pivotArea>
    </format>
    <format dxfId="755">
      <pivotArea dataOnly="0" labelOnly="1" outline="0" fieldPosition="0">
        <references count="3">
          <reference field="0" count="1" selected="0">
            <x v="7"/>
          </reference>
          <reference field="1" count="1" selected="0">
            <x v="612"/>
          </reference>
          <reference field="20" count="1">
            <x v="92"/>
          </reference>
        </references>
      </pivotArea>
    </format>
    <format dxfId="754">
      <pivotArea dataOnly="0" labelOnly="1" outline="0" fieldPosition="0">
        <references count="3">
          <reference field="0" count="1" selected="0">
            <x v="7"/>
          </reference>
          <reference field="1" count="1" selected="0">
            <x v="614"/>
          </reference>
          <reference field="20" count="1">
            <x v="0"/>
          </reference>
        </references>
      </pivotArea>
    </format>
    <format dxfId="753">
      <pivotArea dataOnly="0" labelOnly="1" outline="0" fieldPosition="0">
        <references count="3">
          <reference field="0" count="1" selected="0">
            <x v="7"/>
          </reference>
          <reference field="1" count="1" selected="0">
            <x v="620"/>
          </reference>
          <reference field="20" count="1">
            <x v="0"/>
          </reference>
        </references>
      </pivotArea>
    </format>
    <format dxfId="752">
      <pivotArea dataOnly="0" labelOnly="1" outline="0" fieldPosition="0">
        <references count="3">
          <reference field="0" count="1" selected="0">
            <x v="7"/>
          </reference>
          <reference field="1" count="1" selected="0">
            <x v="622"/>
          </reference>
          <reference field="20" count="1">
            <x v="0"/>
          </reference>
        </references>
      </pivotArea>
    </format>
    <format dxfId="751">
      <pivotArea dataOnly="0" labelOnly="1" outline="0" fieldPosition="0">
        <references count="3">
          <reference field="0" count="1" selected="0">
            <x v="7"/>
          </reference>
          <reference field="1" count="1" selected="0">
            <x v="628"/>
          </reference>
          <reference field="20" count="1">
            <x v="0"/>
          </reference>
        </references>
      </pivotArea>
    </format>
    <format dxfId="750">
      <pivotArea dataOnly="0" labelOnly="1" outline="0" fieldPosition="0">
        <references count="3">
          <reference field="0" count="1" selected="0">
            <x v="7"/>
          </reference>
          <reference field="1" count="1" selected="0">
            <x v="654"/>
          </reference>
          <reference field="20" count="1">
            <x v="0"/>
          </reference>
        </references>
      </pivotArea>
    </format>
    <format dxfId="749">
      <pivotArea dataOnly="0" labelOnly="1" outline="0" fieldPosition="0">
        <references count="3">
          <reference field="0" count="1" selected="0">
            <x v="7"/>
          </reference>
          <reference field="1" count="1" selected="0">
            <x v="657"/>
          </reference>
          <reference field="20" count="1">
            <x v="0"/>
          </reference>
        </references>
      </pivotArea>
    </format>
    <format dxfId="748">
      <pivotArea dataOnly="0" labelOnly="1" outline="0" fieldPosition="0">
        <references count="3">
          <reference field="0" count="1" selected="0">
            <x v="7"/>
          </reference>
          <reference field="1" count="1" selected="0">
            <x v="659"/>
          </reference>
          <reference field="20" count="1">
            <x v="0"/>
          </reference>
        </references>
      </pivotArea>
    </format>
    <format dxfId="747">
      <pivotArea dataOnly="0" labelOnly="1" outline="0" fieldPosition="0">
        <references count="3">
          <reference field="0" count="1" selected="0">
            <x v="7"/>
          </reference>
          <reference field="1" count="1" selected="0">
            <x v="660"/>
          </reference>
          <reference field="20" count="1">
            <x v="0"/>
          </reference>
        </references>
      </pivotArea>
    </format>
    <format dxfId="746">
      <pivotArea dataOnly="0" labelOnly="1" outline="0" fieldPosition="0">
        <references count="3">
          <reference field="0" count="1" selected="0">
            <x v="7"/>
          </reference>
          <reference field="1" count="1" selected="0">
            <x v="663"/>
          </reference>
          <reference field="20" count="1">
            <x v="0"/>
          </reference>
        </references>
      </pivotArea>
    </format>
    <format dxfId="745">
      <pivotArea dataOnly="0" labelOnly="1" outline="0" fieldPosition="0">
        <references count="3">
          <reference field="0" count="1" selected="0">
            <x v="7"/>
          </reference>
          <reference field="1" count="1" selected="0">
            <x v="664"/>
          </reference>
          <reference field="20" count="1">
            <x v="0"/>
          </reference>
        </references>
      </pivotArea>
    </format>
    <format dxfId="744">
      <pivotArea dataOnly="0" labelOnly="1" outline="0" fieldPosition="0">
        <references count="3">
          <reference field="0" count="1" selected="0">
            <x v="7"/>
          </reference>
          <reference field="1" count="1" selected="0">
            <x v="666"/>
          </reference>
          <reference field="20" count="1">
            <x v="0"/>
          </reference>
        </references>
      </pivotArea>
    </format>
    <format dxfId="743">
      <pivotArea dataOnly="0" labelOnly="1" outline="0" fieldPosition="0">
        <references count="3">
          <reference field="0" count="1" selected="0">
            <x v="7"/>
          </reference>
          <reference field="1" count="1" selected="0">
            <x v="667"/>
          </reference>
          <reference field="20" count="1">
            <x v="0"/>
          </reference>
        </references>
      </pivotArea>
    </format>
    <format dxfId="742">
      <pivotArea dataOnly="0" labelOnly="1" outline="0" fieldPosition="0">
        <references count="3">
          <reference field="0" count="1" selected="0">
            <x v="7"/>
          </reference>
          <reference field="1" count="1" selected="0">
            <x v="680"/>
          </reference>
          <reference field="20" count="1">
            <x v="0"/>
          </reference>
        </references>
      </pivotArea>
    </format>
    <format dxfId="741">
      <pivotArea dataOnly="0" labelOnly="1" outline="0" fieldPosition="0">
        <references count="3">
          <reference field="0" count="1" selected="0">
            <x v="7"/>
          </reference>
          <reference field="1" count="1" selected="0">
            <x v="683"/>
          </reference>
          <reference field="20" count="1">
            <x v="100"/>
          </reference>
        </references>
      </pivotArea>
    </format>
    <format dxfId="740">
      <pivotArea dataOnly="0" labelOnly="1" outline="0" fieldPosition="0">
        <references count="3">
          <reference field="0" count="1" selected="0">
            <x v="7"/>
          </reference>
          <reference field="1" count="1" selected="0">
            <x v="684"/>
          </reference>
          <reference field="20" count="1">
            <x v="102"/>
          </reference>
        </references>
      </pivotArea>
    </format>
    <format dxfId="739">
      <pivotArea dataOnly="0" labelOnly="1" outline="0" fieldPosition="0">
        <references count="3">
          <reference field="0" count="1" selected="0">
            <x v="7"/>
          </reference>
          <reference field="1" count="1" selected="0">
            <x v="686"/>
          </reference>
          <reference field="20" count="1">
            <x v="103"/>
          </reference>
        </references>
      </pivotArea>
    </format>
    <format dxfId="738">
      <pivotArea dataOnly="0" labelOnly="1" outline="0" fieldPosition="0">
        <references count="3">
          <reference field="0" count="1" selected="0">
            <x v="7"/>
          </reference>
          <reference field="1" count="1" selected="0">
            <x v="718"/>
          </reference>
          <reference field="20" count="1">
            <x v="114"/>
          </reference>
        </references>
      </pivotArea>
    </format>
    <format dxfId="737">
      <pivotArea dataOnly="0" labelOnly="1" outline="0" fieldPosition="0">
        <references count="3">
          <reference field="0" count="1" selected="0">
            <x v="7"/>
          </reference>
          <reference field="1" count="1" selected="0">
            <x v="726"/>
          </reference>
          <reference field="20" count="1">
            <x v="116"/>
          </reference>
        </references>
      </pivotArea>
    </format>
    <format dxfId="736">
      <pivotArea dataOnly="0" labelOnly="1" outline="0" fieldPosition="0">
        <references count="3">
          <reference field="0" count="1" selected="0">
            <x v="7"/>
          </reference>
          <reference field="1" count="1" selected="0">
            <x v="732"/>
          </reference>
          <reference field="20" count="1">
            <x v="0"/>
          </reference>
        </references>
      </pivotArea>
    </format>
    <format dxfId="735">
      <pivotArea dataOnly="0" labelOnly="1" outline="0" fieldPosition="0">
        <references count="3">
          <reference field="0" count="1" selected="0">
            <x v="7"/>
          </reference>
          <reference field="1" count="1" selected="0">
            <x v="734"/>
          </reference>
          <reference field="20" count="1">
            <x v="0"/>
          </reference>
        </references>
      </pivotArea>
    </format>
    <format dxfId="734">
      <pivotArea dataOnly="0" labelOnly="1" outline="0" fieldPosition="0">
        <references count="3">
          <reference field="0" count="1" selected="0">
            <x v="7"/>
          </reference>
          <reference field="1" count="1" selected="0">
            <x v="751"/>
          </reference>
          <reference field="20" count="1">
            <x v="125"/>
          </reference>
        </references>
      </pivotArea>
    </format>
    <format dxfId="733">
      <pivotArea dataOnly="0" labelOnly="1" outline="0" fieldPosition="0">
        <references count="3">
          <reference field="0" count="1" selected="0">
            <x v="7"/>
          </reference>
          <reference field="1" count="1" selected="0">
            <x v="752"/>
          </reference>
          <reference field="20" count="1">
            <x v="126"/>
          </reference>
        </references>
      </pivotArea>
    </format>
    <format dxfId="732">
      <pivotArea dataOnly="0" labelOnly="1" outline="0" fieldPosition="0">
        <references count="3">
          <reference field="0" count="1" selected="0">
            <x v="7"/>
          </reference>
          <reference field="1" count="1" selected="0">
            <x v="753"/>
          </reference>
          <reference field="20" count="1">
            <x v="0"/>
          </reference>
        </references>
      </pivotArea>
    </format>
    <format dxfId="731">
      <pivotArea dataOnly="0" labelOnly="1" outline="0" fieldPosition="0">
        <references count="3">
          <reference field="0" count="1" selected="0">
            <x v="7"/>
          </reference>
          <reference field="1" count="1" selected="0">
            <x v="757"/>
          </reference>
          <reference field="20" count="1">
            <x v="0"/>
          </reference>
        </references>
      </pivotArea>
    </format>
    <format dxfId="730">
      <pivotArea dataOnly="0" labelOnly="1" outline="0" fieldPosition="0">
        <references count="3">
          <reference field="0" count="1" selected="0">
            <x v="7"/>
          </reference>
          <reference field="1" count="1" selected="0">
            <x v="760"/>
          </reference>
          <reference field="20" count="1">
            <x v="127"/>
          </reference>
        </references>
      </pivotArea>
    </format>
    <format dxfId="729">
      <pivotArea dataOnly="0" labelOnly="1" outline="0" fieldPosition="0">
        <references count="3">
          <reference field="0" count="1" selected="0">
            <x v="7"/>
          </reference>
          <reference field="1" count="1" selected="0">
            <x v="761"/>
          </reference>
          <reference field="20" count="1">
            <x v="0"/>
          </reference>
        </references>
      </pivotArea>
    </format>
    <format dxfId="728">
      <pivotArea dataOnly="0" labelOnly="1" outline="0" fieldPosition="0">
        <references count="3">
          <reference field="0" count="1" selected="0">
            <x v="7"/>
          </reference>
          <reference field="1" count="1" selected="0">
            <x v="763"/>
          </reference>
          <reference field="20" count="1">
            <x v="0"/>
          </reference>
        </references>
      </pivotArea>
    </format>
    <format dxfId="727">
      <pivotArea dataOnly="0" labelOnly="1" outline="0" fieldPosition="0">
        <references count="3">
          <reference field="0" count="1" selected="0">
            <x v="7"/>
          </reference>
          <reference field="1" count="1" selected="0">
            <x v="765"/>
          </reference>
          <reference field="20" count="1">
            <x v="129"/>
          </reference>
        </references>
      </pivotArea>
    </format>
    <format dxfId="726">
      <pivotArea dataOnly="0" labelOnly="1" outline="0" fieldPosition="0">
        <references count="3">
          <reference field="0" count="1" selected="0">
            <x v="7"/>
          </reference>
          <reference field="1" count="1" selected="0">
            <x v="766"/>
          </reference>
          <reference field="20" count="1">
            <x v="0"/>
          </reference>
        </references>
      </pivotArea>
    </format>
    <format dxfId="725">
      <pivotArea dataOnly="0" labelOnly="1" outline="0" fieldPosition="0">
        <references count="3">
          <reference field="0" count="1" selected="0">
            <x v="7"/>
          </reference>
          <reference field="1" count="1" selected="0">
            <x v="768"/>
          </reference>
          <reference field="20" count="1">
            <x v="0"/>
          </reference>
        </references>
      </pivotArea>
    </format>
    <format dxfId="724">
      <pivotArea dataOnly="0" labelOnly="1" outline="0" fieldPosition="0">
        <references count="3">
          <reference field="0" count="1" selected="0">
            <x v="7"/>
          </reference>
          <reference field="1" count="1" selected="0">
            <x v="769"/>
          </reference>
          <reference field="20" count="1">
            <x v="0"/>
          </reference>
        </references>
      </pivotArea>
    </format>
    <format dxfId="723">
      <pivotArea dataOnly="0" labelOnly="1" outline="0" fieldPosition="0">
        <references count="3">
          <reference field="0" count="1" selected="0">
            <x v="7"/>
          </reference>
          <reference field="1" count="1" selected="0">
            <x v="772"/>
          </reference>
          <reference field="20" count="1">
            <x v="0"/>
          </reference>
        </references>
      </pivotArea>
    </format>
    <format dxfId="722">
      <pivotArea dataOnly="0" labelOnly="1" outline="0" fieldPosition="0">
        <references count="3">
          <reference field="0" count="1" selected="0">
            <x v="7"/>
          </reference>
          <reference field="1" count="1" selected="0">
            <x v="774"/>
          </reference>
          <reference field="20" count="1">
            <x v="0"/>
          </reference>
        </references>
      </pivotArea>
    </format>
    <format dxfId="721">
      <pivotArea dataOnly="0" labelOnly="1" outline="0" fieldPosition="0">
        <references count="3">
          <reference field="0" count="1" selected="0">
            <x v="7"/>
          </reference>
          <reference field="1" count="1" selected="0">
            <x v="791"/>
          </reference>
          <reference field="20" count="1">
            <x v="0"/>
          </reference>
        </references>
      </pivotArea>
    </format>
    <format dxfId="720">
      <pivotArea dataOnly="0" labelOnly="1" outline="0" fieldPosition="0">
        <references count="3">
          <reference field="0" count="1" selected="0">
            <x v="7"/>
          </reference>
          <reference field="1" count="1" selected="0">
            <x v="813"/>
          </reference>
          <reference field="20" count="1">
            <x v="139"/>
          </reference>
        </references>
      </pivotArea>
    </format>
    <format dxfId="719">
      <pivotArea dataOnly="0" labelOnly="1" outline="0" fieldPosition="0">
        <references count="3">
          <reference field="0" count="1" selected="0">
            <x v="7"/>
          </reference>
          <reference field="1" count="1" selected="0">
            <x v="819"/>
          </reference>
          <reference field="20" count="1">
            <x v="0"/>
          </reference>
        </references>
      </pivotArea>
    </format>
    <format dxfId="718">
      <pivotArea dataOnly="0" labelOnly="1" outline="0" fieldPosition="0">
        <references count="3">
          <reference field="0" count="1" selected="0">
            <x v="7"/>
          </reference>
          <reference field="1" count="1" selected="0">
            <x v="821"/>
          </reference>
          <reference field="20" count="1">
            <x v="141"/>
          </reference>
        </references>
      </pivotArea>
    </format>
    <format dxfId="717">
      <pivotArea dataOnly="0" labelOnly="1" outline="0" fieldPosition="0">
        <references count="3">
          <reference field="0" count="1" selected="0">
            <x v="7"/>
          </reference>
          <reference field="1" count="1" selected="0">
            <x v="829"/>
          </reference>
          <reference field="20" count="1">
            <x v="0"/>
          </reference>
        </references>
      </pivotArea>
    </format>
    <format dxfId="716">
      <pivotArea dataOnly="0" labelOnly="1" outline="0" fieldPosition="0">
        <references count="3">
          <reference field="0" count="1" selected="0">
            <x v="7"/>
          </reference>
          <reference field="1" count="1" selected="0">
            <x v="833"/>
          </reference>
          <reference field="20" count="1">
            <x v="0"/>
          </reference>
        </references>
      </pivotArea>
    </format>
    <format dxfId="715">
      <pivotArea dataOnly="0" labelOnly="1" outline="0" fieldPosition="0">
        <references count="3">
          <reference field="0" count="1" selected="0">
            <x v="7"/>
          </reference>
          <reference field="1" count="1" selected="0">
            <x v="839"/>
          </reference>
          <reference field="20" count="1">
            <x v="0"/>
          </reference>
        </references>
      </pivotArea>
    </format>
    <format dxfId="714">
      <pivotArea dataOnly="0" labelOnly="1" outline="0" fieldPosition="0">
        <references count="3">
          <reference field="0" count="1" selected="0">
            <x v="7"/>
          </reference>
          <reference field="1" count="1" selected="0">
            <x v="846"/>
          </reference>
          <reference field="20" count="1">
            <x v="0"/>
          </reference>
        </references>
      </pivotArea>
    </format>
    <format dxfId="713">
      <pivotArea dataOnly="0" labelOnly="1" outline="0" fieldPosition="0">
        <references count="3">
          <reference field="0" count="1" selected="0">
            <x v="7"/>
          </reference>
          <reference field="1" count="1" selected="0">
            <x v="848"/>
          </reference>
          <reference field="20" count="1">
            <x v="0"/>
          </reference>
        </references>
      </pivotArea>
    </format>
    <format dxfId="712">
      <pivotArea dataOnly="0" labelOnly="1" outline="0" fieldPosition="0">
        <references count="3">
          <reference field="0" count="1" selected="0">
            <x v="7"/>
          </reference>
          <reference field="1" count="1" selected="0">
            <x v="854"/>
          </reference>
          <reference field="20" count="1">
            <x v="0"/>
          </reference>
        </references>
      </pivotArea>
    </format>
    <format dxfId="711">
      <pivotArea dataOnly="0" labelOnly="1" outline="0" fieldPosition="0">
        <references count="3">
          <reference field="0" count="1" selected="0">
            <x v="7"/>
          </reference>
          <reference field="1" count="1" selected="0">
            <x v="856"/>
          </reference>
          <reference field="20" count="1">
            <x v="0"/>
          </reference>
        </references>
      </pivotArea>
    </format>
    <format dxfId="710">
      <pivotArea dataOnly="0" labelOnly="1" outline="0" fieldPosition="0">
        <references count="3">
          <reference field="0" count="1" selected="0">
            <x v="7"/>
          </reference>
          <reference field="1" count="1" selected="0">
            <x v="860"/>
          </reference>
          <reference field="20" count="1">
            <x v="0"/>
          </reference>
        </references>
      </pivotArea>
    </format>
    <format dxfId="709">
      <pivotArea dataOnly="0" labelOnly="1" outline="0" fieldPosition="0">
        <references count="3">
          <reference field="0" count="1" selected="0">
            <x v="7"/>
          </reference>
          <reference field="1" count="1" selected="0">
            <x v="861"/>
          </reference>
          <reference field="20" count="1">
            <x v="0"/>
          </reference>
        </references>
      </pivotArea>
    </format>
    <format dxfId="708">
      <pivotArea dataOnly="0" labelOnly="1" outline="0" fieldPosition="0">
        <references count="3">
          <reference field="0" count="1" selected="0">
            <x v="7"/>
          </reference>
          <reference field="1" count="1" selected="0">
            <x v="864"/>
          </reference>
          <reference field="20" count="1">
            <x v="0"/>
          </reference>
        </references>
      </pivotArea>
    </format>
    <format dxfId="707">
      <pivotArea dataOnly="0" labelOnly="1" outline="0" fieldPosition="0">
        <references count="3">
          <reference field="0" count="1" selected="0">
            <x v="7"/>
          </reference>
          <reference field="1" count="1" selected="0">
            <x v="874"/>
          </reference>
          <reference field="20" count="1">
            <x v="0"/>
          </reference>
        </references>
      </pivotArea>
    </format>
    <format dxfId="706">
      <pivotArea dataOnly="0" labelOnly="1" outline="0" fieldPosition="0">
        <references count="3">
          <reference field="0" count="1" selected="0">
            <x v="7"/>
          </reference>
          <reference field="1" count="1" selected="0">
            <x v="875"/>
          </reference>
          <reference field="20" count="1">
            <x v="0"/>
          </reference>
        </references>
      </pivotArea>
    </format>
    <format dxfId="705">
      <pivotArea dataOnly="0" labelOnly="1" outline="0" fieldPosition="0">
        <references count="3">
          <reference field="0" count="1" selected="0">
            <x v="7"/>
          </reference>
          <reference field="1" count="1" selected="0">
            <x v="876"/>
          </reference>
          <reference field="20" count="1">
            <x v="0"/>
          </reference>
        </references>
      </pivotArea>
    </format>
    <format dxfId="704">
      <pivotArea dataOnly="0" labelOnly="1" outline="0" fieldPosition="0">
        <references count="3">
          <reference field="0" count="1" selected="0">
            <x v="7"/>
          </reference>
          <reference field="1" count="1" selected="0">
            <x v="885"/>
          </reference>
          <reference field="20" count="1">
            <x v="0"/>
          </reference>
        </references>
      </pivotArea>
    </format>
    <format dxfId="703">
      <pivotArea dataOnly="0" labelOnly="1" outline="0" fieldPosition="0">
        <references count="3">
          <reference field="0" count="1" selected="0">
            <x v="7"/>
          </reference>
          <reference field="1" count="1" selected="0">
            <x v="892"/>
          </reference>
          <reference field="20" count="1">
            <x v="154"/>
          </reference>
        </references>
      </pivotArea>
    </format>
    <format dxfId="702">
      <pivotArea dataOnly="0" labelOnly="1" outline="0" fieldPosition="0">
        <references count="3">
          <reference field="0" count="1" selected="0">
            <x v="7"/>
          </reference>
          <reference field="1" count="1" selected="0">
            <x v="896"/>
          </reference>
          <reference field="20" count="1">
            <x v="0"/>
          </reference>
        </references>
      </pivotArea>
    </format>
    <format dxfId="701">
      <pivotArea dataOnly="0" labelOnly="1" outline="0" fieldPosition="0">
        <references count="3">
          <reference field="0" count="1" selected="0">
            <x v="7"/>
          </reference>
          <reference field="1" count="1" selected="0">
            <x v="902"/>
          </reference>
          <reference field="20" count="1">
            <x v="156"/>
          </reference>
        </references>
      </pivotArea>
    </format>
    <format dxfId="700">
      <pivotArea dataOnly="0" labelOnly="1" outline="0" fieldPosition="0">
        <references count="3">
          <reference field="0" count="1" selected="0">
            <x v="7"/>
          </reference>
          <reference field="1" count="1" selected="0">
            <x v="904"/>
          </reference>
          <reference field="20" count="1">
            <x v="0"/>
          </reference>
        </references>
      </pivotArea>
    </format>
    <format dxfId="699">
      <pivotArea dataOnly="0" labelOnly="1" outline="0" fieldPosition="0">
        <references count="3">
          <reference field="0" count="1" selected="0">
            <x v="7"/>
          </reference>
          <reference field="1" count="1" selected="0">
            <x v="906"/>
          </reference>
          <reference field="20" count="1">
            <x v="0"/>
          </reference>
        </references>
      </pivotArea>
    </format>
    <format dxfId="698">
      <pivotArea dataOnly="0" labelOnly="1" outline="0" fieldPosition="0">
        <references count="3">
          <reference field="0" count="1" selected="0">
            <x v="7"/>
          </reference>
          <reference field="1" count="1" selected="0">
            <x v="910"/>
          </reference>
          <reference field="20" count="1">
            <x v="0"/>
          </reference>
        </references>
      </pivotArea>
    </format>
    <format dxfId="697">
      <pivotArea dataOnly="0" labelOnly="1" outline="0" fieldPosition="0">
        <references count="3">
          <reference field="0" count="1" selected="0">
            <x v="7"/>
          </reference>
          <reference field="1" count="1" selected="0">
            <x v="911"/>
          </reference>
          <reference field="20" count="1">
            <x v="0"/>
          </reference>
        </references>
      </pivotArea>
    </format>
    <format dxfId="696">
      <pivotArea dataOnly="0" labelOnly="1" outline="0" fieldPosition="0">
        <references count="3">
          <reference field="0" count="1" selected="0">
            <x v="7"/>
          </reference>
          <reference field="1" count="1" selected="0">
            <x v="912"/>
          </reference>
          <reference field="20" count="1">
            <x v="0"/>
          </reference>
        </references>
      </pivotArea>
    </format>
    <format dxfId="695">
      <pivotArea dataOnly="0" labelOnly="1" outline="0" fieldPosition="0">
        <references count="3">
          <reference field="0" count="1" selected="0">
            <x v="7"/>
          </reference>
          <reference field="1" count="1" selected="0">
            <x v="913"/>
          </reference>
          <reference field="20" count="1">
            <x v="0"/>
          </reference>
        </references>
      </pivotArea>
    </format>
    <format dxfId="694">
      <pivotArea dataOnly="0" labelOnly="1" outline="0" fieldPosition="0">
        <references count="3">
          <reference field="0" count="1" selected="0">
            <x v="7"/>
          </reference>
          <reference field="1" count="1" selected="0">
            <x v="925"/>
          </reference>
          <reference field="20" count="1">
            <x v="0"/>
          </reference>
        </references>
      </pivotArea>
    </format>
    <format dxfId="693">
      <pivotArea dataOnly="0" labelOnly="1" outline="0" fieldPosition="0">
        <references count="3">
          <reference field="0" count="1" selected="0">
            <x v="7"/>
          </reference>
          <reference field="1" count="1" selected="0">
            <x v="933"/>
          </reference>
          <reference field="20" count="1">
            <x v="0"/>
          </reference>
        </references>
      </pivotArea>
    </format>
    <format dxfId="692">
      <pivotArea dataOnly="0" labelOnly="1" outline="0" fieldPosition="0">
        <references count="3">
          <reference field="0" count="1" selected="0">
            <x v="7"/>
          </reference>
          <reference field="1" count="1" selected="0">
            <x v="940"/>
          </reference>
          <reference field="20" count="1">
            <x v="167"/>
          </reference>
        </references>
      </pivotArea>
    </format>
    <format dxfId="691">
      <pivotArea dataOnly="0" labelOnly="1" outline="0" fieldPosition="0">
        <references count="3">
          <reference field="0" count="1" selected="0">
            <x v="7"/>
          </reference>
          <reference field="1" count="1" selected="0">
            <x v="941"/>
          </reference>
          <reference field="20" count="1">
            <x v="0"/>
          </reference>
        </references>
      </pivotArea>
    </format>
    <format dxfId="690">
      <pivotArea dataOnly="0" labelOnly="1" outline="0" fieldPosition="0">
        <references count="3">
          <reference field="0" count="1" selected="0">
            <x v="7"/>
          </reference>
          <reference field="1" count="1" selected="0">
            <x v="958"/>
          </reference>
          <reference field="20" count="1">
            <x v="0"/>
          </reference>
        </references>
      </pivotArea>
    </format>
    <format dxfId="689">
      <pivotArea dataOnly="0" labelOnly="1" outline="0" fieldPosition="0">
        <references count="3">
          <reference field="0" count="1" selected="0">
            <x v="7"/>
          </reference>
          <reference field="1" count="1" selected="0">
            <x v="959"/>
          </reference>
          <reference field="20" count="1">
            <x v="0"/>
          </reference>
        </references>
      </pivotArea>
    </format>
    <format dxfId="688">
      <pivotArea dataOnly="0" labelOnly="1" outline="0" fieldPosition="0">
        <references count="3">
          <reference field="0" count="1" selected="0">
            <x v="7"/>
          </reference>
          <reference field="1" count="1" selected="0">
            <x v="960"/>
          </reference>
          <reference field="20" count="1">
            <x v="0"/>
          </reference>
        </references>
      </pivotArea>
    </format>
    <format dxfId="687">
      <pivotArea dataOnly="0" labelOnly="1" outline="0" fieldPosition="0">
        <references count="3">
          <reference field="0" count="1" selected="0">
            <x v="7"/>
          </reference>
          <reference field="1" count="1" selected="0">
            <x v="971"/>
          </reference>
          <reference field="20" count="1">
            <x v="0"/>
          </reference>
        </references>
      </pivotArea>
    </format>
    <format dxfId="686">
      <pivotArea dataOnly="0" labelOnly="1" outline="0" fieldPosition="0">
        <references count="3">
          <reference field="0" count="1" selected="0">
            <x v="7"/>
          </reference>
          <reference field="1" count="1" selected="0">
            <x v="972"/>
          </reference>
          <reference field="20" count="1">
            <x v="0"/>
          </reference>
        </references>
      </pivotArea>
    </format>
    <format dxfId="685">
      <pivotArea dataOnly="0" labelOnly="1" outline="0" fieldPosition="0">
        <references count="3">
          <reference field="0" count="1" selected="0">
            <x v="7"/>
          </reference>
          <reference field="1" count="1" selected="0">
            <x v="973"/>
          </reference>
          <reference field="20" count="1">
            <x v="179"/>
          </reference>
        </references>
      </pivotArea>
    </format>
    <format dxfId="684">
      <pivotArea dataOnly="0" labelOnly="1" outline="0" fieldPosition="0">
        <references count="3">
          <reference field="0" count="1" selected="0">
            <x v="7"/>
          </reference>
          <reference field="1" count="1" selected="0">
            <x v="974"/>
          </reference>
          <reference field="20" count="1">
            <x v="180"/>
          </reference>
        </references>
      </pivotArea>
    </format>
    <format dxfId="683">
      <pivotArea dataOnly="0" labelOnly="1" outline="0" fieldPosition="0">
        <references count="3">
          <reference field="0" count="1" selected="0">
            <x v="7"/>
          </reference>
          <reference field="1" count="1" selected="0">
            <x v="975"/>
          </reference>
          <reference field="20" count="1">
            <x v="0"/>
          </reference>
        </references>
      </pivotArea>
    </format>
    <format dxfId="682">
      <pivotArea dataOnly="0" labelOnly="1" outline="0" fieldPosition="0">
        <references count="3">
          <reference field="0" count="1" selected="0">
            <x v="7"/>
          </reference>
          <reference field="1" count="1" selected="0">
            <x v="976"/>
          </reference>
          <reference field="20" count="1">
            <x v="0"/>
          </reference>
        </references>
      </pivotArea>
    </format>
    <format dxfId="681">
      <pivotArea dataOnly="0" labelOnly="1" outline="0" fieldPosition="0">
        <references count="3">
          <reference field="0" count="1" selected="0">
            <x v="7"/>
          </reference>
          <reference field="1" count="1" selected="0">
            <x v="978"/>
          </reference>
          <reference field="20" count="1">
            <x v="0"/>
          </reference>
        </references>
      </pivotArea>
    </format>
    <format dxfId="680">
      <pivotArea dataOnly="0" labelOnly="1" outline="0" fieldPosition="0">
        <references count="3">
          <reference field="0" count="1" selected="0">
            <x v="7"/>
          </reference>
          <reference field="1" count="1" selected="0">
            <x v="982"/>
          </reference>
          <reference field="20" count="1">
            <x v="0"/>
          </reference>
        </references>
      </pivotArea>
    </format>
    <format dxfId="679">
      <pivotArea dataOnly="0" labelOnly="1" outline="0" fieldPosition="0">
        <references count="3">
          <reference field="0" count="1" selected="0">
            <x v="7"/>
          </reference>
          <reference field="1" count="1" selected="0">
            <x v="986"/>
          </reference>
          <reference field="20" count="1">
            <x v="0"/>
          </reference>
        </references>
      </pivotArea>
    </format>
    <format dxfId="678">
      <pivotArea dataOnly="0" labelOnly="1" outline="0" fieldPosition="0">
        <references count="3">
          <reference field="0" count="1" selected="0">
            <x v="7"/>
          </reference>
          <reference field="1" count="1" selected="0">
            <x v="987"/>
          </reference>
          <reference field="20" count="1">
            <x v="0"/>
          </reference>
        </references>
      </pivotArea>
    </format>
    <format dxfId="677">
      <pivotArea dataOnly="0" labelOnly="1" outline="0" fieldPosition="0">
        <references count="3">
          <reference field="0" count="1" selected="0">
            <x v="7"/>
          </reference>
          <reference field="1" count="1" selected="0">
            <x v="988"/>
          </reference>
          <reference field="20" count="1">
            <x v="0"/>
          </reference>
        </references>
      </pivotArea>
    </format>
    <format dxfId="676">
      <pivotArea dataOnly="0" labelOnly="1" outline="0" fieldPosition="0">
        <references count="3">
          <reference field="0" count="1" selected="0">
            <x v="7"/>
          </reference>
          <reference field="1" count="1" selected="0">
            <x v="989"/>
          </reference>
          <reference field="20" count="1">
            <x v="182"/>
          </reference>
        </references>
      </pivotArea>
    </format>
    <format dxfId="675">
      <pivotArea dataOnly="0" labelOnly="1" outline="0" fieldPosition="0">
        <references count="3">
          <reference field="0" count="1" selected="0">
            <x v="7"/>
          </reference>
          <reference field="1" count="1" selected="0">
            <x v="990"/>
          </reference>
          <reference field="20" count="1">
            <x v="184"/>
          </reference>
        </references>
      </pivotArea>
    </format>
    <format dxfId="674">
      <pivotArea dataOnly="0" labelOnly="1" outline="0" fieldPosition="0">
        <references count="3">
          <reference field="0" count="1" selected="0">
            <x v="7"/>
          </reference>
          <reference field="1" count="1" selected="0">
            <x v="991"/>
          </reference>
          <reference field="20" count="1">
            <x v="0"/>
          </reference>
        </references>
      </pivotArea>
    </format>
    <format dxfId="673">
      <pivotArea dataOnly="0" labelOnly="1" outline="0" fieldPosition="0">
        <references count="3">
          <reference field="0" count="1" selected="0">
            <x v="7"/>
          </reference>
          <reference field="1" count="1" selected="0">
            <x v="995"/>
          </reference>
          <reference field="20" count="1">
            <x v="0"/>
          </reference>
        </references>
      </pivotArea>
    </format>
    <format dxfId="672">
      <pivotArea dataOnly="0" labelOnly="1" outline="0" fieldPosition="0">
        <references count="3">
          <reference field="0" count="1" selected="0">
            <x v="7"/>
          </reference>
          <reference field="1" count="1" selected="0">
            <x v="998"/>
          </reference>
          <reference field="20" count="1">
            <x v="0"/>
          </reference>
        </references>
      </pivotArea>
    </format>
    <format dxfId="671">
      <pivotArea dataOnly="0" labelOnly="1" outline="0" fieldPosition="0">
        <references count="3">
          <reference field="0" count="1" selected="0">
            <x v="7"/>
          </reference>
          <reference field="1" count="1" selected="0">
            <x v="1026"/>
          </reference>
          <reference field="20" count="1">
            <x v="0"/>
          </reference>
        </references>
      </pivotArea>
    </format>
    <format dxfId="670">
      <pivotArea dataOnly="0" labelOnly="1" outline="0" fieldPosition="0">
        <references count="3">
          <reference field="0" count="1" selected="0">
            <x v="7"/>
          </reference>
          <reference field="1" count="1" selected="0">
            <x v="1027"/>
          </reference>
          <reference field="20" count="1">
            <x v="0"/>
          </reference>
        </references>
      </pivotArea>
    </format>
    <format dxfId="669">
      <pivotArea dataOnly="0" labelOnly="1" outline="0" fieldPosition="0">
        <references count="3">
          <reference field="0" count="1" selected="0">
            <x v="7"/>
          </reference>
          <reference field="1" count="1" selected="0">
            <x v="1036"/>
          </reference>
          <reference field="20" count="1">
            <x v="203"/>
          </reference>
        </references>
      </pivotArea>
    </format>
    <format dxfId="668">
      <pivotArea dataOnly="0" labelOnly="1" outline="0" fieldPosition="0">
        <references count="3">
          <reference field="0" count="1" selected="0">
            <x v="7"/>
          </reference>
          <reference field="1" count="1" selected="0">
            <x v="1051"/>
          </reference>
          <reference field="20" count="1">
            <x v="0"/>
          </reference>
        </references>
      </pivotArea>
    </format>
    <format dxfId="667">
      <pivotArea dataOnly="0" labelOnly="1" outline="0" fieldPosition="0">
        <references count="3">
          <reference field="0" count="1" selected="0">
            <x v="7"/>
          </reference>
          <reference field="1" count="1" selected="0">
            <x v="1063"/>
          </reference>
          <reference field="20" count="1">
            <x v="0"/>
          </reference>
        </references>
      </pivotArea>
    </format>
    <format dxfId="666">
      <pivotArea dataOnly="0" labelOnly="1" outline="0" fieldPosition="0">
        <references count="3">
          <reference field="0" count="1" selected="0">
            <x v="7"/>
          </reference>
          <reference field="1" count="1" selected="0">
            <x v="1072"/>
          </reference>
          <reference field="20" count="1">
            <x v="0"/>
          </reference>
        </references>
      </pivotArea>
    </format>
    <format dxfId="665">
      <pivotArea dataOnly="0" labelOnly="1" outline="0" fieldPosition="0">
        <references count="3">
          <reference field="0" count="1" selected="0">
            <x v="7"/>
          </reference>
          <reference field="1" count="1" selected="0">
            <x v="1073"/>
          </reference>
          <reference field="20" count="1">
            <x v="0"/>
          </reference>
        </references>
      </pivotArea>
    </format>
    <format dxfId="664">
      <pivotArea dataOnly="0" labelOnly="1" outline="0" fieldPosition="0">
        <references count="3">
          <reference field="0" count="1" selected="0">
            <x v="7"/>
          </reference>
          <reference field="1" count="1" selected="0">
            <x v="1078"/>
          </reference>
          <reference field="20" count="1">
            <x v="0"/>
          </reference>
        </references>
      </pivotArea>
    </format>
    <format dxfId="663">
      <pivotArea dataOnly="0" labelOnly="1" outline="0" fieldPosition="0">
        <references count="3">
          <reference field="0" count="1" selected="0">
            <x v="7"/>
          </reference>
          <reference field="1" count="1" selected="0">
            <x v="1082"/>
          </reference>
          <reference field="20" count="1">
            <x v="213"/>
          </reference>
        </references>
      </pivotArea>
    </format>
    <format dxfId="662">
      <pivotArea dataOnly="0" labelOnly="1" outline="0" fieldPosition="0">
        <references count="3">
          <reference field="0" count="1" selected="0">
            <x v="7"/>
          </reference>
          <reference field="1" count="1" selected="0">
            <x v="1083"/>
          </reference>
          <reference field="20" count="1">
            <x v="0"/>
          </reference>
        </references>
      </pivotArea>
    </format>
    <format dxfId="661">
      <pivotArea dataOnly="0" labelOnly="1" outline="0" fieldPosition="0">
        <references count="3">
          <reference field="0" count="1" selected="0">
            <x v="7"/>
          </reference>
          <reference field="1" count="1" selected="0">
            <x v="1089"/>
          </reference>
          <reference field="20" count="1">
            <x v="215"/>
          </reference>
        </references>
      </pivotArea>
    </format>
    <format dxfId="660">
      <pivotArea dataOnly="0" labelOnly="1" outline="0" fieldPosition="0">
        <references count="3">
          <reference field="0" count="1" selected="0">
            <x v="7"/>
          </reference>
          <reference field="1" count="1" selected="0">
            <x v="1091"/>
          </reference>
          <reference field="20" count="1">
            <x v="216"/>
          </reference>
        </references>
      </pivotArea>
    </format>
    <format dxfId="659">
      <pivotArea dataOnly="0" labelOnly="1" outline="0" fieldPosition="0">
        <references count="3">
          <reference field="0" count="1" selected="0">
            <x v="7"/>
          </reference>
          <reference field="1" count="1" selected="0">
            <x v="1093"/>
          </reference>
          <reference field="20" count="1">
            <x v="218"/>
          </reference>
        </references>
      </pivotArea>
    </format>
    <format dxfId="658">
      <pivotArea dataOnly="0" labelOnly="1" outline="0" fieldPosition="0">
        <references count="3">
          <reference field="0" count="1" selected="0">
            <x v="7"/>
          </reference>
          <reference field="1" count="1" selected="0">
            <x v="1104"/>
          </reference>
          <reference field="20" count="1">
            <x v="0"/>
          </reference>
        </references>
      </pivotArea>
    </format>
    <format dxfId="657">
      <pivotArea dataOnly="0" labelOnly="1" outline="0" fieldPosition="0">
        <references count="3">
          <reference field="0" count="1" selected="0">
            <x v="7"/>
          </reference>
          <reference field="1" count="1" selected="0">
            <x v="1105"/>
          </reference>
          <reference field="20" count="1">
            <x v="226"/>
          </reference>
        </references>
      </pivotArea>
    </format>
    <format dxfId="656">
      <pivotArea dataOnly="0" labelOnly="1" outline="0" fieldPosition="0">
        <references count="3">
          <reference field="0" count="1" selected="0">
            <x v="7"/>
          </reference>
          <reference field="1" count="1" selected="0">
            <x v="1106"/>
          </reference>
          <reference field="20" count="1">
            <x v="0"/>
          </reference>
        </references>
      </pivotArea>
    </format>
    <format dxfId="655">
      <pivotArea dataOnly="0" labelOnly="1" outline="0" fieldPosition="0">
        <references count="3">
          <reference field="0" count="1" selected="0">
            <x v="7"/>
          </reference>
          <reference field="1" count="1" selected="0">
            <x v="1107"/>
          </reference>
          <reference field="20" count="1">
            <x v="227"/>
          </reference>
        </references>
      </pivotArea>
    </format>
    <format dxfId="654">
      <pivotArea dataOnly="0" labelOnly="1" outline="0" fieldPosition="0">
        <references count="3">
          <reference field="0" count="1" selected="0">
            <x v="7"/>
          </reference>
          <reference field="1" count="1" selected="0">
            <x v="1109"/>
          </reference>
          <reference field="20" count="1">
            <x v="229"/>
          </reference>
        </references>
      </pivotArea>
    </format>
    <format dxfId="653">
      <pivotArea dataOnly="0" labelOnly="1" outline="0" fieldPosition="0">
        <references count="3">
          <reference field="0" count="1" selected="0">
            <x v="7"/>
          </reference>
          <reference field="1" count="1" selected="0">
            <x v="1129"/>
          </reference>
          <reference field="20" count="1">
            <x v="0"/>
          </reference>
        </references>
      </pivotArea>
    </format>
    <format dxfId="652">
      <pivotArea dataOnly="0" labelOnly="1" outline="0" fieldPosition="0">
        <references count="3">
          <reference field="0" count="1" selected="0">
            <x v="7"/>
          </reference>
          <reference field="1" count="1" selected="0">
            <x v="1130"/>
          </reference>
          <reference field="20" count="1">
            <x v="0"/>
          </reference>
        </references>
      </pivotArea>
    </format>
    <format dxfId="651">
      <pivotArea dataOnly="0" labelOnly="1" outline="0" fieldPosition="0">
        <references count="3">
          <reference field="0" count="1" selected="0">
            <x v="7"/>
          </reference>
          <reference field="1" count="1" selected="0">
            <x v="1135"/>
          </reference>
          <reference field="20" count="1">
            <x v="235"/>
          </reference>
        </references>
      </pivotArea>
    </format>
    <format dxfId="650">
      <pivotArea dataOnly="0" labelOnly="1" outline="0" fieldPosition="0">
        <references count="3">
          <reference field="0" count="1" selected="0">
            <x v="7"/>
          </reference>
          <reference field="1" count="1" selected="0">
            <x v="1136"/>
          </reference>
          <reference field="20" count="1">
            <x v="236"/>
          </reference>
        </references>
      </pivotArea>
    </format>
    <format dxfId="649">
      <pivotArea dataOnly="0" labelOnly="1" outline="0" fieldPosition="0">
        <references count="3">
          <reference field="0" count="1" selected="0">
            <x v="7"/>
          </reference>
          <reference field="1" count="1" selected="0">
            <x v="1149"/>
          </reference>
          <reference field="20" count="1">
            <x v="241"/>
          </reference>
        </references>
      </pivotArea>
    </format>
    <format dxfId="648">
      <pivotArea dataOnly="0" labelOnly="1" outline="0" fieldPosition="0">
        <references count="3">
          <reference field="0" count="1" selected="0">
            <x v="7"/>
          </reference>
          <reference field="1" count="1" selected="0">
            <x v="1160"/>
          </reference>
          <reference field="20" count="1">
            <x v="0"/>
          </reference>
        </references>
      </pivotArea>
    </format>
    <format dxfId="647">
      <pivotArea dataOnly="0" labelOnly="1" outline="0" fieldPosition="0">
        <references count="3">
          <reference field="0" count="1" selected="0">
            <x v="7"/>
          </reference>
          <reference field="1" count="1" selected="0">
            <x v="1162"/>
          </reference>
          <reference field="20" count="1">
            <x v="0"/>
          </reference>
        </references>
      </pivotArea>
    </format>
    <format dxfId="646">
      <pivotArea dataOnly="0" labelOnly="1" outline="0" fieldPosition="0">
        <references count="3">
          <reference field="0" count="1" selected="0">
            <x v="7"/>
          </reference>
          <reference field="1" count="1" selected="0">
            <x v="1164"/>
          </reference>
          <reference field="20" count="1">
            <x v="0"/>
          </reference>
        </references>
      </pivotArea>
    </format>
    <format dxfId="645">
      <pivotArea dataOnly="0" labelOnly="1" outline="0" fieldPosition="0">
        <references count="3">
          <reference field="0" count="1" selected="0">
            <x v="7"/>
          </reference>
          <reference field="1" count="1" selected="0">
            <x v="1166"/>
          </reference>
          <reference field="20" count="1">
            <x v="0"/>
          </reference>
        </references>
      </pivotArea>
    </format>
    <format dxfId="644">
      <pivotArea dataOnly="0" labelOnly="1" outline="0" fieldPosition="0">
        <references count="3">
          <reference field="0" count="1" selected="0">
            <x v="7"/>
          </reference>
          <reference field="1" count="1" selected="0">
            <x v="1173"/>
          </reference>
          <reference field="20" count="1">
            <x v="0"/>
          </reference>
        </references>
      </pivotArea>
    </format>
    <format dxfId="643">
      <pivotArea dataOnly="0" labelOnly="1" outline="0" fieldPosition="0">
        <references count="3">
          <reference field="0" count="1" selected="0">
            <x v="7"/>
          </reference>
          <reference field="1" count="1" selected="0">
            <x v="1175"/>
          </reference>
          <reference field="20" count="1">
            <x v="249"/>
          </reference>
        </references>
      </pivotArea>
    </format>
    <format dxfId="642">
      <pivotArea dataOnly="0" labelOnly="1" outline="0" fieldPosition="0">
        <references count="3">
          <reference field="0" count="1" selected="0">
            <x v="7"/>
          </reference>
          <reference field="1" count="1" selected="0">
            <x v="1176"/>
          </reference>
          <reference field="20" count="1">
            <x v="0"/>
          </reference>
        </references>
      </pivotArea>
    </format>
    <format dxfId="641">
      <pivotArea dataOnly="0" labelOnly="1" outline="0" fieldPosition="0">
        <references count="3">
          <reference field="0" count="1" selected="0">
            <x v="7"/>
          </reference>
          <reference field="1" count="1" selected="0">
            <x v="1177"/>
          </reference>
          <reference field="20" count="1">
            <x v="0"/>
          </reference>
        </references>
      </pivotArea>
    </format>
    <format dxfId="640">
      <pivotArea dataOnly="0" labelOnly="1" outline="0" fieldPosition="0">
        <references count="3">
          <reference field="0" count="1" selected="0">
            <x v="7"/>
          </reference>
          <reference field="1" count="1" selected="0">
            <x v="1178"/>
          </reference>
          <reference field="20" count="1">
            <x v="0"/>
          </reference>
        </references>
      </pivotArea>
    </format>
    <format dxfId="639">
      <pivotArea dataOnly="0" labelOnly="1" outline="0" fieldPosition="0">
        <references count="3">
          <reference field="0" count="1" selected="0">
            <x v="7"/>
          </reference>
          <reference field="1" count="1" selected="0">
            <x v="1179"/>
          </reference>
          <reference field="20" count="1">
            <x v="0"/>
          </reference>
        </references>
      </pivotArea>
    </format>
    <format dxfId="638">
      <pivotArea dataOnly="0" labelOnly="1" outline="0" fieldPosition="0">
        <references count="3">
          <reference field="0" count="1" selected="0">
            <x v="7"/>
          </reference>
          <reference field="1" count="1" selected="0">
            <x v="1180"/>
          </reference>
          <reference field="20" count="1">
            <x v="250"/>
          </reference>
        </references>
      </pivotArea>
    </format>
    <format dxfId="637">
      <pivotArea dataOnly="0" labelOnly="1" outline="0" fieldPosition="0">
        <references count="3">
          <reference field="0" count="1" selected="0">
            <x v="7"/>
          </reference>
          <reference field="1" count="1" selected="0">
            <x v="1182"/>
          </reference>
          <reference field="20" count="1">
            <x v="251"/>
          </reference>
        </references>
      </pivotArea>
    </format>
    <format dxfId="636">
      <pivotArea dataOnly="0" labelOnly="1" outline="0" fieldPosition="0">
        <references count="3">
          <reference field="0" count="1" selected="0">
            <x v="7"/>
          </reference>
          <reference field="1" count="1" selected="0">
            <x v="1184"/>
          </reference>
          <reference field="20" count="1">
            <x v="253"/>
          </reference>
        </references>
      </pivotArea>
    </format>
    <format dxfId="635">
      <pivotArea dataOnly="0" labelOnly="1" outline="0" fieldPosition="0">
        <references count="3">
          <reference field="0" count="1" selected="0">
            <x v="7"/>
          </reference>
          <reference field="1" count="1" selected="0">
            <x v="1186"/>
          </reference>
          <reference field="20" count="1">
            <x v="254"/>
          </reference>
        </references>
      </pivotArea>
    </format>
    <format dxfId="634">
      <pivotArea dataOnly="0" labelOnly="1" outline="0" fieldPosition="0">
        <references count="3">
          <reference field="0" count="1" selected="0">
            <x v="7"/>
          </reference>
          <reference field="1" count="1" selected="0">
            <x v="1187"/>
          </reference>
          <reference field="20" count="1">
            <x v="256"/>
          </reference>
        </references>
      </pivotArea>
    </format>
    <format dxfId="633">
      <pivotArea dataOnly="0" labelOnly="1" outline="0" fieldPosition="0">
        <references count="3">
          <reference field="0" count="1" selected="0">
            <x v="7"/>
          </reference>
          <reference field="1" count="1" selected="0">
            <x v="1188"/>
          </reference>
          <reference field="20" count="1">
            <x v="257"/>
          </reference>
        </references>
      </pivotArea>
    </format>
    <format dxfId="632">
      <pivotArea dataOnly="0" labelOnly="1" outline="0" fieldPosition="0">
        <references count="3">
          <reference field="0" count="1" selected="0">
            <x v="7"/>
          </reference>
          <reference field="1" count="1" selected="0">
            <x v="1189"/>
          </reference>
          <reference field="20" count="1">
            <x v="258"/>
          </reference>
        </references>
      </pivotArea>
    </format>
    <format dxfId="631">
      <pivotArea dataOnly="0" labelOnly="1" outline="0" fieldPosition="0">
        <references count="3">
          <reference field="0" count="1" selected="0">
            <x v="7"/>
          </reference>
          <reference field="1" count="1" selected="0">
            <x v="1191"/>
          </reference>
          <reference field="20" count="1">
            <x v="260"/>
          </reference>
        </references>
      </pivotArea>
    </format>
    <format dxfId="630">
      <pivotArea dataOnly="0" labelOnly="1" outline="0" fieldPosition="0">
        <references count="3">
          <reference field="0" count="1" selected="0">
            <x v="7"/>
          </reference>
          <reference field="1" count="1" selected="0">
            <x v="1192"/>
          </reference>
          <reference field="20" count="1">
            <x v="261"/>
          </reference>
        </references>
      </pivotArea>
    </format>
    <format dxfId="629">
      <pivotArea dataOnly="0" labelOnly="1" outline="0" fieldPosition="0">
        <references count="3">
          <reference field="0" count="1" selected="0">
            <x v="7"/>
          </reference>
          <reference field="1" count="1" selected="0">
            <x v="1193"/>
          </reference>
          <reference field="20" count="1">
            <x v="262"/>
          </reference>
        </references>
      </pivotArea>
    </format>
    <format dxfId="628">
      <pivotArea dataOnly="0" labelOnly="1" outline="0" fieldPosition="0">
        <references count="3">
          <reference field="0" count="1" selected="0">
            <x v="7"/>
          </reference>
          <reference field="1" count="1" selected="0">
            <x v="1194"/>
          </reference>
          <reference field="20" count="1">
            <x v="0"/>
          </reference>
        </references>
      </pivotArea>
    </format>
    <format dxfId="627">
      <pivotArea dataOnly="0" labelOnly="1" outline="0" fieldPosition="0">
        <references count="3">
          <reference field="0" count="1" selected="0">
            <x v="7"/>
          </reference>
          <reference field="1" count="1" selected="0">
            <x v="1195"/>
          </reference>
          <reference field="20" count="1">
            <x v="0"/>
          </reference>
        </references>
      </pivotArea>
    </format>
    <format dxfId="626">
      <pivotArea dataOnly="0" labelOnly="1" outline="0" fieldPosition="0">
        <references count="3">
          <reference field="0" count="1" selected="0">
            <x v="7"/>
          </reference>
          <reference field="1" count="1" selected="0">
            <x v="1196"/>
          </reference>
          <reference field="20" count="1">
            <x v="0"/>
          </reference>
        </references>
      </pivotArea>
    </format>
    <format dxfId="625">
      <pivotArea dataOnly="0" labelOnly="1" outline="0" fieldPosition="0">
        <references count="3">
          <reference field="0" count="1" selected="0">
            <x v="7"/>
          </reference>
          <reference field="1" count="1" selected="0">
            <x v="1197"/>
          </reference>
          <reference field="20" count="1">
            <x v="0"/>
          </reference>
        </references>
      </pivotArea>
    </format>
    <format dxfId="624">
      <pivotArea dataOnly="0" labelOnly="1" outline="0" fieldPosition="0">
        <references count="3">
          <reference field="0" count="1" selected="0">
            <x v="7"/>
          </reference>
          <reference field="1" count="1" selected="0">
            <x v="1198"/>
          </reference>
          <reference field="20" count="1">
            <x v="0"/>
          </reference>
        </references>
      </pivotArea>
    </format>
    <format dxfId="623">
      <pivotArea dataOnly="0" labelOnly="1" outline="0" fieldPosition="0">
        <references count="3">
          <reference field="0" count="1" selected="0">
            <x v="7"/>
          </reference>
          <reference field="1" count="1" selected="0">
            <x v="1199"/>
          </reference>
          <reference field="20" count="1">
            <x v="0"/>
          </reference>
        </references>
      </pivotArea>
    </format>
    <format dxfId="622">
      <pivotArea dataOnly="0" labelOnly="1" outline="0" fieldPosition="0">
        <references count="3">
          <reference field="0" count="1" selected="0">
            <x v="7"/>
          </reference>
          <reference field="1" count="1" selected="0">
            <x v="1202"/>
          </reference>
          <reference field="20" count="1">
            <x v="264"/>
          </reference>
        </references>
      </pivotArea>
    </format>
    <format dxfId="621">
      <pivotArea dataOnly="0" labelOnly="1" outline="0" fieldPosition="0">
        <references count="3">
          <reference field="0" count="1" selected="0">
            <x v="7"/>
          </reference>
          <reference field="1" count="1" selected="0">
            <x v="1203"/>
          </reference>
          <reference field="20" count="1">
            <x v="0"/>
          </reference>
        </references>
      </pivotArea>
    </format>
    <format dxfId="620">
      <pivotArea dataOnly="0" labelOnly="1" outline="0" fieldPosition="0">
        <references count="3">
          <reference field="0" count="1" selected="0">
            <x v="7"/>
          </reference>
          <reference field="1" count="1" selected="0">
            <x v="1205"/>
          </reference>
          <reference field="20" count="1">
            <x v="0"/>
          </reference>
        </references>
      </pivotArea>
    </format>
    <format dxfId="619">
      <pivotArea dataOnly="0" labelOnly="1" outline="0" fieldPosition="0">
        <references count="3">
          <reference field="0" count="1" selected="0">
            <x v="7"/>
          </reference>
          <reference field="1" count="1" selected="0">
            <x v="1216"/>
          </reference>
          <reference field="20" count="1">
            <x v="0"/>
          </reference>
        </references>
      </pivotArea>
    </format>
    <format dxfId="618">
      <pivotArea dataOnly="0" labelOnly="1" outline="0" fieldPosition="0">
        <references count="3">
          <reference field="0" count="1" selected="0">
            <x v="7"/>
          </reference>
          <reference field="1" count="1" selected="0">
            <x v="1222"/>
          </reference>
          <reference field="20" count="1">
            <x v="0"/>
          </reference>
        </references>
      </pivotArea>
    </format>
    <format dxfId="617">
      <pivotArea dataOnly="0" labelOnly="1" outline="0" fieldPosition="0">
        <references count="3">
          <reference field="0" count="1" selected="0">
            <x v="7"/>
          </reference>
          <reference field="1" count="1" selected="0">
            <x v="1224"/>
          </reference>
          <reference field="20" count="1">
            <x v="279"/>
          </reference>
        </references>
      </pivotArea>
    </format>
    <format dxfId="616">
      <pivotArea dataOnly="0" labelOnly="1" outline="0" fieldPosition="0">
        <references count="3">
          <reference field="0" count="1" selected="0">
            <x v="7"/>
          </reference>
          <reference field="1" count="1" selected="0">
            <x v="1225"/>
          </reference>
          <reference field="20" count="1">
            <x v="280"/>
          </reference>
        </references>
      </pivotArea>
    </format>
    <format dxfId="615">
      <pivotArea dataOnly="0" labelOnly="1" outline="0" fieldPosition="0">
        <references count="3">
          <reference field="0" count="1" selected="0">
            <x v="7"/>
          </reference>
          <reference field="1" count="1" selected="0">
            <x v="1228"/>
          </reference>
          <reference field="20" count="1">
            <x v="0"/>
          </reference>
        </references>
      </pivotArea>
    </format>
    <format dxfId="614">
      <pivotArea dataOnly="0" labelOnly="1" outline="0" fieldPosition="0">
        <references count="3">
          <reference field="0" count="1" selected="0">
            <x v="7"/>
          </reference>
          <reference field="1" count="1" selected="0">
            <x v="1229"/>
          </reference>
          <reference field="20" count="1">
            <x v="0"/>
          </reference>
        </references>
      </pivotArea>
    </format>
    <format dxfId="613">
      <pivotArea dataOnly="0" labelOnly="1" outline="0" fieldPosition="0">
        <references count="3">
          <reference field="0" count="1" selected="0">
            <x v="7"/>
          </reference>
          <reference field="1" count="1" selected="0">
            <x v="1230"/>
          </reference>
          <reference field="20" count="1">
            <x v="281"/>
          </reference>
        </references>
      </pivotArea>
    </format>
    <format dxfId="612">
      <pivotArea dataOnly="0" labelOnly="1" outline="0" fieldPosition="0">
        <references count="3">
          <reference field="0" count="1" selected="0">
            <x v="7"/>
          </reference>
          <reference field="1" count="1" selected="0">
            <x v="1231"/>
          </reference>
          <reference field="20" count="1">
            <x v="0"/>
          </reference>
        </references>
      </pivotArea>
    </format>
    <format dxfId="611">
      <pivotArea dataOnly="0" labelOnly="1" outline="0" fieldPosition="0">
        <references count="3">
          <reference field="0" count="1" selected="0">
            <x v="7"/>
          </reference>
          <reference field="1" count="1" selected="0">
            <x v="1235"/>
          </reference>
          <reference field="20" count="1">
            <x v="282"/>
          </reference>
        </references>
      </pivotArea>
    </format>
    <format dxfId="610">
      <pivotArea dataOnly="0" labelOnly="1" outline="0" fieldPosition="0">
        <references count="3">
          <reference field="0" count="1" selected="0">
            <x v="7"/>
          </reference>
          <reference field="1" count="1" selected="0">
            <x v="1238"/>
          </reference>
          <reference field="20" count="1">
            <x v="284"/>
          </reference>
        </references>
      </pivotArea>
    </format>
    <format dxfId="609">
      <pivotArea dataOnly="0" labelOnly="1" outline="0" fieldPosition="0">
        <references count="3">
          <reference field="0" count="1" selected="0">
            <x v="7"/>
          </reference>
          <reference field="1" count="1" selected="0">
            <x v="1239"/>
          </reference>
          <reference field="20" count="1">
            <x v="0"/>
          </reference>
        </references>
      </pivotArea>
    </format>
    <format dxfId="608">
      <pivotArea dataOnly="0" labelOnly="1" outline="0" fieldPosition="0">
        <references count="3">
          <reference field="0" count="1" selected="0">
            <x v="7"/>
          </reference>
          <reference field="1" count="1" selected="0">
            <x v="1242"/>
          </reference>
          <reference field="20" count="1">
            <x v="0"/>
          </reference>
        </references>
      </pivotArea>
    </format>
    <format dxfId="607">
      <pivotArea dataOnly="0" labelOnly="1" outline="0" fieldPosition="0">
        <references count="3">
          <reference field="0" count="1" selected="0">
            <x v="7"/>
          </reference>
          <reference field="1" count="1" selected="0">
            <x v="1244"/>
          </reference>
          <reference field="20" count="1">
            <x v="0"/>
          </reference>
        </references>
      </pivotArea>
    </format>
    <format dxfId="606">
      <pivotArea dataOnly="0" labelOnly="1" outline="0" fieldPosition="0">
        <references count="3">
          <reference field="0" count="1" selected="0">
            <x v="7"/>
          </reference>
          <reference field="1" count="1" selected="0">
            <x v="1249"/>
          </reference>
          <reference field="20" count="1">
            <x v="0"/>
          </reference>
        </references>
      </pivotArea>
    </format>
    <format dxfId="605">
      <pivotArea dataOnly="0" labelOnly="1" outline="0" fieldPosition="0">
        <references count="3">
          <reference field="0" count="1" selected="0">
            <x v="7"/>
          </reference>
          <reference field="1" count="1" selected="0">
            <x v="1289"/>
          </reference>
          <reference field="20" count="1">
            <x v="0"/>
          </reference>
        </references>
      </pivotArea>
    </format>
    <format dxfId="604">
      <pivotArea dataOnly="0" labelOnly="1" outline="0" fieldPosition="0">
        <references count="3">
          <reference field="0" count="1" selected="0">
            <x v="7"/>
          </reference>
          <reference field="1" count="1" selected="0">
            <x v="1303"/>
          </reference>
          <reference field="20" count="1">
            <x v="303"/>
          </reference>
        </references>
      </pivotArea>
    </format>
    <format dxfId="603">
      <pivotArea dataOnly="0" labelOnly="1" outline="0" fieldPosition="0">
        <references count="3">
          <reference field="0" count="1" selected="0">
            <x v="7"/>
          </reference>
          <reference field="1" count="1" selected="0">
            <x v="1304"/>
          </reference>
          <reference field="20" count="1">
            <x v="0"/>
          </reference>
        </references>
      </pivotArea>
    </format>
    <format dxfId="602">
      <pivotArea dataOnly="0" labelOnly="1" outline="0" fieldPosition="0">
        <references count="3">
          <reference field="0" count="1" selected="0">
            <x v="7"/>
          </reference>
          <reference field="1" count="1" selected="0">
            <x v="1311"/>
          </reference>
          <reference field="20" count="1">
            <x v="0"/>
          </reference>
        </references>
      </pivotArea>
    </format>
    <format dxfId="601">
      <pivotArea dataOnly="0" labelOnly="1" outline="0" fieldPosition="0">
        <references count="3">
          <reference field="0" count="1" selected="0">
            <x v="7"/>
          </reference>
          <reference field="1" count="1" selected="0">
            <x v="1318"/>
          </reference>
          <reference field="20" count="1">
            <x v="0"/>
          </reference>
        </references>
      </pivotArea>
    </format>
    <format dxfId="600">
      <pivotArea dataOnly="0" labelOnly="1" outline="0" fieldPosition="0">
        <references count="3">
          <reference field="0" count="1" selected="0">
            <x v="7"/>
          </reference>
          <reference field="1" count="1" selected="0">
            <x v="1325"/>
          </reference>
          <reference field="20" count="1">
            <x v="0"/>
          </reference>
        </references>
      </pivotArea>
    </format>
    <format dxfId="599">
      <pivotArea dataOnly="0" labelOnly="1" outline="0" fieldPosition="0">
        <references count="3">
          <reference field="0" count="1" selected="0">
            <x v="7"/>
          </reference>
          <reference field="1" count="1" selected="0">
            <x v="1327"/>
          </reference>
          <reference field="20" count="1">
            <x v="0"/>
          </reference>
        </references>
      </pivotArea>
    </format>
    <format dxfId="598">
      <pivotArea dataOnly="0" labelOnly="1" outline="0" fieldPosition="0">
        <references count="3">
          <reference field="0" count="1" selected="0">
            <x v="7"/>
          </reference>
          <reference field="1" count="1" selected="0">
            <x v="1328"/>
          </reference>
          <reference field="20" count="1">
            <x v="0"/>
          </reference>
        </references>
      </pivotArea>
    </format>
    <format dxfId="597">
      <pivotArea dataOnly="0" labelOnly="1" outline="0" fieldPosition="0">
        <references count="3">
          <reference field="0" count="1" selected="0">
            <x v="7"/>
          </reference>
          <reference field="1" count="1" selected="0">
            <x v="1329"/>
          </reference>
          <reference field="20" count="1">
            <x v="0"/>
          </reference>
        </references>
      </pivotArea>
    </format>
    <format dxfId="596">
      <pivotArea dataOnly="0" labelOnly="1" outline="0" fieldPosition="0">
        <references count="3">
          <reference field="0" count="1" selected="0">
            <x v="7"/>
          </reference>
          <reference field="1" count="1" selected="0">
            <x v="1330"/>
          </reference>
          <reference field="20" count="1">
            <x v="0"/>
          </reference>
        </references>
      </pivotArea>
    </format>
    <format dxfId="595">
      <pivotArea dataOnly="0" labelOnly="1" outline="0" fieldPosition="0">
        <references count="3">
          <reference field="0" count="1" selected="0">
            <x v="7"/>
          </reference>
          <reference field="1" count="1" selected="0">
            <x v="1331"/>
          </reference>
          <reference field="20" count="1">
            <x v="307"/>
          </reference>
        </references>
      </pivotArea>
    </format>
    <format dxfId="594">
      <pivotArea dataOnly="0" labelOnly="1" outline="0" fieldPosition="0">
        <references count="3">
          <reference field="0" count="1" selected="0">
            <x v="7"/>
          </reference>
          <reference field="1" count="1" selected="0">
            <x v="1333"/>
          </reference>
          <reference field="20" count="1">
            <x v="309"/>
          </reference>
        </references>
      </pivotArea>
    </format>
    <format dxfId="593">
      <pivotArea dataOnly="0" labelOnly="1" outline="0" fieldPosition="0">
        <references count="3">
          <reference field="0" count="1" selected="0">
            <x v="7"/>
          </reference>
          <reference field="1" count="1" selected="0">
            <x v="1337"/>
          </reference>
          <reference field="20" count="1">
            <x v="0"/>
          </reference>
        </references>
      </pivotArea>
    </format>
    <format dxfId="592">
      <pivotArea dataOnly="0" labelOnly="1" outline="0" fieldPosition="0">
        <references count="3">
          <reference field="0" count="1" selected="0">
            <x v="7"/>
          </reference>
          <reference field="1" count="1" selected="0">
            <x v="1338"/>
          </reference>
          <reference field="20" count="1">
            <x v="0"/>
          </reference>
        </references>
      </pivotArea>
    </format>
    <format dxfId="591">
      <pivotArea dataOnly="0" labelOnly="1" outline="0" fieldPosition="0">
        <references count="3">
          <reference field="0" count="1" selected="0">
            <x v="7"/>
          </reference>
          <reference field="1" count="1" selected="0">
            <x v="1339"/>
          </reference>
          <reference field="20" count="1">
            <x v="0"/>
          </reference>
        </references>
      </pivotArea>
    </format>
    <format dxfId="590">
      <pivotArea dataOnly="0" labelOnly="1" outline="0" fieldPosition="0">
        <references count="3">
          <reference field="0" count="1" selected="0">
            <x v="7"/>
          </reference>
          <reference field="1" count="1" selected="0">
            <x v="1340"/>
          </reference>
          <reference field="20" count="1">
            <x v="0"/>
          </reference>
        </references>
      </pivotArea>
    </format>
    <format dxfId="589">
      <pivotArea dataOnly="0" labelOnly="1" outline="0" fieldPosition="0">
        <references count="3">
          <reference field="0" count="1" selected="0">
            <x v="7"/>
          </reference>
          <reference field="1" count="1" selected="0">
            <x v="1350"/>
          </reference>
          <reference field="20" count="1">
            <x v="0"/>
          </reference>
        </references>
      </pivotArea>
    </format>
    <format dxfId="588">
      <pivotArea dataOnly="0" labelOnly="1" outline="0" fieldPosition="0">
        <references count="3">
          <reference field="0" count="1" selected="0">
            <x v="7"/>
          </reference>
          <reference field="1" count="1" selected="0">
            <x v="1354"/>
          </reference>
          <reference field="20" count="1">
            <x v="0"/>
          </reference>
        </references>
      </pivotArea>
    </format>
    <format dxfId="587">
      <pivotArea dataOnly="0" labelOnly="1" outline="0" fieldPosition="0">
        <references count="3">
          <reference field="0" count="1" selected="0">
            <x v="7"/>
          </reference>
          <reference field="1" count="1" selected="0">
            <x v="1355"/>
          </reference>
          <reference field="20" count="1">
            <x v="0"/>
          </reference>
        </references>
      </pivotArea>
    </format>
    <format dxfId="586">
      <pivotArea dataOnly="0" labelOnly="1" outline="0" fieldPosition="0">
        <references count="3">
          <reference field="0" count="1" selected="0">
            <x v="7"/>
          </reference>
          <reference field="1" count="1" selected="0">
            <x v="1358"/>
          </reference>
          <reference field="20" count="1">
            <x v="0"/>
          </reference>
        </references>
      </pivotArea>
    </format>
    <format dxfId="585">
      <pivotArea dataOnly="0" labelOnly="1" outline="0" fieldPosition="0">
        <references count="3">
          <reference field="0" count="1" selected="0">
            <x v="7"/>
          </reference>
          <reference field="1" count="1" selected="0">
            <x v="1359"/>
          </reference>
          <reference field="20" count="1">
            <x v="0"/>
          </reference>
        </references>
      </pivotArea>
    </format>
    <format dxfId="584">
      <pivotArea dataOnly="0" labelOnly="1" outline="0" fieldPosition="0">
        <references count="3">
          <reference field="0" count="1" selected="0">
            <x v="7"/>
          </reference>
          <reference field="1" count="1" selected="0">
            <x v="1360"/>
          </reference>
          <reference field="20" count="1">
            <x v="0"/>
          </reference>
        </references>
      </pivotArea>
    </format>
    <format dxfId="583">
      <pivotArea dataOnly="0" labelOnly="1" outline="0" fieldPosition="0">
        <references count="3">
          <reference field="0" count="1" selected="0">
            <x v="7"/>
          </reference>
          <reference field="1" count="1" selected="0">
            <x v="1362"/>
          </reference>
          <reference field="20" count="1">
            <x v="0"/>
          </reference>
        </references>
      </pivotArea>
    </format>
    <format dxfId="582">
      <pivotArea dataOnly="0" labelOnly="1" outline="0" fieldPosition="0">
        <references count="3">
          <reference field="0" count="1" selected="0">
            <x v="7"/>
          </reference>
          <reference field="1" count="1" selected="0">
            <x v="1367"/>
          </reference>
          <reference field="20" count="1">
            <x v="0"/>
          </reference>
        </references>
      </pivotArea>
    </format>
    <format dxfId="581">
      <pivotArea dataOnly="0" labelOnly="1" outline="0" fieldPosition="0">
        <references count="3">
          <reference field="0" count="1" selected="0">
            <x v="7"/>
          </reference>
          <reference field="1" count="1" selected="0">
            <x v="1382"/>
          </reference>
          <reference field="20" count="1">
            <x v="0"/>
          </reference>
        </references>
      </pivotArea>
    </format>
    <format dxfId="580">
      <pivotArea dataOnly="0" labelOnly="1" outline="0" fieldPosition="0">
        <references count="3">
          <reference field="0" count="1" selected="0">
            <x v="7"/>
          </reference>
          <reference field="1" count="1" selected="0">
            <x v="1385"/>
          </reference>
          <reference field="20" count="1">
            <x v="0"/>
          </reference>
        </references>
      </pivotArea>
    </format>
    <format dxfId="579">
      <pivotArea dataOnly="0" labelOnly="1" outline="0" fieldPosition="0">
        <references count="3">
          <reference field="0" count="1" selected="0">
            <x v="7"/>
          </reference>
          <reference field="1" count="1" selected="0">
            <x v="1394"/>
          </reference>
          <reference field="20" count="1">
            <x v="0"/>
          </reference>
        </references>
      </pivotArea>
    </format>
    <format dxfId="578">
      <pivotArea dataOnly="0" labelOnly="1" outline="0" fieldPosition="0">
        <references count="3">
          <reference field="0" count="1" selected="0">
            <x v="7"/>
          </reference>
          <reference field="1" count="1" selected="0">
            <x v="1395"/>
          </reference>
          <reference field="20" count="1">
            <x v="0"/>
          </reference>
        </references>
      </pivotArea>
    </format>
    <format dxfId="577">
      <pivotArea dataOnly="0" labelOnly="1" outline="0" fieldPosition="0">
        <references count="3">
          <reference field="0" count="1" selected="0">
            <x v="7"/>
          </reference>
          <reference field="1" count="1" selected="0">
            <x v="1396"/>
          </reference>
          <reference field="20" count="1">
            <x v="0"/>
          </reference>
        </references>
      </pivotArea>
    </format>
    <format dxfId="576">
      <pivotArea dataOnly="0" labelOnly="1" outline="0" fieldPosition="0">
        <references count="3">
          <reference field="0" count="1" selected="0">
            <x v="7"/>
          </reference>
          <reference field="1" count="1" selected="0">
            <x v="1401"/>
          </reference>
          <reference field="20" count="1">
            <x v="0"/>
          </reference>
        </references>
      </pivotArea>
    </format>
    <format dxfId="575">
      <pivotArea dataOnly="0" labelOnly="1" outline="0" fieldPosition="0">
        <references count="3">
          <reference field="0" count="1" selected="0">
            <x v="7"/>
          </reference>
          <reference field="1" count="1" selected="0">
            <x v="1406"/>
          </reference>
          <reference field="20" count="1">
            <x v="0"/>
          </reference>
        </references>
      </pivotArea>
    </format>
    <format dxfId="574">
      <pivotArea dataOnly="0" labelOnly="1" outline="0" fieldPosition="0">
        <references count="3">
          <reference field="0" count="1" selected="0">
            <x v="7"/>
          </reference>
          <reference field="1" count="1" selected="0">
            <x v="1440"/>
          </reference>
          <reference field="20" count="1">
            <x v="0"/>
          </reference>
        </references>
      </pivotArea>
    </format>
    <format dxfId="573">
      <pivotArea dataOnly="0" labelOnly="1" outline="0" fieldPosition="0">
        <references count="3">
          <reference field="0" count="1" selected="0">
            <x v="7"/>
          </reference>
          <reference field="1" count="1" selected="0">
            <x v="1441"/>
          </reference>
          <reference field="20" count="1">
            <x v="0"/>
          </reference>
        </references>
      </pivotArea>
    </format>
    <format dxfId="572">
      <pivotArea dataOnly="0" labelOnly="1" outline="0" fieldPosition="0">
        <references count="3">
          <reference field="0" count="1" selected="0">
            <x v="7"/>
          </reference>
          <reference field="1" count="1" selected="0">
            <x v="1443"/>
          </reference>
          <reference field="20" count="1">
            <x v="0"/>
          </reference>
        </references>
      </pivotArea>
    </format>
    <format dxfId="571">
      <pivotArea dataOnly="0" labelOnly="1" outline="0" fieldPosition="0">
        <references count="3">
          <reference field="0" count="1" selected="0">
            <x v="7"/>
          </reference>
          <reference field="1" count="1" selected="0">
            <x v="1444"/>
          </reference>
          <reference field="20" count="1">
            <x v="0"/>
          </reference>
        </references>
      </pivotArea>
    </format>
    <format dxfId="570">
      <pivotArea dataOnly="0" labelOnly="1" outline="0" fieldPosition="0">
        <references count="3">
          <reference field="0" count="1" selected="0">
            <x v="7"/>
          </reference>
          <reference field="1" count="1" selected="0">
            <x v="1450"/>
          </reference>
          <reference field="20" count="1">
            <x v="0"/>
          </reference>
        </references>
      </pivotArea>
    </format>
    <format dxfId="569">
      <pivotArea dataOnly="0" labelOnly="1" outline="0" fieldPosition="0">
        <references count="3">
          <reference field="0" count="1" selected="0">
            <x v="7"/>
          </reference>
          <reference field="1" count="1" selected="0">
            <x v="1452"/>
          </reference>
          <reference field="20" count="1">
            <x v="0"/>
          </reference>
        </references>
      </pivotArea>
    </format>
    <format dxfId="568">
      <pivotArea dataOnly="0" labelOnly="1" outline="0" fieldPosition="0">
        <references count="3">
          <reference field="0" count="1" selected="0">
            <x v="7"/>
          </reference>
          <reference field="1" count="1" selected="0">
            <x v="1453"/>
          </reference>
          <reference field="20" count="1">
            <x v="0"/>
          </reference>
        </references>
      </pivotArea>
    </format>
    <format dxfId="567">
      <pivotArea dataOnly="0" labelOnly="1" outline="0" fieldPosition="0">
        <references count="3">
          <reference field="0" count="1" selected="0">
            <x v="7"/>
          </reference>
          <reference field="1" count="1" selected="0">
            <x v="1454"/>
          </reference>
          <reference field="20" count="1">
            <x v="0"/>
          </reference>
        </references>
      </pivotArea>
    </format>
    <format dxfId="566">
      <pivotArea dataOnly="0" labelOnly="1" outline="0" fieldPosition="0">
        <references count="3">
          <reference field="0" count="1" selected="0">
            <x v="7"/>
          </reference>
          <reference field="1" count="1" selected="0">
            <x v="1455"/>
          </reference>
          <reference field="20" count="1">
            <x v="0"/>
          </reference>
        </references>
      </pivotArea>
    </format>
    <format dxfId="565">
      <pivotArea dataOnly="0" labelOnly="1" outline="0" fieldPosition="0">
        <references count="3">
          <reference field="0" count="1" selected="0">
            <x v="7"/>
          </reference>
          <reference field="1" count="1" selected="0">
            <x v="1464"/>
          </reference>
          <reference field="20" count="1">
            <x v="0"/>
          </reference>
        </references>
      </pivotArea>
    </format>
    <format dxfId="564">
      <pivotArea dataOnly="0" labelOnly="1" outline="0" fieldPosition="0">
        <references count="3">
          <reference field="0" count="1" selected="0">
            <x v="7"/>
          </reference>
          <reference field="1" count="1" selected="0">
            <x v="1465"/>
          </reference>
          <reference field="20" count="1">
            <x v="0"/>
          </reference>
        </references>
      </pivotArea>
    </format>
    <format dxfId="563">
      <pivotArea dataOnly="0" labelOnly="1" outline="0" fieldPosition="0">
        <references count="3">
          <reference field="0" count="1" selected="0">
            <x v="7"/>
          </reference>
          <reference field="1" count="1" selected="0">
            <x v="1478"/>
          </reference>
          <reference field="20" count="1">
            <x v="0"/>
          </reference>
        </references>
      </pivotArea>
    </format>
    <format dxfId="562">
      <pivotArea dataOnly="0" labelOnly="1" outline="0" fieldPosition="0">
        <references count="3">
          <reference field="0" count="1" selected="0">
            <x v="7"/>
          </reference>
          <reference field="1" count="1" selected="0">
            <x v="1479"/>
          </reference>
          <reference field="20" count="1">
            <x v="0"/>
          </reference>
        </references>
      </pivotArea>
    </format>
    <format dxfId="561">
      <pivotArea dataOnly="0" labelOnly="1" outline="0" fieldPosition="0">
        <references count="3">
          <reference field="0" count="1" selected="0">
            <x v="7"/>
          </reference>
          <reference field="1" count="1" selected="0">
            <x v="1480"/>
          </reference>
          <reference field="20" count="1">
            <x v="0"/>
          </reference>
        </references>
      </pivotArea>
    </format>
    <format dxfId="560">
      <pivotArea dataOnly="0" labelOnly="1" outline="0" fieldPosition="0">
        <references count="3">
          <reference field="0" count="1" selected="0">
            <x v="7"/>
          </reference>
          <reference field="1" count="1" selected="0">
            <x v="1482"/>
          </reference>
          <reference field="20" count="1">
            <x v="0"/>
          </reference>
        </references>
      </pivotArea>
    </format>
    <format dxfId="559">
      <pivotArea dataOnly="0" labelOnly="1" outline="0" fieldPosition="0">
        <references count="3">
          <reference field="0" count="1" selected="0">
            <x v="7"/>
          </reference>
          <reference field="1" count="1" selected="0">
            <x v="1486"/>
          </reference>
          <reference field="20" count="1">
            <x v="0"/>
          </reference>
        </references>
      </pivotArea>
    </format>
    <format dxfId="558">
      <pivotArea dataOnly="0" labelOnly="1" outline="0" fieldPosition="0">
        <references count="3">
          <reference field="0" count="1" selected="0">
            <x v="7"/>
          </reference>
          <reference field="1" count="1" selected="0">
            <x v="1487"/>
          </reference>
          <reference field="20" count="1">
            <x v="0"/>
          </reference>
        </references>
      </pivotArea>
    </format>
    <format dxfId="557">
      <pivotArea dataOnly="0" labelOnly="1" outline="0" fieldPosition="0">
        <references count="3">
          <reference field="0" count="1" selected="0">
            <x v="7"/>
          </reference>
          <reference field="1" count="1" selected="0">
            <x v="1488"/>
          </reference>
          <reference field="20" count="1">
            <x v="0"/>
          </reference>
        </references>
      </pivotArea>
    </format>
    <format dxfId="556">
      <pivotArea dataOnly="0" labelOnly="1" outline="0" fieldPosition="0">
        <references count="3">
          <reference field="0" count="1" selected="0">
            <x v="7"/>
          </reference>
          <reference field="1" count="1" selected="0">
            <x v="1489"/>
          </reference>
          <reference field="20" count="1">
            <x v="0"/>
          </reference>
        </references>
      </pivotArea>
    </format>
    <format dxfId="555">
      <pivotArea dataOnly="0" labelOnly="1" outline="0" fieldPosition="0">
        <references count="3">
          <reference field="0" count="1" selected="0">
            <x v="7"/>
          </reference>
          <reference field="1" count="1" selected="0">
            <x v="1491"/>
          </reference>
          <reference field="20" count="1">
            <x v="0"/>
          </reference>
        </references>
      </pivotArea>
    </format>
    <format dxfId="554">
      <pivotArea dataOnly="0" labelOnly="1" outline="0" fieldPosition="0">
        <references count="3">
          <reference field="0" count="1" selected="0">
            <x v="7"/>
          </reference>
          <reference field="1" count="1" selected="0">
            <x v="1493"/>
          </reference>
          <reference field="20" count="1">
            <x v="0"/>
          </reference>
        </references>
      </pivotArea>
    </format>
    <format dxfId="553">
      <pivotArea dataOnly="0" labelOnly="1" outline="0" fieldPosition="0">
        <references count="3">
          <reference field="0" count="1" selected="0">
            <x v="7"/>
          </reference>
          <reference field="1" count="1" selected="0">
            <x v="1494"/>
          </reference>
          <reference field="20" count="1">
            <x v="0"/>
          </reference>
        </references>
      </pivotArea>
    </format>
    <format dxfId="552">
      <pivotArea dataOnly="0" labelOnly="1" outline="0" fieldPosition="0">
        <references count="3">
          <reference field="0" count="1" selected="0">
            <x v="7"/>
          </reference>
          <reference field="1" count="1" selected="0">
            <x v="1526"/>
          </reference>
          <reference field="20" count="1">
            <x v="0"/>
          </reference>
        </references>
      </pivotArea>
    </format>
    <format dxfId="551">
      <pivotArea dataOnly="0" labelOnly="1" outline="0" fieldPosition="0">
        <references count="3">
          <reference field="0" count="1" selected="0">
            <x v="7"/>
          </reference>
          <reference field="1" count="1" selected="0">
            <x v="1543"/>
          </reference>
          <reference field="20" count="1">
            <x v="0"/>
          </reference>
        </references>
      </pivotArea>
    </format>
    <format dxfId="550">
      <pivotArea dataOnly="0" labelOnly="1" outline="0" fieldPosition="0">
        <references count="3">
          <reference field="0" count="1" selected="0">
            <x v="7"/>
          </reference>
          <reference field="1" count="1" selected="0">
            <x v="1556"/>
          </reference>
          <reference field="20" count="1">
            <x v="311"/>
          </reference>
        </references>
      </pivotArea>
    </format>
    <format dxfId="549">
      <pivotArea dataOnly="0" labelOnly="1" outline="0" fieldPosition="0">
        <references count="3">
          <reference field="0" count="1" selected="0">
            <x v="7"/>
          </reference>
          <reference field="1" count="1" selected="0">
            <x v="1557"/>
          </reference>
          <reference field="20" count="1">
            <x v="0"/>
          </reference>
        </references>
      </pivotArea>
    </format>
    <format dxfId="548">
      <pivotArea dataOnly="0" labelOnly="1" outline="0" fieldPosition="0">
        <references count="3">
          <reference field="0" count="1" selected="0">
            <x v="7"/>
          </reference>
          <reference field="1" count="1" selected="0">
            <x v="1559"/>
          </reference>
          <reference field="20" count="1">
            <x v="0"/>
          </reference>
        </references>
      </pivotArea>
    </format>
    <format dxfId="547">
      <pivotArea dataOnly="0" labelOnly="1" outline="0" fieldPosition="0">
        <references count="3">
          <reference field="0" count="1" selected="0">
            <x v="7"/>
          </reference>
          <reference field="1" count="1" selected="0">
            <x v="1560"/>
          </reference>
          <reference field="20" count="1">
            <x v="0"/>
          </reference>
        </references>
      </pivotArea>
    </format>
    <format dxfId="546">
      <pivotArea dataOnly="0" labelOnly="1" outline="0" fieldPosition="0">
        <references count="3">
          <reference field="0" count="1" selected="0">
            <x v="7"/>
          </reference>
          <reference field="1" count="1" selected="0">
            <x v="1565"/>
          </reference>
          <reference field="20" count="1">
            <x v="0"/>
          </reference>
        </references>
      </pivotArea>
    </format>
    <format dxfId="545">
      <pivotArea dataOnly="0" labelOnly="1" outline="0" fieldPosition="0">
        <references count="3">
          <reference field="0" count="1" selected="0">
            <x v="7"/>
          </reference>
          <reference field="1" count="1" selected="0">
            <x v="1568"/>
          </reference>
          <reference field="20" count="1">
            <x v="0"/>
          </reference>
        </references>
      </pivotArea>
    </format>
    <format dxfId="544">
      <pivotArea dataOnly="0" labelOnly="1" outline="0" fieldPosition="0">
        <references count="3">
          <reference field="0" count="1" selected="0">
            <x v="7"/>
          </reference>
          <reference field="1" count="1" selected="0">
            <x v="1569"/>
          </reference>
          <reference field="20" count="1">
            <x v="0"/>
          </reference>
        </references>
      </pivotArea>
    </format>
    <format dxfId="543">
      <pivotArea dataOnly="0" labelOnly="1" outline="0" fieldPosition="0">
        <references count="3">
          <reference field="0" count="1" selected="0">
            <x v="7"/>
          </reference>
          <reference field="1" count="1" selected="0">
            <x v="1580"/>
          </reference>
          <reference field="20" count="1">
            <x v="314"/>
          </reference>
        </references>
      </pivotArea>
    </format>
    <format dxfId="542">
      <pivotArea dataOnly="0" labelOnly="1" outline="0" fieldPosition="0">
        <references count="3">
          <reference field="0" count="1" selected="0">
            <x v="7"/>
          </reference>
          <reference field="1" count="1" selected="0">
            <x v="1581"/>
          </reference>
          <reference field="20" count="1">
            <x v="0"/>
          </reference>
        </references>
      </pivotArea>
    </format>
    <format dxfId="541">
      <pivotArea dataOnly="0" labelOnly="1" outline="0" fieldPosition="0">
        <references count="3">
          <reference field="0" count="1" selected="0">
            <x v="7"/>
          </reference>
          <reference field="1" count="1" selected="0">
            <x v="1591"/>
          </reference>
          <reference field="20" count="1">
            <x v="0"/>
          </reference>
        </references>
      </pivotArea>
    </format>
    <format dxfId="540">
      <pivotArea dataOnly="0" labelOnly="1" outline="0" fieldPosition="0">
        <references count="3">
          <reference field="0" count="1" selected="0">
            <x v="7"/>
          </reference>
          <reference field="1" count="1" selected="0">
            <x v="1593"/>
          </reference>
          <reference field="20" count="1">
            <x v="0"/>
          </reference>
        </references>
      </pivotArea>
    </format>
    <format dxfId="539">
      <pivotArea dataOnly="0" labelOnly="1" outline="0" fieldPosition="0">
        <references count="3">
          <reference field="0" count="1" selected="0">
            <x v="7"/>
          </reference>
          <reference field="1" count="1" selected="0">
            <x v="1594"/>
          </reference>
          <reference field="20" count="1">
            <x v="0"/>
          </reference>
        </references>
      </pivotArea>
    </format>
    <format dxfId="538">
      <pivotArea dataOnly="0" labelOnly="1" outline="0" fieldPosition="0">
        <references count="3">
          <reference field="0" count="1" selected="0">
            <x v="7"/>
          </reference>
          <reference field="1" count="1" selected="0">
            <x v="1595"/>
          </reference>
          <reference field="20" count="1">
            <x v="0"/>
          </reference>
        </references>
      </pivotArea>
    </format>
    <format dxfId="537">
      <pivotArea dataOnly="0" labelOnly="1" outline="0" fieldPosition="0">
        <references count="3">
          <reference field="0" count="1" selected="0">
            <x v="7"/>
          </reference>
          <reference field="1" count="1" selected="0">
            <x v="1596"/>
          </reference>
          <reference field="20" count="1">
            <x v="0"/>
          </reference>
        </references>
      </pivotArea>
    </format>
    <format dxfId="536">
      <pivotArea dataOnly="0" labelOnly="1" outline="0" fieldPosition="0">
        <references count="3">
          <reference field="0" count="1" selected="0">
            <x v="7"/>
          </reference>
          <reference field="1" count="1" selected="0">
            <x v="1597"/>
          </reference>
          <reference field="20" count="1">
            <x v="0"/>
          </reference>
        </references>
      </pivotArea>
    </format>
    <format dxfId="535">
      <pivotArea dataOnly="0" labelOnly="1" outline="0" fieldPosition="0">
        <references count="3">
          <reference field="0" count="1" selected="0">
            <x v="7"/>
          </reference>
          <reference field="1" count="1" selected="0">
            <x v="1602"/>
          </reference>
          <reference field="20" count="1">
            <x v="0"/>
          </reference>
        </references>
      </pivotArea>
    </format>
    <format dxfId="534">
      <pivotArea dataOnly="0" labelOnly="1" outline="0" fieldPosition="0">
        <references count="3">
          <reference field="0" count="1" selected="0">
            <x v="7"/>
          </reference>
          <reference field="1" count="1" selected="0">
            <x v="1603"/>
          </reference>
          <reference field="20" count="1">
            <x v="321"/>
          </reference>
        </references>
      </pivotArea>
    </format>
    <format dxfId="533">
      <pivotArea dataOnly="0" labelOnly="1" outline="0" fieldPosition="0">
        <references count="3">
          <reference field="0" count="1" selected="0">
            <x v="7"/>
          </reference>
          <reference field="1" count="1" selected="0">
            <x v="1610"/>
          </reference>
          <reference field="20" count="1">
            <x v="0"/>
          </reference>
        </references>
      </pivotArea>
    </format>
    <format dxfId="532">
      <pivotArea dataOnly="0" labelOnly="1" outline="0" fieldPosition="0">
        <references count="3">
          <reference field="0" count="1" selected="0">
            <x v="7"/>
          </reference>
          <reference field="1" count="1" selected="0">
            <x v="1614"/>
          </reference>
          <reference field="20" count="1">
            <x v="0"/>
          </reference>
        </references>
      </pivotArea>
    </format>
    <format dxfId="531">
      <pivotArea dataOnly="0" labelOnly="1" outline="0" fieldPosition="0">
        <references count="3">
          <reference field="0" count="1" selected="0">
            <x v="7"/>
          </reference>
          <reference field="1" count="1" selected="0">
            <x v="1615"/>
          </reference>
          <reference field="20" count="1">
            <x v="0"/>
          </reference>
        </references>
      </pivotArea>
    </format>
    <format dxfId="530">
      <pivotArea dataOnly="0" labelOnly="1" outline="0" fieldPosition="0">
        <references count="3">
          <reference field="0" count="1" selected="0">
            <x v="7"/>
          </reference>
          <reference field="1" count="1" selected="0">
            <x v="1616"/>
          </reference>
          <reference field="20" count="1">
            <x v="0"/>
          </reference>
        </references>
      </pivotArea>
    </format>
    <format dxfId="529">
      <pivotArea dataOnly="0" labelOnly="1" outline="0" fieldPosition="0">
        <references count="3">
          <reference field="0" count="1" selected="0">
            <x v="7"/>
          </reference>
          <reference field="1" count="1" selected="0">
            <x v="1620"/>
          </reference>
          <reference field="20" count="1">
            <x v="326"/>
          </reference>
        </references>
      </pivotArea>
    </format>
    <format dxfId="528">
      <pivotArea dataOnly="0" labelOnly="1" outline="0" fieldPosition="0">
        <references count="3">
          <reference field="0" count="1" selected="0">
            <x v="7"/>
          </reference>
          <reference field="1" count="1" selected="0">
            <x v="1622"/>
          </reference>
          <reference field="20" count="1">
            <x v="0"/>
          </reference>
        </references>
      </pivotArea>
    </format>
    <format dxfId="527">
      <pivotArea dataOnly="0" labelOnly="1" outline="0" fieldPosition="0">
        <references count="3">
          <reference field="0" count="1" selected="0">
            <x v="7"/>
          </reference>
          <reference field="1" count="1" selected="0">
            <x v="1628"/>
          </reference>
          <reference field="20" count="1">
            <x v="329"/>
          </reference>
        </references>
      </pivotArea>
    </format>
    <format dxfId="526">
      <pivotArea dataOnly="0" labelOnly="1" outline="0" fieldPosition="0">
        <references count="3">
          <reference field="0" count="1" selected="0">
            <x v="7"/>
          </reference>
          <reference field="1" count="1" selected="0">
            <x v="1632"/>
          </reference>
          <reference field="20" count="1">
            <x v="0"/>
          </reference>
        </references>
      </pivotArea>
    </format>
    <format dxfId="525">
      <pivotArea dataOnly="0" labelOnly="1" outline="0" fieldPosition="0">
        <references count="3">
          <reference field="0" count="1" selected="0">
            <x v="7"/>
          </reference>
          <reference field="1" count="1" selected="0">
            <x v="1635"/>
          </reference>
          <reference field="20" count="1">
            <x v="0"/>
          </reference>
        </references>
      </pivotArea>
    </format>
    <format dxfId="524">
      <pivotArea dataOnly="0" labelOnly="1" outline="0" fieldPosition="0">
        <references count="3">
          <reference field="0" count="1" selected="0">
            <x v="7"/>
          </reference>
          <reference field="1" count="1" selected="0">
            <x v="1645"/>
          </reference>
          <reference field="20" count="1">
            <x v="0"/>
          </reference>
        </references>
      </pivotArea>
    </format>
    <format dxfId="523">
      <pivotArea dataOnly="0" labelOnly="1" outline="0" fieldPosition="0">
        <references count="3">
          <reference field="0" count="1" selected="0">
            <x v="7"/>
          </reference>
          <reference field="1" count="1" selected="0">
            <x v="1647"/>
          </reference>
          <reference field="20" count="1">
            <x v="0"/>
          </reference>
        </references>
      </pivotArea>
    </format>
    <format dxfId="522">
      <pivotArea dataOnly="0" labelOnly="1" outline="0" fieldPosition="0">
        <references count="3">
          <reference field="0" count="1" selected="0">
            <x v="7"/>
          </reference>
          <reference field="1" count="1" selected="0">
            <x v="1667"/>
          </reference>
          <reference field="20" count="1">
            <x v="0"/>
          </reference>
        </references>
      </pivotArea>
    </format>
    <format dxfId="521">
      <pivotArea dataOnly="0" labelOnly="1" outline="0" fieldPosition="0">
        <references count="3">
          <reference field="0" count="1" selected="0">
            <x v="8"/>
          </reference>
          <reference field="1" count="1" selected="0">
            <x v="7"/>
          </reference>
          <reference field="20" count="1">
            <x v="0"/>
          </reference>
        </references>
      </pivotArea>
    </format>
    <format dxfId="520">
      <pivotArea dataOnly="0" labelOnly="1" outline="0" fieldPosition="0">
        <references count="3">
          <reference field="0" count="1" selected="0">
            <x v="8"/>
          </reference>
          <reference field="1" count="1" selected="0">
            <x v="9"/>
          </reference>
          <reference field="20" count="1">
            <x v="1"/>
          </reference>
        </references>
      </pivotArea>
    </format>
    <format dxfId="519">
      <pivotArea dataOnly="0" labelOnly="1" outline="0" fieldPosition="0">
        <references count="3">
          <reference field="0" count="1" selected="0">
            <x v="8"/>
          </reference>
          <reference field="1" count="1" selected="0">
            <x v="20"/>
          </reference>
          <reference field="20" count="1">
            <x v="0"/>
          </reference>
        </references>
      </pivotArea>
    </format>
    <format dxfId="518">
      <pivotArea dataOnly="0" labelOnly="1" outline="0" fieldPosition="0">
        <references count="3">
          <reference field="0" count="1" selected="0">
            <x v="8"/>
          </reference>
          <reference field="1" count="1" selected="0">
            <x v="21"/>
          </reference>
          <reference field="20" count="1">
            <x v="0"/>
          </reference>
        </references>
      </pivotArea>
    </format>
    <format dxfId="517">
      <pivotArea dataOnly="0" labelOnly="1" outline="0" fieldPosition="0">
        <references count="3">
          <reference field="0" count="1" selected="0">
            <x v="8"/>
          </reference>
          <reference field="1" count="1" selected="0">
            <x v="32"/>
          </reference>
          <reference field="20" count="1">
            <x v="0"/>
          </reference>
        </references>
      </pivotArea>
    </format>
    <format dxfId="516">
      <pivotArea dataOnly="0" labelOnly="1" outline="0" fieldPosition="0">
        <references count="3">
          <reference field="0" count="1" selected="0">
            <x v="8"/>
          </reference>
          <reference field="1" count="1" selected="0">
            <x v="33"/>
          </reference>
          <reference field="20" count="1">
            <x v="0"/>
          </reference>
        </references>
      </pivotArea>
    </format>
    <format dxfId="515">
      <pivotArea dataOnly="0" labelOnly="1" outline="0" fieldPosition="0">
        <references count="3">
          <reference field="0" count="1" selected="0">
            <x v="8"/>
          </reference>
          <reference field="1" count="1" selected="0">
            <x v="34"/>
          </reference>
          <reference field="20" count="1">
            <x v="0"/>
          </reference>
        </references>
      </pivotArea>
    </format>
    <format dxfId="514">
      <pivotArea dataOnly="0" labelOnly="1" outline="0" fieldPosition="0">
        <references count="3">
          <reference field="0" count="1" selected="0">
            <x v="8"/>
          </reference>
          <reference field="1" count="1" selected="0">
            <x v="52"/>
          </reference>
          <reference field="20" count="1">
            <x v="0"/>
          </reference>
        </references>
      </pivotArea>
    </format>
    <format dxfId="513">
      <pivotArea dataOnly="0" labelOnly="1" outline="0" fieldPosition="0">
        <references count="3">
          <reference field="0" count="1" selected="0">
            <x v="8"/>
          </reference>
          <reference field="1" count="1" selected="0">
            <x v="53"/>
          </reference>
          <reference field="20" count="1">
            <x v="0"/>
          </reference>
        </references>
      </pivotArea>
    </format>
    <format dxfId="512">
      <pivotArea dataOnly="0" labelOnly="1" outline="0" fieldPosition="0">
        <references count="3">
          <reference field="0" count="1" selected="0">
            <x v="8"/>
          </reference>
          <reference field="1" count="1" selected="0">
            <x v="66"/>
          </reference>
          <reference field="20" count="1">
            <x v="0"/>
          </reference>
        </references>
      </pivotArea>
    </format>
    <format dxfId="511">
      <pivotArea dataOnly="0" labelOnly="1" outline="0" fieldPosition="0">
        <references count="3">
          <reference field="0" count="1" selected="0">
            <x v="8"/>
          </reference>
          <reference field="1" count="1" selected="0">
            <x v="68"/>
          </reference>
          <reference field="20" count="1">
            <x v="0"/>
          </reference>
        </references>
      </pivotArea>
    </format>
    <format dxfId="510">
      <pivotArea dataOnly="0" labelOnly="1" outline="0" fieldPosition="0">
        <references count="3">
          <reference field="0" count="1" selected="0">
            <x v="8"/>
          </reference>
          <reference field="1" count="1" selected="0">
            <x v="88"/>
          </reference>
          <reference field="20" count="1">
            <x v="0"/>
          </reference>
        </references>
      </pivotArea>
    </format>
    <format dxfId="509">
      <pivotArea dataOnly="0" labelOnly="1" outline="0" fieldPosition="0">
        <references count="3">
          <reference field="0" count="1" selected="0">
            <x v="8"/>
          </reference>
          <reference field="1" count="1" selected="0">
            <x v="97"/>
          </reference>
          <reference field="20" count="1">
            <x v="0"/>
          </reference>
        </references>
      </pivotArea>
    </format>
    <format dxfId="508">
      <pivotArea dataOnly="0" labelOnly="1" outline="0" fieldPosition="0">
        <references count="3">
          <reference field="0" count="1" selected="0">
            <x v="8"/>
          </reference>
          <reference field="1" count="1" selected="0">
            <x v="98"/>
          </reference>
          <reference field="20" count="1">
            <x v="0"/>
          </reference>
        </references>
      </pivotArea>
    </format>
    <format dxfId="507">
      <pivotArea dataOnly="0" labelOnly="1" outline="0" fieldPosition="0">
        <references count="3">
          <reference field="0" count="1" selected="0">
            <x v="8"/>
          </reference>
          <reference field="1" count="1" selected="0">
            <x v="99"/>
          </reference>
          <reference field="20" count="1">
            <x v="0"/>
          </reference>
        </references>
      </pivotArea>
    </format>
    <format dxfId="506">
      <pivotArea dataOnly="0" labelOnly="1" outline="0" fieldPosition="0">
        <references count="3">
          <reference field="0" count="1" selected="0">
            <x v="8"/>
          </reference>
          <reference field="1" count="1" selected="0">
            <x v="100"/>
          </reference>
          <reference field="20" count="1">
            <x v="0"/>
          </reference>
        </references>
      </pivotArea>
    </format>
    <format dxfId="505">
      <pivotArea dataOnly="0" labelOnly="1" outline="0" fieldPosition="0">
        <references count="3">
          <reference field="0" count="1" selected="0">
            <x v="8"/>
          </reference>
          <reference field="1" count="1" selected="0">
            <x v="117"/>
          </reference>
          <reference field="20" count="1">
            <x v="0"/>
          </reference>
        </references>
      </pivotArea>
    </format>
    <format dxfId="504">
      <pivotArea dataOnly="0" labelOnly="1" outline="0" fieldPosition="0">
        <references count="3">
          <reference field="0" count="1" selected="0">
            <x v="8"/>
          </reference>
          <reference field="1" count="1" selected="0">
            <x v="119"/>
          </reference>
          <reference field="20" count="1">
            <x v="0"/>
          </reference>
        </references>
      </pivotArea>
    </format>
    <format dxfId="503">
      <pivotArea dataOnly="0" labelOnly="1" outline="0" fieldPosition="0">
        <references count="3">
          <reference field="0" count="1" selected="0">
            <x v="8"/>
          </reference>
          <reference field="1" count="1" selected="0">
            <x v="123"/>
          </reference>
          <reference field="20" count="1">
            <x v="0"/>
          </reference>
        </references>
      </pivotArea>
    </format>
    <format dxfId="502">
      <pivotArea dataOnly="0" labelOnly="1" outline="0" fieldPosition="0">
        <references count="3">
          <reference field="0" count="1" selected="0">
            <x v="8"/>
          </reference>
          <reference field="1" count="1" selected="0">
            <x v="134"/>
          </reference>
          <reference field="20" count="1">
            <x v="7"/>
          </reference>
        </references>
      </pivotArea>
    </format>
    <format dxfId="501">
      <pivotArea dataOnly="0" labelOnly="1" outline="0" fieldPosition="0">
        <references count="3">
          <reference field="0" count="1" selected="0">
            <x v="8"/>
          </reference>
          <reference field="1" count="1" selected="0">
            <x v="151"/>
          </reference>
          <reference field="20" count="1">
            <x v="12"/>
          </reference>
        </references>
      </pivotArea>
    </format>
    <format dxfId="500">
      <pivotArea dataOnly="0" labelOnly="1" outline="0" fieldPosition="0">
        <references count="3">
          <reference field="0" count="1" selected="0">
            <x v="8"/>
          </reference>
          <reference field="1" count="1" selected="0">
            <x v="153"/>
          </reference>
          <reference field="20" count="1">
            <x v="0"/>
          </reference>
        </references>
      </pivotArea>
    </format>
    <format dxfId="499">
      <pivotArea dataOnly="0" labelOnly="1" outline="0" fieldPosition="0">
        <references count="3">
          <reference field="0" count="1" selected="0">
            <x v="8"/>
          </reference>
          <reference field="1" count="1" selected="0">
            <x v="156"/>
          </reference>
          <reference field="20" count="1">
            <x v="0"/>
          </reference>
        </references>
      </pivotArea>
    </format>
    <format dxfId="498">
      <pivotArea dataOnly="0" labelOnly="1" outline="0" fieldPosition="0">
        <references count="3">
          <reference field="0" count="1" selected="0">
            <x v="8"/>
          </reference>
          <reference field="1" count="1" selected="0">
            <x v="167"/>
          </reference>
          <reference field="20" count="1">
            <x v="0"/>
          </reference>
        </references>
      </pivotArea>
    </format>
    <format dxfId="497">
      <pivotArea dataOnly="0" labelOnly="1" outline="0" fieldPosition="0">
        <references count="3">
          <reference field="0" count="1" selected="0">
            <x v="8"/>
          </reference>
          <reference field="1" count="1" selected="0">
            <x v="168"/>
          </reference>
          <reference field="20" count="1">
            <x v="13"/>
          </reference>
        </references>
      </pivotArea>
    </format>
    <format dxfId="496">
      <pivotArea dataOnly="0" labelOnly="1" outline="0" fieldPosition="0">
        <references count="3">
          <reference field="0" count="1" selected="0">
            <x v="8"/>
          </reference>
          <reference field="1" count="1" selected="0">
            <x v="190"/>
          </reference>
          <reference field="20" count="1">
            <x v="0"/>
          </reference>
        </references>
      </pivotArea>
    </format>
    <format dxfId="495">
      <pivotArea dataOnly="0" labelOnly="1" outline="0" fieldPosition="0">
        <references count="3">
          <reference field="0" count="1" selected="0">
            <x v="8"/>
          </reference>
          <reference field="1" count="1" selected="0">
            <x v="196"/>
          </reference>
          <reference field="20" count="1">
            <x v="0"/>
          </reference>
        </references>
      </pivotArea>
    </format>
    <format dxfId="494">
      <pivotArea dataOnly="0" labelOnly="1" outline="0" fieldPosition="0">
        <references count="3">
          <reference field="0" count="1" selected="0">
            <x v="8"/>
          </reference>
          <reference field="1" count="1" selected="0">
            <x v="199"/>
          </reference>
          <reference field="20" count="1">
            <x v="0"/>
          </reference>
        </references>
      </pivotArea>
    </format>
    <format dxfId="493">
      <pivotArea dataOnly="0" labelOnly="1" outline="0" fieldPosition="0">
        <references count="3">
          <reference field="0" count="1" selected="0">
            <x v="8"/>
          </reference>
          <reference field="1" count="1" selected="0">
            <x v="215"/>
          </reference>
          <reference field="20" count="1">
            <x v="0"/>
          </reference>
        </references>
      </pivotArea>
    </format>
    <format dxfId="492">
      <pivotArea dataOnly="0" labelOnly="1" outline="0" fieldPosition="0">
        <references count="3">
          <reference field="0" count="1" selected="0">
            <x v="8"/>
          </reference>
          <reference field="1" count="1" selected="0">
            <x v="238"/>
          </reference>
          <reference field="20" count="1">
            <x v="0"/>
          </reference>
        </references>
      </pivotArea>
    </format>
    <format dxfId="491">
      <pivotArea dataOnly="0" labelOnly="1" outline="0" fieldPosition="0">
        <references count="3">
          <reference field="0" count="1" selected="0">
            <x v="8"/>
          </reference>
          <reference field="1" count="1" selected="0">
            <x v="241"/>
          </reference>
          <reference field="20" count="1">
            <x v="0"/>
          </reference>
        </references>
      </pivotArea>
    </format>
    <format dxfId="490">
      <pivotArea dataOnly="0" labelOnly="1" outline="0" fieldPosition="0">
        <references count="3">
          <reference field="0" count="1" selected="0">
            <x v="8"/>
          </reference>
          <reference field="1" count="1" selected="0">
            <x v="242"/>
          </reference>
          <reference field="20" count="1">
            <x v="0"/>
          </reference>
        </references>
      </pivotArea>
    </format>
    <format dxfId="489">
      <pivotArea dataOnly="0" labelOnly="1" outline="0" fieldPosition="0">
        <references count="3">
          <reference field="0" count="1" selected="0">
            <x v="8"/>
          </reference>
          <reference field="1" count="1" selected="0">
            <x v="243"/>
          </reference>
          <reference field="20" count="1">
            <x v="0"/>
          </reference>
        </references>
      </pivotArea>
    </format>
    <format dxfId="488">
      <pivotArea dataOnly="0" labelOnly="1" outline="0" fieldPosition="0">
        <references count="3">
          <reference field="0" count="1" selected="0">
            <x v="8"/>
          </reference>
          <reference field="1" count="1" selected="0">
            <x v="245"/>
          </reference>
          <reference field="20" count="1">
            <x v="0"/>
          </reference>
        </references>
      </pivotArea>
    </format>
    <format dxfId="487">
      <pivotArea dataOnly="0" labelOnly="1" outline="0" fieldPosition="0">
        <references count="3">
          <reference field="0" count="1" selected="0">
            <x v="8"/>
          </reference>
          <reference field="1" count="1" selected="0">
            <x v="258"/>
          </reference>
          <reference field="20" count="1">
            <x v="18"/>
          </reference>
        </references>
      </pivotArea>
    </format>
    <format dxfId="486">
      <pivotArea dataOnly="0" labelOnly="1" outline="0" fieldPosition="0">
        <references count="3">
          <reference field="0" count="1" selected="0">
            <x v="8"/>
          </reference>
          <reference field="1" count="1" selected="0">
            <x v="270"/>
          </reference>
          <reference field="20" count="1">
            <x v="0"/>
          </reference>
        </references>
      </pivotArea>
    </format>
    <format dxfId="485">
      <pivotArea dataOnly="0" labelOnly="1" outline="0" fieldPosition="0">
        <references count="3">
          <reference field="0" count="1" selected="0">
            <x v="8"/>
          </reference>
          <reference field="1" count="1" selected="0">
            <x v="271"/>
          </reference>
          <reference field="20" count="1">
            <x v="0"/>
          </reference>
        </references>
      </pivotArea>
    </format>
    <format dxfId="484">
      <pivotArea dataOnly="0" labelOnly="1" outline="0" fieldPosition="0">
        <references count="3">
          <reference field="0" count="1" selected="0">
            <x v="8"/>
          </reference>
          <reference field="1" count="1" selected="0">
            <x v="272"/>
          </reference>
          <reference field="20" count="1">
            <x v="0"/>
          </reference>
        </references>
      </pivotArea>
    </format>
    <format dxfId="483">
      <pivotArea dataOnly="0" labelOnly="1" outline="0" fieldPosition="0">
        <references count="3">
          <reference field="0" count="1" selected="0">
            <x v="8"/>
          </reference>
          <reference field="1" count="1" selected="0">
            <x v="280"/>
          </reference>
          <reference field="20" count="1">
            <x v="0"/>
          </reference>
        </references>
      </pivotArea>
    </format>
    <format dxfId="482">
      <pivotArea dataOnly="0" labelOnly="1" outline="0" fieldPosition="0">
        <references count="3">
          <reference field="0" count="1" selected="0">
            <x v="8"/>
          </reference>
          <reference field="1" count="1" selected="0">
            <x v="282"/>
          </reference>
          <reference field="20" count="1">
            <x v="0"/>
          </reference>
        </references>
      </pivotArea>
    </format>
    <format dxfId="481">
      <pivotArea dataOnly="0" labelOnly="1" outline="0" fieldPosition="0">
        <references count="3">
          <reference field="0" count="1" selected="0">
            <x v="8"/>
          </reference>
          <reference field="1" count="1" selected="0">
            <x v="293"/>
          </reference>
          <reference field="20" count="1">
            <x v="24"/>
          </reference>
        </references>
      </pivotArea>
    </format>
    <format dxfId="480">
      <pivotArea dataOnly="0" labelOnly="1" outline="0" fieldPosition="0">
        <references count="3">
          <reference field="0" count="1" selected="0">
            <x v="8"/>
          </reference>
          <reference field="1" count="1" selected="0">
            <x v="294"/>
          </reference>
          <reference field="20" count="1">
            <x v="0"/>
          </reference>
        </references>
      </pivotArea>
    </format>
    <format dxfId="479">
      <pivotArea dataOnly="0" labelOnly="1" outline="0" fieldPosition="0">
        <references count="3">
          <reference field="0" count="1" selected="0">
            <x v="8"/>
          </reference>
          <reference field="1" count="1" selected="0">
            <x v="298"/>
          </reference>
          <reference field="20" count="1">
            <x v="0"/>
          </reference>
        </references>
      </pivotArea>
    </format>
    <format dxfId="478">
      <pivotArea dataOnly="0" labelOnly="1" outline="0" fieldPosition="0">
        <references count="3">
          <reference field="0" count="1" selected="0">
            <x v="8"/>
          </reference>
          <reference field="1" count="1" selected="0">
            <x v="308"/>
          </reference>
          <reference field="20" count="1">
            <x v="0"/>
          </reference>
        </references>
      </pivotArea>
    </format>
    <format dxfId="477">
      <pivotArea dataOnly="0" labelOnly="1" outline="0" fieldPosition="0">
        <references count="3">
          <reference field="0" count="1" selected="0">
            <x v="8"/>
          </reference>
          <reference field="1" count="1" selected="0">
            <x v="324"/>
          </reference>
          <reference field="20" count="1">
            <x v="31"/>
          </reference>
        </references>
      </pivotArea>
    </format>
    <format dxfId="476">
      <pivotArea dataOnly="0" labelOnly="1" outline="0" fieldPosition="0">
        <references count="3">
          <reference field="0" count="1" selected="0">
            <x v="8"/>
          </reference>
          <reference field="1" count="1" selected="0">
            <x v="327"/>
          </reference>
          <reference field="20" count="1">
            <x v="0"/>
          </reference>
        </references>
      </pivotArea>
    </format>
    <format dxfId="475">
      <pivotArea dataOnly="0" labelOnly="1" outline="0" fieldPosition="0">
        <references count="3">
          <reference field="0" count="1" selected="0">
            <x v="8"/>
          </reference>
          <reference field="1" count="1" selected="0">
            <x v="330"/>
          </reference>
          <reference field="20" count="1">
            <x v="0"/>
          </reference>
        </references>
      </pivotArea>
    </format>
    <format dxfId="474">
      <pivotArea dataOnly="0" labelOnly="1" outline="0" fieldPosition="0">
        <references count="3">
          <reference field="0" count="1" selected="0">
            <x v="8"/>
          </reference>
          <reference field="1" count="1" selected="0">
            <x v="340"/>
          </reference>
          <reference field="20" count="1">
            <x v="0"/>
          </reference>
        </references>
      </pivotArea>
    </format>
    <format dxfId="473">
      <pivotArea dataOnly="0" labelOnly="1" outline="0" fieldPosition="0">
        <references count="3">
          <reference field="0" count="1" selected="0">
            <x v="8"/>
          </reference>
          <reference field="1" count="1" selected="0">
            <x v="374"/>
          </reference>
          <reference field="20" count="1">
            <x v="0"/>
          </reference>
        </references>
      </pivotArea>
    </format>
    <format dxfId="472">
      <pivotArea dataOnly="0" labelOnly="1" outline="0" fieldPosition="0">
        <references count="3">
          <reference field="0" count="1" selected="0">
            <x v="8"/>
          </reference>
          <reference field="1" count="1" selected="0">
            <x v="375"/>
          </reference>
          <reference field="20" count="1">
            <x v="0"/>
          </reference>
        </references>
      </pivotArea>
    </format>
    <format dxfId="471">
      <pivotArea dataOnly="0" labelOnly="1" outline="0" fieldPosition="0">
        <references count="3">
          <reference field="0" count="1" selected="0">
            <x v="8"/>
          </reference>
          <reference field="1" count="1" selected="0">
            <x v="376"/>
          </reference>
          <reference field="20" count="1">
            <x v="0"/>
          </reference>
        </references>
      </pivotArea>
    </format>
    <format dxfId="470">
      <pivotArea dataOnly="0" labelOnly="1" outline="0" fieldPosition="0">
        <references count="3">
          <reference field="0" count="1" selected="0">
            <x v="8"/>
          </reference>
          <reference field="1" count="1" selected="0">
            <x v="412"/>
          </reference>
          <reference field="20" count="1">
            <x v="0"/>
          </reference>
        </references>
      </pivotArea>
    </format>
    <format dxfId="469">
      <pivotArea dataOnly="0" labelOnly="1" outline="0" fieldPosition="0">
        <references count="3">
          <reference field="0" count="1" selected="0">
            <x v="8"/>
          </reference>
          <reference field="1" count="1" selected="0">
            <x v="413"/>
          </reference>
          <reference field="20" count="1">
            <x v="0"/>
          </reference>
        </references>
      </pivotArea>
    </format>
    <format dxfId="468">
      <pivotArea dataOnly="0" labelOnly="1" outline="0" fieldPosition="0">
        <references count="3">
          <reference field="0" count="1" selected="0">
            <x v="8"/>
          </reference>
          <reference field="1" count="1" selected="0">
            <x v="415"/>
          </reference>
          <reference field="20" count="1">
            <x v="0"/>
          </reference>
        </references>
      </pivotArea>
    </format>
    <format dxfId="467">
      <pivotArea dataOnly="0" labelOnly="1" outline="0" fieldPosition="0">
        <references count="3">
          <reference field="0" count="1" selected="0">
            <x v="8"/>
          </reference>
          <reference field="1" count="1" selected="0">
            <x v="423"/>
          </reference>
          <reference field="20" count="1">
            <x v="0"/>
          </reference>
        </references>
      </pivotArea>
    </format>
    <format dxfId="466">
      <pivotArea dataOnly="0" labelOnly="1" outline="0" fieldPosition="0">
        <references count="3">
          <reference field="0" count="1" selected="0">
            <x v="8"/>
          </reference>
          <reference field="1" count="1" selected="0">
            <x v="440"/>
          </reference>
          <reference field="20" count="1">
            <x v="0"/>
          </reference>
        </references>
      </pivotArea>
    </format>
    <format dxfId="465">
      <pivotArea dataOnly="0" labelOnly="1" outline="0" fieldPosition="0">
        <references count="3">
          <reference field="0" count="1" selected="0">
            <x v="8"/>
          </reference>
          <reference field="1" count="1" selected="0">
            <x v="443"/>
          </reference>
          <reference field="20" count="1">
            <x v="0"/>
          </reference>
        </references>
      </pivotArea>
    </format>
    <format dxfId="464">
      <pivotArea dataOnly="0" labelOnly="1" outline="0" fieldPosition="0">
        <references count="3">
          <reference field="0" count="1" selected="0">
            <x v="8"/>
          </reference>
          <reference field="1" count="1" selected="0">
            <x v="447"/>
          </reference>
          <reference field="20" count="1">
            <x v="0"/>
          </reference>
        </references>
      </pivotArea>
    </format>
    <format dxfId="463">
      <pivotArea dataOnly="0" labelOnly="1" outline="0" fieldPosition="0">
        <references count="3">
          <reference field="0" count="1" selected="0">
            <x v="8"/>
          </reference>
          <reference field="1" count="1" selected="0">
            <x v="448"/>
          </reference>
          <reference field="20" count="1">
            <x v="0"/>
          </reference>
        </references>
      </pivotArea>
    </format>
    <format dxfId="462">
      <pivotArea dataOnly="0" labelOnly="1" outline="0" fieldPosition="0">
        <references count="3">
          <reference field="0" count="1" selected="0">
            <x v="8"/>
          </reference>
          <reference field="1" count="1" selected="0">
            <x v="449"/>
          </reference>
          <reference field="20" count="1">
            <x v="0"/>
          </reference>
        </references>
      </pivotArea>
    </format>
    <format dxfId="461">
      <pivotArea dataOnly="0" labelOnly="1" outline="0" fieldPosition="0">
        <references count="3">
          <reference field="0" count="1" selected="0">
            <x v="8"/>
          </reference>
          <reference field="1" count="1" selected="0">
            <x v="452"/>
          </reference>
          <reference field="20" count="1">
            <x v="0"/>
          </reference>
        </references>
      </pivotArea>
    </format>
    <format dxfId="460">
      <pivotArea dataOnly="0" labelOnly="1" outline="0" fieldPosition="0">
        <references count="3">
          <reference field="0" count="1" selected="0">
            <x v="8"/>
          </reference>
          <reference field="1" count="1" selected="0">
            <x v="456"/>
          </reference>
          <reference field="20" count="1">
            <x v="0"/>
          </reference>
        </references>
      </pivotArea>
    </format>
    <format dxfId="459">
      <pivotArea dataOnly="0" labelOnly="1" outline="0" fieldPosition="0">
        <references count="3">
          <reference field="0" count="1" selected="0">
            <x v="8"/>
          </reference>
          <reference field="1" count="1" selected="0">
            <x v="462"/>
          </reference>
          <reference field="20" count="1">
            <x v="0"/>
          </reference>
        </references>
      </pivotArea>
    </format>
    <format dxfId="458">
      <pivotArea dataOnly="0" labelOnly="1" outline="0" fieldPosition="0">
        <references count="3">
          <reference field="0" count="1" selected="0">
            <x v="8"/>
          </reference>
          <reference field="1" count="1" selected="0">
            <x v="463"/>
          </reference>
          <reference field="20" count="1">
            <x v="0"/>
          </reference>
        </references>
      </pivotArea>
    </format>
    <format dxfId="457">
      <pivotArea dataOnly="0" labelOnly="1" outline="0" fieldPosition="0">
        <references count="3">
          <reference field="0" count="1" selected="0">
            <x v="8"/>
          </reference>
          <reference field="1" count="1" selected="0">
            <x v="478"/>
          </reference>
          <reference field="20" count="1">
            <x v="0"/>
          </reference>
        </references>
      </pivotArea>
    </format>
    <format dxfId="456">
      <pivotArea dataOnly="0" labelOnly="1" outline="0" fieldPosition="0">
        <references count="3">
          <reference field="0" count="1" selected="0">
            <x v="8"/>
          </reference>
          <reference field="1" count="1" selected="0">
            <x v="490"/>
          </reference>
          <reference field="20" count="1">
            <x v="0"/>
          </reference>
        </references>
      </pivotArea>
    </format>
    <format dxfId="455">
      <pivotArea dataOnly="0" labelOnly="1" outline="0" fieldPosition="0">
        <references count="3">
          <reference field="0" count="1" selected="0">
            <x v="8"/>
          </reference>
          <reference field="1" count="1" selected="0">
            <x v="493"/>
          </reference>
          <reference field="20" count="1">
            <x v="0"/>
          </reference>
        </references>
      </pivotArea>
    </format>
    <format dxfId="454">
      <pivotArea dataOnly="0" labelOnly="1" outline="0" fieldPosition="0">
        <references count="3">
          <reference field="0" count="1" selected="0">
            <x v="8"/>
          </reference>
          <reference field="1" count="1" selected="0">
            <x v="502"/>
          </reference>
          <reference field="20" count="1">
            <x v="0"/>
          </reference>
        </references>
      </pivotArea>
    </format>
    <format dxfId="453">
      <pivotArea dataOnly="0" labelOnly="1" outline="0" fieldPosition="0">
        <references count="3">
          <reference field="0" count="1" selected="0">
            <x v="8"/>
          </reference>
          <reference field="1" count="1" selected="0">
            <x v="510"/>
          </reference>
          <reference field="20" count="1">
            <x v="0"/>
          </reference>
        </references>
      </pivotArea>
    </format>
    <format dxfId="452">
      <pivotArea dataOnly="0" labelOnly="1" outline="0" fieldPosition="0">
        <references count="3">
          <reference field="0" count="1" selected="0">
            <x v="8"/>
          </reference>
          <reference field="1" count="1" selected="0">
            <x v="528"/>
          </reference>
          <reference field="20" count="1">
            <x v="0"/>
          </reference>
        </references>
      </pivotArea>
    </format>
    <format dxfId="451">
      <pivotArea dataOnly="0" labelOnly="1" outline="0" fieldPosition="0">
        <references count="3">
          <reference field="0" count="1" selected="0">
            <x v="8"/>
          </reference>
          <reference field="1" count="1" selected="0">
            <x v="529"/>
          </reference>
          <reference field="20" count="1">
            <x v="0"/>
          </reference>
        </references>
      </pivotArea>
    </format>
    <format dxfId="450">
      <pivotArea dataOnly="0" labelOnly="1" outline="0" fieldPosition="0">
        <references count="3">
          <reference field="0" count="1" selected="0">
            <x v="8"/>
          </reference>
          <reference field="1" count="1" selected="0">
            <x v="532"/>
          </reference>
          <reference field="20" count="1">
            <x v="0"/>
          </reference>
        </references>
      </pivotArea>
    </format>
    <format dxfId="449">
      <pivotArea dataOnly="0" labelOnly="1" outline="0" fieldPosition="0">
        <references count="3">
          <reference field="0" count="1" selected="0">
            <x v="8"/>
          </reference>
          <reference field="1" count="1" selected="0">
            <x v="533"/>
          </reference>
          <reference field="20" count="1">
            <x v="0"/>
          </reference>
        </references>
      </pivotArea>
    </format>
    <format dxfId="448">
      <pivotArea dataOnly="0" labelOnly="1" outline="0" fieldPosition="0">
        <references count="3">
          <reference field="0" count="1" selected="0">
            <x v="8"/>
          </reference>
          <reference field="1" count="1" selected="0">
            <x v="553"/>
          </reference>
          <reference field="20" count="1">
            <x v="0"/>
          </reference>
        </references>
      </pivotArea>
    </format>
    <format dxfId="447">
      <pivotArea dataOnly="0" labelOnly="1" outline="0" fieldPosition="0">
        <references count="3">
          <reference field="0" count="1" selected="0">
            <x v="8"/>
          </reference>
          <reference field="1" count="1" selected="0">
            <x v="555"/>
          </reference>
          <reference field="20" count="1">
            <x v="0"/>
          </reference>
        </references>
      </pivotArea>
    </format>
    <format dxfId="446">
      <pivotArea dataOnly="0" labelOnly="1" outline="0" fieldPosition="0">
        <references count="3">
          <reference field="0" count="1" selected="0">
            <x v="8"/>
          </reference>
          <reference field="1" count="1" selected="0">
            <x v="578"/>
          </reference>
          <reference field="20" count="1">
            <x v="0"/>
          </reference>
        </references>
      </pivotArea>
    </format>
    <format dxfId="445">
      <pivotArea dataOnly="0" labelOnly="1" outline="0" fieldPosition="0">
        <references count="3">
          <reference field="0" count="1" selected="0">
            <x v="8"/>
          </reference>
          <reference field="1" count="1" selected="0">
            <x v="584"/>
          </reference>
          <reference field="20" count="1">
            <x v="0"/>
          </reference>
        </references>
      </pivotArea>
    </format>
    <format dxfId="444">
      <pivotArea dataOnly="0" labelOnly="1" outline="0" fieldPosition="0">
        <references count="3">
          <reference field="0" count="1" selected="0">
            <x v="8"/>
          </reference>
          <reference field="1" count="1" selected="0">
            <x v="586"/>
          </reference>
          <reference field="20" count="1">
            <x v="0"/>
          </reference>
        </references>
      </pivotArea>
    </format>
    <format dxfId="443">
      <pivotArea dataOnly="0" labelOnly="1" outline="0" fieldPosition="0">
        <references count="3">
          <reference field="0" count="1" selected="0">
            <x v="8"/>
          </reference>
          <reference field="1" count="1" selected="0">
            <x v="601"/>
          </reference>
          <reference field="20" count="1">
            <x v="0"/>
          </reference>
        </references>
      </pivotArea>
    </format>
    <format dxfId="442">
      <pivotArea dataOnly="0" labelOnly="1" outline="0" fieldPosition="0">
        <references count="3">
          <reference field="0" count="1" selected="0">
            <x v="8"/>
          </reference>
          <reference field="1" count="1" selected="0">
            <x v="606"/>
          </reference>
          <reference field="20" count="1">
            <x v="0"/>
          </reference>
        </references>
      </pivotArea>
    </format>
    <format dxfId="441">
      <pivotArea dataOnly="0" labelOnly="1" outline="0" fieldPosition="0">
        <references count="3">
          <reference field="0" count="1" selected="0">
            <x v="8"/>
          </reference>
          <reference field="1" count="1" selected="0">
            <x v="607"/>
          </reference>
          <reference field="20" count="1">
            <x v="0"/>
          </reference>
        </references>
      </pivotArea>
    </format>
    <format dxfId="440">
      <pivotArea dataOnly="0" labelOnly="1" outline="0" fieldPosition="0">
        <references count="3">
          <reference field="0" count="1" selected="0">
            <x v="8"/>
          </reference>
          <reference field="1" count="1" selected="0">
            <x v="631"/>
          </reference>
          <reference field="20" count="1">
            <x v="0"/>
          </reference>
        </references>
      </pivotArea>
    </format>
    <format dxfId="439">
      <pivotArea dataOnly="0" labelOnly="1" outline="0" fieldPosition="0">
        <references count="3">
          <reference field="0" count="1" selected="0">
            <x v="8"/>
          </reference>
          <reference field="1" count="1" selected="0">
            <x v="633"/>
          </reference>
          <reference field="20" count="1">
            <x v="0"/>
          </reference>
        </references>
      </pivotArea>
    </format>
    <format dxfId="438">
      <pivotArea dataOnly="0" labelOnly="1" outline="0" fieldPosition="0">
        <references count="3">
          <reference field="0" count="1" selected="0">
            <x v="8"/>
          </reference>
          <reference field="1" count="1" selected="0">
            <x v="635"/>
          </reference>
          <reference field="20" count="1">
            <x v="0"/>
          </reference>
        </references>
      </pivotArea>
    </format>
    <format dxfId="437">
      <pivotArea dataOnly="0" labelOnly="1" outline="0" fieldPosition="0">
        <references count="3">
          <reference field="0" count="1" selected="0">
            <x v="8"/>
          </reference>
          <reference field="1" count="1" selected="0">
            <x v="647"/>
          </reference>
          <reference field="20" count="1">
            <x v="0"/>
          </reference>
        </references>
      </pivotArea>
    </format>
    <format dxfId="436">
      <pivotArea dataOnly="0" labelOnly="1" outline="0" fieldPosition="0">
        <references count="3">
          <reference field="0" count="1" selected="0">
            <x v="8"/>
          </reference>
          <reference field="1" count="1" selected="0">
            <x v="649"/>
          </reference>
          <reference field="20" count="1">
            <x v="0"/>
          </reference>
        </references>
      </pivotArea>
    </format>
    <format dxfId="435">
      <pivotArea dataOnly="0" labelOnly="1" outline="0" fieldPosition="0">
        <references count="3">
          <reference field="0" count="1" selected="0">
            <x v="8"/>
          </reference>
          <reference field="1" count="1" selected="0">
            <x v="650"/>
          </reference>
          <reference field="20" count="1">
            <x v="0"/>
          </reference>
        </references>
      </pivotArea>
    </format>
    <format dxfId="434">
      <pivotArea dataOnly="0" labelOnly="1" outline="0" fieldPosition="0">
        <references count="3">
          <reference field="0" count="1" selected="0">
            <x v="8"/>
          </reference>
          <reference field="1" count="1" selected="0">
            <x v="674"/>
          </reference>
          <reference field="20" count="1">
            <x v="0"/>
          </reference>
        </references>
      </pivotArea>
    </format>
    <format dxfId="433">
      <pivotArea dataOnly="0" labelOnly="1" outline="0" fieldPosition="0">
        <references count="3">
          <reference field="0" count="1" selected="0">
            <x v="8"/>
          </reference>
          <reference field="1" count="1" selected="0">
            <x v="685"/>
          </reference>
          <reference field="20" count="1">
            <x v="0"/>
          </reference>
        </references>
      </pivotArea>
    </format>
    <format dxfId="432">
      <pivotArea dataOnly="0" labelOnly="1" outline="0" fieldPosition="0">
        <references count="3">
          <reference field="0" count="1" selected="0">
            <x v="8"/>
          </reference>
          <reference field="1" count="1" selected="0">
            <x v="702"/>
          </reference>
          <reference field="20" count="1">
            <x v="0"/>
          </reference>
        </references>
      </pivotArea>
    </format>
    <format dxfId="431">
      <pivotArea dataOnly="0" labelOnly="1" outline="0" fieldPosition="0">
        <references count="3">
          <reference field="0" count="1" selected="0">
            <x v="8"/>
          </reference>
          <reference field="1" count="1" selected="0">
            <x v="712"/>
          </reference>
          <reference field="20" count="1">
            <x v="0"/>
          </reference>
        </references>
      </pivotArea>
    </format>
    <format dxfId="430">
      <pivotArea dataOnly="0" labelOnly="1" outline="0" fieldPosition="0">
        <references count="3">
          <reference field="0" count="1" selected="0">
            <x v="8"/>
          </reference>
          <reference field="1" count="1" selected="0">
            <x v="716"/>
          </reference>
          <reference field="20" count="1">
            <x v="0"/>
          </reference>
        </references>
      </pivotArea>
    </format>
    <format dxfId="429">
      <pivotArea dataOnly="0" labelOnly="1" outline="0" fieldPosition="0">
        <references count="3">
          <reference field="0" count="1" selected="0">
            <x v="8"/>
          </reference>
          <reference field="1" count="1" selected="0">
            <x v="717"/>
          </reference>
          <reference field="20" count="1">
            <x v="113"/>
          </reference>
        </references>
      </pivotArea>
    </format>
    <format dxfId="428">
      <pivotArea dataOnly="0" labelOnly="1" outline="0" fieldPosition="0">
        <references count="3">
          <reference field="0" count="1" selected="0">
            <x v="8"/>
          </reference>
          <reference field="1" count="1" selected="0">
            <x v="722"/>
          </reference>
          <reference field="20" count="1">
            <x v="0"/>
          </reference>
        </references>
      </pivotArea>
    </format>
    <format dxfId="427">
      <pivotArea dataOnly="0" labelOnly="1" outline="0" fieldPosition="0">
        <references count="3">
          <reference field="0" count="1" selected="0">
            <x v="8"/>
          </reference>
          <reference field="1" count="1" selected="0">
            <x v="724"/>
          </reference>
          <reference field="20" count="1">
            <x v="0"/>
          </reference>
        </references>
      </pivotArea>
    </format>
    <format dxfId="426">
      <pivotArea dataOnly="0" labelOnly="1" outline="0" fieldPosition="0">
        <references count="3">
          <reference field="0" count="1" selected="0">
            <x v="8"/>
          </reference>
          <reference field="1" count="1" selected="0">
            <x v="743"/>
          </reference>
          <reference field="20" count="1">
            <x v="0"/>
          </reference>
        </references>
      </pivotArea>
    </format>
    <format dxfId="425">
      <pivotArea dataOnly="0" labelOnly="1" outline="0" fieldPosition="0">
        <references count="3">
          <reference field="0" count="1" selected="0">
            <x v="8"/>
          </reference>
          <reference field="1" count="1" selected="0">
            <x v="764"/>
          </reference>
          <reference field="20" count="1">
            <x v="128"/>
          </reference>
        </references>
      </pivotArea>
    </format>
    <format dxfId="424">
      <pivotArea dataOnly="0" labelOnly="1" outline="0" fieldPosition="0">
        <references count="3">
          <reference field="0" count="1" selected="0">
            <x v="8"/>
          </reference>
          <reference field="1" count="1" selected="0">
            <x v="784"/>
          </reference>
          <reference field="20" count="1">
            <x v="0"/>
          </reference>
        </references>
      </pivotArea>
    </format>
    <format dxfId="423">
      <pivotArea dataOnly="0" labelOnly="1" outline="0" fieldPosition="0">
        <references count="3">
          <reference field="0" count="1" selected="0">
            <x v="8"/>
          </reference>
          <reference field="1" count="1" selected="0">
            <x v="792"/>
          </reference>
          <reference field="20" count="1">
            <x v="0"/>
          </reference>
        </references>
      </pivotArea>
    </format>
    <format dxfId="422">
      <pivotArea dataOnly="0" labelOnly="1" outline="0" fieldPosition="0">
        <references count="3">
          <reference field="0" count="1" selected="0">
            <x v="8"/>
          </reference>
          <reference field="1" count="1" selected="0">
            <x v="811"/>
          </reference>
          <reference field="20" count="1">
            <x v="138"/>
          </reference>
        </references>
      </pivotArea>
    </format>
    <format dxfId="421">
      <pivotArea dataOnly="0" labelOnly="1" outline="0" fieldPosition="0">
        <references count="3">
          <reference field="0" count="1" selected="0">
            <x v="8"/>
          </reference>
          <reference field="1" count="1" selected="0">
            <x v="814"/>
          </reference>
          <reference field="20" count="1">
            <x v="0"/>
          </reference>
        </references>
      </pivotArea>
    </format>
    <format dxfId="420">
      <pivotArea dataOnly="0" labelOnly="1" outline="0" fieldPosition="0">
        <references count="3">
          <reference field="0" count="1" selected="0">
            <x v="8"/>
          </reference>
          <reference field="1" count="1" selected="0">
            <x v="815"/>
          </reference>
          <reference field="20" count="1">
            <x v="0"/>
          </reference>
        </references>
      </pivotArea>
    </format>
    <format dxfId="419">
      <pivotArea dataOnly="0" labelOnly="1" outline="0" fieldPosition="0">
        <references count="3">
          <reference field="0" count="1" selected="0">
            <x v="8"/>
          </reference>
          <reference field="1" count="1" selected="0">
            <x v="820"/>
          </reference>
          <reference field="20" count="1">
            <x v="140"/>
          </reference>
        </references>
      </pivotArea>
    </format>
    <format dxfId="418">
      <pivotArea dataOnly="0" labelOnly="1" outline="0" fieldPosition="0">
        <references count="3">
          <reference field="0" count="1" selected="0">
            <x v="8"/>
          </reference>
          <reference field="1" count="1" selected="0">
            <x v="827"/>
          </reference>
          <reference field="20" count="1">
            <x v="0"/>
          </reference>
        </references>
      </pivotArea>
    </format>
    <format dxfId="417">
      <pivotArea dataOnly="0" labelOnly="1" outline="0" fieldPosition="0">
        <references count="3">
          <reference field="0" count="1" selected="0">
            <x v="8"/>
          </reference>
          <reference field="1" count="1" selected="0">
            <x v="841"/>
          </reference>
          <reference field="20" count="1">
            <x v="149"/>
          </reference>
        </references>
      </pivotArea>
    </format>
    <format dxfId="416">
      <pivotArea dataOnly="0" labelOnly="1" outline="0" fieldPosition="0">
        <references count="3">
          <reference field="0" count="1" selected="0">
            <x v="8"/>
          </reference>
          <reference field="1" count="1" selected="0">
            <x v="844"/>
          </reference>
          <reference field="20" count="1">
            <x v="0"/>
          </reference>
        </references>
      </pivotArea>
    </format>
    <format dxfId="415">
      <pivotArea dataOnly="0" labelOnly="1" outline="0" fieldPosition="0">
        <references count="3">
          <reference field="0" count="1" selected="0">
            <x v="8"/>
          </reference>
          <reference field="1" count="1" selected="0">
            <x v="852"/>
          </reference>
          <reference field="20" count="1">
            <x v="0"/>
          </reference>
        </references>
      </pivotArea>
    </format>
    <format dxfId="414">
      <pivotArea dataOnly="0" labelOnly="1" outline="0" fieldPosition="0">
        <references count="3">
          <reference field="0" count="1" selected="0">
            <x v="8"/>
          </reference>
          <reference field="1" count="1" selected="0">
            <x v="855"/>
          </reference>
          <reference field="20" count="1">
            <x v="0"/>
          </reference>
        </references>
      </pivotArea>
    </format>
    <format dxfId="413">
      <pivotArea dataOnly="0" labelOnly="1" outline="0" fieldPosition="0">
        <references count="3">
          <reference field="0" count="1" selected="0">
            <x v="8"/>
          </reference>
          <reference field="1" count="1" selected="0">
            <x v="865"/>
          </reference>
          <reference field="20" count="1">
            <x v="0"/>
          </reference>
        </references>
      </pivotArea>
    </format>
    <format dxfId="412">
      <pivotArea dataOnly="0" labelOnly="1" outline="0" fieldPosition="0">
        <references count="3">
          <reference field="0" count="1" selected="0">
            <x v="8"/>
          </reference>
          <reference field="1" count="1" selected="0">
            <x v="868"/>
          </reference>
          <reference field="20" count="1">
            <x v="0"/>
          </reference>
        </references>
      </pivotArea>
    </format>
    <format dxfId="411">
      <pivotArea dataOnly="0" labelOnly="1" outline="0" fieldPosition="0">
        <references count="3">
          <reference field="0" count="1" selected="0">
            <x v="8"/>
          </reference>
          <reference field="1" count="1" selected="0">
            <x v="870"/>
          </reference>
          <reference field="20" count="1">
            <x v="0"/>
          </reference>
        </references>
      </pivotArea>
    </format>
    <format dxfId="410">
      <pivotArea dataOnly="0" labelOnly="1" outline="0" fieldPosition="0">
        <references count="3">
          <reference field="0" count="1" selected="0">
            <x v="8"/>
          </reference>
          <reference field="1" count="1" selected="0">
            <x v="871"/>
          </reference>
          <reference field="20" count="1">
            <x v="0"/>
          </reference>
        </references>
      </pivotArea>
    </format>
    <format dxfId="409">
      <pivotArea dataOnly="0" labelOnly="1" outline="0" fieldPosition="0">
        <references count="3">
          <reference field="0" count="1" selected="0">
            <x v="8"/>
          </reference>
          <reference field="1" count="1" selected="0">
            <x v="880"/>
          </reference>
          <reference field="20" count="1">
            <x v="0"/>
          </reference>
        </references>
      </pivotArea>
    </format>
    <format dxfId="408">
      <pivotArea dataOnly="0" labelOnly="1" outline="0" fieldPosition="0">
        <references count="3">
          <reference field="0" count="1" selected="0">
            <x v="8"/>
          </reference>
          <reference field="1" count="1" selected="0">
            <x v="915"/>
          </reference>
          <reference field="20" count="1">
            <x v="0"/>
          </reference>
        </references>
      </pivotArea>
    </format>
    <format dxfId="407">
      <pivotArea dataOnly="0" labelOnly="1" outline="0" fieldPosition="0">
        <references count="3">
          <reference field="0" count="1" selected="0">
            <x v="8"/>
          </reference>
          <reference field="1" count="1" selected="0">
            <x v="926"/>
          </reference>
          <reference field="20" count="1">
            <x v="163"/>
          </reference>
        </references>
      </pivotArea>
    </format>
    <format dxfId="406">
      <pivotArea dataOnly="0" labelOnly="1" outline="0" fieldPosition="0">
        <references count="3">
          <reference field="0" count="1" selected="0">
            <x v="8"/>
          </reference>
          <reference field="1" count="1" selected="0">
            <x v="931"/>
          </reference>
          <reference field="20" count="1">
            <x v="0"/>
          </reference>
        </references>
      </pivotArea>
    </format>
    <format dxfId="405">
      <pivotArea dataOnly="0" labelOnly="1" outline="0" fieldPosition="0">
        <references count="3">
          <reference field="0" count="1" selected="0">
            <x v="8"/>
          </reference>
          <reference field="1" count="1" selected="0">
            <x v="944"/>
          </reference>
          <reference field="20" count="1">
            <x v="0"/>
          </reference>
        </references>
      </pivotArea>
    </format>
    <format dxfId="404">
      <pivotArea dataOnly="0" labelOnly="1" outline="0" fieldPosition="0">
        <references count="3">
          <reference field="0" count="1" selected="0">
            <x v="8"/>
          </reference>
          <reference field="1" count="1" selected="0">
            <x v="951"/>
          </reference>
          <reference field="20" count="1">
            <x v="171"/>
          </reference>
        </references>
      </pivotArea>
    </format>
    <format dxfId="403">
      <pivotArea dataOnly="0" labelOnly="1" outline="0" fieldPosition="0">
        <references count="3">
          <reference field="0" count="1" selected="0">
            <x v="8"/>
          </reference>
          <reference field="1" count="1" selected="0">
            <x v="981"/>
          </reference>
          <reference field="20" count="1">
            <x v="0"/>
          </reference>
        </references>
      </pivotArea>
    </format>
    <format dxfId="402">
      <pivotArea dataOnly="0" labelOnly="1" outline="0" fieldPosition="0">
        <references count="3">
          <reference field="0" count="1" selected="0">
            <x v="8"/>
          </reference>
          <reference field="1" count="1" selected="0">
            <x v="992"/>
          </reference>
          <reference field="20" count="1">
            <x v="185"/>
          </reference>
        </references>
      </pivotArea>
    </format>
    <format dxfId="401">
      <pivotArea dataOnly="0" labelOnly="1" outline="0" fieldPosition="0">
        <references count="3">
          <reference field="0" count="1" selected="0">
            <x v="8"/>
          </reference>
          <reference field="1" count="1" selected="0">
            <x v="993"/>
          </reference>
          <reference field="20" count="1">
            <x v="186"/>
          </reference>
        </references>
      </pivotArea>
    </format>
    <format dxfId="400">
      <pivotArea dataOnly="0" labelOnly="1" outline="0" fieldPosition="0">
        <references count="3">
          <reference field="0" count="1" selected="0">
            <x v="8"/>
          </reference>
          <reference field="1" count="1" selected="0">
            <x v="994"/>
          </reference>
          <reference field="20" count="1">
            <x v="0"/>
          </reference>
        </references>
      </pivotArea>
    </format>
    <format dxfId="399">
      <pivotArea dataOnly="0" labelOnly="1" outline="0" fieldPosition="0">
        <references count="3">
          <reference field="0" count="1" selected="0">
            <x v="8"/>
          </reference>
          <reference field="1" count="1" selected="0">
            <x v="996"/>
          </reference>
          <reference field="20" count="1">
            <x v="0"/>
          </reference>
        </references>
      </pivotArea>
    </format>
    <format dxfId="398">
      <pivotArea dataOnly="0" labelOnly="1" outline="0" fieldPosition="0">
        <references count="3">
          <reference field="0" count="1" selected="0">
            <x v="8"/>
          </reference>
          <reference field="1" count="1" selected="0">
            <x v="997"/>
          </reference>
          <reference field="20" count="1">
            <x v="187"/>
          </reference>
        </references>
      </pivotArea>
    </format>
    <format dxfId="397">
      <pivotArea dataOnly="0" labelOnly="1" outline="0" fieldPosition="0">
        <references count="3">
          <reference field="0" count="1" selected="0">
            <x v="8"/>
          </reference>
          <reference field="1" count="1" selected="0">
            <x v="1010"/>
          </reference>
          <reference field="20" count="1">
            <x v="0"/>
          </reference>
        </references>
      </pivotArea>
    </format>
    <format dxfId="396">
      <pivotArea dataOnly="0" labelOnly="1" outline="0" fieldPosition="0">
        <references count="3">
          <reference field="0" count="1" selected="0">
            <x v="8"/>
          </reference>
          <reference field="1" count="1" selected="0">
            <x v="1020"/>
          </reference>
          <reference field="20" count="1">
            <x v="0"/>
          </reference>
        </references>
      </pivotArea>
    </format>
    <format dxfId="395">
      <pivotArea dataOnly="0" labelOnly="1" outline="0" fieldPosition="0">
        <references count="3">
          <reference field="0" count="1" selected="0">
            <x v="8"/>
          </reference>
          <reference field="1" count="1" selected="0">
            <x v="1029"/>
          </reference>
          <reference field="20" count="1">
            <x v="0"/>
          </reference>
        </references>
      </pivotArea>
    </format>
    <format dxfId="394">
      <pivotArea dataOnly="0" labelOnly="1" outline="0" fieldPosition="0">
        <references count="3">
          <reference field="0" count="1" selected="0">
            <x v="8"/>
          </reference>
          <reference field="1" count="1" selected="0">
            <x v="1037"/>
          </reference>
          <reference field="20" count="1">
            <x v="0"/>
          </reference>
        </references>
      </pivotArea>
    </format>
    <format dxfId="393">
      <pivotArea dataOnly="0" labelOnly="1" outline="0" fieldPosition="0">
        <references count="3">
          <reference field="0" count="1" selected="0">
            <x v="8"/>
          </reference>
          <reference field="1" count="1" selected="0">
            <x v="1053"/>
          </reference>
          <reference field="20" count="1">
            <x v="0"/>
          </reference>
        </references>
      </pivotArea>
    </format>
    <format dxfId="392">
      <pivotArea dataOnly="0" labelOnly="1" outline="0" fieldPosition="0">
        <references count="3">
          <reference field="0" count="1" selected="0">
            <x v="8"/>
          </reference>
          <reference field="1" count="1" selected="0">
            <x v="1054"/>
          </reference>
          <reference field="20" count="1">
            <x v="211"/>
          </reference>
        </references>
      </pivotArea>
    </format>
    <format dxfId="391">
      <pivotArea dataOnly="0" labelOnly="1" outline="0" fieldPosition="0">
        <references count="3">
          <reference field="0" count="1" selected="0">
            <x v="8"/>
          </reference>
          <reference field="1" count="1" selected="0">
            <x v="1055"/>
          </reference>
          <reference field="20" count="1">
            <x v="0"/>
          </reference>
        </references>
      </pivotArea>
    </format>
    <format dxfId="390">
      <pivotArea dataOnly="0" labelOnly="1" outline="0" fieldPosition="0">
        <references count="3">
          <reference field="0" count="1" selected="0">
            <x v="8"/>
          </reference>
          <reference field="1" count="1" selected="0">
            <x v="1081"/>
          </reference>
          <reference field="20" count="1">
            <x v="0"/>
          </reference>
        </references>
      </pivotArea>
    </format>
    <format dxfId="389">
      <pivotArea dataOnly="0" labelOnly="1" outline="0" fieldPosition="0">
        <references count="3">
          <reference field="0" count="1" selected="0">
            <x v="8"/>
          </reference>
          <reference field="1" count="1" selected="0">
            <x v="1103"/>
          </reference>
          <reference field="20" count="1">
            <x v="0"/>
          </reference>
        </references>
      </pivotArea>
    </format>
    <format dxfId="388">
      <pivotArea dataOnly="0" labelOnly="1" outline="0" fieldPosition="0">
        <references count="3">
          <reference field="0" count="1" selected="0">
            <x v="8"/>
          </reference>
          <reference field="1" count="1" selected="0">
            <x v="1112"/>
          </reference>
          <reference field="20" count="1">
            <x v="0"/>
          </reference>
        </references>
      </pivotArea>
    </format>
    <format dxfId="387">
      <pivotArea dataOnly="0" labelOnly="1" outline="0" fieldPosition="0">
        <references count="3">
          <reference field="0" count="1" selected="0">
            <x v="8"/>
          </reference>
          <reference field="1" count="1" selected="0">
            <x v="1128"/>
          </reference>
          <reference field="20" count="1">
            <x v="0"/>
          </reference>
        </references>
      </pivotArea>
    </format>
    <format dxfId="386">
      <pivotArea dataOnly="0" labelOnly="1" outline="0" fieldPosition="0">
        <references count="3">
          <reference field="0" count="1" selected="0">
            <x v="8"/>
          </reference>
          <reference field="1" count="1" selected="0">
            <x v="1141"/>
          </reference>
          <reference field="20" count="1">
            <x v="237"/>
          </reference>
        </references>
      </pivotArea>
    </format>
    <format dxfId="385">
      <pivotArea dataOnly="0" labelOnly="1" outline="0" fieldPosition="0">
        <references count="3">
          <reference field="0" count="1" selected="0">
            <x v="8"/>
          </reference>
          <reference field="1" count="1" selected="0">
            <x v="1142"/>
          </reference>
          <reference field="20" count="1">
            <x v="238"/>
          </reference>
        </references>
      </pivotArea>
    </format>
    <format dxfId="384">
      <pivotArea dataOnly="0" labelOnly="1" outline="0" fieldPosition="0">
        <references count="3">
          <reference field="0" count="1" selected="0">
            <x v="8"/>
          </reference>
          <reference field="1" count="1" selected="0">
            <x v="1143"/>
          </reference>
          <reference field="20" count="1">
            <x v="0"/>
          </reference>
        </references>
      </pivotArea>
    </format>
    <format dxfId="383">
      <pivotArea dataOnly="0" labelOnly="1" outline="0" fieldPosition="0">
        <references count="3">
          <reference field="0" count="1" selected="0">
            <x v="8"/>
          </reference>
          <reference field="1" count="1" selected="0">
            <x v="1144"/>
          </reference>
          <reference field="20" count="1">
            <x v="239"/>
          </reference>
        </references>
      </pivotArea>
    </format>
    <format dxfId="382">
      <pivotArea dataOnly="0" labelOnly="1" outline="0" fieldPosition="0">
        <references count="3">
          <reference field="0" count="1" selected="0">
            <x v="8"/>
          </reference>
          <reference field="1" count="1" selected="0">
            <x v="1145"/>
          </reference>
          <reference field="20" count="1">
            <x v="0"/>
          </reference>
        </references>
      </pivotArea>
    </format>
    <format dxfId="381">
      <pivotArea dataOnly="0" labelOnly="1" outline="0" fieldPosition="0">
        <references count="3">
          <reference field="0" count="1" selected="0">
            <x v="8"/>
          </reference>
          <reference field="1" count="1" selected="0">
            <x v="1146"/>
          </reference>
          <reference field="20" count="1">
            <x v="0"/>
          </reference>
        </references>
      </pivotArea>
    </format>
    <format dxfId="380">
      <pivotArea dataOnly="0" labelOnly="1" outline="0" fieldPosition="0">
        <references count="3">
          <reference field="0" count="1" selected="0">
            <x v="8"/>
          </reference>
          <reference field="1" count="1" selected="0">
            <x v="1211"/>
          </reference>
          <reference field="20" count="1">
            <x v="272"/>
          </reference>
        </references>
      </pivotArea>
    </format>
    <format dxfId="379">
      <pivotArea dataOnly="0" labelOnly="1" outline="0" fieldPosition="0">
        <references count="3">
          <reference field="0" count="1" selected="0">
            <x v="8"/>
          </reference>
          <reference field="1" count="1" selected="0">
            <x v="1218"/>
          </reference>
          <reference field="20" count="1">
            <x v="276"/>
          </reference>
        </references>
      </pivotArea>
    </format>
    <format dxfId="378">
      <pivotArea dataOnly="0" labelOnly="1" outline="0" fieldPosition="0">
        <references count="3">
          <reference field="0" count="1" selected="0">
            <x v="8"/>
          </reference>
          <reference field="1" count="1" selected="0">
            <x v="1220"/>
          </reference>
          <reference field="20" count="1">
            <x v="277"/>
          </reference>
        </references>
      </pivotArea>
    </format>
    <format dxfId="377">
      <pivotArea dataOnly="0" labelOnly="1" outline="0" fieldPosition="0">
        <references count="3">
          <reference field="0" count="1" selected="0">
            <x v="8"/>
          </reference>
          <reference field="1" count="1" selected="0">
            <x v="1241"/>
          </reference>
          <reference field="20" count="1">
            <x v="0"/>
          </reference>
        </references>
      </pivotArea>
    </format>
    <format dxfId="376">
      <pivotArea dataOnly="0" labelOnly="1" outline="0" fieldPosition="0">
        <references count="3">
          <reference field="0" count="1" selected="0">
            <x v="8"/>
          </reference>
          <reference field="1" count="1" selected="0">
            <x v="1251"/>
          </reference>
          <reference field="20" count="1">
            <x v="0"/>
          </reference>
        </references>
      </pivotArea>
    </format>
    <format dxfId="375">
      <pivotArea dataOnly="0" labelOnly="1" outline="0" fieldPosition="0">
        <references count="3">
          <reference field="0" count="1" selected="0">
            <x v="8"/>
          </reference>
          <reference field="1" count="1" selected="0">
            <x v="1252"/>
          </reference>
          <reference field="20" count="1">
            <x v="0"/>
          </reference>
        </references>
      </pivotArea>
    </format>
    <format dxfId="374">
      <pivotArea dataOnly="0" labelOnly="1" outline="0" fieldPosition="0">
        <references count="3">
          <reference field="0" count="1" selected="0">
            <x v="8"/>
          </reference>
          <reference field="1" count="1" selected="0">
            <x v="1253"/>
          </reference>
          <reference field="20" count="1">
            <x v="0"/>
          </reference>
        </references>
      </pivotArea>
    </format>
    <format dxfId="373">
      <pivotArea dataOnly="0" labelOnly="1" outline="0" fieldPosition="0">
        <references count="3">
          <reference field="0" count="1" selected="0">
            <x v="8"/>
          </reference>
          <reference field="1" count="1" selected="0">
            <x v="1258"/>
          </reference>
          <reference field="20" count="1">
            <x v="288"/>
          </reference>
        </references>
      </pivotArea>
    </format>
    <format dxfId="372">
      <pivotArea dataOnly="0" labelOnly="1" outline="0" fieldPosition="0">
        <references count="3">
          <reference field="0" count="1" selected="0">
            <x v="8"/>
          </reference>
          <reference field="1" count="1" selected="0">
            <x v="1259"/>
          </reference>
          <reference field="20" count="1">
            <x v="289"/>
          </reference>
        </references>
      </pivotArea>
    </format>
    <format dxfId="371">
      <pivotArea dataOnly="0" labelOnly="1" outline="0" fieldPosition="0">
        <references count="3">
          <reference field="0" count="1" selected="0">
            <x v="8"/>
          </reference>
          <reference field="1" count="1" selected="0">
            <x v="1268"/>
          </reference>
          <reference field="20" count="1">
            <x v="0"/>
          </reference>
        </references>
      </pivotArea>
    </format>
    <format dxfId="370">
      <pivotArea dataOnly="0" labelOnly="1" outline="0" fieldPosition="0">
        <references count="3">
          <reference field="0" count="1" selected="0">
            <x v="8"/>
          </reference>
          <reference field="1" count="1" selected="0">
            <x v="1271"/>
          </reference>
          <reference field="20" count="1">
            <x v="0"/>
          </reference>
        </references>
      </pivotArea>
    </format>
    <format dxfId="369">
      <pivotArea dataOnly="0" labelOnly="1" outline="0" fieldPosition="0">
        <references count="3">
          <reference field="0" count="1" selected="0">
            <x v="8"/>
          </reference>
          <reference field="1" count="1" selected="0">
            <x v="1284"/>
          </reference>
          <reference field="20" count="1">
            <x v="0"/>
          </reference>
        </references>
      </pivotArea>
    </format>
    <format dxfId="368">
      <pivotArea dataOnly="0" labelOnly="1" outline="0" fieldPosition="0">
        <references count="3">
          <reference field="0" count="1" selected="0">
            <x v="8"/>
          </reference>
          <reference field="1" count="1" selected="0">
            <x v="1285"/>
          </reference>
          <reference field="20" count="1">
            <x v="0"/>
          </reference>
        </references>
      </pivotArea>
    </format>
    <format dxfId="367">
      <pivotArea dataOnly="0" labelOnly="1" outline="0" fieldPosition="0">
        <references count="3">
          <reference field="0" count="1" selected="0">
            <x v="8"/>
          </reference>
          <reference field="1" count="1" selected="0">
            <x v="1291"/>
          </reference>
          <reference field="20" count="1">
            <x v="0"/>
          </reference>
        </references>
      </pivotArea>
    </format>
    <format dxfId="366">
      <pivotArea dataOnly="0" labelOnly="1" outline="0" fieldPosition="0">
        <references count="3">
          <reference field="0" count="1" selected="0">
            <x v="8"/>
          </reference>
          <reference field="1" count="1" selected="0">
            <x v="1309"/>
          </reference>
          <reference field="20" count="1">
            <x v="0"/>
          </reference>
        </references>
      </pivotArea>
    </format>
    <format dxfId="365">
      <pivotArea dataOnly="0" labelOnly="1" outline="0" fieldPosition="0">
        <references count="3">
          <reference field="0" count="1" selected="0">
            <x v="8"/>
          </reference>
          <reference field="1" count="1" selected="0">
            <x v="1313"/>
          </reference>
          <reference field="20" count="1">
            <x v="305"/>
          </reference>
        </references>
      </pivotArea>
    </format>
    <format dxfId="364">
      <pivotArea dataOnly="0" labelOnly="1" outline="0" fieldPosition="0">
        <references count="3">
          <reference field="0" count="1" selected="0">
            <x v="8"/>
          </reference>
          <reference field="1" count="1" selected="0">
            <x v="1314"/>
          </reference>
          <reference field="20" count="1">
            <x v="306"/>
          </reference>
        </references>
      </pivotArea>
    </format>
    <format dxfId="363">
      <pivotArea dataOnly="0" labelOnly="1" outline="0" fieldPosition="0">
        <references count="3">
          <reference field="0" count="1" selected="0">
            <x v="8"/>
          </reference>
          <reference field="1" count="1" selected="0">
            <x v="1334"/>
          </reference>
          <reference field="20" count="1">
            <x v="0"/>
          </reference>
        </references>
      </pivotArea>
    </format>
    <format dxfId="362">
      <pivotArea dataOnly="0" labelOnly="1" outline="0" fieldPosition="0">
        <references count="3">
          <reference field="0" count="1" selected="0">
            <x v="8"/>
          </reference>
          <reference field="1" count="1" selected="0">
            <x v="1335"/>
          </reference>
          <reference field="20" count="1">
            <x v="0"/>
          </reference>
        </references>
      </pivotArea>
    </format>
    <format dxfId="361">
      <pivotArea dataOnly="0" labelOnly="1" outline="0" fieldPosition="0">
        <references count="3">
          <reference field="0" count="1" selected="0">
            <x v="8"/>
          </reference>
          <reference field="1" count="1" selected="0">
            <x v="1365"/>
          </reference>
          <reference field="20" count="1">
            <x v="0"/>
          </reference>
        </references>
      </pivotArea>
    </format>
    <format dxfId="360">
      <pivotArea dataOnly="0" labelOnly="1" outline="0" fieldPosition="0">
        <references count="3">
          <reference field="0" count="1" selected="0">
            <x v="8"/>
          </reference>
          <reference field="1" count="1" selected="0">
            <x v="1377"/>
          </reference>
          <reference field="20" count="1">
            <x v="0"/>
          </reference>
        </references>
      </pivotArea>
    </format>
    <format dxfId="359">
      <pivotArea dataOnly="0" labelOnly="1" outline="0" fieldPosition="0">
        <references count="3">
          <reference field="0" count="1" selected="0">
            <x v="8"/>
          </reference>
          <reference field="1" count="1" selected="0">
            <x v="1383"/>
          </reference>
          <reference field="20" count="1">
            <x v="0"/>
          </reference>
        </references>
      </pivotArea>
    </format>
    <format dxfId="358">
      <pivotArea dataOnly="0" labelOnly="1" outline="0" fieldPosition="0">
        <references count="3">
          <reference field="0" count="1" selected="0">
            <x v="8"/>
          </reference>
          <reference field="1" count="1" selected="0">
            <x v="1397"/>
          </reference>
          <reference field="20" count="1">
            <x v="0"/>
          </reference>
        </references>
      </pivotArea>
    </format>
    <format dxfId="357">
      <pivotArea dataOnly="0" labelOnly="1" outline="0" fieldPosition="0">
        <references count="3">
          <reference field="0" count="1" selected="0">
            <x v="8"/>
          </reference>
          <reference field="1" count="1" selected="0">
            <x v="1398"/>
          </reference>
          <reference field="20" count="1">
            <x v="0"/>
          </reference>
        </references>
      </pivotArea>
    </format>
    <format dxfId="356">
      <pivotArea dataOnly="0" labelOnly="1" outline="0" fieldPosition="0">
        <references count="3">
          <reference field="0" count="1" selected="0">
            <x v="8"/>
          </reference>
          <reference field="1" count="1" selected="0">
            <x v="1413"/>
          </reference>
          <reference field="20" count="1">
            <x v="0"/>
          </reference>
        </references>
      </pivotArea>
    </format>
    <format dxfId="355">
      <pivotArea dataOnly="0" labelOnly="1" outline="0" fieldPosition="0">
        <references count="3">
          <reference field="0" count="1" selected="0">
            <x v="8"/>
          </reference>
          <reference field="1" count="1" selected="0">
            <x v="1416"/>
          </reference>
          <reference field="20" count="1">
            <x v="0"/>
          </reference>
        </references>
      </pivotArea>
    </format>
    <format dxfId="354">
      <pivotArea dataOnly="0" labelOnly="1" outline="0" fieldPosition="0">
        <references count="3">
          <reference field="0" count="1" selected="0">
            <x v="8"/>
          </reference>
          <reference field="1" count="1" selected="0">
            <x v="1433"/>
          </reference>
          <reference field="20" count="1">
            <x v="0"/>
          </reference>
        </references>
      </pivotArea>
    </format>
    <format dxfId="353">
      <pivotArea dataOnly="0" labelOnly="1" outline="0" fieldPosition="0">
        <references count="3">
          <reference field="0" count="1" selected="0">
            <x v="8"/>
          </reference>
          <reference field="1" count="1" selected="0">
            <x v="1434"/>
          </reference>
          <reference field="20" count="1">
            <x v="0"/>
          </reference>
        </references>
      </pivotArea>
    </format>
    <format dxfId="352">
      <pivotArea dataOnly="0" labelOnly="1" outline="0" fieldPosition="0">
        <references count="3">
          <reference field="0" count="1" selected="0">
            <x v="8"/>
          </reference>
          <reference field="1" count="1" selected="0">
            <x v="1463"/>
          </reference>
          <reference field="20" count="1">
            <x v="0"/>
          </reference>
        </references>
      </pivotArea>
    </format>
    <format dxfId="351">
      <pivotArea dataOnly="0" labelOnly="1" outline="0" fieldPosition="0">
        <references count="3">
          <reference field="0" count="1" selected="0">
            <x v="8"/>
          </reference>
          <reference field="1" count="1" selected="0">
            <x v="1467"/>
          </reference>
          <reference field="20" count="1">
            <x v="0"/>
          </reference>
        </references>
      </pivotArea>
    </format>
    <format dxfId="350">
      <pivotArea dataOnly="0" labelOnly="1" outline="0" fieldPosition="0">
        <references count="3">
          <reference field="0" count="1" selected="0">
            <x v="8"/>
          </reference>
          <reference field="1" count="1" selected="0">
            <x v="1468"/>
          </reference>
          <reference field="20" count="1">
            <x v="0"/>
          </reference>
        </references>
      </pivotArea>
    </format>
    <format dxfId="349">
      <pivotArea dataOnly="0" labelOnly="1" outline="0" fieldPosition="0">
        <references count="3">
          <reference field="0" count="1" selected="0">
            <x v="8"/>
          </reference>
          <reference field="1" count="1" selected="0">
            <x v="1469"/>
          </reference>
          <reference field="20" count="1">
            <x v="0"/>
          </reference>
        </references>
      </pivotArea>
    </format>
    <format dxfId="348">
      <pivotArea dataOnly="0" labelOnly="1" outline="0" fieldPosition="0">
        <references count="3">
          <reference field="0" count="1" selected="0">
            <x v="8"/>
          </reference>
          <reference field="1" count="1" selected="0">
            <x v="1496"/>
          </reference>
          <reference field="20" count="1">
            <x v="0"/>
          </reference>
        </references>
      </pivotArea>
    </format>
    <format dxfId="347">
      <pivotArea dataOnly="0" labelOnly="1" outline="0" fieldPosition="0">
        <references count="3">
          <reference field="0" count="1" selected="0">
            <x v="8"/>
          </reference>
          <reference field="1" count="1" selected="0">
            <x v="1497"/>
          </reference>
          <reference field="20" count="1">
            <x v="0"/>
          </reference>
        </references>
      </pivotArea>
    </format>
    <format dxfId="346">
      <pivotArea dataOnly="0" labelOnly="1" outline="0" fieldPosition="0">
        <references count="3">
          <reference field="0" count="1" selected="0">
            <x v="8"/>
          </reference>
          <reference field="1" count="1" selected="0">
            <x v="1501"/>
          </reference>
          <reference field="20" count="1">
            <x v="0"/>
          </reference>
        </references>
      </pivotArea>
    </format>
    <format dxfId="345">
      <pivotArea dataOnly="0" labelOnly="1" outline="0" fieldPosition="0">
        <references count="3">
          <reference field="0" count="1" selected="0">
            <x v="8"/>
          </reference>
          <reference field="1" count="1" selected="0">
            <x v="1505"/>
          </reference>
          <reference field="20" count="1">
            <x v="0"/>
          </reference>
        </references>
      </pivotArea>
    </format>
    <format dxfId="344">
      <pivotArea dataOnly="0" labelOnly="1" outline="0" fieldPosition="0">
        <references count="3">
          <reference field="0" count="1" selected="0">
            <x v="8"/>
          </reference>
          <reference field="1" count="1" selected="0">
            <x v="1512"/>
          </reference>
          <reference field="20" count="1">
            <x v="0"/>
          </reference>
        </references>
      </pivotArea>
    </format>
    <format dxfId="343">
      <pivotArea dataOnly="0" labelOnly="1" outline="0" fieldPosition="0">
        <references count="3">
          <reference field="0" count="1" selected="0">
            <x v="8"/>
          </reference>
          <reference field="1" count="1" selected="0">
            <x v="1514"/>
          </reference>
          <reference field="20" count="1">
            <x v="0"/>
          </reference>
        </references>
      </pivotArea>
    </format>
    <format dxfId="342">
      <pivotArea dataOnly="0" labelOnly="1" outline="0" fieldPosition="0">
        <references count="3">
          <reference field="0" count="1" selected="0">
            <x v="8"/>
          </reference>
          <reference field="1" count="1" selected="0">
            <x v="1535"/>
          </reference>
          <reference field="20" count="1">
            <x v="0"/>
          </reference>
        </references>
      </pivotArea>
    </format>
    <format dxfId="341">
      <pivotArea dataOnly="0" labelOnly="1" outline="0" fieldPosition="0">
        <references count="3">
          <reference field="0" count="1" selected="0">
            <x v="8"/>
          </reference>
          <reference field="1" count="1" selected="0">
            <x v="1536"/>
          </reference>
          <reference field="20" count="1">
            <x v="0"/>
          </reference>
        </references>
      </pivotArea>
    </format>
    <format dxfId="340">
      <pivotArea dataOnly="0" labelOnly="1" outline="0" fieldPosition="0">
        <references count="3">
          <reference field="0" count="1" selected="0">
            <x v="8"/>
          </reference>
          <reference field="1" count="1" selected="0">
            <x v="1537"/>
          </reference>
          <reference field="20" count="1">
            <x v="0"/>
          </reference>
        </references>
      </pivotArea>
    </format>
    <format dxfId="339">
      <pivotArea dataOnly="0" labelOnly="1" outline="0" fieldPosition="0">
        <references count="3">
          <reference field="0" count="1" selected="0">
            <x v="8"/>
          </reference>
          <reference field="1" count="1" selected="0">
            <x v="1540"/>
          </reference>
          <reference field="20" count="1">
            <x v="0"/>
          </reference>
        </references>
      </pivotArea>
    </format>
    <format dxfId="338">
      <pivotArea dataOnly="0" labelOnly="1" outline="0" fieldPosition="0">
        <references count="3">
          <reference field="0" count="1" selected="0">
            <x v="8"/>
          </reference>
          <reference field="1" count="1" selected="0">
            <x v="1554"/>
          </reference>
          <reference field="20" count="1">
            <x v="0"/>
          </reference>
        </references>
      </pivotArea>
    </format>
    <format dxfId="337">
      <pivotArea dataOnly="0" labelOnly="1" outline="0" fieldPosition="0">
        <references count="3">
          <reference field="0" count="1" selected="0">
            <x v="8"/>
          </reference>
          <reference field="1" count="1" selected="0">
            <x v="1576"/>
          </reference>
          <reference field="20" count="1">
            <x v="0"/>
          </reference>
        </references>
      </pivotArea>
    </format>
    <format dxfId="336">
      <pivotArea dataOnly="0" labelOnly="1" outline="0" fieldPosition="0">
        <references count="3">
          <reference field="0" count="1" selected="0">
            <x v="8"/>
          </reference>
          <reference field="1" count="1" selected="0">
            <x v="1586"/>
          </reference>
          <reference field="20" count="1">
            <x v="317"/>
          </reference>
        </references>
      </pivotArea>
    </format>
    <format dxfId="335">
      <pivotArea dataOnly="0" labelOnly="1" outline="0" fieldPosition="0">
        <references count="3">
          <reference field="0" count="1" selected="0">
            <x v="8"/>
          </reference>
          <reference field="1" count="1" selected="0">
            <x v="1589"/>
          </reference>
          <reference field="20" count="1">
            <x v="0"/>
          </reference>
        </references>
      </pivotArea>
    </format>
    <format dxfId="334">
      <pivotArea dataOnly="0" labelOnly="1" outline="0" fieldPosition="0">
        <references count="3">
          <reference field="0" count="1" selected="0">
            <x v="8"/>
          </reference>
          <reference field="1" count="1" selected="0">
            <x v="1598"/>
          </reference>
          <reference field="20" count="1">
            <x v="319"/>
          </reference>
        </references>
      </pivotArea>
    </format>
    <format dxfId="333">
      <pivotArea dataOnly="0" labelOnly="1" outline="0" fieldPosition="0">
        <references count="3">
          <reference field="0" count="1" selected="0">
            <x v="8"/>
          </reference>
          <reference field="1" count="1" selected="0">
            <x v="1599"/>
          </reference>
          <reference field="20" count="1">
            <x v="320"/>
          </reference>
        </references>
      </pivotArea>
    </format>
    <format dxfId="332">
      <pivotArea dataOnly="0" labelOnly="1" outline="0" fieldPosition="0">
        <references count="3">
          <reference field="0" count="1" selected="0">
            <x v="8"/>
          </reference>
          <reference field="1" count="1" selected="0">
            <x v="1611"/>
          </reference>
          <reference field="20" count="1">
            <x v="0"/>
          </reference>
        </references>
      </pivotArea>
    </format>
    <format dxfId="331">
      <pivotArea dataOnly="0" labelOnly="1" outline="0" fieldPosition="0">
        <references count="3">
          <reference field="0" count="1" selected="0">
            <x v="8"/>
          </reference>
          <reference field="1" count="1" selected="0">
            <x v="1623"/>
          </reference>
          <reference field="20" count="1">
            <x v="327"/>
          </reference>
        </references>
      </pivotArea>
    </format>
    <format dxfId="330">
      <pivotArea dataOnly="0" labelOnly="1" outline="0" fieldPosition="0">
        <references count="3">
          <reference field="0" count="1" selected="0">
            <x v="8"/>
          </reference>
          <reference field="1" count="1" selected="0">
            <x v="1624"/>
          </reference>
          <reference field="20" count="1">
            <x v="328"/>
          </reference>
        </references>
      </pivotArea>
    </format>
    <format dxfId="329">
      <pivotArea dataOnly="0" labelOnly="1" outline="0" fieldPosition="0">
        <references count="3">
          <reference field="0" count="1" selected="0">
            <x v="8"/>
          </reference>
          <reference field="1" count="1" selected="0">
            <x v="1625"/>
          </reference>
          <reference field="20" count="1">
            <x v="0"/>
          </reference>
        </references>
      </pivotArea>
    </format>
    <format dxfId="328">
      <pivotArea dataOnly="0" labelOnly="1" outline="0" fieldPosition="0">
        <references count="3">
          <reference field="0" count="1" selected="0">
            <x v="8"/>
          </reference>
          <reference field="1" count="1" selected="0">
            <x v="1631"/>
          </reference>
          <reference field="20" count="1">
            <x v="0"/>
          </reference>
        </references>
      </pivotArea>
    </format>
    <format dxfId="327">
      <pivotArea dataOnly="0" labelOnly="1" outline="0" fieldPosition="0">
        <references count="3">
          <reference field="0" count="1" selected="0">
            <x v="8"/>
          </reference>
          <reference field="1" count="1" selected="0">
            <x v="1634"/>
          </reference>
          <reference field="20" count="1">
            <x v="0"/>
          </reference>
        </references>
      </pivotArea>
    </format>
    <format dxfId="326">
      <pivotArea dataOnly="0" labelOnly="1" outline="0" fieldPosition="0">
        <references count="3">
          <reference field="0" count="1" selected="0">
            <x v="8"/>
          </reference>
          <reference field="1" count="1" selected="0">
            <x v="1648"/>
          </reference>
          <reference field="20" count="1">
            <x v="0"/>
          </reference>
        </references>
      </pivotArea>
    </format>
    <format dxfId="325">
      <pivotArea dataOnly="0" labelOnly="1" outline="0" fieldPosition="0">
        <references count="3">
          <reference field="0" count="1" selected="0">
            <x v="8"/>
          </reference>
          <reference field="1" count="1" selected="0">
            <x v="1649"/>
          </reference>
          <reference field="20" count="1">
            <x v="0"/>
          </reference>
        </references>
      </pivotArea>
    </format>
    <format dxfId="324">
      <pivotArea dataOnly="0" labelOnly="1" outline="0" fieldPosition="0">
        <references count="3">
          <reference field="0" count="1" selected="0">
            <x v="8"/>
          </reference>
          <reference field="1" count="1" selected="0">
            <x v="1652"/>
          </reference>
          <reference field="20" count="1">
            <x v="330"/>
          </reference>
        </references>
      </pivotArea>
    </format>
    <format dxfId="323">
      <pivotArea dataOnly="0" labelOnly="1" outline="0" fieldPosition="0">
        <references count="3">
          <reference field="0" count="1" selected="0">
            <x v="8"/>
          </reference>
          <reference field="1" count="1" selected="0">
            <x v="1656"/>
          </reference>
          <reference field="20" count="1">
            <x v="0"/>
          </reference>
        </references>
      </pivotArea>
    </format>
    <format dxfId="322">
      <pivotArea dataOnly="0" labelOnly="1" outline="0" fieldPosition="0">
        <references count="3">
          <reference field="0" count="1" selected="0">
            <x v="8"/>
          </reference>
          <reference field="1" count="1" selected="0">
            <x v="1659"/>
          </reference>
          <reference field="20" count="1">
            <x v="333"/>
          </reference>
        </references>
      </pivotArea>
    </format>
    <format dxfId="321">
      <pivotArea dataOnly="0" labelOnly="1" outline="0" fieldPosition="0">
        <references count="3">
          <reference field="0" count="1" selected="0">
            <x v="8"/>
          </reference>
          <reference field="1" count="1" selected="0">
            <x v="1666"/>
          </reference>
          <reference field="20" count="1">
            <x v="0"/>
          </reference>
        </references>
      </pivotArea>
    </format>
    <format dxfId="320">
      <pivotArea dataOnly="0" labelOnly="1" outline="0" fieldPosition="0">
        <references count="3">
          <reference field="0" count="1" selected="0">
            <x v="8"/>
          </reference>
          <reference field="1" count="1" selected="0">
            <x v="1669"/>
          </reference>
          <reference field="20" count="1">
            <x v="0"/>
          </reference>
        </references>
      </pivotArea>
    </format>
    <format dxfId="319">
      <pivotArea dataOnly="0" labelOnly="1" outline="0" fieldPosition="0">
        <references count="3">
          <reference field="0" count="1" selected="0">
            <x v="9"/>
          </reference>
          <reference field="1" count="1" selected="0">
            <x v="19"/>
          </reference>
          <reference field="20" count="1">
            <x v="0"/>
          </reference>
        </references>
      </pivotArea>
    </format>
    <format dxfId="318">
      <pivotArea dataOnly="0" labelOnly="1" outline="0" fieldPosition="0">
        <references count="3">
          <reference field="0" count="1" selected="0">
            <x v="9"/>
          </reference>
          <reference field="1" count="1" selected="0">
            <x v="25"/>
          </reference>
          <reference field="20" count="1">
            <x v="0"/>
          </reference>
        </references>
      </pivotArea>
    </format>
    <format dxfId="317">
      <pivotArea dataOnly="0" labelOnly="1" outline="0" fieldPosition="0">
        <references count="3">
          <reference field="0" count="1" selected="0">
            <x v="9"/>
          </reference>
          <reference field="1" count="1" selected="0">
            <x v="62"/>
          </reference>
          <reference field="20" count="1">
            <x v="0"/>
          </reference>
        </references>
      </pivotArea>
    </format>
    <format dxfId="316">
      <pivotArea dataOnly="0" labelOnly="1" outline="0" fieldPosition="0">
        <references count="3">
          <reference field="0" count="1" selected="0">
            <x v="9"/>
          </reference>
          <reference field="1" count="1" selected="0">
            <x v="106"/>
          </reference>
          <reference field="20" count="1">
            <x v="0"/>
          </reference>
        </references>
      </pivotArea>
    </format>
    <format dxfId="315">
      <pivotArea dataOnly="0" labelOnly="1" outline="0" fieldPosition="0">
        <references count="3">
          <reference field="0" count="1" selected="0">
            <x v="9"/>
          </reference>
          <reference field="1" count="1" selected="0">
            <x v="107"/>
          </reference>
          <reference field="20" count="1">
            <x v="0"/>
          </reference>
        </references>
      </pivotArea>
    </format>
    <format dxfId="314">
      <pivotArea dataOnly="0" labelOnly="1" outline="0" fieldPosition="0">
        <references count="3">
          <reference field="0" count="1" selected="0">
            <x v="9"/>
          </reference>
          <reference field="1" count="1" selected="0">
            <x v="108"/>
          </reference>
          <reference field="20" count="1">
            <x v="0"/>
          </reference>
        </references>
      </pivotArea>
    </format>
    <format dxfId="313">
      <pivotArea dataOnly="0" labelOnly="1" outline="0" fieldPosition="0">
        <references count="3">
          <reference field="0" count="1" selected="0">
            <x v="9"/>
          </reference>
          <reference field="1" count="1" selected="0">
            <x v="110"/>
          </reference>
          <reference field="20" count="1">
            <x v="0"/>
          </reference>
        </references>
      </pivotArea>
    </format>
    <format dxfId="312">
      <pivotArea dataOnly="0" labelOnly="1" outline="0" fieldPosition="0">
        <references count="3">
          <reference field="0" count="1" selected="0">
            <x v="9"/>
          </reference>
          <reference field="1" count="1" selected="0">
            <x v="198"/>
          </reference>
          <reference field="20" count="1">
            <x v="0"/>
          </reference>
        </references>
      </pivotArea>
    </format>
    <format dxfId="311">
      <pivotArea dataOnly="0" labelOnly="1" outline="0" fieldPosition="0">
        <references count="3">
          <reference field="0" count="1" selected="0">
            <x v="9"/>
          </reference>
          <reference field="1" count="1" selected="0">
            <x v="206"/>
          </reference>
          <reference field="20" count="1">
            <x v="0"/>
          </reference>
        </references>
      </pivotArea>
    </format>
    <format dxfId="310">
      <pivotArea dataOnly="0" labelOnly="1" outline="0" fieldPosition="0">
        <references count="3">
          <reference field="0" count="1" selected="0">
            <x v="9"/>
          </reference>
          <reference field="1" count="1" selected="0">
            <x v="223"/>
          </reference>
          <reference field="20" count="1">
            <x v="0"/>
          </reference>
        </references>
      </pivotArea>
    </format>
    <format dxfId="309">
      <pivotArea dataOnly="0" labelOnly="1" outline="0" fieldPosition="0">
        <references count="3">
          <reference field="0" count="1" selected="0">
            <x v="9"/>
          </reference>
          <reference field="1" count="1" selected="0">
            <x v="253"/>
          </reference>
          <reference field="20" count="1">
            <x v="0"/>
          </reference>
        </references>
      </pivotArea>
    </format>
    <format dxfId="308">
      <pivotArea dataOnly="0" labelOnly="1" outline="0" fieldPosition="0">
        <references count="3">
          <reference field="0" count="1" selected="0">
            <x v="9"/>
          </reference>
          <reference field="1" count="1" selected="0">
            <x v="292"/>
          </reference>
          <reference field="20" count="1">
            <x v="22"/>
          </reference>
        </references>
      </pivotArea>
    </format>
    <format dxfId="307">
      <pivotArea dataOnly="0" labelOnly="1" outline="0" fieldPosition="0">
        <references count="3">
          <reference field="0" count="1" selected="0">
            <x v="9"/>
          </reference>
          <reference field="1" count="1" selected="0">
            <x v="295"/>
          </reference>
          <reference field="20" count="1">
            <x v="0"/>
          </reference>
        </references>
      </pivotArea>
    </format>
    <format dxfId="306">
      <pivotArea dataOnly="0" labelOnly="1" outline="0" fieldPosition="0">
        <references count="3">
          <reference field="0" count="1" selected="0">
            <x v="9"/>
          </reference>
          <reference field="1" count="1" selected="0">
            <x v="360"/>
          </reference>
          <reference field="20" count="1">
            <x v="0"/>
          </reference>
        </references>
      </pivotArea>
    </format>
    <format dxfId="305">
      <pivotArea dataOnly="0" labelOnly="1" outline="0" fieldPosition="0">
        <references count="3">
          <reference field="0" count="1" selected="0">
            <x v="9"/>
          </reference>
          <reference field="1" count="1" selected="0">
            <x v="537"/>
          </reference>
          <reference field="20" count="1">
            <x v="0"/>
          </reference>
        </references>
      </pivotArea>
    </format>
    <format dxfId="304">
      <pivotArea dataOnly="0" labelOnly="1" outline="0" fieldPosition="0">
        <references count="3">
          <reference field="0" count="1" selected="0">
            <x v="9"/>
          </reference>
          <reference field="1" count="1" selected="0">
            <x v="560"/>
          </reference>
          <reference field="20" count="1">
            <x v="0"/>
          </reference>
        </references>
      </pivotArea>
    </format>
    <format dxfId="303">
      <pivotArea dataOnly="0" labelOnly="1" outline="0" fieldPosition="0">
        <references count="3">
          <reference field="0" count="1" selected="0">
            <x v="9"/>
          </reference>
          <reference field="1" count="1" selected="0">
            <x v="600"/>
          </reference>
          <reference field="20" count="1">
            <x v="0"/>
          </reference>
        </references>
      </pivotArea>
    </format>
    <format dxfId="302">
      <pivotArea dataOnly="0" labelOnly="1" outline="0" fieldPosition="0">
        <references count="3">
          <reference field="0" count="1" selected="0">
            <x v="9"/>
          </reference>
          <reference field="1" count="1" selected="0">
            <x v="641"/>
          </reference>
          <reference field="20" count="1">
            <x v="0"/>
          </reference>
        </references>
      </pivotArea>
    </format>
    <format dxfId="301">
      <pivotArea dataOnly="0" labelOnly="1" outline="0" fieldPosition="0">
        <references count="3">
          <reference field="0" count="1" selected="0">
            <x v="9"/>
          </reference>
          <reference field="1" count="1" selected="0">
            <x v="648"/>
          </reference>
          <reference field="20" count="1">
            <x v="0"/>
          </reference>
        </references>
      </pivotArea>
    </format>
    <format dxfId="300">
      <pivotArea dataOnly="0" labelOnly="1" outline="0" fieldPosition="0">
        <references count="3">
          <reference field="0" count="1" selected="0">
            <x v="9"/>
          </reference>
          <reference field="1" count="1" selected="0">
            <x v="653"/>
          </reference>
          <reference field="20" count="1">
            <x v="0"/>
          </reference>
        </references>
      </pivotArea>
    </format>
    <format dxfId="299">
      <pivotArea dataOnly="0" labelOnly="1" outline="0" fieldPosition="0">
        <references count="3">
          <reference field="0" count="1" selected="0">
            <x v="9"/>
          </reference>
          <reference field="1" count="1" selected="0">
            <x v="656"/>
          </reference>
          <reference field="20" count="1">
            <x v="0"/>
          </reference>
        </references>
      </pivotArea>
    </format>
    <format dxfId="298">
      <pivotArea dataOnly="0" labelOnly="1" outline="0" fieldPosition="0">
        <references count="3">
          <reference field="0" count="1" selected="0">
            <x v="9"/>
          </reference>
          <reference field="1" count="1" selected="0">
            <x v="668"/>
          </reference>
          <reference field="20" count="1">
            <x v="0"/>
          </reference>
        </references>
      </pivotArea>
    </format>
    <format dxfId="297">
      <pivotArea dataOnly="0" labelOnly="1" outline="0" fieldPosition="0">
        <references count="3">
          <reference field="0" count="1" selected="0">
            <x v="9"/>
          </reference>
          <reference field="1" count="1" selected="0">
            <x v="689"/>
          </reference>
          <reference field="20" count="1">
            <x v="0"/>
          </reference>
        </references>
      </pivotArea>
    </format>
    <format dxfId="296">
      <pivotArea dataOnly="0" labelOnly="1" outline="0" fieldPosition="0">
        <references count="3">
          <reference field="0" count="1" selected="0">
            <x v="9"/>
          </reference>
          <reference field="1" count="1" selected="0">
            <x v="693"/>
          </reference>
          <reference field="20" count="1">
            <x v="0"/>
          </reference>
        </references>
      </pivotArea>
    </format>
    <format dxfId="295">
      <pivotArea dataOnly="0" labelOnly="1" outline="0" fieldPosition="0">
        <references count="3">
          <reference field="0" count="1" selected="0">
            <x v="9"/>
          </reference>
          <reference field="1" count="1" selected="0">
            <x v="708"/>
          </reference>
          <reference field="20" count="1">
            <x v="110"/>
          </reference>
        </references>
      </pivotArea>
    </format>
    <format dxfId="294">
      <pivotArea dataOnly="0" labelOnly="1" outline="0" fieldPosition="0">
        <references count="3">
          <reference field="0" count="1" selected="0">
            <x v="9"/>
          </reference>
          <reference field="1" count="1" selected="0">
            <x v="709"/>
          </reference>
          <reference field="20" count="1">
            <x v="0"/>
          </reference>
        </references>
      </pivotArea>
    </format>
    <format dxfId="293">
      <pivotArea dataOnly="0" labelOnly="1" outline="0" fieldPosition="0">
        <references count="3">
          <reference field="0" count="1" selected="0">
            <x v="9"/>
          </reference>
          <reference field="1" count="1" selected="0">
            <x v="723"/>
          </reference>
          <reference field="20" count="1">
            <x v="0"/>
          </reference>
        </references>
      </pivotArea>
    </format>
    <format dxfId="292">
      <pivotArea dataOnly="0" labelOnly="1" outline="0" fieldPosition="0">
        <references count="3">
          <reference field="0" count="1" selected="0">
            <x v="9"/>
          </reference>
          <reference field="1" count="1" selected="0">
            <x v="735"/>
          </reference>
          <reference field="20" count="1">
            <x v="120"/>
          </reference>
        </references>
      </pivotArea>
    </format>
    <format dxfId="291">
      <pivotArea dataOnly="0" labelOnly="1" outline="0" fieldPosition="0">
        <references count="3">
          <reference field="0" count="1" selected="0">
            <x v="9"/>
          </reference>
          <reference field="1" count="1" selected="0">
            <x v="745"/>
          </reference>
          <reference field="20" count="1">
            <x v="0"/>
          </reference>
        </references>
      </pivotArea>
    </format>
    <format dxfId="290">
      <pivotArea dataOnly="0" labelOnly="1" outline="0" fieldPosition="0">
        <references count="3">
          <reference field="0" count="1" selected="0">
            <x v="9"/>
          </reference>
          <reference field="1" count="1" selected="0">
            <x v="746"/>
          </reference>
          <reference field="20" count="1">
            <x v="122"/>
          </reference>
        </references>
      </pivotArea>
    </format>
    <format dxfId="289">
      <pivotArea dataOnly="0" labelOnly="1" outline="0" fieldPosition="0">
        <references count="3">
          <reference field="0" count="1" selected="0">
            <x v="9"/>
          </reference>
          <reference field="1" count="1" selected="0">
            <x v="755"/>
          </reference>
          <reference field="20" count="1">
            <x v="0"/>
          </reference>
        </references>
      </pivotArea>
    </format>
    <format dxfId="288">
      <pivotArea dataOnly="0" labelOnly="1" outline="0" fieldPosition="0">
        <references count="3">
          <reference field="0" count="1" selected="0">
            <x v="9"/>
          </reference>
          <reference field="1" count="1" selected="0">
            <x v="767"/>
          </reference>
          <reference field="20" count="1">
            <x v="0"/>
          </reference>
        </references>
      </pivotArea>
    </format>
    <format dxfId="287">
      <pivotArea dataOnly="0" labelOnly="1" outline="0" fieldPosition="0">
        <references count="3">
          <reference field="0" count="1" selected="0">
            <x v="9"/>
          </reference>
          <reference field="1" count="1" selected="0">
            <x v="773"/>
          </reference>
          <reference field="20" count="1">
            <x v="0"/>
          </reference>
        </references>
      </pivotArea>
    </format>
    <format dxfId="286">
      <pivotArea dataOnly="0" labelOnly="1" outline="0" fieldPosition="0">
        <references count="3">
          <reference field="0" count="1" selected="0">
            <x v="9"/>
          </reference>
          <reference field="1" count="1" selected="0">
            <x v="779"/>
          </reference>
          <reference field="20" count="1">
            <x v="0"/>
          </reference>
        </references>
      </pivotArea>
    </format>
    <format dxfId="285">
      <pivotArea dataOnly="0" labelOnly="1" outline="0" fieldPosition="0">
        <references count="3">
          <reference field="0" count="1" selected="0">
            <x v="9"/>
          </reference>
          <reference field="1" count="1" selected="0">
            <x v="800"/>
          </reference>
          <reference field="20" count="1">
            <x v="0"/>
          </reference>
        </references>
      </pivotArea>
    </format>
    <format dxfId="284">
      <pivotArea dataOnly="0" labelOnly="1" outline="0" fieldPosition="0">
        <references count="3">
          <reference field="0" count="1" selected="0">
            <x v="9"/>
          </reference>
          <reference field="1" count="1" selected="0">
            <x v="832"/>
          </reference>
          <reference field="20" count="1">
            <x v="0"/>
          </reference>
        </references>
      </pivotArea>
    </format>
    <format dxfId="283">
      <pivotArea dataOnly="0" labelOnly="1" outline="0" fieldPosition="0">
        <references count="3">
          <reference field="0" count="1" selected="0">
            <x v="9"/>
          </reference>
          <reference field="1" count="1" selected="0">
            <x v="834"/>
          </reference>
          <reference field="20" count="1">
            <x v="144"/>
          </reference>
        </references>
      </pivotArea>
    </format>
    <format dxfId="282">
      <pivotArea dataOnly="0" labelOnly="1" outline="0" fieldPosition="0">
        <references count="3">
          <reference field="0" count="1" selected="0">
            <x v="9"/>
          </reference>
          <reference field="1" count="1" selected="0">
            <x v="836"/>
          </reference>
          <reference field="20" count="1">
            <x v="146"/>
          </reference>
        </references>
      </pivotArea>
    </format>
    <format dxfId="281">
      <pivotArea dataOnly="0" labelOnly="1" outline="0" fieldPosition="0">
        <references count="3">
          <reference field="0" count="1" selected="0">
            <x v="9"/>
          </reference>
          <reference field="1" count="1" selected="0">
            <x v="837"/>
          </reference>
          <reference field="20" count="1">
            <x v="0"/>
          </reference>
        </references>
      </pivotArea>
    </format>
    <format dxfId="280">
      <pivotArea dataOnly="0" labelOnly="1" outline="0" fieldPosition="0">
        <references count="3">
          <reference field="0" count="1" selected="0">
            <x v="9"/>
          </reference>
          <reference field="1" count="1" selected="0">
            <x v="838"/>
          </reference>
          <reference field="20" count="1">
            <x v="147"/>
          </reference>
        </references>
      </pivotArea>
    </format>
    <format dxfId="279">
      <pivotArea dataOnly="0" labelOnly="1" outline="0" fieldPosition="0">
        <references count="3">
          <reference field="0" count="1" selected="0">
            <x v="9"/>
          </reference>
          <reference field="1" count="1" selected="0">
            <x v="867"/>
          </reference>
          <reference field="20" count="1">
            <x v="0"/>
          </reference>
        </references>
      </pivotArea>
    </format>
    <format dxfId="278">
      <pivotArea dataOnly="0" labelOnly="1" outline="0" fieldPosition="0">
        <references count="3">
          <reference field="0" count="1" selected="0">
            <x v="9"/>
          </reference>
          <reference field="1" count="1" selected="0">
            <x v="922"/>
          </reference>
          <reference field="20" count="1">
            <x v="0"/>
          </reference>
        </references>
      </pivotArea>
    </format>
    <format dxfId="277">
      <pivotArea dataOnly="0" labelOnly="1" outline="0" fieldPosition="0">
        <references count="3">
          <reference field="0" count="1" selected="0">
            <x v="9"/>
          </reference>
          <reference field="1" count="1" selected="0">
            <x v="923"/>
          </reference>
          <reference field="20" count="1">
            <x v="0"/>
          </reference>
        </references>
      </pivotArea>
    </format>
    <format dxfId="276">
      <pivotArea dataOnly="0" labelOnly="1" outline="0" fieldPosition="0">
        <references count="3">
          <reference field="0" count="1" selected="0">
            <x v="9"/>
          </reference>
          <reference field="1" count="1" selected="0">
            <x v="942"/>
          </reference>
          <reference field="20" count="1">
            <x v="0"/>
          </reference>
        </references>
      </pivotArea>
    </format>
    <format dxfId="275">
      <pivotArea dataOnly="0" labelOnly="1" outline="0" fieldPosition="0">
        <references count="3">
          <reference field="0" count="1" selected="0">
            <x v="9"/>
          </reference>
          <reference field="1" count="1" selected="0">
            <x v="961"/>
          </reference>
          <reference field="20" count="1">
            <x v="175"/>
          </reference>
        </references>
      </pivotArea>
    </format>
    <format dxfId="274">
      <pivotArea dataOnly="0" labelOnly="1" outline="0" fieldPosition="0">
        <references count="3">
          <reference field="0" count="1" selected="0">
            <x v="9"/>
          </reference>
          <reference field="1" count="1" selected="0">
            <x v="962"/>
          </reference>
          <reference field="20" count="1">
            <x v="0"/>
          </reference>
        </references>
      </pivotArea>
    </format>
    <format dxfId="273">
      <pivotArea dataOnly="0" labelOnly="1" outline="0" fieldPosition="0">
        <references count="3">
          <reference field="0" count="1" selected="0">
            <x v="9"/>
          </reference>
          <reference field="1" count="1" selected="0">
            <x v="985"/>
          </reference>
          <reference field="20" count="1">
            <x v="0"/>
          </reference>
        </references>
      </pivotArea>
    </format>
    <format dxfId="272">
      <pivotArea dataOnly="0" labelOnly="1" outline="0" fieldPosition="0">
        <references count="3">
          <reference field="0" count="1" selected="0">
            <x v="9"/>
          </reference>
          <reference field="1" count="1" selected="0">
            <x v="1000"/>
          </reference>
          <reference field="20" count="1">
            <x v="0"/>
          </reference>
        </references>
      </pivotArea>
    </format>
    <format dxfId="271">
      <pivotArea dataOnly="0" labelOnly="1" outline="0" fieldPosition="0">
        <references count="3">
          <reference field="0" count="1" selected="0">
            <x v="9"/>
          </reference>
          <reference field="1" count="1" selected="0">
            <x v="1008"/>
          </reference>
          <reference field="20" count="1">
            <x v="0"/>
          </reference>
        </references>
      </pivotArea>
    </format>
    <format dxfId="270">
      <pivotArea dataOnly="0" labelOnly="1" outline="0" fieldPosition="0">
        <references count="3">
          <reference field="0" count="1" selected="0">
            <x v="9"/>
          </reference>
          <reference field="1" count="1" selected="0">
            <x v="1028"/>
          </reference>
          <reference field="20" count="1">
            <x v="0"/>
          </reference>
        </references>
      </pivotArea>
    </format>
    <format dxfId="269">
      <pivotArea dataOnly="0" labelOnly="1" outline="0" fieldPosition="0">
        <references count="3">
          <reference field="0" count="1" selected="0">
            <x v="9"/>
          </reference>
          <reference field="1" count="1" selected="0">
            <x v="1040"/>
          </reference>
          <reference field="20" count="1">
            <x v="0"/>
          </reference>
        </references>
      </pivotArea>
    </format>
    <format dxfId="268">
      <pivotArea dataOnly="0" labelOnly="1" outline="0" fieldPosition="0">
        <references count="3">
          <reference field="0" count="1" selected="0">
            <x v="9"/>
          </reference>
          <reference field="1" count="1" selected="0">
            <x v="1073"/>
          </reference>
          <reference field="20" count="1">
            <x v="0"/>
          </reference>
        </references>
      </pivotArea>
    </format>
    <format dxfId="267">
      <pivotArea dataOnly="0" labelOnly="1" outline="0" fieldPosition="0">
        <references count="3">
          <reference field="0" count="1" selected="0">
            <x v="9"/>
          </reference>
          <reference field="1" count="1" selected="0">
            <x v="1260"/>
          </reference>
          <reference field="20" count="1">
            <x v="292"/>
          </reference>
        </references>
      </pivotArea>
    </format>
    <format dxfId="266">
      <pivotArea dataOnly="0" labelOnly="1" outline="0" fieldPosition="0">
        <references count="3">
          <reference field="0" count="1" selected="0">
            <x v="9"/>
          </reference>
          <reference field="1" count="1" selected="0">
            <x v="1261"/>
          </reference>
          <reference field="20" count="1">
            <x v="290"/>
          </reference>
        </references>
      </pivotArea>
    </format>
    <format dxfId="265">
      <pivotArea dataOnly="0" labelOnly="1" outline="0" fieldPosition="0">
        <references count="3">
          <reference field="0" count="1" selected="0">
            <x v="9"/>
          </reference>
          <reference field="1" count="1" selected="0">
            <x v="1262"/>
          </reference>
          <reference field="20" count="1">
            <x v="291"/>
          </reference>
        </references>
      </pivotArea>
    </format>
    <format dxfId="264">
      <pivotArea dataOnly="0" labelOnly="1" outline="0" fieldPosition="0">
        <references count="3">
          <reference field="0" count="1" selected="0">
            <x v="9"/>
          </reference>
          <reference field="1" count="1" selected="0">
            <x v="1263"/>
          </reference>
          <reference field="20" count="1">
            <x v="0"/>
          </reference>
        </references>
      </pivotArea>
    </format>
    <format dxfId="263">
      <pivotArea dataOnly="0" labelOnly="1" outline="0" fieldPosition="0">
        <references count="3">
          <reference field="0" count="1" selected="0">
            <x v="9"/>
          </reference>
          <reference field="1" count="1" selected="0">
            <x v="1264"/>
          </reference>
          <reference field="20" count="1">
            <x v="293"/>
          </reference>
        </references>
      </pivotArea>
    </format>
    <format dxfId="262">
      <pivotArea dataOnly="0" labelOnly="1" outline="0" fieldPosition="0">
        <references count="3">
          <reference field="0" count="1" selected="0">
            <x v="9"/>
          </reference>
          <reference field="1" count="1" selected="0">
            <x v="1265"/>
          </reference>
          <reference field="20" count="1">
            <x v="0"/>
          </reference>
        </references>
      </pivotArea>
    </format>
    <format dxfId="261">
      <pivotArea dataOnly="0" labelOnly="1" outline="0" fieldPosition="0">
        <references count="3">
          <reference field="0" count="1" selected="0">
            <x v="9"/>
          </reference>
          <reference field="1" count="1" selected="0">
            <x v="1266"/>
          </reference>
          <reference field="20" count="1">
            <x v="294"/>
          </reference>
        </references>
      </pivotArea>
    </format>
    <format dxfId="260">
      <pivotArea dataOnly="0" labelOnly="1" outline="0" fieldPosition="0">
        <references count="3">
          <reference field="0" count="1" selected="0">
            <x v="9"/>
          </reference>
          <reference field="1" count="1" selected="0">
            <x v="1267"/>
          </reference>
          <reference field="20" count="1">
            <x v="295"/>
          </reference>
        </references>
      </pivotArea>
    </format>
    <format dxfId="259">
      <pivotArea dataOnly="0" labelOnly="1" outline="0" fieldPosition="0">
        <references count="3">
          <reference field="0" count="1" selected="0">
            <x v="9"/>
          </reference>
          <reference field="1" count="1" selected="0">
            <x v="1270"/>
          </reference>
          <reference field="20" count="1">
            <x v="0"/>
          </reference>
        </references>
      </pivotArea>
    </format>
    <format dxfId="258">
      <pivotArea dataOnly="0" labelOnly="1" outline="0" fieldPosition="0">
        <references count="3">
          <reference field="0" count="1" selected="0">
            <x v="9"/>
          </reference>
          <reference field="1" count="1" selected="0">
            <x v="1272"/>
          </reference>
          <reference field="20" count="1">
            <x v="0"/>
          </reference>
        </references>
      </pivotArea>
    </format>
    <format dxfId="257">
      <pivotArea dataOnly="0" labelOnly="1" outline="0" fieldPosition="0">
        <references count="3">
          <reference field="0" count="1" selected="0">
            <x v="9"/>
          </reference>
          <reference field="1" count="1" selected="0">
            <x v="1274"/>
          </reference>
          <reference field="20" count="1">
            <x v="0"/>
          </reference>
        </references>
      </pivotArea>
    </format>
    <format dxfId="256">
      <pivotArea dataOnly="0" labelOnly="1" outline="0" fieldPosition="0">
        <references count="3">
          <reference field="0" count="1" selected="0">
            <x v="9"/>
          </reference>
          <reference field="1" count="1" selected="0">
            <x v="1275"/>
          </reference>
          <reference field="20" count="1">
            <x v="0"/>
          </reference>
        </references>
      </pivotArea>
    </format>
    <format dxfId="255">
      <pivotArea dataOnly="0" labelOnly="1" outline="0" fieldPosition="0">
        <references count="3">
          <reference field="0" count="1" selected="0">
            <x v="9"/>
          </reference>
          <reference field="1" count="1" selected="0">
            <x v="1276"/>
          </reference>
          <reference field="20" count="1">
            <x v="0"/>
          </reference>
        </references>
      </pivotArea>
    </format>
    <format dxfId="254">
      <pivotArea dataOnly="0" labelOnly="1" outline="0" fieldPosition="0">
        <references count="3">
          <reference field="0" count="1" selected="0">
            <x v="9"/>
          </reference>
          <reference field="1" count="1" selected="0">
            <x v="1286"/>
          </reference>
          <reference field="20" count="1">
            <x v="0"/>
          </reference>
        </references>
      </pivotArea>
    </format>
    <format dxfId="253">
      <pivotArea dataOnly="0" labelOnly="1" outline="0" fieldPosition="0">
        <references count="3">
          <reference field="0" count="1" selected="0">
            <x v="9"/>
          </reference>
          <reference field="1" count="1" selected="0">
            <x v="1287"/>
          </reference>
          <reference field="20" count="1">
            <x v="0"/>
          </reference>
        </references>
      </pivotArea>
    </format>
    <format dxfId="252">
      <pivotArea dataOnly="0" labelOnly="1" outline="0" fieldPosition="0">
        <references count="3">
          <reference field="0" count="1" selected="0">
            <x v="9"/>
          </reference>
          <reference field="1" count="1" selected="0">
            <x v="1301"/>
          </reference>
          <reference field="20" count="1">
            <x v="302"/>
          </reference>
        </references>
      </pivotArea>
    </format>
    <format dxfId="251">
      <pivotArea dataOnly="0" labelOnly="1" outline="0" fieldPosition="0">
        <references count="3">
          <reference field="0" count="1" selected="0">
            <x v="9"/>
          </reference>
          <reference field="1" count="1" selected="0">
            <x v="1321"/>
          </reference>
          <reference field="20" count="1">
            <x v="0"/>
          </reference>
        </references>
      </pivotArea>
    </format>
    <format dxfId="250">
      <pivotArea dataOnly="0" labelOnly="1" outline="0" fieldPosition="0">
        <references count="3">
          <reference field="0" count="1" selected="0">
            <x v="9"/>
          </reference>
          <reference field="1" count="1" selected="0">
            <x v="1417"/>
          </reference>
          <reference field="20" count="1">
            <x v="0"/>
          </reference>
        </references>
      </pivotArea>
    </format>
    <format dxfId="249">
      <pivotArea dataOnly="0" labelOnly="1" outline="0" fieldPosition="0">
        <references count="3">
          <reference field="0" count="1" selected="0">
            <x v="9"/>
          </reference>
          <reference field="1" count="1" selected="0">
            <x v="1428"/>
          </reference>
          <reference field="20" count="1">
            <x v="0"/>
          </reference>
        </references>
      </pivotArea>
    </format>
    <format dxfId="248">
      <pivotArea dataOnly="0" labelOnly="1" outline="0" fieldPosition="0">
        <references count="3">
          <reference field="0" count="1" selected="0">
            <x v="9"/>
          </reference>
          <reference field="1" count="1" selected="0">
            <x v="1429"/>
          </reference>
          <reference field="20" count="1">
            <x v="0"/>
          </reference>
        </references>
      </pivotArea>
    </format>
    <format dxfId="247">
      <pivotArea dataOnly="0" labelOnly="1" outline="0" fieldPosition="0">
        <references count="3">
          <reference field="0" count="1" selected="0">
            <x v="9"/>
          </reference>
          <reference field="1" count="1" selected="0">
            <x v="1435"/>
          </reference>
          <reference field="20" count="1">
            <x v="0"/>
          </reference>
        </references>
      </pivotArea>
    </format>
    <format dxfId="246">
      <pivotArea dataOnly="0" labelOnly="1" outline="0" fieldPosition="0">
        <references count="3">
          <reference field="0" count="1" selected="0">
            <x v="9"/>
          </reference>
          <reference field="1" count="1" selected="0">
            <x v="1462"/>
          </reference>
          <reference field="20" count="1">
            <x v="0"/>
          </reference>
        </references>
      </pivotArea>
    </format>
    <format dxfId="245">
      <pivotArea dataOnly="0" labelOnly="1" outline="0" fieldPosition="0">
        <references count="3">
          <reference field="0" count="1" selected="0">
            <x v="9"/>
          </reference>
          <reference field="1" count="1" selected="0">
            <x v="1518"/>
          </reference>
          <reference field="20" count="1">
            <x v="0"/>
          </reference>
        </references>
      </pivotArea>
    </format>
    <format dxfId="244">
      <pivotArea dataOnly="0" labelOnly="1" outline="0" fieldPosition="0">
        <references count="3">
          <reference field="0" count="1" selected="0">
            <x v="9"/>
          </reference>
          <reference field="1" count="1" selected="0">
            <x v="1546"/>
          </reference>
          <reference field="20" count="1">
            <x v="0"/>
          </reference>
        </references>
      </pivotArea>
    </format>
    <format dxfId="243">
      <pivotArea dataOnly="0" labelOnly="1" outline="0" fieldPosition="0">
        <references count="3">
          <reference field="0" count="1" selected="0">
            <x v="9"/>
          </reference>
          <reference field="1" count="1" selected="0">
            <x v="1562"/>
          </reference>
          <reference field="20" count="1">
            <x v="0"/>
          </reference>
        </references>
      </pivotArea>
    </format>
    <format dxfId="242">
      <pivotArea dataOnly="0" labelOnly="1" outline="0" fieldPosition="0">
        <references count="3">
          <reference field="0" count="1" selected="0">
            <x v="9"/>
          </reference>
          <reference field="1" count="1" selected="0">
            <x v="1572"/>
          </reference>
          <reference field="20" count="1">
            <x v="0"/>
          </reference>
        </references>
      </pivotArea>
    </format>
    <format dxfId="241">
      <pivotArea dataOnly="0" labelOnly="1" outline="0" fieldPosition="0">
        <references count="3">
          <reference field="0" count="1" selected="0">
            <x v="9"/>
          </reference>
          <reference field="1" count="1" selected="0">
            <x v="1587"/>
          </reference>
          <reference field="20" count="1">
            <x v="318"/>
          </reference>
        </references>
      </pivotArea>
    </format>
    <format dxfId="240">
      <pivotArea dataOnly="0" labelOnly="1" outline="0" fieldPosition="0">
        <references count="3">
          <reference field="0" count="1" selected="0">
            <x v="9"/>
          </reference>
          <reference field="1" count="1" selected="0">
            <x v="1592"/>
          </reference>
          <reference field="20" count="1">
            <x v="0"/>
          </reference>
        </references>
      </pivotArea>
    </format>
    <format dxfId="239">
      <pivotArea dataOnly="0" labelOnly="1" outline="0" fieldPosition="0">
        <references count="3">
          <reference field="0" count="1" selected="0">
            <x v="9"/>
          </reference>
          <reference field="1" count="1" selected="0">
            <x v="1621"/>
          </reference>
          <reference field="20" count="1">
            <x v="0"/>
          </reference>
        </references>
      </pivotArea>
    </format>
    <format dxfId="238">
      <pivotArea dataOnly="0" labelOnly="1" outline="0" fieldPosition="0">
        <references count="3">
          <reference field="0" count="1" selected="0">
            <x v="9"/>
          </reference>
          <reference field="1" count="1" selected="0">
            <x v="1639"/>
          </reference>
          <reference field="20" count="1">
            <x v="0"/>
          </reference>
        </references>
      </pivotArea>
    </format>
    <format dxfId="237">
      <pivotArea type="topRight" dataOnly="0" labelOnly="1" outline="0" fieldPosition="0"/>
    </format>
    <format dxfId="236">
      <pivotArea dataOnly="0" labelOnly="1" outline="0" fieldPosition="0">
        <references count="1">
          <reference field="4" count="0"/>
        </references>
      </pivotArea>
    </format>
    <format dxfId="235">
      <pivotArea field="0" type="button" dataOnly="0" labelOnly="1" outline="0" axis="axisRow" fieldPosition="0"/>
    </format>
    <format dxfId="234">
      <pivotArea field="1" type="button" dataOnly="0" labelOnly="1" outline="0" axis="axisRow" fieldPosition="1"/>
    </format>
    <format dxfId="233">
      <pivotArea field="20" type="button" dataOnly="0" labelOnly="1" outline="0" axis="axisRow" fieldPosition="2"/>
    </format>
  </formats>
  <pivotTableStyleInfo name="PivotStyleLight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77A785-162A-4D77-8456-6912B589B8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3">
    <pivotField axis="axisRow" showAll="0">
      <items count="10">
        <item x="6"/>
        <item x="2"/>
        <item x="0"/>
        <item x="1"/>
        <item x="4"/>
        <item x="5"/>
        <item x="7"/>
        <item x="3"/>
        <item x="8"/>
        <item t="default"/>
      </items>
    </pivotField>
    <pivotField dataField="1" showAll="0"/>
    <pivotField showAll="0"/>
  </pivotFields>
  <rowFields count="1">
    <field x="0"/>
  </rowFields>
  <rowItems count="10">
    <i>
      <x/>
    </i>
    <i>
      <x v="1"/>
    </i>
    <i>
      <x v="2"/>
    </i>
    <i>
      <x v="3"/>
    </i>
    <i>
      <x v="4"/>
    </i>
    <i>
      <x v="5"/>
    </i>
    <i>
      <x v="6"/>
    </i>
    <i>
      <x v="7"/>
    </i>
    <i>
      <x v="8"/>
    </i>
    <i t="grand">
      <x/>
    </i>
  </rowItems>
  <colItems count="1">
    <i/>
  </colItems>
  <dataFields count="1">
    <dataField name="Count of Term"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DA9A7C-437E-4327-853A-B12CF3EA139A}" name="PivotTable1" cacheId="1"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A3:H145" firstHeaderRow="2" firstDataRow="2" firstDataCol="2"/>
  <pivotFields count="2">
    <pivotField axis="axisRow" compact="0" outline="0" showAll="0" defaultSubtotal="0">
      <items count="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s>
    </pivotField>
    <pivotField axis="axisRow" compact="0" outline="0" showAll="0">
      <items count="333">
        <item m="1" x="234"/>
        <item x="17"/>
        <item x="33"/>
        <item m="1" x="242"/>
        <item x="43"/>
        <item m="1" x="248"/>
        <item x="85"/>
        <item x="86"/>
        <item m="1" x="267"/>
        <item x="90"/>
        <item m="1" x="269"/>
        <item m="1" x="268"/>
        <item m="1" x="274"/>
        <item m="1" x="273"/>
        <item m="1" x="280"/>
        <item m="1" x="281"/>
        <item m="1" x="283"/>
        <item x="134"/>
        <item m="1" x="287"/>
        <item h="1" x="159"/>
        <item x="103"/>
        <item x="2"/>
        <item m="1" x="300"/>
        <item m="1" x="301"/>
        <item x="48"/>
        <item x="49"/>
        <item m="1" x="309"/>
        <item x="186"/>
        <item m="1" x="314"/>
        <item m="1" x="316"/>
        <item m="1" x="323"/>
        <item x="196"/>
        <item x="96"/>
        <item m="1" x="231"/>
        <item m="1" x="233"/>
        <item x="79"/>
        <item m="1" x="275"/>
        <item m="1" x="278"/>
        <item x="5"/>
        <item x="114"/>
        <item x="118"/>
        <item m="1" x="282"/>
        <item x="9"/>
        <item h="1" x="12"/>
        <item x="15"/>
        <item m="1" x="235"/>
        <item m="1" x="237"/>
        <item x="22"/>
        <item m="1" x="238"/>
        <item x="24"/>
        <item m="1" x="239"/>
        <item m="1" x="240"/>
        <item m="1" x="241"/>
        <item x="27"/>
        <item x="32"/>
        <item h="1" x="28"/>
        <item m="1" x="243"/>
        <item m="1" x="244"/>
        <item m="1" x="245"/>
        <item m="1" x="246"/>
        <item m="1" x="247"/>
        <item m="1" x="249"/>
        <item m="1" x="250"/>
        <item x="46"/>
        <item m="1" x="251"/>
        <item h="1" x="50"/>
        <item x="54"/>
        <item m="1" x="253"/>
        <item h="1" x="59"/>
        <item x="61"/>
        <item m="1" x="255"/>
        <item x="69"/>
        <item m="1" x="259"/>
        <item x="200"/>
        <item x="19"/>
        <item x="78"/>
        <item x="137"/>
        <item m="1" x="295"/>
        <item x="70"/>
        <item x="71"/>
        <item m="1" x="264"/>
        <item m="1" x="265"/>
        <item m="1" x="263"/>
        <item x="83"/>
        <item h="1" x="172"/>
        <item m="1" x="266"/>
        <item x="91"/>
        <item x="93"/>
        <item m="1" x="270"/>
        <item x="95"/>
        <item x="101"/>
        <item x="102"/>
        <item x="40"/>
        <item x="76"/>
        <item m="1" x="276"/>
        <item m="1" x="277"/>
        <item m="1" x="271"/>
        <item x="120"/>
        <item x="122"/>
        <item x="173"/>
        <item m="1" x="272"/>
        <item m="1" x="284"/>
        <item x="129"/>
        <item m="1" x="285"/>
        <item m="1" x="256"/>
        <item x="132"/>
        <item h="1" x="131"/>
        <item h="1" x="136"/>
        <item x="36"/>
        <item m="1" x="302"/>
        <item x="139"/>
        <item x="213"/>
        <item x="7"/>
        <item x="64"/>
        <item m="1" x="258"/>
        <item x="66"/>
        <item m="1" x="257"/>
        <item m="1" x="324"/>
        <item x="217"/>
        <item x="18"/>
        <item m="1" x="252"/>
        <item x="205"/>
        <item x="31"/>
        <item h="1" x="121"/>
        <item x="140"/>
        <item x="142"/>
        <item x="143"/>
        <item m="1" x="288"/>
        <item m="1" x="289"/>
        <item x="146"/>
        <item m="1" x="290"/>
        <item m="1" x="291"/>
        <item m="1" x="292"/>
        <item m="1" x="293"/>
        <item x="151"/>
        <item x="152"/>
        <item m="1" x="294"/>
        <item h="1" x="157"/>
        <item x="113"/>
        <item x="158"/>
        <item x="160"/>
        <item x="161"/>
        <item x="163"/>
        <item h="1" x="11"/>
        <item m="1" x="303"/>
        <item x="171"/>
        <item m="1" x="306"/>
        <item m="1" x="308"/>
        <item x="141"/>
        <item h="1" x="192"/>
        <item x="193"/>
        <item x="195"/>
        <item m="1" x="315"/>
        <item m="1" x="260"/>
        <item x="73"/>
        <item x="88"/>
        <item x="198"/>
        <item x="212"/>
        <item m="1" x="322"/>
        <item x="202"/>
        <item m="1" x="317"/>
        <item x="8"/>
        <item x="109"/>
        <item x="185"/>
        <item m="1" x="330"/>
        <item x="41"/>
        <item x="53"/>
        <item x="52"/>
        <item x="55"/>
        <item m="1" x="254"/>
        <item x="117"/>
        <item m="1" x="279"/>
        <item x="125"/>
        <item m="1" x="236"/>
        <item x="138"/>
        <item m="1" x="296"/>
        <item m="1" x="262"/>
        <item m="1" x="318"/>
        <item m="1" x="261"/>
        <item x="74"/>
        <item x="110"/>
        <item x="111"/>
        <item m="1" x="328"/>
        <item x="207"/>
        <item m="1" x="298"/>
        <item x="164"/>
        <item m="1" x="299"/>
        <item x="165"/>
        <item x="175"/>
        <item x="176"/>
        <item m="1" x="304"/>
        <item x="177"/>
        <item x="179"/>
        <item m="1" x="305"/>
        <item h="1" x="181"/>
        <item m="1" x="307"/>
        <item x="206"/>
        <item m="1" x="310"/>
        <item m="1" x="312"/>
        <item m="1" x="313"/>
        <item m="1" x="297"/>
        <item x="174"/>
        <item x="201"/>
        <item x="92"/>
        <item x="14"/>
        <item x="226"/>
        <item x="208"/>
        <item m="1" x="319"/>
        <item m="1" x="320"/>
        <item m="1" x="321"/>
        <item x="107"/>
        <item x="108"/>
        <item x="105"/>
        <item m="1" x="311"/>
        <item m="1" x="232"/>
        <item x="215"/>
        <item x="216"/>
        <item m="1" x="325"/>
        <item x="221"/>
        <item m="1" x="327"/>
        <item m="1" x="326"/>
        <item x="224"/>
        <item m="1" x="329"/>
        <item x="1"/>
        <item x="104"/>
        <item x="30"/>
        <item x="68"/>
        <item x="227"/>
        <item x="62"/>
        <item m="1" x="331"/>
        <item x="229"/>
        <item x="57"/>
        <item x="133"/>
        <item m="1" x="286"/>
        <item x="3"/>
        <item h="1" m="1" x="230"/>
        <item h="1" x="0"/>
        <item h="1" x="4"/>
        <item h="1" x="6"/>
        <item h="1" x="10"/>
        <item h="1" x="13"/>
        <item h="1" x="16"/>
        <item h="1" x="20"/>
        <item h="1" x="21"/>
        <item h="1" x="23"/>
        <item h="1" x="25"/>
        <item h="1" x="26"/>
        <item h="1" x="29"/>
        <item h="1" x="34"/>
        <item h="1" x="35"/>
        <item h="1" x="37"/>
        <item h="1" x="38"/>
        <item h="1" x="39"/>
        <item h="1" x="42"/>
        <item h="1" x="44"/>
        <item h="1" x="45"/>
        <item h="1" x="47"/>
        <item h="1" x="51"/>
        <item h="1" x="56"/>
        <item h="1" x="58"/>
        <item h="1" x="60"/>
        <item h="1" x="63"/>
        <item h="1" x="65"/>
        <item h="1" x="67"/>
        <item h="1" x="72"/>
        <item h="1" x="75"/>
        <item h="1" x="77"/>
        <item h="1" x="80"/>
        <item h="1" x="81"/>
        <item h="1" x="82"/>
        <item h="1" x="84"/>
        <item h="1" x="87"/>
        <item h="1" x="89"/>
        <item h="1" x="94"/>
        <item h="1" x="97"/>
        <item h="1" x="98"/>
        <item h="1" x="99"/>
        <item h="1" x="100"/>
        <item h="1" x="106"/>
        <item h="1" x="112"/>
        <item h="1" x="115"/>
        <item h="1" x="116"/>
        <item h="1" x="119"/>
        <item h="1" x="123"/>
        <item h="1" x="124"/>
        <item h="1" x="126"/>
        <item h="1" x="127"/>
        <item h="1" x="128"/>
        <item h="1" x="130"/>
        <item h="1" x="135"/>
        <item h="1" x="144"/>
        <item h="1" x="145"/>
        <item h="1" x="147"/>
        <item h="1" x="148"/>
        <item h="1" x="149"/>
        <item h="1" x="150"/>
        <item h="1" x="153"/>
        <item h="1" x="154"/>
        <item h="1" x="155"/>
        <item h="1" x="156"/>
        <item h="1" x="162"/>
        <item h="1" x="166"/>
        <item h="1" x="167"/>
        <item h="1" x="168"/>
        <item h="1" x="169"/>
        <item h="1" x="170"/>
        <item h="1" x="178"/>
        <item h="1" x="180"/>
        <item h="1" x="182"/>
        <item h="1" x="183"/>
        <item h="1" x="184"/>
        <item h="1" x="187"/>
        <item h="1" x="188"/>
        <item h="1" x="189"/>
        <item h="1" x="190"/>
        <item h="1" x="191"/>
        <item h="1" x="194"/>
        <item h="1" x="197"/>
        <item h="1" x="199"/>
        <item h="1" x="203"/>
        <item h="1" x="204"/>
        <item h="1" x="209"/>
        <item h="1" x="210"/>
        <item h="1" x="211"/>
        <item h="1" x="214"/>
        <item h="1" x="218"/>
        <item h="1" x="219"/>
        <item h="1" x="220"/>
        <item h="1" x="222"/>
        <item h="1" x="223"/>
        <item h="1" x="225"/>
        <item h="1" x="228"/>
        <item t="default"/>
      </items>
    </pivotField>
  </pivotFields>
  <rowFields count="2">
    <field x="0"/>
    <field x="1"/>
  </rowFields>
  <rowItems count="141">
    <i>
      <x v="6"/>
      <x v="223"/>
    </i>
    <i>
      <x v="8"/>
      <x v="21"/>
    </i>
    <i>
      <x v="9"/>
      <x v="234"/>
    </i>
    <i>
      <x v="13"/>
      <x v="38"/>
    </i>
    <i>
      <x v="15"/>
      <x v="112"/>
    </i>
    <i>
      <x v="16"/>
      <x v="112"/>
    </i>
    <i>
      <x v="23"/>
      <x v="161"/>
    </i>
    <i>
      <x v="24"/>
      <x v="42"/>
    </i>
    <i>
      <x v="29"/>
      <x v="204"/>
    </i>
    <i>
      <x v="30"/>
      <x v="44"/>
    </i>
    <i>
      <x v="33"/>
      <x v="1"/>
    </i>
    <i>
      <x v="35"/>
      <x v="119"/>
    </i>
    <i>
      <x v="39"/>
      <x v="74"/>
    </i>
    <i>
      <x v="42"/>
      <x v="47"/>
    </i>
    <i>
      <x v="45"/>
      <x v="49"/>
    </i>
    <i>
      <x v="47"/>
      <x v="53"/>
    </i>
    <i>
      <x v="51"/>
      <x v="225"/>
    </i>
    <i>
      <x v="52"/>
      <x v="122"/>
    </i>
    <i>
      <x v="53"/>
      <x v="54"/>
    </i>
    <i>
      <x v="54"/>
      <x v="2"/>
    </i>
    <i>
      <x v="57"/>
      <x v="108"/>
    </i>
    <i>
      <x v="60"/>
      <x v="92"/>
    </i>
    <i>
      <x v="61"/>
      <x v="165"/>
    </i>
    <i>
      <x v="64"/>
      <x v="4"/>
    </i>
    <i>
      <x v="67"/>
      <x v="63"/>
    </i>
    <i>
      <x v="68"/>
      <x v="24"/>
    </i>
    <i>
      <x v="69"/>
      <x v="25"/>
    </i>
    <i>
      <x v="72"/>
      <x v="66"/>
    </i>
    <i r="1">
      <x v="166"/>
    </i>
    <i r="1">
      <x v="167"/>
    </i>
    <i>
      <x v="73"/>
      <x v="168"/>
    </i>
    <i>
      <x v="76"/>
      <x v="231"/>
    </i>
    <i>
      <x v="77"/>
      <x v="66"/>
    </i>
    <i>
      <x v="80"/>
      <x v="69"/>
    </i>
    <i>
      <x v="81"/>
      <x v="228"/>
    </i>
    <i>
      <x v="84"/>
      <x v="113"/>
    </i>
    <i>
      <x v="85"/>
      <x v="115"/>
    </i>
    <i r="1">
      <x v="228"/>
    </i>
    <i>
      <x v="86"/>
      <x v="226"/>
    </i>
    <i>
      <x v="87"/>
      <x v="71"/>
    </i>
    <i>
      <x v="89"/>
      <x v="78"/>
    </i>
    <i>
      <x v="90"/>
      <x v="79"/>
    </i>
    <i>
      <x v="91"/>
      <x v="154"/>
    </i>
    <i>
      <x v="92"/>
      <x v="179"/>
    </i>
    <i>
      <x v="93"/>
      <x v="75"/>
    </i>
    <i r="1">
      <x v="93"/>
    </i>
    <i>
      <x v="94"/>
      <x v="35"/>
    </i>
    <i>
      <x v="96"/>
      <x v="83"/>
    </i>
    <i>
      <x v="99"/>
      <x v="6"/>
    </i>
    <i>
      <x v="100"/>
      <x v="7"/>
    </i>
    <i>
      <x v="103"/>
      <x v="155"/>
    </i>
    <i>
      <x v="104"/>
      <x v="9"/>
    </i>
    <i>
      <x v="105"/>
      <x v="86"/>
    </i>
    <i>
      <x v="106"/>
      <x v="203"/>
    </i>
    <i>
      <x v="107"/>
      <x v="87"/>
    </i>
    <i>
      <x v="108"/>
      <x v="89"/>
    </i>
    <i>
      <x v="110"/>
      <x v="32"/>
    </i>
    <i>
      <x v="120"/>
      <x v="90"/>
    </i>
    <i>
      <x v="121"/>
      <x v="91"/>
    </i>
    <i>
      <x v="122"/>
      <x v="20"/>
    </i>
    <i>
      <x v="124"/>
      <x v="224"/>
    </i>
    <i>
      <x v="126"/>
      <x v="212"/>
    </i>
    <i>
      <x v="129"/>
      <x v="210"/>
    </i>
    <i>
      <x v="130"/>
      <x v="211"/>
    </i>
    <i>
      <x v="132"/>
      <x v="162"/>
    </i>
    <i>
      <x v="135"/>
      <x v="180"/>
    </i>
    <i r="1">
      <x v="181"/>
    </i>
    <i>
      <x v="137"/>
      <x v="138"/>
    </i>
    <i>
      <x v="138"/>
      <x v="39"/>
    </i>
    <i>
      <x v="142"/>
      <x v="170"/>
    </i>
    <i>
      <x v="143"/>
      <x v="40"/>
    </i>
    <i>
      <x v="148"/>
      <x v="97"/>
    </i>
    <i>
      <x v="150"/>
      <x v="98"/>
    </i>
    <i>
      <x v="152"/>
      <x v="172"/>
    </i>
    <i>
      <x v="158"/>
      <x v="102"/>
    </i>
    <i>
      <x v="162"/>
      <x v="105"/>
    </i>
    <i>
      <x v="164"/>
      <x v="232"/>
    </i>
    <i>
      <x v="165"/>
      <x v="17"/>
    </i>
    <i>
      <x v="167"/>
      <x v="108"/>
    </i>
    <i>
      <x v="170"/>
      <x v="76"/>
    </i>
    <i r="1">
      <x v="174"/>
    </i>
    <i>
      <x v="171"/>
      <x v="110"/>
    </i>
    <i>
      <x v="173"/>
      <x v="32"/>
    </i>
    <i>
      <x v="179"/>
      <x v="124"/>
    </i>
    <i>
      <x v="180"/>
      <x v="148"/>
    </i>
    <i>
      <x v="181"/>
      <x v="125"/>
    </i>
    <i>
      <x v="182"/>
      <x v="126"/>
    </i>
    <i>
      <x v="183"/>
      <x v="204"/>
    </i>
    <i>
      <x v="187"/>
      <x v="129"/>
    </i>
    <i>
      <x v="193"/>
      <x v="134"/>
    </i>
    <i>
      <x v="194"/>
      <x v="135"/>
    </i>
    <i>
      <x v="201"/>
      <x v="139"/>
    </i>
    <i>
      <x v="204"/>
      <x v="140"/>
    </i>
    <i>
      <x v="205"/>
      <x v="141"/>
    </i>
    <i>
      <x v="209"/>
      <x v="142"/>
    </i>
    <i>
      <x v="210"/>
      <x v="185"/>
    </i>
    <i>
      <x v="212"/>
      <x v="187"/>
    </i>
    <i>
      <x v="219"/>
      <x v="145"/>
    </i>
    <i>
      <x v="221"/>
      <x v="99"/>
    </i>
    <i>
      <x v="223"/>
      <x v="185"/>
    </i>
    <i r="1">
      <x v="187"/>
    </i>
    <i r="1">
      <x v="188"/>
    </i>
    <i r="1">
      <x v="189"/>
    </i>
    <i r="1">
      <x v="201"/>
    </i>
    <i>
      <x v="225"/>
      <x v="191"/>
    </i>
    <i r="1">
      <x v="201"/>
    </i>
    <i>
      <x v="226"/>
      <x v="192"/>
    </i>
    <i>
      <x v="233"/>
      <x v="163"/>
    </i>
    <i>
      <x v="234"/>
      <x v="27"/>
    </i>
    <i>
      <x v="241"/>
      <x v="150"/>
    </i>
    <i>
      <x v="244"/>
      <x v="187"/>
    </i>
    <i>
      <x v="246"/>
      <x v="201"/>
    </i>
    <i>
      <x v="247"/>
      <x v="151"/>
    </i>
    <i>
      <x v="248"/>
      <x v="231"/>
    </i>
    <i>
      <x v="249"/>
      <x v="31"/>
    </i>
    <i>
      <x v="253"/>
      <x v="155"/>
    </i>
    <i>
      <x v="255"/>
      <x v="156"/>
    </i>
    <i>
      <x v="257"/>
      <x v="73"/>
    </i>
    <i>
      <x v="258"/>
      <x v="73"/>
    </i>
    <i>
      <x v="260"/>
      <x v="202"/>
    </i>
    <i>
      <x v="261"/>
      <x v="159"/>
    </i>
    <i>
      <x v="268"/>
      <x v="121"/>
    </i>
    <i>
      <x v="269"/>
      <x v="196"/>
    </i>
    <i>
      <x v="270"/>
      <x v="183"/>
    </i>
    <i>
      <x v="273"/>
      <x v="206"/>
    </i>
    <i>
      <x v="276"/>
      <x v="157"/>
    </i>
    <i>
      <x v="278"/>
      <x v="111"/>
    </i>
    <i>
      <x v="285"/>
      <x v="215"/>
    </i>
    <i r="1">
      <x v="216"/>
    </i>
    <i>
      <x v="286"/>
      <x v="215"/>
    </i>
    <i r="1">
      <x v="216"/>
    </i>
    <i>
      <x v="287"/>
      <x v="118"/>
    </i>
    <i>
      <x v="293"/>
      <x v="218"/>
    </i>
    <i>
      <x v="295"/>
      <x v="221"/>
    </i>
    <i>
      <x v="297"/>
      <x v="32"/>
    </i>
    <i>
      <x v="298"/>
      <x v="151"/>
    </i>
    <i>
      <x v="303"/>
      <x v="205"/>
    </i>
    <i r="1">
      <x v="227"/>
    </i>
    <i>
      <x v="306"/>
      <x v="230"/>
    </i>
    <i>
      <x v="307"/>
      <x v="99"/>
    </i>
    <i t="grand">
      <x/>
    </i>
  </rowItems>
  <colItems count="1">
    <i/>
  </colItems>
  <formats count="233">
    <format dxfId="232">
      <pivotArea type="all" dataOnly="0" outline="0" fieldPosition="0"/>
    </format>
    <format dxfId="231">
      <pivotArea outline="0" collapsedLevelsAreSubtotals="1" fieldPosition="0"/>
    </format>
    <format dxfId="230">
      <pivotArea field="0" type="button" dataOnly="0" labelOnly="1" outline="0" axis="axisRow" fieldPosition="0"/>
    </format>
    <format dxfId="22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28">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27">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26">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25">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24">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23">
      <pivotArea dataOnly="0" labelOnly="1" fieldPosition="0">
        <references count="1">
          <reference field="0" count="8">
            <x v="300"/>
            <x v="301"/>
            <x v="302"/>
            <x v="303"/>
            <x v="304"/>
            <x v="305"/>
            <x v="306"/>
            <x v="307"/>
          </reference>
        </references>
      </pivotArea>
    </format>
    <format dxfId="222">
      <pivotArea dataOnly="0" labelOnly="1" grandRow="1" outline="0" fieldPosition="0"/>
    </format>
    <format dxfId="221">
      <pivotArea dataOnly="0" labelOnly="1" outline="0" axis="axisValues" fieldPosition="0"/>
    </format>
    <format dxfId="220">
      <pivotArea type="all" dataOnly="0" outline="0" fieldPosition="0"/>
    </format>
    <format dxfId="219">
      <pivotArea field="0" type="button" dataOnly="0" labelOnly="1" outline="0" axis="axisRow" fieldPosition="0"/>
    </format>
    <format dxfId="218">
      <pivotArea dataOnly="0" labelOnly="1" fieldPosition="0">
        <references count="1">
          <reference field="0" count="50">
            <x v="6"/>
            <x v="8"/>
            <x v="9"/>
            <x v="11"/>
            <x v="13"/>
            <x v="14"/>
            <x v="15"/>
            <x v="16"/>
            <x v="23"/>
            <x v="24"/>
            <x v="25"/>
            <x v="26"/>
            <x v="27"/>
            <x v="28"/>
            <x v="29"/>
            <x v="30"/>
            <x v="31"/>
            <x v="33"/>
            <x v="35"/>
            <x v="39"/>
            <x v="41"/>
            <x v="42"/>
            <x v="45"/>
            <x v="46"/>
            <x v="47"/>
            <x v="48"/>
            <x v="50"/>
            <x v="51"/>
            <x v="52"/>
            <x v="53"/>
            <x v="54"/>
            <x v="55"/>
            <x v="56"/>
            <x v="57"/>
            <x v="58"/>
            <x v="59"/>
            <x v="60"/>
            <x v="61"/>
            <x v="63"/>
            <x v="64"/>
            <x v="66"/>
            <x v="67"/>
            <x v="68"/>
            <x v="69"/>
            <x v="70"/>
            <x v="71"/>
            <x v="72"/>
            <x v="73"/>
            <x v="75"/>
            <x v="76"/>
          </reference>
        </references>
      </pivotArea>
    </format>
    <format dxfId="217">
      <pivotArea dataOnly="0" labelOnly="1" fieldPosition="0">
        <references count="1">
          <reference field="0" count="50">
            <x v="77"/>
            <x v="78"/>
            <x v="79"/>
            <x v="80"/>
            <x v="81"/>
            <x v="83"/>
            <x v="84"/>
            <x v="85"/>
            <x v="86"/>
            <x v="87"/>
            <x v="89"/>
            <x v="90"/>
            <x v="91"/>
            <x v="92"/>
            <x v="93"/>
            <x v="94"/>
            <x v="96"/>
            <x v="98"/>
            <x v="99"/>
            <x v="100"/>
            <x v="101"/>
            <x v="102"/>
            <x v="103"/>
            <x v="104"/>
            <x v="105"/>
            <x v="106"/>
            <x v="107"/>
            <x v="108"/>
            <x v="110"/>
            <x v="115"/>
            <x v="116"/>
            <x v="119"/>
            <x v="120"/>
            <x v="121"/>
            <x v="122"/>
            <x v="124"/>
            <x v="126"/>
            <x v="127"/>
            <x v="129"/>
            <x v="130"/>
            <x v="132"/>
            <x v="135"/>
            <x v="136"/>
            <x v="137"/>
            <x v="138"/>
            <x v="140"/>
            <x v="141"/>
            <x v="142"/>
            <x v="143"/>
            <x v="148"/>
          </reference>
        </references>
      </pivotArea>
    </format>
    <format dxfId="216">
      <pivotArea dataOnly="0" labelOnly="1" fieldPosition="0">
        <references count="1">
          <reference field="0" count="50">
            <x v="149"/>
            <x v="150"/>
            <x v="151"/>
            <x v="152"/>
            <x v="153"/>
            <x v="154"/>
            <x v="157"/>
            <x v="158"/>
            <x v="159"/>
            <x v="160"/>
            <x v="161"/>
            <x v="162"/>
            <x v="163"/>
            <x v="164"/>
            <x v="165"/>
            <x v="166"/>
            <x v="167"/>
            <x v="168"/>
            <x v="169"/>
            <x v="170"/>
            <x v="171"/>
            <x v="173"/>
            <x v="178"/>
            <x v="179"/>
            <x v="180"/>
            <x v="181"/>
            <x v="182"/>
            <x v="183"/>
            <x v="184"/>
            <x v="185"/>
            <x v="187"/>
            <x v="188"/>
            <x v="189"/>
            <x v="191"/>
            <x v="192"/>
            <x v="193"/>
            <x v="194"/>
            <x v="195"/>
            <x v="196"/>
            <x v="197"/>
            <x v="198"/>
            <x v="201"/>
            <x v="203"/>
            <x v="204"/>
            <x v="205"/>
            <x v="208"/>
            <x v="209"/>
            <x v="210"/>
            <x v="212"/>
            <x v="213"/>
          </reference>
        </references>
      </pivotArea>
    </format>
    <format dxfId="215">
      <pivotArea dataOnly="0" labelOnly="1" fieldPosition="0">
        <references count="1">
          <reference field="0" count="50">
            <x v="214"/>
            <x v="215"/>
            <x v="216"/>
            <x v="218"/>
            <x v="219"/>
            <x v="220"/>
            <x v="221"/>
            <x v="223"/>
            <x v="225"/>
            <x v="226"/>
            <x v="227"/>
            <x v="228"/>
            <x v="229"/>
            <x v="230"/>
            <x v="231"/>
            <x v="232"/>
            <x v="233"/>
            <x v="234"/>
            <x v="235"/>
            <x v="238"/>
            <x v="239"/>
            <x v="241"/>
            <x v="242"/>
            <x v="244"/>
            <x v="246"/>
            <x v="247"/>
            <x v="248"/>
            <x v="249"/>
            <x v="252"/>
            <x v="253"/>
            <x v="255"/>
            <x v="256"/>
            <x v="257"/>
            <x v="258"/>
            <x v="260"/>
            <x v="261"/>
            <x v="262"/>
            <x v="264"/>
            <x v="268"/>
            <x v="269"/>
            <x v="270"/>
            <x v="273"/>
            <x v="274"/>
            <x v="275"/>
            <x v="276"/>
            <x v="278"/>
            <x v="281"/>
            <x v="282"/>
            <x v="283"/>
            <x v="285"/>
          </reference>
        </references>
      </pivotArea>
    </format>
    <format dxfId="214">
      <pivotArea dataOnly="0" labelOnly="1" fieldPosition="0">
        <references count="1">
          <reference field="0" count="12">
            <x v="286"/>
            <x v="287"/>
            <x v="292"/>
            <x v="293"/>
            <x v="294"/>
            <x v="295"/>
            <x v="297"/>
            <x v="298"/>
            <x v="302"/>
            <x v="303"/>
            <x v="306"/>
            <x v="307"/>
          </reference>
        </references>
      </pivotArea>
    </format>
    <format dxfId="213">
      <pivotArea dataOnly="0" labelOnly="1" grandRow="1" outline="0" fieldPosition="0"/>
    </format>
    <format dxfId="212">
      <pivotArea dataOnly="0" labelOnly="1" fieldPosition="0">
        <references count="2">
          <reference field="0" count="1" selected="0">
            <x v="6"/>
          </reference>
          <reference field="1" count="1">
            <x v="223"/>
          </reference>
        </references>
      </pivotArea>
    </format>
    <format dxfId="211">
      <pivotArea dataOnly="0" labelOnly="1" fieldPosition="0">
        <references count="2">
          <reference field="0" count="1" selected="0">
            <x v="8"/>
          </reference>
          <reference field="1" count="1">
            <x v="21"/>
          </reference>
        </references>
      </pivotArea>
    </format>
    <format dxfId="210">
      <pivotArea dataOnly="0" labelOnly="1" fieldPosition="0">
        <references count="2">
          <reference field="0" count="1" selected="0">
            <x v="9"/>
          </reference>
          <reference field="1" count="1">
            <x v="234"/>
          </reference>
        </references>
      </pivotArea>
    </format>
    <format dxfId="209">
      <pivotArea dataOnly="0" labelOnly="1" fieldPosition="0">
        <references count="2">
          <reference field="0" count="1" selected="0">
            <x v="11"/>
          </reference>
          <reference field="1" count="1">
            <x v="33"/>
          </reference>
        </references>
      </pivotArea>
    </format>
    <format dxfId="208">
      <pivotArea dataOnly="0" labelOnly="1" fieldPosition="0">
        <references count="2">
          <reference field="0" count="1" selected="0">
            <x v="13"/>
          </reference>
          <reference field="1" count="1">
            <x v="38"/>
          </reference>
        </references>
      </pivotArea>
    </format>
    <format dxfId="207">
      <pivotArea dataOnly="0" labelOnly="1" fieldPosition="0">
        <references count="2">
          <reference field="0" count="1" selected="0">
            <x v="14"/>
          </reference>
          <reference field="1" count="1">
            <x v="214"/>
          </reference>
        </references>
      </pivotArea>
    </format>
    <format dxfId="206">
      <pivotArea dataOnly="0" labelOnly="1" fieldPosition="0">
        <references count="2">
          <reference field="0" count="1" selected="0">
            <x v="15"/>
          </reference>
          <reference field="1" count="1">
            <x v="112"/>
          </reference>
        </references>
      </pivotArea>
    </format>
    <format dxfId="205">
      <pivotArea dataOnly="0" labelOnly="1" fieldPosition="0">
        <references count="2">
          <reference field="0" count="1" selected="0">
            <x v="16"/>
          </reference>
          <reference field="1" count="1">
            <x v="112"/>
          </reference>
        </references>
      </pivotArea>
    </format>
    <format dxfId="204">
      <pivotArea dataOnly="0" labelOnly="1" fieldPosition="0">
        <references count="2">
          <reference field="0" count="1" selected="0">
            <x v="23"/>
          </reference>
          <reference field="1" count="1">
            <x v="161"/>
          </reference>
        </references>
      </pivotArea>
    </format>
    <format dxfId="203">
      <pivotArea dataOnly="0" labelOnly="1" fieldPosition="0">
        <references count="2">
          <reference field="0" count="1" selected="0">
            <x v="24"/>
          </reference>
          <reference field="1" count="1">
            <x v="42"/>
          </reference>
        </references>
      </pivotArea>
    </format>
    <format dxfId="202">
      <pivotArea dataOnly="0" labelOnly="1" fieldPosition="0">
        <references count="2">
          <reference field="0" count="1" selected="0">
            <x v="25"/>
          </reference>
          <reference field="1" count="1">
            <x v="34"/>
          </reference>
        </references>
      </pivotArea>
    </format>
    <format dxfId="201">
      <pivotArea dataOnly="0" labelOnly="1" fieldPosition="0">
        <references count="2">
          <reference field="0" count="1" selected="0">
            <x v="26"/>
          </reference>
          <reference field="1" count="1">
            <x v="143"/>
          </reference>
        </references>
      </pivotArea>
    </format>
    <format dxfId="200">
      <pivotArea dataOnly="0" labelOnly="1" fieldPosition="0">
        <references count="2">
          <reference field="0" count="1" selected="0">
            <x v="27"/>
          </reference>
          <reference field="1" count="1">
            <x v="43"/>
          </reference>
        </references>
      </pivotArea>
    </format>
    <format dxfId="199">
      <pivotArea dataOnly="0" labelOnly="1" fieldPosition="0">
        <references count="2">
          <reference field="0" count="1" selected="0">
            <x v="28"/>
          </reference>
          <reference field="1" count="1">
            <x v="0"/>
          </reference>
        </references>
      </pivotArea>
    </format>
    <format dxfId="198">
      <pivotArea dataOnly="0" labelOnly="1" fieldPosition="0">
        <references count="2">
          <reference field="0" count="1" selected="0">
            <x v="29"/>
          </reference>
          <reference field="1" count="1">
            <x v="204"/>
          </reference>
        </references>
      </pivotArea>
    </format>
    <format dxfId="197">
      <pivotArea dataOnly="0" labelOnly="1" fieldPosition="0">
        <references count="2">
          <reference field="0" count="1" selected="0">
            <x v="30"/>
          </reference>
          <reference field="1" count="1">
            <x v="44"/>
          </reference>
        </references>
      </pivotArea>
    </format>
    <format dxfId="196">
      <pivotArea dataOnly="0" labelOnly="1" fieldPosition="0">
        <references count="2">
          <reference field="0" count="1" selected="0">
            <x v="31"/>
          </reference>
          <reference field="1" count="1">
            <x v="45"/>
          </reference>
        </references>
      </pivotArea>
    </format>
    <format dxfId="195">
      <pivotArea dataOnly="0" labelOnly="1" fieldPosition="0">
        <references count="2">
          <reference field="0" count="1" selected="0">
            <x v="33"/>
          </reference>
          <reference field="1" count="1">
            <x v="1"/>
          </reference>
        </references>
      </pivotArea>
    </format>
    <format dxfId="194">
      <pivotArea dataOnly="0" labelOnly="1" fieldPosition="0">
        <references count="2">
          <reference field="0" count="1" selected="0">
            <x v="35"/>
          </reference>
          <reference field="1" count="1">
            <x v="119"/>
          </reference>
        </references>
      </pivotArea>
    </format>
    <format dxfId="193">
      <pivotArea dataOnly="0" labelOnly="1" fieldPosition="0">
        <references count="2">
          <reference field="0" count="1" selected="0">
            <x v="39"/>
          </reference>
          <reference field="1" count="2">
            <x v="74"/>
            <x v="173"/>
          </reference>
        </references>
      </pivotArea>
    </format>
    <format dxfId="192">
      <pivotArea dataOnly="0" labelOnly="1" fieldPosition="0">
        <references count="2">
          <reference field="0" count="1" selected="0">
            <x v="41"/>
          </reference>
          <reference field="1" count="1">
            <x v="46"/>
          </reference>
        </references>
      </pivotArea>
    </format>
    <format dxfId="191">
      <pivotArea dataOnly="0" labelOnly="1" fieldPosition="0">
        <references count="2">
          <reference field="0" count="1" selected="0">
            <x v="42"/>
          </reference>
          <reference field="1" count="2">
            <x v="47"/>
            <x v="48"/>
          </reference>
        </references>
      </pivotArea>
    </format>
    <format dxfId="190">
      <pivotArea dataOnly="0" labelOnly="1" fieldPosition="0">
        <references count="2">
          <reference field="0" count="1" selected="0">
            <x v="45"/>
          </reference>
          <reference field="1" count="2">
            <x v="49"/>
            <x v="50"/>
          </reference>
        </references>
      </pivotArea>
    </format>
    <format dxfId="189">
      <pivotArea dataOnly="0" labelOnly="1" fieldPosition="0">
        <references count="2">
          <reference field="0" count="1" selected="0">
            <x v="46"/>
          </reference>
          <reference field="1" count="1">
            <x v="51"/>
          </reference>
        </references>
      </pivotArea>
    </format>
    <format dxfId="188">
      <pivotArea dataOnly="0" labelOnly="1" fieldPosition="0">
        <references count="2">
          <reference field="0" count="1" selected="0">
            <x v="47"/>
          </reference>
          <reference field="1" count="1">
            <x v="53"/>
          </reference>
        </references>
      </pivotArea>
    </format>
    <format dxfId="187">
      <pivotArea dataOnly="0" labelOnly="1" fieldPosition="0">
        <references count="2">
          <reference field="0" count="1" selected="0">
            <x v="48"/>
          </reference>
          <reference field="1" count="1">
            <x v="55"/>
          </reference>
        </references>
      </pivotArea>
    </format>
    <format dxfId="186">
      <pivotArea dataOnly="0" labelOnly="1" fieldPosition="0">
        <references count="2">
          <reference field="0" count="1" selected="0">
            <x v="50"/>
          </reference>
          <reference field="1" count="1">
            <x v="52"/>
          </reference>
        </references>
      </pivotArea>
    </format>
    <format dxfId="185">
      <pivotArea dataOnly="0" labelOnly="1" fieldPosition="0">
        <references count="2">
          <reference field="0" count="1" selected="0">
            <x v="51"/>
          </reference>
          <reference field="1" count="1">
            <x v="225"/>
          </reference>
        </references>
      </pivotArea>
    </format>
    <format dxfId="184">
      <pivotArea dataOnly="0" labelOnly="1" fieldPosition="0">
        <references count="2">
          <reference field="0" count="1" selected="0">
            <x v="52"/>
          </reference>
          <reference field="1" count="1">
            <x v="122"/>
          </reference>
        </references>
      </pivotArea>
    </format>
    <format dxfId="183">
      <pivotArea dataOnly="0" labelOnly="1" fieldPosition="0">
        <references count="2">
          <reference field="0" count="1" selected="0">
            <x v="53"/>
          </reference>
          <reference field="1" count="1">
            <x v="54"/>
          </reference>
        </references>
      </pivotArea>
    </format>
    <format dxfId="182">
      <pivotArea dataOnly="0" labelOnly="1" fieldPosition="0">
        <references count="2">
          <reference field="0" count="1" selected="0">
            <x v="54"/>
          </reference>
          <reference field="1" count="2">
            <x v="2"/>
            <x v="3"/>
          </reference>
        </references>
      </pivotArea>
    </format>
    <format dxfId="181">
      <pivotArea dataOnly="0" labelOnly="1" fieldPosition="0">
        <references count="2">
          <reference field="0" count="1" selected="0">
            <x v="55"/>
          </reference>
          <reference field="1" count="1">
            <x v="55"/>
          </reference>
        </references>
      </pivotArea>
    </format>
    <format dxfId="180">
      <pivotArea dataOnly="0" labelOnly="1" fieldPosition="0">
        <references count="2">
          <reference field="0" count="1" selected="0">
            <x v="56"/>
          </reference>
          <reference field="1" count="1">
            <x v="56"/>
          </reference>
        </references>
      </pivotArea>
    </format>
    <format dxfId="179">
      <pivotArea dataOnly="0" labelOnly="1" fieldPosition="0">
        <references count="2">
          <reference field="0" count="1" selected="0">
            <x v="57"/>
          </reference>
          <reference field="1" count="3">
            <x v="57"/>
            <x v="58"/>
            <x v="108"/>
          </reference>
        </references>
      </pivotArea>
    </format>
    <format dxfId="178">
      <pivotArea dataOnly="0" labelOnly="1" fieldPosition="0">
        <references count="2">
          <reference field="0" count="1" selected="0">
            <x v="58"/>
          </reference>
          <reference field="1" count="1">
            <x v="59"/>
          </reference>
        </references>
      </pivotArea>
    </format>
    <format dxfId="177">
      <pivotArea dataOnly="0" labelOnly="1" fieldPosition="0">
        <references count="2">
          <reference field="0" count="1" selected="0">
            <x v="59"/>
          </reference>
          <reference field="1" count="1">
            <x v="60"/>
          </reference>
        </references>
      </pivotArea>
    </format>
    <format dxfId="176">
      <pivotArea dataOnly="0" labelOnly="1" fieldPosition="0">
        <references count="2">
          <reference field="0" count="1" selected="0">
            <x v="60"/>
          </reference>
          <reference field="1" count="1">
            <x v="92"/>
          </reference>
        </references>
      </pivotArea>
    </format>
    <format dxfId="175">
      <pivotArea dataOnly="0" labelOnly="1" fieldPosition="0">
        <references count="2">
          <reference field="0" count="1" selected="0">
            <x v="61"/>
          </reference>
          <reference field="1" count="1">
            <x v="165"/>
          </reference>
        </references>
      </pivotArea>
    </format>
    <format dxfId="174">
      <pivotArea dataOnly="0" labelOnly="1" fieldPosition="0">
        <references count="2">
          <reference field="0" count="1" selected="0">
            <x v="63"/>
          </reference>
          <reference field="1" count="1">
            <x v="5"/>
          </reference>
        </references>
      </pivotArea>
    </format>
    <format dxfId="173">
      <pivotArea dataOnly="0" labelOnly="1" fieldPosition="0">
        <references count="2">
          <reference field="0" count="1" selected="0">
            <x v="64"/>
          </reference>
          <reference field="1" count="1">
            <x v="4"/>
          </reference>
        </references>
      </pivotArea>
    </format>
    <format dxfId="172">
      <pivotArea dataOnly="0" labelOnly="1" fieldPosition="0">
        <references count="2">
          <reference field="0" count="1" selected="0">
            <x v="66"/>
          </reference>
          <reference field="1" count="1">
            <x v="61"/>
          </reference>
        </references>
      </pivotArea>
    </format>
    <format dxfId="171">
      <pivotArea dataOnly="0" labelOnly="1" fieldPosition="0">
        <references count="2">
          <reference field="0" count="1" selected="0">
            <x v="67"/>
          </reference>
          <reference field="1" count="3">
            <x v="62"/>
            <x v="63"/>
            <x v="64"/>
          </reference>
        </references>
      </pivotArea>
    </format>
    <format dxfId="170">
      <pivotArea dataOnly="0" labelOnly="1" fieldPosition="0">
        <references count="2">
          <reference field="0" count="1" selected="0">
            <x v="68"/>
          </reference>
          <reference field="1" count="1">
            <x v="24"/>
          </reference>
        </references>
      </pivotArea>
    </format>
    <format dxfId="169">
      <pivotArea dataOnly="0" labelOnly="1" fieldPosition="0">
        <references count="2">
          <reference field="0" count="1" selected="0">
            <x v="69"/>
          </reference>
          <reference field="1" count="1">
            <x v="25"/>
          </reference>
        </references>
      </pivotArea>
    </format>
    <format dxfId="168">
      <pivotArea dataOnly="0" labelOnly="1" fieldPosition="0">
        <references count="2">
          <reference field="0" count="1" selected="0">
            <x v="70"/>
          </reference>
          <reference field="1" count="1">
            <x v="65"/>
          </reference>
        </references>
      </pivotArea>
    </format>
    <format dxfId="167">
      <pivotArea dataOnly="0" labelOnly="1" fieldPosition="0">
        <references count="2">
          <reference field="0" count="1" selected="0">
            <x v="71"/>
          </reference>
          <reference field="1" count="1">
            <x v="120"/>
          </reference>
        </references>
      </pivotArea>
    </format>
    <format dxfId="166">
      <pivotArea dataOnly="0" labelOnly="1" fieldPosition="0">
        <references count="2">
          <reference field="0" count="1" selected="0">
            <x v="72"/>
          </reference>
          <reference field="1" count="3">
            <x v="66"/>
            <x v="166"/>
            <x v="167"/>
          </reference>
        </references>
      </pivotArea>
    </format>
    <format dxfId="165">
      <pivotArea dataOnly="0" labelOnly="1" fieldPosition="0">
        <references count="2">
          <reference field="0" count="1" selected="0">
            <x v="73"/>
          </reference>
          <reference field="1" count="1">
            <x v="168"/>
          </reference>
        </references>
      </pivotArea>
    </format>
    <format dxfId="164">
      <pivotArea dataOnly="0" labelOnly="1" fieldPosition="0">
        <references count="2">
          <reference field="0" count="1" selected="0">
            <x v="75"/>
          </reference>
          <reference field="1" count="1">
            <x v="67"/>
          </reference>
        </references>
      </pivotArea>
    </format>
    <format dxfId="163">
      <pivotArea dataOnly="0" labelOnly="1" fieldPosition="0">
        <references count="2">
          <reference field="0" count="1" selected="0">
            <x v="76"/>
          </reference>
          <reference field="1" count="1">
            <x v="231"/>
          </reference>
        </references>
      </pivotArea>
    </format>
    <format dxfId="162">
      <pivotArea dataOnly="0" labelOnly="1" fieldPosition="0">
        <references count="2">
          <reference field="0" count="1" selected="0">
            <x v="77"/>
          </reference>
          <reference field="1" count="1">
            <x v="66"/>
          </reference>
        </references>
      </pivotArea>
    </format>
    <format dxfId="161">
      <pivotArea dataOnly="0" labelOnly="1" fieldPosition="0">
        <references count="2">
          <reference field="0" count="1" selected="0">
            <x v="78"/>
          </reference>
          <reference field="1" count="1">
            <x v="169"/>
          </reference>
        </references>
      </pivotArea>
    </format>
    <format dxfId="160">
      <pivotArea dataOnly="0" labelOnly="1" fieldPosition="0">
        <references count="2">
          <reference field="0" count="1" selected="0">
            <x v="79"/>
          </reference>
          <reference field="1" count="1">
            <x v="68"/>
          </reference>
        </references>
      </pivotArea>
    </format>
    <format dxfId="159">
      <pivotArea dataOnly="0" labelOnly="1" fieldPosition="0">
        <references count="2">
          <reference field="0" count="1" selected="0">
            <x v="80"/>
          </reference>
          <reference field="1" count="2">
            <x v="69"/>
            <x v="70"/>
          </reference>
        </references>
      </pivotArea>
    </format>
    <format dxfId="158">
      <pivotArea dataOnly="0" labelOnly="1" fieldPosition="0">
        <references count="2">
          <reference field="0" count="1" selected="0">
            <x v="81"/>
          </reference>
          <reference field="1" count="1">
            <x v="228"/>
          </reference>
        </references>
      </pivotArea>
    </format>
    <format dxfId="157">
      <pivotArea dataOnly="0" labelOnly="1" fieldPosition="0">
        <references count="2">
          <reference field="0" count="1" selected="0">
            <x v="83"/>
          </reference>
          <reference field="1" count="1">
            <x v="104"/>
          </reference>
        </references>
      </pivotArea>
    </format>
    <format dxfId="156">
      <pivotArea dataOnly="0" labelOnly="1" fieldPosition="0">
        <references count="2">
          <reference field="0" count="1" selected="0">
            <x v="84"/>
          </reference>
          <reference field="1" count="1">
            <x v="113"/>
          </reference>
        </references>
      </pivotArea>
    </format>
    <format dxfId="155">
      <pivotArea dataOnly="0" labelOnly="1" fieldPosition="0">
        <references count="2">
          <reference field="0" count="1" selected="0">
            <x v="85"/>
          </reference>
          <reference field="1" count="4">
            <x v="114"/>
            <x v="115"/>
            <x v="116"/>
            <x v="228"/>
          </reference>
        </references>
      </pivotArea>
    </format>
    <format dxfId="154">
      <pivotArea dataOnly="0" labelOnly="1" fieldPosition="0">
        <references count="2">
          <reference field="0" count="1" selected="0">
            <x v="86"/>
          </reference>
          <reference field="1" count="1">
            <x v="226"/>
          </reference>
        </references>
      </pivotArea>
    </format>
    <format dxfId="153">
      <pivotArea dataOnly="0" labelOnly="1" fieldPosition="0">
        <references count="2">
          <reference field="0" count="1" selected="0">
            <x v="87"/>
          </reference>
          <reference field="1" count="2">
            <x v="71"/>
            <x v="72"/>
          </reference>
        </references>
      </pivotArea>
    </format>
    <format dxfId="152">
      <pivotArea dataOnly="0" labelOnly="1" fieldPosition="0">
        <references count="2">
          <reference field="0" count="1" selected="0">
            <x v="89"/>
          </reference>
          <reference field="1" count="1">
            <x v="78"/>
          </reference>
        </references>
      </pivotArea>
    </format>
    <format dxfId="151">
      <pivotArea dataOnly="0" labelOnly="1" fieldPosition="0">
        <references count="2">
          <reference field="0" count="1" selected="0">
            <x v="90"/>
          </reference>
          <reference field="1" count="1">
            <x v="79"/>
          </reference>
        </references>
      </pivotArea>
    </format>
    <format dxfId="150">
      <pivotArea dataOnly="0" labelOnly="1" fieldPosition="0">
        <references count="2">
          <reference field="0" count="1" selected="0">
            <x v="91"/>
          </reference>
          <reference field="1" count="2">
            <x v="153"/>
            <x v="154"/>
          </reference>
        </references>
      </pivotArea>
    </format>
    <format dxfId="149">
      <pivotArea dataOnly="0" labelOnly="1" fieldPosition="0">
        <references count="2">
          <reference field="0" count="1" selected="0">
            <x v="92"/>
          </reference>
          <reference field="1" count="2">
            <x v="178"/>
            <x v="179"/>
          </reference>
        </references>
      </pivotArea>
    </format>
    <format dxfId="148">
      <pivotArea dataOnly="0" labelOnly="1" fieldPosition="0">
        <references count="2">
          <reference field="0" count="1" selected="0">
            <x v="93"/>
          </reference>
          <reference field="1" count="3">
            <x v="75"/>
            <x v="93"/>
            <x v="176"/>
          </reference>
        </references>
      </pivotArea>
    </format>
    <format dxfId="147">
      <pivotArea dataOnly="0" labelOnly="1" fieldPosition="0">
        <references count="2">
          <reference field="0" count="1" selected="0">
            <x v="94"/>
          </reference>
          <reference field="1" count="1">
            <x v="35"/>
          </reference>
        </references>
      </pivotArea>
    </format>
    <format dxfId="146">
      <pivotArea dataOnly="0" labelOnly="1" fieldPosition="0">
        <references count="2">
          <reference field="0" count="1" selected="0">
            <x v="96"/>
          </reference>
          <reference field="1" count="4">
            <x v="80"/>
            <x v="81"/>
            <x v="82"/>
            <x v="83"/>
          </reference>
        </references>
      </pivotArea>
    </format>
    <format dxfId="145">
      <pivotArea dataOnly="0" labelOnly="1" fieldPosition="0">
        <references count="2">
          <reference field="0" count="1" selected="0">
            <x v="98"/>
          </reference>
          <reference field="1" count="1">
            <x v="85"/>
          </reference>
        </references>
      </pivotArea>
    </format>
    <format dxfId="144">
      <pivotArea dataOnly="0" labelOnly="1" fieldPosition="0">
        <references count="2">
          <reference field="0" count="1" selected="0">
            <x v="99"/>
          </reference>
          <reference field="1" count="1">
            <x v="6"/>
          </reference>
        </references>
      </pivotArea>
    </format>
    <format dxfId="143">
      <pivotArea dataOnly="0" labelOnly="1" fieldPosition="0">
        <references count="2">
          <reference field="0" count="1" selected="0">
            <x v="100"/>
          </reference>
          <reference field="1" count="1">
            <x v="7"/>
          </reference>
        </references>
      </pivotArea>
    </format>
    <format dxfId="142">
      <pivotArea dataOnly="0" labelOnly="1" fieldPosition="0">
        <references count="2">
          <reference field="0" count="1" selected="0">
            <x v="101"/>
          </reference>
          <reference field="1" count="1">
            <x v="8"/>
          </reference>
        </references>
      </pivotArea>
    </format>
    <format dxfId="141">
      <pivotArea dataOnly="0" labelOnly="1" fieldPosition="0">
        <references count="2">
          <reference field="0" count="1" selected="0">
            <x v="102"/>
          </reference>
          <reference field="1" count="1">
            <x v="8"/>
          </reference>
        </references>
      </pivotArea>
    </format>
    <format dxfId="140">
      <pivotArea dataOnly="0" labelOnly="1" fieldPosition="0">
        <references count="2">
          <reference field="0" count="1" selected="0">
            <x v="103"/>
          </reference>
          <reference field="1" count="1">
            <x v="155"/>
          </reference>
        </references>
      </pivotArea>
    </format>
    <format dxfId="139">
      <pivotArea dataOnly="0" labelOnly="1" fieldPosition="0">
        <references count="2">
          <reference field="0" count="1" selected="0">
            <x v="104"/>
          </reference>
          <reference field="1" count="3">
            <x v="9"/>
            <x v="10"/>
            <x v="11"/>
          </reference>
        </references>
      </pivotArea>
    </format>
    <format dxfId="138">
      <pivotArea dataOnly="0" labelOnly="1" fieldPosition="0">
        <references count="2">
          <reference field="0" count="1" selected="0">
            <x v="105"/>
          </reference>
          <reference field="1" count="1">
            <x v="86"/>
          </reference>
        </references>
      </pivotArea>
    </format>
    <format dxfId="137">
      <pivotArea dataOnly="0" labelOnly="1" fieldPosition="0">
        <references count="2">
          <reference field="0" count="1" selected="0">
            <x v="106"/>
          </reference>
          <reference field="1" count="1">
            <x v="203"/>
          </reference>
        </references>
      </pivotArea>
    </format>
    <format dxfId="136">
      <pivotArea dataOnly="0" labelOnly="1" fieldPosition="0">
        <references count="2">
          <reference field="0" count="1" selected="0">
            <x v="107"/>
          </reference>
          <reference field="1" count="2">
            <x v="87"/>
            <x v="88"/>
          </reference>
        </references>
      </pivotArea>
    </format>
    <format dxfId="135">
      <pivotArea dataOnly="0" labelOnly="1" fieldPosition="0">
        <references count="2">
          <reference field="0" count="1" selected="0">
            <x v="108"/>
          </reference>
          <reference field="1" count="1">
            <x v="89"/>
          </reference>
        </references>
      </pivotArea>
    </format>
    <format dxfId="134">
      <pivotArea dataOnly="0" labelOnly="1" fieldPosition="0">
        <references count="2">
          <reference field="0" count="1" selected="0">
            <x v="110"/>
          </reference>
          <reference field="1" count="1">
            <x v="32"/>
          </reference>
        </references>
      </pivotArea>
    </format>
    <format dxfId="133">
      <pivotArea dataOnly="0" labelOnly="1" fieldPosition="0">
        <references count="2">
          <reference field="0" count="1" selected="0">
            <x v="115"/>
          </reference>
          <reference field="1" count="1">
            <x v="96"/>
          </reference>
        </references>
      </pivotArea>
    </format>
    <format dxfId="132">
      <pivotArea dataOnly="0" labelOnly="1" fieldPosition="0">
        <references count="2">
          <reference field="0" count="1" selected="0">
            <x v="116"/>
          </reference>
          <reference field="1" count="1">
            <x v="100"/>
          </reference>
        </references>
      </pivotArea>
    </format>
    <format dxfId="131">
      <pivotArea dataOnly="0" labelOnly="1" fieldPosition="0">
        <references count="2">
          <reference field="0" count="1" selected="0">
            <x v="119"/>
          </reference>
          <reference field="1" count="1">
            <x v="13"/>
          </reference>
        </references>
      </pivotArea>
    </format>
    <format dxfId="130">
      <pivotArea dataOnly="0" labelOnly="1" fieldPosition="0">
        <references count="2">
          <reference field="0" count="1" selected="0">
            <x v="120"/>
          </reference>
          <reference field="1" count="2">
            <x v="12"/>
            <x v="90"/>
          </reference>
        </references>
      </pivotArea>
    </format>
    <format dxfId="129">
      <pivotArea dataOnly="0" labelOnly="1" fieldPosition="0">
        <references count="2">
          <reference field="0" count="1" selected="0">
            <x v="121"/>
          </reference>
          <reference field="1" count="1">
            <x v="91"/>
          </reference>
        </references>
      </pivotArea>
    </format>
    <format dxfId="128">
      <pivotArea dataOnly="0" labelOnly="1" fieldPosition="0">
        <references count="2">
          <reference field="0" count="1" selected="0">
            <x v="122"/>
          </reference>
          <reference field="1" count="1">
            <x v="20"/>
          </reference>
        </references>
      </pivotArea>
    </format>
    <format dxfId="127">
      <pivotArea dataOnly="0" labelOnly="1" fieldPosition="0">
        <references count="2">
          <reference field="0" count="1" selected="0">
            <x v="124"/>
          </reference>
          <reference field="1" count="1">
            <x v="224"/>
          </reference>
        </references>
      </pivotArea>
    </format>
    <format dxfId="126">
      <pivotArea dataOnly="0" labelOnly="1" fieldPosition="0">
        <references count="2">
          <reference field="0" count="1" selected="0">
            <x v="126"/>
          </reference>
          <reference field="1" count="1">
            <x v="212"/>
          </reference>
        </references>
      </pivotArea>
    </format>
    <format dxfId="125">
      <pivotArea dataOnly="0" labelOnly="1" fieldPosition="0">
        <references count="2">
          <reference field="0" count="1" selected="0">
            <x v="127"/>
          </reference>
          <reference field="1" count="1">
            <x v="36"/>
          </reference>
        </references>
      </pivotArea>
    </format>
    <format dxfId="124">
      <pivotArea dataOnly="0" labelOnly="1" fieldPosition="0">
        <references count="2">
          <reference field="0" count="1" selected="0">
            <x v="129"/>
          </reference>
          <reference field="1" count="1">
            <x v="210"/>
          </reference>
        </references>
      </pivotArea>
    </format>
    <format dxfId="123">
      <pivotArea dataOnly="0" labelOnly="1" fieldPosition="0">
        <references count="2">
          <reference field="0" count="1" selected="0">
            <x v="130"/>
          </reference>
          <reference field="1" count="1">
            <x v="211"/>
          </reference>
        </references>
      </pivotArea>
    </format>
    <format dxfId="122">
      <pivotArea dataOnly="0" labelOnly="1" fieldPosition="0">
        <references count="2">
          <reference field="0" count="1" selected="0">
            <x v="132"/>
          </reference>
          <reference field="1" count="1">
            <x v="162"/>
          </reference>
        </references>
      </pivotArea>
    </format>
    <format dxfId="121">
      <pivotArea dataOnly="0" labelOnly="1" fieldPosition="0">
        <references count="2">
          <reference field="0" count="1" selected="0">
            <x v="135"/>
          </reference>
          <reference field="1" count="2">
            <x v="180"/>
            <x v="181"/>
          </reference>
        </references>
      </pivotArea>
    </format>
    <format dxfId="120">
      <pivotArea dataOnly="0" labelOnly="1" fieldPosition="0">
        <references count="2">
          <reference field="0" count="1" selected="0">
            <x v="136"/>
          </reference>
          <reference field="1" count="1">
            <x v="94"/>
          </reference>
        </references>
      </pivotArea>
    </format>
    <format dxfId="119">
      <pivotArea dataOnly="0" labelOnly="1" fieldPosition="0">
        <references count="2">
          <reference field="0" count="1" selected="0">
            <x v="137"/>
          </reference>
          <reference field="1" count="1">
            <x v="138"/>
          </reference>
        </references>
      </pivotArea>
    </format>
    <format dxfId="118">
      <pivotArea dataOnly="0" labelOnly="1" fieldPosition="0">
        <references count="2">
          <reference field="0" count="1" selected="0">
            <x v="138"/>
          </reference>
          <reference field="1" count="1">
            <x v="39"/>
          </reference>
        </references>
      </pivotArea>
    </format>
    <format dxfId="117">
      <pivotArea dataOnly="0" labelOnly="1" fieldPosition="0">
        <references count="2">
          <reference field="0" count="1" selected="0">
            <x v="140"/>
          </reference>
          <reference field="1" count="1">
            <x v="95"/>
          </reference>
        </references>
      </pivotArea>
    </format>
    <format dxfId="116">
      <pivotArea dataOnly="0" labelOnly="1" fieldPosition="0">
        <references count="2">
          <reference field="0" count="1" selected="0">
            <x v="141"/>
          </reference>
          <reference field="1" count="1">
            <x v="37"/>
          </reference>
        </references>
      </pivotArea>
    </format>
    <format dxfId="115">
      <pivotArea dataOnly="0" labelOnly="1" fieldPosition="0">
        <references count="2">
          <reference field="0" count="1" selected="0">
            <x v="142"/>
          </reference>
          <reference field="1" count="1">
            <x v="170"/>
          </reference>
        </references>
      </pivotArea>
    </format>
    <format dxfId="114">
      <pivotArea dataOnly="0" labelOnly="1" fieldPosition="0">
        <references count="2">
          <reference field="0" count="1" selected="0">
            <x v="143"/>
          </reference>
          <reference field="1" count="2">
            <x v="40"/>
            <x v="171"/>
          </reference>
        </references>
      </pivotArea>
    </format>
    <format dxfId="113">
      <pivotArea dataOnly="0" labelOnly="1" fieldPosition="0">
        <references count="2">
          <reference field="0" count="1" selected="0">
            <x v="148"/>
          </reference>
          <reference field="1" count="1">
            <x v="97"/>
          </reference>
        </references>
      </pivotArea>
    </format>
    <format dxfId="112">
      <pivotArea dataOnly="0" labelOnly="1" fieldPosition="0">
        <references count="2">
          <reference field="0" count="1" selected="0">
            <x v="149"/>
          </reference>
          <reference field="1" count="1">
            <x v="123"/>
          </reference>
        </references>
      </pivotArea>
    </format>
    <format dxfId="111">
      <pivotArea dataOnly="0" labelOnly="1" fieldPosition="0">
        <references count="2">
          <reference field="0" count="1" selected="0">
            <x v="150"/>
          </reference>
          <reference field="1" count="2">
            <x v="14"/>
            <x v="98"/>
          </reference>
        </references>
      </pivotArea>
    </format>
    <format dxfId="110">
      <pivotArea dataOnly="0" labelOnly="1" fieldPosition="0">
        <references count="2">
          <reference field="0" count="1" selected="0">
            <x v="151"/>
          </reference>
          <reference field="1" count="1">
            <x v="15"/>
          </reference>
        </references>
      </pivotArea>
    </format>
    <format dxfId="109">
      <pivotArea dataOnly="0" labelOnly="1" fieldPosition="0">
        <references count="2">
          <reference field="0" count="1" selected="0">
            <x v="152"/>
          </reference>
          <reference field="1" count="2">
            <x v="41"/>
            <x v="172"/>
          </reference>
        </references>
      </pivotArea>
    </format>
    <format dxfId="108">
      <pivotArea dataOnly="0" labelOnly="1" fieldPosition="0">
        <references count="2">
          <reference field="0" count="1" selected="0">
            <x v="153"/>
          </reference>
          <reference field="1" count="1">
            <x v="16"/>
          </reference>
        </references>
      </pivotArea>
    </format>
    <format dxfId="107">
      <pivotArea dataOnly="0" labelOnly="1" fieldPosition="0">
        <references count="2">
          <reference field="0" count="1" selected="0">
            <x v="154"/>
          </reference>
          <reference field="1" count="1">
            <x v="100"/>
          </reference>
        </references>
      </pivotArea>
    </format>
    <format dxfId="106">
      <pivotArea dataOnly="0" labelOnly="1" fieldPosition="0">
        <references count="2">
          <reference field="0" count="1" selected="0">
            <x v="157"/>
          </reference>
          <reference field="1" count="1">
            <x v="101"/>
          </reference>
        </references>
      </pivotArea>
    </format>
    <format dxfId="105">
      <pivotArea dataOnly="0" labelOnly="1" fieldPosition="0">
        <references count="2">
          <reference field="0" count="1" selected="0">
            <x v="158"/>
          </reference>
          <reference field="1" count="1">
            <x v="102"/>
          </reference>
        </references>
      </pivotArea>
    </format>
    <format dxfId="104">
      <pivotArea dataOnly="0" labelOnly="1" fieldPosition="0">
        <references count="2">
          <reference field="0" count="1" selected="0">
            <x v="159"/>
          </reference>
          <reference field="1" count="1">
            <x v="103"/>
          </reference>
        </references>
      </pivotArea>
    </format>
    <format dxfId="103">
      <pivotArea dataOnly="0" labelOnly="1" fieldPosition="0">
        <references count="2">
          <reference field="0" count="1" selected="0">
            <x v="160"/>
          </reference>
          <reference field="1" count="1">
            <x v="106"/>
          </reference>
        </references>
      </pivotArea>
    </format>
    <format dxfId="102">
      <pivotArea dataOnly="0" labelOnly="1" fieldPosition="0">
        <references count="2">
          <reference field="0" count="1" selected="0">
            <x v="161"/>
          </reference>
          <reference field="1" count="1">
            <x v="104"/>
          </reference>
        </references>
      </pivotArea>
    </format>
    <format dxfId="101">
      <pivotArea dataOnly="0" labelOnly="1" fieldPosition="0">
        <references count="2">
          <reference field="0" count="1" selected="0">
            <x v="162"/>
          </reference>
          <reference field="1" count="1">
            <x v="105"/>
          </reference>
        </references>
      </pivotArea>
    </format>
    <format dxfId="100">
      <pivotArea dataOnly="0" labelOnly="1" fieldPosition="0">
        <references count="2">
          <reference field="0" count="1" selected="0">
            <x v="163"/>
          </reference>
          <reference field="1" count="1">
            <x v="120"/>
          </reference>
        </references>
      </pivotArea>
    </format>
    <format dxfId="99">
      <pivotArea dataOnly="0" labelOnly="1" fieldPosition="0">
        <references count="2">
          <reference field="0" count="1" selected="0">
            <x v="164"/>
          </reference>
          <reference field="1" count="2">
            <x v="232"/>
            <x v="233"/>
          </reference>
        </references>
      </pivotArea>
    </format>
    <format dxfId="98">
      <pivotArea dataOnly="0" labelOnly="1" fieldPosition="0">
        <references count="2">
          <reference field="0" count="1" selected="0">
            <x v="165"/>
          </reference>
          <reference field="1" count="1">
            <x v="17"/>
          </reference>
        </references>
      </pivotArea>
    </format>
    <format dxfId="97">
      <pivotArea dataOnly="0" labelOnly="1" fieldPosition="0">
        <references count="2">
          <reference field="0" count="1" selected="0">
            <x v="166"/>
          </reference>
          <reference field="1" count="1">
            <x v="18"/>
          </reference>
        </references>
      </pivotArea>
    </format>
    <format dxfId="96">
      <pivotArea dataOnly="0" labelOnly="1" fieldPosition="0">
        <references count="2">
          <reference field="0" count="1" selected="0">
            <x v="167"/>
          </reference>
          <reference field="1" count="1">
            <x v="108"/>
          </reference>
        </references>
      </pivotArea>
    </format>
    <format dxfId="95">
      <pivotArea dataOnly="0" labelOnly="1" fieldPosition="0">
        <references count="2">
          <reference field="0" count="1" selected="0">
            <x v="168"/>
          </reference>
          <reference field="1" count="1">
            <x v="107"/>
          </reference>
        </references>
      </pivotArea>
    </format>
    <format dxfId="94">
      <pivotArea dataOnly="0" labelOnly="1" fieldPosition="0">
        <references count="2">
          <reference field="0" count="1" selected="0">
            <x v="169"/>
          </reference>
          <reference field="1" count="1">
            <x v="106"/>
          </reference>
        </references>
      </pivotArea>
    </format>
    <format dxfId="93">
      <pivotArea dataOnly="0" labelOnly="1" fieldPosition="0">
        <references count="2">
          <reference field="0" count="1" selected="0">
            <x v="170"/>
          </reference>
          <reference field="1" count="2">
            <x v="76"/>
            <x v="174"/>
          </reference>
        </references>
      </pivotArea>
    </format>
    <format dxfId="92">
      <pivotArea dataOnly="0" labelOnly="1" fieldPosition="0">
        <references count="2">
          <reference field="0" count="1" selected="0">
            <x v="171"/>
          </reference>
          <reference field="1" count="1">
            <x v="110"/>
          </reference>
        </references>
      </pivotArea>
    </format>
    <format dxfId="91">
      <pivotArea dataOnly="0" labelOnly="1" fieldPosition="0">
        <references count="2">
          <reference field="0" count="1" selected="0">
            <x v="173"/>
          </reference>
          <reference field="1" count="1">
            <x v="32"/>
          </reference>
        </references>
      </pivotArea>
    </format>
    <format dxfId="90">
      <pivotArea dataOnly="0" labelOnly="1" fieldPosition="0">
        <references count="2">
          <reference field="0" count="1" selected="0">
            <x v="178"/>
          </reference>
          <reference field="1" count="1">
            <x v="123"/>
          </reference>
        </references>
      </pivotArea>
    </format>
    <format dxfId="89">
      <pivotArea dataOnly="0" labelOnly="1" fieldPosition="0">
        <references count="2">
          <reference field="0" count="1" selected="0">
            <x v="179"/>
          </reference>
          <reference field="1" count="1">
            <x v="124"/>
          </reference>
        </references>
      </pivotArea>
    </format>
    <format dxfId="88">
      <pivotArea dataOnly="0" labelOnly="1" fieldPosition="0">
        <references count="2">
          <reference field="0" count="1" selected="0">
            <x v="180"/>
          </reference>
          <reference field="1" count="1">
            <x v="148"/>
          </reference>
        </references>
      </pivotArea>
    </format>
    <format dxfId="87">
      <pivotArea dataOnly="0" labelOnly="1" fieldPosition="0">
        <references count="2">
          <reference field="0" count="1" selected="0">
            <x v="181"/>
          </reference>
          <reference field="1" count="1">
            <x v="125"/>
          </reference>
        </references>
      </pivotArea>
    </format>
    <format dxfId="86">
      <pivotArea dataOnly="0" labelOnly="1" fieldPosition="0">
        <references count="2">
          <reference field="0" count="1" selected="0">
            <x v="182"/>
          </reference>
          <reference field="1" count="1">
            <x v="126"/>
          </reference>
        </references>
      </pivotArea>
    </format>
    <format dxfId="85">
      <pivotArea dataOnly="0" labelOnly="1" fieldPosition="0">
        <references count="2">
          <reference field="0" count="1" selected="0">
            <x v="183"/>
          </reference>
          <reference field="1" count="1">
            <x v="204"/>
          </reference>
        </references>
      </pivotArea>
    </format>
    <format dxfId="84">
      <pivotArea dataOnly="0" labelOnly="1" fieldPosition="0">
        <references count="2">
          <reference field="0" count="1" selected="0">
            <x v="184"/>
          </reference>
          <reference field="1" count="1">
            <x v="127"/>
          </reference>
        </references>
      </pivotArea>
    </format>
    <format dxfId="83">
      <pivotArea dataOnly="0" labelOnly="1" fieldPosition="0">
        <references count="2">
          <reference field="0" count="1" selected="0">
            <x v="185"/>
          </reference>
          <reference field="1" count="1">
            <x v="128"/>
          </reference>
        </references>
      </pivotArea>
    </format>
    <format dxfId="82">
      <pivotArea dataOnly="0" labelOnly="1" fieldPosition="0">
        <references count="2">
          <reference field="0" count="1" selected="0">
            <x v="187"/>
          </reference>
          <reference field="1" count="1">
            <x v="129"/>
          </reference>
        </references>
      </pivotArea>
    </format>
    <format dxfId="81">
      <pivotArea dataOnly="0" labelOnly="1" fieldPosition="0">
        <references count="2">
          <reference field="0" count="1" selected="0">
            <x v="188"/>
          </reference>
          <reference field="1" count="1">
            <x v="130"/>
          </reference>
        </references>
      </pivotArea>
    </format>
    <format dxfId="80">
      <pivotArea dataOnly="0" labelOnly="1" fieldPosition="0">
        <references count="2">
          <reference field="0" count="1" selected="0">
            <x v="189"/>
          </reference>
          <reference field="1" count="1">
            <x v="131"/>
          </reference>
        </references>
      </pivotArea>
    </format>
    <format dxfId="79">
      <pivotArea dataOnly="0" labelOnly="1" fieldPosition="0">
        <references count="2">
          <reference field="0" count="1" selected="0">
            <x v="191"/>
          </reference>
          <reference field="1" count="1">
            <x v="132"/>
          </reference>
        </references>
      </pivotArea>
    </format>
    <format dxfId="78">
      <pivotArea dataOnly="0" labelOnly="1" fieldPosition="0">
        <references count="2">
          <reference field="0" count="1" selected="0">
            <x v="192"/>
          </reference>
          <reference field="1" count="1">
            <x v="133"/>
          </reference>
        </references>
      </pivotArea>
    </format>
    <format dxfId="77">
      <pivotArea dataOnly="0" labelOnly="1" fieldPosition="0">
        <references count="2">
          <reference field="0" count="1" selected="0">
            <x v="193"/>
          </reference>
          <reference field="1" count="1">
            <x v="134"/>
          </reference>
        </references>
      </pivotArea>
    </format>
    <format dxfId="76">
      <pivotArea dataOnly="0" labelOnly="1" fieldPosition="0">
        <references count="2">
          <reference field="0" count="1" selected="0">
            <x v="194"/>
          </reference>
          <reference field="1" count="1">
            <x v="135"/>
          </reference>
        </references>
      </pivotArea>
    </format>
    <format dxfId="75">
      <pivotArea dataOnly="0" labelOnly="1" fieldPosition="0">
        <references count="2">
          <reference field="0" count="1" selected="0">
            <x v="195"/>
          </reference>
          <reference field="1" count="1">
            <x v="136"/>
          </reference>
        </references>
      </pivotArea>
    </format>
    <format dxfId="74">
      <pivotArea dataOnly="0" labelOnly="1" fieldPosition="0">
        <references count="2">
          <reference field="0" count="1" selected="0">
            <x v="196"/>
          </reference>
          <reference field="1" count="2">
            <x v="77"/>
            <x v="175"/>
          </reference>
        </references>
      </pivotArea>
    </format>
    <format dxfId="73">
      <pivotArea dataOnly="0" labelOnly="1" fieldPosition="0">
        <references count="2">
          <reference field="0" count="1" selected="0">
            <x v="197"/>
          </reference>
          <reference field="1" count="1">
            <x v="200"/>
          </reference>
        </references>
      </pivotArea>
    </format>
    <format dxfId="72">
      <pivotArea dataOnly="0" labelOnly="1" fieldPosition="0">
        <references count="2">
          <reference field="0" count="1" selected="0">
            <x v="198"/>
          </reference>
          <reference field="1" count="1">
            <x v="137"/>
          </reference>
        </references>
      </pivotArea>
    </format>
    <format dxfId="71">
      <pivotArea dataOnly="0" labelOnly="1" fieldPosition="0">
        <references count="2">
          <reference field="0" count="1" selected="0">
            <x v="201"/>
          </reference>
          <reference field="1" count="1">
            <x v="139"/>
          </reference>
        </references>
      </pivotArea>
    </format>
    <format dxfId="70">
      <pivotArea dataOnly="0" labelOnly="1" fieldPosition="0">
        <references count="2">
          <reference field="0" count="1" selected="0">
            <x v="203"/>
          </reference>
          <reference field="1" count="1">
            <x v="19"/>
          </reference>
        </references>
      </pivotArea>
    </format>
    <format dxfId="69">
      <pivotArea dataOnly="0" labelOnly="1" fieldPosition="0">
        <references count="2">
          <reference field="0" count="1" selected="0">
            <x v="204"/>
          </reference>
          <reference field="1" count="1">
            <x v="140"/>
          </reference>
        </references>
      </pivotArea>
    </format>
    <format dxfId="68">
      <pivotArea dataOnly="0" labelOnly="1" fieldPosition="0">
        <references count="2">
          <reference field="0" count="1" selected="0">
            <x v="205"/>
          </reference>
          <reference field="1" count="1">
            <x v="141"/>
          </reference>
        </references>
      </pivotArea>
    </format>
    <format dxfId="67">
      <pivotArea dataOnly="0" labelOnly="1" fieldPosition="0">
        <references count="2">
          <reference field="0" count="1" selected="0">
            <x v="208"/>
          </reference>
          <reference field="1" count="1">
            <x v="184"/>
          </reference>
        </references>
      </pivotArea>
    </format>
    <format dxfId="66">
      <pivotArea dataOnly="0" labelOnly="1" fieldPosition="0">
        <references count="2">
          <reference field="0" count="1" selected="0">
            <x v="209"/>
          </reference>
          <reference field="1" count="1">
            <x v="142"/>
          </reference>
        </references>
      </pivotArea>
    </format>
    <format dxfId="65">
      <pivotArea dataOnly="0" labelOnly="1" fieldPosition="0">
        <references count="2">
          <reference field="0" count="1" selected="0">
            <x v="210"/>
          </reference>
          <reference field="1" count="1">
            <x v="185"/>
          </reference>
        </references>
      </pivotArea>
    </format>
    <format dxfId="64">
      <pivotArea dataOnly="0" labelOnly="1" fieldPosition="0">
        <references count="2">
          <reference field="0" count="1" selected="0">
            <x v="212"/>
          </reference>
          <reference field="1" count="2">
            <x v="186"/>
            <x v="187"/>
          </reference>
        </references>
      </pivotArea>
    </format>
    <format dxfId="63">
      <pivotArea dataOnly="0" labelOnly="1" fieldPosition="0">
        <references count="2">
          <reference field="0" count="1" selected="0">
            <x v="213"/>
          </reference>
          <reference field="1" count="1">
            <x v="143"/>
          </reference>
        </references>
      </pivotArea>
    </format>
    <format dxfId="62">
      <pivotArea dataOnly="0" labelOnly="1" fieldPosition="0">
        <references count="2">
          <reference field="0" count="1" selected="0">
            <x v="214"/>
          </reference>
          <reference field="1" count="1">
            <x v="22"/>
          </reference>
        </references>
      </pivotArea>
    </format>
    <format dxfId="61">
      <pivotArea dataOnly="0" labelOnly="1" fieldPosition="0">
        <references count="2">
          <reference field="0" count="1" selected="0">
            <x v="215"/>
          </reference>
          <reference field="1" count="1">
            <x v="23"/>
          </reference>
        </references>
      </pivotArea>
    </format>
    <format dxfId="60">
      <pivotArea dataOnly="0" labelOnly="1" fieldPosition="0">
        <references count="2">
          <reference field="0" count="1" selected="0">
            <x v="216"/>
          </reference>
          <reference field="1" count="1">
            <x v="109"/>
          </reference>
        </references>
      </pivotArea>
    </format>
    <format dxfId="59">
      <pivotArea dataOnly="0" labelOnly="1" fieldPosition="0">
        <references count="2">
          <reference field="0" count="1" selected="0">
            <x v="218"/>
          </reference>
          <reference field="1" count="1">
            <x v="144"/>
          </reference>
        </references>
      </pivotArea>
    </format>
    <format dxfId="58">
      <pivotArea dataOnly="0" labelOnly="1" fieldPosition="0">
        <references count="2">
          <reference field="0" count="1" selected="0">
            <x v="219"/>
          </reference>
          <reference field="1" count="1">
            <x v="145"/>
          </reference>
        </references>
      </pivotArea>
    </format>
    <format dxfId="57">
      <pivotArea dataOnly="0" labelOnly="1" fieldPosition="0">
        <references count="2">
          <reference field="0" count="1" selected="0">
            <x v="220"/>
          </reference>
          <reference field="1" count="1">
            <x v="84"/>
          </reference>
        </references>
      </pivotArea>
    </format>
    <format dxfId="56">
      <pivotArea dataOnly="0" labelOnly="1" fieldPosition="0">
        <references count="2">
          <reference field="0" count="1" selected="0">
            <x v="221"/>
          </reference>
          <reference field="1" count="1">
            <x v="99"/>
          </reference>
        </references>
      </pivotArea>
    </format>
    <format dxfId="55">
      <pivotArea dataOnly="0" labelOnly="1" fieldPosition="0">
        <references count="2">
          <reference field="0" count="1" selected="0">
            <x v="223"/>
          </reference>
          <reference field="1" count="5">
            <x v="185"/>
            <x v="187"/>
            <x v="188"/>
            <x v="189"/>
            <x v="201"/>
          </reference>
        </references>
      </pivotArea>
    </format>
    <format dxfId="54">
      <pivotArea dataOnly="0" labelOnly="1" fieldPosition="0">
        <references count="2">
          <reference field="0" count="1" selected="0">
            <x v="225"/>
          </reference>
          <reference field="1" count="3">
            <x v="190"/>
            <x v="191"/>
            <x v="201"/>
          </reference>
        </references>
      </pivotArea>
    </format>
    <format dxfId="53">
      <pivotArea dataOnly="0" labelOnly="1" fieldPosition="0">
        <references count="2">
          <reference field="0" count="1" selected="0">
            <x v="226"/>
          </reference>
          <reference field="1" count="1">
            <x v="192"/>
          </reference>
        </references>
      </pivotArea>
    </format>
    <format dxfId="52">
      <pivotArea dataOnly="0" labelOnly="1" fieldPosition="0">
        <references count="2">
          <reference field="0" count="1" selected="0">
            <x v="227"/>
          </reference>
          <reference field="1" count="1">
            <x v="193"/>
          </reference>
        </references>
      </pivotArea>
    </format>
    <format dxfId="51">
      <pivotArea dataOnly="0" labelOnly="1" fieldPosition="0">
        <references count="2">
          <reference field="0" count="1" selected="0">
            <x v="228"/>
          </reference>
          <reference field="1" count="1">
            <x v="194"/>
          </reference>
        </references>
      </pivotArea>
    </format>
    <format dxfId="50">
      <pivotArea dataOnly="0" labelOnly="1" fieldPosition="0">
        <references count="2">
          <reference field="0" count="1" selected="0">
            <x v="229"/>
          </reference>
          <reference field="1" count="2">
            <x v="80"/>
            <x v="146"/>
          </reference>
        </references>
      </pivotArea>
    </format>
    <format dxfId="49">
      <pivotArea dataOnly="0" labelOnly="1" fieldPosition="0">
        <references count="2">
          <reference field="0" count="1" selected="0">
            <x v="230"/>
          </reference>
          <reference field="1" count="1">
            <x v="194"/>
          </reference>
        </references>
      </pivotArea>
    </format>
    <format dxfId="48">
      <pivotArea dataOnly="0" labelOnly="1" fieldPosition="0">
        <references count="2">
          <reference field="0" count="1" selected="0">
            <x v="231"/>
          </reference>
          <reference field="1" count="1">
            <x v="195"/>
          </reference>
        </references>
      </pivotArea>
    </format>
    <format dxfId="47">
      <pivotArea dataOnly="0" labelOnly="1" fieldPosition="0">
        <references count="2">
          <reference field="0" count="1" selected="0">
            <x v="232"/>
          </reference>
          <reference field="1" count="1">
            <x v="147"/>
          </reference>
        </references>
      </pivotArea>
    </format>
    <format dxfId="46">
      <pivotArea dataOnly="0" labelOnly="1" fieldPosition="0">
        <references count="2">
          <reference field="0" count="1" selected="0">
            <x v="233"/>
          </reference>
          <reference field="1" count="1">
            <x v="163"/>
          </reference>
        </references>
      </pivotArea>
    </format>
    <format dxfId="45">
      <pivotArea dataOnly="0" labelOnly="1" fieldPosition="0">
        <references count="2">
          <reference field="0" count="1" selected="0">
            <x v="234"/>
          </reference>
          <reference field="1" count="1">
            <x v="27"/>
          </reference>
        </references>
      </pivotArea>
    </format>
    <format dxfId="44">
      <pivotArea dataOnly="0" labelOnly="1" fieldPosition="0">
        <references count="2">
          <reference field="0" count="1" selected="0">
            <x v="235"/>
          </reference>
          <reference field="1" count="1">
            <x v="26"/>
          </reference>
        </references>
      </pivotArea>
    </format>
    <format dxfId="43">
      <pivotArea dataOnly="0" labelOnly="1" fieldPosition="0">
        <references count="2">
          <reference field="0" count="1" selected="0">
            <x v="238"/>
          </reference>
          <reference field="1" count="4">
            <x v="197"/>
            <x v="198"/>
            <x v="199"/>
            <x v="213"/>
          </reference>
        </references>
      </pivotArea>
    </format>
    <format dxfId="42">
      <pivotArea dataOnly="0" labelOnly="1" fieldPosition="0">
        <references count="2">
          <reference field="0" count="1" selected="0">
            <x v="239"/>
          </reference>
          <reference field="1" count="1">
            <x v="149"/>
          </reference>
        </references>
      </pivotArea>
    </format>
    <format dxfId="41">
      <pivotArea dataOnly="0" labelOnly="1" fieldPosition="0">
        <references count="2">
          <reference field="0" count="1" selected="0">
            <x v="241"/>
          </reference>
          <reference field="1" count="1">
            <x v="150"/>
          </reference>
        </references>
      </pivotArea>
    </format>
    <format dxfId="40">
      <pivotArea dataOnly="0" labelOnly="1" fieldPosition="0">
        <references count="2">
          <reference field="0" count="1" selected="0">
            <x v="242"/>
          </reference>
          <reference field="1" count="1">
            <x v="28"/>
          </reference>
        </references>
      </pivotArea>
    </format>
    <format dxfId="39">
      <pivotArea dataOnly="0" labelOnly="1" fieldPosition="0">
        <references count="2">
          <reference field="0" count="1" selected="0">
            <x v="244"/>
          </reference>
          <reference field="1" count="1">
            <x v="187"/>
          </reference>
        </references>
      </pivotArea>
    </format>
    <format dxfId="38">
      <pivotArea dataOnly="0" labelOnly="1" fieldPosition="0">
        <references count="2">
          <reference field="0" count="1" selected="0">
            <x v="246"/>
          </reference>
          <reference field="1" count="1">
            <x v="201"/>
          </reference>
        </references>
      </pivotArea>
    </format>
    <format dxfId="37">
      <pivotArea dataOnly="0" labelOnly="1" fieldPosition="0">
        <references count="2">
          <reference field="0" count="1" selected="0">
            <x v="247"/>
          </reference>
          <reference field="1" count="1">
            <x v="151"/>
          </reference>
        </references>
      </pivotArea>
    </format>
    <format dxfId="36">
      <pivotArea dataOnly="0" labelOnly="1" fieldPosition="0">
        <references count="2">
          <reference field="0" count="1" selected="0">
            <x v="248"/>
          </reference>
          <reference field="1" count="1">
            <x v="231"/>
          </reference>
        </references>
      </pivotArea>
    </format>
    <format dxfId="35">
      <pivotArea dataOnly="0" labelOnly="1" fieldPosition="0">
        <references count="2">
          <reference field="0" count="1" selected="0">
            <x v="249"/>
          </reference>
          <reference field="1" count="1">
            <x v="31"/>
          </reference>
        </references>
      </pivotArea>
    </format>
    <format dxfId="34">
      <pivotArea dataOnly="0" labelOnly="1" fieldPosition="0">
        <references count="2">
          <reference field="0" count="1" selected="0">
            <x v="252"/>
          </reference>
          <reference field="1" count="1">
            <x v="152"/>
          </reference>
        </references>
      </pivotArea>
    </format>
    <format dxfId="33">
      <pivotArea dataOnly="0" labelOnly="1" fieldPosition="0">
        <references count="2">
          <reference field="0" count="1" selected="0">
            <x v="253"/>
          </reference>
          <reference field="1" count="1">
            <x v="155"/>
          </reference>
        </references>
      </pivotArea>
    </format>
    <format dxfId="32">
      <pivotArea dataOnly="0" labelOnly="1" fieldPosition="0">
        <references count="2">
          <reference field="0" count="1" selected="0">
            <x v="255"/>
          </reference>
          <reference field="1" count="1">
            <x v="156"/>
          </reference>
        </references>
      </pivotArea>
    </format>
    <format dxfId="31">
      <pivotArea dataOnly="0" labelOnly="1" fieldPosition="0">
        <references count="2">
          <reference field="0" count="1" selected="0">
            <x v="256"/>
          </reference>
          <reference field="1" count="1">
            <x v="29"/>
          </reference>
        </references>
      </pivotArea>
    </format>
    <format dxfId="30">
      <pivotArea dataOnly="0" labelOnly="1" fieldPosition="0">
        <references count="2">
          <reference field="0" count="1" selected="0">
            <x v="257"/>
          </reference>
          <reference field="1" count="1">
            <x v="73"/>
          </reference>
        </references>
      </pivotArea>
    </format>
    <format dxfId="29">
      <pivotArea dataOnly="0" labelOnly="1" fieldPosition="0">
        <references count="2">
          <reference field="0" count="1" selected="0">
            <x v="258"/>
          </reference>
          <reference field="1" count="1">
            <x v="73"/>
          </reference>
        </references>
      </pivotArea>
    </format>
    <format dxfId="28">
      <pivotArea dataOnly="0" labelOnly="1" fieldPosition="0">
        <references count="2">
          <reference field="0" count="1" selected="0">
            <x v="260"/>
          </reference>
          <reference field="1" count="1">
            <x v="202"/>
          </reference>
        </references>
      </pivotArea>
    </format>
    <format dxfId="27">
      <pivotArea dataOnly="0" labelOnly="1" fieldPosition="0">
        <references count="2">
          <reference field="0" count="1" selected="0">
            <x v="261"/>
          </reference>
          <reference field="1" count="1">
            <x v="159"/>
          </reference>
        </references>
      </pivotArea>
    </format>
    <format dxfId="26">
      <pivotArea dataOnly="0" labelOnly="1" fieldPosition="0">
        <references count="2">
          <reference field="0" count="1" selected="0">
            <x v="262"/>
          </reference>
          <reference field="1" count="1">
            <x v="160"/>
          </reference>
        </references>
      </pivotArea>
    </format>
    <format dxfId="25">
      <pivotArea dataOnly="0" labelOnly="1" fieldPosition="0">
        <references count="2">
          <reference field="0" count="1" selected="0">
            <x v="264"/>
          </reference>
          <reference field="1" count="1">
            <x v="177"/>
          </reference>
        </references>
      </pivotArea>
    </format>
    <format dxfId="24">
      <pivotArea dataOnly="0" labelOnly="1" fieldPosition="0">
        <references count="2">
          <reference field="0" count="1" selected="0">
            <x v="268"/>
          </reference>
          <reference field="1" count="1">
            <x v="121"/>
          </reference>
        </references>
      </pivotArea>
    </format>
    <format dxfId="23">
      <pivotArea dataOnly="0" labelOnly="1" fieldPosition="0">
        <references count="2">
          <reference field="0" count="1" selected="0">
            <x v="269"/>
          </reference>
          <reference field="1" count="1">
            <x v="196"/>
          </reference>
        </references>
      </pivotArea>
    </format>
    <format dxfId="22">
      <pivotArea dataOnly="0" labelOnly="1" fieldPosition="0">
        <references count="2">
          <reference field="0" count="1" selected="0">
            <x v="270"/>
          </reference>
          <reference field="1" count="1">
            <x v="183"/>
          </reference>
        </references>
      </pivotArea>
    </format>
    <format dxfId="21">
      <pivotArea dataOnly="0" labelOnly="1" fieldPosition="0">
        <references count="2">
          <reference field="0" count="1" selected="0">
            <x v="273"/>
          </reference>
          <reference field="1" count="2">
            <x v="206"/>
            <x v="207"/>
          </reference>
        </references>
      </pivotArea>
    </format>
    <format dxfId="20">
      <pivotArea dataOnly="0" labelOnly="1" fieldPosition="0">
        <references count="2">
          <reference field="0" count="1" selected="0">
            <x v="274"/>
          </reference>
          <reference field="1" count="1">
            <x v="208"/>
          </reference>
        </references>
      </pivotArea>
    </format>
    <format dxfId="19">
      <pivotArea dataOnly="0" labelOnly="1" fieldPosition="0">
        <references count="2">
          <reference field="0" count="1" selected="0">
            <x v="275"/>
          </reference>
          <reference field="1" count="1">
            <x v="209"/>
          </reference>
        </references>
      </pivotArea>
    </format>
    <format dxfId="18">
      <pivotArea dataOnly="0" labelOnly="1" fieldPosition="0">
        <references count="2">
          <reference field="0" count="1" selected="0">
            <x v="276"/>
          </reference>
          <reference field="1" count="2">
            <x v="157"/>
            <x v="158"/>
          </reference>
        </references>
      </pivotArea>
    </format>
    <format dxfId="17">
      <pivotArea dataOnly="0" labelOnly="1" fieldPosition="0">
        <references count="2">
          <reference field="0" count="1" selected="0">
            <x v="278"/>
          </reference>
          <reference field="1" count="1">
            <x v="111"/>
          </reference>
        </references>
      </pivotArea>
    </format>
    <format dxfId="16">
      <pivotArea dataOnly="0" labelOnly="1" fieldPosition="0">
        <references count="2">
          <reference field="0" count="1" selected="0">
            <x v="281"/>
          </reference>
          <reference field="1" count="1">
            <x v="61"/>
          </reference>
        </references>
      </pivotArea>
    </format>
    <format dxfId="15">
      <pivotArea dataOnly="0" labelOnly="1" fieldPosition="0">
        <references count="2">
          <reference field="0" count="1" selected="0">
            <x v="282"/>
          </reference>
          <reference field="1" count="1">
            <x v="30"/>
          </reference>
        </references>
      </pivotArea>
    </format>
    <format dxfId="14">
      <pivotArea dataOnly="0" labelOnly="1" fieldPosition="0">
        <references count="2">
          <reference field="0" count="1" selected="0">
            <x v="283"/>
          </reference>
          <reference field="1" count="1">
            <x v="214"/>
          </reference>
        </references>
      </pivotArea>
    </format>
    <format dxfId="13">
      <pivotArea dataOnly="0" labelOnly="1" fieldPosition="0">
        <references count="2">
          <reference field="0" count="1" selected="0">
            <x v="285"/>
          </reference>
          <reference field="1" count="2">
            <x v="215"/>
            <x v="216"/>
          </reference>
        </references>
      </pivotArea>
    </format>
    <format dxfId="12">
      <pivotArea dataOnly="0" labelOnly="1" fieldPosition="0">
        <references count="2">
          <reference field="0" count="1" selected="0">
            <x v="286"/>
          </reference>
          <reference field="1" count="2">
            <x v="215"/>
            <x v="216"/>
          </reference>
        </references>
      </pivotArea>
    </format>
    <format dxfId="11">
      <pivotArea dataOnly="0" labelOnly="1" fieldPosition="0">
        <references count="2">
          <reference field="0" count="1" selected="0">
            <x v="287"/>
          </reference>
          <reference field="1" count="2">
            <x v="117"/>
            <x v="118"/>
          </reference>
        </references>
      </pivotArea>
    </format>
    <format dxfId="10">
      <pivotArea dataOnly="0" labelOnly="1" fieldPosition="0">
        <references count="2">
          <reference field="0" count="1" selected="0">
            <x v="292"/>
          </reference>
          <reference field="1" count="1">
            <x v="217"/>
          </reference>
        </references>
      </pivotArea>
    </format>
    <format dxfId="9">
      <pivotArea dataOnly="0" labelOnly="1" fieldPosition="0">
        <references count="2">
          <reference field="0" count="1" selected="0">
            <x v="293"/>
          </reference>
          <reference field="1" count="3">
            <x v="218"/>
            <x v="219"/>
            <x v="220"/>
          </reference>
        </references>
      </pivotArea>
    </format>
    <format dxfId="8">
      <pivotArea dataOnly="0" labelOnly="1" fieldPosition="0">
        <references count="2">
          <reference field="0" count="1" selected="0">
            <x v="294"/>
          </reference>
          <reference field="1" count="1">
            <x v="182"/>
          </reference>
        </references>
      </pivotArea>
    </format>
    <format dxfId="7">
      <pivotArea dataOnly="0" labelOnly="1" fieldPosition="0">
        <references count="2">
          <reference field="0" count="1" selected="0">
            <x v="295"/>
          </reference>
          <reference field="1" count="2">
            <x v="221"/>
            <x v="222"/>
          </reference>
        </references>
      </pivotArea>
    </format>
    <format dxfId="6">
      <pivotArea dataOnly="0" labelOnly="1" fieldPosition="0">
        <references count="2">
          <reference field="0" count="1" selected="0">
            <x v="297"/>
          </reference>
          <reference field="1" count="1">
            <x v="32"/>
          </reference>
        </references>
      </pivotArea>
    </format>
    <format dxfId="5">
      <pivotArea dataOnly="0" labelOnly="1" fieldPosition="0">
        <references count="2">
          <reference field="0" count="1" selected="0">
            <x v="298"/>
          </reference>
          <reference field="1" count="1">
            <x v="151"/>
          </reference>
        </references>
      </pivotArea>
    </format>
    <format dxfId="4">
      <pivotArea dataOnly="0" labelOnly="1" fieldPosition="0">
        <references count="2">
          <reference field="0" count="1" selected="0">
            <x v="302"/>
          </reference>
          <reference field="1" count="1">
            <x v="164"/>
          </reference>
        </references>
      </pivotArea>
    </format>
    <format dxfId="3">
      <pivotArea dataOnly="0" labelOnly="1" fieldPosition="0">
        <references count="2">
          <reference field="0" count="1" selected="0">
            <x v="303"/>
          </reference>
          <reference field="1" count="2">
            <x v="205"/>
            <x v="227"/>
          </reference>
        </references>
      </pivotArea>
    </format>
    <format dxfId="2">
      <pivotArea dataOnly="0" labelOnly="1" fieldPosition="0">
        <references count="2">
          <reference field="0" count="1" selected="0">
            <x v="306"/>
          </reference>
          <reference field="1" count="2">
            <x v="229"/>
            <x v="230"/>
          </reference>
        </references>
      </pivotArea>
    </format>
    <format dxfId="1">
      <pivotArea dataOnly="0" labelOnly="1" fieldPosition="0">
        <references count="2">
          <reference field="0" count="1" selected="0">
            <x v="307"/>
          </reference>
          <reference field="1" count="1">
            <x v="99"/>
          </reference>
        </references>
      </pivotArea>
    </format>
    <format dxfId="0">
      <pivotArea dataOnly="0" labelOnly="1" outline="0" fieldPosition="0">
        <references count="1">
          <reference field="0" count="1">
            <x v="2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3D817-D3DD-4056-B28E-1D543DEE47AD}">
  <dimension ref="A1:I1713"/>
  <sheetViews>
    <sheetView showGridLines="0" tabSelected="1" zoomScale="90" zoomScaleNormal="90" workbookViewId="0">
      <pane xSplit="2" ySplit="4" topLeftCell="C318" activePane="bottomRight" state="frozen"/>
      <selection pane="topRight" activeCell="C1" sqref="C1"/>
      <selection pane="bottomLeft" activeCell="A5" sqref="A5"/>
      <selection pane="bottomRight" activeCell="B322" sqref="B322"/>
    </sheetView>
  </sheetViews>
  <sheetFormatPr defaultRowHeight="14.5"/>
  <cols>
    <col min="1" max="1" width="27.90625" style="8" customWidth="1"/>
    <col min="2" max="2" width="33.90625" style="67" customWidth="1"/>
    <col min="3" max="3" width="118.08984375" style="8" customWidth="1"/>
    <col min="4" max="16384" width="8.7265625" style="8"/>
  </cols>
  <sheetData>
    <row r="1" spans="1:3">
      <c r="A1" s="65" t="s">
        <v>5063</v>
      </c>
      <c r="B1" s="66">
        <v>1</v>
      </c>
    </row>
    <row r="3" spans="1:3">
      <c r="B3" s="8"/>
    </row>
    <row r="4" spans="1:3">
      <c r="A4" s="69" t="s">
        <v>1690</v>
      </c>
      <c r="B4" s="69" t="s">
        <v>5064</v>
      </c>
      <c r="C4" s="69" t="s">
        <v>2023</v>
      </c>
    </row>
    <row r="5" spans="1:3" ht="29">
      <c r="A5" s="8" t="s">
        <v>1112</v>
      </c>
      <c r="B5" s="8" t="s">
        <v>1113</v>
      </c>
      <c r="C5" s="8" t="s">
        <v>1907</v>
      </c>
    </row>
    <row r="6" spans="1:3" ht="29">
      <c r="B6" s="8" t="s">
        <v>60</v>
      </c>
      <c r="C6" s="8" t="s">
        <v>1908</v>
      </c>
    </row>
    <row r="7" spans="1:3">
      <c r="B7" s="8" t="s">
        <v>1122</v>
      </c>
      <c r="C7" s="8" t="s">
        <v>1909</v>
      </c>
    </row>
    <row r="8" spans="1:3" ht="43.5">
      <c r="B8" s="8" t="s">
        <v>1126</v>
      </c>
      <c r="C8" s="8" t="s">
        <v>1910</v>
      </c>
    </row>
    <row r="9" spans="1:3">
      <c r="B9" s="8" t="s">
        <v>1133</v>
      </c>
      <c r="C9" s="8" t="s">
        <v>1911</v>
      </c>
    </row>
    <row r="10" spans="1:3" ht="29">
      <c r="B10" s="8" t="s">
        <v>1136</v>
      </c>
      <c r="C10" s="8" t="s">
        <v>1912</v>
      </c>
    </row>
    <row r="11" spans="1:3" ht="29">
      <c r="B11" s="8" t="s">
        <v>1141</v>
      </c>
      <c r="C11" s="8" t="s">
        <v>1913</v>
      </c>
    </row>
    <row r="12" spans="1:3" ht="29">
      <c r="B12" s="8" t="s">
        <v>191</v>
      </c>
      <c r="C12" s="8" t="s">
        <v>1914</v>
      </c>
    </row>
    <row r="13" spans="1:3">
      <c r="B13" s="8" t="s">
        <v>1154</v>
      </c>
      <c r="C13" s="8" t="s">
        <v>1915</v>
      </c>
    </row>
    <row r="14" spans="1:3" ht="29">
      <c r="B14" s="8" t="s">
        <v>1157</v>
      </c>
      <c r="C14" s="8" t="s">
        <v>1916</v>
      </c>
    </row>
    <row r="15" spans="1:3" ht="29">
      <c r="B15" s="8" t="s">
        <v>1163</v>
      </c>
      <c r="C15" s="8" t="s">
        <v>1917</v>
      </c>
    </row>
    <row r="16" spans="1:3" ht="29">
      <c r="B16" s="8" t="s">
        <v>1168</v>
      </c>
      <c r="C16" s="8" t="s">
        <v>1918</v>
      </c>
    </row>
    <row r="17" spans="1:3" ht="29">
      <c r="B17" s="8" t="s">
        <v>1172</v>
      </c>
      <c r="C17" s="8" t="s">
        <v>1919</v>
      </c>
    </row>
    <row r="18" spans="1:3">
      <c r="B18" s="8" t="s">
        <v>1177</v>
      </c>
      <c r="C18" s="8" t="s">
        <v>1920</v>
      </c>
    </row>
    <row r="19" spans="1:3" ht="29">
      <c r="B19" s="8" t="s">
        <v>1180</v>
      </c>
      <c r="C19" s="8" t="s">
        <v>1921</v>
      </c>
    </row>
    <row r="20" spans="1:3" ht="43.5">
      <c r="B20" s="8" t="s">
        <v>1186</v>
      </c>
      <c r="C20" s="8" t="s">
        <v>1922</v>
      </c>
    </row>
    <row r="21" spans="1:3">
      <c r="B21" s="8" t="s">
        <v>1195</v>
      </c>
      <c r="C21" s="8" t="s">
        <v>1923</v>
      </c>
    </row>
    <row r="22" spans="1:3">
      <c r="B22" s="8" t="s">
        <v>1198</v>
      </c>
      <c r="C22" s="8" t="s">
        <v>1924</v>
      </c>
    </row>
    <row r="23" spans="1:3" ht="29">
      <c r="B23" s="8" t="s">
        <v>1200</v>
      </c>
      <c r="C23" s="8" t="s">
        <v>1925</v>
      </c>
    </row>
    <row r="24" spans="1:3">
      <c r="B24" s="8" t="s">
        <v>1205</v>
      </c>
      <c r="C24" s="8" t="s">
        <v>1926</v>
      </c>
    </row>
    <row r="25" spans="1:3" ht="29">
      <c r="B25" s="8" t="s">
        <v>1208</v>
      </c>
      <c r="C25" s="8" t="s">
        <v>1927</v>
      </c>
    </row>
    <row r="26" spans="1:3">
      <c r="B26" s="8" t="s">
        <v>1213</v>
      </c>
      <c r="C26" s="8" t="s">
        <v>1928</v>
      </c>
    </row>
    <row r="27" spans="1:3" ht="29">
      <c r="B27" s="8" t="s">
        <v>1217</v>
      </c>
      <c r="C27" s="8" t="s">
        <v>1929</v>
      </c>
    </row>
    <row r="28" spans="1:3">
      <c r="B28" s="8" t="s">
        <v>1221</v>
      </c>
      <c r="C28" s="8" t="s">
        <v>1930</v>
      </c>
    </row>
    <row r="29" spans="1:3" ht="43.5">
      <c r="B29" s="8" t="s">
        <v>1224</v>
      </c>
      <c r="C29" s="8" t="s">
        <v>1931</v>
      </c>
    </row>
    <row r="30" spans="1:3" ht="101.5">
      <c r="B30" s="8" t="s">
        <v>1232</v>
      </c>
      <c r="C30" s="8" t="s">
        <v>1932</v>
      </c>
    </row>
    <row r="31" spans="1:3">
      <c r="A31" s="8" t="s">
        <v>1689</v>
      </c>
      <c r="B31" s="8" t="s">
        <v>696</v>
      </c>
      <c r="C31" s="8" t="s">
        <v>1824</v>
      </c>
    </row>
    <row r="32" spans="1:3" ht="43.5">
      <c r="B32" s="8" t="s">
        <v>701</v>
      </c>
      <c r="C32" s="8" t="s">
        <v>1825</v>
      </c>
    </row>
    <row r="33" spans="2:3" ht="29">
      <c r="B33" s="8" t="s">
        <v>709</v>
      </c>
      <c r="C33" s="8" t="s">
        <v>1826</v>
      </c>
    </row>
    <row r="34" spans="2:3" ht="29">
      <c r="B34" s="8" t="s">
        <v>714</v>
      </c>
      <c r="C34" s="8" t="s">
        <v>1827</v>
      </c>
    </row>
    <row r="35" spans="2:3" ht="29">
      <c r="B35" s="8" t="s">
        <v>720</v>
      </c>
      <c r="C35" s="8" t="s">
        <v>1828</v>
      </c>
    </row>
    <row r="36" spans="2:3" ht="29">
      <c r="B36" s="8" t="s">
        <v>724</v>
      </c>
      <c r="C36" s="8" t="s">
        <v>1829</v>
      </c>
    </row>
    <row r="37" spans="2:3" ht="29">
      <c r="B37" s="8" t="s">
        <v>731</v>
      </c>
      <c r="C37" s="8" t="s">
        <v>1830</v>
      </c>
    </row>
    <row r="38" spans="2:3" ht="29">
      <c r="B38" s="8" t="s">
        <v>737</v>
      </c>
      <c r="C38" s="8" t="s">
        <v>1831</v>
      </c>
    </row>
    <row r="39" spans="2:3" ht="29">
      <c r="B39" s="8" t="s">
        <v>742</v>
      </c>
      <c r="C39" s="8" t="s">
        <v>1832</v>
      </c>
    </row>
    <row r="40" spans="2:3" ht="29">
      <c r="B40" s="8" t="s">
        <v>748</v>
      </c>
      <c r="C40" s="8" t="s">
        <v>1833</v>
      </c>
    </row>
    <row r="41" spans="2:3" ht="29">
      <c r="B41" s="8" t="s">
        <v>753</v>
      </c>
      <c r="C41" s="8" t="s">
        <v>1834</v>
      </c>
    </row>
    <row r="42" spans="2:3">
      <c r="B42" s="8" t="s">
        <v>758</v>
      </c>
      <c r="C42" s="8" t="s">
        <v>1835</v>
      </c>
    </row>
    <row r="43" spans="2:3">
      <c r="B43" s="8" t="s">
        <v>762</v>
      </c>
      <c r="C43" s="8" t="s">
        <v>1836</v>
      </c>
    </row>
    <row r="44" spans="2:3" ht="29">
      <c r="B44" s="8" t="s">
        <v>585</v>
      </c>
      <c r="C44" s="8" t="s">
        <v>1803</v>
      </c>
    </row>
    <row r="45" spans="2:3" ht="29">
      <c r="B45" s="8" t="s">
        <v>766</v>
      </c>
      <c r="C45" s="8" t="s">
        <v>1837</v>
      </c>
    </row>
    <row r="46" spans="2:3" ht="29">
      <c r="B46" s="8" t="s">
        <v>591</v>
      </c>
      <c r="C46" s="8" t="s">
        <v>1804</v>
      </c>
    </row>
    <row r="47" spans="2:3" ht="29">
      <c r="B47" s="8" t="s">
        <v>772</v>
      </c>
      <c r="C47" s="8" t="s">
        <v>1838</v>
      </c>
    </row>
    <row r="48" spans="2:3" ht="29">
      <c r="B48" s="8" t="s">
        <v>598</v>
      </c>
      <c r="C48" s="8" t="s">
        <v>1805</v>
      </c>
    </row>
    <row r="49" spans="2:3" ht="29">
      <c r="B49" s="8" t="s">
        <v>604</v>
      </c>
      <c r="C49" s="8" t="s">
        <v>1806</v>
      </c>
    </row>
    <row r="50" spans="2:3">
      <c r="B50" s="8" t="s">
        <v>610</v>
      </c>
      <c r="C50" s="8" t="s">
        <v>1807</v>
      </c>
    </row>
    <row r="51" spans="2:3">
      <c r="B51" s="8" t="s">
        <v>613</v>
      </c>
      <c r="C51" s="8" t="s">
        <v>1808</v>
      </c>
    </row>
    <row r="52" spans="2:3">
      <c r="B52" s="8" t="s">
        <v>617</v>
      </c>
      <c r="C52" s="8" t="s">
        <v>1809</v>
      </c>
    </row>
    <row r="53" spans="2:3">
      <c r="B53" s="8" t="s">
        <v>778</v>
      </c>
      <c r="C53" s="8" t="s">
        <v>1839</v>
      </c>
    </row>
    <row r="54" spans="2:3">
      <c r="B54" s="8" t="s">
        <v>621</v>
      </c>
      <c r="C54" s="8" t="s">
        <v>1810</v>
      </c>
    </row>
    <row r="55" spans="2:3" ht="43.5">
      <c r="B55" s="8" t="s">
        <v>335</v>
      </c>
      <c r="C55" s="8" t="s">
        <v>1840</v>
      </c>
    </row>
    <row r="56" spans="2:3" ht="29">
      <c r="B56" s="8" t="s">
        <v>791</v>
      </c>
      <c r="C56" s="8" t="s">
        <v>1841</v>
      </c>
    </row>
    <row r="57" spans="2:3" ht="43.5">
      <c r="B57" s="8" t="s">
        <v>624</v>
      </c>
      <c r="C57" s="8" t="s">
        <v>1811</v>
      </c>
    </row>
    <row r="58" spans="2:3">
      <c r="B58" s="8" t="s">
        <v>634</v>
      </c>
      <c r="C58" s="8" t="s">
        <v>1812</v>
      </c>
    </row>
    <row r="59" spans="2:3" ht="29">
      <c r="B59" s="8" t="s">
        <v>638</v>
      </c>
      <c r="C59" s="8" t="s">
        <v>1813</v>
      </c>
    </row>
    <row r="60" spans="2:3" ht="29">
      <c r="B60" s="8" t="s">
        <v>646</v>
      </c>
      <c r="C60" s="8" t="s">
        <v>1814</v>
      </c>
    </row>
    <row r="61" spans="2:3" ht="29">
      <c r="B61" s="8" t="s">
        <v>797</v>
      </c>
      <c r="C61" s="8" t="s">
        <v>1842</v>
      </c>
    </row>
    <row r="62" spans="2:3" ht="29">
      <c r="B62" s="8" t="s">
        <v>361</v>
      </c>
      <c r="C62" s="8" t="s">
        <v>1815</v>
      </c>
    </row>
    <row r="63" spans="2:3">
      <c r="B63" s="8" t="s">
        <v>803</v>
      </c>
      <c r="C63" s="8" t="s">
        <v>1843</v>
      </c>
    </row>
    <row r="64" spans="2:3">
      <c r="B64" s="8" t="s">
        <v>807</v>
      </c>
      <c r="C64" s="8" t="s">
        <v>1844</v>
      </c>
    </row>
    <row r="65" spans="1:3">
      <c r="B65" s="8" t="s">
        <v>811</v>
      </c>
      <c r="C65" s="8" t="s">
        <v>1845</v>
      </c>
    </row>
    <row r="66" spans="1:3" ht="29">
      <c r="B66" s="8" t="s">
        <v>655</v>
      </c>
      <c r="C66" s="8" t="s">
        <v>1816</v>
      </c>
    </row>
    <row r="67" spans="1:3" ht="29">
      <c r="B67" s="8" t="s">
        <v>815</v>
      </c>
      <c r="C67" s="8" t="s">
        <v>1846</v>
      </c>
    </row>
    <row r="68" spans="1:3" ht="29">
      <c r="B68" s="8" t="s">
        <v>663</v>
      </c>
      <c r="C68" s="8" t="s">
        <v>1817</v>
      </c>
    </row>
    <row r="69" spans="1:3">
      <c r="B69" s="8" t="s">
        <v>668</v>
      </c>
      <c r="C69" s="8" t="s">
        <v>1818</v>
      </c>
    </row>
    <row r="70" spans="1:3" ht="29">
      <c r="B70" s="8" t="s">
        <v>672</v>
      </c>
      <c r="C70" s="8" t="s">
        <v>1819</v>
      </c>
    </row>
    <row r="71" spans="1:3">
      <c r="B71" s="8" t="s">
        <v>820</v>
      </c>
      <c r="C71" s="8" t="s">
        <v>1847</v>
      </c>
    </row>
    <row r="72" spans="1:3" ht="29">
      <c r="B72" s="8" t="s">
        <v>678</v>
      </c>
      <c r="C72" s="8" t="s">
        <v>1820</v>
      </c>
    </row>
    <row r="73" spans="1:3" ht="29">
      <c r="B73" s="8" t="s">
        <v>682</v>
      </c>
      <c r="C73" s="8" t="s">
        <v>1821</v>
      </c>
    </row>
    <row r="74" spans="1:3" ht="58">
      <c r="B74" s="8" t="s">
        <v>823</v>
      </c>
      <c r="C74" s="8" t="s">
        <v>1848</v>
      </c>
    </row>
    <row r="75" spans="1:3">
      <c r="B75" s="8" t="s">
        <v>689</v>
      </c>
      <c r="C75" s="8" t="s">
        <v>1822</v>
      </c>
    </row>
    <row r="76" spans="1:3" ht="29">
      <c r="B76" s="8" t="s">
        <v>837</v>
      </c>
      <c r="C76" s="8" t="s">
        <v>1849</v>
      </c>
    </row>
    <row r="77" spans="1:3">
      <c r="B77" s="8" t="s">
        <v>843</v>
      </c>
      <c r="C77" s="8" t="s">
        <v>1850</v>
      </c>
    </row>
    <row r="78" spans="1:3" ht="29">
      <c r="B78" s="8" t="s">
        <v>846</v>
      </c>
      <c r="C78" s="8" t="s">
        <v>2026</v>
      </c>
    </row>
    <row r="79" spans="1:3" ht="159.5">
      <c r="B79" s="8" t="s">
        <v>693</v>
      </c>
      <c r="C79" s="8" t="s">
        <v>1823</v>
      </c>
    </row>
    <row r="80" spans="1:3" ht="43.5">
      <c r="A80" s="8" t="s">
        <v>144</v>
      </c>
      <c r="B80" s="8" t="s">
        <v>147</v>
      </c>
      <c r="C80" s="8" t="s">
        <v>1729</v>
      </c>
    </row>
    <row r="81" spans="2:3">
      <c r="B81" s="8" t="s">
        <v>156</v>
      </c>
      <c r="C81" s="8" t="s">
        <v>1730</v>
      </c>
    </row>
    <row r="82" spans="2:3" ht="29">
      <c r="B82" s="8" t="s">
        <v>160</v>
      </c>
      <c r="C82" s="8" t="s">
        <v>1731</v>
      </c>
    </row>
    <row r="83" spans="2:3" ht="29">
      <c r="B83" s="8" t="s">
        <v>165</v>
      </c>
      <c r="C83" s="8" t="s">
        <v>1732</v>
      </c>
    </row>
    <row r="84" spans="2:3" ht="29">
      <c r="B84" s="8" t="s">
        <v>173</v>
      </c>
      <c r="C84" s="8" t="s">
        <v>1733</v>
      </c>
    </row>
    <row r="85" spans="2:3" ht="29">
      <c r="B85" s="8" t="s">
        <v>179</v>
      </c>
      <c r="C85" s="8" t="s">
        <v>1734</v>
      </c>
    </row>
    <row r="86" spans="2:3" ht="29">
      <c r="B86" s="8" t="s">
        <v>184</v>
      </c>
      <c r="C86" s="8" t="s">
        <v>1735</v>
      </c>
    </row>
    <row r="87" spans="2:3" ht="29">
      <c r="B87" s="8" t="s">
        <v>191</v>
      </c>
      <c r="C87" s="8" t="s">
        <v>1736</v>
      </c>
    </row>
    <row r="88" spans="2:3" ht="29">
      <c r="B88" s="8" t="s">
        <v>196</v>
      </c>
      <c r="C88" s="8" t="s">
        <v>1737</v>
      </c>
    </row>
    <row r="89" spans="2:3" ht="29">
      <c r="B89" s="8" t="s">
        <v>201</v>
      </c>
      <c r="C89" s="8" t="s">
        <v>1738</v>
      </c>
    </row>
    <row r="90" spans="2:3" ht="43.5">
      <c r="B90" s="8" t="s">
        <v>207</v>
      </c>
      <c r="C90" s="8" t="s">
        <v>1739</v>
      </c>
    </row>
    <row r="91" spans="2:3" ht="43.5">
      <c r="B91" s="8" t="s">
        <v>218</v>
      </c>
      <c r="C91" s="8" t="s">
        <v>1740</v>
      </c>
    </row>
    <row r="92" spans="2:3">
      <c r="B92" s="8" t="s">
        <v>226</v>
      </c>
      <c r="C92" s="8" t="s">
        <v>1741</v>
      </c>
    </row>
    <row r="93" spans="2:3">
      <c r="B93" s="8" t="s">
        <v>230</v>
      </c>
      <c r="C93" s="8" t="s">
        <v>1742</v>
      </c>
    </row>
    <row r="94" spans="2:3">
      <c r="B94" s="8" t="s">
        <v>234</v>
      </c>
      <c r="C94" s="8" t="s">
        <v>1743</v>
      </c>
    </row>
    <row r="95" spans="2:3" ht="29">
      <c r="B95" s="8" t="s">
        <v>238</v>
      </c>
      <c r="C95" s="8" t="s">
        <v>1744</v>
      </c>
    </row>
    <row r="96" spans="2:3" ht="29">
      <c r="B96" s="8" t="s">
        <v>243</v>
      </c>
      <c r="C96" s="8" t="s">
        <v>1745</v>
      </c>
    </row>
    <row r="97" spans="2:3">
      <c r="B97" s="8" t="s">
        <v>250</v>
      </c>
      <c r="C97" s="8" t="s">
        <v>1746</v>
      </c>
    </row>
    <row r="98" spans="2:3" ht="29">
      <c r="B98" s="8" t="s">
        <v>254</v>
      </c>
      <c r="C98" s="8" t="s">
        <v>1747</v>
      </c>
    </row>
    <row r="99" spans="2:3" ht="29">
      <c r="B99" s="8" t="s">
        <v>262</v>
      </c>
      <c r="C99" s="8" t="s">
        <v>1748</v>
      </c>
    </row>
    <row r="100" spans="2:3" ht="29">
      <c r="B100" s="8" t="s">
        <v>269</v>
      </c>
      <c r="C100" s="8" t="s">
        <v>1749</v>
      </c>
    </row>
    <row r="101" spans="2:3" ht="29">
      <c r="B101" s="8" t="s">
        <v>275</v>
      </c>
      <c r="C101" s="8" t="s">
        <v>1750</v>
      </c>
    </row>
    <row r="102" spans="2:3" ht="43.5">
      <c r="B102" s="8" t="s">
        <v>281</v>
      </c>
      <c r="C102" s="8" t="s">
        <v>1751</v>
      </c>
    </row>
    <row r="103" spans="2:3">
      <c r="B103" s="8" t="s">
        <v>291</v>
      </c>
      <c r="C103" s="8" t="s">
        <v>1752</v>
      </c>
    </row>
    <row r="104" spans="2:3">
      <c r="B104" s="8" t="s">
        <v>294</v>
      </c>
      <c r="C104" s="8" t="s">
        <v>1753</v>
      </c>
    </row>
    <row r="105" spans="2:3" ht="29">
      <c r="B105" s="8" t="s">
        <v>298</v>
      </c>
      <c r="C105" s="8" t="s">
        <v>1754</v>
      </c>
    </row>
    <row r="106" spans="2:3">
      <c r="B106" s="8" t="s">
        <v>304</v>
      </c>
      <c r="C106" s="8" t="s">
        <v>1755</v>
      </c>
    </row>
    <row r="107" spans="2:3" ht="29">
      <c r="B107" s="8" t="s">
        <v>308</v>
      </c>
      <c r="C107" s="8" t="s">
        <v>1756</v>
      </c>
    </row>
    <row r="108" spans="2:3" ht="29">
      <c r="B108" s="8" t="s">
        <v>314</v>
      </c>
      <c r="C108" s="8" t="s">
        <v>1757</v>
      </c>
    </row>
    <row r="109" spans="2:3">
      <c r="B109" s="8" t="s">
        <v>321</v>
      </c>
      <c r="C109" s="8" t="s">
        <v>1758</v>
      </c>
    </row>
    <row r="110" spans="2:3">
      <c r="B110" s="8" t="s">
        <v>324</v>
      </c>
      <c r="C110" s="8" t="s">
        <v>1759</v>
      </c>
    </row>
    <row r="111" spans="2:3" ht="29">
      <c r="B111" s="8" t="s">
        <v>329</v>
      </c>
      <c r="C111" s="8" t="s">
        <v>1760</v>
      </c>
    </row>
    <row r="112" spans="2:3">
      <c r="B112" s="8" t="s">
        <v>335</v>
      </c>
      <c r="C112" s="8" t="s">
        <v>1761</v>
      </c>
    </row>
    <row r="113" spans="1:3" ht="29">
      <c r="B113" s="8" t="s">
        <v>340</v>
      </c>
      <c r="C113" s="8" t="s">
        <v>1762</v>
      </c>
    </row>
    <row r="114" spans="1:3" ht="29">
      <c r="B114" s="8" t="s">
        <v>345</v>
      </c>
      <c r="C114" s="8" t="s">
        <v>1763</v>
      </c>
    </row>
    <row r="115" spans="1:3">
      <c r="B115" s="8" t="s">
        <v>351</v>
      </c>
      <c r="C115" s="8" t="s">
        <v>1764</v>
      </c>
    </row>
    <row r="116" spans="1:3" ht="29">
      <c r="B116" s="8" t="s">
        <v>356</v>
      </c>
      <c r="C116" s="8" t="s">
        <v>1765</v>
      </c>
    </row>
    <row r="117" spans="1:3">
      <c r="B117" s="8" t="s">
        <v>361</v>
      </c>
      <c r="C117" s="8" t="s">
        <v>1766</v>
      </c>
    </row>
    <row r="118" spans="1:3" ht="43.5">
      <c r="B118" s="8" t="s">
        <v>364</v>
      </c>
      <c r="C118" s="8" t="s">
        <v>1767</v>
      </c>
    </row>
    <row r="119" spans="1:3" ht="43.5">
      <c r="B119" s="8" t="s">
        <v>374</v>
      </c>
      <c r="C119" s="8" t="s">
        <v>2025</v>
      </c>
    </row>
    <row r="120" spans="1:3" ht="29">
      <c r="A120" s="8" t="s">
        <v>0</v>
      </c>
      <c r="B120" s="8" t="s">
        <v>1</v>
      </c>
      <c r="C120" s="8" t="s">
        <v>1691</v>
      </c>
    </row>
    <row r="121" spans="1:3" ht="29">
      <c r="B121" s="8" t="s">
        <v>3</v>
      </c>
      <c r="C121" s="8" t="s">
        <v>1692</v>
      </c>
    </row>
    <row r="122" spans="1:3" ht="29">
      <c r="B122" s="8" t="s">
        <v>5</v>
      </c>
      <c r="C122" s="8" t="s">
        <v>1693</v>
      </c>
    </row>
    <row r="123" spans="1:3" ht="29">
      <c r="B123" s="8" t="s">
        <v>7</v>
      </c>
      <c r="C123" s="8" t="s">
        <v>1694</v>
      </c>
    </row>
    <row r="124" spans="1:3" ht="29">
      <c r="B124" s="8" t="s">
        <v>9</v>
      </c>
      <c r="C124" s="8" t="s">
        <v>1695</v>
      </c>
    </row>
    <row r="125" spans="1:3">
      <c r="B125" s="8" t="s">
        <v>11</v>
      </c>
      <c r="C125" s="8" t="s">
        <v>1696</v>
      </c>
    </row>
    <row r="126" spans="1:3" ht="58">
      <c r="B126" s="8" t="s">
        <v>13</v>
      </c>
      <c r="C126" s="8" t="s">
        <v>1697</v>
      </c>
    </row>
    <row r="127" spans="1:3">
      <c r="B127" s="8" t="s">
        <v>17</v>
      </c>
      <c r="C127" s="8" t="s">
        <v>1698</v>
      </c>
    </row>
    <row r="128" spans="1:3" ht="43.5">
      <c r="B128" s="8" t="s">
        <v>19</v>
      </c>
      <c r="C128" s="8" t="s">
        <v>1699</v>
      </c>
    </row>
    <row r="129" spans="2:3">
      <c r="B129" s="8" t="s">
        <v>21</v>
      </c>
      <c r="C129" s="8" t="s">
        <v>1700</v>
      </c>
    </row>
    <row r="130" spans="2:3" ht="29">
      <c r="B130" s="8" t="s">
        <v>23</v>
      </c>
      <c r="C130" s="8" t="s">
        <v>1701</v>
      </c>
    </row>
    <row r="131" spans="2:3">
      <c r="B131" s="8" t="s">
        <v>25</v>
      </c>
      <c r="C131" s="8" t="s">
        <v>1702</v>
      </c>
    </row>
    <row r="132" spans="2:3" ht="29">
      <c r="B132" s="8" t="s">
        <v>27</v>
      </c>
      <c r="C132" s="8" t="s">
        <v>1703</v>
      </c>
    </row>
    <row r="133" spans="2:3">
      <c r="B133" s="8" t="s">
        <v>29</v>
      </c>
      <c r="C133" s="8" t="s">
        <v>1704</v>
      </c>
    </row>
    <row r="134" spans="2:3" ht="29">
      <c r="B134" s="8" t="s">
        <v>31</v>
      </c>
      <c r="C134" s="8" t="s">
        <v>1705</v>
      </c>
    </row>
    <row r="135" spans="2:3" ht="43.5">
      <c r="B135" s="8" t="s">
        <v>33</v>
      </c>
      <c r="C135" s="8" t="s">
        <v>1706</v>
      </c>
    </row>
    <row r="136" spans="2:3" ht="29">
      <c r="B136" s="8" t="s">
        <v>35</v>
      </c>
      <c r="C136" s="8" t="s">
        <v>1707</v>
      </c>
    </row>
    <row r="137" spans="2:3" ht="29">
      <c r="B137" s="8" t="s">
        <v>39</v>
      </c>
      <c r="C137" s="8" t="s">
        <v>1709</v>
      </c>
    </row>
    <row r="138" spans="2:3" ht="29">
      <c r="B138" s="8" t="s">
        <v>37</v>
      </c>
      <c r="C138" s="8" t="s">
        <v>1708</v>
      </c>
    </row>
    <row r="139" spans="2:3" ht="29">
      <c r="B139" s="8" t="s">
        <v>41</v>
      </c>
      <c r="C139" s="8" t="s">
        <v>1710</v>
      </c>
    </row>
    <row r="140" spans="2:3" ht="29">
      <c r="B140" s="8" t="s">
        <v>43</v>
      </c>
      <c r="C140" s="8" t="s">
        <v>1711</v>
      </c>
    </row>
    <row r="141" spans="2:3" ht="29">
      <c r="B141" s="8" t="s">
        <v>45</v>
      </c>
      <c r="C141" s="8" t="s">
        <v>1712</v>
      </c>
    </row>
    <row r="142" spans="2:3" ht="43.5">
      <c r="B142" s="8" t="s">
        <v>47</v>
      </c>
      <c r="C142" s="8" t="s">
        <v>1713</v>
      </c>
    </row>
    <row r="143" spans="2:3" ht="29">
      <c r="B143" s="8" t="s">
        <v>51</v>
      </c>
      <c r="C143" s="8" t="s">
        <v>1714</v>
      </c>
    </row>
    <row r="144" spans="2:3" ht="29">
      <c r="B144" s="8" t="s">
        <v>53</v>
      </c>
      <c r="C144" s="8" t="s">
        <v>1715</v>
      </c>
    </row>
    <row r="145" spans="1:3" ht="333.5">
      <c r="B145" s="8" t="s">
        <v>55</v>
      </c>
      <c r="C145" s="8" t="s">
        <v>1716</v>
      </c>
    </row>
    <row r="146" spans="1:3" ht="29">
      <c r="A146" s="8" t="s">
        <v>59</v>
      </c>
      <c r="B146" s="8" t="s">
        <v>60</v>
      </c>
      <c r="C146" s="8" t="s">
        <v>1717</v>
      </c>
    </row>
    <row r="147" spans="1:3" ht="43.5">
      <c r="B147" s="8" t="s">
        <v>66</v>
      </c>
      <c r="C147" s="8" t="s">
        <v>1718</v>
      </c>
    </row>
    <row r="148" spans="1:3">
      <c r="B148" s="8" t="s">
        <v>75</v>
      </c>
      <c r="C148" s="8" t="s">
        <v>1719</v>
      </c>
    </row>
    <row r="149" spans="1:3" ht="29">
      <c r="B149" s="8" t="s">
        <v>78</v>
      </c>
      <c r="C149" s="8" t="s">
        <v>1720</v>
      </c>
    </row>
    <row r="150" spans="1:3" ht="29">
      <c r="B150" s="8" t="s">
        <v>85</v>
      </c>
      <c r="C150" s="8" t="s">
        <v>1721</v>
      </c>
    </row>
    <row r="151" spans="1:3" ht="188.5">
      <c r="B151" s="8" t="s">
        <v>94</v>
      </c>
      <c r="C151" s="8" t="s">
        <v>1722</v>
      </c>
    </row>
    <row r="152" spans="1:3" ht="29">
      <c r="B152" s="8" t="s">
        <v>108</v>
      </c>
      <c r="C152" s="8" t="s">
        <v>1724</v>
      </c>
    </row>
    <row r="153" spans="1:3" ht="29">
      <c r="B153" s="8" t="s">
        <v>115</v>
      </c>
      <c r="C153" s="8" t="s">
        <v>1725</v>
      </c>
    </row>
    <row r="154" spans="1:3">
      <c r="B154" s="8" t="s">
        <v>104</v>
      </c>
      <c r="C154" s="8" t="s">
        <v>1723</v>
      </c>
    </row>
    <row r="155" spans="1:3" ht="29">
      <c r="B155" s="8" t="s">
        <v>120</v>
      </c>
      <c r="C155" s="8" t="s">
        <v>1726</v>
      </c>
    </row>
    <row r="156" spans="1:3" ht="29">
      <c r="B156" s="8" t="s">
        <v>127</v>
      </c>
      <c r="C156" s="8" t="s">
        <v>1727</v>
      </c>
    </row>
    <row r="157" spans="1:3" ht="29">
      <c r="B157" s="8" t="s">
        <v>135</v>
      </c>
      <c r="C157" s="8" t="s">
        <v>1728</v>
      </c>
    </row>
    <row r="158" spans="1:3" ht="145">
      <c r="B158" s="8" t="s">
        <v>141</v>
      </c>
      <c r="C158" s="8" t="s">
        <v>2024</v>
      </c>
    </row>
    <row r="159" spans="1:3" ht="29">
      <c r="A159" s="8" t="s">
        <v>852</v>
      </c>
      <c r="B159" s="8" t="s">
        <v>853</v>
      </c>
      <c r="C159" s="8" t="s">
        <v>1851</v>
      </c>
    </row>
    <row r="160" spans="1:3" ht="29">
      <c r="B160" s="8" t="s">
        <v>856</v>
      </c>
      <c r="C160" s="8" t="s">
        <v>1852</v>
      </c>
    </row>
    <row r="161" spans="2:3">
      <c r="B161" s="8" t="s">
        <v>861</v>
      </c>
      <c r="C161" s="8" t="s">
        <v>1853</v>
      </c>
    </row>
    <row r="162" spans="2:3" ht="43.5">
      <c r="B162" s="8" t="s">
        <v>864</v>
      </c>
      <c r="C162" s="8" t="s">
        <v>1854</v>
      </c>
    </row>
    <row r="163" spans="2:3">
      <c r="B163" s="8" t="s">
        <v>871</v>
      </c>
      <c r="C163" s="8" t="s">
        <v>1855</v>
      </c>
    </row>
    <row r="164" spans="2:3">
      <c r="B164" s="8" t="s">
        <v>874</v>
      </c>
      <c r="C164" s="8" t="s">
        <v>1856</v>
      </c>
    </row>
    <row r="165" spans="2:3">
      <c r="B165" s="8" t="s">
        <v>877</v>
      </c>
      <c r="C165" s="8" t="s">
        <v>1857</v>
      </c>
    </row>
    <row r="166" spans="2:3" ht="29">
      <c r="B166" s="8" t="s">
        <v>881</v>
      </c>
      <c r="C166" s="8" t="s">
        <v>1858</v>
      </c>
    </row>
    <row r="167" spans="2:3">
      <c r="B167" s="8" t="s">
        <v>885</v>
      </c>
      <c r="C167" s="8" t="s">
        <v>1859</v>
      </c>
    </row>
    <row r="168" spans="2:3">
      <c r="B168" s="8" t="s">
        <v>889</v>
      </c>
      <c r="C168" s="8" t="s">
        <v>1860</v>
      </c>
    </row>
    <row r="169" spans="2:3" ht="29">
      <c r="B169" s="8" t="s">
        <v>892</v>
      </c>
      <c r="C169" s="8" t="s">
        <v>1861</v>
      </c>
    </row>
    <row r="170" spans="2:3">
      <c r="B170" s="8" t="s">
        <v>896</v>
      </c>
      <c r="C170" s="8" t="s">
        <v>1862</v>
      </c>
    </row>
    <row r="171" spans="2:3" ht="29">
      <c r="B171" s="8" t="s">
        <v>898</v>
      </c>
      <c r="C171" s="8" t="s">
        <v>1863</v>
      </c>
    </row>
    <row r="172" spans="2:3">
      <c r="B172" s="8" t="s">
        <v>904</v>
      </c>
      <c r="C172" s="8" t="s">
        <v>1864</v>
      </c>
    </row>
    <row r="173" spans="2:3" ht="29">
      <c r="B173" s="8" t="s">
        <v>906</v>
      </c>
      <c r="C173" s="8" t="s">
        <v>1865</v>
      </c>
    </row>
    <row r="174" spans="2:3">
      <c r="B174" s="8" t="s">
        <v>913</v>
      </c>
      <c r="C174" s="8" t="s">
        <v>1866</v>
      </c>
    </row>
    <row r="175" spans="2:3">
      <c r="B175" s="8" t="s">
        <v>917</v>
      </c>
      <c r="C175" s="8" t="s">
        <v>1867</v>
      </c>
    </row>
    <row r="176" spans="2:3">
      <c r="B176" s="8" t="s">
        <v>920</v>
      </c>
      <c r="C176" s="8" t="s">
        <v>1868</v>
      </c>
    </row>
    <row r="177" spans="1:3" ht="29">
      <c r="B177" s="8" t="s">
        <v>923</v>
      </c>
      <c r="C177" s="8" t="s">
        <v>1869</v>
      </c>
    </row>
    <row r="178" spans="1:3">
      <c r="B178" s="8" t="s">
        <v>329</v>
      </c>
      <c r="C178" s="8" t="s">
        <v>1870</v>
      </c>
    </row>
    <row r="179" spans="1:3" ht="29">
      <c r="B179" s="8" t="s">
        <v>930</v>
      </c>
      <c r="C179" s="8" t="s">
        <v>1871</v>
      </c>
    </row>
    <row r="180" spans="1:3" ht="29">
      <c r="B180" s="8" t="s">
        <v>934</v>
      </c>
      <c r="C180" s="8" t="s">
        <v>1872</v>
      </c>
    </row>
    <row r="181" spans="1:3" ht="29">
      <c r="B181" s="8" t="s">
        <v>939</v>
      </c>
      <c r="C181" s="8" t="s">
        <v>1873</v>
      </c>
    </row>
    <row r="182" spans="1:3" ht="29">
      <c r="B182" s="8" t="s">
        <v>944</v>
      </c>
      <c r="C182" s="8" t="s">
        <v>1874</v>
      </c>
    </row>
    <row r="183" spans="1:3" ht="29">
      <c r="B183" s="8" t="s">
        <v>951</v>
      </c>
      <c r="C183" s="8" t="s">
        <v>1875</v>
      </c>
    </row>
    <row r="184" spans="1:3" ht="29">
      <c r="B184" s="8" t="s">
        <v>956</v>
      </c>
      <c r="C184" s="8" t="s">
        <v>1876</v>
      </c>
    </row>
    <row r="185" spans="1:3" ht="29">
      <c r="B185" s="8" t="s">
        <v>961</v>
      </c>
      <c r="C185" s="8" t="s">
        <v>1877</v>
      </c>
    </row>
    <row r="186" spans="1:3" ht="29">
      <c r="B186" s="8" t="s">
        <v>966</v>
      </c>
      <c r="C186" s="8" t="s">
        <v>1878</v>
      </c>
    </row>
    <row r="187" spans="1:3" ht="29">
      <c r="B187" s="8" t="s">
        <v>972</v>
      </c>
      <c r="C187" s="8" t="s">
        <v>1879</v>
      </c>
    </row>
    <row r="188" spans="1:3" ht="43.5">
      <c r="B188" s="8" t="s">
        <v>977</v>
      </c>
      <c r="C188" s="8" t="s">
        <v>2027</v>
      </c>
    </row>
    <row r="189" spans="1:3" ht="29">
      <c r="A189" s="8" t="s">
        <v>981</v>
      </c>
      <c r="B189" s="8" t="s">
        <v>982</v>
      </c>
      <c r="C189" s="8" t="s">
        <v>1880</v>
      </c>
    </row>
    <row r="190" spans="1:3" ht="29">
      <c r="B190" s="8" t="s">
        <v>987</v>
      </c>
      <c r="C190" s="8" t="s">
        <v>1881</v>
      </c>
    </row>
    <row r="191" spans="1:3">
      <c r="B191" s="8" t="s">
        <v>993</v>
      </c>
      <c r="C191" s="8" t="s">
        <v>1882</v>
      </c>
    </row>
    <row r="192" spans="1:3" ht="29">
      <c r="B192" s="8" t="s">
        <v>997</v>
      </c>
      <c r="C192" s="8" t="s">
        <v>1883</v>
      </c>
    </row>
    <row r="193" spans="2:3" ht="29">
      <c r="B193" s="8" t="s">
        <v>1002</v>
      </c>
      <c r="C193" s="8" t="s">
        <v>1884</v>
      </c>
    </row>
    <row r="194" spans="2:3">
      <c r="B194" s="8" t="s">
        <v>1005</v>
      </c>
      <c r="C194" s="8" t="s">
        <v>1885</v>
      </c>
    </row>
    <row r="195" spans="2:3">
      <c r="B195" s="8" t="s">
        <v>1008</v>
      </c>
      <c r="C195" s="8" t="s">
        <v>1886</v>
      </c>
    </row>
    <row r="196" spans="2:3" ht="29">
      <c r="B196" s="8" t="s">
        <v>85</v>
      </c>
      <c r="C196" s="8" t="s">
        <v>1888</v>
      </c>
    </row>
    <row r="197" spans="2:3">
      <c r="B197" s="8" t="s">
        <v>1022</v>
      </c>
      <c r="C197" s="8" t="s">
        <v>1889</v>
      </c>
    </row>
    <row r="198" spans="2:3" ht="29">
      <c r="B198" s="8" t="s">
        <v>1026</v>
      </c>
      <c r="C198" s="8" t="s">
        <v>1890</v>
      </c>
    </row>
    <row r="199" spans="2:3" ht="29">
      <c r="B199" s="8" t="s">
        <v>1032</v>
      </c>
      <c r="C199" s="8" t="s">
        <v>1891</v>
      </c>
    </row>
    <row r="200" spans="2:3" ht="29">
      <c r="B200" s="8" t="s">
        <v>1036</v>
      </c>
      <c r="C200" s="8" t="s">
        <v>1892</v>
      </c>
    </row>
    <row r="201" spans="2:3" ht="29">
      <c r="B201" s="8" t="s">
        <v>254</v>
      </c>
      <c r="C201" s="8" t="s">
        <v>1893</v>
      </c>
    </row>
    <row r="202" spans="2:3">
      <c r="B202" s="8" t="s">
        <v>1046</v>
      </c>
      <c r="C202" s="8" t="s">
        <v>1894</v>
      </c>
    </row>
    <row r="203" spans="2:3" ht="29">
      <c r="B203" s="8" t="s">
        <v>1049</v>
      </c>
      <c r="C203" s="8" t="s">
        <v>1895</v>
      </c>
    </row>
    <row r="204" spans="2:3" ht="29">
      <c r="B204" s="8" t="s">
        <v>1055</v>
      </c>
      <c r="C204" s="8" t="s">
        <v>1896</v>
      </c>
    </row>
    <row r="205" spans="2:3" ht="29">
      <c r="B205" s="8" t="s">
        <v>1061</v>
      </c>
      <c r="C205" s="8" t="s">
        <v>1897</v>
      </c>
    </row>
    <row r="206" spans="2:3" ht="29">
      <c r="B206" s="8" t="s">
        <v>1065</v>
      </c>
      <c r="C206" s="8" t="s">
        <v>1898</v>
      </c>
    </row>
    <row r="207" spans="2:3" ht="29">
      <c r="B207" s="8" t="s">
        <v>1069</v>
      </c>
      <c r="C207" s="8" t="s">
        <v>1899</v>
      </c>
    </row>
    <row r="208" spans="2:3" ht="29">
      <c r="B208" s="8" t="s">
        <v>1075</v>
      </c>
      <c r="C208" s="8" t="s">
        <v>1900</v>
      </c>
    </row>
    <row r="209" spans="1:3" ht="29">
      <c r="B209" s="8" t="s">
        <v>1081</v>
      </c>
      <c r="C209" s="8" t="s">
        <v>1901</v>
      </c>
    </row>
    <row r="210" spans="1:3">
      <c r="B210" s="8" t="s">
        <v>1086</v>
      </c>
      <c r="C210" s="8" t="s">
        <v>1902</v>
      </c>
    </row>
    <row r="211" spans="1:3">
      <c r="B211" s="8" t="s">
        <v>1089</v>
      </c>
      <c r="C211" s="8" t="s">
        <v>1903</v>
      </c>
    </row>
    <row r="212" spans="1:3" ht="29">
      <c r="B212" s="8" t="s">
        <v>135</v>
      </c>
      <c r="C212" s="8" t="s">
        <v>1904</v>
      </c>
    </row>
    <row r="213" spans="1:3">
      <c r="B213" s="8" t="s">
        <v>624</v>
      </c>
      <c r="C213" s="8" t="s">
        <v>1905</v>
      </c>
    </row>
    <row r="214" spans="1:3" ht="159.5">
      <c r="B214" s="8" t="s">
        <v>1106</v>
      </c>
      <c r="C214" s="8" t="s">
        <v>2028</v>
      </c>
    </row>
    <row r="215" spans="1:3" ht="29">
      <c r="B215" s="8" t="s">
        <v>1101</v>
      </c>
      <c r="C215" s="8" t="s">
        <v>1906</v>
      </c>
    </row>
    <row r="216" spans="1:3" ht="29">
      <c r="B216" s="8" t="s">
        <v>1011</v>
      </c>
      <c r="C216" s="8" t="s">
        <v>1887</v>
      </c>
    </row>
    <row r="217" spans="1:3">
      <c r="A217" s="8" t="s">
        <v>1243</v>
      </c>
      <c r="B217" s="8" t="s">
        <v>1244</v>
      </c>
      <c r="C217" s="8" t="s">
        <v>1933</v>
      </c>
    </row>
    <row r="218" spans="1:3" ht="29">
      <c r="B218" s="8" t="s">
        <v>1248</v>
      </c>
      <c r="C218" s="8" t="s">
        <v>1934</v>
      </c>
    </row>
    <row r="219" spans="1:3" ht="29">
      <c r="B219" s="8" t="s">
        <v>414</v>
      </c>
      <c r="C219" s="8" t="s">
        <v>1935</v>
      </c>
    </row>
    <row r="220" spans="1:3" ht="29">
      <c r="B220" s="8" t="s">
        <v>1258</v>
      </c>
      <c r="C220" s="8" t="s">
        <v>1936</v>
      </c>
    </row>
    <row r="221" spans="1:3">
      <c r="B221" s="8" t="s">
        <v>1265</v>
      </c>
      <c r="C221" s="8" t="s">
        <v>1937</v>
      </c>
    </row>
    <row r="222" spans="1:3">
      <c r="B222" s="8" t="s">
        <v>1269</v>
      </c>
      <c r="C222" s="8" t="s">
        <v>1938</v>
      </c>
    </row>
    <row r="223" spans="1:3" ht="29">
      <c r="B223" s="8" t="s">
        <v>1272</v>
      </c>
      <c r="C223" s="8" t="s">
        <v>1939</v>
      </c>
    </row>
    <row r="224" spans="1:3" ht="29">
      <c r="B224" s="8" t="s">
        <v>1277</v>
      </c>
      <c r="C224" s="8" t="s">
        <v>1940</v>
      </c>
    </row>
    <row r="225" spans="2:3" ht="58">
      <c r="B225" s="8" t="s">
        <v>1283</v>
      </c>
      <c r="C225" s="8" t="s">
        <v>1941</v>
      </c>
    </row>
    <row r="226" spans="2:3">
      <c r="B226" s="8" t="s">
        <v>1293</v>
      </c>
      <c r="C226" s="8" t="s">
        <v>1942</v>
      </c>
    </row>
    <row r="227" spans="2:3" ht="29">
      <c r="B227" s="8" t="s">
        <v>1297</v>
      </c>
      <c r="C227" s="8" t="s">
        <v>1943</v>
      </c>
    </row>
    <row r="228" spans="2:3" ht="29">
      <c r="B228" s="8" t="s">
        <v>1302</v>
      </c>
      <c r="C228" s="8" t="s">
        <v>1944</v>
      </c>
    </row>
    <row r="229" spans="2:3">
      <c r="B229" s="8" t="s">
        <v>1308</v>
      </c>
      <c r="C229" s="8" t="s">
        <v>1945</v>
      </c>
    </row>
    <row r="230" spans="2:3" ht="43.5">
      <c r="B230" s="8" t="s">
        <v>1311</v>
      </c>
      <c r="C230" s="8" t="s">
        <v>1946</v>
      </c>
    </row>
    <row r="231" spans="2:3" ht="29">
      <c r="B231" s="8" t="s">
        <v>1483</v>
      </c>
      <c r="C231" s="8" t="s">
        <v>1982</v>
      </c>
    </row>
    <row r="232" spans="2:3" ht="43.5">
      <c r="B232" s="8" t="s">
        <v>1488</v>
      </c>
      <c r="C232" s="8" t="s">
        <v>1983</v>
      </c>
    </row>
    <row r="233" spans="2:3" ht="29">
      <c r="B233" s="8" t="s">
        <v>1319</v>
      </c>
      <c r="C233" s="8" t="s">
        <v>1947</v>
      </c>
    </row>
    <row r="234" spans="2:3">
      <c r="B234" s="8" t="s">
        <v>1500</v>
      </c>
      <c r="C234" s="8" t="s">
        <v>1984</v>
      </c>
    </row>
    <row r="235" spans="2:3" ht="29">
      <c r="B235" s="8" t="s">
        <v>1505</v>
      </c>
      <c r="C235" s="8" t="s">
        <v>1985</v>
      </c>
    </row>
    <row r="236" spans="2:3">
      <c r="B236" s="8" t="s">
        <v>742</v>
      </c>
      <c r="C236" s="8" t="s">
        <v>1986</v>
      </c>
    </row>
    <row r="237" spans="2:3" ht="29">
      <c r="B237" s="8" t="s">
        <v>1324</v>
      </c>
      <c r="C237" s="8" t="s">
        <v>1948</v>
      </c>
    </row>
    <row r="238" spans="2:3">
      <c r="B238" s="8" t="s">
        <v>1515</v>
      </c>
      <c r="C238" s="8" t="s">
        <v>1987</v>
      </c>
    </row>
    <row r="239" spans="2:3" ht="29">
      <c r="B239" s="8" t="s">
        <v>1329</v>
      </c>
      <c r="C239" s="8" t="s">
        <v>1949</v>
      </c>
    </row>
    <row r="240" spans="2:3">
      <c r="B240" s="8" t="s">
        <v>1519</v>
      </c>
      <c r="C240" s="8" t="s">
        <v>1988</v>
      </c>
    </row>
    <row r="241" spans="2:3" ht="29">
      <c r="B241" s="8" t="s">
        <v>1523</v>
      </c>
      <c r="C241" s="8" t="s">
        <v>1989</v>
      </c>
    </row>
    <row r="242" spans="2:3">
      <c r="B242" s="8" t="s">
        <v>1333</v>
      </c>
      <c r="C242" s="8" t="s">
        <v>1950</v>
      </c>
    </row>
    <row r="243" spans="2:3" ht="29">
      <c r="B243" s="8" t="s">
        <v>1528</v>
      </c>
      <c r="C243" s="8" t="s">
        <v>1990</v>
      </c>
    </row>
    <row r="244" spans="2:3">
      <c r="B244" s="8" t="s">
        <v>1336</v>
      </c>
      <c r="C244" s="8" t="s">
        <v>1951</v>
      </c>
    </row>
    <row r="245" spans="2:3" ht="29">
      <c r="B245" s="8" t="s">
        <v>1339</v>
      </c>
      <c r="C245" s="8" t="s">
        <v>1952</v>
      </c>
    </row>
    <row r="246" spans="2:3">
      <c r="B246" s="8" t="s">
        <v>1346</v>
      </c>
      <c r="C246" s="8" t="s">
        <v>1953</v>
      </c>
    </row>
    <row r="247" spans="2:3" ht="29">
      <c r="B247" s="8" t="s">
        <v>1350</v>
      </c>
      <c r="C247" s="8" t="s">
        <v>1954</v>
      </c>
    </row>
    <row r="248" spans="2:3" ht="29">
      <c r="B248" s="8" t="s">
        <v>1357</v>
      </c>
      <c r="C248" s="8" t="s">
        <v>1955</v>
      </c>
    </row>
    <row r="249" spans="2:3">
      <c r="B249" s="8" t="s">
        <v>1534</v>
      </c>
      <c r="C249" s="8" t="s">
        <v>1991</v>
      </c>
    </row>
    <row r="250" spans="2:3" ht="29">
      <c r="B250" s="8" t="s">
        <v>1362</v>
      </c>
      <c r="C250" s="8" t="s">
        <v>1956</v>
      </c>
    </row>
    <row r="251" spans="2:3" ht="29">
      <c r="B251" s="8" t="s">
        <v>304</v>
      </c>
      <c r="C251" s="8" t="s">
        <v>1992</v>
      </c>
    </row>
    <row r="252" spans="2:3">
      <c r="B252" s="8" t="s">
        <v>1541</v>
      </c>
      <c r="C252" s="8" t="s">
        <v>1993</v>
      </c>
    </row>
    <row r="253" spans="2:3" ht="29">
      <c r="B253" s="8" t="s">
        <v>1367</v>
      </c>
      <c r="C253" s="8" t="s">
        <v>1957</v>
      </c>
    </row>
    <row r="254" spans="2:3" ht="29">
      <c r="B254" s="8" t="s">
        <v>1545</v>
      </c>
      <c r="C254" s="8" t="s">
        <v>1994</v>
      </c>
    </row>
    <row r="255" spans="2:3" ht="29">
      <c r="B255" s="8" t="s">
        <v>1553</v>
      </c>
      <c r="C255" s="8" t="s">
        <v>1995</v>
      </c>
    </row>
    <row r="256" spans="2:3">
      <c r="B256" s="8" t="s">
        <v>1372</v>
      </c>
      <c r="C256" s="8" t="s">
        <v>1958</v>
      </c>
    </row>
    <row r="257" spans="2:3" ht="29">
      <c r="B257" s="8" t="s">
        <v>1376</v>
      </c>
      <c r="C257" s="8" t="s">
        <v>1959</v>
      </c>
    </row>
    <row r="258" spans="2:3" ht="43.5">
      <c r="B258" s="8" t="s">
        <v>1382</v>
      </c>
      <c r="C258" s="8" t="s">
        <v>1960</v>
      </c>
    </row>
    <row r="259" spans="2:3">
      <c r="B259" s="8" t="s">
        <v>1559</v>
      </c>
      <c r="C259" s="8" t="s">
        <v>1996</v>
      </c>
    </row>
    <row r="260" spans="2:3">
      <c r="B260" s="8" t="s">
        <v>1389</v>
      </c>
      <c r="C260" s="8" t="s">
        <v>1961</v>
      </c>
    </row>
    <row r="261" spans="2:3" ht="29">
      <c r="B261" s="8" t="s">
        <v>1562</v>
      </c>
      <c r="C261" s="8" t="s">
        <v>1997</v>
      </c>
    </row>
    <row r="262" spans="2:3">
      <c r="B262" s="8" t="s">
        <v>1566</v>
      </c>
      <c r="C262" s="8" t="s">
        <v>1998</v>
      </c>
    </row>
    <row r="263" spans="2:3">
      <c r="B263" s="8" t="s">
        <v>1393</v>
      </c>
      <c r="C263" s="8" t="s">
        <v>1962</v>
      </c>
    </row>
    <row r="264" spans="2:3">
      <c r="B264" s="8" t="s">
        <v>1396</v>
      </c>
      <c r="C264" s="8" t="s">
        <v>1963</v>
      </c>
    </row>
    <row r="265" spans="2:3" ht="29">
      <c r="B265" s="8" t="s">
        <v>1399</v>
      </c>
      <c r="C265" s="8" t="s">
        <v>1964</v>
      </c>
    </row>
    <row r="266" spans="2:3" ht="29">
      <c r="B266" s="8" t="s">
        <v>340</v>
      </c>
      <c r="C266" s="8" t="s">
        <v>1965</v>
      </c>
    </row>
    <row r="267" spans="2:3">
      <c r="B267" s="8" t="s">
        <v>1410</v>
      </c>
      <c r="C267" s="8" t="s">
        <v>1966</v>
      </c>
    </row>
    <row r="268" spans="2:3">
      <c r="B268" s="8" t="s">
        <v>1413</v>
      </c>
      <c r="C268" s="8" t="s">
        <v>1967</v>
      </c>
    </row>
    <row r="269" spans="2:3" ht="29">
      <c r="B269" s="8" t="s">
        <v>345</v>
      </c>
      <c r="C269" s="8" t="s">
        <v>1968</v>
      </c>
    </row>
    <row r="270" spans="2:3">
      <c r="B270" s="8" t="s">
        <v>1422</v>
      </c>
      <c r="C270" s="8" t="s">
        <v>1969</v>
      </c>
    </row>
    <row r="271" spans="2:3">
      <c r="B271" s="8" t="s">
        <v>1426</v>
      </c>
      <c r="C271" s="8" t="s">
        <v>1970</v>
      </c>
    </row>
    <row r="272" spans="2:3">
      <c r="B272" s="8" t="s">
        <v>1429</v>
      </c>
      <c r="C272" s="8" t="s">
        <v>1971</v>
      </c>
    </row>
    <row r="273" spans="2:3" ht="29">
      <c r="B273" s="8" t="s">
        <v>1432</v>
      </c>
      <c r="C273" s="8" t="s">
        <v>1972</v>
      </c>
    </row>
    <row r="274" spans="2:3" ht="29">
      <c r="B274" s="8" t="s">
        <v>1567</v>
      </c>
      <c r="C274" s="8" t="s">
        <v>1999</v>
      </c>
    </row>
    <row r="275" spans="2:3" ht="29">
      <c r="B275" s="8" t="s">
        <v>1437</v>
      </c>
      <c r="C275" s="8" t="s">
        <v>1973</v>
      </c>
    </row>
    <row r="276" spans="2:3">
      <c r="B276" s="8" t="s">
        <v>1573</v>
      </c>
      <c r="C276" s="8" t="s">
        <v>2000</v>
      </c>
    </row>
    <row r="277" spans="2:3">
      <c r="B277" s="8" t="s">
        <v>1442</v>
      </c>
      <c r="C277" s="8" t="s">
        <v>1974</v>
      </c>
    </row>
    <row r="278" spans="2:3" ht="29">
      <c r="B278" s="8" t="s">
        <v>1576</v>
      </c>
      <c r="C278" s="8" t="s">
        <v>2001</v>
      </c>
    </row>
    <row r="279" spans="2:3" ht="29">
      <c r="B279" s="8" t="s">
        <v>1444</v>
      </c>
      <c r="C279" s="8" t="s">
        <v>1975</v>
      </c>
    </row>
    <row r="280" spans="2:3">
      <c r="B280" s="8" t="s">
        <v>1448</v>
      </c>
      <c r="C280" s="8" t="s">
        <v>1976</v>
      </c>
    </row>
    <row r="281" spans="2:3" ht="29">
      <c r="B281" s="8" t="s">
        <v>1451</v>
      </c>
      <c r="C281" s="8" t="s">
        <v>1977</v>
      </c>
    </row>
    <row r="282" spans="2:3" ht="58">
      <c r="B282" s="8" t="s">
        <v>1456</v>
      </c>
      <c r="C282" s="8" t="s">
        <v>1978</v>
      </c>
    </row>
    <row r="283" spans="2:3" ht="29">
      <c r="B283" s="8" t="s">
        <v>1583</v>
      </c>
      <c r="C283" s="8" t="s">
        <v>2002</v>
      </c>
    </row>
    <row r="284" spans="2:3" ht="43.5">
      <c r="B284" s="8" t="s">
        <v>1588</v>
      </c>
      <c r="C284" s="8" t="s">
        <v>2003</v>
      </c>
    </row>
    <row r="285" spans="2:3" ht="29">
      <c r="B285" s="8" t="s">
        <v>1467</v>
      </c>
      <c r="C285" s="8" t="s">
        <v>1979</v>
      </c>
    </row>
    <row r="286" spans="2:3" ht="29">
      <c r="B286" s="8" t="s">
        <v>1474</v>
      </c>
      <c r="C286" s="8" t="s">
        <v>1980</v>
      </c>
    </row>
    <row r="287" spans="2:3" ht="188.5">
      <c r="B287" s="8" t="s">
        <v>1478</v>
      </c>
      <c r="C287" s="8" t="s">
        <v>1981</v>
      </c>
    </row>
    <row r="288" spans="2:3" ht="29">
      <c r="B288" s="8" t="s">
        <v>1596</v>
      </c>
      <c r="C288" s="8" t="s">
        <v>2029</v>
      </c>
    </row>
    <row r="289" spans="1:3" ht="29">
      <c r="A289" s="8" t="s">
        <v>385</v>
      </c>
      <c r="B289" s="8" t="s">
        <v>386</v>
      </c>
      <c r="C289" s="8" t="s">
        <v>1768</v>
      </c>
    </row>
    <row r="290" spans="1:3" ht="29">
      <c r="B290" s="8" t="s">
        <v>392</v>
      </c>
      <c r="C290" s="8" t="s">
        <v>1769</v>
      </c>
    </row>
    <row r="291" spans="1:3" ht="29">
      <c r="B291" s="8" t="s">
        <v>398</v>
      </c>
      <c r="C291" s="8" t="s">
        <v>1770</v>
      </c>
    </row>
    <row r="292" spans="1:3" ht="29">
      <c r="B292" s="8" t="s">
        <v>403</v>
      </c>
      <c r="C292" s="8" t="s">
        <v>1771</v>
      </c>
    </row>
    <row r="293" spans="1:3">
      <c r="B293" s="8" t="s">
        <v>410</v>
      </c>
      <c r="C293" s="8" t="s">
        <v>1772</v>
      </c>
    </row>
    <row r="294" spans="1:3" ht="29">
      <c r="B294" s="8" t="s">
        <v>414</v>
      </c>
      <c r="C294" s="8" t="s">
        <v>1773</v>
      </c>
    </row>
    <row r="295" spans="1:3" ht="188.5">
      <c r="B295" s="8" t="s">
        <v>165</v>
      </c>
      <c r="C295" s="8" t="s">
        <v>1774</v>
      </c>
    </row>
    <row r="296" spans="1:3">
      <c r="B296" s="8" t="s">
        <v>425</v>
      </c>
      <c r="C296" s="8" t="s">
        <v>1775</v>
      </c>
    </row>
    <row r="297" spans="1:3">
      <c r="B297" s="8" t="s">
        <v>429</v>
      </c>
      <c r="C297" s="8" t="s">
        <v>1776</v>
      </c>
    </row>
    <row r="298" spans="1:3" ht="29">
      <c r="B298" s="8" t="s">
        <v>433</v>
      </c>
      <c r="C298" s="8" t="s">
        <v>1777</v>
      </c>
    </row>
    <row r="299" spans="1:3" ht="58">
      <c r="B299" s="8" t="s">
        <v>570</v>
      </c>
      <c r="C299" s="8" t="s">
        <v>1802</v>
      </c>
    </row>
    <row r="300" spans="1:3" ht="29">
      <c r="B300" s="8" t="s">
        <v>440</v>
      </c>
      <c r="C300" s="8" t="s">
        <v>1778</v>
      </c>
    </row>
    <row r="301" spans="1:3" ht="29">
      <c r="B301" s="8" t="s">
        <v>445</v>
      </c>
      <c r="C301" s="8" t="s">
        <v>1779</v>
      </c>
    </row>
    <row r="302" spans="1:3" ht="29">
      <c r="B302" s="8" t="s">
        <v>450</v>
      </c>
      <c r="C302" s="8" t="s">
        <v>1780</v>
      </c>
    </row>
    <row r="303" spans="1:3" ht="29">
      <c r="B303" s="8" t="s">
        <v>456</v>
      </c>
      <c r="C303" s="8" t="s">
        <v>1781</v>
      </c>
    </row>
    <row r="304" spans="1:3" ht="29">
      <c r="B304" s="8" t="s">
        <v>462</v>
      </c>
      <c r="C304" s="8" t="s">
        <v>1782</v>
      </c>
    </row>
    <row r="305" spans="2:3" ht="174">
      <c r="B305" s="8" t="s">
        <v>467</v>
      </c>
      <c r="C305" s="8" t="s">
        <v>1783</v>
      </c>
    </row>
    <row r="306" spans="2:3" ht="43.5">
      <c r="B306" s="8" t="s">
        <v>321</v>
      </c>
      <c r="C306" s="8" t="s">
        <v>1784</v>
      </c>
    </row>
    <row r="307" spans="2:3" ht="29">
      <c r="B307" s="8" t="s">
        <v>479</v>
      </c>
      <c r="C307" s="8" t="s">
        <v>1785</v>
      </c>
    </row>
    <row r="308" spans="2:3" ht="29">
      <c r="B308" s="8" t="s">
        <v>485</v>
      </c>
      <c r="C308" s="8" t="s">
        <v>1786</v>
      </c>
    </row>
    <row r="309" spans="2:3">
      <c r="B309" s="8" t="s">
        <v>491</v>
      </c>
      <c r="C309" s="8" t="s">
        <v>1787</v>
      </c>
    </row>
    <row r="310" spans="2:3" ht="29">
      <c r="B310" s="8" t="s">
        <v>495</v>
      </c>
      <c r="C310" s="8" t="s">
        <v>1788</v>
      </c>
    </row>
    <row r="311" spans="2:3">
      <c r="B311" s="8" t="s">
        <v>500</v>
      </c>
      <c r="C311" s="8" t="s">
        <v>1789</v>
      </c>
    </row>
    <row r="312" spans="2:3">
      <c r="B312" s="8" t="s">
        <v>503</v>
      </c>
      <c r="C312" s="8" t="s">
        <v>1790</v>
      </c>
    </row>
    <row r="313" spans="2:3" ht="43.5">
      <c r="B313" s="8" t="s">
        <v>507</v>
      </c>
      <c r="C313" s="8" t="s">
        <v>1791</v>
      </c>
    </row>
    <row r="314" spans="2:3">
      <c r="B314" s="8" t="s">
        <v>515</v>
      </c>
      <c r="C314" s="8" t="s">
        <v>1792</v>
      </c>
    </row>
    <row r="315" spans="2:3" ht="29">
      <c r="B315" s="8" t="s">
        <v>519</v>
      </c>
      <c r="C315" s="8" t="s">
        <v>1793</v>
      </c>
    </row>
    <row r="316" spans="2:3" ht="43.5">
      <c r="B316" s="8" t="s">
        <v>524</v>
      </c>
      <c r="C316" s="8" t="s">
        <v>1794</v>
      </c>
    </row>
    <row r="317" spans="2:3">
      <c r="B317" s="8" t="s">
        <v>534</v>
      </c>
      <c r="C317" s="8" t="s">
        <v>1795</v>
      </c>
    </row>
    <row r="318" spans="2:3" ht="29">
      <c r="B318" s="8" t="s">
        <v>537</v>
      </c>
      <c r="C318" s="8" t="s">
        <v>1796</v>
      </c>
    </row>
    <row r="319" spans="2:3" ht="29">
      <c r="B319" s="8" t="s">
        <v>544</v>
      </c>
      <c r="C319" s="8" t="s">
        <v>1797</v>
      </c>
    </row>
    <row r="320" spans="2:3">
      <c r="B320" s="8" t="s">
        <v>551</v>
      </c>
      <c r="C320" s="8" t="s">
        <v>1798</v>
      </c>
    </row>
    <row r="321" spans="1:3">
      <c r="B321" s="8" t="s">
        <v>555</v>
      </c>
      <c r="C321" s="8" t="s">
        <v>1799</v>
      </c>
    </row>
    <row r="322" spans="1:3">
      <c r="B322" s="8" t="s">
        <v>560</v>
      </c>
      <c r="C322" s="8" t="s">
        <v>1800</v>
      </c>
    </row>
    <row r="323" spans="1:3" ht="409.5">
      <c r="B323" s="8" t="s">
        <v>53</v>
      </c>
      <c r="C323" s="8" t="s">
        <v>1801</v>
      </c>
    </row>
    <row r="324" spans="1:3" ht="29">
      <c r="A324" s="8" t="s">
        <v>1603</v>
      </c>
      <c r="B324" s="8" t="s">
        <v>1613</v>
      </c>
      <c r="C324" s="8" t="s">
        <v>2005</v>
      </c>
    </row>
    <row r="325" spans="1:3" ht="43.5">
      <c r="B325" s="8" t="s">
        <v>1604</v>
      </c>
      <c r="C325" s="8" t="s">
        <v>2004</v>
      </c>
    </row>
    <row r="326" spans="1:3" ht="29">
      <c r="B326" s="8" t="s">
        <v>1619</v>
      </c>
      <c r="C326" s="8" t="s">
        <v>2006</v>
      </c>
    </row>
    <row r="327" spans="1:3" ht="29">
      <c r="B327" s="8" t="s">
        <v>1623</v>
      </c>
      <c r="C327" s="8" t="s">
        <v>2007</v>
      </c>
    </row>
    <row r="328" spans="1:3">
      <c r="B328" s="8" t="s">
        <v>1629</v>
      </c>
      <c r="C328" s="8" t="s">
        <v>2008</v>
      </c>
    </row>
    <row r="329" spans="1:3">
      <c r="B329" s="8" t="s">
        <v>1632</v>
      </c>
      <c r="C329" s="8" t="s">
        <v>2009</v>
      </c>
    </row>
    <row r="330" spans="1:3" ht="29">
      <c r="B330" s="8" t="s">
        <v>1635</v>
      </c>
      <c r="C330" s="8" t="s">
        <v>2010</v>
      </c>
    </row>
    <row r="331" spans="1:3" ht="217.5">
      <c r="B331" s="8" t="s">
        <v>1638</v>
      </c>
      <c r="C331" s="8" t="s">
        <v>2011</v>
      </c>
    </row>
    <row r="332" spans="1:3" ht="43.5">
      <c r="B332" s="8" t="s">
        <v>1643</v>
      </c>
      <c r="C332" s="8" t="s">
        <v>2012</v>
      </c>
    </row>
    <row r="333" spans="1:3" ht="43.5">
      <c r="B333" s="8" t="s">
        <v>1662</v>
      </c>
      <c r="C333" s="8" t="s">
        <v>2015</v>
      </c>
    </row>
    <row r="334" spans="1:3" ht="29">
      <c r="B334" s="8" t="s">
        <v>1669</v>
      </c>
      <c r="C334" s="8" t="s">
        <v>2016</v>
      </c>
    </row>
    <row r="335" spans="1:3" ht="29">
      <c r="B335" s="8" t="s">
        <v>1650</v>
      </c>
      <c r="C335" s="8" t="s">
        <v>2013</v>
      </c>
    </row>
    <row r="336" spans="1:3" ht="43.5">
      <c r="B336" s="8" t="s">
        <v>1654</v>
      </c>
      <c r="C336" s="8" t="s">
        <v>2014</v>
      </c>
    </row>
    <row r="337" spans="1:9" ht="29">
      <c r="B337" s="8" t="s">
        <v>1673</v>
      </c>
      <c r="C337" s="8" t="s">
        <v>2017</v>
      </c>
    </row>
    <row r="338" spans="1:9" ht="29">
      <c r="B338" s="8" t="s">
        <v>1679</v>
      </c>
      <c r="C338" s="8" t="s">
        <v>2018</v>
      </c>
    </row>
    <row r="339" spans="1:9" ht="29">
      <c r="B339" s="8" t="s">
        <v>1684</v>
      </c>
      <c r="C339" s="8" t="s">
        <v>2019</v>
      </c>
    </row>
    <row r="340" spans="1:9">
      <c r="A340" s="8" t="s">
        <v>2031</v>
      </c>
      <c r="B340" s="8"/>
    </row>
    <row r="341" spans="1:9">
      <c r="A341"/>
      <c r="B341" s="68"/>
      <c r="C341"/>
      <c r="D341"/>
      <c r="E341"/>
      <c r="F341"/>
      <c r="G341"/>
      <c r="H341"/>
      <c r="I341"/>
    </row>
    <row r="342" spans="1:9">
      <c r="A342"/>
      <c r="B342" s="68"/>
      <c r="C342"/>
      <c r="D342"/>
      <c r="E342"/>
      <c r="F342"/>
      <c r="G342"/>
      <c r="H342"/>
      <c r="I342"/>
    </row>
    <row r="343" spans="1:9">
      <c r="A343"/>
      <c r="B343" s="68"/>
      <c r="C343"/>
      <c r="D343"/>
      <c r="E343"/>
      <c r="F343"/>
      <c r="G343"/>
      <c r="H343"/>
      <c r="I343"/>
    </row>
    <row r="344" spans="1:9">
      <c r="A344"/>
      <c r="B344" s="68"/>
      <c r="C344"/>
      <c r="D344"/>
      <c r="E344"/>
      <c r="F344"/>
      <c r="G344"/>
      <c r="H344"/>
      <c r="I344"/>
    </row>
    <row r="345" spans="1:9">
      <c r="A345"/>
      <c r="B345" s="68"/>
      <c r="C345"/>
      <c r="D345"/>
      <c r="E345"/>
      <c r="F345"/>
      <c r="G345"/>
      <c r="H345"/>
      <c r="I345"/>
    </row>
    <row r="346" spans="1:9">
      <c r="A346"/>
      <c r="B346" s="68"/>
      <c r="C346"/>
      <c r="D346"/>
      <c r="E346"/>
      <c r="F346"/>
      <c r="G346"/>
      <c r="H346"/>
      <c r="I346"/>
    </row>
    <row r="347" spans="1:9">
      <c r="A347"/>
      <c r="B347" s="68"/>
      <c r="C347"/>
      <c r="D347"/>
      <c r="E347"/>
      <c r="F347"/>
      <c r="G347"/>
      <c r="H347"/>
      <c r="I347"/>
    </row>
    <row r="348" spans="1:9">
      <c r="A348"/>
      <c r="B348" s="68"/>
      <c r="C348"/>
      <c r="D348"/>
      <c r="E348"/>
      <c r="F348"/>
      <c r="G348"/>
      <c r="H348"/>
      <c r="I348"/>
    </row>
    <row r="349" spans="1:9">
      <c r="A349"/>
      <c r="B349" s="68"/>
      <c r="C349"/>
      <c r="D349"/>
      <c r="E349"/>
      <c r="F349"/>
      <c r="G349"/>
      <c r="H349"/>
      <c r="I349"/>
    </row>
    <row r="350" spans="1:9">
      <c r="A350"/>
      <c r="B350" s="68"/>
      <c r="C350"/>
      <c r="D350"/>
      <c r="E350"/>
      <c r="F350"/>
      <c r="G350"/>
      <c r="H350"/>
      <c r="I350"/>
    </row>
    <row r="351" spans="1:9">
      <c r="A351"/>
      <c r="B351" s="68"/>
      <c r="C351"/>
      <c r="D351"/>
      <c r="E351"/>
      <c r="F351"/>
      <c r="G351"/>
      <c r="H351"/>
      <c r="I351"/>
    </row>
    <row r="352" spans="1:9">
      <c r="A352"/>
      <c r="B352" s="68"/>
      <c r="C352"/>
      <c r="D352"/>
      <c r="E352"/>
      <c r="F352"/>
      <c r="G352"/>
      <c r="H352"/>
      <c r="I352"/>
    </row>
    <row r="353" spans="1:9">
      <c r="A353"/>
      <c r="B353" s="68"/>
      <c r="C353"/>
      <c r="D353"/>
      <c r="E353"/>
      <c r="F353"/>
      <c r="G353"/>
      <c r="H353"/>
      <c r="I353"/>
    </row>
    <row r="354" spans="1:9">
      <c r="A354"/>
      <c r="B354" s="68"/>
      <c r="C354"/>
      <c r="D354"/>
      <c r="E354"/>
      <c r="F354"/>
      <c r="G354"/>
      <c r="H354"/>
      <c r="I354"/>
    </row>
    <row r="355" spans="1:9">
      <c r="A355"/>
      <c r="B355" s="68"/>
      <c r="C355"/>
      <c r="D355"/>
      <c r="E355"/>
      <c r="F355"/>
      <c r="G355"/>
      <c r="H355"/>
      <c r="I355"/>
    </row>
    <row r="356" spans="1:9">
      <c r="A356"/>
      <c r="B356" s="68"/>
      <c r="C356"/>
      <c r="D356"/>
      <c r="E356"/>
      <c r="F356"/>
      <c r="G356"/>
      <c r="H356"/>
      <c r="I356"/>
    </row>
    <row r="357" spans="1:9">
      <c r="A357"/>
      <c r="B357" s="68"/>
      <c r="C357"/>
      <c r="D357"/>
      <c r="E357"/>
      <c r="F357"/>
      <c r="G357"/>
      <c r="H357"/>
      <c r="I357"/>
    </row>
    <row r="358" spans="1:9">
      <c r="A358"/>
      <c r="B358" s="68"/>
      <c r="C358"/>
      <c r="D358"/>
      <c r="E358"/>
      <c r="F358"/>
      <c r="G358"/>
      <c r="H358"/>
      <c r="I358"/>
    </row>
    <row r="359" spans="1:9">
      <c r="A359"/>
      <c r="B359" s="68"/>
      <c r="C359"/>
      <c r="D359"/>
      <c r="E359"/>
      <c r="F359"/>
      <c r="G359"/>
      <c r="H359"/>
      <c r="I359"/>
    </row>
    <row r="360" spans="1:9">
      <c r="A360"/>
      <c r="B360" s="68"/>
      <c r="C360"/>
      <c r="D360"/>
      <c r="E360"/>
      <c r="F360"/>
      <c r="G360"/>
      <c r="H360"/>
      <c r="I360"/>
    </row>
    <row r="361" spans="1:9">
      <c r="A361"/>
      <c r="B361" s="68"/>
      <c r="C361"/>
      <c r="D361"/>
      <c r="E361"/>
      <c r="F361"/>
      <c r="G361"/>
      <c r="H361"/>
      <c r="I361"/>
    </row>
    <row r="362" spans="1:9">
      <c r="A362"/>
      <c r="B362" s="68"/>
      <c r="C362"/>
      <c r="D362"/>
      <c r="E362"/>
      <c r="F362"/>
      <c r="G362"/>
      <c r="H362"/>
      <c r="I362"/>
    </row>
    <row r="363" spans="1:9">
      <c r="A363"/>
      <c r="B363" s="68"/>
      <c r="C363"/>
      <c r="D363"/>
      <c r="E363"/>
      <c r="F363"/>
      <c r="G363"/>
      <c r="H363"/>
      <c r="I363"/>
    </row>
    <row r="364" spans="1:9">
      <c r="A364"/>
      <c r="B364" s="68"/>
      <c r="C364"/>
      <c r="D364"/>
      <c r="E364"/>
      <c r="F364"/>
      <c r="G364"/>
      <c r="H364"/>
      <c r="I364"/>
    </row>
    <row r="365" spans="1:9">
      <c r="A365"/>
      <c r="B365" s="68"/>
      <c r="C365"/>
      <c r="D365"/>
      <c r="E365"/>
      <c r="F365"/>
      <c r="G365"/>
      <c r="H365"/>
      <c r="I365"/>
    </row>
    <row r="366" spans="1:9">
      <c r="A366"/>
      <c r="B366" s="68"/>
      <c r="C366"/>
      <c r="D366"/>
      <c r="E366"/>
      <c r="F366"/>
      <c r="G366"/>
      <c r="H366"/>
      <c r="I366"/>
    </row>
    <row r="367" spans="1:9">
      <c r="A367"/>
      <c r="B367" s="68"/>
      <c r="C367"/>
      <c r="D367"/>
      <c r="E367"/>
      <c r="F367"/>
      <c r="G367"/>
      <c r="H367"/>
      <c r="I367"/>
    </row>
    <row r="368" spans="1:9">
      <c r="A368"/>
      <c r="B368" s="68"/>
      <c r="C368"/>
      <c r="D368"/>
      <c r="E368"/>
      <c r="F368"/>
      <c r="G368"/>
      <c r="H368"/>
      <c r="I368"/>
    </row>
    <row r="369" spans="1:9">
      <c r="A369"/>
      <c r="B369" s="68"/>
      <c r="C369"/>
      <c r="D369"/>
      <c r="E369"/>
      <c r="F369"/>
      <c r="G369"/>
      <c r="H369"/>
      <c r="I369"/>
    </row>
    <row r="370" spans="1:9">
      <c r="A370"/>
      <c r="B370" s="68"/>
      <c r="C370"/>
      <c r="D370"/>
      <c r="E370"/>
      <c r="F370"/>
      <c r="G370"/>
      <c r="H370"/>
      <c r="I370"/>
    </row>
    <row r="371" spans="1:9">
      <c r="A371"/>
      <c r="B371" s="68"/>
      <c r="C371"/>
      <c r="D371"/>
      <c r="E371"/>
      <c r="F371"/>
      <c r="G371"/>
      <c r="H371"/>
      <c r="I371"/>
    </row>
    <row r="372" spans="1:9">
      <c r="A372"/>
      <c r="B372" s="68"/>
      <c r="C372"/>
      <c r="D372"/>
      <c r="E372"/>
      <c r="F372"/>
      <c r="G372"/>
      <c r="H372"/>
      <c r="I372"/>
    </row>
    <row r="373" spans="1:9">
      <c r="A373"/>
      <c r="B373" s="68"/>
      <c r="C373"/>
      <c r="D373"/>
      <c r="E373"/>
      <c r="F373"/>
      <c r="G373"/>
      <c r="H373"/>
      <c r="I373"/>
    </row>
    <row r="374" spans="1:9">
      <c r="A374"/>
      <c r="B374" s="68"/>
      <c r="C374"/>
      <c r="D374"/>
      <c r="E374"/>
      <c r="F374"/>
      <c r="G374"/>
      <c r="H374"/>
      <c r="I374"/>
    </row>
    <row r="375" spans="1:9">
      <c r="A375"/>
      <c r="B375" s="68"/>
      <c r="C375"/>
      <c r="D375"/>
      <c r="E375"/>
      <c r="F375"/>
      <c r="G375"/>
      <c r="H375"/>
      <c r="I375"/>
    </row>
    <row r="376" spans="1:9">
      <c r="A376"/>
      <c r="B376" s="68"/>
      <c r="C376"/>
      <c r="D376"/>
      <c r="E376"/>
      <c r="F376"/>
      <c r="G376"/>
      <c r="H376"/>
      <c r="I376"/>
    </row>
    <row r="377" spans="1:9">
      <c r="A377"/>
      <c r="B377" s="68"/>
      <c r="C377"/>
      <c r="D377"/>
      <c r="E377"/>
      <c r="F377"/>
      <c r="G377"/>
      <c r="H377"/>
      <c r="I377"/>
    </row>
    <row r="378" spans="1:9">
      <c r="A378"/>
      <c r="B378" s="68"/>
      <c r="C378"/>
      <c r="D378"/>
      <c r="E378"/>
      <c r="F378"/>
      <c r="G378"/>
      <c r="H378"/>
      <c r="I378"/>
    </row>
    <row r="379" spans="1:9">
      <c r="A379"/>
      <c r="B379" s="68"/>
      <c r="C379"/>
      <c r="D379"/>
      <c r="E379"/>
      <c r="F379"/>
      <c r="G379"/>
      <c r="H379"/>
      <c r="I379"/>
    </row>
    <row r="380" spans="1:9">
      <c r="A380"/>
      <c r="B380" s="68"/>
      <c r="C380"/>
      <c r="D380"/>
      <c r="E380"/>
      <c r="F380"/>
      <c r="G380"/>
      <c r="H380"/>
      <c r="I380"/>
    </row>
    <row r="381" spans="1:9">
      <c r="A381"/>
      <c r="B381" s="68"/>
      <c r="C381"/>
      <c r="D381"/>
      <c r="E381"/>
      <c r="F381"/>
      <c r="G381"/>
      <c r="H381"/>
      <c r="I381"/>
    </row>
    <row r="382" spans="1:9">
      <c r="A382"/>
      <c r="B382" s="68"/>
      <c r="C382"/>
      <c r="D382"/>
      <c r="E382"/>
      <c r="F382"/>
      <c r="G382"/>
      <c r="H382"/>
      <c r="I382"/>
    </row>
    <row r="383" spans="1:9">
      <c r="A383"/>
      <c r="B383" s="68"/>
      <c r="C383"/>
      <c r="D383"/>
      <c r="E383"/>
      <c r="F383"/>
      <c r="G383"/>
      <c r="H383"/>
      <c r="I383"/>
    </row>
    <row r="384" spans="1:9">
      <c r="A384"/>
      <c r="B384" s="68"/>
      <c r="C384"/>
      <c r="D384"/>
      <c r="E384"/>
      <c r="F384"/>
      <c r="G384"/>
      <c r="H384"/>
      <c r="I384"/>
    </row>
    <row r="385" spans="1:9">
      <c r="A385"/>
      <c r="B385" s="68"/>
      <c r="C385"/>
      <c r="D385"/>
      <c r="E385"/>
      <c r="F385"/>
      <c r="G385"/>
      <c r="H385"/>
      <c r="I385"/>
    </row>
    <row r="386" spans="1:9">
      <c r="A386"/>
      <c r="B386" s="68"/>
      <c r="C386"/>
      <c r="D386"/>
      <c r="E386"/>
      <c r="F386"/>
      <c r="G386"/>
      <c r="H386"/>
      <c r="I386"/>
    </row>
    <row r="387" spans="1:9">
      <c r="A387"/>
      <c r="B387" s="68"/>
      <c r="C387"/>
      <c r="D387"/>
      <c r="E387"/>
      <c r="F387"/>
      <c r="G387"/>
      <c r="H387"/>
      <c r="I387"/>
    </row>
    <row r="388" spans="1:9">
      <c r="A388"/>
      <c r="B388" s="68"/>
      <c r="C388"/>
      <c r="D388"/>
      <c r="E388"/>
      <c r="F388"/>
      <c r="G388"/>
      <c r="H388"/>
      <c r="I388"/>
    </row>
    <row r="389" spans="1:9">
      <c r="A389"/>
      <c r="B389" s="68"/>
      <c r="C389"/>
      <c r="D389"/>
      <c r="E389"/>
      <c r="F389"/>
      <c r="G389"/>
      <c r="H389"/>
      <c r="I389"/>
    </row>
    <row r="390" spans="1:9">
      <c r="A390"/>
      <c r="B390" s="68"/>
      <c r="C390"/>
      <c r="D390"/>
      <c r="E390"/>
      <c r="F390"/>
      <c r="G390"/>
      <c r="H390"/>
      <c r="I390"/>
    </row>
    <row r="391" spans="1:9">
      <c r="A391"/>
      <c r="B391" s="68"/>
      <c r="C391"/>
      <c r="D391"/>
      <c r="E391"/>
      <c r="F391"/>
      <c r="G391"/>
      <c r="H391"/>
      <c r="I391"/>
    </row>
    <row r="392" spans="1:9">
      <c r="A392"/>
      <c r="B392" s="68"/>
      <c r="C392"/>
      <c r="D392"/>
      <c r="E392"/>
      <c r="F392"/>
      <c r="G392"/>
      <c r="H392"/>
      <c r="I392"/>
    </row>
    <row r="393" spans="1:9">
      <c r="A393"/>
      <c r="B393" s="68"/>
      <c r="C393"/>
      <c r="D393"/>
      <c r="E393"/>
      <c r="F393"/>
      <c r="G393"/>
      <c r="H393"/>
      <c r="I393"/>
    </row>
    <row r="394" spans="1:9">
      <c r="A394"/>
      <c r="B394" s="68"/>
      <c r="C394"/>
      <c r="D394"/>
      <c r="E394"/>
      <c r="F394"/>
      <c r="G394"/>
      <c r="H394"/>
      <c r="I394"/>
    </row>
    <row r="395" spans="1:9">
      <c r="A395"/>
      <c r="B395" s="68"/>
      <c r="C395"/>
      <c r="D395"/>
      <c r="E395"/>
      <c r="F395"/>
      <c r="G395"/>
      <c r="H395"/>
      <c r="I395"/>
    </row>
    <row r="396" spans="1:9">
      <c r="A396"/>
      <c r="B396" s="68"/>
      <c r="C396"/>
      <c r="D396"/>
      <c r="E396"/>
      <c r="F396"/>
      <c r="G396"/>
      <c r="H396"/>
      <c r="I396"/>
    </row>
    <row r="397" spans="1:9">
      <c r="A397"/>
      <c r="B397" s="68"/>
      <c r="C397"/>
      <c r="D397"/>
      <c r="E397"/>
      <c r="F397"/>
      <c r="G397"/>
      <c r="H397"/>
      <c r="I397"/>
    </row>
    <row r="398" spans="1:9">
      <c r="A398"/>
      <c r="B398" s="68"/>
      <c r="C398"/>
      <c r="D398"/>
      <c r="E398"/>
      <c r="F398"/>
      <c r="G398"/>
      <c r="H398"/>
      <c r="I398"/>
    </row>
    <row r="399" spans="1:9">
      <c r="A399"/>
      <c r="B399" s="68"/>
      <c r="C399"/>
      <c r="D399"/>
      <c r="E399"/>
      <c r="F399"/>
      <c r="G399"/>
      <c r="H399"/>
      <c r="I399"/>
    </row>
    <row r="400" spans="1:9">
      <c r="A400"/>
      <c r="B400" s="68"/>
      <c r="C400"/>
      <c r="D400"/>
      <c r="E400"/>
      <c r="F400"/>
      <c r="G400"/>
      <c r="H400"/>
      <c r="I400"/>
    </row>
    <row r="401" spans="1:9">
      <c r="A401"/>
      <c r="B401" s="68"/>
      <c r="C401"/>
      <c r="D401"/>
      <c r="E401"/>
      <c r="F401"/>
      <c r="G401"/>
      <c r="H401"/>
      <c r="I401"/>
    </row>
    <row r="402" spans="1:9">
      <c r="A402"/>
      <c r="B402" s="68"/>
      <c r="C402"/>
      <c r="D402"/>
      <c r="E402"/>
      <c r="F402"/>
      <c r="G402"/>
      <c r="H402"/>
      <c r="I402"/>
    </row>
    <row r="403" spans="1:9">
      <c r="A403"/>
      <c r="B403" s="68"/>
      <c r="C403"/>
      <c r="D403"/>
      <c r="E403"/>
      <c r="F403"/>
      <c r="G403"/>
      <c r="H403"/>
      <c r="I403"/>
    </row>
    <row r="404" spans="1:9">
      <c r="A404"/>
      <c r="B404" s="68"/>
      <c r="C404"/>
      <c r="D404"/>
      <c r="E404"/>
      <c r="F404"/>
      <c r="G404"/>
      <c r="H404"/>
      <c r="I404"/>
    </row>
    <row r="405" spans="1:9">
      <c r="A405"/>
      <c r="B405" s="68"/>
      <c r="C405"/>
      <c r="D405"/>
      <c r="E405"/>
      <c r="F405"/>
      <c r="G405"/>
      <c r="H405"/>
      <c r="I405"/>
    </row>
    <row r="406" spans="1:9">
      <c r="A406"/>
      <c r="B406" s="68"/>
      <c r="C406"/>
      <c r="D406"/>
      <c r="E406"/>
      <c r="F406"/>
      <c r="G406"/>
      <c r="H406"/>
      <c r="I406"/>
    </row>
    <row r="407" spans="1:9">
      <c r="A407"/>
      <c r="B407" s="68"/>
      <c r="C407"/>
      <c r="D407"/>
      <c r="E407"/>
      <c r="F407"/>
      <c r="G407"/>
      <c r="H407"/>
      <c r="I407"/>
    </row>
    <row r="408" spans="1:9">
      <c r="A408"/>
      <c r="B408" s="68"/>
      <c r="C408"/>
      <c r="D408"/>
      <c r="E408"/>
      <c r="F408"/>
      <c r="G408"/>
      <c r="H408"/>
      <c r="I408"/>
    </row>
    <row r="409" spans="1:9">
      <c r="A409"/>
      <c r="B409" s="68"/>
      <c r="C409"/>
      <c r="D409"/>
      <c r="E409"/>
      <c r="F409"/>
      <c r="G409"/>
      <c r="H409"/>
      <c r="I409"/>
    </row>
    <row r="410" spans="1:9">
      <c r="A410"/>
      <c r="B410" s="68"/>
      <c r="C410"/>
      <c r="D410"/>
      <c r="E410"/>
      <c r="F410"/>
      <c r="G410"/>
      <c r="H410"/>
      <c r="I410"/>
    </row>
    <row r="411" spans="1:9">
      <c r="A411"/>
      <c r="B411" s="68"/>
      <c r="C411"/>
      <c r="D411"/>
      <c r="E411"/>
      <c r="F411"/>
      <c r="G411"/>
      <c r="H411"/>
      <c r="I411"/>
    </row>
    <row r="412" spans="1:9">
      <c r="A412"/>
      <c r="B412" s="68"/>
      <c r="C412"/>
      <c r="D412"/>
      <c r="E412"/>
      <c r="F412"/>
      <c r="G412"/>
      <c r="H412"/>
      <c r="I412"/>
    </row>
    <row r="413" spans="1:9">
      <c r="A413"/>
      <c r="B413" s="68"/>
      <c r="C413"/>
      <c r="D413"/>
      <c r="E413"/>
      <c r="F413"/>
      <c r="G413"/>
      <c r="H413"/>
      <c r="I413"/>
    </row>
    <row r="414" spans="1:9">
      <c r="A414"/>
      <c r="B414" s="68"/>
      <c r="C414"/>
      <c r="D414"/>
      <c r="E414"/>
      <c r="F414"/>
      <c r="G414"/>
      <c r="H414"/>
      <c r="I414"/>
    </row>
    <row r="415" spans="1:9">
      <c r="A415"/>
      <c r="B415" s="68"/>
      <c r="C415"/>
      <c r="D415"/>
      <c r="E415"/>
      <c r="F415"/>
      <c r="G415"/>
      <c r="H415"/>
      <c r="I415"/>
    </row>
    <row r="416" spans="1:9">
      <c r="A416"/>
      <c r="B416" s="68"/>
      <c r="C416"/>
      <c r="D416"/>
      <c r="E416"/>
      <c r="F416"/>
      <c r="G416"/>
      <c r="H416"/>
      <c r="I416"/>
    </row>
    <row r="417" spans="1:9">
      <c r="A417"/>
      <c r="B417" s="68"/>
      <c r="C417"/>
      <c r="D417"/>
      <c r="E417"/>
      <c r="F417"/>
      <c r="G417"/>
      <c r="H417"/>
      <c r="I417"/>
    </row>
    <row r="418" spans="1:9">
      <c r="A418"/>
      <c r="B418" s="68"/>
      <c r="C418"/>
      <c r="D418"/>
      <c r="E418"/>
      <c r="F418"/>
      <c r="G418"/>
      <c r="H418"/>
      <c r="I418"/>
    </row>
    <row r="419" spans="1:9">
      <c r="A419"/>
      <c r="B419" s="68"/>
      <c r="C419"/>
      <c r="D419"/>
      <c r="E419"/>
      <c r="F419"/>
      <c r="G419"/>
      <c r="H419"/>
      <c r="I419"/>
    </row>
    <row r="420" spans="1:9">
      <c r="A420"/>
      <c r="B420" s="68"/>
      <c r="C420"/>
      <c r="D420"/>
      <c r="E420"/>
      <c r="F420"/>
      <c r="G420"/>
      <c r="H420"/>
      <c r="I420"/>
    </row>
    <row r="421" spans="1:9">
      <c r="A421"/>
      <c r="B421" s="68"/>
      <c r="C421"/>
      <c r="D421"/>
      <c r="E421"/>
      <c r="F421"/>
      <c r="G421"/>
      <c r="H421"/>
      <c r="I421"/>
    </row>
    <row r="422" spans="1:9">
      <c r="A422"/>
      <c r="B422" s="68"/>
      <c r="C422"/>
      <c r="D422"/>
      <c r="E422"/>
      <c r="F422"/>
      <c r="G422"/>
      <c r="H422"/>
      <c r="I422"/>
    </row>
    <row r="423" spans="1:9">
      <c r="A423"/>
      <c r="B423" s="68"/>
      <c r="C423"/>
      <c r="D423"/>
      <c r="E423"/>
      <c r="F423"/>
      <c r="G423"/>
      <c r="H423"/>
      <c r="I423"/>
    </row>
    <row r="424" spans="1:9">
      <c r="A424"/>
      <c r="B424" s="68"/>
      <c r="C424"/>
      <c r="D424"/>
      <c r="E424"/>
      <c r="F424"/>
      <c r="G424"/>
      <c r="H424"/>
      <c r="I424"/>
    </row>
    <row r="425" spans="1:9">
      <c r="A425"/>
      <c r="B425" s="68"/>
      <c r="C425"/>
      <c r="D425"/>
      <c r="E425"/>
      <c r="F425"/>
      <c r="G425"/>
      <c r="H425"/>
      <c r="I425"/>
    </row>
    <row r="426" spans="1:9">
      <c r="A426"/>
      <c r="B426" s="68"/>
      <c r="C426"/>
      <c r="D426"/>
      <c r="E426"/>
      <c r="F426"/>
      <c r="G426"/>
      <c r="H426"/>
      <c r="I426"/>
    </row>
    <row r="427" spans="1:9">
      <c r="A427"/>
      <c r="B427" s="68"/>
      <c r="C427"/>
      <c r="D427"/>
      <c r="E427"/>
      <c r="F427"/>
      <c r="G427"/>
      <c r="H427"/>
      <c r="I427"/>
    </row>
    <row r="428" spans="1:9">
      <c r="A428"/>
      <c r="B428" s="68"/>
      <c r="C428"/>
      <c r="D428"/>
      <c r="E428"/>
      <c r="F428"/>
      <c r="G428"/>
      <c r="H428"/>
      <c r="I428"/>
    </row>
    <row r="429" spans="1:9">
      <c r="A429"/>
      <c r="B429" s="68"/>
      <c r="C429"/>
      <c r="D429"/>
      <c r="E429"/>
      <c r="F429"/>
      <c r="G429"/>
      <c r="H429"/>
      <c r="I429"/>
    </row>
    <row r="430" spans="1:9">
      <c r="A430"/>
      <c r="B430" s="68"/>
      <c r="C430"/>
      <c r="D430"/>
      <c r="E430"/>
      <c r="F430"/>
      <c r="G430"/>
      <c r="H430"/>
      <c r="I430"/>
    </row>
    <row r="431" spans="1:9">
      <c r="A431"/>
      <c r="B431" s="68"/>
      <c r="C431"/>
      <c r="D431"/>
      <c r="E431"/>
      <c r="F431"/>
      <c r="G431"/>
      <c r="H431"/>
      <c r="I431"/>
    </row>
    <row r="432" spans="1:9">
      <c r="A432"/>
      <c r="B432" s="68"/>
      <c r="C432"/>
      <c r="D432"/>
      <c r="E432"/>
      <c r="F432"/>
      <c r="G432"/>
      <c r="H432"/>
      <c r="I432"/>
    </row>
    <row r="433" spans="1:9">
      <c r="A433"/>
      <c r="B433" s="68"/>
      <c r="C433"/>
      <c r="D433"/>
      <c r="E433"/>
      <c r="F433"/>
      <c r="G433"/>
      <c r="H433"/>
      <c r="I433"/>
    </row>
    <row r="434" spans="1:9">
      <c r="A434"/>
      <c r="B434" s="68"/>
      <c r="C434"/>
      <c r="D434"/>
      <c r="E434"/>
      <c r="F434"/>
      <c r="G434"/>
      <c r="H434"/>
      <c r="I434"/>
    </row>
    <row r="435" spans="1:9">
      <c r="A435"/>
      <c r="B435" s="68"/>
      <c r="C435"/>
      <c r="D435"/>
      <c r="E435"/>
      <c r="F435"/>
      <c r="G435"/>
      <c r="H435"/>
      <c r="I435"/>
    </row>
    <row r="436" spans="1:9">
      <c r="A436"/>
      <c r="B436" s="68"/>
      <c r="C436"/>
      <c r="D436"/>
      <c r="E436"/>
      <c r="F436"/>
      <c r="G436"/>
      <c r="H436"/>
      <c r="I436"/>
    </row>
    <row r="437" spans="1:9">
      <c r="A437"/>
      <c r="B437" s="68"/>
      <c r="C437"/>
      <c r="D437"/>
      <c r="E437"/>
      <c r="F437"/>
      <c r="G437"/>
      <c r="H437"/>
      <c r="I437"/>
    </row>
    <row r="438" spans="1:9">
      <c r="A438"/>
      <c r="B438" s="68"/>
      <c r="C438"/>
      <c r="D438"/>
      <c r="E438"/>
      <c r="F438"/>
      <c r="G438"/>
      <c r="H438"/>
      <c r="I438"/>
    </row>
    <row r="439" spans="1:9">
      <c r="A439"/>
      <c r="B439" s="68"/>
      <c r="C439"/>
      <c r="D439"/>
      <c r="E439"/>
      <c r="F439"/>
      <c r="G439"/>
      <c r="H439"/>
      <c r="I439"/>
    </row>
    <row r="440" spans="1:9">
      <c r="A440"/>
      <c r="B440" s="68"/>
      <c r="C440"/>
      <c r="D440"/>
      <c r="E440"/>
      <c r="F440"/>
      <c r="G440"/>
      <c r="H440"/>
      <c r="I440"/>
    </row>
    <row r="441" spans="1:9">
      <c r="A441"/>
      <c r="B441" s="68"/>
      <c r="C441"/>
      <c r="D441"/>
      <c r="E441"/>
      <c r="F441"/>
      <c r="G441"/>
      <c r="H441"/>
      <c r="I441"/>
    </row>
    <row r="442" spans="1:9">
      <c r="A442"/>
      <c r="B442" s="68"/>
      <c r="C442"/>
      <c r="D442"/>
      <c r="E442"/>
      <c r="F442"/>
      <c r="G442"/>
      <c r="H442"/>
      <c r="I442"/>
    </row>
    <row r="443" spans="1:9">
      <c r="A443"/>
      <c r="B443" s="68"/>
      <c r="C443"/>
      <c r="D443"/>
      <c r="E443"/>
      <c r="F443"/>
      <c r="G443"/>
      <c r="H443"/>
      <c r="I443"/>
    </row>
    <row r="444" spans="1:9">
      <c r="A444"/>
      <c r="B444" s="68"/>
      <c r="C444"/>
      <c r="D444"/>
      <c r="E444"/>
      <c r="F444"/>
      <c r="G444"/>
      <c r="H444"/>
      <c r="I444"/>
    </row>
    <row r="445" spans="1:9">
      <c r="A445"/>
      <c r="B445" s="68"/>
      <c r="C445"/>
      <c r="D445"/>
      <c r="E445"/>
      <c r="F445"/>
      <c r="G445"/>
      <c r="H445"/>
      <c r="I445"/>
    </row>
    <row r="446" spans="1:9">
      <c r="A446"/>
      <c r="B446" s="68"/>
      <c r="C446"/>
      <c r="D446"/>
      <c r="E446"/>
      <c r="F446"/>
      <c r="G446"/>
      <c r="H446"/>
      <c r="I446"/>
    </row>
    <row r="447" spans="1:9">
      <c r="A447"/>
      <c r="B447" s="68"/>
      <c r="C447"/>
      <c r="D447"/>
      <c r="E447"/>
      <c r="F447"/>
      <c r="G447"/>
      <c r="H447"/>
      <c r="I447"/>
    </row>
    <row r="448" spans="1:9">
      <c r="A448"/>
      <c r="B448" s="68"/>
      <c r="C448"/>
      <c r="D448"/>
      <c r="E448"/>
      <c r="F448"/>
      <c r="G448"/>
      <c r="H448"/>
      <c r="I448"/>
    </row>
    <row r="449" spans="1:9">
      <c r="A449"/>
      <c r="B449" s="68"/>
      <c r="C449"/>
      <c r="D449"/>
      <c r="E449"/>
      <c r="F449"/>
      <c r="G449"/>
      <c r="H449"/>
      <c r="I449"/>
    </row>
    <row r="450" spans="1:9">
      <c r="A450"/>
      <c r="B450" s="68"/>
      <c r="C450"/>
      <c r="D450"/>
      <c r="E450"/>
      <c r="F450"/>
      <c r="G450"/>
      <c r="H450"/>
      <c r="I450"/>
    </row>
    <row r="451" spans="1:9">
      <c r="A451"/>
      <c r="B451" s="68"/>
      <c r="C451"/>
      <c r="D451"/>
      <c r="E451"/>
      <c r="F451"/>
      <c r="G451"/>
      <c r="H451"/>
      <c r="I451"/>
    </row>
    <row r="452" spans="1:9">
      <c r="A452"/>
      <c r="B452" s="68"/>
      <c r="C452"/>
      <c r="D452"/>
      <c r="E452"/>
      <c r="F452"/>
      <c r="G452"/>
      <c r="H452"/>
      <c r="I452"/>
    </row>
    <row r="453" spans="1:9">
      <c r="A453"/>
      <c r="B453" s="68"/>
      <c r="C453"/>
      <c r="D453"/>
      <c r="E453"/>
      <c r="F453"/>
      <c r="G453"/>
      <c r="H453"/>
      <c r="I453"/>
    </row>
    <row r="454" spans="1:9">
      <c r="A454"/>
      <c r="B454" s="68"/>
      <c r="C454"/>
      <c r="D454"/>
      <c r="E454"/>
      <c r="F454"/>
      <c r="G454"/>
      <c r="H454"/>
      <c r="I454"/>
    </row>
    <row r="455" spans="1:9">
      <c r="A455"/>
      <c r="B455" s="68"/>
      <c r="C455"/>
      <c r="D455"/>
      <c r="E455"/>
      <c r="F455"/>
      <c r="G455"/>
      <c r="H455"/>
      <c r="I455"/>
    </row>
    <row r="456" spans="1:9">
      <c r="A456"/>
      <c r="B456" s="68"/>
      <c r="C456"/>
      <c r="D456"/>
      <c r="E456"/>
      <c r="F456"/>
      <c r="G456"/>
      <c r="H456"/>
      <c r="I456"/>
    </row>
    <row r="457" spans="1:9">
      <c r="A457"/>
      <c r="B457" s="68"/>
      <c r="C457"/>
      <c r="D457"/>
      <c r="E457"/>
      <c r="F457"/>
      <c r="G457"/>
      <c r="H457"/>
      <c r="I457"/>
    </row>
    <row r="458" spans="1:9">
      <c r="A458"/>
      <c r="B458" s="68"/>
      <c r="C458"/>
      <c r="D458"/>
      <c r="E458"/>
      <c r="F458"/>
      <c r="G458"/>
      <c r="H458"/>
      <c r="I458"/>
    </row>
    <row r="459" spans="1:9">
      <c r="A459"/>
      <c r="B459" s="68"/>
      <c r="C459"/>
      <c r="D459"/>
      <c r="E459"/>
      <c r="F459"/>
      <c r="G459"/>
      <c r="H459"/>
      <c r="I459"/>
    </row>
    <row r="460" spans="1:9">
      <c r="A460"/>
      <c r="B460" s="68"/>
      <c r="C460"/>
      <c r="D460"/>
      <c r="E460"/>
      <c r="F460"/>
      <c r="G460"/>
      <c r="H460"/>
      <c r="I460"/>
    </row>
    <row r="461" spans="1:9">
      <c r="A461"/>
      <c r="B461" s="68"/>
      <c r="C461"/>
      <c r="D461"/>
      <c r="E461"/>
      <c r="F461"/>
      <c r="G461"/>
      <c r="H461"/>
      <c r="I461"/>
    </row>
    <row r="462" spans="1:9">
      <c r="A462"/>
      <c r="B462" s="68"/>
      <c r="C462"/>
      <c r="D462"/>
      <c r="E462"/>
      <c r="F462"/>
      <c r="G462"/>
      <c r="H462"/>
      <c r="I462"/>
    </row>
    <row r="463" spans="1:9">
      <c r="A463"/>
      <c r="B463" s="68"/>
      <c r="C463"/>
      <c r="D463"/>
      <c r="E463"/>
      <c r="F463"/>
      <c r="G463"/>
      <c r="H463"/>
      <c r="I463"/>
    </row>
    <row r="464" spans="1:9">
      <c r="A464"/>
      <c r="B464" s="68"/>
      <c r="C464"/>
      <c r="D464"/>
      <c r="E464"/>
      <c r="F464"/>
      <c r="G464"/>
      <c r="H464"/>
      <c r="I464"/>
    </row>
    <row r="465" spans="1:9">
      <c r="A465"/>
      <c r="B465" s="68"/>
      <c r="C465"/>
      <c r="D465"/>
      <c r="E465"/>
      <c r="F465"/>
      <c r="G465"/>
      <c r="H465"/>
      <c r="I465"/>
    </row>
    <row r="466" spans="1:9">
      <c r="A466"/>
      <c r="B466" s="68"/>
      <c r="C466"/>
      <c r="D466"/>
      <c r="E466"/>
      <c r="F466"/>
      <c r="G466"/>
      <c r="H466"/>
      <c r="I466"/>
    </row>
    <row r="467" spans="1:9">
      <c r="A467"/>
      <c r="B467" s="68"/>
      <c r="C467"/>
      <c r="D467"/>
      <c r="E467"/>
      <c r="F467"/>
      <c r="G467"/>
      <c r="H467"/>
      <c r="I467"/>
    </row>
    <row r="468" spans="1:9">
      <c r="A468"/>
      <c r="B468" s="68"/>
      <c r="C468"/>
      <c r="D468"/>
      <c r="E468"/>
      <c r="F468"/>
      <c r="G468"/>
      <c r="H468"/>
      <c r="I468"/>
    </row>
    <row r="469" spans="1:9">
      <c r="A469"/>
      <c r="B469" s="68"/>
      <c r="C469"/>
      <c r="D469"/>
      <c r="E469"/>
      <c r="F469"/>
      <c r="G469"/>
      <c r="H469"/>
      <c r="I469"/>
    </row>
    <row r="470" spans="1:9">
      <c r="A470"/>
      <c r="B470" s="68"/>
      <c r="C470"/>
      <c r="D470"/>
      <c r="E470"/>
      <c r="F470"/>
      <c r="G470"/>
      <c r="H470"/>
      <c r="I470"/>
    </row>
    <row r="471" spans="1:9">
      <c r="A471"/>
      <c r="B471" s="68"/>
      <c r="C471"/>
      <c r="D471"/>
      <c r="E471"/>
      <c r="F471"/>
      <c r="G471"/>
      <c r="H471"/>
      <c r="I471"/>
    </row>
    <row r="472" spans="1:9">
      <c r="A472"/>
      <c r="B472" s="68"/>
      <c r="C472"/>
      <c r="D472"/>
      <c r="E472"/>
      <c r="F472"/>
      <c r="G472"/>
      <c r="H472"/>
      <c r="I472"/>
    </row>
    <row r="473" spans="1:9">
      <c r="A473"/>
      <c r="B473" s="68"/>
      <c r="C473"/>
      <c r="D473"/>
      <c r="E473"/>
      <c r="F473"/>
      <c r="G473"/>
      <c r="H473"/>
      <c r="I473"/>
    </row>
    <row r="474" spans="1:9">
      <c r="A474"/>
      <c r="B474" s="68"/>
      <c r="C474"/>
      <c r="D474"/>
      <c r="E474"/>
      <c r="F474"/>
      <c r="G474"/>
      <c r="H474"/>
      <c r="I474"/>
    </row>
    <row r="475" spans="1:9">
      <c r="A475"/>
      <c r="B475" s="68"/>
      <c r="C475"/>
      <c r="D475"/>
      <c r="E475"/>
      <c r="F475"/>
      <c r="G475"/>
      <c r="H475"/>
      <c r="I475"/>
    </row>
    <row r="476" spans="1:9">
      <c r="A476"/>
      <c r="B476" s="68"/>
      <c r="C476"/>
      <c r="D476"/>
      <c r="E476"/>
      <c r="F476"/>
      <c r="G476"/>
      <c r="H476"/>
      <c r="I476"/>
    </row>
    <row r="477" spans="1:9">
      <c r="A477"/>
      <c r="B477" s="68"/>
      <c r="C477"/>
      <c r="D477"/>
      <c r="E477"/>
      <c r="F477"/>
      <c r="G477"/>
      <c r="H477"/>
      <c r="I477"/>
    </row>
    <row r="478" spans="1:9">
      <c r="A478"/>
      <c r="B478" s="68"/>
      <c r="C478"/>
      <c r="D478"/>
      <c r="E478"/>
      <c r="F478"/>
      <c r="G478"/>
      <c r="H478"/>
      <c r="I478"/>
    </row>
    <row r="479" spans="1:9">
      <c r="A479"/>
      <c r="B479" s="68"/>
      <c r="C479"/>
      <c r="D479"/>
      <c r="E479"/>
      <c r="F479"/>
      <c r="G479"/>
      <c r="H479"/>
      <c r="I479"/>
    </row>
    <row r="480" spans="1:9">
      <c r="A480"/>
      <c r="B480" s="68"/>
      <c r="C480"/>
      <c r="D480"/>
      <c r="E480"/>
      <c r="F480"/>
      <c r="G480"/>
      <c r="H480"/>
      <c r="I480"/>
    </row>
    <row r="481" spans="1:9">
      <c r="A481"/>
      <c r="B481" s="68"/>
      <c r="C481"/>
      <c r="D481"/>
      <c r="E481"/>
      <c r="F481"/>
      <c r="G481"/>
      <c r="H481"/>
      <c r="I481"/>
    </row>
    <row r="482" spans="1:9">
      <c r="A482"/>
      <c r="B482" s="68"/>
      <c r="C482"/>
      <c r="D482"/>
      <c r="E482"/>
      <c r="F482"/>
      <c r="G482"/>
      <c r="H482"/>
      <c r="I482"/>
    </row>
    <row r="483" spans="1:9">
      <c r="A483"/>
      <c r="B483" s="68"/>
      <c r="C483"/>
      <c r="D483"/>
      <c r="E483"/>
      <c r="F483"/>
      <c r="G483"/>
      <c r="H483"/>
      <c r="I483"/>
    </row>
    <row r="484" spans="1:9">
      <c r="A484"/>
      <c r="B484" s="68"/>
      <c r="C484"/>
      <c r="D484"/>
      <c r="E484"/>
      <c r="F484"/>
      <c r="G484"/>
      <c r="H484"/>
      <c r="I484"/>
    </row>
    <row r="485" spans="1:9">
      <c r="A485"/>
      <c r="B485" s="68"/>
      <c r="C485"/>
      <c r="D485"/>
      <c r="E485"/>
      <c r="F485"/>
      <c r="G485"/>
      <c r="H485"/>
      <c r="I485"/>
    </row>
    <row r="486" spans="1:9">
      <c r="A486"/>
      <c r="B486" s="68"/>
      <c r="C486"/>
      <c r="D486"/>
      <c r="E486"/>
      <c r="F486"/>
      <c r="G486"/>
      <c r="H486"/>
      <c r="I486"/>
    </row>
    <row r="487" spans="1:9">
      <c r="A487"/>
      <c r="B487" s="68"/>
      <c r="C487"/>
      <c r="D487"/>
      <c r="E487"/>
      <c r="F487"/>
      <c r="G487"/>
      <c r="H487"/>
      <c r="I487"/>
    </row>
    <row r="488" spans="1:9">
      <c r="A488"/>
      <c r="B488" s="68"/>
      <c r="C488"/>
      <c r="D488"/>
      <c r="E488"/>
      <c r="F488"/>
      <c r="G488"/>
      <c r="H488"/>
      <c r="I488"/>
    </row>
    <row r="489" spans="1:9">
      <c r="A489"/>
      <c r="B489" s="68"/>
      <c r="C489"/>
      <c r="D489"/>
      <c r="E489"/>
      <c r="F489"/>
      <c r="G489"/>
      <c r="H489"/>
      <c r="I489"/>
    </row>
    <row r="490" spans="1:9">
      <c r="A490"/>
      <c r="B490" s="68"/>
      <c r="C490"/>
      <c r="D490"/>
      <c r="E490"/>
      <c r="F490"/>
      <c r="G490"/>
      <c r="H490"/>
      <c r="I490"/>
    </row>
    <row r="491" spans="1:9">
      <c r="A491"/>
      <c r="B491" s="68"/>
      <c r="C491"/>
      <c r="D491"/>
      <c r="E491"/>
      <c r="F491"/>
      <c r="G491"/>
      <c r="H491"/>
      <c r="I491"/>
    </row>
    <row r="492" spans="1:9">
      <c r="A492"/>
      <c r="B492" s="68"/>
      <c r="C492"/>
      <c r="D492"/>
      <c r="E492"/>
      <c r="F492"/>
      <c r="G492"/>
      <c r="H492"/>
      <c r="I492"/>
    </row>
    <row r="493" spans="1:9">
      <c r="A493"/>
      <c r="B493" s="68"/>
      <c r="C493"/>
      <c r="D493"/>
      <c r="E493"/>
      <c r="F493"/>
      <c r="G493"/>
      <c r="H493"/>
      <c r="I493"/>
    </row>
    <row r="494" spans="1:9">
      <c r="A494"/>
      <c r="B494" s="68"/>
      <c r="C494"/>
      <c r="D494"/>
      <c r="E494"/>
      <c r="F494"/>
      <c r="G494"/>
      <c r="H494"/>
      <c r="I494"/>
    </row>
    <row r="495" spans="1:9">
      <c r="A495"/>
      <c r="B495" s="68"/>
      <c r="C495"/>
      <c r="D495"/>
      <c r="E495"/>
      <c r="F495"/>
      <c r="G495"/>
      <c r="H495"/>
      <c r="I495"/>
    </row>
    <row r="496" spans="1:9">
      <c r="A496"/>
      <c r="B496" s="68"/>
      <c r="C496"/>
      <c r="D496"/>
      <c r="E496"/>
      <c r="F496"/>
      <c r="G496"/>
      <c r="H496"/>
      <c r="I496"/>
    </row>
    <row r="497" spans="1:9">
      <c r="A497"/>
      <c r="B497" s="68"/>
      <c r="C497"/>
      <c r="D497"/>
      <c r="E497"/>
      <c r="F497"/>
      <c r="G497"/>
      <c r="H497"/>
      <c r="I497"/>
    </row>
    <row r="498" spans="1:9">
      <c r="A498"/>
      <c r="B498" s="68"/>
      <c r="C498"/>
      <c r="D498"/>
      <c r="E498"/>
      <c r="F498"/>
      <c r="G498"/>
      <c r="H498"/>
      <c r="I498"/>
    </row>
    <row r="499" spans="1:9">
      <c r="A499"/>
      <c r="B499" s="68"/>
      <c r="C499"/>
      <c r="D499"/>
      <c r="E499"/>
      <c r="F499"/>
      <c r="G499"/>
      <c r="H499"/>
      <c r="I499"/>
    </row>
    <row r="500" spans="1:9">
      <c r="A500"/>
      <c r="B500" s="68"/>
      <c r="C500"/>
      <c r="D500"/>
      <c r="E500"/>
      <c r="F500"/>
      <c r="G500"/>
      <c r="H500"/>
      <c r="I500"/>
    </row>
    <row r="501" spans="1:9">
      <c r="A501"/>
      <c r="B501" s="68"/>
      <c r="C501"/>
      <c r="D501"/>
      <c r="E501"/>
      <c r="F501"/>
      <c r="G501"/>
      <c r="H501"/>
      <c r="I501"/>
    </row>
    <row r="502" spans="1:9">
      <c r="A502"/>
      <c r="B502" s="68"/>
      <c r="C502"/>
      <c r="D502"/>
      <c r="E502"/>
      <c r="F502"/>
      <c r="G502"/>
      <c r="H502"/>
      <c r="I502"/>
    </row>
    <row r="503" spans="1:9">
      <c r="A503"/>
      <c r="B503" s="68"/>
      <c r="C503"/>
      <c r="D503"/>
      <c r="E503"/>
      <c r="F503"/>
      <c r="G503"/>
      <c r="H503"/>
      <c r="I503"/>
    </row>
    <row r="504" spans="1:9">
      <c r="A504"/>
      <c r="B504" s="68"/>
      <c r="C504"/>
      <c r="D504"/>
      <c r="E504"/>
      <c r="F504"/>
      <c r="G504"/>
      <c r="H504"/>
      <c r="I504"/>
    </row>
    <row r="505" spans="1:9">
      <c r="A505"/>
      <c r="B505" s="68"/>
      <c r="C505"/>
      <c r="D505"/>
      <c r="E505"/>
      <c r="F505"/>
      <c r="G505"/>
      <c r="H505"/>
      <c r="I505"/>
    </row>
    <row r="506" spans="1:9">
      <c r="A506"/>
      <c r="B506" s="68"/>
      <c r="C506"/>
      <c r="D506"/>
      <c r="E506"/>
      <c r="F506"/>
      <c r="G506"/>
      <c r="H506"/>
      <c r="I506"/>
    </row>
    <row r="507" spans="1:9">
      <c r="A507"/>
      <c r="B507" s="68"/>
      <c r="C507"/>
      <c r="D507"/>
      <c r="E507"/>
      <c r="F507"/>
      <c r="G507"/>
      <c r="H507"/>
      <c r="I507"/>
    </row>
    <row r="508" spans="1:9">
      <c r="A508"/>
      <c r="B508" s="68"/>
      <c r="C508"/>
      <c r="D508"/>
      <c r="E508"/>
      <c r="F508"/>
      <c r="G508"/>
      <c r="H508"/>
      <c r="I508"/>
    </row>
    <row r="509" spans="1:9">
      <c r="A509"/>
      <c r="B509" s="68"/>
      <c r="C509"/>
      <c r="D509"/>
      <c r="E509"/>
      <c r="F509"/>
      <c r="G509"/>
      <c r="H509"/>
      <c r="I509"/>
    </row>
    <row r="510" spans="1:9">
      <c r="A510"/>
      <c r="B510" s="68"/>
      <c r="C510"/>
      <c r="D510"/>
      <c r="E510"/>
      <c r="F510"/>
      <c r="G510"/>
      <c r="H510"/>
      <c r="I510"/>
    </row>
    <row r="511" spans="1:9">
      <c r="A511"/>
      <c r="B511" s="68"/>
      <c r="C511"/>
      <c r="D511"/>
      <c r="E511"/>
      <c r="F511"/>
      <c r="G511"/>
      <c r="H511"/>
      <c r="I511"/>
    </row>
    <row r="512" spans="1:9">
      <c r="A512"/>
      <c r="B512" s="68"/>
      <c r="C512"/>
      <c r="D512"/>
      <c r="E512"/>
      <c r="F512"/>
      <c r="G512"/>
      <c r="H512"/>
      <c r="I512"/>
    </row>
    <row r="513" spans="1:9">
      <c r="A513"/>
      <c r="B513" s="68"/>
      <c r="C513"/>
      <c r="D513"/>
      <c r="E513"/>
      <c r="F513"/>
      <c r="G513"/>
      <c r="H513"/>
      <c r="I513"/>
    </row>
    <row r="514" spans="1:9">
      <c r="A514"/>
      <c r="B514" s="68"/>
      <c r="C514"/>
      <c r="D514"/>
      <c r="E514"/>
      <c r="F514"/>
      <c r="G514"/>
      <c r="H514"/>
      <c r="I514"/>
    </row>
    <row r="515" spans="1:9">
      <c r="A515"/>
      <c r="B515" s="68"/>
      <c r="C515"/>
      <c r="D515"/>
      <c r="E515"/>
      <c r="F515"/>
      <c r="G515"/>
      <c r="H515"/>
      <c r="I515"/>
    </row>
    <row r="516" spans="1:9">
      <c r="A516"/>
      <c r="B516" s="68"/>
      <c r="C516"/>
      <c r="D516"/>
      <c r="E516"/>
      <c r="F516"/>
      <c r="G516"/>
      <c r="H516"/>
      <c r="I516"/>
    </row>
    <row r="517" spans="1:9">
      <c r="A517"/>
      <c r="B517" s="68"/>
      <c r="C517"/>
      <c r="D517"/>
      <c r="E517"/>
      <c r="F517"/>
      <c r="G517"/>
      <c r="H517"/>
      <c r="I517"/>
    </row>
    <row r="518" spans="1:9">
      <c r="A518"/>
      <c r="B518" s="68"/>
      <c r="C518"/>
      <c r="D518"/>
      <c r="E518"/>
      <c r="F518"/>
      <c r="G518"/>
      <c r="H518"/>
      <c r="I518"/>
    </row>
    <row r="519" spans="1:9">
      <c r="A519"/>
      <c r="B519" s="68"/>
      <c r="C519"/>
      <c r="D519"/>
      <c r="E519"/>
      <c r="F519"/>
      <c r="G519"/>
      <c r="H519"/>
      <c r="I519"/>
    </row>
    <row r="520" spans="1:9">
      <c r="A520"/>
      <c r="B520" s="68"/>
      <c r="C520"/>
      <c r="D520"/>
      <c r="E520"/>
      <c r="F520"/>
      <c r="G520"/>
      <c r="H520"/>
      <c r="I520"/>
    </row>
    <row r="521" spans="1:9">
      <c r="A521"/>
      <c r="B521" s="68"/>
      <c r="C521"/>
      <c r="D521"/>
      <c r="E521"/>
      <c r="F521"/>
      <c r="G521"/>
      <c r="H521"/>
      <c r="I521"/>
    </row>
    <row r="522" spans="1:9">
      <c r="A522"/>
      <c r="B522" s="68"/>
      <c r="C522"/>
      <c r="D522"/>
      <c r="E522"/>
      <c r="F522"/>
      <c r="G522"/>
      <c r="H522"/>
      <c r="I522"/>
    </row>
    <row r="523" spans="1:9">
      <c r="A523"/>
      <c r="B523" s="68"/>
      <c r="C523"/>
      <c r="D523"/>
      <c r="E523"/>
      <c r="F523"/>
      <c r="G523"/>
      <c r="H523"/>
      <c r="I523"/>
    </row>
    <row r="524" spans="1:9">
      <c r="A524"/>
      <c r="B524" s="68"/>
      <c r="C524"/>
      <c r="D524"/>
      <c r="E524"/>
      <c r="F524"/>
      <c r="G524"/>
      <c r="H524"/>
      <c r="I524"/>
    </row>
    <row r="525" spans="1:9">
      <c r="A525"/>
      <c r="B525" s="68"/>
      <c r="C525"/>
      <c r="D525"/>
      <c r="E525"/>
      <c r="F525"/>
      <c r="G525"/>
      <c r="H525"/>
      <c r="I525"/>
    </row>
    <row r="526" spans="1:9">
      <c r="A526"/>
      <c r="B526" s="68"/>
      <c r="C526"/>
      <c r="D526"/>
      <c r="E526"/>
      <c r="F526"/>
      <c r="G526"/>
      <c r="H526"/>
      <c r="I526"/>
    </row>
    <row r="527" spans="1:9">
      <c r="A527"/>
      <c r="B527" s="68"/>
      <c r="C527"/>
      <c r="D527"/>
      <c r="E527"/>
      <c r="F527"/>
      <c r="G527"/>
      <c r="H527"/>
      <c r="I527"/>
    </row>
    <row r="528" spans="1:9">
      <c r="A528"/>
      <c r="B528" s="68"/>
      <c r="C528"/>
      <c r="D528"/>
      <c r="E528"/>
      <c r="F528"/>
      <c r="G528"/>
      <c r="H528"/>
      <c r="I528"/>
    </row>
    <row r="529" spans="1:9">
      <c r="A529"/>
      <c r="B529" s="68"/>
      <c r="C529"/>
      <c r="D529"/>
      <c r="E529"/>
      <c r="F529"/>
      <c r="G529"/>
      <c r="H529"/>
      <c r="I529"/>
    </row>
    <row r="530" spans="1:9">
      <c r="A530"/>
      <c r="B530" s="68"/>
      <c r="C530"/>
      <c r="D530"/>
      <c r="E530"/>
      <c r="F530"/>
      <c r="G530"/>
      <c r="H530"/>
      <c r="I530"/>
    </row>
    <row r="531" spans="1:9">
      <c r="A531"/>
      <c r="B531" s="68"/>
      <c r="C531"/>
      <c r="D531"/>
      <c r="E531"/>
      <c r="F531"/>
      <c r="G531"/>
      <c r="H531"/>
      <c r="I531"/>
    </row>
    <row r="532" spans="1:9">
      <c r="A532"/>
      <c r="B532" s="68"/>
      <c r="C532"/>
      <c r="D532"/>
      <c r="E532"/>
      <c r="F532"/>
      <c r="G532"/>
      <c r="H532"/>
      <c r="I532"/>
    </row>
    <row r="533" spans="1:9">
      <c r="A533"/>
      <c r="B533" s="68"/>
      <c r="C533"/>
      <c r="D533"/>
      <c r="E533"/>
      <c r="F533"/>
      <c r="G533"/>
      <c r="H533"/>
      <c r="I533"/>
    </row>
    <row r="534" spans="1:9">
      <c r="A534"/>
      <c r="B534" s="68"/>
      <c r="C534"/>
      <c r="D534"/>
      <c r="E534"/>
      <c r="F534"/>
      <c r="G534"/>
      <c r="H534"/>
      <c r="I534"/>
    </row>
    <row r="535" spans="1:9">
      <c r="A535"/>
      <c r="B535" s="68"/>
      <c r="C535"/>
      <c r="D535"/>
      <c r="E535"/>
      <c r="F535"/>
      <c r="G535"/>
      <c r="H535"/>
      <c r="I535"/>
    </row>
    <row r="536" spans="1:9">
      <c r="A536"/>
      <c r="B536" s="68"/>
      <c r="C536"/>
      <c r="D536"/>
      <c r="E536"/>
      <c r="F536"/>
      <c r="G536"/>
      <c r="H536"/>
      <c r="I536"/>
    </row>
    <row r="537" spans="1:9">
      <c r="A537"/>
      <c r="B537" s="68"/>
      <c r="C537"/>
      <c r="D537"/>
      <c r="E537"/>
      <c r="F537"/>
      <c r="G537"/>
      <c r="H537"/>
      <c r="I537"/>
    </row>
    <row r="538" spans="1:9">
      <c r="A538"/>
      <c r="B538" s="68"/>
      <c r="C538"/>
      <c r="D538"/>
      <c r="E538"/>
      <c r="F538"/>
      <c r="G538"/>
      <c r="H538"/>
      <c r="I538"/>
    </row>
    <row r="539" spans="1:9">
      <c r="A539"/>
      <c r="B539" s="68"/>
      <c r="C539"/>
      <c r="D539"/>
      <c r="E539"/>
      <c r="F539"/>
      <c r="G539"/>
      <c r="H539"/>
      <c r="I539"/>
    </row>
    <row r="540" spans="1:9">
      <c r="A540"/>
      <c r="B540" s="68"/>
      <c r="C540"/>
      <c r="D540"/>
      <c r="E540"/>
      <c r="F540"/>
      <c r="G540"/>
      <c r="H540"/>
      <c r="I540"/>
    </row>
    <row r="541" spans="1:9">
      <c r="A541"/>
      <c r="B541" s="68"/>
      <c r="C541"/>
      <c r="D541"/>
      <c r="E541"/>
      <c r="F541"/>
      <c r="G541"/>
      <c r="H541"/>
      <c r="I541"/>
    </row>
    <row r="542" spans="1:9">
      <c r="A542"/>
      <c r="B542" s="68"/>
      <c r="C542"/>
      <c r="D542"/>
      <c r="E542"/>
      <c r="F542"/>
      <c r="G542"/>
      <c r="H542"/>
      <c r="I542"/>
    </row>
    <row r="543" spans="1:9">
      <c r="A543"/>
      <c r="B543" s="68"/>
      <c r="C543"/>
      <c r="D543"/>
      <c r="E543"/>
      <c r="F543"/>
      <c r="G543"/>
      <c r="H543"/>
      <c r="I543"/>
    </row>
    <row r="544" spans="1:9">
      <c r="A544"/>
      <c r="B544" s="68"/>
      <c r="C544"/>
      <c r="D544"/>
      <c r="E544"/>
      <c r="F544"/>
      <c r="G544"/>
      <c r="H544"/>
      <c r="I544"/>
    </row>
    <row r="545" spans="1:9">
      <c r="A545"/>
      <c r="B545" s="68"/>
      <c r="C545"/>
      <c r="D545"/>
      <c r="E545"/>
      <c r="F545"/>
      <c r="G545"/>
      <c r="H545"/>
      <c r="I545"/>
    </row>
    <row r="546" spans="1:9">
      <c r="A546"/>
      <c r="B546" s="68"/>
      <c r="C546"/>
      <c r="D546"/>
      <c r="E546"/>
      <c r="F546"/>
      <c r="G546"/>
      <c r="H546"/>
      <c r="I546"/>
    </row>
    <row r="547" spans="1:9">
      <c r="A547"/>
      <c r="B547" s="68"/>
      <c r="C547"/>
      <c r="D547"/>
      <c r="E547"/>
      <c r="F547"/>
      <c r="G547"/>
      <c r="H547"/>
      <c r="I547"/>
    </row>
    <row r="548" spans="1:9">
      <c r="A548"/>
      <c r="B548" s="68"/>
      <c r="C548"/>
      <c r="D548"/>
      <c r="E548"/>
      <c r="F548"/>
      <c r="G548"/>
      <c r="H548"/>
      <c r="I548"/>
    </row>
    <row r="549" spans="1:9">
      <c r="A549"/>
      <c r="B549" s="68"/>
      <c r="C549"/>
      <c r="D549"/>
      <c r="E549"/>
      <c r="F549"/>
      <c r="G549"/>
      <c r="H549"/>
      <c r="I549"/>
    </row>
    <row r="550" spans="1:9">
      <c r="A550"/>
      <c r="B550" s="68"/>
      <c r="C550"/>
      <c r="D550"/>
      <c r="E550"/>
      <c r="F550"/>
      <c r="G550"/>
      <c r="H550"/>
      <c r="I550"/>
    </row>
    <row r="551" spans="1:9">
      <c r="A551"/>
      <c r="B551" s="68"/>
      <c r="C551"/>
      <c r="D551"/>
      <c r="E551"/>
      <c r="F551"/>
      <c r="G551"/>
      <c r="H551"/>
      <c r="I551"/>
    </row>
    <row r="552" spans="1:9">
      <c r="A552"/>
      <c r="B552" s="68"/>
      <c r="C552"/>
      <c r="D552"/>
      <c r="E552"/>
      <c r="F552"/>
      <c r="G552"/>
      <c r="H552"/>
      <c r="I552"/>
    </row>
    <row r="553" spans="1:9">
      <c r="A553"/>
      <c r="B553" s="68"/>
      <c r="C553"/>
      <c r="D553"/>
      <c r="E553"/>
      <c r="F553"/>
      <c r="G553"/>
      <c r="H553"/>
      <c r="I553"/>
    </row>
    <row r="554" spans="1:9">
      <c r="A554"/>
      <c r="B554" s="68"/>
      <c r="C554"/>
      <c r="D554"/>
      <c r="E554"/>
      <c r="F554"/>
      <c r="G554"/>
      <c r="H554"/>
      <c r="I554"/>
    </row>
    <row r="555" spans="1:9">
      <c r="A555"/>
      <c r="B555" s="68"/>
      <c r="C555"/>
      <c r="D555"/>
      <c r="E555"/>
      <c r="F555"/>
      <c r="G555"/>
      <c r="H555"/>
      <c r="I555"/>
    </row>
    <row r="556" spans="1:9">
      <c r="A556"/>
      <c r="B556" s="68"/>
      <c r="C556"/>
      <c r="D556"/>
      <c r="E556"/>
      <c r="F556"/>
      <c r="G556"/>
      <c r="H556"/>
      <c r="I556"/>
    </row>
    <row r="557" spans="1:9">
      <c r="A557"/>
      <c r="B557" s="68"/>
      <c r="C557"/>
      <c r="D557"/>
      <c r="E557"/>
      <c r="F557"/>
      <c r="G557"/>
      <c r="H557"/>
      <c r="I557"/>
    </row>
    <row r="558" spans="1:9">
      <c r="A558"/>
      <c r="B558" s="68"/>
      <c r="C558"/>
      <c r="D558"/>
      <c r="E558"/>
      <c r="F558"/>
      <c r="G558"/>
      <c r="H558"/>
      <c r="I558"/>
    </row>
    <row r="559" spans="1:9">
      <c r="A559"/>
      <c r="B559" s="68"/>
      <c r="C559"/>
      <c r="D559"/>
      <c r="E559"/>
      <c r="F559"/>
      <c r="G559"/>
      <c r="H559"/>
      <c r="I559"/>
    </row>
    <row r="560" spans="1:9">
      <c r="A560"/>
      <c r="B560" s="68"/>
      <c r="C560"/>
      <c r="D560"/>
      <c r="E560"/>
      <c r="F560"/>
      <c r="G560"/>
      <c r="H560"/>
      <c r="I560"/>
    </row>
    <row r="561" spans="1:9">
      <c r="A561"/>
      <c r="B561" s="68"/>
      <c r="C561"/>
      <c r="D561"/>
      <c r="E561"/>
      <c r="F561"/>
      <c r="G561"/>
      <c r="H561"/>
      <c r="I561"/>
    </row>
    <row r="562" spans="1:9">
      <c r="A562"/>
      <c r="B562" s="68"/>
      <c r="C562"/>
      <c r="D562"/>
      <c r="E562"/>
      <c r="F562"/>
      <c r="G562"/>
      <c r="H562"/>
      <c r="I562"/>
    </row>
    <row r="563" spans="1:9">
      <c r="A563"/>
      <c r="B563" s="68"/>
      <c r="C563"/>
      <c r="D563"/>
      <c r="E563"/>
      <c r="F563"/>
      <c r="G563"/>
      <c r="H563"/>
      <c r="I563"/>
    </row>
    <row r="564" spans="1:9">
      <c r="A564"/>
      <c r="B564" s="68"/>
      <c r="C564"/>
      <c r="D564"/>
      <c r="E564"/>
      <c r="F564"/>
      <c r="G564"/>
      <c r="H564"/>
      <c r="I564"/>
    </row>
    <row r="565" spans="1:9">
      <c r="A565"/>
      <c r="B565" s="68"/>
      <c r="C565"/>
      <c r="D565"/>
      <c r="E565"/>
      <c r="F565"/>
      <c r="G565"/>
      <c r="H565"/>
      <c r="I565"/>
    </row>
    <row r="566" spans="1:9">
      <c r="A566"/>
      <c r="B566" s="68"/>
      <c r="C566"/>
      <c r="D566"/>
      <c r="E566"/>
      <c r="F566"/>
      <c r="G566"/>
      <c r="H566"/>
      <c r="I566"/>
    </row>
    <row r="567" spans="1:9">
      <c r="A567"/>
      <c r="B567" s="68"/>
      <c r="C567"/>
      <c r="D567"/>
      <c r="E567"/>
      <c r="F567"/>
      <c r="G567"/>
      <c r="H567"/>
      <c r="I567"/>
    </row>
    <row r="568" spans="1:9">
      <c r="A568"/>
      <c r="B568" s="68"/>
      <c r="C568"/>
      <c r="D568"/>
      <c r="E568"/>
      <c r="F568"/>
      <c r="G568"/>
      <c r="H568"/>
      <c r="I568"/>
    </row>
    <row r="569" spans="1:9">
      <c r="A569"/>
      <c r="B569" s="68"/>
      <c r="C569"/>
      <c r="D569"/>
      <c r="E569"/>
      <c r="F569"/>
      <c r="G569"/>
      <c r="H569"/>
      <c r="I569"/>
    </row>
    <row r="570" spans="1:9">
      <c r="A570"/>
      <c r="B570" s="68"/>
      <c r="C570"/>
      <c r="D570"/>
      <c r="E570"/>
      <c r="F570"/>
      <c r="G570"/>
      <c r="H570"/>
      <c r="I570"/>
    </row>
    <row r="571" spans="1:9">
      <c r="A571"/>
      <c r="B571" s="68"/>
      <c r="C571"/>
      <c r="D571"/>
      <c r="E571"/>
      <c r="F571"/>
      <c r="G571"/>
      <c r="H571"/>
      <c r="I571"/>
    </row>
    <row r="572" spans="1:9">
      <c r="A572"/>
      <c r="B572" s="68"/>
      <c r="C572"/>
      <c r="D572"/>
      <c r="E572"/>
      <c r="F572"/>
      <c r="G572"/>
      <c r="H572"/>
      <c r="I572"/>
    </row>
    <row r="573" spans="1:9">
      <c r="A573"/>
      <c r="B573" s="68"/>
      <c r="C573"/>
      <c r="D573"/>
      <c r="E573"/>
      <c r="F573"/>
      <c r="G573"/>
      <c r="H573"/>
      <c r="I573"/>
    </row>
    <row r="574" spans="1:9">
      <c r="A574"/>
      <c r="B574" s="68"/>
      <c r="C574"/>
      <c r="D574"/>
      <c r="E574"/>
      <c r="F574"/>
      <c r="G574"/>
      <c r="H574"/>
      <c r="I574"/>
    </row>
    <row r="575" spans="1:9">
      <c r="A575"/>
      <c r="B575" s="68"/>
      <c r="C575"/>
      <c r="D575"/>
      <c r="E575"/>
      <c r="F575"/>
      <c r="G575"/>
      <c r="H575"/>
      <c r="I575"/>
    </row>
    <row r="576" spans="1:9">
      <c r="A576"/>
      <c r="B576" s="68"/>
      <c r="C576"/>
      <c r="D576"/>
      <c r="E576"/>
      <c r="F576"/>
      <c r="G576"/>
      <c r="H576"/>
      <c r="I576"/>
    </row>
    <row r="577" spans="1:9">
      <c r="A577"/>
      <c r="B577" s="68"/>
      <c r="C577"/>
      <c r="D577"/>
      <c r="E577"/>
      <c r="F577"/>
      <c r="G577"/>
      <c r="H577"/>
      <c r="I577"/>
    </row>
    <row r="578" spans="1:9">
      <c r="A578"/>
      <c r="B578" s="68"/>
      <c r="C578"/>
      <c r="D578"/>
      <c r="E578"/>
      <c r="F578"/>
      <c r="G578"/>
      <c r="H578"/>
      <c r="I578"/>
    </row>
    <row r="579" spans="1:9">
      <c r="A579"/>
      <c r="B579" s="68"/>
      <c r="C579"/>
      <c r="D579"/>
      <c r="E579"/>
      <c r="F579"/>
      <c r="G579"/>
      <c r="H579"/>
      <c r="I579"/>
    </row>
    <row r="580" spans="1:9">
      <c r="A580"/>
      <c r="B580" s="68"/>
      <c r="C580"/>
      <c r="D580"/>
      <c r="E580"/>
      <c r="F580"/>
      <c r="G580"/>
      <c r="H580"/>
      <c r="I580"/>
    </row>
    <row r="581" spans="1:9">
      <c r="A581"/>
      <c r="B581" s="68"/>
      <c r="C581"/>
      <c r="D581"/>
      <c r="E581"/>
      <c r="F581"/>
      <c r="G581"/>
      <c r="H581"/>
      <c r="I581"/>
    </row>
    <row r="582" spans="1:9">
      <c r="A582"/>
      <c r="B582" s="68"/>
      <c r="C582"/>
      <c r="D582"/>
      <c r="E582"/>
      <c r="F582"/>
      <c r="G582"/>
      <c r="H582"/>
      <c r="I582"/>
    </row>
    <row r="583" spans="1:9">
      <c r="A583"/>
      <c r="B583" s="68"/>
      <c r="C583"/>
      <c r="D583"/>
      <c r="E583"/>
      <c r="F583"/>
      <c r="G583"/>
      <c r="H583"/>
      <c r="I583"/>
    </row>
    <row r="584" spans="1:9">
      <c r="A584"/>
      <c r="B584" s="68"/>
      <c r="C584"/>
      <c r="D584"/>
      <c r="E584"/>
      <c r="F584"/>
      <c r="G584"/>
      <c r="H584"/>
      <c r="I584"/>
    </row>
    <row r="585" spans="1:9">
      <c r="A585"/>
      <c r="B585" s="68"/>
      <c r="C585"/>
      <c r="D585"/>
      <c r="E585"/>
      <c r="F585"/>
      <c r="G585"/>
      <c r="H585"/>
      <c r="I585"/>
    </row>
    <row r="586" spans="1:9">
      <c r="A586"/>
      <c r="B586" s="68"/>
      <c r="C586"/>
      <c r="D586"/>
      <c r="E586"/>
      <c r="F586"/>
      <c r="G586"/>
      <c r="H586"/>
      <c r="I586"/>
    </row>
    <row r="587" spans="1:9">
      <c r="A587"/>
      <c r="B587" s="68"/>
      <c r="C587"/>
      <c r="D587"/>
      <c r="E587"/>
      <c r="F587"/>
      <c r="G587"/>
      <c r="H587"/>
      <c r="I587"/>
    </row>
    <row r="588" spans="1:9">
      <c r="A588"/>
      <c r="B588" s="68"/>
      <c r="C588"/>
      <c r="D588"/>
      <c r="E588"/>
      <c r="F588"/>
      <c r="G588"/>
      <c r="H588"/>
      <c r="I588"/>
    </row>
    <row r="589" spans="1:9">
      <c r="A589"/>
      <c r="B589" s="68"/>
      <c r="C589"/>
      <c r="D589"/>
      <c r="E589"/>
      <c r="F589"/>
      <c r="G589"/>
      <c r="H589"/>
      <c r="I589"/>
    </row>
    <row r="590" spans="1:9">
      <c r="A590"/>
      <c r="B590" s="68"/>
      <c r="C590"/>
      <c r="D590"/>
      <c r="E590"/>
      <c r="F590"/>
      <c r="G590"/>
      <c r="H590"/>
      <c r="I590"/>
    </row>
    <row r="591" spans="1:9">
      <c r="A591"/>
      <c r="B591" s="68"/>
      <c r="C591"/>
      <c r="D591"/>
      <c r="E591"/>
      <c r="F591"/>
      <c r="G591"/>
      <c r="H591"/>
      <c r="I591"/>
    </row>
    <row r="592" spans="1:9">
      <c r="A592"/>
      <c r="B592" s="68"/>
      <c r="C592"/>
      <c r="D592"/>
      <c r="E592"/>
      <c r="F592"/>
      <c r="G592"/>
      <c r="H592"/>
      <c r="I592"/>
    </row>
    <row r="593" spans="1:9">
      <c r="A593"/>
      <c r="B593" s="68"/>
      <c r="C593"/>
      <c r="D593"/>
      <c r="E593"/>
      <c r="F593"/>
      <c r="G593"/>
      <c r="H593"/>
      <c r="I593"/>
    </row>
    <row r="594" spans="1:9">
      <c r="A594"/>
      <c r="B594" s="68"/>
      <c r="C594"/>
      <c r="D594"/>
      <c r="E594"/>
      <c r="F594"/>
      <c r="G594"/>
      <c r="H594"/>
      <c r="I594"/>
    </row>
    <row r="595" spans="1:9">
      <c r="A595"/>
      <c r="B595" s="68"/>
      <c r="C595"/>
      <c r="D595"/>
      <c r="E595"/>
      <c r="F595"/>
      <c r="G595"/>
      <c r="H595"/>
      <c r="I595"/>
    </row>
    <row r="596" spans="1:9">
      <c r="A596"/>
      <c r="B596" s="68"/>
      <c r="C596"/>
      <c r="D596"/>
      <c r="E596"/>
      <c r="F596"/>
      <c r="G596"/>
      <c r="H596"/>
      <c r="I596"/>
    </row>
    <row r="597" spans="1:9">
      <c r="A597"/>
      <c r="B597" s="68"/>
      <c r="C597"/>
      <c r="D597"/>
      <c r="E597"/>
      <c r="F597"/>
      <c r="G597"/>
      <c r="H597"/>
      <c r="I597"/>
    </row>
    <row r="598" spans="1:9">
      <c r="A598"/>
      <c r="B598" s="68"/>
      <c r="C598"/>
      <c r="D598"/>
      <c r="E598"/>
      <c r="F598"/>
      <c r="G598"/>
      <c r="H598"/>
      <c r="I598"/>
    </row>
    <row r="599" spans="1:9">
      <c r="A599"/>
      <c r="B599" s="68"/>
      <c r="C599"/>
      <c r="D599"/>
      <c r="E599"/>
      <c r="F599"/>
      <c r="G599"/>
      <c r="H599"/>
      <c r="I599"/>
    </row>
    <row r="600" spans="1:9">
      <c r="A600"/>
      <c r="B600" s="68"/>
      <c r="C600"/>
      <c r="D600"/>
      <c r="E600"/>
      <c r="F600"/>
      <c r="G600"/>
      <c r="H600"/>
      <c r="I600"/>
    </row>
    <row r="601" spans="1:9">
      <c r="A601"/>
      <c r="B601" s="68"/>
      <c r="C601"/>
      <c r="D601"/>
      <c r="E601"/>
      <c r="F601"/>
      <c r="G601"/>
      <c r="H601"/>
      <c r="I601"/>
    </row>
    <row r="602" spans="1:9">
      <c r="A602"/>
      <c r="B602" s="68"/>
      <c r="C602"/>
      <c r="D602"/>
      <c r="E602"/>
      <c r="F602"/>
      <c r="G602"/>
      <c r="H602"/>
      <c r="I602"/>
    </row>
    <row r="603" spans="1:9">
      <c r="A603"/>
      <c r="B603" s="68"/>
      <c r="C603"/>
      <c r="D603"/>
      <c r="E603"/>
      <c r="F603"/>
      <c r="G603"/>
      <c r="H603"/>
      <c r="I603"/>
    </row>
    <row r="604" spans="1:9">
      <c r="A604"/>
      <c r="B604" s="68"/>
      <c r="C604"/>
      <c r="D604"/>
      <c r="E604"/>
      <c r="F604"/>
      <c r="G604"/>
      <c r="H604"/>
      <c r="I604"/>
    </row>
    <row r="605" spans="1:9">
      <c r="A605"/>
      <c r="B605" s="68"/>
      <c r="C605"/>
      <c r="D605"/>
      <c r="E605"/>
      <c r="F605"/>
      <c r="G605"/>
      <c r="H605"/>
      <c r="I605"/>
    </row>
    <row r="606" spans="1:9">
      <c r="A606"/>
      <c r="B606" s="68"/>
      <c r="C606"/>
      <c r="D606"/>
      <c r="E606"/>
      <c r="F606"/>
      <c r="G606"/>
      <c r="H606"/>
      <c r="I606"/>
    </row>
    <row r="607" spans="1:9">
      <c r="A607"/>
      <c r="B607" s="68"/>
      <c r="C607"/>
      <c r="D607"/>
      <c r="E607"/>
      <c r="F607"/>
      <c r="G607"/>
      <c r="H607"/>
      <c r="I607"/>
    </row>
    <row r="608" spans="1:9">
      <c r="A608"/>
      <c r="B608" s="68"/>
      <c r="C608"/>
      <c r="D608"/>
      <c r="E608"/>
      <c r="F608"/>
      <c r="G608"/>
      <c r="H608"/>
      <c r="I608"/>
    </row>
    <row r="609" spans="1:9">
      <c r="A609"/>
      <c r="B609" s="68"/>
      <c r="C609"/>
      <c r="D609"/>
      <c r="E609"/>
      <c r="F609"/>
      <c r="G609"/>
      <c r="H609"/>
      <c r="I609"/>
    </row>
    <row r="610" spans="1:9">
      <c r="A610"/>
      <c r="B610" s="68"/>
      <c r="C610"/>
      <c r="D610"/>
      <c r="E610"/>
      <c r="F610"/>
      <c r="G610"/>
      <c r="H610"/>
      <c r="I610"/>
    </row>
    <row r="611" spans="1:9">
      <c r="A611"/>
      <c r="B611" s="68"/>
      <c r="C611"/>
      <c r="D611"/>
      <c r="E611"/>
      <c r="F611"/>
      <c r="G611"/>
      <c r="H611"/>
      <c r="I611"/>
    </row>
    <row r="612" spans="1:9">
      <c r="A612"/>
      <c r="B612" s="68"/>
      <c r="C612"/>
      <c r="D612"/>
      <c r="E612"/>
      <c r="F612"/>
      <c r="G612"/>
      <c r="H612"/>
      <c r="I612"/>
    </row>
    <row r="613" spans="1:9">
      <c r="A613"/>
      <c r="B613" s="68"/>
      <c r="C613"/>
      <c r="D613"/>
      <c r="E613"/>
      <c r="F613"/>
      <c r="G613"/>
      <c r="H613"/>
      <c r="I613"/>
    </row>
    <row r="614" spans="1:9">
      <c r="A614"/>
      <c r="B614" s="68"/>
      <c r="C614"/>
      <c r="D614"/>
      <c r="E614"/>
      <c r="F614"/>
      <c r="G614"/>
      <c r="H614"/>
      <c r="I614"/>
    </row>
    <row r="615" spans="1:9">
      <c r="A615"/>
      <c r="B615" s="68"/>
      <c r="C615"/>
      <c r="D615"/>
      <c r="E615"/>
      <c r="F615"/>
      <c r="G615"/>
      <c r="H615"/>
      <c r="I615"/>
    </row>
    <row r="616" spans="1:9">
      <c r="A616"/>
      <c r="B616" s="68"/>
      <c r="C616"/>
      <c r="D616"/>
      <c r="E616"/>
      <c r="F616"/>
      <c r="G616"/>
      <c r="H616"/>
      <c r="I616"/>
    </row>
    <row r="617" spans="1:9">
      <c r="A617"/>
      <c r="B617" s="68"/>
      <c r="C617"/>
      <c r="D617"/>
      <c r="E617"/>
      <c r="F617"/>
      <c r="G617"/>
      <c r="H617"/>
      <c r="I617"/>
    </row>
    <row r="618" spans="1:9">
      <c r="A618"/>
      <c r="B618" s="68"/>
      <c r="C618"/>
      <c r="D618"/>
      <c r="E618"/>
      <c r="F618"/>
      <c r="G618"/>
      <c r="H618"/>
      <c r="I618"/>
    </row>
    <row r="619" spans="1:9">
      <c r="A619"/>
      <c r="B619" s="68"/>
      <c r="C619"/>
      <c r="D619"/>
      <c r="E619"/>
      <c r="F619"/>
      <c r="G619"/>
      <c r="H619"/>
      <c r="I619"/>
    </row>
    <row r="620" spans="1:9">
      <c r="A620"/>
      <c r="B620" s="68"/>
      <c r="C620"/>
      <c r="D620"/>
      <c r="E620"/>
      <c r="F620"/>
      <c r="G620"/>
      <c r="H620"/>
      <c r="I620"/>
    </row>
    <row r="621" spans="1:9">
      <c r="A621"/>
      <c r="B621" s="68"/>
      <c r="C621"/>
      <c r="D621"/>
      <c r="E621"/>
      <c r="F621"/>
      <c r="G621"/>
      <c r="H621"/>
      <c r="I621"/>
    </row>
    <row r="622" spans="1:9">
      <c r="A622"/>
      <c r="B622" s="68"/>
      <c r="C622"/>
      <c r="D622"/>
      <c r="E622"/>
      <c r="F622"/>
      <c r="G622"/>
      <c r="H622"/>
      <c r="I622"/>
    </row>
    <row r="623" spans="1:9">
      <c r="A623"/>
      <c r="B623" s="68"/>
      <c r="C623"/>
      <c r="D623"/>
      <c r="E623"/>
      <c r="F623"/>
      <c r="G623"/>
      <c r="H623"/>
      <c r="I623"/>
    </row>
    <row r="624" spans="1:9">
      <c r="A624"/>
      <c r="B624" s="68"/>
      <c r="C624"/>
      <c r="D624"/>
      <c r="E624"/>
      <c r="F624"/>
      <c r="G624"/>
      <c r="H624"/>
      <c r="I624"/>
    </row>
    <row r="625" spans="1:9">
      <c r="A625"/>
      <c r="B625" s="68"/>
      <c r="C625"/>
      <c r="D625"/>
      <c r="E625"/>
      <c r="F625"/>
      <c r="G625"/>
      <c r="H625"/>
      <c r="I625"/>
    </row>
    <row r="626" spans="1:9">
      <c r="A626"/>
      <c r="B626" s="68"/>
      <c r="C626"/>
      <c r="D626"/>
      <c r="E626"/>
      <c r="F626"/>
      <c r="G626"/>
      <c r="H626"/>
      <c r="I626"/>
    </row>
    <row r="627" spans="1:9">
      <c r="A627"/>
      <c r="B627" s="68"/>
      <c r="C627"/>
      <c r="D627"/>
      <c r="E627"/>
      <c r="F627"/>
      <c r="G627"/>
      <c r="H627"/>
      <c r="I627"/>
    </row>
    <row r="628" spans="1:9">
      <c r="A628"/>
      <c r="B628" s="68"/>
      <c r="C628"/>
      <c r="D628"/>
      <c r="E628"/>
      <c r="F628"/>
      <c r="G628"/>
      <c r="H628"/>
      <c r="I628"/>
    </row>
    <row r="629" spans="1:9">
      <c r="A629"/>
      <c r="B629" s="68"/>
      <c r="C629"/>
      <c r="D629"/>
      <c r="E629"/>
      <c r="F629"/>
      <c r="G629"/>
      <c r="H629"/>
      <c r="I629"/>
    </row>
    <row r="630" spans="1:9">
      <c r="A630"/>
      <c r="B630" s="68"/>
      <c r="C630"/>
      <c r="D630"/>
      <c r="E630"/>
      <c r="F630"/>
      <c r="G630"/>
      <c r="H630"/>
      <c r="I630"/>
    </row>
    <row r="631" spans="1:9">
      <c r="A631"/>
      <c r="B631" s="68"/>
      <c r="C631"/>
      <c r="D631"/>
      <c r="E631"/>
      <c r="F631"/>
      <c r="G631"/>
      <c r="H631"/>
      <c r="I631"/>
    </row>
    <row r="632" spans="1:9">
      <c r="A632"/>
      <c r="B632" s="68"/>
      <c r="C632"/>
      <c r="D632"/>
      <c r="E632"/>
      <c r="F632"/>
      <c r="G632"/>
      <c r="H632"/>
      <c r="I632"/>
    </row>
    <row r="633" spans="1:9">
      <c r="A633"/>
      <c r="B633" s="68"/>
      <c r="C633"/>
      <c r="D633"/>
      <c r="E633"/>
      <c r="F633"/>
      <c r="G633"/>
      <c r="H633"/>
      <c r="I633"/>
    </row>
    <row r="634" spans="1:9">
      <c r="A634"/>
      <c r="B634" s="68"/>
      <c r="C634"/>
      <c r="D634"/>
      <c r="E634"/>
      <c r="F634"/>
      <c r="G634"/>
      <c r="H634"/>
      <c r="I634"/>
    </row>
    <row r="635" spans="1:9">
      <c r="A635"/>
      <c r="B635" s="68"/>
      <c r="C635"/>
      <c r="D635"/>
      <c r="E635"/>
      <c r="F635"/>
      <c r="G635"/>
      <c r="H635"/>
      <c r="I635"/>
    </row>
    <row r="636" spans="1:9">
      <c r="A636"/>
      <c r="B636" s="68"/>
      <c r="C636"/>
      <c r="D636"/>
      <c r="E636"/>
      <c r="F636"/>
      <c r="G636"/>
      <c r="H636"/>
      <c r="I636"/>
    </row>
    <row r="637" spans="1:9">
      <c r="A637"/>
      <c r="B637" s="68"/>
      <c r="C637"/>
      <c r="D637"/>
      <c r="E637"/>
      <c r="F637"/>
      <c r="G637"/>
      <c r="H637"/>
      <c r="I637"/>
    </row>
    <row r="638" spans="1:9">
      <c r="A638"/>
      <c r="B638" s="68"/>
      <c r="C638"/>
      <c r="D638"/>
      <c r="E638"/>
      <c r="F638"/>
      <c r="G638"/>
      <c r="H638"/>
      <c r="I638"/>
    </row>
    <row r="639" spans="1:9">
      <c r="A639"/>
      <c r="B639" s="68"/>
      <c r="C639"/>
      <c r="D639"/>
      <c r="E639"/>
      <c r="F639"/>
      <c r="G639"/>
      <c r="H639"/>
      <c r="I639"/>
    </row>
    <row r="640" spans="1:9">
      <c r="A640"/>
      <c r="B640" s="68"/>
      <c r="C640"/>
      <c r="D640"/>
      <c r="E640"/>
      <c r="F640"/>
      <c r="G640"/>
      <c r="H640"/>
      <c r="I640"/>
    </row>
    <row r="641" spans="1:9">
      <c r="A641"/>
      <c r="B641" s="68"/>
      <c r="C641"/>
      <c r="D641"/>
      <c r="E641"/>
      <c r="F641"/>
      <c r="G641"/>
      <c r="H641"/>
      <c r="I641"/>
    </row>
    <row r="642" spans="1:9">
      <c r="A642"/>
      <c r="B642" s="68"/>
      <c r="C642"/>
      <c r="D642"/>
      <c r="E642"/>
      <c r="F642"/>
      <c r="G642"/>
      <c r="H642"/>
      <c r="I642"/>
    </row>
    <row r="643" spans="1:9">
      <c r="A643"/>
      <c r="B643" s="68"/>
      <c r="C643"/>
      <c r="D643"/>
      <c r="E643"/>
      <c r="F643"/>
      <c r="G643"/>
      <c r="H643"/>
      <c r="I643"/>
    </row>
    <row r="644" spans="1:9">
      <c r="A644"/>
      <c r="B644" s="68"/>
      <c r="C644"/>
      <c r="D644"/>
      <c r="E644"/>
      <c r="F644"/>
      <c r="G644"/>
      <c r="H644"/>
      <c r="I644"/>
    </row>
    <row r="645" spans="1:9">
      <c r="A645"/>
      <c r="B645" s="68"/>
      <c r="C645"/>
      <c r="D645"/>
      <c r="E645"/>
      <c r="F645"/>
      <c r="G645"/>
      <c r="H645"/>
      <c r="I645"/>
    </row>
    <row r="646" spans="1:9">
      <c r="A646"/>
      <c r="B646" s="68"/>
      <c r="C646"/>
      <c r="D646"/>
      <c r="E646"/>
      <c r="F646"/>
      <c r="G646"/>
      <c r="H646"/>
      <c r="I646"/>
    </row>
    <row r="647" spans="1:9">
      <c r="A647"/>
      <c r="B647" s="68"/>
      <c r="C647"/>
      <c r="D647"/>
      <c r="E647"/>
      <c r="F647"/>
      <c r="G647"/>
      <c r="H647"/>
      <c r="I647"/>
    </row>
    <row r="648" spans="1:9">
      <c r="A648"/>
      <c r="B648" s="68"/>
      <c r="C648"/>
      <c r="D648"/>
      <c r="E648"/>
      <c r="F648"/>
      <c r="G648"/>
      <c r="H648"/>
      <c r="I648"/>
    </row>
    <row r="649" spans="1:9">
      <c r="A649"/>
      <c r="B649" s="68"/>
      <c r="C649"/>
      <c r="D649"/>
      <c r="E649"/>
      <c r="F649"/>
      <c r="G649"/>
      <c r="H649"/>
      <c r="I649"/>
    </row>
    <row r="650" spans="1:9">
      <c r="A650"/>
      <c r="B650" s="68"/>
      <c r="C650"/>
      <c r="D650"/>
      <c r="E650"/>
      <c r="F650"/>
      <c r="G650"/>
      <c r="H650"/>
      <c r="I650"/>
    </row>
    <row r="651" spans="1:9">
      <c r="A651"/>
      <c r="B651" s="68"/>
      <c r="C651"/>
      <c r="D651"/>
      <c r="E651"/>
      <c r="F651"/>
      <c r="G651"/>
      <c r="H651"/>
      <c r="I651"/>
    </row>
    <row r="652" spans="1:9">
      <c r="A652"/>
      <c r="B652" s="68"/>
      <c r="C652"/>
      <c r="D652"/>
      <c r="E652"/>
      <c r="F652"/>
      <c r="G652"/>
      <c r="H652"/>
      <c r="I652"/>
    </row>
    <row r="653" spans="1:9">
      <c r="A653"/>
      <c r="B653" s="68"/>
      <c r="C653"/>
      <c r="D653"/>
      <c r="E653"/>
      <c r="F653"/>
      <c r="G653"/>
      <c r="H653"/>
      <c r="I653"/>
    </row>
    <row r="654" spans="1:9">
      <c r="A654"/>
      <c r="B654" s="68"/>
      <c r="C654"/>
      <c r="D654"/>
      <c r="E654"/>
      <c r="F654"/>
      <c r="G654"/>
      <c r="H654"/>
      <c r="I654"/>
    </row>
    <row r="655" spans="1:9">
      <c r="A655"/>
      <c r="B655" s="68"/>
      <c r="C655"/>
      <c r="D655"/>
      <c r="E655"/>
      <c r="F655"/>
      <c r="G655"/>
      <c r="H655"/>
      <c r="I655"/>
    </row>
    <row r="656" spans="1:9">
      <c r="A656"/>
      <c r="B656" s="68"/>
      <c r="C656"/>
      <c r="D656"/>
      <c r="E656"/>
      <c r="F656"/>
      <c r="G656"/>
      <c r="H656"/>
      <c r="I656"/>
    </row>
    <row r="657" spans="1:9">
      <c r="A657"/>
      <c r="B657" s="68"/>
      <c r="C657"/>
      <c r="D657"/>
      <c r="E657"/>
      <c r="F657"/>
      <c r="G657"/>
      <c r="H657"/>
      <c r="I657"/>
    </row>
    <row r="658" spans="1:9">
      <c r="A658"/>
      <c r="B658" s="68"/>
      <c r="C658"/>
      <c r="D658"/>
      <c r="E658"/>
      <c r="F658"/>
      <c r="G658"/>
      <c r="H658"/>
      <c r="I658"/>
    </row>
    <row r="659" spans="1:9">
      <c r="A659"/>
      <c r="B659" s="68"/>
      <c r="C659"/>
      <c r="D659"/>
      <c r="E659"/>
      <c r="F659"/>
      <c r="G659"/>
      <c r="H659"/>
      <c r="I659"/>
    </row>
    <row r="660" spans="1:9">
      <c r="A660"/>
      <c r="B660" s="68"/>
      <c r="C660"/>
      <c r="D660"/>
      <c r="E660"/>
      <c r="F660"/>
      <c r="G660"/>
      <c r="H660"/>
      <c r="I660"/>
    </row>
    <row r="661" spans="1:9">
      <c r="A661"/>
      <c r="B661" s="68"/>
      <c r="C661"/>
      <c r="D661"/>
      <c r="E661"/>
      <c r="F661"/>
      <c r="G661"/>
      <c r="H661"/>
      <c r="I661"/>
    </row>
    <row r="662" spans="1:9">
      <c r="A662"/>
      <c r="B662" s="68"/>
      <c r="C662"/>
      <c r="D662"/>
      <c r="E662"/>
      <c r="F662"/>
      <c r="G662"/>
      <c r="H662"/>
      <c r="I662"/>
    </row>
    <row r="663" spans="1:9">
      <c r="A663"/>
      <c r="B663" s="68"/>
      <c r="C663"/>
      <c r="D663"/>
      <c r="E663"/>
      <c r="F663"/>
      <c r="G663"/>
      <c r="H663"/>
      <c r="I663"/>
    </row>
    <row r="664" spans="1:9">
      <c r="A664"/>
      <c r="B664" s="68"/>
      <c r="C664"/>
      <c r="D664"/>
      <c r="E664"/>
      <c r="F664"/>
      <c r="G664"/>
      <c r="H664"/>
      <c r="I664"/>
    </row>
    <row r="665" spans="1:9">
      <c r="A665"/>
      <c r="B665" s="68"/>
      <c r="C665"/>
      <c r="D665"/>
      <c r="E665"/>
      <c r="F665"/>
      <c r="G665"/>
      <c r="H665"/>
      <c r="I665"/>
    </row>
    <row r="666" spans="1:9">
      <c r="A666"/>
      <c r="B666" s="68"/>
      <c r="C666"/>
      <c r="D666"/>
      <c r="E666"/>
      <c r="F666"/>
      <c r="G666"/>
      <c r="H666"/>
      <c r="I666"/>
    </row>
    <row r="667" spans="1:9">
      <c r="A667"/>
      <c r="B667" s="68"/>
      <c r="C667"/>
      <c r="D667"/>
      <c r="E667"/>
      <c r="F667"/>
      <c r="G667"/>
      <c r="H667"/>
      <c r="I667"/>
    </row>
    <row r="668" spans="1:9">
      <c r="A668"/>
      <c r="B668" s="68"/>
      <c r="C668"/>
      <c r="D668"/>
      <c r="E668"/>
      <c r="F668"/>
      <c r="G668"/>
      <c r="H668"/>
      <c r="I668"/>
    </row>
    <row r="669" spans="1:9">
      <c r="A669"/>
      <c r="B669" s="68"/>
      <c r="C669"/>
      <c r="D669"/>
      <c r="E669"/>
      <c r="F669"/>
      <c r="G669"/>
      <c r="H669"/>
      <c r="I669"/>
    </row>
    <row r="670" spans="1:9">
      <c r="A670"/>
      <c r="B670" s="68"/>
      <c r="C670"/>
      <c r="D670"/>
      <c r="E670"/>
      <c r="F670"/>
      <c r="G670"/>
      <c r="H670"/>
      <c r="I670"/>
    </row>
    <row r="671" spans="1:9">
      <c r="A671"/>
      <c r="B671" s="68"/>
      <c r="C671"/>
      <c r="D671"/>
      <c r="E671"/>
      <c r="F671"/>
      <c r="G671"/>
      <c r="H671"/>
      <c r="I671"/>
    </row>
    <row r="672" spans="1:9">
      <c r="A672"/>
      <c r="B672" s="68"/>
      <c r="C672"/>
      <c r="D672"/>
      <c r="E672"/>
      <c r="F672"/>
      <c r="G672"/>
      <c r="H672"/>
      <c r="I672"/>
    </row>
    <row r="673" spans="1:9">
      <c r="A673"/>
      <c r="B673" s="68"/>
      <c r="C673"/>
      <c r="D673"/>
      <c r="E673"/>
      <c r="F673"/>
      <c r="G673"/>
      <c r="H673"/>
      <c r="I673"/>
    </row>
    <row r="674" spans="1:9">
      <c r="A674"/>
      <c r="B674" s="68"/>
      <c r="C674"/>
      <c r="D674"/>
      <c r="E674"/>
      <c r="F674"/>
      <c r="G674"/>
      <c r="H674"/>
      <c r="I674"/>
    </row>
    <row r="675" spans="1:9">
      <c r="A675"/>
      <c r="B675" s="68"/>
      <c r="C675"/>
      <c r="D675"/>
      <c r="E675"/>
      <c r="F675"/>
      <c r="G675"/>
      <c r="H675"/>
      <c r="I675"/>
    </row>
    <row r="676" spans="1:9">
      <c r="A676"/>
      <c r="B676" s="68"/>
      <c r="C676"/>
      <c r="D676"/>
      <c r="E676"/>
      <c r="F676"/>
      <c r="G676"/>
      <c r="H676"/>
      <c r="I676"/>
    </row>
    <row r="677" spans="1:9">
      <c r="A677"/>
      <c r="B677" s="68"/>
      <c r="C677"/>
      <c r="D677"/>
      <c r="E677"/>
      <c r="F677"/>
      <c r="G677"/>
      <c r="H677"/>
      <c r="I677"/>
    </row>
    <row r="678" spans="1:9">
      <c r="A678"/>
      <c r="B678" s="68"/>
      <c r="C678"/>
      <c r="D678"/>
      <c r="E678"/>
      <c r="F678"/>
      <c r="G678"/>
      <c r="H678"/>
      <c r="I678"/>
    </row>
    <row r="679" spans="1:9">
      <c r="A679"/>
      <c r="B679" s="68"/>
      <c r="C679"/>
      <c r="D679"/>
      <c r="E679"/>
      <c r="F679"/>
      <c r="G679"/>
      <c r="H679"/>
      <c r="I679"/>
    </row>
    <row r="680" spans="1:9">
      <c r="A680"/>
      <c r="B680" s="68"/>
      <c r="C680"/>
      <c r="D680"/>
      <c r="E680"/>
      <c r="F680"/>
      <c r="G680"/>
      <c r="H680"/>
      <c r="I680"/>
    </row>
    <row r="681" spans="1:9">
      <c r="A681"/>
      <c r="B681" s="68"/>
      <c r="C681"/>
      <c r="D681"/>
      <c r="E681"/>
      <c r="F681"/>
      <c r="G681"/>
      <c r="H681"/>
      <c r="I681"/>
    </row>
    <row r="682" spans="1:9">
      <c r="A682"/>
      <c r="B682" s="68"/>
      <c r="C682"/>
      <c r="D682"/>
      <c r="E682"/>
      <c r="F682"/>
      <c r="G682"/>
      <c r="H682"/>
      <c r="I682"/>
    </row>
    <row r="683" spans="1:9">
      <c r="A683"/>
      <c r="B683" s="68"/>
      <c r="C683"/>
      <c r="D683"/>
      <c r="E683"/>
      <c r="F683"/>
      <c r="G683"/>
      <c r="H683"/>
      <c r="I683"/>
    </row>
    <row r="684" spans="1:9">
      <c r="A684"/>
      <c r="B684" s="68"/>
      <c r="C684"/>
      <c r="D684"/>
      <c r="E684"/>
      <c r="F684"/>
      <c r="G684"/>
      <c r="H684"/>
      <c r="I684"/>
    </row>
    <row r="685" spans="1:9">
      <c r="A685"/>
      <c r="B685" s="68"/>
      <c r="C685"/>
      <c r="D685"/>
      <c r="E685"/>
      <c r="F685"/>
      <c r="G685"/>
      <c r="H685"/>
      <c r="I685"/>
    </row>
    <row r="686" spans="1:9">
      <c r="A686"/>
      <c r="B686" s="68"/>
      <c r="C686"/>
      <c r="D686"/>
      <c r="E686"/>
      <c r="F686"/>
      <c r="G686"/>
      <c r="H686"/>
      <c r="I686"/>
    </row>
    <row r="687" spans="1:9">
      <c r="A687"/>
      <c r="B687" s="68"/>
      <c r="C687"/>
      <c r="D687"/>
      <c r="E687"/>
      <c r="F687"/>
      <c r="G687"/>
      <c r="H687"/>
      <c r="I687"/>
    </row>
    <row r="688" spans="1:9">
      <c r="A688"/>
      <c r="B688" s="68"/>
      <c r="C688"/>
      <c r="D688"/>
      <c r="E688"/>
      <c r="F688"/>
      <c r="G688"/>
      <c r="H688"/>
      <c r="I688"/>
    </row>
    <row r="689" spans="1:9">
      <c r="A689"/>
      <c r="B689" s="68"/>
      <c r="C689"/>
      <c r="D689"/>
      <c r="E689"/>
      <c r="F689"/>
      <c r="G689"/>
      <c r="H689"/>
      <c r="I689"/>
    </row>
    <row r="690" spans="1:9">
      <c r="A690"/>
      <c r="B690" s="68"/>
      <c r="C690"/>
      <c r="D690"/>
      <c r="E690"/>
      <c r="F690"/>
      <c r="G690"/>
      <c r="H690"/>
      <c r="I690"/>
    </row>
    <row r="691" spans="1:9">
      <c r="A691"/>
      <c r="B691" s="68"/>
      <c r="C691"/>
      <c r="D691"/>
      <c r="E691"/>
      <c r="F691"/>
      <c r="G691"/>
      <c r="H691"/>
      <c r="I691"/>
    </row>
    <row r="692" spans="1:9">
      <c r="A692"/>
      <c r="B692" s="68"/>
      <c r="C692"/>
      <c r="D692"/>
      <c r="E692"/>
      <c r="F692"/>
      <c r="G692"/>
      <c r="H692"/>
      <c r="I692"/>
    </row>
    <row r="693" spans="1:9">
      <c r="A693"/>
      <c r="B693" s="68"/>
      <c r="C693"/>
      <c r="D693"/>
      <c r="E693"/>
      <c r="F693"/>
      <c r="G693"/>
      <c r="H693"/>
      <c r="I693"/>
    </row>
    <row r="694" spans="1:9">
      <c r="A694"/>
      <c r="B694" s="68"/>
      <c r="C694"/>
      <c r="D694"/>
      <c r="E694"/>
      <c r="F694"/>
      <c r="G694"/>
      <c r="H694"/>
      <c r="I694"/>
    </row>
    <row r="695" spans="1:9">
      <c r="A695"/>
      <c r="B695" s="68"/>
      <c r="C695"/>
      <c r="D695"/>
      <c r="E695"/>
      <c r="F695"/>
      <c r="G695"/>
      <c r="H695"/>
      <c r="I695"/>
    </row>
    <row r="696" spans="1:9">
      <c r="A696"/>
      <c r="B696" s="68"/>
      <c r="C696"/>
      <c r="D696"/>
      <c r="E696"/>
      <c r="F696"/>
      <c r="G696"/>
      <c r="H696"/>
      <c r="I696"/>
    </row>
    <row r="697" spans="1:9">
      <c r="A697"/>
      <c r="B697" s="68"/>
      <c r="C697"/>
      <c r="D697"/>
      <c r="E697"/>
      <c r="F697"/>
      <c r="G697"/>
      <c r="H697"/>
      <c r="I697"/>
    </row>
    <row r="698" spans="1:9">
      <c r="A698"/>
      <c r="B698" s="68"/>
      <c r="C698"/>
      <c r="D698"/>
      <c r="E698"/>
      <c r="F698"/>
      <c r="G698"/>
      <c r="H698"/>
      <c r="I698"/>
    </row>
    <row r="699" spans="1:9">
      <c r="A699"/>
      <c r="B699" s="68"/>
      <c r="C699"/>
      <c r="D699"/>
      <c r="E699"/>
      <c r="F699"/>
      <c r="G699"/>
      <c r="H699"/>
      <c r="I699"/>
    </row>
    <row r="700" spans="1:9">
      <c r="A700"/>
      <c r="B700" s="68"/>
      <c r="C700"/>
      <c r="D700"/>
      <c r="E700"/>
      <c r="F700"/>
      <c r="G700"/>
      <c r="H700"/>
      <c r="I700"/>
    </row>
    <row r="701" spans="1:9">
      <c r="A701"/>
      <c r="B701" s="68"/>
      <c r="C701"/>
      <c r="D701"/>
      <c r="E701"/>
      <c r="F701"/>
      <c r="G701"/>
      <c r="H701"/>
      <c r="I701"/>
    </row>
    <row r="702" spans="1:9">
      <c r="A702"/>
      <c r="B702" s="68"/>
      <c r="C702"/>
      <c r="D702"/>
      <c r="E702"/>
      <c r="F702"/>
      <c r="G702"/>
      <c r="H702"/>
      <c r="I702"/>
    </row>
    <row r="703" spans="1:9">
      <c r="A703"/>
      <c r="B703" s="68"/>
      <c r="C703"/>
      <c r="D703"/>
      <c r="E703"/>
      <c r="F703"/>
      <c r="G703"/>
      <c r="H703"/>
      <c r="I703"/>
    </row>
    <row r="704" spans="1:9">
      <c r="A704"/>
      <c r="B704" s="68"/>
      <c r="C704"/>
      <c r="D704"/>
      <c r="E704"/>
      <c r="F704"/>
      <c r="G704"/>
      <c r="H704"/>
      <c r="I704"/>
    </row>
    <row r="705" spans="1:9">
      <c r="A705"/>
      <c r="B705" s="68"/>
      <c r="C705"/>
      <c r="D705"/>
      <c r="E705"/>
      <c r="F705"/>
      <c r="G705"/>
      <c r="H705"/>
      <c r="I705"/>
    </row>
    <row r="706" spans="1:9">
      <c r="A706"/>
      <c r="B706" s="68"/>
      <c r="C706"/>
      <c r="D706"/>
      <c r="E706"/>
      <c r="F706"/>
      <c r="G706"/>
      <c r="H706"/>
      <c r="I706"/>
    </row>
    <row r="707" spans="1:9">
      <c r="A707"/>
      <c r="B707" s="68"/>
      <c r="C707"/>
      <c r="D707"/>
      <c r="E707"/>
      <c r="F707"/>
      <c r="G707"/>
      <c r="H707"/>
      <c r="I707"/>
    </row>
    <row r="708" spans="1:9">
      <c r="A708"/>
      <c r="B708" s="68"/>
      <c r="C708"/>
      <c r="D708"/>
      <c r="E708"/>
      <c r="F708"/>
      <c r="G708"/>
      <c r="H708"/>
      <c r="I708"/>
    </row>
    <row r="709" spans="1:9">
      <c r="A709"/>
      <c r="B709" s="68"/>
      <c r="C709"/>
      <c r="D709"/>
      <c r="E709"/>
      <c r="F709"/>
      <c r="G709"/>
      <c r="H709"/>
      <c r="I709"/>
    </row>
    <row r="710" spans="1:9">
      <c r="A710"/>
      <c r="B710" s="68"/>
      <c r="C710"/>
      <c r="D710"/>
      <c r="E710"/>
      <c r="F710"/>
      <c r="G710"/>
      <c r="H710"/>
      <c r="I710"/>
    </row>
    <row r="711" spans="1:9">
      <c r="A711"/>
      <c r="B711" s="68"/>
      <c r="C711"/>
      <c r="D711"/>
      <c r="E711"/>
      <c r="F711"/>
      <c r="G711"/>
      <c r="H711"/>
      <c r="I711"/>
    </row>
    <row r="712" spans="1:9">
      <c r="A712"/>
      <c r="B712" s="68"/>
      <c r="C712"/>
      <c r="D712"/>
      <c r="E712"/>
      <c r="F712"/>
      <c r="G712"/>
      <c r="H712"/>
      <c r="I712"/>
    </row>
    <row r="713" spans="1:9">
      <c r="A713"/>
      <c r="B713" s="68"/>
      <c r="C713"/>
      <c r="D713"/>
      <c r="E713"/>
      <c r="F713"/>
      <c r="G713"/>
      <c r="H713"/>
      <c r="I713"/>
    </row>
    <row r="714" spans="1:9">
      <c r="A714"/>
      <c r="B714" s="68"/>
      <c r="C714"/>
      <c r="D714"/>
      <c r="E714"/>
      <c r="F714"/>
      <c r="G714"/>
      <c r="H714"/>
      <c r="I714"/>
    </row>
    <row r="715" spans="1:9">
      <c r="A715"/>
      <c r="B715" s="68"/>
      <c r="C715"/>
      <c r="D715"/>
      <c r="E715"/>
      <c r="F715"/>
      <c r="G715"/>
      <c r="H715"/>
      <c r="I715"/>
    </row>
    <row r="716" spans="1:9">
      <c r="A716"/>
      <c r="B716" s="68"/>
      <c r="C716"/>
      <c r="D716"/>
      <c r="E716"/>
      <c r="F716"/>
      <c r="G716"/>
      <c r="H716"/>
      <c r="I716"/>
    </row>
    <row r="717" spans="1:9">
      <c r="A717"/>
      <c r="B717" s="68"/>
      <c r="C717"/>
      <c r="D717"/>
      <c r="E717"/>
      <c r="F717"/>
      <c r="G717"/>
      <c r="H717"/>
      <c r="I717"/>
    </row>
    <row r="718" spans="1:9">
      <c r="A718"/>
      <c r="B718" s="68"/>
      <c r="C718"/>
      <c r="D718"/>
      <c r="E718"/>
      <c r="F718"/>
      <c r="G718"/>
      <c r="H718"/>
      <c r="I718"/>
    </row>
    <row r="719" spans="1:9">
      <c r="A719"/>
      <c r="B719" s="68"/>
      <c r="C719"/>
      <c r="D719"/>
      <c r="E719"/>
      <c r="F719"/>
      <c r="G719"/>
      <c r="H719"/>
      <c r="I719"/>
    </row>
    <row r="720" spans="1:9">
      <c r="A720"/>
      <c r="B720" s="68"/>
      <c r="C720"/>
      <c r="D720"/>
      <c r="E720"/>
      <c r="F720"/>
      <c r="G720"/>
      <c r="H720"/>
      <c r="I720"/>
    </row>
    <row r="721" spans="1:9">
      <c r="A721"/>
      <c r="B721" s="68"/>
      <c r="C721"/>
      <c r="D721"/>
      <c r="E721"/>
      <c r="F721"/>
      <c r="G721"/>
      <c r="H721"/>
      <c r="I721"/>
    </row>
    <row r="722" spans="1:9">
      <c r="A722"/>
      <c r="B722" s="68"/>
      <c r="C722"/>
      <c r="D722"/>
      <c r="E722"/>
      <c r="F722"/>
      <c r="G722"/>
      <c r="H722"/>
      <c r="I722"/>
    </row>
    <row r="723" spans="1:9">
      <c r="A723"/>
      <c r="B723" s="68"/>
      <c r="C723"/>
      <c r="D723"/>
      <c r="E723"/>
      <c r="F723"/>
      <c r="G723"/>
      <c r="H723"/>
      <c r="I723"/>
    </row>
    <row r="724" spans="1:9">
      <c r="A724"/>
      <c r="B724" s="68"/>
      <c r="C724"/>
      <c r="D724"/>
      <c r="E724"/>
      <c r="F724"/>
      <c r="G724"/>
      <c r="H724"/>
      <c r="I724"/>
    </row>
    <row r="725" spans="1:9">
      <c r="A725"/>
      <c r="B725" s="68"/>
      <c r="C725"/>
      <c r="D725"/>
      <c r="E725"/>
      <c r="F725"/>
      <c r="G725"/>
      <c r="H725"/>
      <c r="I725"/>
    </row>
    <row r="726" spans="1:9">
      <c r="A726"/>
      <c r="B726" s="68"/>
      <c r="C726"/>
      <c r="D726"/>
      <c r="E726"/>
      <c r="F726"/>
      <c r="G726"/>
      <c r="H726"/>
      <c r="I726"/>
    </row>
    <row r="727" spans="1:9">
      <c r="A727"/>
      <c r="B727" s="68"/>
      <c r="C727"/>
      <c r="D727"/>
      <c r="E727"/>
      <c r="F727"/>
      <c r="G727"/>
      <c r="H727"/>
      <c r="I727"/>
    </row>
    <row r="728" spans="1:9">
      <c r="A728"/>
      <c r="B728" s="68"/>
      <c r="C728"/>
      <c r="D728"/>
      <c r="E728"/>
      <c r="F728"/>
      <c r="G728"/>
      <c r="H728"/>
      <c r="I728"/>
    </row>
    <row r="729" spans="1:9">
      <c r="A729"/>
      <c r="B729" s="68"/>
      <c r="C729"/>
      <c r="D729"/>
      <c r="E729"/>
      <c r="F729"/>
      <c r="G729"/>
      <c r="H729"/>
      <c r="I729"/>
    </row>
    <row r="730" spans="1:9">
      <c r="A730"/>
      <c r="B730" s="68"/>
      <c r="C730"/>
      <c r="D730"/>
      <c r="E730"/>
      <c r="F730"/>
      <c r="G730"/>
      <c r="H730"/>
      <c r="I730"/>
    </row>
    <row r="731" spans="1:9">
      <c r="A731"/>
      <c r="B731" s="68"/>
      <c r="C731"/>
      <c r="D731"/>
      <c r="E731"/>
      <c r="F731"/>
      <c r="G731"/>
      <c r="H731"/>
      <c r="I731"/>
    </row>
    <row r="732" spans="1:9">
      <c r="A732"/>
      <c r="B732" s="68"/>
      <c r="C732"/>
      <c r="D732"/>
      <c r="E732"/>
      <c r="F732"/>
      <c r="G732"/>
      <c r="H732"/>
      <c r="I732"/>
    </row>
    <row r="733" spans="1:9">
      <c r="A733"/>
      <c r="B733" s="68"/>
      <c r="C733"/>
      <c r="D733"/>
      <c r="E733"/>
      <c r="F733"/>
      <c r="G733"/>
      <c r="H733"/>
      <c r="I733"/>
    </row>
    <row r="734" spans="1:9">
      <c r="A734"/>
      <c r="B734" s="68"/>
      <c r="C734"/>
      <c r="D734"/>
      <c r="E734"/>
      <c r="F734"/>
      <c r="G734"/>
      <c r="H734"/>
      <c r="I734"/>
    </row>
    <row r="735" spans="1:9">
      <c r="A735"/>
      <c r="B735" s="68"/>
      <c r="C735"/>
      <c r="D735"/>
      <c r="E735"/>
      <c r="F735"/>
      <c r="G735"/>
      <c r="H735"/>
      <c r="I735"/>
    </row>
    <row r="736" spans="1:9">
      <c r="A736"/>
      <c r="B736" s="68"/>
      <c r="C736"/>
      <c r="D736"/>
      <c r="E736"/>
      <c r="F736"/>
      <c r="G736"/>
      <c r="H736"/>
      <c r="I736"/>
    </row>
    <row r="737" spans="1:9">
      <c r="A737"/>
      <c r="B737" s="68"/>
      <c r="C737"/>
      <c r="D737"/>
      <c r="E737"/>
      <c r="F737"/>
      <c r="G737"/>
      <c r="H737"/>
      <c r="I737"/>
    </row>
    <row r="738" spans="1:9">
      <c r="A738"/>
      <c r="B738" s="68"/>
      <c r="C738"/>
      <c r="D738"/>
      <c r="E738"/>
      <c r="F738"/>
      <c r="G738"/>
      <c r="H738"/>
      <c r="I738"/>
    </row>
    <row r="739" spans="1:9">
      <c r="A739"/>
      <c r="B739" s="68"/>
      <c r="C739"/>
      <c r="D739"/>
      <c r="E739"/>
      <c r="F739"/>
      <c r="G739"/>
      <c r="H739"/>
      <c r="I739"/>
    </row>
    <row r="740" spans="1:9">
      <c r="A740"/>
      <c r="B740" s="68"/>
      <c r="C740"/>
      <c r="D740"/>
      <c r="E740"/>
      <c r="F740"/>
      <c r="G740"/>
      <c r="H740"/>
      <c r="I740"/>
    </row>
    <row r="741" spans="1:9">
      <c r="A741"/>
      <c r="B741" s="68"/>
      <c r="C741"/>
      <c r="D741"/>
      <c r="E741"/>
      <c r="F741"/>
      <c r="G741"/>
      <c r="H741"/>
      <c r="I741"/>
    </row>
    <row r="742" spans="1:9">
      <c r="A742"/>
      <c r="B742" s="68"/>
      <c r="C742"/>
      <c r="D742"/>
      <c r="E742"/>
      <c r="F742"/>
      <c r="G742"/>
      <c r="H742"/>
      <c r="I742"/>
    </row>
    <row r="743" spans="1:9">
      <c r="A743"/>
      <c r="B743" s="68"/>
      <c r="C743"/>
      <c r="D743"/>
      <c r="E743"/>
      <c r="F743"/>
      <c r="G743"/>
      <c r="H743"/>
      <c r="I743"/>
    </row>
    <row r="744" spans="1:9">
      <c r="A744"/>
      <c r="B744" s="68"/>
      <c r="C744"/>
      <c r="D744"/>
      <c r="E744"/>
      <c r="F744"/>
      <c r="G744"/>
      <c r="H744"/>
      <c r="I744"/>
    </row>
    <row r="745" spans="1:9">
      <c r="A745"/>
      <c r="B745" s="68"/>
      <c r="C745"/>
      <c r="D745"/>
      <c r="E745"/>
      <c r="F745"/>
      <c r="G745"/>
      <c r="H745"/>
      <c r="I745"/>
    </row>
    <row r="746" spans="1:9">
      <c r="A746"/>
      <c r="B746" s="68"/>
      <c r="C746"/>
      <c r="D746"/>
      <c r="E746"/>
      <c r="F746"/>
      <c r="G746"/>
      <c r="H746"/>
      <c r="I746"/>
    </row>
    <row r="747" spans="1:9">
      <c r="A747"/>
      <c r="B747" s="68"/>
      <c r="C747"/>
      <c r="D747"/>
      <c r="E747"/>
      <c r="F747"/>
      <c r="G747"/>
      <c r="H747"/>
      <c r="I747"/>
    </row>
    <row r="748" spans="1:9">
      <c r="A748"/>
      <c r="B748" s="68"/>
      <c r="C748"/>
      <c r="D748"/>
      <c r="E748"/>
      <c r="F748"/>
      <c r="G748"/>
      <c r="H748"/>
      <c r="I748"/>
    </row>
    <row r="749" spans="1:9">
      <c r="A749"/>
      <c r="B749" s="68"/>
      <c r="C749"/>
      <c r="D749"/>
      <c r="E749"/>
      <c r="F749"/>
      <c r="G749"/>
      <c r="H749"/>
      <c r="I749"/>
    </row>
    <row r="750" spans="1:9">
      <c r="A750"/>
      <c r="B750" s="68"/>
      <c r="C750"/>
      <c r="D750"/>
      <c r="E750"/>
      <c r="F750"/>
      <c r="G750"/>
      <c r="H750"/>
      <c r="I750"/>
    </row>
    <row r="751" spans="1:9">
      <c r="A751"/>
      <c r="B751" s="68"/>
      <c r="C751"/>
      <c r="D751"/>
      <c r="E751"/>
      <c r="F751"/>
      <c r="G751"/>
      <c r="H751"/>
      <c r="I751"/>
    </row>
    <row r="752" spans="1:9">
      <c r="A752"/>
      <c r="B752" s="68"/>
      <c r="C752"/>
      <c r="D752"/>
      <c r="E752"/>
      <c r="F752"/>
      <c r="G752"/>
      <c r="H752"/>
      <c r="I752"/>
    </row>
    <row r="753" spans="1:9">
      <c r="A753"/>
      <c r="B753" s="68"/>
      <c r="C753"/>
      <c r="D753"/>
      <c r="E753"/>
      <c r="F753"/>
      <c r="G753"/>
      <c r="H753"/>
      <c r="I753"/>
    </row>
    <row r="754" spans="1:9">
      <c r="A754"/>
      <c r="B754" s="68"/>
      <c r="C754"/>
      <c r="D754"/>
      <c r="E754"/>
      <c r="F754"/>
      <c r="G754"/>
      <c r="H754"/>
      <c r="I754"/>
    </row>
    <row r="755" spans="1:9">
      <c r="A755"/>
      <c r="B755" s="68"/>
      <c r="C755"/>
      <c r="D755"/>
      <c r="E755"/>
      <c r="F755"/>
      <c r="G755"/>
      <c r="H755"/>
      <c r="I755"/>
    </row>
    <row r="756" spans="1:9">
      <c r="A756"/>
      <c r="B756" s="68"/>
      <c r="C756"/>
      <c r="D756"/>
      <c r="E756"/>
      <c r="F756"/>
      <c r="G756"/>
      <c r="H756"/>
      <c r="I756"/>
    </row>
    <row r="757" spans="1:9">
      <c r="A757"/>
      <c r="B757" s="68"/>
      <c r="C757"/>
      <c r="D757"/>
      <c r="E757"/>
      <c r="F757"/>
      <c r="G757"/>
      <c r="H757"/>
      <c r="I757"/>
    </row>
    <row r="758" spans="1:9">
      <c r="A758"/>
      <c r="B758" s="68"/>
      <c r="C758"/>
      <c r="D758"/>
      <c r="E758"/>
      <c r="F758"/>
      <c r="G758"/>
      <c r="H758"/>
      <c r="I758"/>
    </row>
    <row r="759" spans="1:9">
      <c r="A759"/>
      <c r="B759" s="68"/>
      <c r="C759"/>
      <c r="D759"/>
      <c r="E759"/>
      <c r="F759"/>
      <c r="G759"/>
      <c r="H759"/>
      <c r="I759"/>
    </row>
    <row r="760" spans="1:9">
      <c r="A760"/>
      <c r="B760" s="68"/>
      <c r="C760"/>
      <c r="D760"/>
      <c r="E760"/>
      <c r="F760"/>
      <c r="G760"/>
      <c r="H760"/>
      <c r="I760"/>
    </row>
    <row r="761" spans="1:9">
      <c r="A761"/>
      <c r="B761" s="68"/>
      <c r="C761"/>
      <c r="D761"/>
      <c r="E761"/>
      <c r="F761"/>
      <c r="G761"/>
      <c r="H761"/>
      <c r="I761"/>
    </row>
    <row r="762" spans="1:9">
      <c r="A762"/>
      <c r="B762" s="68"/>
      <c r="C762"/>
      <c r="D762"/>
      <c r="E762"/>
      <c r="F762"/>
      <c r="G762"/>
      <c r="H762"/>
      <c r="I762"/>
    </row>
    <row r="763" spans="1:9">
      <c r="A763"/>
      <c r="B763" s="68"/>
      <c r="C763"/>
      <c r="D763"/>
      <c r="E763"/>
      <c r="F763"/>
      <c r="G763"/>
      <c r="H763"/>
      <c r="I763"/>
    </row>
    <row r="764" spans="1:9">
      <c r="A764"/>
      <c r="B764" s="68"/>
      <c r="C764"/>
      <c r="D764"/>
      <c r="E764"/>
      <c r="F764"/>
      <c r="G764"/>
      <c r="H764"/>
      <c r="I764"/>
    </row>
    <row r="765" spans="1:9">
      <c r="A765"/>
      <c r="B765" s="68"/>
      <c r="C765"/>
      <c r="D765"/>
      <c r="E765"/>
      <c r="F765"/>
      <c r="G765"/>
      <c r="H765"/>
      <c r="I765"/>
    </row>
    <row r="766" spans="1:9">
      <c r="A766"/>
      <c r="B766" s="68"/>
      <c r="C766"/>
      <c r="D766"/>
      <c r="E766"/>
      <c r="F766"/>
      <c r="G766"/>
      <c r="H766"/>
      <c r="I766"/>
    </row>
    <row r="767" spans="1:9">
      <c r="A767"/>
      <c r="B767" s="68"/>
      <c r="C767"/>
      <c r="D767"/>
      <c r="E767"/>
      <c r="F767"/>
      <c r="G767"/>
      <c r="H767"/>
      <c r="I767"/>
    </row>
    <row r="768" spans="1:9">
      <c r="A768"/>
      <c r="B768" s="68"/>
      <c r="C768"/>
      <c r="D768"/>
      <c r="E768"/>
      <c r="F768"/>
      <c r="G768"/>
      <c r="H768"/>
      <c r="I768"/>
    </row>
    <row r="769" spans="1:9">
      <c r="A769"/>
      <c r="B769" s="68"/>
      <c r="C769"/>
      <c r="D769"/>
      <c r="E769"/>
      <c r="F769"/>
      <c r="G769"/>
      <c r="H769"/>
      <c r="I769"/>
    </row>
    <row r="770" spans="1:9">
      <c r="A770"/>
      <c r="B770" s="68"/>
      <c r="C770"/>
      <c r="D770"/>
      <c r="E770"/>
      <c r="F770"/>
      <c r="G770"/>
      <c r="H770"/>
      <c r="I770"/>
    </row>
    <row r="771" spans="1:9">
      <c r="A771"/>
      <c r="B771" s="68"/>
      <c r="C771"/>
      <c r="D771"/>
      <c r="E771"/>
      <c r="F771"/>
      <c r="G771"/>
      <c r="H771"/>
      <c r="I771"/>
    </row>
    <row r="772" spans="1:9">
      <c r="A772"/>
      <c r="B772" s="68"/>
      <c r="C772"/>
      <c r="D772"/>
      <c r="E772"/>
      <c r="F772"/>
      <c r="G772"/>
      <c r="H772"/>
      <c r="I772"/>
    </row>
    <row r="773" spans="1:9">
      <c r="A773"/>
      <c r="B773" s="68"/>
      <c r="C773"/>
      <c r="D773"/>
      <c r="E773"/>
      <c r="F773"/>
      <c r="G773"/>
      <c r="H773"/>
      <c r="I773"/>
    </row>
    <row r="774" spans="1:9">
      <c r="A774"/>
      <c r="B774" s="68"/>
      <c r="C774"/>
      <c r="D774"/>
      <c r="E774"/>
      <c r="F774"/>
      <c r="G774"/>
      <c r="H774"/>
      <c r="I774"/>
    </row>
    <row r="775" spans="1:9">
      <c r="A775"/>
      <c r="B775" s="68"/>
      <c r="C775"/>
      <c r="D775"/>
      <c r="E775"/>
      <c r="F775"/>
      <c r="G775"/>
      <c r="H775"/>
      <c r="I775"/>
    </row>
    <row r="776" spans="1:9">
      <c r="A776"/>
      <c r="B776" s="68"/>
      <c r="C776"/>
      <c r="D776"/>
      <c r="E776"/>
      <c r="F776"/>
      <c r="G776"/>
      <c r="H776"/>
      <c r="I776"/>
    </row>
    <row r="777" spans="1:9">
      <c r="A777"/>
      <c r="B777" s="68"/>
      <c r="C777"/>
      <c r="D777"/>
      <c r="E777"/>
      <c r="F777"/>
      <c r="G777"/>
      <c r="H777"/>
      <c r="I777"/>
    </row>
    <row r="778" spans="1:9">
      <c r="A778"/>
      <c r="B778" s="68"/>
      <c r="C778"/>
      <c r="D778"/>
      <c r="E778"/>
      <c r="F778"/>
      <c r="G778"/>
      <c r="H778"/>
      <c r="I778"/>
    </row>
    <row r="779" spans="1:9">
      <c r="A779"/>
      <c r="B779" s="68"/>
      <c r="C779"/>
      <c r="D779"/>
      <c r="E779"/>
      <c r="F779"/>
      <c r="G779"/>
      <c r="H779"/>
      <c r="I779"/>
    </row>
    <row r="780" spans="1:9">
      <c r="A780"/>
      <c r="B780" s="68"/>
      <c r="C780"/>
      <c r="D780"/>
      <c r="E780"/>
      <c r="F780"/>
      <c r="G780"/>
      <c r="H780"/>
      <c r="I780"/>
    </row>
    <row r="781" spans="1:9">
      <c r="A781"/>
      <c r="B781" s="68"/>
      <c r="C781"/>
      <c r="D781"/>
      <c r="E781"/>
      <c r="F781"/>
      <c r="G781"/>
      <c r="H781"/>
      <c r="I781"/>
    </row>
    <row r="782" spans="1:9">
      <c r="A782"/>
      <c r="B782" s="68"/>
      <c r="C782"/>
      <c r="D782"/>
      <c r="E782"/>
      <c r="F782"/>
      <c r="G782"/>
      <c r="H782"/>
      <c r="I782"/>
    </row>
    <row r="783" spans="1:9">
      <c r="A783"/>
      <c r="B783" s="68"/>
      <c r="C783"/>
      <c r="D783"/>
      <c r="E783"/>
      <c r="F783"/>
      <c r="G783"/>
      <c r="H783"/>
      <c r="I783"/>
    </row>
    <row r="784" spans="1:9">
      <c r="A784"/>
      <c r="B784" s="68"/>
      <c r="C784"/>
      <c r="D784"/>
      <c r="E784"/>
      <c r="F784"/>
      <c r="G784"/>
      <c r="H784"/>
      <c r="I784"/>
    </row>
    <row r="785" spans="1:9">
      <c r="A785"/>
      <c r="B785" s="68"/>
      <c r="C785"/>
      <c r="D785"/>
      <c r="E785"/>
      <c r="F785"/>
      <c r="G785"/>
      <c r="H785"/>
      <c r="I785"/>
    </row>
    <row r="786" spans="1:9">
      <c r="A786"/>
      <c r="B786" s="68"/>
      <c r="C786"/>
      <c r="D786"/>
      <c r="E786"/>
      <c r="F786"/>
      <c r="G786"/>
      <c r="H786"/>
      <c r="I786"/>
    </row>
    <row r="787" spans="1:9">
      <c r="A787"/>
      <c r="B787" s="68"/>
      <c r="C787"/>
      <c r="D787"/>
      <c r="E787"/>
      <c r="F787"/>
      <c r="G787"/>
      <c r="H787"/>
      <c r="I787"/>
    </row>
    <row r="788" spans="1:9">
      <c r="A788"/>
      <c r="B788" s="68"/>
      <c r="C788"/>
      <c r="D788"/>
      <c r="E788"/>
      <c r="F788"/>
      <c r="G788"/>
      <c r="H788"/>
      <c r="I788"/>
    </row>
    <row r="789" spans="1:9">
      <c r="A789"/>
      <c r="B789" s="68"/>
      <c r="C789"/>
      <c r="D789"/>
      <c r="E789"/>
      <c r="F789"/>
      <c r="G789"/>
      <c r="H789"/>
      <c r="I789"/>
    </row>
    <row r="790" spans="1:9">
      <c r="A790"/>
      <c r="B790" s="68"/>
      <c r="C790"/>
      <c r="D790"/>
      <c r="E790"/>
      <c r="F790"/>
      <c r="G790"/>
      <c r="H790"/>
      <c r="I790"/>
    </row>
    <row r="791" spans="1:9">
      <c r="A791"/>
      <c r="B791" s="68"/>
      <c r="C791"/>
      <c r="D791"/>
      <c r="E791"/>
      <c r="F791"/>
      <c r="G791"/>
      <c r="H791"/>
      <c r="I791"/>
    </row>
    <row r="792" spans="1:9">
      <c r="A792"/>
      <c r="B792" s="68"/>
      <c r="C792"/>
      <c r="D792"/>
      <c r="E792"/>
      <c r="F792"/>
      <c r="G792"/>
      <c r="H792"/>
      <c r="I792"/>
    </row>
    <row r="793" spans="1:9">
      <c r="A793"/>
      <c r="B793" s="68"/>
      <c r="C793"/>
      <c r="D793"/>
      <c r="E793"/>
      <c r="F793"/>
      <c r="G793"/>
      <c r="H793"/>
      <c r="I793"/>
    </row>
    <row r="794" spans="1:9">
      <c r="A794"/>
      <c r="B794" s="68"/>
      <c r="C794"/>
      <c r="D794"/>
      <c r="E794"/>
      <c r="F794"/>
      <c r="G794"/>
      <c r="H794"/>
      <c r="I794"/>
    </row>
    <row r="795" spans="1:9">
      <c r="A795"/>
      <c r="B795" s="68"/>
      <c r="C795"/>
      <c r="D795"/>
      <c r="E795"/>
      <c r="F795"/>
      <c r="G795"/>
      <c r="H795"/>
      <c r="I795"/>
    </row>
    <row r="796" spans="1:9">
      <c r="A796"/>
      <c r="B796" s="68"/>
      <c r="C796"/>
      <c r="D796"/>
      <c r="E796"/>
      <c r="F796"/>
      <c r="G796"/>
      <c r="H796"/>
      <c r="I796"/>
    </row>
    <row r="797" spans="1:9">
      <c r="A797"/>
      <c r="B797" s="68"/>
      <c r="C797"/>
      <c r="D797"/>
      <c r="E797"/>
      <c r="F797"/>
      <c r="G797"/>
      <c r="H797"/>
      <c r="I797"/>
    </row>
    <row r="798" spans="1:9">
      <c r="A798"/>
      <c r="B798" s="68"/>
      <c r="C798"/>
      <c r="D798"/>
      <c r="E798"/>
      <c r="F798"/>
      <c r="G798"/>
      <c r="H798"/>
      <c r="I798"/>
    </row>
    <row r="799" spans="1:9">
      <c r="A799"/>
      <c r="B799" s="68"/>
      <c r="C799"/>
      <c r="D799"/>
      <c r="E799"/>
      <c r="F799"/>
      <c r="G799"/>
      <c r="H799"/>
      <c r="I799"/>
    </row>
    <row r="800" spans="1:9">
      <c r="A800"/>
      <c r="B800" s="68"/>
      <c r="C800"/>
      <c r="D800"/>
      <c r="E800"/>
      <c r="F800"/>
      <c r="G800"/>
      <c r="H800"/>
      <c r="I800"/>
    </row>
    <row r="801" spans="1:9">
      <c r="A801"/>
      <c r="B801" s="68"/>
      <c r="C801"/>
      <c r="D801"/>
      <c r="E801"/>
      <c r="F801"/>
      <c r="G801"/>
      <c r="H801"/>
      <c r="I801"/>
    </row>
    <row r="802" spans="1:9">
      <c r="A802"/>
      <c r="B802" s="68"/>
      <c r="C802"/>
      <c r="D802"/>
      <c r="E802"/>
      <c r="F802"/>
      <c r="G802"/>
      <c r="H802"/>
      <c r="I802"/>
    </row>
    <row r="803" spans="1:9">
      <c r="A803"/>
      <c r="B803" s="68"/>
      <c r="C803"/>
      <c r="D803"/>
      <c r="E803"/>
      <c r="F803"/>
      <c r="G803"/>
      <c r="H803"/>
      <c r="I803"/>
    </row>
    <row r="804" spans="1:9">
      <c r="A804"/>
      <c r="B804" s="68"/>
      <c r="C804"/>
      <c r="D804"/>
      <c r="E804"/>
      <c r="F804"/>
      <c r="G804"/>
      <c r="H804"/>
      <c r="I804"/>
    </row>
    <row r="805" spans="1:9">
      <c r="A805"/>
      <c r="B805" s="68"/>
      <c r="C805"/>
      <c r="D805"/>
      <c r="E805"/>
      <c r="F805"/>
      <c r="G805"/>
      <c r="H805"/>
      <c r="I805"/>
    </row>
    <row r="806" spans="1:9">
      <c r="A806"/>
      <c r="B806" s="68"/>
      <c r="C806"/>
      <c r="D806"/>
      <c r="E806"/>
      <c r="F806"/>
      <c r="G806"/>
      <c r="H806"/>
      <c r="I806"/>
    </row>
    <row r="807" spans="1:9">
      <c r="A807"/>
      <c r="B807" s="68"/>
      <c r="C807"/>
      <c r="D807"/>
      <c r="E807"/>
      <c r="F807"/>
      <c r="G807"/>
      <c r="H807"/>
      <c r="I807"/>
    </row>
    <row r="808" spans="1:9">
      <c r="A808"/>
      <c r="B808" s="68"/>
      <c r="C808"/>
      <c r="D808"/>
      <c r="E808"/>
      <c r="F808"/>
      <c r="G808"/>
      <c r="H808"/>
      <c r="I808"/>
    </row>
    <row r="809" spans="1:9">
      <c r="A809"/>
      <c r="B809" s="68"/>
      <c r="C809"/>
      <c r="D809"/>
      <c r="E809"/>
      <c r="F809"/>
      <c r="G809"/>
      <c r="H809"/>
      <c r="I809"/>
    </row>
    <row r="810" spans="1:9">
      <c r="A810"/>
      <c r="B810" s="68"/>
      <c r="C810"/>
      <c r="D810"/>
      <c r="E810"/>
      <c r="F810"/>
      <c r="G810"/>
      <c r="H810"/>
      <c r="I810"/>
    </row>
    <row r="811" spans="1:9">
      <c r="A811"/>
      <c r="B811" s="68"/>
      <c r="C811"/>
      <c r="D811"/>
      <c r="E811"/>
      <c r="F811"/>
      <c r="G811"/>
      <c r="H811"/>
      <c r="I811"/>
    </row>
    <row r="812" spans="1:9">
      <c r="A812"/>
      <c r="B812" s="68"/>
      <c r="C812"/>
      <c r="D812"/>
      <c r="E812"/>
      <c r="F812"/>
      <c r="G812"/>
      <c r="H812"/>
      <c r="I812"/>
    </row>
    <row r="813" spans="1:9">
      <c r="A813"/>
      <c r="B813" s="68"/>
      <c r="C813"/>
      <c r="D813"/>
      <c r="E813"/>
      <c r="F813"/>
      <c r="G813"/>
      <c r="H813"/>
      <c r="I813"/>
    </row>
    <row r="814" spans="1:9">
      <c r="A814"/>
      <c r="B814" s="68"/>
      <c r="C814"/>
      <c r="D814"/>
      <c r="E814"/>
      <c r="F814"/>
      <c r="G814"/>
      <c r="H814"/>
      <c r="I814"/>
    </row>
    <row r="815" spans="1:9">
      <c r="A815"/>
      <c r="B815" s="68"/>
      <c r="C815"/>
      <c r="D815"/>
      <c r="E815"/>
      <c r="F815"/>
      <c r="G815"/>
      <c r="H815"/>
      <c r="I815"/>
    </row>
    <row r="816" spans="1:9">
      <c r="A816"/>
      <c r="B816" s="68"/>
      <c r="C816"/>
      <c r="D816"/>
      <c r="E816"/>
      <c r="F816"/>
      <c r="G816"/>
      <c r="H816"/>
      <c r="I816"/>
    </row>
    <row r="817" spans="1:9">
      <c r="A817"/>
      <c r="B817" s="68"/>
      <c r="C817"/>
      <c r="D817"/>
      <c r="E817"/>
      <c r="F817"/>
      <c r="G817"/>
      <c r="H817"/>
      <c r="I817"/>
    </row>
    <row r="818" spans="1:9">
      <c r="A818"/>
      <c r="B818" s="68"/>
      <c r="C818"/>
      <c r="D818"/>
      <c r="E818"/>
      <c r="F818"/>
      <c r="G818"/>
      <c r="H818"/>
      <c r="I818"/>
    </row>
    <row r="819" spans="1:9">
      <c r="A819"/>
      <c r="B819" s="68"/>
      <c r="C819"/>
      <c r="D819"/>
      <c r="E819"/>
      <c r="F819"/>
      <c r="G819"/>
      <c r="H819"/>
      <c r="I819"/>
    </row>
    <row r="820" spans="1:9">
      <c r="A820"/>
      <c r="B820" s="68"/>
      <c r="C820"/>
      <c r="D820"/>
      <c r="E820"/>
      <c r="F820"/>
      <c r="G820"/>
      <c r="H820"/>
      <c r="I820"/>
    </row>
    <row r="821" spans="1:9">
      <c r="A821"/>
      <c r="B821" s="68"/>
      <c r="C821"/>
      <c r="D821"/>
      <c r="E821"/>
      <c r="F821"/>
      <c r="G821"/>
      <c r="H821"/>
      <c r="I821"/>
    </row>
    <row r="822" spans="1:9">
      <c r="A822"/>
      <c r="B822" s="68"/>
      <c r="C822"/>
      <c r="D822"/>
      <c r="E822"/>
      <c r="F822"/>
      <c r="G822"/>
      <c r="H822"/>
      <c r="I822"/>
    </row>
    <row r="823" spans="1:9">
      <c r="A823"/>
      <c r="B823" s="68"/>
      <c r="C823"/>
      <c r="D823"/>
      <c r="E823"/>
      <c r="F823"/>
      <c r="G823"/>
      <c r="H823"/>
      <c r="I823"/>
    </row>
    <row r="824" spans="1:9">
      <c r="A824"/>
      <c r="B824" s="68"/>
      <c r="C824"/>
      <c r="D824"/>
      <c r="E824"/>
      <c r="F824"/>
      <c r="G824"/>
      <c r="H824"/>
      <c r="I824"/>
    </row>
    <row r="825" spans="1:9">
      <c r="A825"/>
      <c r="B825" s="68"/>
      <c r="C825"/>
      <c r="D825"/>
      <c r="E825"/>
      <c r="F825"/>
      <c r="G825"/>
      <c r="H825"/>
      <c r="I825"/>
    </row>
    <row r="826" spans="1:9">
      <c r="A826"/>
      <c r="B826" s="68"/>
      <c r="C826"/>
      <c r="D826"/>
      <c r="E826"/>
      <c r="F826"/>
      <c r="G826"/>
      <c r="H826"/>
      <c r="I826"/>
    </row>
    <row r="827" spans="1:9">
      <c r="A827"/>
      <c r="B827" s="68"/>
      <c r="C827"/>
      <c r="D827"/>
      <c r="E827"/>
      <c r="F827"/>
      <c r="G827"/>
      <c r="H827"/>
      <c r="I827"/>
    </row>
    <row r="828" spans="1:9">
      <c r="A828"/>
      <c r="B828" s="68"/>
      <c r="C828"/>
      <c r="D828"/>
      <c r="E828"/>
      <c r="F828"/>
      <c r="G828"/>
      <c r="H828"/>
      <c r="I828"/>
    </row>
    <row r="829" spans="1:9">
      <c r="A829"/>
      <c r="B829" s="68"/>
      <c r="C829"/>
      <c r="D829"/>
      <c r="E829"/>
      <c r="F829"/>
      <c r="G829"/>
      <c r="H829"/>
      <c r="I829"/>
    </row>
    <row r="830" spans="1:9">
      <c r="A830"/>
      <c r="B830" s="68"/>
      <c r="C830"/>
      <c r="D830"/>
      <c r="E830"/>
      <c r="F830"/>
      <c r="G830"/>
      <c r="H830"/>
      <c r="I830"/>
    </row>
    <row r="831" spans="1:9">
      <c r="A831"/>
      <c r="B831" s="68"/>
      <c r="C831"/>
      <c r="D831"/>
      <c r="E831"/>
      <c r="F831"/>
      <c r="G831"/>
      <c r="H831"/>
      <c r="I831"/>
    </row>
    <row r="832" spans="1:9">
      <c r="A832"/>
      <c r="B832" s="68"/>
      <c r="C832"/>
      <c r="D832"/>
      <c r="E832"/>
      <c r="F832"/>
      <c r="G832"/>
      <c r="H832"/>
      <c r="I832"/>
    </row>
    <row r="833" spans="1:9">
      <c r="A833"/>
      <c r="B833" s="68"/>
      <c r="C833"/>
      <c r="D833"/>
      <c r="E833"/>
      <c r="F833"/>
      <c r="G833"/>
      <c r="H833"/>
      <c r="I833"/>
    </row>
    <row r="834" spans="1:9">
      <c r="A834"/>
      <c r="B834" s="68"/>
      <c r="C834"/>
      <c r="D834"/>
      <c r="E834"/>
      <c r="F834"/>
      <c r="G834"/>
      <c r="H834"/>
      <c r="I834"/>
    </row>
    <row r="835" spans="1:9">
      <c r="A835"/>
      <c r="B835" s="68"/>
      <c r="C835"/>
      <c r="D835"/>
      <c r="E835"/>
      <c r="F835"/>
      <c r="G835"/>
      <c r="H835"/>
      <c r="I835"/>
    </row>
    <row r="836" spans="1:9">
      <c r="A836"/>
      <c r="B836" s="68"/>
      <c r="C836"/>
      <c r="D836"/>
      <c r="E836"/>
      <c r="F836"/>
      <c r="G836"/>
      <c r="H836"/>
      <c r="I836"/>
    </row>
    <row r="837" spans="1:9">
      <c r="A837"/>
      <c r="B837" s="68"/>
      <c r="C837"/>
      <c r="D837"/>
      <c r="E837"/>
      <c r="F837"/>
      <c r="G837"/>
      <c r="H837"/>
      <c r="I837"/>
    </row>
    <row r="838" spans="1:9">
      <c r="A838"/>
      <c r="B838" s="68"/>
      <c r="C838"/>
      <c r="D838"/>
      <c r="E838"/>
      <c r="F838"/>
      <c r="G838"/>
      <c r="H838"/>
      <c r="I838"/>
    </row>
    <row r="839" spans="1:9">
      <c r="A839"/>
      <c r="B839" s="68"/>
      <c r="C839"/>
      <c r="D839"/>
      <c r="E839"/>
      <c r="F839"/>
      <c r="G839"/>
      <c r="H839"/>
      <c r="I839"/>
    </row>
    <row r="840" spans="1:9">
      <c r="A840"/>
      <c r="B840" s="68"/>
      <c r="C840"/>
      <c r="D840"/>
      <c r="E840"/>
      <c r="F840"/>
      <c r="G840"/>
      <c r="H840"/>
      <c r="I840"/>
    </row>
    <row r="841" spans="1:9">
      <c r="A841"/>
      <c r="B841" s="68"/>
      <c r="C841"/>
      <c r="D841"/>
      <c r="E841"/>
      <c r="F841"/>
      <c r="G841"/>
      <c r="H841"/>
      <c r="I841"/>
    </row>
    <row r="842" spans="1:9">
      <c r="A842"/>
      <c r="B842" s="68"/>
      <c r="C842"/>
      <c r="D842"/>
      <c r="E842"/>
      <c r="F842"/>
      <c r="G842"/>
      <c r="H842"/>
      <c r="I842"/>
    </row>
    <row r="843" spans="1:9">
      <c r="A843"/>
      <c r="B843" s="68"/>
      <c r="C843"/>
      <c r="D843"/>
      <c r="E843"/>
      <c r="F843"/>
      <c r="G843"/>
      <c r="H843"/>
      <c r="I843"/>
    </row>
    <row r="844" spans="1:9">
      <c r="A844"/>
      <c r="B844" s="68"/>
      <c r="C844"/>
      <c r="D844"/>
      <c r="E844"/>
      <c r="F844"/>
      <c r="G844"/>
      <c r="H844"/>
      <c r="I844"/>
    </row>
    <row r="845" spans="1:9">
      <c r="A845"/>
      <c r="B845" s="68"/>
      <c r="C845"/>
      <c r="D845"/>
      <c r="E845"/>
      <c r="F845"/>
      <c r="G845"/>
      <c r="H845"/>
      <c r="I845"/>
    </row>
    <row r="846" spans="1:9">
      <c r="A846"/>
      <c r="B846" s="68"/>
      <c r="C846"/>
      <c r="D846"/>
      <c r="E846"/>
      <c r="F846"/>
      <c r="G846"/>
      <c r="H846"/>
      <c r="I846"/>
    </row>
    <row r="847" spans="1:9">
      <c r="A847"/>
      <c r="B847" s="68"/>
      <c r="C847"/>
      <c r="D847"/>
      <c r="E847"/>
      <c r="F847"/>
      <c r="G847"/>
      <c r="H847"/>
      <c r="I847"/>
    </row>
    <row r="848" spans="1:9">
      <c r="A848"/>
      <c r="B848" s="68"/>
      <c r="C848"/>
      <c r="D848"/>
      <c r="E848"/>
      <c r="F848"/>
      <c r="G848"/>
      <c r="H848"/>
      <c r="I848"/>
    </row>
    <row r="849" spans="1:9">
      <c r="A849"/>
      <c r="B849" s="68"/>
      <c r="C849"/>
      <c r="D849"/>
      <c r="E849"/>
      <c r="F849"/>
      <c r="G849"/>
      <c r="H849"/>
      <c r="I849"/>
    </row>
    <row r="850" spans="1:9">
      <c r="A850"/>
      <c r="B850" s="68"/>
      <c r="C850"/>
      <c r="D850"/>
      <c r="E850"/>
      <c r="F850"/>
      <c r="G850"/>
      <c r="H850"/>
      <c r="I850"/>
    </row>
    <row r="851" spans="1:9">
      <c r="A851"/>
      <c r="B851" s="68"/>
      <c r="C851"/>
      <c r="D851"/>
      <c r="E851"/>
      <c r="F851"/>
      <c r="G851"/>
      <c r="H851"/>
      <c r="I851"/>
    </row>
    <row r="852" spans="1:9">
      <c r="A852"/>
      <c r="B852" s="68"/>
      <c r="C852"/>
      <c r="D852"/>
      <c r="E852"/>
      <c r="F852"/>
      <c r="G852"/>
      <c r="H852"/>
      <c r="I852"/>
    </row>
    <row r="853" spans="1:9">
      <c r="A853"/>
      <c r="B853" s="68"/>
      <c r="C853"/>
      <c r="D853"/>
      <c r="E853"/>
      <c r="F853"/>
      <c r="G853"/>
      <c r="H853"/>
      <c r="I853"/>
    </row>
    <row r="854" spans="1:9">
      <c r="A854"/>
      <c r="B854" s="68"/>
      <c r="C854"/>
      <c r="D854"/>
      <c r="E854"/>
      <c r="F854"/>
      <c r="G854"/>
      <c r="H854"/>
      <c r="I854"/>
    </row>
    <row r="855" spans="1:9">
      <c r="A855"/>
      <c r="B855" s="68"/>
      <c r="C855"/>
      <c r="D855"/>
      <c r="E855"/>
      <c r="F855"/>
      <c r="G855"/>
      <c r="H855"/>
      <c r="I855"/>
    </row>
    <row r="856" spans="1:9">
      <c r="A856"/>
      <c r="B856" s="68"/>
      <c r="C856"/>
      <c r="D856"/>
      <c r="E856"/>
      <c r="F856"/>
      <c r="G856"/>
      <c r="H856"/>
      <c r="I856"/>
    </row>
    <row r="857" spans="1:9">
      <c r="A857"/>
      <c r="B857" s="68"/>
      <c r="C857"/>
      <c r="D857"/>
      <c r="E857"/>
      <c r="F857"/>
      <c r="G857"/>
      <c r="H857"/>
      <c r="I857"/>
    </row>
    <row r="858" spans="1:9">
      <c r="A858"/>
      <c r="B858" s="68"/>
      <c r="C858"/>
      <c r="D858"/>
      <c r="E858"/>
      <c r="F858"/>
      <c r="G858"/>
      <c r="H858"/>
      <c r="I858"/>
    </row>
    <row r="859" spans="1:9">
      <c r="A859"/>
      <c r="B859" s="68"/>
      <c r="C859"/>
      <c r="D859"/>
      <c r="E859"/>
      <c r="F859"/>
      <c r="G859"/>
      <c r="H859"/>
      <c r="I859"/>
    </row>
    <row r="860" spans="1:9">
      <c r="A860"/>
      <c r="B860" s="68"/>
      <c r="C860"/>
      <c r="D860"/>
      <c r="E860"/>
      <c r="F860"/>
      <c r="G860"/>
      <c r="H860"/>
      <c r="I860"/>
    </row>
    <row r="861" spans="1:9">
      <c r="A861"/>
      <c r="B861" s="68"/>
      <c r="C861"/>
      <c r="D861"/>
      <c r="E861"/>
      <c r="F861"/>
      <c r="G861"/>
      <c r="H861"/>
      <c r="I861"/>
    </row>
    <row r="862" spans="1:9">
      <c r="A862"/>
      <c r="B862" s="68"/>
      <c r="C862"/>
      <c r="D862"/>
      <c r="E862"/>
      <c r="F862"/>
      <c r="G862"/>
      <c r="H862"/>
      <c r="I862"/>
    </row>
    <row r="863" spans="1:9">
      <c r="A863"/>
      <c r="B863" s="68"/>
      <c r="C863"/>
      <c r="D863"/>
      <c r="E863"/>
      <c r="F863"/>
      <c r="G863"/>
      <c r="H863"/>
      <c r="I863"/>
    </row>
    <row r="864" spans="1:9">
      <c r="A864"/>
      <c r="B864" s="68"/>
      <c r="C864"/>
      <c r="D864"/>
      <c r="E864"/>
      <c r="F864"/>
      <c r="G864"/>
      <c r="H864"/>
      <c r="I864"/>
    </row>
    <row r="865" spans="1:9">
      <c r="A865"/>
      <c r="B865" s="68"/>
      <c r="C865"/>
      <c r="D865"/>
      <c r="E865"/>
      <c r="F865"/>
      <c r="G865"/>
      <c r="H865"/>
      <c r="I865"/>
    </row>
    <row r="866" spans="1:9">
      <c r="A866"/>
      <c r="B866" s="68"/>
      <c r="C866"/>
      <c r="D866"/>
      <c r="E866"/>
      <c r="F866"/>
      <c r="G866"/>
      <c r="H866"/>
      <c r="I866"/>
    </row>
    <row r="867" spans="1:9">
      <c r="A867"/>
      <c r="B867" s="68"/>
      <c r="C867"/>
      <c r="D867"/>
      <c r="E867"/>
      <c r="F867"/>
      <c r="G867"/>
      <c r="H867"/>
      <c r="I867"/>
    </row>
    <row r="868" spans="1:9">
      <c r="A868"/>
      <c r="B868" s="68"/>
      <c r="C868"/>
      <c r="D868"/>
      <c r="E868"/>
      <c r="F868"/>
      <c r="G868"/>
      <c r="H868"/>
      <c r="I868"/>
    </row>
    <row r="869" spans="1:9">
      <c r="A869"/>
      <c r="B869" s="68"/>
      <c r="C869"/>
      <c r="D869"/>
      <c r="E869"/>
      <c r="F869"/>
      <c r="G869"/>
      <c r="H869"/>
      <c r="I869"/>
    </row>
    <row r="870" spans="1:9">
      <c r="A870"/>
      <c r="B870" s="68"/>
      <c r="C870"/>
      <c r="D870"/>
      <c r="E870"/>
      <c r="F870"/>
      <c r="G870"/>
      <c r="H870"/>
      <c r="I870"/>
    </row>
    <row r="871" spans="1:9">
      <c r="A871"/>
      <c r="B871" s="68"/>
      <c r="C871"/>
      <c r="D871"/>
      <c r="E871"/>
      <c r="F871"/>
      <c r="G871"/>
      <c r="H871"/>
      <c r="I871"/>
    </row>
    <row r="872" spans="1:9">
      <c r="A872"/>
      <c r="B872" s="68"/>
      <c r="C872"/>
      <c r="D872"/>
      <c r="E872"/>
      <c r="F872"/>
      <c r="G872"/>
      <c r="H872"/>
      <c r="I872"/>
    </row>
    <row r="873" spans="1:9">
      <c r="A873"/>
      <c r="B873" s="68"/>
      <c r="C873"/>
      <c r="D873"/>
      <c r="E873"/>
      <c r="F873"/>
      <c r="G873"/>
      <c r="H873"/>
      <c r="I873"/>
    </row>
    <row r="874" spans="1:9">
      <c r="A874"/>
      <c r="B874" s="68"/>
      <c r="C874"/>
      <c r="D874"/>
      <c r="E874"/>
      <c r="F874"/>
      <c r="G874"/>
      <c r="H874"/>
      <c r="I874"/>
    </row>
    <row r="875" spans="1:9">
      <c r="A875"/>
      <c r="B875" s="68"/>
      <c r="C875"/>
      <c r="D875"/>
      <c r="E875"/>
      <c r="F875"/>
      <c r="G875"/>
      <c r="H875"/>
      <c r="I875"/>
    </row>
    <row r="876" spans="1:9">
      <c r="A876"/>
      <c r="B876" s="68"/>
      <c r="C876"/>
      <c r="D876"/>
      <c r="E876"/>
      <c r="F876"/>
      <c r="G876"/>
      <c r="H876"/>
      <c r="I876"/>
    </row>
    <row r="877" spans="1:9">
      <c r="A877"/>
      <c r="B877" s="68"/>
      <c r="C877"/>
      <c r="D877"/>
      <c r="E877"/>
      <c r="F877"/>
      <c r="G877"/>
      <c r="H877"/>
      <c r="I877"/>
    </row>
    <row r="878" spans="1:9">
      <c r="A878"/>
      <c r="B878" s="68"/>
      <c r="C878"/>
      <c r="D878"/>
      <c r="E878"/>
      <c r="F878"/>
      <c r="G878"/>
      <c r="H878"/>
      <c r="I878"/>
    </row>
    <row r="879" spans="1:9">
      <c r="A879"/>
      <c r="B879" s="68"/>
      <c r="C879"/>
      <c r="D879"/>
      <c r="E879"/>
      <c r="F879"/>
      <c r="G879"/>
      <c r="H879"/>
      <c r="I879"/>
    </row>
    <row r="880" spans="1:9">
      <c r="A880"/>
      <c r="B880" s="68"/>
      <c r="C880"/>
      <c r="D880"/>
      <c r="E880"/>
      <c r="F880"/>
      <c r="G880"/>
      <c r="H880"/>
      <c r="I880"/>
    </row>
    <row r="881" spans="1:9">
      <c r="A881"/>
      <c r="B881" s="68"/>
      <c r="C881"/>
      <c r="D881"/>
      <c r="E881"/>
      <c r="F881"/>
      <c r="G881"/>
      <c r="H881"/>
      <c r="I881"/>
    </row>
    <row r="882" spans="1:9">
      <c r="A882"/>
      <c r="B882" s="68"/>
      <c r="C882"/>
      <c r="D882"/>
      <c r="E882"/>
      <c r="F882"/>
      <c r="G882"/>
      <c r="H882"/>
      <c r="I882"/>
    </row>
    <row r="883" spans="1:9">
      <c r="A883"/>
      <c r="B883" s="68"/>
      <c r="C883"/>
      <c r="D883"/>
      <c r="E883"/>
      <c r="F883"/>
      <c r="G883"/>
      <c r="H883"/>
      <c r="I883"/>
    </row>
    <row r="884" spans="1:9">
      <c r="A884"/>
      <c r="B884" s="68"/>
      <c r="C884"/>
      <c r="D884"/>
      <c r="E884"/>
      <c r="F884"/>
      <c r="G884"/>
      <c r="H884"/>
      <c r="I884"/>
    </row>
    <row r="885" spans="1:9">
      <c r="A885"/>
      <c r="B885" s="68"/>
      <c r="C885"/>
      <c r="D885"/>
      <c r="E885"/>
      <c r="F885"/>
      <c r="G885"/>
      <c r="H885"/>
      <c r="I885"/>
    </row>
    <row r="886" spans="1:9">
      <c r="A886"/>
      <c r="B886" s="68"/>
      <c r="C886"/>
      <c r="D886"/>
      <c r="E886"/>
      <c r="F886"/>
      <c r="G886"/>
      <c r="H886"/>
      <c r="I886"/>
    </row>
    <row r="887" spans="1:9">
      <c r="A887"/>
      <c r="B887" s="68"/>
      <c r="C887"/>
      <c r="D887"/>
      <c r="E887"/>
      <c r="F887"/>
      <c r="G887"/>
      <c r="H887"/>
      <c r="I887"/>
    </row>
    <row r="888" spans="1:9">
      <c r="A888"/>
      <c r="B888" s="68"/>
      <c r="C888"/>
      <c r="D888"/>
      <c r="E888"/>
      <c r="F888"/>
      <c r="G888"/>
      <c r="H888"/>
      <c r="I888"/>
    </row>
    <row r="889" spans="1:9">
      <c r="A889"/>
      <c r="B889" s="68"/>
      <c r="C889"/>
      <c r="D889"/>
      <c r="E889"/>
      <c r="F889"/>
      <c r="G889"/>
      <c r="H889"/>
      <c r="I889"/>
    </row>
    <row r="890" spans="1:9">
      <c r="A890"/>
      <c r="B890" s="68"/>
      <c r="C890"/>
      <c r="D890"/>
      <c r="E890"/>
      <c r="F890"/>
      <c r="G890"/>
      <c r="H890"/>
      <c r="I890"/>
    </row>
    <row r="891" spans="1:9">
      <c r="A891"/>
      <c r="B891" s="68"/>
      <c r="C891"/>
      <c r="D891"/>
      <c r="E891"/>
      <c r="F891"/>
      <c r="G891"/>
      <c r="H891"/>
      <c r="I891"/>
    </row>
    <row r="892" spans="1:9">
      <c r="A892"/>
      <c r="B892" s="68"/>
      <c r="C892"/>
      <c r="D892"/>
      <c r="E892"/>
      <c r="F892"/>
      <c r="G892"/>
      <c r="H892"/>
      <c r="I892"/>
    </row>
    <row r="893" spans="1:9">
      <c r="A893"/>
      <c r="B893" s="68"/>
      <c r="C893"/>
      <c r="D893"/>
      <c r="E893"/>
      <c r="F893"/>
      <c r="G893"/>
      <c r="H893"/>
      <c r="I893"/>
    </row>
    <row r="894" spans="1:9">
      <c r="A894"/>
      <c r="B894" s="68"/>
      <c r="C894"/>
      <c r="D894"/>
      <c r="E894"/>
      <c r="F894"/>
      <c r="G894"/>
      <c r="H894"/>
      <c r="I894"/>
    </row>
    <row r="895" spans="1:9">
      <c r="A895"/>
      <c r="B895" s="68"/>
      <c r="C895"/>
      <c r="D895"/>
      <c r="E895"/>
      <c r="F895"/>
      <c r="G895"/>
      <c r="H895"/>
      <c r="I895"/>
    </row>
    <row r="896" spans="1:9">
      <c r="A896"/>
      <c r="B896" s="68"/>
      <c r="C896"/>
      <c r="D896"/>
      <c r="E896"/>
      <c r="F896"/>
      <c r="G896"/>
      <c r="H896"/>
      <c r="I896"/>
    </row>
    <row r="897" spans="1:9">
      <c r="A897"/>
      <c r="B897" s="68"/>
      <c r="C897"/>
      <c r="D897"/>
      <c r="E897"/>
      <c r="F897"/>
      <c r="G897"/>
      <c r="H897"/>
      <c r="I897"/>
    </row>
    <row r="898" spans="1:9">
      <c r="A898"/>
      <c r="B898" s="68"/>
      <c r="C898"/>
      <c r="D898"/>
      <c r="E898"/>
      <c r="F898"/>
      <c r="G898"/>
      <c r="H898"/>
      <c r="I898"/>
    </row>
    <row r="899" spans="1:9">
      <c r="A899"/>
      <c r="B899" s="68"/>
      <c r="C899"/>
      <c r="D899"/>
      <c r="E899"/>
      <c r="F899"/>
      <c r="G899"/>
      <c r="H899"/>
      <c r="I899"/>
    </row>
    <row r="900" spans="1:9">
      <c r="A900"/>
      <c r="B900" s="68"/>
      <c r="C900"/>
      <c r="D900"/>
      <c r="E900"/>
      <c r="F900"/>
      <c r="G900"/>
      <c r="H900"/>
      <c r="I900"/>
    </row>
    <row r="901" spans="1:9">
      <c r="A901"/>
      <c r="B901" s="68"/>
      <c r="C901"/>
      <c r="D901"/>
      <c r="E901"/>
      <c r="F901"/>
      <c r="G901"/>
      <c r="H901"/>
      <c r="I901"/>
    </row>
    <row r="902" spans="1:9">
      <c r="A902"/>
      <c r="B902" s="68"/>
      <c r="C902"/>
      <c r="D902"/>
      <c r="E902"/>
      <c r="F902"/>
      <c r="G902"/>
      <c r="H902"/>
      <c r="I902"/>
    </row>
    <row r="903" spans="1:9">
      <c r="A903"/>
      <c r="B903" s="68"/>
      <c r="C903"/>
      <c r="D903"/>
      <c r="E903"/>
      <c r="F903"/>
      <c r="G903"/>
      <c r="H903"/>
      <c r="I903"/>
    </row>
    <row r="904" spans="1:9">
      <c r="A904"/>
      <c r="B904" s="68"/>
      <c r="C904"/>
      <c r="D904"/>
      <c r="E904"/>
      <c r="F904"/>
      <c r="G904"/>
      <c r="H904"/>
      <c r="I904"/>
    </row>
    <row r="905" spans="1:9">
      <c r="A905"/>
      <c r="B905" s="68"/>
      <c r="C905"/>
      <c r="D905"/>
      <c r="E905"/>
      <c r="F905"/>
      <c r="G905"/>
      <c r="H905"/>
      <c r="I905"/>
    </row>
    <row r="906" spans="1:9">
      <c r="A906"/>
      <c r="B906" s="68"/>
      <c r="C906"/>
      <c r="D906"/>
      <c r="E906"/>
      <c r="F906"/>
      <c r="G906"/>
      <c r="H906"/>
      <c r="I906"/>
    </row>
    <row r="907" spans="1:9">
      <c r="A907"/>
      <c r="B907" s="68"/>
      <c r="C907"/>
      <c r="D907"/>
      <c r="E907"/>
      <c r="F907"/>
      <c r="G907"/>
      <c r="H907"/>
      <c r="I907"/>
    </row>
    <row r="908" spans="1:9">
      <c r="A908"/>
      <c r="B908" s="68"/>
      <c r="C908"/>
      <c r="D908"/>
      <c r="E908"/>
      <c r="F908"/>
      <c r="G908"/>
      <c r="H908"/>
      <c r="I908"/>
    </row>
    <row r="909" spans="1:9">
      <c r="A909"/>
      <c r="B909" s="68"/>
      <c r="C909"/>
      <c r="D909"/>
      <c r="E909"/>
      <c r="F909"/>
      <c r="G909"/>
      <c r="H909"/>
      <c r="I909"/>
    </row>
    <row r="910" spans="1:9">
      <c r="A910"/>
      <c r="B910" s="68"/>
      <c r="C910"/>
      <c r="D910"/>
      <c r="E910"/>
      <c r="F910"/>
      <c r="G910"/>
      <c r="H910"/>
      <c r="I910"/>
    </row>
    <row r="911" spans="1:9">
      <c r="A911"/>
      <c r="B911" s="68"/>
      <c r="C911"/>
      <c r="D911"/>
      <c r="E911"/>
      <c r="F911"/>
      <c r="G911"/>
      <c r="H911"/>
      <c r="I911"/>
    </row>
    <row r="912" spans="1:9">
      <c r="A912"/>
      <c r="B912" s="68"/>
      <c r="C912"/>
      <c r="D912"/>
      <c r="E912"/>
      <c r="F912"/>
      <c r="G912"/>
      <c r="H912"/>
      <c r="I912"/>
    </row>
    <row r="913" spans="1:9">
      <c r="A913"/>
      <c r="B913" s="68"/>
      <c r="C913"/>
      <c r="D913"/>
      <c r="E913"/>
      <c r="F913"/>
      <c r="G913"/>
      <c r="H913"/>
      <c r="I913"/>
    </row>
    <row r="914" spans="1:9">
      <c r="A914"/>
      <c r="B914" s="68"/>
      <c r="C914"/>
      <c r="D914"/>
      <c r="E914"/>
      <c r="F914"/>
      <c r="G914"/>
      <c r="H914"/>
      <c r="I914"/>
    </row>
    <row r="915" spans="1:9">
      <c r="A915"/>
      <c r="B915" s="68"/>
      <c r="C915"/>
      <c r="D915"/>
      <c r="E915"/>
      <c r="F915"/>
      <c r="G915"/>
      <c r="H915"/>
      <c r="I915"/>
    </row>
    <row r="916" spans="1:9">
      <c r="A916"/>
      <c r="B916" s="68"/>
      <c r="C916"/>
      <c r="D916"/>
      <c r="E916"/>
      <c r="F916"/>
      <c r="G916"/>
      <c r="H916"/>
      <c r="I916"/>
    </row>
    <row r="917" spans="1:9">
      <c r="A917"/>
      <c r="B917" s="68"/>
      <c r="C917"/>
      <c r="D917"/>
      <c r="E917"/>
      <c r="F917"/>
      <c r="G917"/>
      <c r="H917"/>
      <c r="I917"/>
    </row>
    <row r="918" spans="1:9">
      <c r="A918"/>
      <c r="B918" s="68"/>
      <c r="C918"/>
      <c r="D918"/>
      <c r="E918"/>
      <c r="F918"/>
      <c r="G918"/>
      <c r="H918"/>
      <c r="I918"/>
    </row>
    <row r="919" spans="1:9">
      <c r="A919"/>
      <c r="B919" s="68"/>
      <c r="C919"/>
      <c r="D919"/>
      <c r="E919"/>
      <c r="F919"/>
      <c r="G919"/>
      <c r="H919"/>
      <c r="I919"/>
    </row>
    <row r="920" spans="1:9">
      <c r="A920"/>
      <c r="B920" s="68"/>
      <c r="C920"/>
      <c r="D920"/>
      <c r="E920"/>
      <c r="F920"/>
      <c r="G920"/>
      <c r="H920"/>
      <c r="I920"/>
    </row>
    <row r="921" spans="1:9">
      <c r="A921"/>
      <c r="B921" s="68"/>
      <c r="C921"/>
      <c r="D921"/>
      <c r="E921"/>
      <c r="F921"/>
      <c r="G921"/>
      <c r="H921"/>
      <c r="I921"/>
    </row>
    <row r="922" spans="1:9">
      <c r="A922"/>
      <c r="B922" s="68"/>
      <c r="C922"/>
      <c r="D922"/>
      <c r="E922"/>
      <c r="F922"/>
      <c r="G922"/>
      <c r="H922"/>
      <c r="I922"/>
    </row>
    <row r="923" spans="1:9">
      <c r="A923"/>
      <c r="B923" s="68"/>
      <c r="C923"/>
      <c r="D923"/>
      <c r="E923"/>
      <c r="F923"/>
      <c r="G923"/>
      <c r="H923"/>
      <c r="I923"/>
    </row>
    <row r="924" spans="1:9">
      <c r="A924"/>
      <c r="B924" s="68"/>
      <c r="C924"/>
      <c r="D924"/>
      <c r="E924"/>
      <c r="F924"/>
      <c r="G924"/>
      <c r="H924"/>
      <c r="I924"/>
    </row>
    <row r="925" spans="1:9">
      <c r="A925"/>
      <c r="B925" s="68"/>
      <c r="C925"/>
      <c r="D925"/>
      <c r="E925"/>
      <c r="F925"/>
      <c r="G925"/>
      <c r="H925"/>
      <c r="I925"/>
    </row>
    <row r="926" spans="1:9">
      <c r="A926"/>
      <c r="B926" s="68"/>
      <c r="C926"/>
      <c r="D926"/>
      <c r="E926"/>
      <c r="F926"/>
      <c r="G926"/>
      <c r="H926"/>
      <c r="I926"/>
    </row>
    <row r="927" spans="1:9">
      <c r="A927"/>
      <c r="B927" s="68"/>
      <c r="C927"/>
      <c r="D927"/>
      <c r="E927"/>
      <c r="F927"/>
      <c r="G927"/>
      <c r="H927"/>
      <c r="I927"/>
    </row>
    <row r="928" spans="1:9">
      <c r="A928"/>
      <c r="B928" s="68"/>
      <c r="C928"/>
      <c r="D928"/>
      <c r="E928"/>
      <c r="F928"/>
      <c r="G928"/>
      <c r="H928"/>
      <c r="I928"/>
    </row>
    <row r="929" spans="1:9">
      <c r="A929"/>
      <c r="B929" s="68"/>
      <c r="C929"/>
      <c r="D929"/>
      <c r="E929"/>
      <c r="F929"/>
      <c r="G929"/>
      <c r="H929"/>
      <c r="I929"/>
    </row>
    <row r="930" spans="1:9">
      <c r="A930"/>
      <c r="B930" s="68"/>
      <c r="C930"/>
      <c r="D930"/>
      <c r="E930"/>
      <c r="F930"/>
      <c r="G930"/>
      <c r="H930"/>
      <c r="I930"/>
    </row>
    <row r="931" spans="1:9">
      <c r="A931"/>
      <c r="B931" s="68"/>
      <c r="C931"/>
      <c r="D931"/>
      <c r="E931"/>
      <c r="F931"/>
      <c r="G931"/>
      <c r="H931"/>
      <c r="I931"/>
    </row>
    <row r="932" spans="1:9">
      <c r="A932"/>
      <c r="B932" s="68"/>
      <c r="C932"/>
      <c r="D932"/>
      <c r="E932"/>
      <c r="F932"/>
      <c r="G932"/>
      <c r="H932"/>
      <c r="I932"/>
    </row>
    <row r="933" spans="1:9">
      <c r="A933"/>
      <c r="B933" s="68"/>
      <c r="C933"/>
      <c r="D933"/>
      <c r="E933"/>
      <c r="F933"/>
      <c r="G933"/>
      <c r="H933"/>
      <c r="I933"/>
    </row>
    <row r="934" spans="1:9">
      <c r="A934"/>
      <c r="B934" s="68"/>
      <c r="C934"/>
      <c r="D934"/>
      <c r="E934"/>
      <c r="F934"/>
      <c r="G934"/>
      <c r="H934"/>
      <c r="I934"/>
    </row>
    <row r="935" spans="1:9">
      <c r="A935"/>
      <c r="B935" s="68"/>
      <c r="C935"/>
      <c r="D935"/>
      <c r="E935"/>
      <c r="F935"/>
      <c r="G935"/>
      <c r="H935"/>
      <c r="I935"/>
    </row>
    <row r="936" spans="1:9">
      <c r="A936"/>
      <c r="B936" s="68"/>
      <c r="C936"/>
      <c r="D936"/>
      <c r="E936"/>
      <c r="F936"/>
      <c r="G936"/>
      <c r="H936"/>
      <c r="I936"/>
    </row>
    <row r="937" spans="1:9">
      <c r="A937"/>
      <c r="B937" s="68"/>
      <c r="C937"/>
      <c r="D937"/>
      <c r="E937"/>
      <c r="F937"/>
      <c r="G937"/>
      <c r="H937"/>
      <c r="I937"/>
    </row>
    <row r="938" spans="1:9">
      <c r="A938"/>
      <c r="B938" s="68"/>
      <c r="C938"/>
      <c r="D938"/>
      <c r="E938"/>
      <c r="F938"/>
      <c r="G938"/>
      <c r="H938"/>
      <c r="I938"/>
    </row>
    <row r="939" spans="1:9">
      <c r="A939"/>
      <c r="B939" s="68"/>
      <c r="C939"/>
      <c r="D939"/>
      <c r="E939"/>
      <c r="F939"/>
      <c r="G939"/>
      <c r="H939"/>
      <c r="I939"/>
    </row>
    <row r="940" spans="1:9">
      <c r="A940"/>
      <c r="B940" s="68"/>
      <c r="C940"/>
      <c r="D940"/>
      <c r="E940"/>
      <c r="F940"/>
      <c r="G940"/>
      <c r="H940"/>
      <c r="I940"/>
    </row>
    <row r="941" spans="1:9">
      <c r="A941"/>
      <c r="B941" s="68"/>
      <c r="C941"/>
      <c r="D941"/>
      <c r="E941"/>
      <c r="F941"/>
      <c r="G941"/>
      <c r="H941"/>
      <c r="I941"/>
    </row>
    <row r="942" spans="1:9">
      <c r="A942"/>
      <c r="B942" s="68"/>
      <c r="C942"/>
      <c r="D942"/>
      <c r="E942"/>
      <c r="F942"/>
      <c r="G942"/>
      <c r="H942"/>
      <c r="I942"/>
    </row>
    <row r="943" spans="1:9">
      <c r="A943"/>
      <c r="B943" s="68"/>
      <c r="C943"/>
      <c r="D943"/>
      <c r="E943"/>
      <c r="F943"/>
      <c r="G943"/>
      <c r="H943"/>
      <c r="I943"/>
    </row>
    <row r="944" spans="1:9">
      <c r="A944"/>
      <c r="B944" s="68"/>
      <c r="C944"/>
      <c r="D944"/>
      <c r="E944"/>
      <c r="F944"/>
      <c r="G944"/>
      <c r="H944"/>
      <c r="I944"/>
    </row>
    <row r="945" spans="1:9">
      <c r="A945"/>
      <c r="B945" s="68"/>
      <c r="C945"/>
      <c r="D945"/>
      <c r="E945"/>
      <c r="F945"/>
      <c r="G945"/>
      <c r="H945"/>
      <c r="I945"/>
    </row>
    <row r="946" spans="1:9">
      <c r="A946"/>
      <c r="B946" s="68"/>
      <c r="C946"/>
      <c r="D946"/>
      <c r="E946"/>
      <c r="F946"/>
      <c r="G946"/>
      <c r="H946"/>
      <c r="I946"/>
    </row>
    <row r="947" spans="1:9">
      <c r="A947"/>
      <c r="B947" s="68"/>
      <c r="C947"/>
      <c r="D947"/>
      <c r="E947"/>
      <c r="F947"/>
      <c r="G947"/>
      <c r="H947"/>
      <c r="I947"/>
    </row>
    <row r="948" spans="1:9">
      <c r="A948"/>
      <c r="B948" s="68"/>
      <c r="C948"/>
      <c r="D948"/>
      <c r="E948"/>
      <c r="F948"/>
      <c r="G948"/>
      <c r="H948"/>
      <c r="I948"/>
    </row>
    <row r="949" spans="1:9">
      <c r="A949"/>
      <c r="B949" s="68"/>
      <c r="C949"/>
      <c r="D949"/>
      <c r="E949"/>
      <c r="F949"/>
      <c r="G949"/>
      <c r="H949"/>
      <c r="I949"/>
    </row>
    <row r="950" spans="1:9">
      <c r="A950"/>
      <c r="B950" s="68"/>
      <c r="C950"/>
      <c r="D950"/>
      <c r="E950"/>
      <c r="F950"/>
      <c r="G950"/>
      <c r="H950"/>
      <c r="I950"/>
    </row>
    <row r="951" spans="1:9">
      <c r="A951"/>
      <c r="B951" s="68"/>
      <c r="C951"/>
      <c r="D951"/>
      <c r="E951"/>
      <c r="F951"/>
      <c r="G951"/>
      <c r="H951"/>
      <c r="I951"/>
    </row>
    <row r="952" spans="1:9">
      <c r="A952"/>
      <c r="B952" s="68"/>
      <c r="C952"/>
      <c r="D952"/>
      <c r="E952"/>
      <c r="F952"/>
      <c r="G952"/>
      <c r="H952"/>
      <c r="I952"/>
    </row>
    <row r="953" spans="1:9">
      <c r="A953"/>
      <c r="B953" s="68"/>
      <c r="C953"/>
      <c r="D953"/>
      <c r="E953"/>
      <c r="F953"/>
      <c r="G953"/>
      <c r="H953"/>
      <c r="I953"/>
    </row>
    <row r="954" spans="1:9">
      <c r="A954"/>
      <c r="B954" s="68"/>
      <c r="C954"/>
      <c r="D954"/>
      <c r="E954"/>
      <c r="F954"/>
      <c r="G954"/>
      <c r="H954"/>
      <c r="I954"/>
    </row>
    <row r="955" spans="1:9">
      <c r="A955"/>
      <c r="B955" s="68"/>
      <c r="C955"/>
      <c r="D955"/>
      <c r="E955"/>
      <c r="F955"/>
      <c r="G955"/>
      <c r="H955"/>
      <c r="I955"/>
    </row>
    <row r="956" spans="1:9">
      <c r="A956"/>
      <c r="B956" s="68"/>
      <c r="C956"/>
      <c r="D956"/>
      <c r="E956"/>
      <c r="F956"/>
      <c r="G956"/>
      <c r="H956"/>
      <c r="I956"/>
    </row>
    <row r="957" spans="1:9">
      <c r="A957"/>
      <c r="B957" s="68"/>
      <c r="C957"/>
      <c r="D957"/>
      <c r="E957"/>
      <c r="F957"/>
      <c r="G957"/>
      <c r="H957"/>
      <c r="I957"/>
    </row>
    <row r="958" spans="1:9">
      <c r="A958"/>
      <c r="B958" s="68"/>
      <c r="C958"/>
      <c r="D958"/>
      <c r="E958"/>
      <c r="F958"/>
      <c r="G958"/>
      <c r="H958"/>
      <c r="I958"/>
    </row>
    <row r="959" spans="1:9">
      <c r="A959"/>
      <c r="B959" s="68"/>
      <c r="C959"/>
      <c r="D959"/>
      <c r="E959"/>
      <c r="F959"/>
      <c r="G959"/>
      <c r="H959"/>
      <c r="I959"/>
    </row>
    <row r="960" spans="1:9">
      <c r="A960"/>
      <c r="B960" s="68"/>
      <c r="C960"/>
      <c r="D960"/>
      <c r="E960"/>
      <c r="F960"/>
      <c r="G960"/>
      <c r="H960"/>
      <c r="I960"/>
    </row>
    <row r="961" spans="1:9">
      <c r="A961"/>
      <c r="B961" s="68"/>
      <c r="C961"/>
      <c r="D961"/>
      <c r="E961"/>
      <c r="F961"/>
      <c r="G961"/>
      <c r="H961"/>
      <c r="I961"/>
    </row>
    <row r="962" spans="1:9">
      <c r="A962"/>
      <c r="B962" s="68"/>
      <c r="C962"/>
      <c r="D962"/>
      <c r="E962"/>
      <c r="F962"/>
      <c r="G962"/>
      <c r="H962"/>
      <c r="I962"/>
    </row>
    <row r="963" spans="1:9">
      <c r="A963"/>
      <c r="B963" s="68"/>
      <c r="C963"/>
      <c r="D963"/>
      <c r="E963"/>
      <c r="F963"/>
      <c r="G963"/>
      <c r="H963"/>
      <c r="I963"/>
    </row>
    <row r="964" spans="1:9">
      <c r="A964"/>
      <c r="B964" s="68"/>
      <c r="C964"/>
      <c r="D964"/>
      <c r="E964"/>
      <c r="F964"/>
      <c r="G964"/>
      <c r="H964"/>
      <c r="I964"/>
    </row>
    <row r="965" spans="1:9">
      <c r="A965"/>
      <c r="B965" s="68"/>
      <c r="C965"/>
      <c r="D965"/>
      <c r="E965"/>
      <c r="F965"/>
      <c r="G965"/>
      <c r="H965"/>
      <c r="I965"/>
    </row>
    <row r="966" spans="1:9">
      <c r="A966"/>
      <c r="B966" s="68"/>
      <c r="C966"/>
      <c r="D966"/>
      <c r="E966"/>
      <c r="F966"/>
      <c r="G966"/>
      <c r="H966"/>
      <c r="I966"/>
    </row>
    <row r="967" spans="1:9">
      <c r="A967"/>
      <c r="B967" s="68"/>
      <c r="C967"/>
      <c r="D967"/>
      <c r="E967"/>
      <c r="F967"/>
      <c r="G967"/>
      <c r="H967"/>
      <c r="I967"/>
    </row>
    <row r="968" spans="1:9">
      <c r="A968"/>
      <c r="B968" s="68"/>
      <c r="C968"/>
      <c r="D968"/>
      <c r="E968"/>
      <c r="F968"/>
      <c r="G968"/>
      <c r="H968"/>
      <c r="I968"/>
    </row>
    <row r="969" spans="1:9">
      <c r="A969"/>
      <c r="B969" s="68"/>
      <c r="C969"/>
      <c r="D969"/>
      <c r="E969"/>
      <c r="F969"/>
      <c r="G969"/>
      <c r="H969"/>
      <c r="I969"/>
    </row>
    <row r="970" spans="1:9">
      <c r="A970"/>
      <c r="B970" s="68"/>
      <c r="C970"/>
      <c r="D970"/>
      <c r="E970"/>
      <c r="F970"/>
      <c r="G970"/>
      <c r="H970"/>
      <c r="I970"/>
    </row>
    <row r="971" spans="1:9">
      <c r="A971"/>
      <c r="B971" s="68"/>
      <c r="C971"/>
      <c r="D971"/>
      <c r="E971"/>
      <c r="F971"/>
      <c r="G971"/>
      <c r="H971"/>
      <c r="I971"/>
    </row>
    <row r="972" spans="1:9">
      <c r="A972"/>
      <c r="B972" s="68"/>
      <c r="C972"/>
      <c r="D972"/>
      <c r="E972"/>
      <c r="F972"/>
      <c r="G972"/>
      <c r="H972"/>
      <c r="I972"/>
    </row>
    <row r="973" spans="1:9">
      <c r="A973"/>
      <c r="B973" s="68"/>
      <c r="C973"/>
      <c r="D973"/>
      <c r="E973"/>
      <c r="F973"/>
      <c r="G973"/>
      <c r="H973"/>
      <c r="I973"/>
    </row>
    <row r="974" spans="1:9">
      <c r="A974"/>
      <c r="B974" s="68"/>
      <c r="C974"/>
      <c r="D974"/>
      <c r="E974"/>
      <c r="F974"/>
      <c r="G974"/>
      <c r="H974"/>
      <c r="I974"/>
    </row>
    <row r="975" spans="1:9">
      <c r="A975"/>
      <c r="B975" s="68"/>
      <c r="C975"/>
      <c r="D975"/>
      <c r="E975"/>
      <c r="F975"/>
      <c r="G975"/>
      <c r="H975"/>
      <c r="I975"/>
    </row>
    <row r="976" spans="1:9">
      <c r="A976"/>
      <c r="B976" s="68"/>
      <c r="C976"/>
      <c r="D976"/>
      <c r="E976"/>
      <c r="F976"/>
      <c r="G976"/>
      <c r="H976"/>
      <c r="I976"/>
    </row>
    <row r="977" spans="1:9">
      <c r="A977"/>
      <c r="B977" s="68"/>
      <c r="C977"/>
      <c r="D977"/>
      <c r="E977"/>
      <c r="F977"/>
      <c r="G977"/>
      <c r="H977"/>
      <c r="I977"/>
    </row>
    <row r="978" spans="1:9">
      <c r="A978"/>
      <c r="B978" s="68"/>
      <c r="C978"/>
      <c r="D978"/>
      <c r="E978"/>
      <c r="F978"/>
      <c r="G978"/>
      <c r="H978"/>
      <c r="I978"/>
    </row>
    <row r="979" spans="1:9">
      <c r="A979"/>
      <c r="B979" s="68"/>
      <c r="C979"/>
      <c r="D979"/>
      <c r="E979"/>
      <c r="F979"/>
      <c r="G979"/>
      <c r="H979"/>
      <c r="I979"/>
    </row>
    <row r="980" spans="1:9">
      <c r="A980"/>
      <c r="B980" s="68"/>
      <c r="C980"/>
      <c r="D980"/>
      <c r="E980"/>
      <c r="F980"/>
      <c r="G980"/>
      <c r="H980"/>
      <c r="I980"/>
    </row>
    <row r="981" spans="1:9">
      <c r="A981"/>
      <c r="B981" s="68"/>
      <c r="C981"/>
      <c r="D981"/>
      <c r="E981"/>
      <c r="F981"/>
      <c r="G981"/>
      <c r="H981"/>
      <c r="I981"/>
    </row>
    <row r="982" spans="1:9">
      <c r="A982"/>
      <c r="B982" s="68"/>
      <c r="C982"/>
      <c r="D982"/>
      <c r="E982"/>
      <c r="F982"/>
      <c r="G982"/>
      <c r="H982"/>
      <c r="I982"/>
    </row>
    <row r="983" spans="1:9">
      <c r="A983"/>
      <c r="B983" s="68"/>
      <c r="C983"/>
      <c r="D983"/>
      <c r="E983"/>
      <c r="F983"/>
      <c r="G983"/>
      <c r="H983"/>
      <c r="I983"/>
    </row>
    <row r="984" spans="1:9">
      <c r="A984"/>
      <c r="B984" s="68"/>
      <c r="C984"/>
      <c r="D984"/>
      <c r="E984"/>
      <c r="F984"/>
      <c r="G984"/>
      <c r="H984"/>
      <c r="I984"/>
    </row>
    <row r="985" spans="1:9">
      <c r="A985"/>
      <c r="B985" s="68"/>
      <c r="C985"/>
      <c r="D985"/>
      <c r="E985"/>
      <c r="F985"/>
      <c r="G985"/>
      <c r="H985"/>
      <c r="I985"/>
    </row>
    <row r="986" spans="1:9">
      <c r="A986"/>
      <c r="B986" s="68"/>
      <c r="C986"/>
      <c r="D986"/>
      <c r="E986"/>
      <c r="F986"/>
      <c r="G986"/>
      <c r="H986"/>
      <c r="I986"/>
    </row>
    <row r="987" spans="1:9">
      <c r="A987"/>
      <c r="B987" s="68"/>
      <c r="C987"/>
      <c r="D987"/>
      <c r="E987"/>
      <c r="F987"/>
      <c r="G987"/>
      <c r="H987"/>
      <c r="I987"/>
    </row>
    <row r="988" spans="1:9">
      <c r="A988"/>
      <c r="B988" s="68"/>
      <c r="C988"/>
      <c r="D988"/>
      <c r="E988"/>
      <c r="F988"/>
      <c r="G988"/>
      <c r="H988"/>
      <c r="I988"/>
    </row>
    <row r="989" spans="1:9">
      <c r="A989"/>
      <c r="B989" s="68"/>
      <c r="C989"/>
      <c r="D989"/>
      <c r="E989"/>
      <c r="F989"/>
      <c r="G989"/>
      <c r="H989"/>
      <c r="I989"/>
    </row>
    <row r="990" spans="1:9">
      <c r="A990"/>
      <c r="B990" s="68"/>
      <c r="C990"/>
      <c r="D990"/>
      <c r="E990"/>
      <c r="F990"/>
      <c r="G990"/>
      <c r="H990"/>
      <c r="I990"/>
    </row>
    <row r="991" spans="1:9">
      <c r="A991"/>
      <c r="B991" s="68"/>
      <c r="C991"/>
      <c r="D991"/>
      <c r="E991"/>
      <c r="F991"/>
      <c r="G991"/>
      <c r="H991"/>
      <c r="I991"/>
    </row>
    <row r="992" spans="1:9">
      <c r="A992"/>
      <c r="B992" s="68"/>
      <c r="C992"/>
      <c r="D992"/>
      <c r="E992"/>
      <c r="F992"/>
      <c r="G992"/>
      <c r="H992"/>
      <c r="I992"/>
    </row>
    <row r="993" spans="1:9">
      <c r="A993"/>
      <c r="B993" s="68"/>
      <c r="C993"/>
      <c r="D993"/>
      <c r="E993"/>
      <c r="F993"/>
      <c r="G993"/>
      <c r="H993"/>
      <c r="I993"/>
    </row>
    <row r="994" spans="1:9">
      <c r="A994"/>
      <c r="B994" s="68"/>
      <c r="C994"/>
      <c r="D994"/>
      <c r="E994"/>
      <c r="F994"/>
      <c r="G994"/>
      <c r="H994"/>
      <c r="I994"/>
    </row>
    <row r="995" spans="1:9">
      <c r="A995"/>
      <c r="B995" s="68"/>
      <c r="C995"/>
      <c r="D995"/>
      <c r="E995"/>
      <c r="F995"/>
      <c r="G995"/>
      <c r="H995"/>
      <c r="I995"/>
    </row>
    <row r="996" spans="1:9">
      <c r="A996"/>
      <c r="B996" s="68"/>
      <c r="C996"/>
      <c r="D996"/>
      <c r="E996"/>
      <c r="F996"/>
      <c r="G996"/>
      <c r="H996"/>
      <c r="I996"/>
    </row>
    <row r="997" spans="1:9">
      <c r="A997"/>
      <c r="B997" s="68"/>
      <c r="C997"/>
      <c r="D997"/>
      <c r="E997"/>
      <c r="F997"/>
      <c r="G997"/>
      <c r="H997"/>
      <c r="I997"/>
    </row>
    <row r="998" spans="1:9">
      <c r="A998"/>
      <c r="B998" s="68"/>
      <c r="C998"/>
      <c r="D998"/>
      <c r="E998"/>
      <c r="F998"/>
      <c r="G998"/>
      <c r="H998"/>
      <c r="I998"/>
    </row>
    <row r="999" spans="1:9">
      <c r="A999"/>
      <c r="B999" s="68"/>
      <c r="C999"/>
      <c r="D999"/>
      <c r="E999"/>
      <c r="F999"/>
      <c r="G999"/>
      <c r="H999"/>
      <c r="I999"/>
    </row>
    <row r="1000" spans="1:9">
      <c r="A1000"/>
      <c r="B1000" s="68"/>
      <c r="C1000"/>
      <c r="D1000"/>
      <c r="E1000"/>
      <c r="F1000"/>
      <c r="G1000"/>
      <c r="H1000"/>
      <c r="I1000"/>
    </row>
    <row r="1001" spans="1:9">
      <c r="A1001"/>
      <c r="B1001" s="68"/>
      <c r="C1001"/>
      <c r="D1001"/>
      <c r="E1001"/>
      <c r="F1001"/>
      <c r="G1001"/>
      <c r="H1001"/>
      <c r="I1001"/>
    </row>
    <row r="1002" spans="1:9">
      <c r="A1002"/>
      <c r="B1002" s="68"/>
      <c r="C1002"/>
      <c r="D1002"/>
      <c r="E1002"/>
      <c r="F1002"/>
      <c r="G1002"/>
      <c r="H1002"/>
      <c r="I1002"/>
    </row>
    <row r="1003" spans="1:9">
      <c r="A1003"/>
      <c r="B1003" s="68"/>
      <c r="C1003"/>
      <c r="D1003"/>
      <c r="E1003"/>
      <c r="F1003"/>
      <c r="G1003"/>
      <c r="H1003"/>
      <c r="I1003"/>
    </row>
    <row r="1004" spans="1:9">
      <c r="A1004"/>
      <c r="B1004" s="68"/>
      <c r="C1004"/>
      <c r="D1004"/>
      <c r="E1004"/>
      <c r="F1004"/>
      <c r="G1004"/>
      <c r="H1004"/>
      <c r="I1004"/>
    </row>
    <row r="1005" spans="1:9">
      <c r="A1005"/>
      <c r="B1005" s="68"/>
      <c r="C1005"/>
      <c r="D1005"/>
      <c r="E1005"/>
      <c r="F1005"/>
      <c r="G1005"/>
      <c r="H1005"/>
      <c r="I1005"/>
    </row>
    <row r="1006" spans="1:9">
      <c r="A1006"/>
      <c r="B1006" s="68"/>
      <c r="C1006"/>
      <c r="D1006"/>
      <c r="E1006"/>
      <c r="F1006"/>
      <c r="G1006"/>
      <c r="H1006"/>
      <c r="I1006"/>
    </row>
    <row r="1007" spans="1:9">
      <c r="A1007"/>
      <c r="B1007" s="68"/>
      <c r="C1007"/>
      <c r="D1007"/>
      <c r="E1007"/>
      <c r="F1007"/>
      <c r="G1007"/>
      <c r="H1007"/>
      <c r="I1007"/>
    </row>
    <row r="1008" spans="1:9">
      <c r="A1008"/>
      <c r="B1008" s="68"/>
      <c r="C1008"/>
      <c r="D1008"/>
      <c r="E1008"/>
      <c r="F1008"/>
      <c r="G1008"/>
      <c r="H1008"/>
      <c r="I1008"/>
    </row>
    <row r="1009" spans="1:9">
      <c r="A1009"/>
      <c r="B1009" s="68"/>
      <c r="C1009"/>
      <c r="D1009"/>
      <c r="E1009"/>
      <c r="F1009"/>
      <c r="G1009"/>
      <c r="H1009"/>
      <c r="I1009"/>
    </row>
    <row r="1010" spans="1:9">
      <c r="A1010"/>
      <c r="B1010" s="68"/>
      <c r="C1010"/>
      <c r="D1010"/>
      <c r="E1010"/>
      <c r="F1010"/>
      <c r="G1010"/>
      <c r="H1010"/>
      <c r="I1010"/>
    </row>
    <row r="1011" spans="1:9">
      <c r="A1011"/>
      <c r="B1011" s="68"/>
      <c r="C1011"/>
      <c r="D1011"/>
      <c r="E1011"/>
      <c r="F1011"/>
      <c r="G1011"/>
      <c r="H1011"/>
      <c r="I1011"/>
    </row>
    <row r="1012" spans="1:9">
      <c r="A1012"/>
      <c r="B1012" s="68"/>
      <c r="C1012"/>
      <c r="D1012"/>
      <c r="E1012"/>
      <c r="F1012"/>
      <c r="G1012"/>
      <c r="H1012"/>
      <c r="I1012"/>
    </row>
    <row r="1013" spans="1:9">
      <c r="A1013"/>
      <c r="B1013" s="68"/>
      <c r="C1013"/>
      <c r="D1013"/>
      <c r="E1013"/>
      <c r="F1013"/>
      <c r="G1013"/>
      <c r="H1013"/>
      <c r="I1013"/>
    </row>
    <row r="1014" spans="1:9">
      <c r="A1014"/>
      <c r="B1014" s="68"/>
      <c r="C1014"/>
      <c r="D1014"/>
      <c r="E1014"/>
      <c r="F1014"/>
      <c r="G1014"/>
      <c r="H1014"/>
      <c r="I1014"/>
    </row>
    <row r="1015" spans="1:9">
      <c r="A1015"/>
      <c r="B1015" s="68"/>
      <c r="C1015"/>
      <c r="D1015"/>
      <c r="E1015"/>
      <c r="F1015"/>
      <c r="G1015"/>
      <c r="H1015"/>
      <c r="I1015"/>
    </row>
    <row r="1016" spans="1:9">
      <c r="A1016"/>
      <c r="B1016" s="68"/>
      <c r="C1016"/>
      <c r="D1016"/>
      <c r="E1016"/>
      <c r="F1016"/>
      <c r="G1016"/>
      <c r="H1016"/>
      <c r="I1016"/>
    </row>
    <row r="1017" spans="1:9">
      <c r="A1017"/>
      <c r="B1017" s="68"/>
      <c r="C1017"/>
      <c r="D1017"/>
      <c r="E1017"/>
      <c r="F1017"/>
      <c r="G1017"/>
      <c r="H1017"/>
      <c r="I1017"/>
    </row>
    <row r="1018" spans="1:9">
      <c r="A1018"/>
      <c r="B1018" s="68"/>
      <c r="C1018"/>
      <c r="D1018"/>
      <c r="E1018"/>
      <c r="F1018"/>
      <c r="G1018"/>
      <c r="H1018"/>
      <c r="I1018"/>
    </row>
    <row r="1019" spans="1:9">
      <c r="A1019"/>
      <c r="B1019" s="68"/>
      <c r="C1019"/>
      <c r="D1019"/>
      <c r="E1019"/>
      <c r="F1019"/>
      <c r="G1019"/>
      <c r="H1019"/>
      <c r="I1019"/>
    </row>
    <row r="1020" spans="1:9">
      <c r="A1020"/>
      <c r="B1020" s="68"/>
      <c r="C1020"/>
      <c r="D1020"/>
      <c r="E1020"/>
      <c r="F1020"/>
      <c r="G1020"/>
      <c r="H1020"/>
      <c r="I1020"/>
    </row>
    <row r="1021" spans="1:9">
      <c r="A1021"/>
      <c r="B1021" s="68"/>
      <c r="C1021"/>
      <c r="D1021"/>
      <c r="E1021"/>
      <c r="F1021"/>
      <c r="G1021"/>
      <c r="H1021"/>
      <c r="I1021"/>
    </row>
    <row r="1022" spans="1:9">
      <c r="A1022"/>
      <c r="B1022" s="68"/>
      <c r="C1022"/>
      <c r="D1022"/>
      <c r="E1022"/>
      <c r="F1022"/>
      <c r="G1022"/>
      <c r="H1022"/>
      <c r="I1022"/>
    </row>
    <row r="1023" spans="1:9">
      <c r="A1023"/>
      <c r="B1023" s="68"/>
      <c r="C1023"/>
      <c r="D1023"/>
      <c r="E1023"/>
      <c r="F1023"/>
      <c r="G1023"/>
      <c r="H1023"/>
      <c r="I1023"/>
    </row>
    <row r="1024" spans="1:9">
      <c r="A1024"/>
      <c r="B1024" s="68"/>
      <c r="C1024"/>
      <c r="D1024"/>
      <c r="E1024"/>
      <c r="F1024"/>
      <c r="G1024"/>
      <c r="H1024"/>
      <c r="I1024"/>
    </row>
    <row r="1025" spans="1:9">
      <c r="A1025"/>
      <c r="B1025" s="68"/>
      <c r="C1025"/>
      <c r="D1025"/>
      <c r="E1025"/>
      <c r="F1025"/>
      <c r="G1025"/>
      <c r="H1025"/>
      <c r="I1025"/>
    </row>
    <row r="1026" spans="1:9">
      <c r="A1026"/>
      <c r="B1026" s="68"/>
      <c r="C1026"/>
      <c r="D1026"/>
      <c r="E1026"/>
      <c r="F1026"/>
      <c r="G1026"/>
      <c r="H1026"/>
      <c r="I1026"/>
    </row>
    <row r="1027" spans="1:9">
      <c r="A1027"/>
      <c r="B1027" s="68"/>
      <c r="C1027"/>
      <c r="D1027"/>
      <c r="E1027"/>
      <c r="F1027"/>
      <c r="G1027"/>
      <c r="H1027"/>
      <c r="I1027"/>
    </row>
    <row r="1028" spans="1:9">
      <c r="A1028"/>
      <c r="B1028" s="68"/>
      <c r="C1028"/>
      <c r="D1028"/>
      <c r="E1028"/>
      <c r="F1028"/>
      <c r="G1028"/>
      <c r="H1028"/>
      <c r="I1028"/>
    </row>
    <row r="1029" spans="1:9">
      <c r="A1029"/>
      <c r="B1029" s="68"/>
      <c r="C1029"/>
      <c r="D1029"/>
      <c r="E1029"/>
      <c r="F1029"/>
      <c r="G1029"/>
      <c r="H1029"/>
      <c r="I1029"/>
    </row>
    <row r="1030" spans="1:9">
      <c r="A1030"/>
      <c r="B1030" s="68"/>
      <c r="C1030"/>
      <c r="D1030"/>
      <c r="E1030"/>
      <c r="F1030"/>
      <c r="G1030"/>
      <c r="H1030"/>
      <c r="I1030"/>
    </row>
    <row r="1031" spans="1:9">
      <c r="A1031"/>
      <c r="B1031" s="68"/>
      <c r="C1031"/>
      <c r="D1031"/>
      <c r="E1031"/>
      <c r="F1031"/>
      <c r="G1031"/>
      <c r="H1031"/>
      <c r="I1031"/>
    </row>
    <row r="1032" spans="1:9">
      <c r="A1032"/>
      <c r="B1032" s="68"/>
      <c r="C1032"/>
      <c r="D1032"/>
      <c r="E1032"/>
      <c r="F1032"/>
      <c r="G1032"/>
      <c r="H1032"/>
      <c r="I1032"/>
    </row>
    <row r="1033" spans="1:9">
      <c r="A1033"/>
      <c r="B1033" s="68"/>
      <c r="C1033"/>
      <c r="D1033"/>
      <c r="E1033"/>
      <c r="F1033"/>
      <c r="G1033"/>
      <c r="H1033"/>
      <c r="I1033"/>
    </row>
    <row r="1034" spans="1:9">
      <c r="A1034"/>
      <c r="B1034" s="68"/>
      <c r="C1034"/>
      <c r="D1034"/>
      <c r="E1034"/>
      <c r="F1034"/>
      <c r="G1034"/>
      <c r="H1034"/>
      <c r="I1034"/>
    </row>
    <row r="1035" spans="1:9">
      <c r="A1035"/>
      <c r="B1035" s="68"/>
      <c r="C1035"/>
      <c r="D1035"/>
      <c r="E1035"/>
      <c r="F1035"/>
      <c r="G1035"/>
      <c r="H1035"/>
      <c r="I1035"/>
    </row>
    <row r="1036" spans="1:9">
      <c r="A1036"/>
      <c r="B1036" s="68"/>
      <c r="C1036"/>
      <c r="D1036"/>
      <c r="E1036"/>
      <c r="F1036"/>
      <c r="G1036"/>
      <c r="H1036"/>
      <c r="I1036"/>
    </row>
    <row r="1037" spans="1:9">
      <c r="A1037"/>
      <c r="B1037" s="68"/>
      <c r="C1037"/>
      <c r="D1037"/>
      <c r="E1037"/>
      <c r="F1037"/>
      <c r="G1037"/>
      <c r="H1037"/>
      <c r="I1037"/>
    </row>
    <row r="1038" spans="1:9">
      <c r="A1038"/>
      <c r="B1038" s="68"/>
      <c r="C1038"/>
      <c r="D1038"/>
      <c r="E1038"/>
      <c r="F1038"/>
      <c r="G1038"/>
      <c r="H1038"/>
      <c r="I1038"/>
    </row>
    <row r="1039" spans="1:9">
      <c r="A1039"/>
      <c r="B1039" s="68"/>
      <c r="C1039"/>
      <c r="D1039"/>
      <c r="E1039"/>
      <c r="F1039"/>
      <c r="G1039"/>
      <c r="H1039"/>
      <c r="I1039"/>
    </row>
    <row r="1040" spans="1:9">
      <c r="A1040"/>
      <c r="B1040" s="68"/>
      <c r="C1040"/>
      <c r="D1040"/>
      <c r="E1040"/>
      <c r="F1040"/>
      <c r="G1040"/>
      <c r="H1040"/>
      <c r="I1040"/>
    </row>
    <row r="1041" spans="1:9">
      <c r="A1041"/>
      <c r="B1041" s="68"/>
      <c r="C1041"/>
      <c r="D1041"/>
      <c r="E1041"/>
      <c r="F1041"/>
      <c r="G1041"/>
      <c r="H1041"/>
      <c r="I1041"/>
    </row>
    <row r="1042" spans="1:9">
      <c r="A1042"/>
      <c r="B1042" s="68"/>
      <c r="C1042"/>
      <c r="D1042"/>
      <c r="E1042"/>
      <c r="F1042"/>
      <c r="G1042"/>
      <c r="H1042"/>
      <c r="I1042"/>
    </row>
    <row r="1043" spans="1:9">
      <c r="A1043"/>
      <c r="B1043" s="68"/>
      <c r="C1043"/>
      <c r="D1043"/>
      <c r="E1043"/>
      <c r="F1043"/>
      <c r="G1043"/>
      <c r="H1043"/>
      <c r="I1043"/>
    </row>
    <row r="1044" spans="1:9">
      <c r="A1044"/>
      <c r="B1044" s="68"/>
      <c r="C1044"/>
      <c r="D1044"/>
      <c r="E1044"/>
      <c r="F1044"/>
      <c r="G1044"/>
      <c r="H1044"/>
      <c r="I1044"/>
    </row>
    <row r="1045" spans="1:9">
      <c r="A1045"/>
      <c r="B1045" s="68"/>
      <c r="C1045"/>
      <c r="D1045"/>
      <c r="E1045"/>
      <c r="F1045"/>
      <c r="G1045"/>
      <c r="H1045"/>
      <c r="I1045"/>
    </row>
    <row r="1046" spans="1:9">
      <c r="A1046"/>
      <c r="B1046" s="68"/>
      <c r="C1046"/>
      <c r="D1046"/>
      <c r="E1046"/>
      <c r="F1046"/>
      <c r="G1046"/>
      <c r="H1046"/>
      <c r="I1046"/>
    </row>
    <row r="1047" spans="1:9">
      <c r="A1047"/>
      <c r="B1047" s="68"/>
      <c r="C1047"/>
      <c r="D1047"/>
      <c r="E1047"/>
      <c r="F1047"/>
      <c r="G1047"/>
      <c r="H1047"/>
      <c r="I1047"/>
    </row>
    <row r="1048" spans="1:9">
      <c r="A1048"/>
      <c r="B1048" s="68"/>
      <c r="C1048"/>
      <c r="D1048"/>
      <c r="E1048"/>
      <c r="F1048"/>
      <c r="G1048"/>
      <c r="H1048"/>
      <c r="I1048"/>
    </row>
    <row r="1049" spans="1:9">
      <c r="A1049"/>
      <c r="B1049" s="68"/>
      <c r="C1049"/>
      <c r="D1049"/>
      <c r="E1049"/>
      <c r="F1049"/>
      <c r="G1049"/>
      <c r="H1049"/>
      <c r="I1049"/>
    </row>
    <row r="1050" spans="1:9">
      <c r="A1050"/>
      <c r="B1050" s="68"/>
      <c r="C1050"/>
      <c r="D1050"/>
      <c r="E1050"/>
      <c r="F1050"/>
      <c r="G1050"/>
      <c r="H1050"/>
      <c r="I1050"/>
    </row>
    <row r="1051" spans="1:9">
      <c r="A1051"/>
      <c r="B1051" s="68"/>
      <c r="C1051"/>
      <c r="D1051"/>
      <c r="E1051"/>
      <c r="F1051"/>
      <c r="G1051"/>
      <c r="H1051"/>
      <c r="I1051"/>
    </row>
    <row r="1052" spans="1:9">
      <c r="A1052"/>
      <c r="B1052" s="68"/>
      <c r="C1052"/>
      <c r="D1052"/>
      <c r="E1052"/>
      <c r="F1052"/>
      <c r="G1052"/>
      <c r="H1052"/>
      <c r="I1052"/>
    </row>
    <row r="1053" spans="1:9">
      <c r="A1053"/>
      <c r="B1053" s="68"/>
      <c r="C1053"/>
      <c r="D1053"/>
      <c r="E1053"/>
      <c r="F1053"/>
      <c r="G1053"/>
      <c r="H1053"/>
      <c r="I1053"/>
    </row>
    <row r="1054" spans="1:9">
      <c r="A1054"/>
      <c r="B1054" s="68"/>
      <c r="C1054"/>
      <c r="D1054"/>
      <c r="E1054"/>
      <c r="F1054"/>
      <c r="G1054"/>
      <c r="H1054"/>
      <c r="I1054"/>
    </row>
    <row r="1055" spans="1:9">
      <c r="A1055"/>
      <c r="B1055" s="68"/>
      <c r="C1055"/>
      <c r="D1055"/>
      <c r="E1055"/>
      <c r="F1055"/>
      <c r="G1055"/>
      <c r="H1055"/>
      <c r="I1055"/>
    </row>
    <row r="1056" spans="1:9">
      <c r="A1056"/>
      <c r="B1056" s="68"/>
      <c r="C1056"/>
      <c r="D1056"/>
      <c r="E1056"/>
      <c r="F1056"/>
      <c r="G1056"/>
      <c r="H1056"/>
      <c r="I1056"/>
    </row>
    <row r="1057" spans="1:9">
      <c r="A1057"/>
      <c r="B1057" s="68"/>
      <c r="C1057"/>
      <c r="D1057"/>
      <c r="E1057"/>
      <c r="F1057"/>
      <c r="G1057"/>
      <c r="H1057"/>
      <c r="I1057"/>
    </row>
    <row r="1058" spans="1:9">
      <c r="A1058"/>
      <c r="B1058" s="68"/>
      <c r="C1058"/>
      <c r="D1058"/>
      <c r="E1058"/>
      <c r="F1058"/>
      <c r="G1058"/>
      <c r="H1058"/>
      <c r="I1058"/>
    </row>
    <row r="1059" spans="1:9">
      <c r="A1059"/>
      <c r="B1059" s="68"/>
      <c r="C1059"/>
      <c r="D1059"/>
      <c r="E1059"/>
      <c r="F1059"/>
      <c r="G1059"/>
      <c r="H1059"/>
      <c r="I1059"/>
    </row>
    <row r="1060" spans="1:9">
      <c r="A1060"/>
      <c r="B1060" s="68"/>
      <c r="C1060"/>
      <c r="D1060"/>
      <c r="E1060"/>
      <c r="F1060"/>
      <c r="G1060"/>
      <c r="H1060"/>
      <c r="I1060"/>
    </row>
    <row r="1061" spans="1:9">
      <c r="A1061"/>
      <c r="B1061" s="68"/>
      <c r="C1061"/>
      <c r="D1061"/>
      <c r="E1061"/>
      <c r="F1061"/>
      <c r="G1061"/>
      <c r="H1061"/>
      <c r="I1061"/>
    </row>
    <row r="1062" spans="1:9">
      <c r="A1062"/>
      <c r="B1062" s="68"/>
      <c r="C1062"/>
      <c r="D1062"/>
      <c r="E1062"/>
      <c r="F1062"/>
      <c r="G1062"/>
      <c r="H1062"/>
      <c r="I1062"/>
    </row>
    <row r="1063" spans="1:9">
      <c r="A1063"/>
      <c r="B1063" s="68"/>
      <c r="C1063"/>
      <c r="D1063"/>
      <c r="E1063"/>
      <c r="F1063"/>
      <c r="G1063"/>
      <c r="H1063"/>
      <c r="I1063"/>
    </row>
    <row r="1064" spans="1:9">
      <c r="A1064"/>
      <c r="B1064" s="68"/>
      <c r="C1064"/>
      <c r="D1064"/>
      <c r="E1064"/>
      <c r="F1064"/>
      <c r="G1064"/>
      <c r="H1064"/>
      <c r="I1064"/>
    </row>
    <row r="1065" spans="1:9">
      <c r="A1065"/>
      <c r="B1065" s="68"/>
      <c r="C1065"/>
      <c r="D1065"/>
      <c r="E1065"/>
      <c r="F1065"/>
      <c r="G1065"/>
      <c r="H1065"/>
      <c r="I1065"/>
    </row>
    <row r="1066" spans="1:9">
      <c r="A1066"/>
      <c r="B1066" s="68"/>
      <c r="C1066"/>
      <c r="D1066"/>
      <c r="E1066"/>
      <c r="F1066"/>
      <c r="G1066"/>
      <c r="H1066"/>
      <c r="I1066"/>
    </row>
    <row r="1067" spans="1:9">
      <c r="A1067"/>
      <c r="B1067" s="68"/>
      <c r="C1067"/>
      <c r="D1067"/>
      <c r="E1067"/>
      <c r="F1067"/>
      <c r="G1067"/>
      <c r="H1067"/>
      <c r="I1067"/>
    </row>
    <row r="1068" spans="1:9">
      <c r="A1068"/>
      <c r="B1068" s="68"/>
      <c r="C1068"/>
      <c r="D1068"/>
      <c r="E1068"/>
      <c r="F1068"/>
      <c r="G1068"/>
      <c r="H1068"/>
      <c r="I1068"/>
    </row>
    <row r="1069" spans="1:9">
      <c r="A1069"/>
      <c r="B1069" s="68"/>
      <c r="C1069"/>
      <c r="D1069"/>
      <c r="E1069"/>
      <c r="F1069"/>
      <c r="G1069"/>
      <c r="H1069"/>
      <c r="I1069"/>
    </row>
    <row r="1070" spans="1:9">
      <c r="A1070"/>
      <c r="B1070" s="68"/>
      <c r="C1070"/>
      <c r="D1070"/>
      <c r="E1070"/>
      <c r="F1070"/>
      <c r="G1070"/>
      <c r="H1070"/>
      <c r="I1070"/>
    </row>
    <row r="1071" spans="1:9">
      <c r="A1071"/>
      <c r="B1071" s="68"/>
      <c r="C1071"/>
      <c r="D1071"/>
      <c r="E1071"/>
      <c r="F1071"/>
      <c r="G1071"/>
      <c r="H1071"/>
      <c r="I1071"/>
    </row>
    <row r="1072" spans="1:9">
      <c r="A1072"/>
      <c r="B1072" s="68"/>
      <c r="C1072"/>
      <c r="D1072"/>
      <c r="E1072"/>
      <c r="F1072"/>
      <c r="G1072"/>
      <c r="H1072"/>
      <c r="I1072"/>
    </row>
    <row r="1073" spans="1:9">
      <c r="A1073"/>
      <c r="B1073" s="68"/>
      <c r="C1073"/>
      <c r="D1073"/>
      <c r="E1073"/>
      <c r="F1073"/>
      <c r="G1073"/>
      <c r="H1073"/>
      <c r="I1073"/>
    </row>
    <row r="1074" spans="1:9">
      <c r="A1074"/>
      <c r="B1074" s="68"/>
      <c r="C1074"/>
      <c r="D1074"/>
      <c r="E1074"/>
      <c r="F1074"/>
      <c r="G1074"/>
      <c r="H1074"/>
      <c r="I1074"/>
    </row>
    <row r="1075" spans="1:9">
      <c r="A1075"/>
      <c r="B1075" s="68"/>
      <c r="C1075"/>
      <c r="D1075"/>
      <c r="E1075"/>
      <c r="F1075"/>
      <c r="G1075"/>
      <c r="H1075"/>
      <c r="I1075"/>
    </row>
    <row r="1076" spans="1:9">
      <c r="A1076"/>
      <c r="B1076" s="68"/>
      <c r="C1076"/>
      <c r="D1076"/>
      <c r="E1076"/>
      <c r="F1076"/>
      <c r="G1076"/>
      <c r="H1076"/>
      <c r="I1076"/>
    </row>
    <row r="1077" spans="1:9">
      <c r="A1077"/>
      <c r="B1077" s="68"/>
      <c r="C1077"/>
      <c r="D1077"/>
      <c r="E1077"/>
      <c r="F1077"/>
      <c r="G1077"/>
      <c r="H1077"/>
      <c r="I1077"/>
    </row>
    <row r="1078" spans="1:9">
      <c r="A1078"/>
      <c r="B1078" s="68"/>
      <c r="C1078"/>
      <c r="D1078"/>
      <c r="E1078"/>
      <c r="F1078"/>
      <c r="G1078"/>
      <c r="H1078"/>
      <c r="I1078"/>
    </row>
    <row r="1079" spans="1:9">
      <c r="A1079"/>
      <c r="B1079" s="68"/>
      <c r="C1079"/>
      <c r="D1079"/>
      <c r="E1079"/>
      <c r="F1079"/>
      <c r="G1079"/>
      <c r="H1079"/>
      <c r="I1079"/>
    </row>
    <row r="1080" spans="1:9">
      <c r="A1080"/>
      <c r="B1080" s="68"/>
      <c r="C1080"/>
      <c r="D1080"/>
      <c r="E1080"/>
      <c r="F1080"/>
      <c r="G1080"/>
      <c r="H1080"/>
      <c r="I1080"/>
    </row>
    <row r="1081" spans="1:9">
      <c r="A1081"/>
      <c r="B1081" s="68"/>
      <c r="C1081"/>
      <c r="D1081"/>
      <c r="E1081"/>
      <c r="F1081"/>
      <c r="G1081"/>
      <c r="H1081"/>
      <c r="I1081"/>
    </row>
    <row r="1082" spans="1:9">
      <c r="A1082"/>
      <c r="B1082" s="68"/>
      <c r="C1082"/>
      <c r="D1082"/>
      <c r="E1082"/>
      <c r="F1082"/>
      <c r="G1082"/>
      <c r="H1082"/>
      <c r="I1082"/>
    </row>
    <row r="1083" spans="1:9">
      <c r="A1083"/>
      <c r="B1083" s="68"/>
      <c r="C1083"/>
      <c r="D1083"/>
      <c r="E1083"/>
      <c r="F1083"/>
      <c r="G1083"/>
      <c r="H1083"/>
      <c r="I1083"/>
    </row>
    <row r="1084" spans="1:9">
      <c r="A1084"/>
      <c r="B1084" s="68"/>
      <c r="C1084"/>
      <c r="D1084"/>
      <c r="E1084"/>
      <c r="F1084"/>
      <c r="G1084"/>
      <c r="H1084"/>
      <c r="I1084"/>
    </row>
    <row r="1085" spans="1:9">
      <c r="A1085"/>
      <c r="B1085" s="68"/>
      <c r="C1085"/>
      <c r="D1085"/>
      <c r="E1085"/>
      <c r="F1085"/>
      <c r="G1085"/>
      <c r="H1085"/>
      <c r="I1085"/>
    </row>
    <row r="1086" spans="1:9">
      <c r="A1086"/>
      <c r="B1086" s="68"/>
      <c r="C1086"/>
      <c r="D1086"/>
      <c r="E1086"/>
      <c r="F1086"/>
      <c r="G1086"/>
      <c r="H1086"/>
      <c r="I1086"/>
    </row>
    <row r="1087" spans="1:9">
      <c r="A1087"/>
      <c r="B1087" s="68"/>
      <c r="C1087"/>
      <c r="D1087"/>
      <c r="E1087"/>
      <c r="F1087"/>
      <c r="G1087"/>
      <c r="H1087"/>
      <c r="I1087"/>
    </row>
    <row r="1088" spans="1:9">
      <c r="A1088"/>
      <c r="B1088" s="68"/>
      <c r="C1088"/>
      <c r="D1088"/>
      <c r="E1088"/>
      <c r="F1088"/>
      <c r="G1088"/>
      <c r="H1088"/>
      <c r="I1088"/>
    </row>
    <row r="1089" spans="1:9">
      <c r="A1089"/>
      <c r="B1089" s="68"/>
      <c r="C1089"/>
      <c r="D1089"/>
      <c r="E1089"/>
      <c r="F1089"/>
      <c r="G1089"/>
      <c r="H1089"/>
      <c r="I1089"/>
    </row>
    <row r="1090" spans="1:9">
      <c r="A1090"/>
      <c r="B1090" s="68"/>
      <c r="C1090"/>
      <c r="D1090"/>
      <c r="E1090"/>
      <c r="F1090"/>
      <c r="G1090"/>
      <c r="H1090"/>
      <c r="I1090"/>
    </row>
    <row r="1091" spans="1:9">
      <c r="A1091"/>
      <c r="B1091" s="68"/>
      <c r="C1091"/>
      <c r="D1091"/>
      <c r="E1091"/>
      <c r="F1091"/>
      <c r="G1091"/>
      <c r="H1091"/>
      <c r="I1091"/>
    </row>
    <row r="1092" spans="1:9">
      <c r="A1092"/>
      <c r="B1092" s="68"/>
      <c r="C1092"/>
      <c r="D1092"/>
      <c r="E1092"/>
      <c r="F1092"/>
      <c r="G1092"/>
      <c r="H1092"/>
      <c r="I1092"/>
    </row>
    <row r="1093" spans="1:9">
      <c r="A1093"/>
      <c r="B1093" s="68"/>
      <c r="C1093"/>
      <c r="D1093"/>
      <c r="E1093"/>
      <c r="F1093"/>
      <c r="G1093"/>
      <c r="H1093"/>
      <c r="I1093"/>
    </row>
    <row r="1094" spans="1:9">
      <c r="A1094"/>
      <c r="B1094" s="68"/>
      <c r="C1094"/>
      <c r="D1094"/>
      <c r="E1094"/>
      <c r="F1094"/>
      <c r="G1094"/>
      <c r="H1094"/>
      <c r="I1094"/>
    </row>
    <row r="1095" spans="1:9">
      <c r="A1095"/>
      <c r="B1095" s="68"/>
      <c r="C1095"/>
      <c r="D1095"/>
      <c r="E1095"/>
      <c r="F1095"/>
      <c r="G1095"/>
      <c r="H1095"/>
      <c r="I1095"/>
    </row>
    <row r="1096" spans="1:9">
      <c r="A1096"/>
      <c r="B1096" s="68"/>
      <c r="C1096"/>
      <c r="D1096"/>
      <c r="E1096"/>
      <c r="F1096"/>
      <c r="G1096"/>
      <c r="H1096"/>
      <c r="I1096"/>
    </row>
    <row r="1097" spans="1:9">
      <c r="A1097"/>
      <c r="B1097" s="68"/>
      <c r="C1097"/>
      <c r="D1097"/>
      <c r="E1097"/>
      <c r="F1097"/>
      <c r="G1097"/>
      <c r="H1097"/>
      <c r="I1097"/>
    </row>
    <row r="1098" spans="1:9">
      <c r="A1098"/>
      <c r="B1098" s="68"/>
      <c r="C1098"/>
      <c r="D1098"/>
      <c r="E1098"/>
      <c r="F1098"/>
      <c r="G1098"/>
      <c r="H1098"/>
      <c r="I1098"/>
    </row>
    <row r="1099" spans="1:9">
      <c r="A1099"/>
      <c r="B1099" s="68"/>
      <c r="C1099"/>
      <c r="D1099"/>
      <c r="E1099"/>
      <c r="F1099"/>
      <c r="G1099"/>
      <c r="H1099"/>
      <c r="I1099"/>
    </row>
    <row r="1100" spans="1:9">
      <c r="A1100"/>
      <c r="B1100" s="68"/>
      <c r="C1100"/>
      <c r="D1100"/>
      <c r="E1100"/>
      <c r="F1100"/>
      <c r="G1100"/>
      <c r="H1100"/>
      <c r="I1100"/>
    </row>
    <row r="1101" spans="1:9">
      <c r="A1101"/>
      <c r="B1101" s="68"/>
      <c r="C1101"/>
      <c r="D1101"/>
      <c r="E1101"/>
      <c r="F1101"/>
      <c r="G1101"/>
      <c r="H1101"/>
      <c r="I1101"/>
    </row>
    <row r="1102" spans="1:9">
      <c r="A1102"/>
      <c r="B1102" s="68"/>
      <c r="C1102"/>
      <c r="D1102"/>
      <c r="E1102"/>
      <c r="F1102"/>
      <c r="G1102"/>
      <c r="H1102"/>
      <c r="I1102"/>
    </row>
    <row r="1103" spans="1:9">
      <c r="A1103"/>
      <c r="B1103" s="68"/>
      <c r="C1103"/>
      <c r="D1103"/>
      <c r="E1103"/>
      <c r="F1103"/>
      <c r="G1103"/>
      <c r="H1103"/>
      <c r="I1103"/>
    </row>
    <row r="1104" spans="1:9">
      <c r="A1104"/>
      <c r="B1104" s="68"/>
      <c r="C1104"/>
      <c r="D1104"/>
      <c r="E1104"/>
      <c r="F1104"/>
      <c r="G1104"/>
      <c r="H1104"/>
      <c r="I1104"/>
    </row>
    <row r="1105" spans="1:9">
      <c r="A1105"/>
      <c r="B1105" s="68"/>
      <c r="C1105"/>
      <c r="D1105"/>
      <c r="E1105"/>
      <c r="F1105"/>
      <c r="G1105"/>
      <c r="H1105"/>
      <c r="I1105"/>
    </row>
    <row r="1106" spans="1:9">
      <c r="A1106"/>
      <c r="B1106" s="68"/>
      <c r="C1106"/>
      <c r="D1106"/>
      <c r="E1106"/>
      <c r="F1106"/>
      <c r="G1106"/>
      <c r="H1106"/>
      <c r="I1106"/>
    </row>
    <row r="1107" spans="1:9">
      <c r="A1107"/>
      <c r="B1107" s="68"/>
      <c r="C1107"/>
      <c r="D1107"/>
      <c r="E1107"/>
      <c r="F1107"/>
      <c r="G1107"/>
      <c r="H1107"/>
      <c r="I1107"/>
    </row>
    <row r="1108" spans="1:9">
      <c r="A1108"/>
      <c r="B1108" s="68"/>
      <c r="C1108"/>
      <c r="D1108"/>
      <c r="E1108"/>
      <c r="F1108"/>
      <c r="G1108"/>
      <c r="H1108"/>
      <c r="I1108"/>
    </row>
    <row r="1109" spans="1:9">
      <c r="A1109"/>
      <c r="B1109" s="68"/>
      <c r="C1109"/>
      <c r="D1109"/>
      <c r="E1109"/>
      <c r="F1109"/>
      <c r="G1109"/>
      <c r="H1109"/>
      <c r="I1109"/>
    </row>
    <row r="1110" spans="1:9">
      <c r="A1110"/>
      <c r="B1110" s="68"/>
      <c r="C1110"/>
      <c r="D1110"/>
      <c r="E1110"/>
      <c r="F1110"/>
      <c r="G1110"/>
      <c r="H1110"/>
      <c r="I1110"/>
    </row>
    <row r="1111" spans="1:9">
      <c r="A1111"/>
      <c r="B1111" s="68"/>
      <c r="C1111"/>
      <c r="D1111"/>
      <c r="E1111"/>
      <c r="F1111"/>
      <c r="G1111"/>
      <c r="H1111"/>
      <c r="I1111"/>
    </row>
    <row r="1112" spans="1:9">
      <c r="A1112"/>
      <c r="B1112" s="68"/>
      <c r="C1112"/>
      <c r="D1112"/>
      <c r="E1112"/>
      <c r="F1112"/>
      <c r="G1112"/>
      <c r="H1112"/>
      <c r="I1112"/>
    </row>
    <row r="1113" spans="1:9">
      <c r="A1113"/>
      <c r="B1113" s="68"/>
      <c r="C1113"/>
      <c r="D1113"/>
      <c r="E1113"/>
      <c r="F1113"/>
      <c r="G1113"/>
      <c r="H1113"/>
      <c r="I1113"/>
    </row>
    <row r="1114" spans="1:9">
      <c r="A1114"/>
      <c r="B1114" s="68"/>
      <c r="C1114"/>
      <c r="D1114"/>
      <c r="E1114"/>
      <c r="F1114"/>
      <c r="G1114"/>
      <c r="H1114"/>
      <c r="I1114"/>
    </row>
    <row r="1115" spans="1:9">
      <c r="A1115"/>
      <c r="B1115" s="68"/>
      <c r="C1115"/>
      <c r="D1115"/>
      <c r="E1115"/>
      <c r="F1115"/>
      <c r="G1115"/>
      <c r="H1115"/>
      <c r="I1115"/>
    </row>
    <row r="1116" spans="1:9">
      <c r="A1116"/>
      <c r="B1116" s="68"/>
      <c r="C1116"/>
      <c r="D1116"/>
      <c r="E1116"/>
      <c r="F1116"/>
      <c r="G1116"/>
      <c r="H1116"/>
      <c r="I1116"/>
    </row>
    <row r="1117" spans="1:9">
      <c r="A1117"/>
      <c r="B1117" s="68"/>
      <c r="C1117"/>
      <c r="D1117"/>
      <c r="E1117"/>
      <c r="F1117"/>
      <c r="G1117"/>
      <c r="H1117"/>
      <c r="I1117"/>
    </row>
    <row r="1118" spans="1:9">
      <c r="A1118"/>
      <c r="B1118" s="68"/>
      <c r="C1118"/>
      <c r="D1118"/>
      <c r="E1118"/>
      <c r="F1118"/>
      <c r="G1118"/>
      <c r="H1118"/>
      <c r="I1118"/>
    </row>
    <row r="1119" spans="1:9">
      <c r="A1119"/>
      <c r="B1119" s="68"/>
      <c r="C1119"/>
      <c r="D1119"/>
      <c r="E1119"/>
      <c r="F1119"/>
      <c r="G1119"/>
      <c r="H1119"/>
      <c r="I1119"/>
    </row>
    <row r="1120" spans="1:9">
      <c r="A1120"/>
      <c r="B1120" s="68"/>
      <c r="C1120"/>
      <c r="D1120"/>
      <c r="E1120"/>
      <c r="F1120"/>
      <c r="G1120"/>
      <c r="H1120"/>
      <c r="I1120"/>
    </row>
    <row r="1121" spans="1:9">
      <c r="A1121"/>
      <c r="B1121" s="68"/>
      <c r="C1121"/>
      <c r="D1121"/>
      <c r="E1121"/>
      <c r="F1121"/>
      <c r="G1121"/>
      <c r="H1121"/>
      <c r="I1121"/>
    </row>
    <row r="1122" spans="1:9">
      <c r="A1122"/>
      <c r="B1122" s="68"/>
      <c r="C1122"/>
      <c r="D1122"/>
      <c r="E1122"/>
      <c r="F1122"/>
      <c r="G1122"/>
      <c r="H1122"/>
      <c r="I1122"/>
    </row>
    <row r="1123" spans="1:9">
      <c r="A1123"/>
      <c r="B1123" s="68"/>
      <c r="C1123"/>
      <c r="D1123"/>
      <c r="E1123"/>
      <c r="F1123"/>
      <c r="G1123"/>
      <c r="H1123"/>
      <c r="I1123"/>
    </row>
    <row r="1124" spans="1:9">
      <c r="A1124"/>
      <c r="B1124" s="68"/>
      <c r="C1124"/>
      <c r="D1124"/>
      <c r="E1124"/>
      <c r="F1124"/>
      <c r="G1124"/>
      <c r="H1124"/>
      <c r="I1124"/>
    </row>
    <row r="1125" spans="1:9">
      <c r="A1125"/>
      <c r="B1125" s="68"/>
      <c r="C1125"/>
      <c r="D1125"/>
      <c r="E1125"/>
      <c r="F1125"/>
      <c r="G1125"/>
      <c r="H1125"/>
      <c r="I1125"/>
    </row>
    <row r="1126" spans="1:9">
      <c r="A1126"/>
      <c r="B1126" s="68"/>
      <c r="C1126"/>
      <c r="D1126"/>
      <c r="E1126"/>
      <c r="F1126"/>
      <c r="G1126"/>
      <c r="H1126"/>
      <c r="I1126"/>
    </row>
    <row r="1127" spans="1:9">
      <c r="A1127"/>
      <c r="B1127" s="68"/>
      <c r="C1127"/>
      <c r="D1127"/>
      <c r="E1127"/>
      <c r="F1127"/>
      <c r="G1127"/>
      <c r="H1127"/>
      <c r="I1127"/>
    </row>
    <row r="1128" spans="1:9">
      <c r="A1128"/>
      <c r="B1128" s="68"/>
      <c r="C1128"/>
      <c r="D1128"/>
      <c r="E1128"/>
      <c r="F1128"/>
      <c r="G1128"/>
      <c r="H1128"/>
      <c r="I1128"/>
    </row>
    <row r="1129" spans="1:9">
      <c r="A1129"/>
      <c r="B1129" s="68"/>
      <c r="C1129"/>
      <c r="D1129"/>
      <c r="E1129"/>
      <c r="F1129"/>
      <c r="G1129"/>
      <c r="H1129"/>
      <c r="I1129"/>
    </row>
    <row r="1130" spans="1:9">
      <c r="A1130"/>
      <c r="B1130" s="68"/>
      <c r="C1130"/>
      <c r="D1130"/>
      <c r="E1130"/>
      <c r="F1130"/>
      <c r="G1130"/>
      <c r="H1130"/>
      <c r="I1130"/>
    </row>
    <row r="1131" spans="1:9">
      <c r="A1131"/>
      <c r="B1131" s="68"/>
      <c r="C1131"/>
      <c r="D1131"/>
      <c r="E1131"/>
      <c r="F1131"/>
      <c r="G1131"/>
      <c r="H1131"/>
      <c r="I1131"/>
    </row>
    <row r="1132" spans="1:9">
      <c r="A1132"/>
      <c r="B1132" s="68"/>
      <c r="C1132"/>
      <c r="D1132"/>
      <c r="E1132"/>
      <c r="F1132"/>
      <c r="G1132"/>
      <c r="H1132"/>
      <c r="I1132"/>
    </row>
    <row r="1133" spans="1:9">
      <c r="A1133"/>
      <c r="B1133" s="68"/>
      <c r="C1133"/>
      <c r="D1133"/>
      <c r="E1133"/>
      <c r="F1133"/>
      <c r="G1133"/>
      <c r="H1133"/>
      <c r="I1133"/>
    </row>
    <row r="1134" spans="1:9">
      <c r="A1134"/>
      <c r="B1134" s="68"/>
      <c r="C1134"/>
      <c r="D1134"/>
      <c r="E1134"/>
      <c r="F1134"/>
      <c r="G1134"/>
      <c r="H1134"/>
      <c r="I1134"/>
    </row>
    <row r="1135" spans="1:9">
      <c r="A1135"/>
      <c r="B1135" s="68"/>
      <c r="C1135"/>
      <c r="D1135"/>
      <c r="E1135"/>
      <c r="F1135"/>
      <c r="G1135"/>
      <c r="H1135"/>
      <c r="I1135"/>
    </row>
    <row r="1136" spans="1:9">
      <c r="A1136"/>
      <c r="B1136" s="68"/>
      <c r="C1136"/>
      <c r="D1136"/>
      <c r="E1136"/>
      <c r="F1136"/>
      <c r="G1136"/>
      <c r="H1136"/>
      <c r="I1136"/>
    </row>
    <row r="1137" spans="1:9">
      <c r="A1137"/>
      <c r="B1137" s="68"/>
      <c r="C1137"/>
      <c r="D1137"/>
      <c r="E1137"/>
      <c r="F1137"/>
      <c r="G1137"/>
      <c r="H1137"/>
      <c r="I1137"/>
    </row>
    <row r="1138" spans="1:9">
      <c r="A1138"/>
      <c r="B1138" s="68"/>
      <c r="C1138"/>
      <c r="D1138"/>
      <c r="E1138"/>
      <c r="F1138"/>
      <c r="G1138"/>
      <c r="H1138"/>
      <c r="I1138"/>
    </row>
    <row r="1139" spans="1:9">
      <c r="A1139"/>
      <c r="B1139" s="68"/>
      <c r="C1139"/>
      <c r="D1139"/>
      <c r="E1139"/>
      <c r="F1139"/>
      <c r="G1139"/>
      <c r="H1139"/>
      <c r="I1139"/>
    </row>
    <row r="1140" spans="1:9">
      <c r="A1140"/>
      <c r="B1140" s="68"/>
      <c r="C1140"/>
      <c r="D1140"/>
      <c r="E1140"/>
      <c r="F1140"/>
      <c r="G1140"/>
      <c r="H1140"/>
      <c r="I1140"/>
    </row>
    <row r="1141" spans="1:9">
      <c r="A1141"/>
      <c r="B1141" s="68"/>
      <c r="C1141"/>
      <c r="D1141"/>
      <c r="E1141"/>
      <c r="F1141"/>
      <c r="G1141"/>
      <c r="H1141"/>
      <c r="I1141"/>
    </row>
    <row r="1142" spans="1:9">
      <c r="A1142"/>
      <c r="B1142" s="68"/>
      <c r="C1142"/>
      <c r="D1142"/>
      <c r="E1142"/>
      <c r="F1142"/>
      <c r="G1142"/>
      <c r="H1142"/>
      <c r="I1142"/>
    </row>
    <row r="1143" spans="1:9">
      <c r="A1143"/>
      <c r="B1143" s="68"/>
      <c r="C1143"/>
      <c r="D1143"/>
      <c r="E1143"/>
      <c r="F1143"/>
      <c r="G1143"/>
      <c r="H1143"/>
      <c r="I1143"/>
    </row>
    <row r="1144" spans="1:9">
      <c r="A1144"/>
      <c r="B1144" s="68"/>
      <c r="C1144"/>
      <c r="D1144"/>
      <c r="E1144"/>
      <c r="F1144"/>
      <c r="G1144"/>
      <c r="H1144"/>
      <c r="I1144"/>
    </row>
    <row r="1145" spans="1:9">
      <c r="A1145"/>
      <c r="B1145" s="68"/>
      <c r="C1145"/>
      <c r="D1145"/>
      <c r="E1145"/>
      <c r="F1145"/>
      <c r="G1145"/>
      <c r="H1145"/>
      <c r="I1145"/>
    </row>
    <row r="1146" spans="1:9">
      <c r="A1146"/>
      <c r="B1146" s="68"/>
      <c r="C1146"/>
      <c r="D1146"/>
      <c r="E1146"/>
      <c r="F1146"/>
      <c r="G1146"/>
      <c r="H1146"/>
      <c r="I1146"/>
    </row>
    <row r="1147" spans="1:9">
      <c r="A1147"/>
      <c r="B1147" s="68"/>
      <c r="C1147"/>
      <c r="D1147"/>
      <c r="E1147"/>
      <c r="F1147"/>
      <c r="G1147"/>
      <c r="H1147"/>
      <c r="I1147"/>
    </row>
    <row r="1148" spans="1:9">
      <c r="A1148"/>
      <c r="B1148" s="68"/>
      <c r="C1148"/>
      <c r="D1148"/>
      <c r="E1148"/>
      <c r="F1148"/>
      <c r="G1148"/>
      <c r="H1148"/>
      <c r="I1148"/>
    </row>
    <row r="1149" spans="1:9">
      <c r="A1149"/>
      <c r="B1149" s="68"/>
      <c r="C1149"/>
      <c r="D1149"/>
      <c r="E1149"/>
      <c r="F1149"/>
      <c r="G1149"/>
      <c r="H1149"/>
      <c r="I1149"/>
    </row>
    <row r="1150" spans="1:9">
      <c r="A1150"/>
      <c r="B1150" s="68"/>
      <c r="C1150"/>
      <c r="D1150"/>
      <c r="E1150"/>
      <c r="F1150"/>
      <c r="G1150"/>
      <c r="H1150"/>
      <c r="I1150"/>
    </row>
    <row r="1151" spans="1:9">
      <c r="A1151"/>
      <c r="B1151" s="68"/>
      <c r="C1151"/>
      <c r="D1151"/>
      <c r="E1151"/>
      <c r="F1151"/>
      <c r="G1151"/>
      <c r="H1151"/>
      <c r="I1151"/>
    </row>
    <row r="1152" spans="1:9">
      <c r="A1152"/>
      <c r="B1152" s="68"/>
      <c r="C1152"/>
      <c r="D1152"/>
      <c r="E1152"/>
      <c r="F1152"/>
      <c r="G1152"/>
      <c r="H1152"/>
      <c r="I1152"/>
    </row>
    <row r="1153" spans="1:9">
      <c r="A1153"/>
      <c r="B1153" s="68"/>
      <c r="C1153"/>
      <c r="D1153"/>
      <c r="E1153"/>
      <c r="F1153"/>
      <c r="G1153"/>
      <c r="H1153"/>
      <c r="I1153"/>
    </row>
    <row r="1154" spans="1:9">
      <c r="A1154"/>
      <c r="B1154" s="68"/>
      <c r="C1154"/>
      <c r="D1154"/>
      <c r="E1154"/>
      <c r="F1154"/>
      <c r="G1154"/>
      <c r="H1154"/>
      <c r="I1154"/>
    </row>
    <row r="1155" spans="1:9">
      <c r="A1155"/>
      <c r="B1155" s="68"/>
      <c r="C1155"/>
      <c r="D1155"/>
      <c r="E1155"/>
      <c r="F1155"/>
      <c r="G1155"/>
      <c r="H1155"/>
      <c r="I1155"/>
    </row>
    <row r="1156" spans="1:9">
      <c r="A1156"/>
      <c r="B1156" s="68"/>
      <c r="C1156"/>
      <c r="D1156"/>
      <c r="E1156"/>
      <c r="F1156"/>
      <c r="G1156"/>
      <c r="H1156"/>
      <c r="I1156"/>
    </row>
    <row r="1157" spans="1:9">
      <c r="A1157"/>
      <c r="B1157" s="68"/>
      <c r="C1157"/>
      <c r="D1157"/>
      <c r="E1157"/>
      <c r="F1157"/>
      <c r="G1157"/>
      <c r="H1157"/>
      <c r="I1157"/>
    </row>
    <row r="1158" spans="1:9">
      <c r="A1158"/>
      <c r="B1158" s="68"/>
      <c r="C1158"/>
      <c r="D1158"/>
      <c r="E1158"/>
      <c r="F1158"/>
      <c r="G1158"/>
      <c r="H1158"/>
      <c r="I1158"/>
    </row>
    <row r="1159" spans="1:9">
      <c r="A1159"/>
      <c r="B1159" s="68"/>
      <c r="C1159"/>
      <c r="D1159"/>
      <c r="E1159"/>
      <c r="F1159"/>
      <c r="G1159"/>
      <c r="H1159"/>
      <c r="I1159"/>
    </row>
    <row r="1160" spans="1:9">
      <c r="A1160"/>
      <c r="B1160" s="68"/>
      <c r="C1160"/>
      <c r="D1160"/>
      <c r="E1160"/>
      <c r="F1160"/>
      <c r="G1160"/>
      <c r="H1160"/>
      <c r="I1160"/>
    </row>
    <row r="1161" spans="1:9">
      <c r="A1161"/>
      <c r="B1161" s="68"/>
      <c r="C1161"/>
      <c r="D1161"/>
      <c r="E1161"/>
      <c r="F1161"/>
      <c r="G1161"/>
      <c r="H1161"/>
      <c r="I1161"/>
    </row>
    <row r="1162" spans="1:9">
      <c r="A1162"/>
      <c r="B1162" s="68"/>
      <c r="C1162"/>
      <c r="D1162"/>
      <c r="E1162"/>
      <c r="F1162"/>
      <c r="G1162"/>
      <c r="H1162"/>
      <c r="I1162"/>
    </row>
    <row r="1163" spans="1:9">
      <c r="A1163"/>
      <c r="B1163" s="68"/>
      <c r="C1163"/>
      <c r="D1163"/>
      <c r="E1163"/>
      <c r="F1163"/>
      <c r="G1163"/>
      <c r="H1163"/>
      <c r="I1163"/>
    </row>
    <row r="1164" spans="1:9">
      <c r="A1164"/>
      <c r="B1164" s="68"/>
      <c r="C1164"/>
      <c r="D1164"/>
      <c r="E1164"/>
      <c r="F1164"/>
      <c r="G1164"/>
      <c r="H1164"/>
      <c r="I1164"/>
    </row>
    <row r="1165" spans="1:9">
      <c r="A1165"/>
      <c r="B1165" s="68"/>
      <c r="C1165"/>
      <c r="D1165"/>
      <c r="E1165"/>
      <c r="F1165"/>
      <c r="G1165"/>
      <c r="H1165"/>
      <c r="I1165"/>
    </row>
    <row r="1166" spans="1:9">
      <c r="A1166"/>
      <c r="B1166" s="68"/>
      <c r="C1166"/>
      <c r="D1166"/>
      <c r="E1166"/>
      <c r="F1166"/>
      <c r="G1166"/>
      <c r="H1166"/>
      <c r="I1166"/>
    </row>
    <row r="1167" spans="1:9">
      <c r="A1167"/>
      <c r="B1167" s="68"/>
      <c r="C1167"/>
      <c r="D1167"/>
      <c r="E1167"/>
      <c r="F1167"/>
      <c r="G1167"/>
      <c r="H1167"/>
      <c r="I1167"/>
    </row>
    <row r="1168" spans="1:9">
      <c r="A1168"/>
      <c r="B1168" s="68"/>
      <c r="C1168"/>
      <c r="D1168"/>
      <c r="E1168"/>
      <c r="F1168"/>
      <c r="G1168"/>
      <c r="H1168"/>
      <c r="I1168"/>
    </row>
    <row r="1169" spans="1:9">
      <c r="A1169"/>
      <c r="B1169" s="68"/>
      <c r="C1169"/>
      <c r="D1169"/>
      <c r="E1169"/>
      <c r="F1169"/>
      <c r="G1169"/>
      <c r="H1169"/>
      <c r="I1169"/>
    </row>
    <row r="1170" spans="1:9">
      <c r="A1170"/>
      <c r="B1170" s="68"/>
      <c r="C1170"/>
      <c r="D1170"/>
      <c r="E1170"/>
      <c r="F1170"/>
      <c r="G1170"/>
      <c r="H1170"/>
      <c r="I1170"/>
    </row>
    <row r="1171" spans="1:9">
      <c r="A1171"/>
      <c r="B1171" s="68"/>
      <c r="C1171"/>
      <c r="D1171"/>
      <c r="E1171"/>
      <c r="F1171"/>
      <c r="G1171"/>
      <c r="H1171"/>
      <c r="I1171"/>
    </row>
    <row r="1172" spans="1:9">
      <c r="A1172"/>
      <c r="B1172" s="68"/>
      <c r="C1172"/>
      <c r="D1172"/>
      <c r="E1172"/>
      <c r="F1172"/>
      <c r="G1172"/>
      <c r="H1172"/>
      <c r="I1172"/>
    </row>
    <row r="1173" spans="1:9">
      <c r="A1173"/>
      <c r="B1173" s="68"/>
      <c r="C1173"/>
      <c r="D1173"/>
      <c r="E1173"/>
      <c r="F1173"/>
      <c r="G1173"/>
      <c r="H1173"/>
      <c r="I1173"/>
    </row>
    <row r="1174" spans="1:9">
      <c r="A1174"/>
      <c r="B1174" s="68"/>
      <c r="C1174"/>
      <c r="D1174"/>
      <c r="E1174"/>
      <c r="F1174"/>
      <c r="G1174"/>
      <c r="H1174"/>
      <c r="I1174"/>
    </row>
    <row r="1175" spans="1:9">
      <c r="A1175"/>
      <c r="B1175" s="68"/>
      <c r="C1175"/>
      <c r="D1175"/>
      <c r="E1175"/>
      <c r="F1175"/>
      <c r="G1175"/>
      <c r="H1175"/>
      <c r="I1175"/>
    </row>
    <row r="1176" spans="1:9">
      <c r="A1176"/>
      <c r="B1176" s="68"/>
      <c r="C1176"/>
      <c r="D1176"/>
      <c r="E1176"/>
      <c r="F1176"/>
      <c r="G1176"/>
      <c r="H1176"/>
      <c r="I1176"/>
    </row>
    <row r="1177" spans="1:9">
      <c r="A1177"/>
      <c r="B1177" s="68"/>
      <c r="C1177"/>
      <c r="D1177"/>
      <c r="E1177"/>
      <c r="F1177"/>
      <c r="G1177"/>
      <c r="H1177"/>
      <c r="I1177"/>
    </row>
    <row r="1178" spans="1:9">
      <c r="A1178"/>
      <c r="B1178" s="68"/>
      <c r="C1178"/>
      <c r="D1178"/>
      <c r="E1178"/>
      <c r="F1178"/>
      <c r="G1178"/>
      <c r="H1178"/>
      <c r="I1178"/>
    </row>
    <row r="1179" spans="1:9">
      <c r="A1179"/>
      <c r="B1179" s="68"/>
      <c r="C1179"/>
      <c r="D1179"/>
      <c r="E1179"/>
      <c r="F1179"/>
      <c r="G1179"/>
      <c r="H1179"/>
      <c r="I1179"/>
    </row>
    <row r="1180" spans="1:9">
      <c r="A1180"/>
      <c r="B1180" s="68"/>
      <c r="C1180"/>
      <c r="D1180"/>
      <c r="E1180"/>
      <c r="F1180"/>
      <c r="G1180"/>
      <c r="H1180"/>
      <c r="I1180"/>
    </row>
    <row r="1181" spans="1:9">
      <c r="A1181"/>
      <c r="B1181" s="68"/>
      <c r="C1181"/>
      <c r="D1181"/>
      <c r="E1181"/>
      <c r="F1181"/>
      <c r="G1181"/>
      <c r="H1181"/>
      <c r="I1181"/>
    </row>
    <row r="1182" spans="1:9">
      <c r="A1182"/>
      <c r="B1182" s="68"/>
      <c r="C1182"/>
      <c r="D1182"/>
      <c r="E1182"/>
      <c r="F1182"/>
      <c r="G1182"/>
      <c r="H1182"/>
      <c r="I1182"/>
    </row>
    <row r="1183" spans="1:9">
      <c r="A1183"/>
      <c r="B1183" s="68"/>
      <c r="C1183"/>
      <c r="D1183"/>
      <c r="E1183"/>
      <c r="F1183"/>
      <c r="G1183"/>
      <c r="H1183"/>
      <c r="I1183"/>
    </row>
    <row r="1184" spans="1:9">
      <c r="A1184"/>
      <c r="B1184" s="68"/>
      <c r="C1184"/>
      <c r="D1184"/>
      <c r="E1184"/>
      <c r="F1184"/>
      <c r="G1184"/>
      <c r="H1184"/>
      <c r="I1184"/>
    </row>
    <row r="1185" spans="1:9">
      <c r="A1185"/>
      <c r="B1185" s="68"/>
      <c r="C1185"/>
      <c r="D1185"/>
      <c r="E1185"/>
      <c r="F1185"/>
      <c r="G1185"/>
      <c r="H1185"/>
      <c r="I1185"/>
    </row>
    <row r="1186" spans="1:9">
      <c r="A1186"/>
      <c r="B1186" s="68"/>
      <c r="C1186"/>
      <c r="D1186"/>
      <c r="E1186"/>
      <c r="F1186"/>
      <c r="G1186"/>
      <c r="H1186"/>
      <c r="I1186"/>
    </row>
    <row r="1187" spans="1:9">
      <c r="A1187"/>
      <c r="B1187" s="68"/>
      <c r="C1187"/>
      <c r="D1187"/>
      <c r="E1187"/>
      <c r="F1187"/>
      <c r="G1187"/>
      <c r="H1187"/>
      <c r="I1187"/>
    </row>
    <row r="1188" spans="1:9">
      <c r="A1188"/>
      <c r="B1188" s="68"/>
      <c r="C1188"/>
      <c r="D1188"/>
      <c r="E1188"/>
      <c r="F1188"/>
      <c r="G1188"/>
      <c r="H1188"/>
      <c r="I1188"/>
    </row>
    <row r="1189" spans="1:9">
      <c r="A1189"/>
      <c r="B1189" s="68"/>
      <c r="C1189"/>
      <c r="D1189"/>
      <c r="E1189"/>
      <c r="F1189"/>
      <c r="G1189"/>
      <c r="H1189"/>
      <c r="I1189"/>
    </row>
    <row r="1190" spans="1:9">
      <c r="A1190"/>
      <c r="B1190" s="68"/>
      <c r="C1190"/>
      <c r="D1190"/>
      <c r="E1190"/>
      <c r="F1190"/>
      <c r="G1190"/>
      <c r="H1190"/>
      <c r="I1190"/>
    </row>
    <row r="1191" spans="1:9">
      <c r="A1191"/>
      <c r="B1191" s="68"/>
      <c r="C1191"/>
      <c r="D1191"/>
      <c r="E1191"/>
      <c r="F1191"/>
      <c r="G1191"/>
      <c r="H1191"/>
      <c r="I1191"/>
    </row>
    <row r="1192" spans="1:9">
      <c r="A1192"/>
      <c r="B1192" s="68"/>
      <c r="C1192"/>
      <c r="D1192"/>
      <c r="E1192"/>
      <c r="F1192"/>
      <c r="G1192"/>
      <c r="H1192"/>
      <c r="I1192"/>
    </row>
    <row r="1193" spans="1:9">
      <c r="A1193"/>
      <c r="B1193" s="68"/>
      <c r="C1193"/>
      <c r="D1193"/>
      <c r="E1193"/>
      <c r="F1193"/>
      <c r="G1193"/>
      <c r="H1193"/>
      <c r="I1193"/>
    </row>
    <row r="1194" spans="1:9">
      <c r="A1194"/>
      <c r="B1194" s="68"/>
      <c r="C1194"/>
      <c r="D1194"/>
      <c r="E1194"/>
      <c r="F1194"/>
      <c r="G1194"/>
      <c r="H1194"/>
      <c r="I1194"/>
    </row>
    <row r="1195" spans="1:9">
      <c r="A1195"/>
      <c r="B1195" s="68"/>
      <c r="C1195"/>
      <c r="D1195"/>
      <c r="E1195"/>
      <c r="F1195"/>
      <c r="G1195"/>
      <c r="H1195"/>
      <c r="I1195"/>
    </row>
    <row r="1196" spans="1:9">
      <c r="A1196"/>
      <c r="B1196" s="68"/>
      <c r="C1196"/>
      <c r="D1196"/>
      <c r="E1196"/>
      <c r="F1196"/>
      <c r="G1196"/>
      <c r="H1196"/>
      <c r="I1196"/>
    </row>
    <row r="1197" spans="1:9">
      <c r="A1197"/>
      <c r="B1197" s="68"/>
      <c r="C1197"/>
      <c r="D1197"/>
      <c r="E1197"/>
      <c r="F1197"/>
      <c r="G1197"/>
      <c r="H1197"/>
      <c r="I1197"/>
    </row>
    <row r="1198" spans="1:9">
      <c r="A1198"/>
      <c r="B1198" s="68"/>
      <c r="C1198"/>
      <c r="D1198"/>
      <c r="E1198"/>
      <c r="F1198"/>
      <c r="G1198"/>
      <c r="H1198"/>
      <c r="I1198"/>
    </row>
    <row r="1199" spans="1:9">
      <c r="A1199"/>
      <c r="B1199" s="68"/>
      <c r="C1199"/>
      <c r="D1199"/>
      <c r="E1199"/>
      <c r="F1199"/>
      <c r="G1199"/>
      <c r="H1199"/>
      <c r="I1199"/>
    </row>
    <row r="1200" spans="1:9">
      <c r="A1200"/>
      <c r="B1200" s="68"/>
      <c r="C1200"/>
      <c r="D1200"/>
      <c r="E1200"/>
      <c r="F1200"/>
      <c r="G1200"/>
      <c r="H1200"/>
      <c r="I1200"/>
    </row>
    <row r="1201" spans="1:9">
      <c r="A1201"/>
      <c r="B1201" s="68"/>
      <c r="C1201"/>
      <c r="D1201"/>
      <c r="E1201"/>
      <c r="F1201"/>
      <c r="G1201"/>
      <c r="H1201"/>
      <c r="I1201"/>
    </row>
    <row r="1202" spans="1:9">
      <c r="A1202"/>
      <c r="B1202" s="68"/>
      <c r="C1202"/>
      <c r="D1202"/>
      <c r="E1202"/>
      <c r="F1202"/>
      <c r="G1202"/>
      <c r="H1202"/>
      <c r="I1202"/>
    </row>
    <row r="1203" spans="1:9">
      <c r="A1203"/>
      <c r="B1203" s="68"/>
      <c r="C1203"/>
      <c r="D1203"/>
      <c r="E1203"/>
      <c r="F1203"/>
      <c r="G1203"/>
      <c r="H1203"/>
      <c r="I1203"/>
    </row>
    <row r="1204" spans="1:9">
      <c r="A1204"/>
      <c r="B1204" s="68"/>
      <c r="C1204"/>
      <c r="D1204"/>
      <c r="E1204"/>
      <c r="F1204"/>
      <c r="G1204"/>
      <c r="H1204"/>
      <c r="I1204"/>
    </row>
    <row r="1205" spans="1:9">
      <c r="A1205"/>
      <c r="B1205" s="68"/>
      <c r="C1205"/>
      <c r="D1205"/>
      <c r="E1205"/>
      <c r="F1205"/>
      <c r="G1205"/>
      <c r="H1205"/>
      <c r="I1205"/>
    </row>
    <row r="1206" spans="1:9">
      <c r="A1206"/>
      <c r="B1206" s="68"/>
      <c r="C1206"/>
      <c r="D1206"/>
      <c r="E1206"/>
      <c r="F1206"/>
      <c r="G1206"/>
      <c r="H1206"/>
      <c r="I1206"/>
    </row>
    <row r="1207" spans="1:9">
      <c r="A1207"/>
      <c r="B1207" s="68"/>
      <c r="C1207"/>
      <c r="D1207"/>
      <c r="E1207"/>
      <c r="F1207"/>
      <c r="G1207"/>
      <c r="H1207"/>
      <c r="I1207"/>
    </row>
    <row r="1208" spans="1:9">
      <c r="A1208"/>
      <c r="B1208" s="68"/>
      <c r="C1208"/>
      <c r="D1208"/>
      <c r="E1208"/>
      <c r="F1208"/>
      <c r="G1208"/>
      <c r="H1208"/>
      <c r="I1208"/>
    </row>
    <row r="1209" spans="1:9">
      <c r="A1209"/>
      <c r="B1209" s="68"/>
      <c r="C1209"/>
      <c r="D1209"/>
      <c r="E1209"/>
      <c r="F1209"/>
      <c r="G1209"/>
      <c r="H1209"/>
      <c r="I1209"/>
    </row>
    <row r="1210" spans="1:9">
      <c r="A1210"/>
      <c r="B1210" s="68"/>
      <c r="C1210"/>
      <c r="D1210"/>
      <c r="E1210"/>
      <c r="F1210"/>
      <c r="G1210"/>
      <c r="H1210"/>
      <c r="I1210"/>
    </row>
    <row r="1211" spans="1:9">
      <c r="A1211"/>
      <c r="B1211" s="68"/>
      <c r="C1211"/>
      <c r="D1211"/>
      <c r="E1211"/>
      <c r="F1211"/>
      <c r="G1211"/>
      <c r="H1211"/>
      <c r="I1211"/>
    </row>
    <row r="1212" spans="1:9">
      <c r="A1212"/>
      <c r="B1212" s="68"/>
      <c r="C1212"/>
      <c r="D1212"/>
      <c r="E1212"/>
      <c r="F1212"/>
      <c r="G1212"/>
      <c r="H1212"/>
      <c r="I1212"/>
    </row>
    <row r="1213" spans="1:9">
      <c r="A1213"/>
      <c r="B1213" s="68"/>
      <c r="C1213"/>
      <c r="D1213"/>
      <c r="E1213"/>
      <c r="F1213"/>
      <c r="G1213"/>
      <c r="H1213"/>
      <c r="I1213"/>
    </row>
    <row r="1214" spans="1:9">
      <c r="A1214"/>
      <c r="B1214" s="68"/>
      <c r="C1214"/>
      <c r="D1214"/>
      <c r="E1214"/>
      <c r="F1214"/>
      <c r="G1214"/>
      <c r="H1214"/>
      <c r="I1214"/>
    </row>
    <row r="1215" spans="1:9">
      <c r="A1215"/>
      <c r="B1215" s="68"/>
      <c r="C1215"/>
      <c r="D1215"/>
      <c r="E1215"/>
      <c r="F1215"/>
      <c r="G1215"/>
      <c r="H1215"/>
      <c r="I1215"/>
    </row>
    <row r="1216" spans="1:9">
      <c r="A1216"/>
      <c r="B1216" s="68"/>
      <c r="C1216"/>
      <c r="D1216"/>
      <c r="E1216"/>
      <c r="F1216"/>
      <c r="G1216"/>
      <c r="H1216"/>
      <c r="I1216"/>
    </row>
    <row r="1217" spans="1:9">
      <c r="A1217"/>
      <c r="B1217" s="68"/>
      <c r="C1217"/>
      <c r="D1217"/>
      <c r="E1217"/>
      <c r="F1217"/>
      <c r="G1217"/>
      <c r="H1217"/>
      <c r="I1217"/>
    </row>
    <row r="1218" spans="1:9">
      <c r="A1218"/>
      <c r="B1218" s="68"/>
      <c r="C1218"/>
      <c r="D1218"/>
      <c r="E1218"/>
      <c r="F1218"/>
      <c r="G1218"/>
      <c r="H1218"/>
      <c r="I1218"/>
    </row>
    <row r="1219" spans="1:9">
      <c r="A1219"/>
      <c r="B1219" s="68"/>
      <c r="C1219"/>
      <c r="D1219"/>
      <c r="E1219"/>
      <c r="F1219"/>
      <c r="G1219"/>
      <c r="H1219"/>
      <c r="I1219"/>
    </row>
    <row r="1220" spans="1:9">
      <c r="A1220"/>
      <c r="B1220" s="68"/>
      <c r="C1220"/>
      <c r="D1220"/>
      <c r="E1220"/>
      <c r="F1220"/>
      <c r="G1220"/>
      <c r="H1220"/>
      <c r="I1220"/>
    </row>
    <row r="1221" spans="1:9">
      <c r="A1221"/>
      <c r="B1221" s="68"/>
      <c r="C1221"/>
      <c r="D1221"/>
      <c r="E1221"/>
      <c r="F1221"/>
      <c r="G1221"/>
      <c r="H1221"/>
      <c r="I1221"/>
    </row>
    <row r="1222" spans="1:9">
      <c r="A1222"/>
      <c r="B1222" s="68"/>
      <c r="C1222"/>
      <c r="D1222"/>
      <c r="E1222"/>
      <c r="F1222"/>
      <c r="G1222"/>
      <c r="H1222"/>
      <c r="I1222"/>
    </row>
    <row r="1223" spans="1:9">
      <c r="A1223"/>
      <c r="B1223" s="68"/>
      <c r="C1223"/>
      <c r="D1223"/>
      <c r="E1223"/>
      <c r="F1223"/>
      <c r="G1223"/>
      <c r="H1223"/>
      <c r="I1223"/>
    </row>
    <row r="1224" spans="1:9">
      <c r="A1224"/>
      <c r="B1224" s="68"/>
      <c r="C1224"/>
      <c r="D1224"/>
      <c r="E1224"/>
      <c r="F1224"/>
      <c r="G1224"/>
      <c r="H1224"/>
      <c r="I1224"/>
    </row>
    <row r="1225" spans="1:9">
      <c r="A1225"/>
      <c r="B1225" s="68"/>
      <c r="C1225"/>
      <c r="D1225"/>
      <c r="E1225"/>
      <c r="F1225"/>
      <c r="G1225"/>
      <c r="H1225"/>
      <c r="I1225"/>
    </row>
    <row r="1226" spans="1:9">
      <c r="A1226"/>
      <c r="B1226" s="68"/>
      <c r="C1226"/>
      <c r="D1226"/>
      <c r="E1226"/>
      <c r="F1226"/>
      <c r="G1226"/>
      <c r="H1226"/>
      <c r="I1226"/>
    </row>
    <row r="1227" spans="1:9">
      <c r="A1227"/>
      <c r="B1227" s="68"/>
      <c r="C1227"/>
      <c r="D1227"/>
      <c r="E1227"/>
      <c r="F1227"/>
      <c r="G1227"/>
      <c r="H1227"/>
      <c r="I1227"/>
    </row>
    <row r="1228" spans="1:9">
      <c r="A1228"/>
      <c r="B1228" s="68"/>
      <c r="C1228"/>
      <c r="D1228"/>
      <c r="E1228"/>
      <c r="F1228"/>
      <c r="G1228"/>
      <c r="H1228"/>
      <c r="I1228"/>
    </row>
    <row r="1229" spans="1:9">
      <c r="A1229"/>
      <c r="B1229" s="68"/>
      <c r="C1229"/>
      <c r="D1229"/>
      <c r="E1229"/>
      <c r="F1229"/>
      <c r="G1229"/>
      <c r="H1229"/>
      <c r="I1229"/>
    </row>
    <row r="1230" spans="1:9">
      <c r="A1230"/>
      <c r="B1230" s="68"/>
      <c r="C1230"/>
      <c r="D1230"/>
      <c r="E1230"/>
      <c r="F1230"/>
      <c r="G1230"/>
      <c r="H1230"/>
      <c r="I1230"/>
    </row>
    <row r="1231" spans="1:9">
      <c r="A1231"/>
      <c r="B1231" s="68"/>
      <c r="C1231"/>
      <c r="D1231"/>
      <c r="E1231"/>
      <c r="F1231"/>
      <c r="G1231"/>
      <c r="H1231"/>
      <c r="I1231"/>
    </row>
    <row r="1232" spans="1:9">
      <c r="A1232"/>
      <c r="B1232" s="68"/>
      <c r="C1232"/>
      <c r="D1232"/>
      <c r="E1232"/>
      <c r="F1232"/>
      <c r="G1232"/>
      <c r="H1232"/>
      <c r="I1232"/>
    </row>
    <row r="1233" spans="1:9">
      <c r="A1233"/>
      <c r="B1233" s="68"/>
      <c r="C1233"/>
      <c r="D1233"/>
      <c r="E1233"/>
      <c r="F1233"/>
      <c r="G1233"/>
      <c r="H1233"/>
      <c r="I1233"/>
    </row>
    <row r="1234" spans="1:9">
      <c r="A1234"/>
      <c r="B1234" s="68"/>
      <c r="C1234"/>
      <c r="D1234"/>
      <c r="E1234"/>
      <c r="F1234"/>
      <c r="G1234"/>
      <c r="H1234"/>
      <c r="I1234"/>
    </row>
    <row r="1235" spans="1:9">
      <c r="A1235"/>
      <c r="B1235" s="68"/>
      <c r="C1235"/>
      <c r="D1235"/>
      <c r="E1235"/>
      <c r="F1235"/>
      <c r="G1235"/>
      <c r="H1235"/>
      <c r="I1235"/>
    </row>
    <row r="1236" spans="1:9">
      <c r="A1236"/>
      <c r="B1236" s="68"/>
      <c r="C1236"/>
      <c r="D1236"/>
      <c r="E1236"/>
      <c r="F1236"/>
      <c r="G1236"/>
      <c r="H1236"/>
      <c r="I1236"/>
    </row>
    <row r="1237" spans="1:9">
      <c r="A1237"/>
      <c r="B1237" s="68"/>
      <c r="C1237"/>
      <c r="D1237"/>
      <c r="E1237"/>
      <c r="F1237"/>
      <c r="G1237"/>
      <c r="H1237"/>
      <c r="I1237"/>
    </row>
    <row r="1238" spans="1:9">
      <c r="A1238"/>
      <c r="B1238" s="68"/>
      <c r="C1238"/>
      <c r="D1238"/>
      <c r="E1238"/>
      <c r="F1238"/>
      <c r="G1238"/>
      <c r="H1238"/>
      <c r="I1238"/>
    </row>
    <row r="1239" spans="1:9">
      <c r="A1239"/>
      <c r="B1239" s="68"/>
      <c r="C1239"/>
      <c r="D1239"/>
      <c r="E1239"/>
      <c r="F1239"/>
      <c r="G1239"/>
      <c r="H1239"/>
      <c r="I1239"/>
    </row>
    <row r="1240" spans="1:9">
      <c r="A1240"/>
      <c r="B1240" s="68"/>
      <c r="C1240"/>
      <c r="D1240"/>
      <c r="E1240"/>
      <c r="F1240"/>
      <c r="G1240"/>
      <c r="H1240"/>
      <c r="I1240"/>
    </row>
    <row r="1241" spans="1:9">
      <c r="A1241"/>
      <c r="B1241" s="68"/>
      <c r="C1241"/>
      <c r="D1241"/>
      <c r="E1241"/>
      <c r="F1241"/>
      <c r="G1241"/>
      <c r="H1241"/>
      <c r="I1241"/>
    </row>
    <row r="1242" spans="1:9">
      <c r="A1242"/>
      <c r="B1242" s="68"/>
      <c r="C1242"/>
      <c r="D1242"/>
      <c r="E1242"/>
      <c r="F1242"/>
      <c r="G1242"/>
      <c r="H1242"/>
      <c r="I1242"/>
    </row>
    <row r="1243" spans="1:9">
      <c r="A1243"/>
      <c r="B1243" s="68"/>
      <c r="C1243"/>
      <c r="D1243"/>
      <c r="E1243"/>
      <c r="F1243"/>
      <c r="G1243"/>
      <c r="H1243"/>
      <c r="I1243"/>
    </row>
    <row r="1244" spans="1:9">
      <c r="A1244"/>
      <c r="B1244" s="68"/>
      <c r="C1244"/>
      <c r="D1244"/>
      <c r="E1244"/>
      <c r="F1244"/>
      <c r="G1244"/>
      <c r="H1244"/>
      <c r="I1244"/>
    </row>
    <row r="1245" spans="1:9">
      <c r="A1245"/>
      <c r="B1245" s="68"/>
      <c r="C1245"/>
      <c r="D1245"/>
      <c r="E1245"/>
      <c r="F1245"/>
      <c r="G1245"/>
      <c r="H1245"/>
      <c r="I1245"/>
    </row>
    <row r="1246" spans="1:9">
      <c r="A1246"/>
      <c r="B1246" s="68"/>
      <c r="C1246"/>
      <c r="D1246"/>
      <c r="E1246"/>
      <c r="F1246"/>
      <c r="G1246"/>
      <c r="H1246"/>
      <c r="I1246"/>
    </row>
    <row r="1247" spans="1:9">
      <c r="A1247"/>
      <c r="B1247" s="68"/>
      <c r="C1247"/>
      <c r="D1247"/>
      <c r="E1247"/>
      <c r="F1247"/>
      <c r="G1247"/>
      <c r="H1247"/>
      <c r="I1247"/>
    </row>
    <row r="1248" spans="1:9">
      <c r="A1248"/>
      <c r="B1248" s="68"/>
      <c r="C1248"/>
      <c r="D1248"/>
      <c r="E1248"/>
      <c r="F1248"/>
      <c r="G1248"/>
      <c r="H1248"/>
      <c r="I1248"/>
    </row>
    <row r="1249" spans="1:9">
      <c r="A1249"/>
      <c r="B1249" s="68"/>
      <c r="C1249"/>
      <c r="D1249"/>
      <c r="E1249"/>
      <c r="F1249"/>
      <c r="G1249"/>
      <c r="H1249"/>
      <c r="I1249"/>
    </row>
    <row r="1250" spans="1:9">
      <c r="A1250"/>
      <c r="B1250" s="68"/>
      <c r="C1250"/>
      <c r="D1250"/>
      <c r="E1250"/>
      <c r="F1250"/>
      <c r="G1250"/>
      <c r="H1250"/>
      <c r="I1250"/>
    </row>
    <row r="1251" spans="1:9">
      <c r="A1251"/>
      <c r="B1251" s="68"/>
      <c r="C1251"/>
      <c r="D1251"/>
      <c r="E1251"/>
      <c r="F1251"/>
      <c r="G1251"/>
      <c r="H1251"/>
      <c r="I1251"/>
    </row>
    <row r="1252" spans="1:9">
      <c r="A1252"/>
      <c r="B1252" s="68"/>
      <c r="C1252"/>
      <c r="D1252"/>
      <c r="E1252"/>
      <c r="F1252"/>
      <c r="G1252"/>
      <c r="H1252"/>
      <c r="I1252"/>
    </row>
    <row r="1253" spans="1:9">
      <c r="A1253"/>
      <c r="B1253" s="68"/>
      <c r="C1253"/>
      <c r="D1253"/>
      <c r="E1253"/>
      <c r="F1253"/>
      <c r="G1253"/>
      <c r="H1253"/>
      <c r="I1253"/>
    </row>
    <row r="1254" spans="1:9">
      <c r="A1254"/>
      <c r="B1254" s="68"/>
      <c r="C1254"/>
      <c r="D1254"/>
      <c r="E1254"/>
      <c r="F1254"/>
      <c r="G1254"/>
      <c r="H1254"/>
      <c r="I1254"/>
    </row>
    <row r="1255" spans="1:9">
      <c r="A1255"/>
      <c r="B1255" s="68"/>
      <c r="C1255"/>
      <c r="D1255"/>
      <c r="E1255"/>
      <c r="F1255"/>
      <c r="G1255"/>
      <c r="H1255"/>
      <c r="I1255"/>
    </row>
    <row r="1256" spans="1:9">
      <c r="A1256"/>
      <c r="B1256" s="68"/>
      <c r="C1256"/>
      <c r="D1256"/>
      <c r="E1256"/>
      <c r="F1256"/>
      <c r="G1256"/>
      <c r="H1256"/>
      <c r="I1256"/>
    </row>
    <row r="1257" spans="1:9">
      <c r="A1257"/>
      <c r="B1257" s="68"/>
      <c r="C1257"/>
      <c r="D1257"/>
      <c r="E1257"/>
      <c r="F1257"/>
      <c r="G1257"/>
      <c r="H1257"/>
      <c r="I1257"/>
    </row>
    <row r="1258" spans="1:9">
      <c r="A1258"/>
      <c r="B1258" s="68"/>
      <c r="C1258"/>
      <c r="D1258"/>
      <c r="E1258"/>
      <c r="F1258"/>
      <c r="G1258"/>
      <c r="H1258"/>
      <c r="I1258"/>
    </row>
    <row r="1259" spans="1:9">
      <c r="A1259"/>
      <c r="B1259" s="68"/>
      <c r="C1259"/>
      <c r="D1259"/>
      <c r="E1259"/>
      <c r="F1259"/>
      <c r="G1259"/>
      <c r="H1259"/>
      <c r="I1259"/>
    </row>
    <row r="1260" spans="1:9">
      <c r="A1260"/>
      <c r="B1260" s="68"/>
      <c r="C1260"/>
      <c r="D1260"/>
      <c r="E1260"/>
      <c r="F1260"/>
      <c r="G1260"/>
      <c r="H1260"/>
      <c r="I1260"/>
    </row>
    <row r="1261" spans="1:9">
      <c r="A1261"/>
      <c r="B1261" s="68"/>
      <c r="C1261"/>
      <c r="D1261"/>
      <c r="E1261"/>
      <c r="F1261"/>
      <c r="G1261"/>
      <c r="H1261"/>
      <c r="I1261"/>
    </row>
    <row r="1262" spans="1:9">
      <c r="A1262"/>
      <c r="B1262" s="68"/>
      <c r="C1262"/>
      <c r="D1262"/>
      <c r="E1262"/>
      <c r="F1262"/>
      <c r="G1262"/>
      <c r="H1262"/>
      <c r="I1262"/>
    </row>
    <row r="1263" spans="1:9">
      <c r="A1263"/>
      <c r="B1263" s="68"/>
      <c r="C1263"/>
      <c r="D1263"/>
      <c r="E1263"/>
      <c r="F1263"/>
      <c r="G1263"/>
      <c r="H1263"/>
      <c r="I1263"/>
    </row>
    <row r="1264" spans="1:9">
      <c r="A1264"/>
      <c r="B1264" s="68"/>
      <c r="C1264"/>
      <c r="D1264"/>
      <c r="E1264"/>
      <c r="F1264"/>
      <c r="G1264"/>
      <c r="H1264"/>
      <c r="I1264"/>
    </row>
    <row r="1265" spans="1:9">
      <c r="A1265"/>
      <c r="B1265" s="68"/>
      <c r="C1265"/>
      <c r="D1265"/>
      <c r="E1265"/>
      <c r="F1265"/>
      <c r="G1265"/>
      <c r="H1265"/>
      <c r="I1265"/>
    </row>
    <row r="1266" spans="1:9">
      <c r="A1266"/>
      <c r="B1266" s="68"/>
      <c r="C1266"/>
      <c r="D1266"/>
      <c r="E1266"/>
      <c r="F1266"/>
      <c r="G1266"/>
      <c r="H1266"/>
      <c r="I1266"/>
    </row>
    <row r="1267" spans="1:9">
      <c r="A1267"/>
      <c r="B1267" s="68"/>
      <c r="C1267"/>
      <c r="D1267"/>
      <c r="E1267"/>
      <c r="F1267"/>
      <c r="G1267"/>
      <c r="H1267"/>
      <c r="I1267"/>
    </row>
    <row r="1268" spans="1:9">
      <c r="A1268"/>
      <c r="B1268" s="68"/>
      <c r="C1268"/>
      <c r="D1268"/>
      <c r="E1268"/>
      <c r="F1268"/>
      <c r="G1268"/>
      <c r="H1268"/>
      <c r="I1268"/>
    </row>
    <row r="1269" spans="1:9">
      <c r="A1269"/>
      <c r="B1269" s="68"/>
      <c r="C1269"/>
      <c r="D1269"/>
      <c r="E1269"/>
      <c r="F1269"/>
      <c r="G1269"/>
      <c r="H1269"/>
      <c r="I1269"/>
    </row>
    <row r="1270" spans="1:9">
      <c r="A1270"/>
      <c r="B1270" s="68"/>
      <c r="C1270"/>
      <c r="D1270"/>
      <c r="E1270"/>
      <c r="F1270"/>
      <c r="G1270"/>
      <c r="H1270"/>
      <c r="I1270"/>
    </row>
    <row r="1271" spans="1:9">
      <c r="A1271"/>
      <c r="B1271" s="68"/>
      <c r="C1271"/>
      <c r="D1271"/>
      <c r="E1271"/>
      <c r="F1271"/>
      <c r="G1271"/>
      <c r="H1271"/>
      <c r="I1271"/>
    </row>
    <row r="1272" spans="1:9">
      <c r="A1272"/>
      <c r="B1272" s="68"/>
      <c r="C1272"/>
      <c r="D1272"/>
      <c r="E1272"/>
      <c r="F1272"/>
      <c r="G1272"/>
      <c r="H1272"/>
      <c r="I1272"/>
    </row>
    <row r="1273" spans="1:9">
      <c r="A1273"/>
      <c r="B1273" s="68"/>
      <c r="C1273"/>
      <c r="D1273"/>
      <c r="E1273"/>
      <c r="F1273"/>
      <c r="G1273"/>
      <c r="H1273"/>
      <c r="I1273"/>
    </row>
    <row r="1274" spans="1:9">
      <c r="A1274"/>
      <c r="B1274" s="68"/>
      <c r="C1274"/>
      <c r="D1274"/>
      <c r="E1274"/>
      <c r="F1274"/>
      <c r="G1274"/>
      <c r="H1274"/>
      <c r="I1274"/>
    </row>
    <row r="1275" spans="1:9">
      <c r="A1275"/>
      <c r="B1275" s="68"/>
      <c r="C1275"/>
      <c r="D1275"/>
      <c r="E1275"/>
      <c r="F1275"/>
      <c r="G1275"/>
      <c r="H1275"/>
      <c r="I1275"/>
    </row>
    <row r="1276" spans="1:9">
      <c r="A1276"/>
      <c r="B1276" s="68"/>
      <c r="C1276"/>
      <c r="D1276"/>
      <c r="E1276"/>
      <c r="F1276"/>
      <c r="G1276"/>
      <c r="H1276"/>
      <c r="I1276"/>
    </row>
    <row r="1277" spans="1:9">
      <c r="A1277"/>
      <c r="B1277" s="68"/>
      <c r="C1277"/>
      <c r="D1277"/>
      <c r="E1277"/>
      <c r="F1277"/>
      <c r="G1277"/>
      <c r="H1277"/>
      <c r="I1277"/>
    </row>
    <row r="1278" spans="1:9">
      <c r="A1278"/>
      <c r="B1278" s="68"/>
      <c r="C1278"/>
      <c r="D1278"/>
      <c r="E1278"/>
      <c r="F1278"/>
      <c r="G1278"/>
      <c r="H1278"/>
      <c r="I1278"/>
    </row>
    <row r="1279" spans="1:9">
      <c r="A1279"/>
      <c r="B1279" s="68"/>
      <c r="C1279"/>
      <c r="D1279"/>
      <c r="E1279"/>
      <c r="F1279"/>
      <c r="G1279"/>
      <c r="H1279"/>
      <c r="I1279"/>
    </row>
    <row r="1280" spans="1:9">
      <c r="A1280"/>
      <c r="B1280" s="68"/>
      <c r="C1280"/>
      <c r="D1280"/>
      <c r="E1280"/>
      <c r="F1280"/>
      <c r="G1280"/>
      <c r="H1280"/>
      <c r="I1280"/>
    </row>
    <row r="1281" spans="1:9">
      <c r="A1281"/>
      <c r="B1281" s="68"/>
      <c r="C1281"/>
      <c r="D1281"/>
      <c r="E1281"/>
      <c r="F1281"/>
      <c r="G1281"/>
      <c r="H1281"/>
      <c r="I1281"/>
    </row>
    <row r="1282" spans="1:9">
      <c r="A1282"/>
      <c r="B1282" s="68"/>
      <c r="C1282"/>
      <c r="D1282"/>
      <c r="E1282"/>
      <c r="F1282"/>
      <c r="G1282"/>
      <c r="H1282"/>
      <c r="I1282"/>
    </row>
    <row r="1283" spans="1:9">
      <c r="A1283"/>
      <c r="B1283" s="68"/>
      <c r="C1283"/>
      <c r="D1283"/>
      <c r="E1283"/>
      <c r="F1283"/>
      <c r="G1283"/>
      <c r="H1283"/>
      <c r="I1283"/>
    </row>
    <row r="1284" spans="1:9">
      <c r="A1284"/>
      <c r="B1284" s="68"/>
      <c r="C1284"/>
      <c r="D1284"/>
      <c r="E1284"/>
      <c r="F1284"/>
      <c r="G1284"/>
      <c r="H1284"/>
      <c r="I1284"/>
    </row>
    <row r="1285" spans="1:9">
      <c r="A1285"/>
      <c r="B1285" s="68"/>
      <c r="C1285"/>
      <c r="D1285"/>
      <c r="E1285"/>
      <c r="F1285"/>
      <c r="G1285"/>
      <c r="H1285"/>
      <c r="I1285"/>
    </row>
    <row r="1286" spans="1:9">
      <c r="A1286"/>
      <c r="B1286" s="68"/>
      <c r="C1286"/>
      <c r="D1286"/>
      <c r="E1286"/>
      <c r="F1286"/>
      <c r="G1286"/>
      <c r="H1286"/>
      <c r="I1286"/>
    </row>
    <row r="1287" spans="1:9">
      <c r="A1287"/>
      <c r="B1287" s="68"/>
      <c r="C1287"/>
      <c r="D1287"/>
      <c r="E1287"/>
      <c r="F1287"/>
      <c r="G1287"/>
      <c r="H1287"/>
      <c r="I1287"/>
    </row>
    <row r="1288" spans="1:9">
      <c r="A1288"/>
      <c r="B1288" s="68"/>
      <c r="C1288"/>
      <c r="D1288"/>
      <c r="E1288"/>
      <c r="F1288"/>
      <c r="G1288"/>
      <c r="H1288"/>
      <c r="I1288"/>
    </row>
    <row r="1289" spans="1:9">
      <c r="A1289"/>
      <c r="B1289" s="68"/>
      <c r="C1289"/>
      <c r="D1289"/>
      <c r="E1289"/>
      <c r="F1289"/>
      <c r="G1289"/>
      <c r="H1289"/>
      <c r="I1289"/>
    </row>
    <row r="1290" spans="1:9">
      <c r="A1290"/>
      <c r="B1290" s="68"/>
      <c r="C1290"/>
      <c r="D1290"/>
      <c r="E1290"/>
      <c r="F1290"/>
      <c r="G1290"/>
      <c r="H1290"/>
      <c r="I1290"/>
    </row>
    <row r="1291" spans="1:9">
      <c r="A1291"/>
      <c r="B1291" s="68"/>
      <c r="C1291"/>
      <c r="D1291"/>
      <c r="E1291"/>
      <c r="F1291"/>
      <c r="G1291"/>
      <c r="H1291"/>
      <c r="I1291"/>
    </row>
    <row r="1292" spans="1:9">
      <c r="A1292"/>
      <c r="B1292" s="68"/>
      <c r="C1292"/>
      <c r="D1292"/>
      <c r="E1292"/>
      <c r="F1292"/>
      <c r="G1292"/>
      <c r="H1292"/>
      <c r="I1292"/>
    </row>
    <row r="1293" spans="1:9">
      <c r="A1293"/>
      <c r="B1293" s="68"/>
      <c r="C1293"/>
      <c r="D1293"/>
      <c r="E1293"/>
      <c r="F1293"/>
      <c r="G1293"/>
      <c r="H1293"/>
      <c r="I1293"/>
    </row>
    <row r="1294" spans="1:9">
      <c r="A1294"/>
      <c r="B1294" s="68"/>
      <c r="C1294"/>
      <c r="D1294"/>
      <c r="E1294"/>
      <c r="F1294"/>
      <c r="G1294"/>
      <c r="H1294"/>
      <c r="I1294"/>
    </row>
    <row r="1295" spans="1:9">
      <c r="A1295"/>
      <c r="B1295" s="68"/>
      <c r="C1295"/>
      <c r="D1295"/>
      <c r="E1295"/>
      <c r="F1295"/>
      <c r="G1295"/>
      <c r="H1295"/>
      <c r="I1295"/>
    </row>
    <row r="1296" spans="1:9">
      <c r="A1296"/>
      <c r="B1296" s="68"/>
      <c r="C1296"/>
      <c r="D1296"/>
      <c r="E1296"/>
      <c r="F1296"/>
      <c r="G1296"/>
      <c r="H1296"/>
      <c r="I1296"/>
    </row>
    <row r="1297" spans="1:9">
      <c r="A1297"/>
      <c r="B1297" s="68"/>
      <c r="C1297"/>
      <c r="D1297"/>
      <c r="E1297"/>
      <c r="F1297"/>
      <c r="G1297"/>
      <c r="H1297"/>
      <c r="I1297"/>
    </row>
    <row r="1298" spans="1:9">
      <c r="A1298"/>
      <c r="B1298" s="68"/>
      <c r="C1298"/>
      <c r="D1298"/>
      <c r="E1298"/>
      <c r="F1298"/>
      <c r="G1298"/>
      <c r="H1298"/>
      <c r="I1298"/>
    </row>
    <row r="1299" spans="1:9">
      <c r="A1299"/>
      <c r="B1299" s="68"/>
      <c r="C1299"/>
      <c r="D1299"/>
      <c r="E1299"/>
      <c r="F1299"/>
      <c r="G1299"/>
      <c r="H1299"/>
      <c r="I1299"/>
    </row>
    <row r="1300" spans="1:9">
      <c r="A1300"/>
      <c r="B1300" s="68"/>
      <c r="C1300"/>
      <c r="D1300"/>
      <c r="E1300"/>
      <c r="F1300"/>
      <c r="G1300"/>
      <c r="H1300"/>
      <c r="I1300"/>
    </row>
    <row r="1301" spans="1:9">
      <c r="A1301"/>
      <c r="B1301" s="68"/>
      <c r="C1301"/>
      <c r="D1301"/>
      <c r="E1301"/>
      <c r="F1301"/>
      <c r="G1301"/>
      <c r="H1301"/>
      <c r="I1301"/>
    </row>
    <row r="1302" spans="1:9">
      <c r="A1302"/>
      <c r="B1302" s="68"/>
      <c r="C1302"/>
      <c r="D1302"/>
      <c r="E1302"/>
      <c r="F1302"/>
      <c r="G1302"/>
      <c r="H1302"/>
      <c r="I1302"/>
    </row>
    <row r="1303" spans="1:9">
      <c r="A1303"/>
      <c r="B1303" s="68"/>
      <c r="C1303"/>
      <c r="D1303"/>
      <c r="E1303"/>
      <c r="F1303"/>
      <c r="G1303"/>
      <c r="H1303"/>
      <c r="I1303"/>
    </row>
    <row r="1304" spans="1:9">
      <c r="A1304"/>
      <c r="B1304" s="68"/>
      <c r="C1304"/>
      <c r="D1304"/>
      <c r="E1304"/>
      <c r="F1304"/>
      <c r="G1304"/>
      <c r="H1304"/>
      <c r="I1304"/>
    </row>
    <row r="1305" spans="1:9">
      <c r="A1305"/>
      <c r="B1305" s="68"/>
      <c r="C1305"/>
      <c r="D1305"/>
      <c r="E1305"/>
      <c r="F1305"/>
      <c r="G1305"/>
      <c r="H1305"/>
      <c r="I1305"/>
    </row>
    <row r="1306" spans="1:9">
      <c r="A1306"/>
      <c r="B1306" s="68"/>
      <c r="C1306"/>
      <c r="D1306"/>
      <c r="E1306"/>
      <c r="F1306"/>
      <c r="G1306"/>
      <c r="H1306"/>
      <c r="I1306"/>
    </row>
    <row r="1307" spans="1:9">
      <c r="A1307"/>
      <c r="B1307" s="68"/>
      <c r="C1307"/>
      <c r="D1307"/>
      <c r="E1307"/>
      <c r="F1307"/>
      <c r="G1307"/>
      <c r="H1307"/>
      <c r="I1307"/>
    </row>
    <row r="1308" spans="1:9">
      <c r="A1308"/>
      <c r="B1308" s="68"/>
      <c r="C1308"/>
      <c r="D1308"/>
      <c r="E1308"/>
      <c r="F1308"/>
      <c r="G1308"/>
      <c r="H1308"/>
      <c r="I1308"/>
    </row>
    <row r="1309" spans="1:9">
      <c r="A1309"/>
      <c r="B1309" s="68"/>
      <c r="C1309"/>
      <c r="D1309"/>
      <c r="E1309"/>
      <c r="F1309"/>
      <c r="G1309"/>
      <c r="H1309"/>
      <c r="I1309"/>
    </row>
    <row r="1310" spans="1:9">
      <c r="A1310"/>
      <c r="B1310" s="68"/>
      <c r="C1310"/>
      <c r="D1310"/>
      <c r="E1310"/>
      <c r="F1310"/>
      <c r="G1310"/>
      <c r="H1310"/>
      <c r="I1310"/>
    </row>
    <row r="1311" spans="1:9">
      <c r="A1311"/>
      <c r="B1311" s="68"/>
      <c r="C1311"/>
      <c r="D1311"/>
      <c r="E1311"/>
      <c r="F1311"/>
      <c r="G1311"/>
      <c r="H1311"/>
      <c r="I1311"/>
    </row>
    <row r="1312" spans="1:9">
      <c r="A1312"/>
      <c r="B1312" s="68"/>
      <c r="C1312"/>
      <c r="D1312"/>
      <c r="E1312"/>
      <c r="F1312"/>
      <c r="G1312"/>
      <c r="H1312"/>
      <c r="I1312"/>
    </row>
    <row r="1313" spans="1:9">
      <c r="A1313"/>
      <c r="B1313" s="68"/>
      <c r="C1313"/>
      <c r="D1313"/>
      <c r="E1313"/>
      <c r="F1313"/>
      <c r="G1313"/>
      <c r="H1313"/>
      <c r="I1313"/>
    </row>
    <row r="1314" spans="1:9">
      <c r="A1314"/>
      <c r="B1314" s="68"/>
      <c r="C1314"/>
      <c r="D1314"/>
      <c r="E1314"/>
      <c r="F1314"/>
      <c r="G1314"/>
      <c r="H1314"/>
      <c r="I1314"/>
    </row>
    <row r="1315" spans="1:9">
      <c r="A1315"/>
      <c r="B1315" s="68"/>
      <c r="C1315"/>
      <c r="D1315"/>
      <c r="E1315"/>
      <c r="F1315"/>
      <c r="G1315"/>
      <c r="H1315"/>
      <c r="I1315"/>
    </row>
    <row r="1316" spans="1:9">
      <c r="A1316"/>
      <c r="B1316" s="68"/>
      <c r="C1316"/>
      <c r="D1316"/>
      <c r="E1316"/>
      <c r="F1316"/>
      <c r="G1316"/>
      <c r="H1316"/>
      <c r="I1316"/>
    </row>
    <row r="1317" spans="1:9">
      <c r="A1317"/>
      <c r="B1317" s="68"/>
      <c r="C1317"/>
      <c r="D1317"/>
      <c r="E1317"/>
      <c r="F1317"/>
      <c r="G1317"/>
      <c r="H1317"/>
      <c r="I1317"/>
    </row>
    <row r="1318" spans="1:9">
      <c r="A1318"/>
      <c r="B1318" s="68"/>
      <c r="C1318"/>
      <c r="D1318"/>
      <c r="E1318"/>
      <c r="F1318"/>
      <c r="G1318"/>
      <c r="H1318"/>
      <c r="I1318"/>
    </row>
    <row r="1319" spans="1:9">
      <c r="A1319"/>
      <c r="B1319" s="68"/>
      <c r="C1319"/>
      <c r="D1319"/>
      <c r="E1319"/>
      <c r="F1319"/>
      <c r="G1319"/>
      <c r="H1319"/>
      <c r="I1319"/>
    </row>
    <row r="1320" spans="1:9">
      <c r="A1320"/>
      <c r="B1320" s="68"/>
      <c r="C1320"/>
      <c r="D1320"/>
      <c r="E1320"/>
      <c r="F1320"/>
      <c r="G1320"/>
      <c r="H1320"/>
      <c r="I1320"/>
    </row>
    <row r="1321" spans="1:9">
      <c r="A1321"/>
      <c r="B1321" s="68"/>
      <c r="C1321"/>
      <c r="D1321"/>
      <c r="E1321"/>
      <c r="F1321"/>
      <c r="G1321"/>
      <c r="H1321"/>
      <c r="I1321"/>
    </row>
    <row r="1322" spans="1:9">
      <c r="A1322"/>
      <c r="B1322" s="68"/>
      <c r="C1322"/>
      <c r="D1322"/>
      <c r="E1322"/>
      <c r="F1322"/>
      <c r="G1322"/>
      <c r="H1322"/>
      <c r="I1322"/>
    </row>
    <row r="1323" spans="1:9">
      <c r="A1323"/>
      <c r="B1323" s="68"/>
      <c r="C1323"/>
      <c r="D1323"/>
      <c r="E1323"/>
      <c r="F1323"/>
      <c r="G1323"/>
      <c r="H1323"/>
      <c r="I1323"/>
    </row>
    <row r="1324" spans="1:9">
      <c r="A1324"/>
      <c r="B1324" s="68"/>
      <c r="C1324"/>
      <c r="D1324"/>
      <c r="E1324"/>
      <c r="F1324"/>
      <c r="G1324"/>
      <c r="H1324"/>
      <c r="I1324"/>
    </row>
    <row r="1325" spans="1:9">
      <c r="A1325"/>
      <c r="B1325" s="68"/>
      <c r="C1325"/>
      <c r="D1325"/>
      <c r="E1325"/>
      <c r="F1325"/>
      <c r="G1325"/>
      <c r="H1325"/>
      <c r="I1325"/>
    </row>
    <row r="1326" spans="1:9">
      <c r="A1326"/>
      <c r="B1326" s="68"/>
      <c r="C1326"/>
      <c r="D1326"/>
      <c r="E1326"/>
      <c r="F1326"/>
      <c r="G1326"/>
      <c r="H1326"/>
      <c r="I1326"/>
    </row>
    <row r="1327" spans="1:9">
      <c r="A1327"/>
      <c r="B1327" s="68"/>
      <c r="C1327"/>
      <c r="D1327"/>
      <c r="E1327"/>
      <c r="F1327"/>
      <c r="G1327"/>
      <c r="H1327"/>
      <c r="I1327"/>
    </row>
    <row r="1328" spans="1:9">
      <c r="A1328"/>
      <c r="B1328" s="68"/>
      <c r="C1328"/>
      <c r="D1328"/>
      <c r="E1328"/>
      <c r="F1328"/>
      <c r="G1328"/>
      <c r="H1328"/>
      <c r="I1328"/>
    </row>
    <row r="1329" spans="1:9">
      <c r="A1329"/>
      <c r="B1329" s="68"/>
      <c r="C1329"/>
      <c r="D1329"/>
      <c r="E1329"/>
      <c r="F1329"/>
      <c r="G1329"/>
      <c r="H1329"/>
      <c r="I1329"/>
    </row>
    <row r="1330" spans="1:9">
      <c r="A1330"/>
      <c r="B1330" s="68"/>
      <c r="C1330"/>
      <c r="D1330"/>
      <c r="E1330"/>
      <c r="F1330"/>
      <c r="G1330"/>
      <c r="H1330"/>
      <c r="I1330"/>
    </row>
    <row r="1331" spans="1:9">
      <c r="A1331"/>
      <c r="B1331" s="68"/>
      <c r="C1331"/>
      <c r="D1331"/>
      <c r="E1331"/>
      <c r="F1331"/>
      <c r="G1331"/>
      <c r="H1331"/>
      <c r="I1331"/>
    </row>
    <row r="1332" spans="1:9">
      <c r="A1332"/>
      <c r="B1332" s="68"/>
      <c r="C1332"/>
      <c r="D1332"/>
      <c r="E1332"/>
      <c r="F1332"/>
      <c r="G1332"/>
      <c r="H1332"/>
      <c r="I1332"/>
    </row>
    <row r="1333" spans="1:9">
      <c r="A1333"/>
      <c r="B1333" s="68"/>
      <c r="C1333"/>
      <c r="D1333"/>
      <c r="E1333"/>
      <c r="F1333"/>
      <c r="G1333"/>
      <c r="H1333"/>
      <c r="I1333"/>
    </row>
    <row r="1334" spans="1:9">
      <c r="A1334"/>
      <c r="B1334" s="68"/>
      <c r="C1334"/>
      <c r="D1334"/>
      <c r="E1334"/>
      <c r="F1334"/>
      <c r="G1334"/>
      <c r="H1334"/>
      <c r="I1334"/>
    </row>
    <row r="1335" spans="1:9">
      <c r="A1335"/>
      <c r="B1335" s="68"/>
      <c r="C1335"/>
      <c r="D1335"/>
      <c r="E1335"/>
      <c r="F1335"/>
      <c r="G1335"/>
      <c r="H1335"/>
      <c r="I1335"/>
    </row>
    <row r="1336" spans="1:9">
      <c r="A1336"/>
      <c r="B1336" s="68"/>
      <c r="C1336"/>
      <c r="D1336"/>
      <c r="E1336"/>
      <c r="F1336"/>
      <c r="G1336"/>
      <c r="H1336"/>
      <c r="I1336"/>
    </row>
    <row r="1337" spans="1:9">
      <c r="A1337"/>
      <c r="B1337" s="68"/>
      <c r="C1337"/>
      <c r="D1337"/>
      <c r="E1337"/>
      <c r="F1337"/>
      <c r="G1337"/>
      <c r="H1337"/>
      <c r="I1337"/>
    </row>
    <row r="1338" spans="1:9">
      <c r="A1338"/>
      <c r="B1338" s="68"/>
      <c r="C1338"/>
      <c r="D1338"/>
      <c r="E1338"/>
      <c r="F1338"/>
      <c r="G1338"/>
      <c r="H1338"/>
      <c r="I1338"/>
    </row>
    <row r="1339" spans="1:9">
      <c r="A1339"/>
      <c r="B1339" s="68"/>
      <c r="C1339"/>
      <c r="D1339"/>
      <c r="E1339"/>
      <c r="F1339"/>
      <c r="G1339"/>
      <c r="H1339"/>
      <c r="I1339"/>
    </row>
    <row r="1340" spans="1:9">
      <c r="A1340"/>
      <c r="B1340" s="68"/>
      <c r="C1340"/>
      <c r="D1340"/>
      <c r="E1340"/>
      <c r="F1340"/>
      <c r="G1340"/>
      <c r="H1340"/>
      <c r="I1340"/>
    </row>
    <row r="1341" spans="1:9">
      <c r="A1341"/>
      <c r="B1341" s="68"/>
      <c r="C1341"/>
      <c r="D1341"/>
      <c r="E1341"/>
      <c r="F1341"/>
      <c r="G1341"/>
      <c r="H1341"/>
      <c r="I1341"/>
    </row>
    <row r="1342" spans="1:9">
      <c r="A1342"/>
      <c r="B1342" s="68"/>
      <c r="C1342"/>
      <c r="D1342"/>
      <c r="E1342"/>
      <c r="F1342"/>
      <c r="G1342"/>
      <c r="H1342"/>
      <c r="I1342"/>
    </row>
    <row r="1343" spans="1:9">
      <c r="A1343"/>
      <c r="B1343" s="68"/>
      <c r="C1343"/>
      <c r="D1343"/>
      <c r="E1343"/>
      <c r="F1343"/>
      <c r="G1343"/>
      <c r="H1343"/>
      <c r="I1343"/>
    </row>
    <row r="1344" spans="1:9">
      <c r="A1344"/>
      <c r="B1344" s="68"/>
      <c r="C1344"/>
      <c r="D1344"/>
      <c r="E1344"/>
      <c r="F1344"/>
      <c r="G1344"/>
      <c r="H1344"/>
      <c r="I1344"/>
    </row>
    <row r="1345" spans="1:9">
      <c r="A1345"/>
      <c r="B1345" s="68"/>
      <c r="C1345"/>
      <c r="D1345"/>
      <c r="E1345"/>
      <c r="F1345"/>
      <c r="G1345"/>
      <c r="H1345"/>
      <c r="I1345"/>
    </row>
    <row r="1346" spans="1:9">
      <c r="A1346"/>
      <c r="B1346" s="68"/>
      <c r="C1346"/>
      <c r="D1346"/>
      <c r="E1346"/>
      <c r="F1346"/>
      <c r="G1346"/>
      <c r="H1346"/>
      <c r="I1346"/>
    </row>
    <row r="1347" spans="1:9">
      <c r="A1347"/>
      <c r="B1347" s="68"/>
      <c r="C1347"/>
      <c r="D1347"/>
      <c r="E1347"/>
      <c r="F1347"/>
      <c r="G1347"/>
      <c r="H1347"/>
      <c r="I1347"/>
    </row>
    <row r="1348" spans="1:9">
      <c r="A1348"/>
      <c r="B1348" s="68"/>
      <c r="C1348"/>
      <c r="D1348"/>
      <c r="E1348"/>
      <c r="F1348"/>
      <c r="G1348"/>
      <c r="H1348"/>
      <c r="I1348"/>
    </row>
    <row r="1349" spans="1:9">
      <c r="A1349"/>
      <c r="B1349" s="68"/>
      <c r="C1349"/>
      <c r="D1349"/>
      <c r="E1349"/>
      <c r="F1349"/>
      <c r="G1349"/>
      <c r="H1349"/>
      <c r="I1349"/>
    </row>
    <row r="1350" spans="1:9">
      <c r="A1350"/>
      <c r="B1350" s="68"/>
      <c r="C1350"/>
      <c r="D1350"/>
      <c r="E1350"/>
      <c r="F1350"/>
      <c r="G1350"/>
      <c r="H1350"/>
      <c r="I1350"/>
    </row>
    <row r="1351" spans="1:9">
      <c r="A1351"/>
      <c r="B1351" s="68"/>
      <c r="C1351"/>
      <c r="D1351"/>
      <c r="E1351"/>
      <c r="F1351"/>
      <c r="G1351"/>
      <c r="H1351"/>
      <c r="I1351"/>
    </row>
    <row r="1352" spans="1:9">
      <c r="A1352"/>
      <c r="B1352" s="68"/>
      <c r="C1352"/>
      <c r="D1352"/>
      <c r="E1352"/>
      <c r="F1352"/>
      <c r="G1352"/>
      <c r="H1352"/>
      <c r="I1352"/>
    </row>
    <row r="1353" spans="1:9">
      <c r="A1353"/>
      <c r="B1353" s="68"/>
      <c r="C1353"/>
      <c r="D1353"/>
      <c r="E1353"/>
      <c r="F1353"/>
      <c r="G1353"/>
      <c r="H1353"/>
      <c r="I1353"/>
    </row>
    <row r="1354" spans="1:9">
      <c r="A1354"/>
      <c r="B1354" s="68"/>
      <c r="C1354"/>
      <c r="D1354"/>
      <c r="E1354"/>
      <c r="F1354"/>
      <c r="G1354"/>
      <c r="H1354"/>
      <c r="I1354"/>
    </row>
    <row r="1355" spans="1:9">
      <c r="A1355"/>
      <c r="B1355" s="68"/>
      <c r="C1355"/>
      <c r="D1355"/>
      <c r="E1355"/>
      <c r="F1355"/>
      <c r="G1355"/>
      <c r="H1355"/>
      <c r="I1355"/>
    </row>
    <row r="1356" spans="1:9">
      <c r="A1356"/>
      <c r="B1356" s="68"/>
      <c r="C1356"/>
      <c r="D1356"/>
      <c r="E1356"/>
      <c r="F1356"/>
      <c r="G1356"/>
      <c r="H1356"/>
      <c r="I1356"/>
    </row>
    <row r="1357" spans="1:9">
      <c r="A1357"/>
      <c r="B1357" s="68"/>
      <c r="C1357"/>
      <c r="D1357"/>
      <c r="E1357"/>
      <c r="F1357"/>
      <c r="G1357"/>
      <c r="H1357"/>
      <c r="I1357"/>
    </row>
    <row r="1358" spans="1:9">
      <c r="A1358"/>
      <c r="B1358" s="68"/>
      <c r="C1358"/>
      <c r="D1358"/>
      <c r="E1358"/>
      <c r="F1358"/>
      <c r="G1358"/>
      <c r="H1358"/>
      <c r="I1358"/>
    </row>
    <row r="1359" spans="1:9">
      <c r="A1359"/>
      <c r="B1359" s="68"/>
      <c r="C1359"/>
      <c r="D1359"/>
      <c r="E1359"/>
      <c r="F1359"/>
      <c r="G1359"/>
      <c r="H1359"/>
      <c r="I1359"/>
    </row>
    <row r="1360" spans="1:9">
      <c r="A1360"/>
      <c r="B1360" s="68"/>
      <c r="C1360"/>
      <c r="D1360"/>
      <c r="E1360"/>
      <c r="F1360"/>
      <c r="G1360"/>
      <c r="H1360"/>
      <c r="I1360"/>
    </row>
    <row r="1361" spans="1:9">
      <c r="A1361"/>
      <c r="B1361" s="68"/>
      <c r="C1361"/>
      <c r="D1361"/>
      <c r="E1361"/>
      <c r="F1361"/>
      <c r="G1361"/>
      <c r="H1361"/>
      <c r="I1361"/>
    </row>
    <row r="1362" spans="1:9">
      <c r="A1362"/>
      <c r="B1362" s="68"/>
      <c r="C1362"/>
      <c r="D1362"/>
      <c r="E1362"/>
      <c r="F1362"/>
      <c r="G1362"/>
      <c r="H1362"/>
      <c r="I1362"/>
    </row>
    <row r="1363" spans="1:9">
      <c r="A1363"/>
      <c r="B1363" s="68"/>
      <c r="C1363"/>
      <c r="D1363"/>
      <c r="E1363"/>
      <c r="F1363"/>
      <c r="G1363"/>
      <c r="H1363"/>
      <c r="I1363"/>
    </row>
    <row r="1364" spans="1:9">
      <c r="A1364"/>
      <c r="B1364" s="68"/>
      <c r="C1364"/>
      <c r="D1364"/>
      <c r="E1364"/>
      <c r="F1364"/>
      <c r="G1364"/>
      <c r="H1364"/>
      <c r="I1364"/>
    </row>
    <row r="1365" spans="1:9">
      <c r="A1365"/>
      <c r="B1365" s="68"/>
      <c r="C1365"/>
      <c r="D1365"/>
      <c r="E1365"/>
      <c r="F1365"/>
      <c r="G1365"/>
      <c r="H1365"/>
      <c r="I1365"/>
    </row>
    <row r="1366" spans="1:9">
      <c r="A1366"/>
      <c r="B1366" s="68"/>
      <c r="C1366"/>
      <c r="D1366"/>
      <c r="E1366"/>
      <c r="F1366"/>
      <c r="G1366"/>
      <c r="H1366"/>
      <c r="I1366"/>
    </row>
    <row r="1367" spans="1:9">
      <c r="A1367"/>
      <c r="B1367" s="68"/>
      <c r="C1367"/>
      <c r="D1367"/>
      <c r="E1367"/>
      <c r="F1367"/>
      <c r="G1367"/>
      <c r="H1367"/>
      <c r="I1367"/>
    </row>
    <row r="1368" spans="1:9">
      <c r="A1368"/>
      <c r="B1368" s="68"/>
      <c r="C1368"/>
      <c r="D1368"/>
      <c r="E1368"/>
      <c r="F1368"/>
      <c r="G1368"/>
      <c r="H1368"/>
      <c r="I1368"/>
    </row>
    <row r="1369" spans="1:9">
      <c r="A1369"/>
      <c r="B1369" s="68"/>
      <c r="C1369"/>
      <c r="D1369"/>
      <c r="E1369"/>
      <c r="F1369"/>
      <c r="G1369"/>
      <c r="H1369"/>
      <c r="I1369"/>
    </row>
    <row r="1370" spans="1:9">
      <c r="A1370"/>
      <c r="B1370" s="68"/>
      <c r="C1370"/>
      <c r="D1370"/>
      <c r="E1370"/>
      <c r="F1370"/>
      <c r="G1370"/>
      <c r="H1370"/>
      <c r="I1370"/>
    </row>
    <row r="1371" spans="1:9">
      <c r="A1371"/>
      <c r="B1371" s="68"/>
      <c r="C1371"/>
      <c r="D1371"/>
      <c r="E1371"/>
      <c r="F1371"/>
      <c r="G1371"/>
      <c r="H1371"/>
      <c r="I1371"/>
    </row>
    <row r="1372" spans="1:9">
      <c r="A1372"/>
      <c r="B1372" s="68"/>
      <c r="C1372"/>
      <c r="D1372"/>
      <c r="E1372"/>
      <c r="F1372"/>
      <c r="G1372"/>
      <c r="H1372"/>
      <c r="I1372"/>
    </row>
    <row r="1373" spans="1:9">
      <c r="A1373"/>
      <c r="B1373" s="68"/>
      <c r="C1373"/>
      <c r="D1373"/>
      <c r="E1373"/>
      <c r="F1373"/>
      <c r="G1373"/>
      <c r="H1373"/>
      <c r="I1373"/>
    </row>
    <row r="1374" spans="1:9">
      <c r="A1374"/>
      <c r="B1374" s="68"/>
      <c r="C1374"/>
      <c r="D1374"/>
      <c r="E1374"/>
      <c r="F1374"/>
      <c r="G1374"/>
      <c r="H1374"/>
      <c r="I1374"/>
    </row>
    <row r="1375" spans="1:9">
      <c r="A1375"/>
      <c r="B1375" s="68"/>
      <c r="C1375"/>
      <c r="D1375"/>
      <c r="E1375"/>
      <c r="F1375"/>
      <c r="G1375"/>
      <c r="H1375"/>
      <c r="I1375"/>
    </row>
    <row r="1376" spans="1:9">
      <c r="A1376"/>
      <c r="B1376" s="68"/>
      <c r="C1376"/>
      <c r="D1376"/>
      <c r="E1376"/>
      <c r="F1376"/>
      <c r="G1376"/>
      <c r="H1376"/>
      <c r="I1376"/>
    </row>
    <row r="1377" spans="1:9">
      <c r="A1377"/>
      <c r="B1377" s="68"/>
      <c r="C1377"/>
      <c r="D1377"/>
      <c r="E1377"/>
      <c r="F1377"/>
      <c r="G1377"/>
      <c r="H1377"/>
      <c r="I1377"/>
    </row>
    <row r="1378" spans="1:9">
      <c r="A1378"/>
      <c r="B1378" s="68"/>
      <c r="C1378"/>
      <c r="D1378"/>
      <c r="E1378"/>
      <c r="F1378"/>
      <c r="G1378"/>
      <c r="H1378"/>
      <c r="I1378"/>
    </row>
    <row r="1379" spans="1:9">
      <c r="A1379"/>
      <c r="B1379" s="68"/>
      <c r="C1379"/>
      <c r="D1379"/>
      <c r="E1379"/>
      <c r="F1379"/>
      <c r="G1379"/>
      <c r="H1379"/>
      <c r="I1379"/>
    </row>
    <row r="1380" spans="1:9">
      <c r="A1380"/>
      <c r="B1380" s="68"/>
      <c r="C1380"/>
      <c r="D1380"/>
      <c r="E1380"/>
      <c r="F1380"/>
      <c r="G1380"/>
      <c r="H1380"/>
      <c r="I1380"/>
    </row>
    <row r="1381" spans="1:9">
      <c r="A1381"/>
      <c r="B1381" s="68"/>
      <c r="C1381"/>
      <c r="D1381"/>
      <c r="E1381"/>
      <c r="F1381"/>
      <c r="G1381"/>
      <c r="H1381"/>
      <c r="I1381"/>
    </row>
    <row r="1382" spans="1:9">
      <c r="A1382"/>
      <c r="B1382" s="68"/>
      <c r="C1382"/>
      <c r="D1382"/>
      <c r="E1382"/>
      <c r="F1382"/>
      <c r="G1382"/>
      <c r="H1382"/>
      <c r="I1382"/>
    </row>
    <row r="1383" spans="1:9">
      <c r="A1383"/>
      <c r="B1383" s="68"/>
      <c r="C1383"/>
      <c r="D1383"/>
      <c r="E1383"/>
      <c r="F1383"/>
      <c r="G1383"/>
      <c r="H1383"/>
      <c r="I1383"/>
    </row>
    <row r="1384" spans="1:9">
      <c r="A1384"/>
      <c r="B1384" s="68"/>
      <c r="C1384"/>
      <c r="D1384"/>
      <c r="E1384"/>
      <c r="F1384"/>
      <c r="G1384"/>
      <c r="H1384"/>
      <c r="I1384"/>
    </row>
    <row r="1385" spans="1:9">
      <c r="A1385"/>
      <c r="B1385" s="68"/>
      <c r="C1385"/>
      <c r="D1385"/>
      <c r="E1385"/>
      <c r="F1385"/>
      <c r="G1385"/>
      <c r="H1385"/>
      <c r="I1385"/>
    </row>
    <row r="1386" spans="1:9">
      <c r="A1386"/>
      <c r="B1386" s="68"/>
      <c r="C1386"/>
      <c r="D1386"/>
      <c r="E1386"/>
      <c r="F1386"/>
      <c r="G1386"/>
      <c r="H1386"/>
      <c r="I1386"/>
    </row>
    <row r="1387" spans="1:9">
      <c r="A1387"/>
      <c r="B1387" s="68"/>
      <c r="C1387"/>
      <c r="D1387"/>
      <c r="E1387"/>
      <c r="F1387"/>
      <c r="G1387"/>
      <c r="H1387"/>
      <c r="I1387"/>
    </row>
    <row r="1388" spans="1:9">
      <c r="A1388"/>
      <c r="B1388" s="68"/>
      <c r="C1388"/>
      <c r="D1388"/>
      <c r="E1388"/>
      <c r="F1388"/>
      <c r="G1388"/>
      <c r="H1388"/>
      <c r="I1388"/>
    </row>
    <row r="1389" spans="1:9">
      <c r="A1389"/>
      <c r="B1389" s="68"/>
      <c r="C1389"/>
      <c r="D1389"/>
      <c r="E1389"/>
      <c r="F1389"/>
      <c r="G1389"/>
      <c r="H1389"/>
      <c r="I1389"/>
    </row>
    <row r="1390" spans="1:9">
      <c r="A1390"/>
      <c r="B1390" s="68"/>
      <c r="C1390"/>
      <c r="D1390"/>
      <c r="E1390"/>
      <c r="F1390"/>
      <c r="G1390"/>
      <c r="H1390"/>
      <c r="I1390"/>
    </row>
    <row r="1391" spans="1:9">
      <c r="A1391"/>
      <c r="B1391" s="68"/>
      <c r="C1391"/>
      <c r="D1391"/>
      <c r="E1391"/>
      <c r="F1391"/>
      <c r="G1391"/>
      <c r="H1391"/>
      <c r="I1391"/>
    </row>
    <row r="1392" spans="1:9">
      <c r="A1392"/>
      <c r="B1392" s="68"/>
      <c r="C1392"/>
      <c r="D1392"/>
      <c r="E1392"/>
      <c r="F1392"/>
      <c r="G1392"/>
      <c r="H1392"/>
      <c r="I1392"/>
    </row>
    <row r="1393" spans="1:9">
      <c r="A1393"/>
      <c r="B1393" s="68"/>
      <c r="C1393"/>
      <c r="D1393"/>
      <c r="E1393"/>
      <c r="F1393"/>
      <c r="G1393"/>
      <c r="H1393"/>
      <c r="I1393"/>
    </row>
    <row r="1394" spans="1:9">
      <c r="A1394"/>
      <c r="B1394" s="68"/>
      <c r="C1394"/>
      <c r="D1394"/>
      <c r="E1394"/>
      <c r="F1394"/>
      <c r="G1394"/>
      <c r="H1394"/>
      <c r="I1394"/>
    </row>
    <row r="1395" spans="1:9">
      <c r="A1395"/>
      <c r="B1395" s="68"/>
      <c r="C1395"/>
      <c r="D1395"/>
      <c r="E1395"/>
      <c r="F1395"/>
      <c r="G1395"/>
      <c r="H1395"/>
      <c r="I1395"/>
    </row>
    <row r="1396" spans="1:9">
      <c r="A1396"/>
      <c r="B1396" s="68"/>
      <c r="C1396"/>
      <c r="D1396"/>
      <c r="E1396"/>
      <c r="F1396"/>
      <c r="G1396"/>
      <c r="H1396"/>
      <c r="I1396"/>
    </row>
    <row r="1397" spans="1:9">
      <c r="A1397"/>
      <c r="B1397" s="68"/>
      <c r="C1397"/>
      <c r="D1397"/>
      <c r="E1397"/>
      <c r="F1397"/>
      <c r="G1397"/>
      <c r="H1397"/>
      <c r="I1397"/>
    </row>
    <row r="1398" spans="1:9">
      <c r="A1398"/>
      <c r="B1398" s="68"/>
      <c r="C1398"/>
      <c r="D1398"/>
      <c r="E1398"/>
      <c r="F1398"/>
      <c r="G1398"/>
      <c r="H1398"/>
      <c r="I1398"/>
    </row>
    <row r="1399" spans="1:9">
      <c r="A1399"/>
      <c r="B1399" s="68"/>
      <c r="C1399"/>
      <c r="D1399"/>
      <c r="E1399"/>
      <c r="F1399"/>
      <c r="G1399"/>
      <c r="H1399"/>
      <c r="I1399"/>
    </row>
    <row r="1400" spans="1:9">
      <c r="A1400"/>
      <c r="B1400" s="68"/>
      <c r="C1400"/>
      <c r="D1400"/>
      <c r="E1400"/>
      <c r="F1400"/>
      <c r="G1400"/>
      <c r="H1400"/>
      <c r="I1400"/>
    </row>
    <row r="1401" spans="1:9">
      <c r="A1401"/>
      <c r="B1401" s="68"/>
      <c r="C1401"/>
      <c r="D1401"/>
      <c r="E1401"/>
      <c r="F1401"/>
      <c r="G1401"/>
      <c r="H1401"/>
      <c r="I1401"/>
    </row>
    <row r="1402" spans="1:9">
      <c r="A1402"/>
      <c r="B1402" s="68"/>
      <c r="C1402"/>
      <c r="D1402"/>
      <c r="E1402"/>
      <c r="F1402"/>
      <c r="G1402"/>
      <c r="H1402"/>
      <c r="I1402"/>
    </row>
    <row r="1403" spans="1:9">
      <c r="A1403"/>
      <c r="B1403" s="68"/>
      <c r="C1403"/>
      <c r="D1403"/>
      <c r="E1403"/>
      <c r="F1403"/>
      <c r="G1403"/>
      <c r="H1403"/>
      <c r="I1403"/>
    </row>
    <row r="1404" spans="1:9">
      <c r="A1404"/>
      <c r="B1404" s="68"/>
      <c r="C1404"/>
      <c r="D1404"/>
      <c r="E1404"/>
      <c r="F1404"/>
      <c r="G1404"/>
      <c r="H1404"/>
      <c r="I1404"/>
    </row>
    <row r="1405" spans="1:9">
      <c r="A1405"/>
      <c r="B1405" s="68"/>
      <c r="C1405"/>
      <c r="D1405"/>
      <c r="E1405"/>
      <c r="F1405"/>
      <c r="G1405"/>
      <c r="H1405"/>
      <c r="I1405"/>
    </row>
    <row r="1406" spans="1:9">
      <c r="A1406"/>
      <c r="B1406" s="68"/>
      <c r="C1406"/>
      <c r="D1406"/>
      <c r="E1406"/>
      <c r="F1406"/>
      <c r="G1406"/>
      <c r="H1406"/>
      <c r="I1406"/>
    </row>
    <row r="1407" spans="1:9">
      <c r="A1407"/>
      <c r="B1407" s="68"/>
      <c r="C1407"/>
      <c r="D1407"/>
      <c r="E1407"/>
      <c r="F1407"/>
      <c r="G1407"/>
      <c r="H1407"/>
      <c r="I1407"/>
    </row>
    <row r="1408" spans="1:9">
      <c r="A1408"/>
      <c r="B1408" s="68"/>
      <c r="C1408"/>
      <c r="D1408"/>
      <c r="E1408"/>
      <c r="F1408"/>
      <c r="G1408"/>
      <c r="H1408"/>
      <c r="I1408"/>
    </row>
    <row r="1409" spans="1:9">
      <c r="A1409"/>
      <c r="B1409" s="68"/>
      <c r="C1409"/>
      <c r="D1409"/>
      <c r="E1409"/>
      <c r="F1409"/>
      <c r="G1409"/>
      <c r="H1409"/>
      <c r="I1409"/>
    </row>
    <row r="1410" spans="1:9">
      <c r="A1410"/>
      <c r="B1410" s="68"/>
      <c r="C1410"/>
      <c r="D1410"/>
      <c r="E1410"/>
      <c r="F1410"/>
      <c r="G1410"/>
      <c r="H1410"/>
      <c r="I1410"/>
    </row>
    <row r="1411" spans="1:9">
      <c r="A1411"/>
      <c r="B1411" s="68"/>
      <c r="C1411"/>
      <c r="D1411"/>
      <c r="E1411"/>
      <c r="F1411"/>
      <c r="G1411"/>
      <c r="H1411"/>
      <c r="I1411"/>
    </row>
    <row r="1412" spans="1:9">
      <c r="A1412"/>
      <c r="B1412" s="68"/>
      <c r="C1412"/>
      <c r="D1412"/>
      <c r="E1412"/>
      <c r="F1412"/>
      <c r="G1412"/>
      <c r="H1412"/>
      <c r="I1412"/>
    </row>
    <row r="1413" spans="1:9">
      <c r="A1413"/>
      <c r="B1413" s="68"/>
      <c r="C1413"/>
      <c r="D1413"/>
      <c r="E1413"/>
      <c r="F1413"/>
      <c r="G1413"/>
      <c r="H1413"/>
      <c r="I1413"/>
    </row>
    <row r="1414" spans="1:9">
      <c r="A1414"/>
      <c r="B1414" s="68"/>
      <c r="C1414"/>
      <c r="D1414"/>
      <c r="E1414"/>
      <c r="F1414"/>
      <c r="G1414"/>
      <c r="H1414"/>
      <c r="I1414"/>
    </row>
    <row r="1415" spans="1:9">
      <c r="A1415"/>
      <c r="B1415" s="68"/>
      <c r="C1415"/>
      <c r="D1415"/>
      <c r="E1415"/>
      <c r="F1415"/>
      <c r="G1415"/>
      <c r="H1415"/>
      <c r="I1415"/>
    </row>
    <row r="1416" spans="1:9">
      <c r="A1416"/>
      <c r="B1416" s="68"/>
      <c r="C1416"/>
      <c r="D1416"/>
      <c r="E1416"/>
      <c r="F1416"/>
      <c r="G1416"/>
      <c r="H1416"/>
      <c r="I1416"/>
    </row>
    <row r="1417" spans="1:9">
      <c r="A1417"/>
      <c r="B1417" s="68"/>
      <c r="C1417"/>
      <c r="D1417"/>
      <c r="E1417"/>
      <c r="F1417"/>
      <c r="G1417"/>
      <c r="H1417"/>
      <c r="I1417"/>
    </row>
    <row r="1418" spans="1:9">
      <c r="A1418"/>
      <c r="B1418" s="68"/>
      <c r="C1418"/>
      <c r="D1418"/>
      <c r="E1418"/>
      <c r="F1418"/>
      <c r="G1418"/>
      <c r="H1418"/>
      <c r="I1418"/>
    </row>
    <row r="1419" spans="1:9">
      <c r="A1419"/>
      <c r="B1419" s="68"/>
      <c r="C1419"/>
      <c r="D1419"/>
      <c r="E1419"/>
      <c r="F1419"/>
      <c r="G1419"/>
      <c r="H1419"/>
      <c r="I1419"/>
    </row>
    <row r="1420" spans="1:9">
      <c r="A1420"/>
      <c r="B1420" s="68"/>
      <c r="C1420"/>
      <c r="D1420"/>
      <c r="E1420"/>
      <c r="F1420"/>
      <c r="G1420"/>
      <c r="H1420"/>
      <c r="I1420"/>
    </row>
    <row r="1421" spans="1:9">
      <c r="A1421"/>
      <c r="B1421" s="68"/>
      <c r="C1421"/>
      <c r="D1421"/>
      <c r="E1421"/>
      <c r="F1421"/>
      <c r="G1421"/>
      <c r="H1421"/>
      <c r="I1421"/>
    </row>
    <row r="1422" spans="1:9">
      <c r="A1422"/>
      <c r="B1422" s="68"/>
      <c r="C1422"/>
      <c r="D1422"/>
      <c r="E1422"/>
      <c r="F1422"/>
      <c r="G1422"/>
      <c r="H1422"/>
      <c r="I1422"/>
    </row>
    <row r="1423" spans="1:9">
      <c r="A1423"/>
      <c r="B1423" s="68"/>
      <c r="C1423"/>
      <c r="D1423"/>
      <c r="E1423"/>
      <c r="F1423"/>
      <c r="G1423"/>
      <c r="H1423"/>
      <c r="I1423"/>
    </row>
    <row r="1424" spans="1:9">
      <c r="A1424"/>
      <c r="B1424" s="68"/>
      <c r="C1424"/>
      <c r="D1424"/>
      <c r="E1424"/>
      <c r="F1424"/>
      <c r="G1424"/>
      <c r="H1424"/>
      <c r="I1424"/>
    </row>
    <row r="1425" spans="1:9">
      <c r="A1425"/>
      <c r="B1425" s="68"/>
      <c r="C1425"/>
      <c r="D1425"/>
      <c r="E1425"/>
      <c r="F1425"/>
      <c r="G1425"/>
      <c r="H1425"/>
      <c r="I1425"/>
    </row>
    <row r="1426" spans="1:9">
      <c r="A1426"/>
      <c r="B1426" s="68"/>
      <c r="C1426"/>
      <c r="D1426"/>
      <c r="E1426"/>
      <c r="F1426"/>
      <c r="G1426"/>
      <c r="H1426"/>
      <c r="I1426"/>
    </row>
    <row r="1427" spans="1:9">
      <c r="A1427"/>
      <c r="B1427" s="68"/>
      <c r="C1427"/>
      <c r="D1427"/>
      <c r="E1427"/>
      <c r="F1427"/>
      <c r="G1427"/>
      <c r="H1427"/>
      <c r="I1427"/>
    </row>
    <row r="1428" spans="1:9">
      <c r="A1428"/>
      <c r="B1428" s="68"/>
      <c r="C1428"/>
      <c r="D1428"/>
      <c r="E1428"/>
      <c r="F1428"/>
      <c r="G1428"/>
      <c r="H1428"/>
      <c r="I1428"/>
    </row>
    <row r="1429" spans="1:9">
      <c r="A1429"/>
      <c r="B1429" s="68"/>
      <c r="C1429"/>
      <c r="D1429"/>
      <c r="E1429"/>
      <c r="F1429"/>
      <c r="G1429"/>
      <c r="H1429"/>
      <c r="I1429"/>
    </row>
    <row r="1430" spans="1:9">
      <c r="A1430"/>
      <c r="B1430" s="68"/>
      <c r="C1430"/>
      <c r="D1430"/>
      <c r="E1430"/>
      <c r="F1430"/>
      <c r="G1430"/>
      <c r="H1430"/>
      <c r="I1430"/>
    </row>
    <row r="1431" spans="1:9">
      <c r="A1431"/>
      <c r="B1431" s="68"/>
      <c r="C1431"/>
      <c r="D1431"/>
      <c r="E1431"/>
      <c r="F1431"/>
      <c r="G1431"/>
      <c r="H1431"/>
      <c r="I1431"/>
    </row>
    <row r="1432" spans="1:9">
      <c r="A1432"/>
      <c r="B1432" s="68"/>
      <c r="C1432"/>
      <c r="D1432"/>
      <c r="E1432"/>
      <c r="F1432"/>
      <c r="G1432"/>
      <c r="H1432"/>
      <c r="I1432"/>
    </row>
    <row r="1433" spans="1:9">
      <c r="A1433"/>
      <c r="B1433" s="68"/>
      <c r="C1433"/>
      <c r="D1433"/>
      <c r="E1433"/>
      <c r="F1433"/>
      <c r="G1433"/>
      <c r="H1433"/>
      <c r="I1433"/>
    </row>
    <row r="1434" spans="1:9">
      <c r="A1434"/>
      <c r="B1434" s="68"/>
      <c r="C1434"/>
      <c r="D1434"/>
      <c r="E1434"/>
      <c r="F1434"/>
      <c r="G1434"/>
      <c r="H1434"/>
      <c r="I1434"/>
    </row>
    <row r="1435" spans="1:9">
      <c r="A1435"/>
      <c r="B1435" s="68"/>
      <c r="C1435"/>
      <c r="D1435"/>
      <c r="E1435"/>
      <c r="F1435"/>
      <c r="G1435"/>
      <c r="H1435"/>
      <c r="I1435"/>
    </row>
    <row r="1436" spans="1:9">
      <c r="A1436"/>
      <c r="B1436" s="68"/>
      <c r="C1436"/>
      <c r="D1436"/>
      <c r="E1436"/>
      <c r="F1436"/>
      <c r="G1436"/>
      <c r="H1436"/>
      <c r="I1436"/>
    </row>
    <row r="1437" spans="1:9">
      <c r="A1437"/>
      <c r="B1437" s="68"/>
      <c r="C1437"/>
      <c r="D1437"/>
      <c r="E1437"/>
      <c r="F1437"/>
      <c r="G1437"/>
      <c r="H1437"/>
      <c r="I1437"/>
    </row>
    <row r="1438" spans="1:9">
      <c r="A1438"/>
      <c r="B1438" s="68"/>
      <c r="C1438"/>
      <c r="D1438"/>
      <c r="E1438"/>
      <c r="F1438"/>
      <c r="G1438"/>
      <c r="H1438"/>
      <c r="I1438"/>
    </row>
    <row r="1439" spans="1:9">
      <c r="A1439"/>
      <c r="B1439" s="68"/>
      <c r="C1439"/>
      <c r="D1439"/>
      <c r="E1439"/>
      <c r="F1439"/>
      <c r="G1439"/>
      <c r="H1439"/>
      <c r="I1439"/>
    </row>
    <row r="1440" spans="1:9">
      <c r="A1440"/>
      <c r="B1440" s="68"/>
      <c r="C1440"/>
      <c r="D1440"/>
      <c r="E1440"/>
      <c r="F1440"/>
      <c r="G1440"/>
      <c r="H1440"/>
      <c r="I1440"/>
    </row>
    <row r="1441" spans="1:9">
      <c r="A1441"/>
      <c r="B1441" s="68"/>
      <c r="C1441"/>
      <c r="D1441"/>
      <c r="E1441"/>
      <c r="F1441"/>
      <c r="G1441"/>
      <c r="H1441"/>
      <c r="I1441"/>
    </row>
    <row r="1442" spans="1:9">
      <c r="A1442"/>
      <c r="B1442" s="68"/>
      <c r="C1442"/>
      <c r="D1442"/>
      <c r="E1442"/>
      <c r="F1442"/>
      <c r="G1442"/>
      <c r="H1442"/>
      <c r="I1442"/>
    </row>
    <row r="1443" spans="1:9">
      <c r="A1443"/>
      <c r="B1443" s="68"/>
      <c r="C1443"/>
      <c r="D1443"/>
      <c r="E1443"/>
      <c r="F1443"/>
      <c r="G1443"/>
      <c r="H1443"/>
      <c r="I1443"/>
    </row>
    <row r="1444" spans="1:9">
      <c r="A1444"/>
      <c r="B1444" s="68"/>
      <c r="C1444"/>
      <c r="D1444"/>
      <c r="E1444"/>
      <c r="F1444"/>
      <c r="G1444"/>
      <c r="H1444"/>
      <c r="I1444"/>
    </row>
    <row r="1445" spans="1:9">
      <c r="A1445"/>
      <c r="B1445" s="68"/>
      <c r="C1445"/>
      <c r="D1445"/>
      <c r="E1445"/>
      <c r="F1445"/>
      <c r="G1445"/>
      <c r="H1445"/>
      <c r="I1445"/>
    </row>
    <row r="1446" spans="1:9">
      <c r="A1446"/>
      <c r="B1446" s="68"/>
      <c r="C1446"/>
      <c r="D1446"/>
      <c r="E1446"/>
      <c r="F1446"/>
      <c r="G1446"/>
      <c r="H1446"/>
      <c r="I1446"/>
    </row>
    <row r="1447" spans="1:9">
      <c r="A1447"/>
      <c r="B1447" s="68"/>
      <c r="C1447"/>
      <c r="D1447"/>
      <c r="E1447"/>
      <c r="F1447"/>
      <c r="G1447"/>
      <c r="H1447"/>
      <c r="I1447"/>
    </row>
    <row r="1448" spans="1:9">
      <c r="A1448"/>
      <c r="B1448" s="68"/>
      <c r="C1448"/>
      <c r="D1448"/>
      <c r="E1448"/>
      <c r="F1448"/>
      <c r="G1448"/>
      <c r="H1448"/>
      <c r="I1448"/>
    </row>
    <row r="1449" spans="1:9">
      <c r="A1449"/>
      <c r="B1449" s="68"/>
      <c r="C1449"/>
      <c r="D1449"/>
      <c r="E1449"/>
      <c r="F1449"/>
      <c r="G1449"/>
      <c r="H1449"/>
      <c r="I1449"/>
    </row>
    <row r="1450" spans="1:9">
      <c r="A1450"/>
      <c r="B1450" s="68"/>
      <c r="C1450"/>
      <c r="D1450"/>
      <c r="E1450"/>
      <c r="F1450"/>
      <c r="G1450"/>
      <c r="H1450"/>
      <c r="I1450"/>
    </row>
    <row r="1451" spans="1:9">
      <c r="A1451"/>
      <c r="B1451" s="68"/>
      <c r="C1451"/>
      <c r="D1451"/>
      <c r="E1451"/>
      <c r="F1451"/>
      <c r="G1451"/>
      <c r="H1451"/>
      <c r="I1451"/>
    </row>
    <row r="1452" spans="1:9">
      <c r="A1452"/>
      <c r="B1452" s="68"/>
      <c r="C1452"/>
      <c r="D1452"/>
      <c r="E1452"/>
      <c r="F1452"/>
      <c r="G1452"/>
      <c r="H1452"/>
      <c r="I1452"/>
    </row>
    <row r="1453" spans="1:9">
      <c r="A1453"/>
      <c r="B1453" s="68"/>
      <c r="C1453"/>
      <c r="D1453"/>
      <c r="E1453"/>
      <c r="F1453"/>
      <c r="G1453"/>
      <c r="H1453"/>
      <c r="I1453"/>
    </row>
    <row r="1454" spans="1:9">
      <c r="A1454"/>
      <c r="B1454" s="68"/>
      <c r="C1454"/>
      <c r="D1454"/>
      <c r="E1454"/>
      <c r="F1454"/>
      <c r="G1454"/>
      <c r="H1454"/>
      <c r="I1454"/>
    </row>
    <row r="1455" spans="1:9">
      <c r="A1455"/>
      <c r="B1455" s="68"/>
      <c r="C1455"/>
      <c r="D1455"/>
      <c r="E1455"/>
      <c r="F1455"/>
      <c r="G1455"/>
      <c r="H1455"/>
      <c r="I1455"/>
    </row>
    <row r="1456" spans="1:9">
      <c r="A1456"/>
      <c r="B1456" s="68"/>
      <c r="C1456"/>
      <c r="D1456"/>
      <c r="E1456"/>
      <c r="F1456"/>
      <c r="G1456"/>
      <c r="H1456"/>
      <c r="I1456"/>
    </row>
    <row r="1457" spans="1:9">
      <c r="A1457"/>
      <c r="B1457" s="68"/>
      <c r="C1457"/>
      <c r="D1457"/>
      <c r="E1457"/>
      <c r="F1457"/>
      <c r="G1457"/>
      <c r="H1457"/>
      <c r="I1457"/>
    </row>
    <row r="1458" spans="1:9">
      <c r="A1458"/>
      <c r="B1458" s="68"/>
      <c r="C1458"/>
      <c r="D1458"/>
      <c r="E1458"/>
      <c r="F1458"/>
      <c r="G1458"/>
      <c r="H1458"/>
      <c r="I1458"/>
    </row>
    <row r="1459" spans="1:9">
      <c r="A1459"/>
      <c r="B1459" s="68"/>
      <c r="C1459"/>
      <c r="D1459"/>
      <c r="E1459"/>
      <c r="F1459"/>
      <c r="G1459"/>
      <c r="H1459"/>
      <c r="I1459"/>
    </row>
    <row r="1460" spans="1:9">
      <c r="A1460"/>
      <c r="B1460" s="68"/>
      <c r="C1460"/>
      <c r="D1460"/>
      <c r="E1460"/>
      <c r="F1460"/>
      <c r="G1460"/>
      <c r="H1460"/>
      <c r="I1460"/>
    </row>
    <row r="1461" spans="1:9">
      <c r="A1461"/>
      <c r="B1461" s="68"/>
      <c r="C1461"/>
      <c r="D1461"/>
      <c r="E1461"/>
      <c r="F1461"/>
      <c r="G1461"/>
      <c r="H1461"/>
      <c r="I1461"/>
    </row>
    <row r="1462" spans="1:9">
      <c r="A1462"/>
      <c r="B1462" s="68"/>
      <c r="C1462"/>
      <c r="D1462"/>
      <c r="E1462"/>
      <c r="F1462"/>
      <c r="G1462"/>
      <c r="H1462"/>
      <c r="I1462"/>
    </row>
    <row r="1463" spans="1:9">
      <c r="A1463"/>
      <c r="B1463" s="68"/>
      <c r="C1463"/>
      <c r="D1463"/>
      <c r="E1463"/>
      <c r="F1463"/>
      <c r="G1463"/>
      <c r="H1463"/>
      <c r="I1463"/>
    </row>
    <row r="1464" spans="1:9">
      <c r="A1464"/>
      <c r="B1464" s="68"/>
      <c r="C1464"/>
      <c r="D1464"/>
      <c r="E1464"/>
      <c r="F1464"/>
      <c r="G1464"/>
      <c r="H1464"/>
      <c r="I1464"/>
    </row>
    <row r="1465" spans="1:9">
      <c r="A1465"/>
      <c r="B1465" s="68"/>
      <c r="C1465"/>
      <c r="D1465"/>
      <c r="E1465"/>
      <c r="F1465"/>
      <c r="G1465"/>
      <c r="H1465"/>
      <c r="I1465"/>
    </row>
    <row r="1466" spans="1:9">
      <c r="A1466"/>
      <c r="B1466" s="68"/>
      <c r="C1466"/>
      <c r="D1466"/>
      <c r="E1466"/>
      <c r="F1466"/>
      <c r="G1466"/>
      <c r="H1466"/>
      <c r="I1466"/>
    </row>
    <row r="1467" spans="1:9">
      <c r="A1467"/>
      <c r="B1467" s="68"/>
      <c r="C1467"/>
      <c r="D1467"/>
      <c r="E1467"/>
      <c r="F1467"/>
      <c r="G1467"/>
      <c r="H1467"/>
      <c r="I1467"/>
    </row>
    <row r="1468" spans="1:9">
      <c r="A1468"/>
      <c r="B1468" s="68"/>
      <c r="C1468"/>
      <c r="D1468"/>
      <c r="E1468"/>
      <c r="F1468"/>
      <c r="G1468"/>
      <c r="H1468"/>
      <c r="I1468"/>
    </row>
    <row r="1469" spans="1:9">
      <c r="A1469"/>
      <c r="B1469" s="68"/>
      <c r="C1469"/>
      <c r="D1469"/>
      <c r="E1469"/>
      <c r="F1469"/>
      <c r="G1469"/>
      <c r="H1469"/>
      <c r="I1469"/>
    </row>
    <row r="1470" spans="1:9">
      <c r="A1470"/>
      <c r="B1470" s="68"/>
      <c r="C1470"/>
      <c r="D1470"/>
      <c r="E1470"/>
      <c r="F1470"/>
      <c r="G1470"/>
      <c r="H1470"/>
      <c r="I1470"/>
    </row>
    <row r="1471" spans="1:9">
      <c r="A1471"/>
      <c r="B1471" s="68"/>
      <c r="C1471"/>
      <c r="D1471"/>
      <c r="E1471"/>
      <c r="F1471"/>
      <c r="G1471"/>
      <c r="H1471"/>
      <c r="I1471"/>
    </row>
    <row r="1472" spans="1:9">
      <c r="A1472"/>
      <c r="B1472" s="68"/>
      <c r="C1472"/>
      <c r="D1472"/>
      <c r="E1472"/>
      <c r="F1472"/>
      <c r="G1472"/>
      <c r="H1472"/>
      <c r="I1472"/>
    </row>
    <row r="1473" spans="1:9">
      <c r="A1473"/>
      <c r="B1473" s="68"/>
      <c r="C1473"/>
      <c r="D1473"/>
      <c r="E1473"/>
      <c r="F1473"/>
      <c r="G1473"/>
      <c r="H1473"/>
      <c r="I1473"/>
    </row>
    <row r="1474" spans="1:9">
      <c r="A1474"/>
      <c r="B1474" s="68"/>
      <c r="C1474"/>
      <c r="D1474"/>
      <c r="E1474"/>
      <c r="F1474"/>
      <c r="G1474"/>
      <c r="H1474"/>
      <c r="I1474"/>
    </row>
    <row r="1475" spans="1:9">
      <c r="A1475"/>
      <c r="B1475" s="68"/>
      <c r="C1475"/>
      <c r="D1475"/>
      <c r="E1475"/>
      <c r="F1475"/>
      <c r="G1475"/>
      <c r="H1475"/>
      <c r="I1475"/>
    </row>
    <row r="1476" spans="1:9">
      <c r="A1476"/>
      <c r="B1476" s="68"/>
      <c r="C1476"/>
      <c r="D1476"/>
      <c r="E1476"/>
      <c r="F1476"/>
      <c r="G1476"/>
      <c r="H1476"/>
      <c r="I1476"/>
    </row>
    <row r="1477" spans="1:9">
      <c r="A1477"/>
      <c r="B1477" s="68"/>
      <c r="C1477"/>
      <c r="D1477"/>
      <c r="E1477"/>
      <c r="F1477"/>
      <c r="G1477"/>
      <c r="H1477"/>
      <c r="I1477"/>
    </row>
    <row r="1478" spans="1:9">
      <c r="A1478"/>
      <c r="B1478" s="68"/>
      <c r="C1478"/>
      <c r="D1478"/>
      <c r="E1478"/>
      <c r="F1478"/>
      <c r="G1478"/>
      <c r="H1478"/>
      <c r="I1478"/>
    </row>
    <row r="1479" spans="1:9">
      <c r="A1479"/>
      <c r="B1479" s="68"/>
      <c r="C1479"/>
      <c r="D1479"/>
      <c r="E1479"/>
      <c r="F1479"/>
      <c r="G1479"/>
      <c r="H1479"/>
      <c r="I1479"/>
    </row>
    <row r="1480" spans="1:9">
      <c r="A1480"/>
      <c r="B1480" s="68"/>
      <c r="C1480"/>
      <c r="D1480"/>
      <c r="E1480"/>
      <c r="F1480"/>
      <c r="G1480"/>
      <c r="H1480"/>
      <c r="I1480"/>
    </row>
    <row r="1481" spans="1:9">
      <c r="A1481"/>
      <c r="B1481" s="68"/>
      <c r="C1481"/>
      <c r="D1481"/>
      <c r="E1481"/>
      <c r="F1481"/>
      <c r="G1481"/>
      <c r="H1481"/>
      <c r="I1481"/>
    </row>
    <row r="1482" spans="1:9">
      <c r="A1482"/>
      <c r="B1482" s="68"/>
      <c r="C1482"/>
      <c r="D1482"/>
      <c r="E1482"/>
      <c r="F1482"/>
      <c r="G1482"/>
      <c r="H1482"/>
      <c r="I1482"/>
    </row>
    <row r="1483" spans="1:9">
      <c r="A1483"/>
      <c r="B1483" s="68"/>
      <c r="C1483"/>
      <c r="D1483"/>
      <c r="E1483"/>
      <c r="F1483"/>
      <c r="G1483"/>
      <c r="H1483"/>
      <c r="I1483"/>
    </row>
    <row r="1484" spans="1:9">
      <c r="A1484"/>
      <c r="B1484" s="68"/>
      <c r="C1484"/>
      <c r="D1484"/>
      <c r="E1484"/>
      <c r="F1484"/>
      <c r="G1484"/>
      <c r="H1484"/>
      <c r="I1484"/>
    </row>
    <row r="1485" spans="1:9">
      <c r="A1485"/>
      <c r="B1485" s="68"/>
      <c r="C1485"/>
      <c r="D1485"/>
      <c r="E1485"/>
      <c r="F1485"/>
      <c r="G1485"/>
      <c r="H1485"/>
      <c r="I1485"/>
    </row>
    <row r="1486" spans="1:9">
      <c r="A1486"/>
      <c r="B1486" s="68"/>
      <c r="C1486"/>
      <c r="D1486"/>
      <c r="E1486"/>
      <c r="F1486"/>
      <c r="G1486"/>
      <c r="H1486"/>
      <c r="I1486"/>
    </row>
    <row r="1487" spans="1:9">
      <c r="A1487"/>
      <c r="B1487" s="68"/>
      <c r="C1487"/>
      <c r="D1487"/>
      <c r="E1487"/>
      <c r="F1487"/>
      <c r="G1487"/>
      <c r="H1487"/>
      <c r="I1487"/>
    </row>
    <row r="1488" spans="1:9">
      <c r="A1488"/>
      <c r="B1488" s="68"/>
      <c r="C1488"/>
      <c r="D1488"/>
      <c r="E1488"/>
      <c r="F1488"/>
      <c r="G1488"/>
      <c r="H1488"/>
      <c r="I1488"/>
    </row>
    <row r="1489" spans="1:9">
      <c r="A1489"/>
      <c r="B1489" s="68"/>
      <c r="C1489"/>
      <c r="D1489"/>
      <c r="E1489"/>
      <c r="F1489"/>
      <c r="G1489"/>
      <c r="H1489"/>
      <c r="I1489"/>
    </row>
    <row r="1490" spans="1:9">
      <c r="A1490"/>
      <c r="B1490" s="68"/>
      <c r="C1490"/>
      <c r="D1490"/>
      <c r="E1490"/>
      <c r="F1490"/>
      <c r="G1490"/>
      <c r="H1490"/>
      <c r="I1490"/>
    </row>
    <row r="1491" spans="1:9">
      <c r="A1491"/>
      <c r="B1491" s="68"/>
      <c r="C1491"/>
      <c r="D1491"/>
      <c r="E1491"/>
      <c r="F1491"/>
      <c r="G1491"/>
      <c r="H1491"/>
      <c r="I1491"/>
    </row>
    <row r="1492" spans="1:9">
      <c r="A1492"/>
      <c r="B1492" s="68"/>
      <c r="C1492"/>
      <c r="D1492"/>
      <c r="E1492"/>
      <c r="F1492"/>
      <c r="G1492"/>
      <c r="H1492"/>
      <c r="I1492"/>
    </row>
    <row r="1493" spans="1:9">
      <c r="A1493"/>
      <c r="B1493" s="68"/>
      <c r="C1493"/>
      <c r="D1493"/>
      <c r="E1493"/>
      <c r="F1493"/>
      <c r="G1493"/>
      <c r="H1493"/>
      <c r="I1493"/>
    </row>
    <row r="1494" spans="1:9">
      <c r="A1494"/>
      <c r="B1494" s="68"/>
      <c r="C1494"/>
      <c r="D1494"/>
      <c r="E1494"/>
      <c r="F1494"/>
      <c r="G1494"/>
      <c r="H1494"/>
      <c r="I1494"/>
    </row>
    <row r="1495" spans="1:9">
      <c r="A1495"/>
      <c r="B1495" s="68"/>
      <c r="C1495"/>
      <c r="D1495"/>
      <c r="E1495"/>
      <c r="F1495"/>
      <c r="G1495"/>
      <c r="H1495"/>
      <c r="I1495"/>
    </row>
    <row r="1496" spans="1:9">
      <c r="A1496"/>
      <c r="B1496" s="68"/>
      <c r="C1496"/>
      <c r="D1496"/>
      <c r="E1496"/>
      <c r="F1496"/>
      <c r="G1496"/>
      <c r="H1496"/>
      <c r="I1496"/>
    </row>
    <row r="1497" spans="1:9">
      <c r="A1497"/>
      <c r="B1497" s="68"/>
      <c r="C1497"/>
      <c r="D1497"/>
      <c r="E1497"/>
      <c r="F1497"/>
      <c r="G1497"/>
      <c r="H1497"/>
      <c r="I1497"/>
    </row>
    <row r="1498" spans="1:9">
      <c r="A1498"/>
      <c r="B1498" s="68"/>
      <c r="C1498"/>
      <c r="D1498"/>
      <c r="E1498"/>
      <c r="F1498"/>
      <c r="G1498"/>
      <c r="H1498"/>
      <c r="I1498"/>
    </row>
    <row r="1499" spans="1:9">
      <c r="A1499"/>
      <c r="B1499" s="68"/>
      <c r="C1499"/>
      <c r="D1499"/>
      <c r="E1499"/>
      <c r="F1499"/>
      <c r="G1499"/>
      <c r="H1499"/>
      <c r="I1499"/>
    </row>
    <row r="1500" spans="1:9">
      <c r="A1500"/>
      <c r="B1500" s="68"/>
      <c r="C1500"/>
      <c r="D1500"/>
      <c r="E1500"/>
      <c r="F1500"/>
      <c r="G1500"/>
      <c r="H1500"/>
      <c r="I1500"/>
    </row>
    <row r="1501" spans="1:9">
      <c r="A1501"/>
      <c r="B1501" s="68"/>
      <c r="C1501"/>
      <c r="D1501"/>
      <c r="E1501"/>
      <c r="F1501"/>
      <c r="G1501"/>
      <c r="H1501"/>
      <c r="I1501"/>
    </row>
    <row r="1502" spans="1:9">
      <c r="A1502"/>
      <c r="B1502" s="68"/>
      <c r="C1502"/>
      <c r="D1502"/>
      <c r="E1502"/>
      <c r="F1502"/>
      <c r="G1502"/>
      <c r="H1502"/>
      <c r="I1502"/>
    </row>
    <row r="1503" spans="1:9">
      <c r="A1503"/>
      <c r="B1503" s="68"/>
      <c r="C1503"/>
      <c r="D1503"/>
      <c r="E1503"/>
      <c r="F1503"/>
      <c r="G1503"/>
      <c r="H1503"/>
      <c r="I1503"/>
    </row>
    <row r="1504" spans="1:9">
      <c r="A1504"/>
      <c r="B1504" s="68"/>
      <c r="C1504"/>
      <c r="D1504"/>
      <c r="E1504"/>
      <c r="F1504"/>
      <c r="G1504"/>
      <c r="H1504"/>
      <c r="I1504"/>
    </row>
    <row r="1505" spans="1:9">
      <c r="A1505"/>
      <c r="B1505" s="68"/>
      <c r="C1505"/>
      <c r="D1505"/>
      <c r="E1505"/>
      <c r="F1505"/>
      <c r="G1505"/>
      <c r="H1505"/>
      <c r="I1505"/>
    </row>
    <row r="1506" spans="1:9">
      <c r="A1506"/>
      <c r="B1506" s="68"/>
      <c r="C1506"/>
      <c r="D1506"/>
      <c r="E1506"/>
      <c r="F1506"/>
      <c r="G1506"/>
      <c r="H1506"/>
      <c r="I1506"/>
    </row>
    <row r="1507" spans="1:9">
      <c r="A1507"/>
      <c r="B1507" s="68"/>
      <c r="C1507"/>
      <c r="D1507"/>
      <c r="E1507"/>
      <c r="F1507"/>
      <c r="G1507"/>
      <c r="H1507"/>
      <c r="I1507"/>
    </row>
    <row r="1508" spans="1:9">
      <c r="A1508"/>
      <c r="B1508" s="68"/>
      <c r="C1508"/>
      <c r="D1508"/>
      <c r="E1508"/>
      <c r="F1508"/>
      <c r="G1508"/>
      <c r="H1508"/>
      <c r="I1508"/>
    </row>
    <row r="1509" spans="1:9">
      <c r="A1509"/>
      <c r="B1509" s="68"/>
      <c r="C1509"/>
      <c r="D1509"/>
      <c r="E1509"/>
      <c r="F1509"/>
      <c r="G1509"/>
      <c r="H1509"/>
      <c r="I1509"/>
    </row>
    <row r="1510" spans="1:9">
      <c r="A1510"/>
      <c r="B1510" s="68"/>
      <c r="C1510"/>
      <c r="D1510"/>
      <c r="E1510"/>
      <c r="F1510"/>
      <c r="G1510"/>
      <c r="H1510"/>
      <c r="I1510"/>
    </row>
    <row r="1511" spans="1:9">
      <c r="A1511"/>
      <c r="B1511" s="68"/>
      <c r="C1511"/>
      <c r="D1511"/>
      <c r="E1511"/>
      <c r="F1511"/>
      <c r="G1511"/>
      <c r="H1511"/>
      <c r="I1511"/>
    </row>
    <row r="1512" spans="1:9">
      <c r="A1512"/>
      <c r="B1512" s="68"/>
      <c r="C1512"/>
      <c r="D1512"/>
      <c r="E1512"/>
      <c r="F1512"/>
      <c r="G1512"/>
      <c r="H1512"/>
      <c r="I1512"/>
    </row>
    <row r="1513" spans="1:9">
      <c r="A1513"/>
      <c r="B1513" s="68"/>
      <c r="C1513"/>
      <c r="D1513"/>
      <c r="E1513"/>
      <c r="F1513"/>
      <c r="G1513"/>
      <c r="H1513"/>
      <c r="I1513"/>
    </row>
    <row r="1514" spans="1:9">
      <c r="A1514"/>
      <c r="B1514" s="68"/>
      <c r="C1514"/>
      <c r="D1514"/>
      <c r="E1514"/>
      <c r="F1514"/>
      <c r="G1514"/>
      <c r="H1514"/>
      <c r="I1514"/>
    </row>
    <row r="1515" spans="1:9">
      <c r="A1515"/>
      <c r="B1515" s="68"/>
      <c r="C1515"/>
      <c r="D1515"/>
      <c r="E1515"/>
      <c r="F1515"/>
      <c r="G1515"/>
      <c r="H1515"/>
      <c r="I1515"/>
    </row>
    <row r="1516" spans="1:9">
      <c r="A1516"/>
      <c r="B1516" s="68"/>
      <c r="C1516"/>
      <c r="D1516"/>
      <c r="E1516"/>
      <c r="F1516"/>
      <c r="G1516"/>
      <c r="H1516"/>
      <c r="I1516"/>
    </row>
    <row r="1517" spans="1:9">
      <c r="A1517"/>
      <c r="B1517" s="68"/>
      <c r="C1517"/>
      <c r="D1517"/>
      <c r="E1517"/>
      <c r="F1517"/>
      <c r="G1517"/>
      <c r="H1517"/>
      <c r="I1517"/>
    </row>
    <row r="1518" spans="1:9">
      <c r="A1518"/>
      <c r="B1518" s="68"/>
      <c r="C1518"/>
      <c r="D1518"/>
      <c r="E1518"/>
      <c r="F1518"/>
      <c r="G1518"/>
      <c r="H1518"/>
      <c r="I1518"/>
    </row>
    <row r="1519" spans="1:9">
      <c r="A1519"/>
      <c r="B1519" s="68"/>
      <c r="C1519"/>
      <c r="D1519"/>
      <c r="E1519"/>
      <c r="F1519"/>
      <c r="G1519"/>
      <c r="H1519"/>
      <c r="I1519"/>
    </row>
    <row r="1520" spans="1:9">
      <c r="A1520"/>
      <c r="B1520" s="68"/>
      <c r="C1520"/>
      <c r="D1520"/>
      <c r="E1520"/>
      <c r="F1520"/>
      <c r="G1520"/>
      <c r="H1520"/>
      <c r="I1520"/>
    </row>
    <row r="1521" spans="1:9">
      <c r="A1521"/>
      <c r="B1521" s="68"/>
      <c r="C1521"/>
      <c r="D1521"/>
      <c r="E1521"/>
      <c r="F1521"/>
      <c r="G1521"/>
      <c r="H1521"/>
      <c r="I1521"/>
    </row>
    <row r="1522" spans="1:9">
      <c r="A1522"/>
      <c r="B1522" s="68"/>
      <c r="C1522"/>
      <c r="D1522"/>
      <c r="E1522"/>
      <c r="F1522"/>
      <c r="G1522"/>
      <c r="H1522"/>
      <c r="I1522"/>
    </row>
    <row r="1523" spans="1:9">
      <c r="A1523"/>
      <c r="B1523" s="68"/>
      <c r="C1523"/>
      <c r="D1523"/>
      <c r="E1523"/>
      <c r="F1523"/>
      <c r="G1523"/>
      <c r="H1523"/>
      <c r="I1523"/>
    </row>
    <row r="1524" spans="1:9">
      <c r="A1524"/>
      <c r="B1524" s="68"/>
      <c r="C1524"/>
      <c r="D1524"/>
      <c r="E1524"/>
      <c r="F1524"/>
      <c r="G1524"/>
      <c r="H1524"/>
      <c r="I1524"/>
    </row>
    <row r="1525" spans="1:9">
      <c r="A1525"/>
      <c r="B1525" s="68"/>
      <c r="C1525"/>
      <c r="D1525"/>
      <c r="E1525"/>
      <c r="F1525"/>
      <c r="G1525"/>
      <c r="H1525"/>
      <c r="I1525"/>
    </row>
    <row r="1526" spans="1:9">
      <c r="A1526"/>
      <c r="B1526" s="68"/>
      <c r="C1526"/>
      <c r="D1526"/>
      <c r="E1526"/>
      <c r="F1526"/>
      <c r="G1526"/>
      <c r="H1526"/>
      <c r="I1526"/>
    </row>
    <row r="1527" spans="1:9">
      <c r="A1527"/>
      <c r="B1527" s="68"/>
      <c r="C1527"/>
      <c r="D1527"/>
      <c r="E1527"/>
      <c r="F1527"/>
      <c r="G1527"/>
      <c r="H1527"/>
      <c r="I1527"/>
    </row>
    <row r="1528" spans="1:9">
      <c r="A1528"/>
      <c r="B1528" s="68"/>
      <c r="C1528"/>
      <c r="D1528"/>
      <c r="E1528"/>
      <c r="F1528"/>
      <c r="G1528"/>
      <c r="H1528"/>
      <c r="I1528"/>
    </row>
    <row r="1529" spans="1:9">
      <c r="A1529"/>
      <c r="B1529" s="68"/>
      <c r="C1529"/>
      <c r="D1529"/>
      <c r="E1529"/>
      <c r="F1529"/>
      <c r="G1529"/>
      <c r="H1529"/>
      <c r="I1529"/>
    </row>
    <row r="1530" spans="1:9">
      <c r="A1530"/>
      <c r="B1530" s="68"/>
      <c r="C1530"/>
      <c r="D1530"/>
      <c r="E1530"/>
      <c r="F1530"/>
      <c r="G1530"/>
      <c r="H1530"/>
      <c r="I1530"/>
    </row>
    <row r="1531" spans="1:9">
      <c r="A1531"/>
      <c r="B1531" s="68"/>
      <c r="C1531"/>
      <c r="D1531"/>
      <c r="E1531"/>
      <c r="F1531"/>
      <c r="G1531"/>
      <c r="H1531"/>
      <c r="I1531"/>
    </row>
    <row r="1532" spans="1:9">
      <c r="A1532"/>
      <c r="B1532" s="68"/>
      <c r="C1532"/>
      <c r="D1532"/>
      <c r="E1532"/>
      <c r="F1532"/>
      <c r="G1532"/>
      <c r="H1532"/>
      <c r="I1532"/>
    </row>
    <row r="1533" spans="1:9">
      <c r="A1533"/>
      <c r="B1533" s="68"/>
      <c r="C1533"/>
      <c r="D1533"/>
      <c r="E1533"/>
      <c r="F1533"/>
      <c r="G1533"/>
      <c r="H1533"/>
      <c r="I1533"/>
    </row>
    <row r="1534" spans="1:9">
      <c r="A1534"/>
      <c r="B1534" s="68"/>
      <c r="C1534"/>
      <c r="D1534"/>
      <c r="E1534"/>
      <c r="F1534"/>
      <c r="G1534"/>
      <c r="H1534"/>
      <c r="I1534"/>
    </row>
    <row r="1535" spans="1:9">
      <c r="A1535"/>
      <c r="B1535" s="68"/>
      <c r="C1535"/>
      <c r="D1535"/>
      <c r="E1535"/>
      <c r="F1535"/>
      <c r="G1535"/>
      <c r="H1535"/>
      <c r="I1535"/>
    </row>
    <row r="1536" spans="1:9">
      <c r="A1536"/>
      <c r="B1536" s="68"/>
      <c r="C1536"/>
      <c r="D1536"/>
      <c r="E1536"/>
      <c r="F1536"/>
      <c r="G1536"/>
      <c r="H1536"/>
      <c r="I1536"/>
    </row>
    <row r="1537" spans="1:9">
      <c r="A1537"/>
      <c r="B1537" s="68"/>
      <c r="C1537"/>
      <c r="D1537"/>
      <c r="E1537"/>
      <c r="F1537"/>
      <c r="G1537"/>
      <c r="H1537"/>
      <c r="I1537"/>
    </row>
    <row r="1538" spans="1:9">
      <c r="A1538"/>
      <c r="B1538" s="68"/>
      <c r="C1538"/>
      <c r="D1538"/>
      <c r="E1538"/>
      <c r="F1538"/>
      <c r="G1538"/>
      <c r="H1538"/>
      <c r="I1538"/>
    </row>
    <row r="1539" spans="1:9">
      <c r="A1539"/>
      <c r="B1539" s="68"/>
      <c r="C1539"/>
      <c r="D1539"/>
      <c r="E1539"/>
      <c r="F1539"/>
      <c r="G1539"/>
      <c r="H1539"/>
      <c r="I1539"/>
    </row>
    <row r="1540" spans="1:9">
      <c r="A1540"/>
      <c r="B1540" s="68"/>
      <c r="C1540"/>
      <c r="D1540"/>
      <c r="E1540"/>
      <c r="F1540"/>
      <c r="G1540"/>
      <c r="H1540"/>
      <c r="I1540"/>
    </row>
    <row r="1541" spans="1:9">
      <c r="A1541"/>
      <c r="B1541" s="68"/>
      <c r="C1541"/>
      <c r="D1541"/>
      <c r="E1541"/>
      <c r="F1541"/>
      <c r="G1541"/>
      <c r="H1541"/>
      <c r="I1541"/>
    </row>
    <row r="1542" spans="1:9">
      <c r="A1542"/>
      <c r="B1542" s="68"/>
      <c r="C1542"/>
      <c r="D1542"/>
      <c r="E1542"/>
      <c r="F1542"/>
      <c r="G1542"/>
      <c r="H1542"/>
      <c r="I1542"/>
    </row>
    <row r="1543" spans="1:9">
      <c r="A1543"/>
      <c r="B1543" s="68"/>
      <c r="C1543"/>
      <c r="D1543"/>
      <c r="E1543"/>
      <c r="F1543"/>
      <c r="G1543"/>
      <c r="H1543"/>
      <c r="I1543"/>
    </row>
    <row r="1544" spans="1:9">
      <c r="A1544"/>
      <c r="B1544" s="68"/>
      <c r="C1544"/>
      <c r="D1544"/>
      <c r="E1544"/>
      <c r="F1544"/>
      <c r="G1544"/>
      <c r="H1544"/>
      <c r="I1544"/>
    </row>
    <row r="1545" spans="1:9">
      <c r="A1545"/>
      <c r="B1545" s="68"/>
      <c r="C1545"/>
      <c r="D1545"/>
      <c r="E1545"/>
      <c r="F1545"/>
      <c r="G1545"/>
      <c r="H1545"/>
      <c r="I1545"/>
    </row>
    <row r="1546" spans="1:9">
      <c r="A1546"/>
      <c r="B1546" s="68"/>
      <c r="C1546"/>
      <c r="D1546"/>
      <c r="E1546"/>
      <c r="F1546"/>
      <c r="G1546"/>
      <c r="H1546"/>
      <c r="I1546"/>
    </row>
    <row r="1547" spans="1:9">
      <c r="A1547"/>
      <c r="B1547" s="68"/>
      <c r="C1547"/>
      <c r="D1547"/>
      <c r="E1547"/>
      <c r="F1547"/>
      <c r="G1547"/>
      <c r="H1547"/>
      <c r="I1547"/>
    </row>
    <row r="1548" spans="1:9">
      <c r="A1548"/>
      <c r="B1548" s="68"/>
      <c r="C1548"/>
      <c r="D1548"/>
      <c r="E1548"/>
      <c r="F1548"/>
      <c r="G1548"/>
      <c r="H1548"/>
      <c r="I1548"/>
    </row>
    <row r="1549" spans="1:9">
      <c r="A1549"/>
      <c r="B1549" s="68"/>
      <c r="C1549"/>
      <c r="D1549"/>
      <c r="E1549"/>
      <c r="F1549"/>
      <c r="G1549"/>
      <c r="H1549"/>
      <c r="I1549"/>
    </row>
    <row r="1550" spans="1:9">
      <c r="A1550"/>
      <c r="B1550" s="68"/>
      <c r="C1550"/>
      <c r="D1550"/>
      <c r="E1550"/>
      <c r="F1550"/>
      <c r="G1550"/>
      <c r="H1550"/>
      <c r="I1550"/>
    </row>
    <row r="1551" spans="1:9">
      <c r="A1551"/>
      <c r="B1551" s="68"/>
      <c r="C1551"/>
      <c r="D1551"/>
      <c r="E1551"/>
      <c r="F1551"/>
      <c r="G1551"/>
      <c r="H1551"/>
      <c r="I1551"/>
    </row>
    <row r="1552" spans="1:9">
      <c r="A1552"/>
      <c r="B1552" s="68"/>
      <c r="C1552"/>
      <c r="D1552"/>
      <c r="E1552"/>
      <c r="F1552"/>
      <c r="G1552"/>
      <c r="H1552"/>
      <c r="I1552"/>
    </row>
    <row r="1553" spans="1:9">
      <c r="A1553"/>
      <c r="B1553" s="68"/>
      <c r="C1553"/>
      <c r="D1553"/>
      <c r="E1553"/>
      <c r="F1553"/>
      <c r="G1553"/>
      <c r="H1553"/>
      <c r="I1553"/>
    </row>
    <row r="1554" spans="1:9">
      <c r="A1554"/>
      <c r="B1554" s="68"/>
      <c r="C1554"/>
      <c r="D1554"/>
      <c r="E1554"/>
      <c r="F1554"/>
      <c r="G1554"/>
      <c r="H1554"/>
      <c r="I1554"/>
    </row>
    <row r="1555" spans="1:9">
      <c r="A1555"/>
      <c r="B1555" s="68"/>
      <c r="C1555"/>
      <c r="D1555"/>
      <c r="E1555"/>
      <c r="F1555"/>
      <c r="G1555"/>
      <c r="H1555"/>
      <c r="I1555"/>
    </row>
    <row r="1556" spans="1:9">
      <c r="A1556"/>
      <c r="B1556" s="68"/>
      <c r="C1556"/>
      <c r="D1556"/>
      <c r="E1556"/>
      <c r="F1556"/>
      <c r="G1556"/>
      <c r="H1556"/>
      <c r="I1556"/>
    </row>
    <row r="1557" spans="1:9">
      <c r="A1557"/>
      <c r="B1557" s="68"/>
      <c r="C1557"/>
      <c r="D1557"/>
      <c r="E1557"/>
      <c r="F1557"/>
      <c r="G1557"/>
      <c r="H1557"/>
      <c r="I1557"/>
    </row>
    <row r="1558" spans="1:9">
      <c r="A1558"/>
      <c r="B1558" s="68"/>
      <c r="C1558"/>
      <c r="D1558"/>
      <c r="E1558"/>
      <c r="F1558"/>
      <c r="G1558"/>
      <c r="H1558"/>
      <c r="I1558"/>
    </row>
    <row r="1559" spans="1:9">
      <c r="A1559"/>
      <c r="B1559" s="68"/>
      <c r="C1559"/>
      <c r="D1559"/>
      <c r="E1559"/>
      <c r="F1559"/>
      <c r="G1559"/>
      <c r="H1559"/>
      <c r="I1559"/>
    </row>
    <row r="1560" spans="1:9">
      <c r="A1560"/>
      <c r="B1560" s="68"/>
      <c r="C1560"/>
      <c r="D1560"/>
      <c r="E1560"/>
      <c r="F1560"/>
      <c r="G1560"/>
      <c r="H1560"/>
      <c r="I1560"/>
    </row>
    <row r="1561" spans="1:9">
      <c r="A1561"/>
      <c r="B1561" s="68"/>
      <c r="C1561"/>
      <c r="D1561"/>
      <c r="E1561"/>
      <c r="F1561"/>
      <c r="G1561"/>
      <c r="H1561"/>
      <c r="I1561"/>
    </row>
    <row r="1562" spans="1:9">
      <c r="A1562"/>
      <c r="B1562" s="68"/>
      <c r="C1562"/>
      <c r="D1562"/>
      <c r="E1562"/>
      <c r="F1562"/>
      <c r="G1562"/>
      <c r="H1562"/>
      <c r="I1562"/>
    </row>
    <row r="1563" spans="1:9">
      <c r="A1563"/>
      <c r="B1563" s="68"/>
      <c r="C1563"/>
      <c r="D1563"/>
      <c r="E1563"/>
      <c r="F1563"/>
      <c r="G1563"/>
      <c r="H1563"/>
      <c r="I1563"/>
    </row>
    <row r="1564" spans="1:9">
      <c r="A1564"/>
      <c r="B1564" s="68"/>
      <c r="C1564"/>
      <c r="D1564"/>
      <c r="E1564"/>
      <c r="F1564"/>
      <c r="G1564"/>
      <c r="H1564"/>
      <c r="I1564"/>
    </row>
    <row r="1565" spans="1:9">
      <c r="A1565"/>
      <c r="B1565" s="68"/>
      <c r="C1565"/>
      <c r="D1565"/>
      <c r="E1565"/>
      <c r="F1565"/>
      <c r="G1565"/>
      <c r="H1565"/>
      <c r="I1565"/>
    </row>
    <row r="1566" spans="1:9">
      <c r="A1566"/>
      <c r="B1566" s="68"/>
      <c r="C1566"/>
      <c r="D1566"/>
      <c r="E1566"/>
      <c r="F1566"/>
      <c r="G1566"/>
      <c r="H1566"/>
      <c r="I1566"/>
    </row>
    <row r="1567" spans="1:9">
      <c r="A1567"/>
      <c r="B1567" s="68"/>
      <c r="C1567"/>
      <c r="D1567"/>
      <c r="E1567"/>
      <c r="F1567"/>
      <c r="G1567"/>
      <c r="H1567"/>
      <c r="I1567"/>
    </row>
    <row r="1568" spans="1:9">
      <c r="A1568"/>
      <c r="B1568" s="68"/>
      <c r="C1568"/>
      <c r="D1568"/>
      <c r="E1568"/>
      <c r="F1568"/>
      <c r="G1568"/>
      <c r="H1568"/>
      <c r="I1568"/>
    </row>
    <row r="1569" spans="1:9">
      <c r="A1569"/>
      <c r="B1569" s="68"/>
      <c r="C1569"/>
      <c r="D1569"/>
      <c r="E1569"/>
      <c r="F1569"/>
      <c r="G1569"/>
      <c r="H1569"/>
      <c r="I1569"/>
    </row>
    <row r="1570" spans="1:9">
      <c r="A1570"/>
      <c r="B1570" s="68"/>
      <c r="C1570"/>
      <c r="D1570"/>
      <c r="E1570"/>
      <c r="F1570"/>
      <c r="G1570"/>
      <c r="H1570"/>
      <c r="I1570"/>
    </row>
    <row r="1571" spans="1:9">
      <c r="A1571"/>
      <c r="B1571" s="68"/>
      <c r="C1571"/>
      <c r="D1571"/>
      <c r="E1571"/>
      <c r="F1571"/>
      <c r="G1571"/>
      <c r="H1571"/>
      <c r="I1571"/>
    </row>
    <row r="1572" spans="1:9">
      <c r="A1572"/>
      <c r="B1572" s="68"/>
      <c r="C1572"/>
      <c r="D1572"/>
      <c r="E1572"/>
      <c r="F1572"/>
      <c r="G1572"/>
      <c r="H1572"/>
      <c r="I1572"/>
    </row>
    <row r="1573" spans="1:9">
      <c r="A1573"/>
      <c r="B1573" s="68"/>
      <c r="C1573"/>
      <c r="D1573"/>
      <c r="E1573"/>
      <c r="F1573"/>
      <c r="G1573"/>
      <c r="H1573"/>
      <c r="I1573"/>
    </row>
    <row r="1574" spans="1:9">
      <c r="A1574"/>
      <c r="B1574" s="68"/>
      <c r="C1574"/>
      <c r="D1574"/>
      <c r="E1574"/>
      <c r="F1574"/>
      <c r="G1574"/>
      <c r="H1574"/>
      <c r="I1574"/>
    </row>
    <row r="1575" spans="1:9">
      <c r="A1575"/>
      <c r="B1575" s="68"/>
      <c r="C1575"/>
      <c r="D1575"/>
      <c r="E1575"/>
      <c r="F1575"/>
      <c r="G1575"/>
      <c r="H1575"/>
      <c r="I1575"/>
    </row>
    <row r="1576" spans="1:9">
      <c r="A1576"/>
      <c r="B1576" s="68"/>
      <c r="C1576"/>
      <c r="D1576"/>
      <c r="E1576"/>
      <c r="F1576"/>
      <c r="G1576"/>
      <c r="H1576"/>
      <c r="I1576"/>
    </row>
    <row r="1577" spans="1:9">
      <c r="A1577"/>
      <c r="B1577" s="68"/>
      <c r="C1577"/>
      <c r="D1577"/>
      <c r="E1577"/>
      <c r="F1577"/>
      <c r="G1577"/>
      <c r="H1577"/>
      <c r="I1577"/>
    </row>
    <row r="1578" spans="1:9">
      <c r="A1578"/>
      <c r="B1578" s="68"/>
      <c r="C1578"/>
      <c r="D1578"/>
      <c r="E1578"/>
      <c r="F1578"/>
      <c r="G1578"/>
      <c r="H1578"/>
      <c r="I1578"/>
    </row>
    <row r="1579" spans="1:9">
      <c r="A1579"/>
      <c r="B1579" s="68"/>
      <c r="C1579"/>
      <c r="D1579"/>
      <c r="E1579"/>
      <c r="F1579"/>
      <c r="G1579"/>
      <c r="H1579"/>
      <c r="I1579"/>
    </row>
    <row r="1580" spans="1:9">
      <c r="A1580"/>
      <c r="B1580" s="68"/>
      <c r="C1580"/>
      <c r="D1580"/>
      <c r="E1580"/>
      <c r="F1580"/>
      <c r="G1580"/>
      <c r="H1580"/>
      <c r="I1580"/>
    </row>
    <row r="1581" spans="1:9">
      <c r="A1581"/>
      <c r="B1581" s="68"/>
      <c r="C1581"/>
      <c r="D1581"/>
      <c r="E1581"/>
      <c r="F1581"/>
      <c r="G1581"/>
      <c r="H1581"/>
      <c r="I1581"/>
    </row>
    <row r="1582" spans="1:9">
      <c r="A1582"/>
      <c r="B1582" s="68"/>
      <c r="C1582"/>
      <c r="D1582"/>
      <c r="E1582"/>
      <c r="F1582"/>
      <c r="G1582"/>
      <c r="H1582"/>
      <c r="I1582"/>
    </row>
    <row r="1583" spans="1:9">
      <c r="A1583"/>
      <c r="B1583" s="68"/>
      <c r="C1583"/>
      <c r="D1583"/>
      <c r="E1583"/>
      <c r="F1583"/>
      <c r="G1583"/>
      <c r="H1583"/>
      <c r="I1583"/>
    </row>
    <row r="1584" spans="1:9">
      <c r="A1584"/>
      <c r="B1584" s="68"/>
      <c r="C1584"/>
      <c r="D1584"/>
      <c r="E1584"/>
      <c r="F1584"/>
      <c r="G1584"/>
      <c r="H1584"/>
      <c r="I1584"/>
    </row>
    <row r="1585" spans="1:9">
      <c r="A1585"/>
      <c r="B1585" s="68"/>
      <c r="C1585"/>
      <c r="D1585"/>
      <c r="E1585"/>
      <c r="F1585"/>
      <c r="G1585"/>
      <c r="H1585"/>
      <c r="I1585"/>
    </row>
    <row r="1586" spans="1:9">
      <c r="A1586"/>
      <c r="B1586" s="68"/>
      <c r="C1586"/>
      <c r="D1586"/>
      <c r="E1586"/>
      <c r="F1586"/>
      <c r="G1586"/>
      <c r="H1586"/>
      <c r="I1586"/>
    </row>
    <row r="1587" spans="1:9">
      <c r="A1587"/>
      <c r="B1587" s="68"/>
      <c r="C1587"/>
      <c r="D1587"/>
      <c r="E1587"/>
      <c r="F1587"/>
      <c r="G1587"/>
      <c r="H1587"/>
      <c r="I1587"/>
    </row>
    <row r="1588" spans="1:9">
      <c r="A1588"/>
      <c r="B1588" s="68"/>
      <c r="C1588"/>
      <c r="D1588"/>
      <c r="E1588"/>
      <c r="F1588"/>
      <c r="G1588"/>
      <c r="H1588"/>
      <c r="I1588"/>
    </row>
    <row r="1589" spans="1:9">
      <c r="A1589"/>
      <c r="B1589" s="68"/>
      <c r="C1589"/>
      <c r="D1589"/>
      <c r="E1589"/>
      <c r="F1589"/>
      <c r="G1589"/>
      <c r="H1589"/>
      <c r="I1589"/>
    </row>
    <row r="1590" spans="1:9">
      <c r="A1590"/>
      <c r="B1590" s="68"/>
      <c r="C1590"/>
      <c r="D1590"/>
      <c r="E1590"/>
      <c r="F1590"/>
      <c r="G1590"/>
      <c r="H1590"/>
      <c r="I1590"/>
    </row>
    <row r="1591" spans="1:9">
      <c r="A1591"/>
      <c r="B1591" s="68"/>
      <c r="C1591"/>
      <c r="D1591"/>
      <c r="E1591"/>
      <c r="F1591"/>
      <c r="G1591"/>
      <c r="H1591"/>
      <c r="I1591"/>
    </row>
    <row r="1592" spans="1:9">
      <c r="A1592"/>
      <c r="B1592" s="68"/>
      <c r="C1592"/>
      <c r="D1592"/>
      <c r="E1592"/>
      <c r="F1592"/>
      <c r="G1592"/>
      <c r="H1592"/>
      <c r="I1592"/>
    </row>
    <row r="1593" spans="1:9">
      <c r="A1593"/>
      <c r="B1593" s="68"/>
      <c r="C1593"/>
      <c r="D1593"/>
      <c r="E1593"/>
      <c r="F1593"/>
      <c r="G1593"/>
      <c r="H1593"/>
      <c r="I1593"/>
    </row>
    <row r="1594" spans="1:9">
      <c r="A1594"/>
      <c r="B1594" s="68"/>
      <c r="C1594"/>
      <c r="D1594"/>
      <c r="E1594"/>
      <c r="F1594"/>
      <c r="G1594"/>
      <c r="H1594"/>
      <c r="I1594"/>
    </row>
    <row r="1595" spans="1:9">
      <c r="A1595"/>
      <c r="B1595" s="68"/>
      <c r="C1595"/>
      <c r="D1595"/>
      <c r="E1595"/>
      <c r="F1595"/>
      <c r="G1595"/>
      <c r="H1595"/>
      <c r="I1595"/>
    </row>
    <row r="1596" spans="1:9">
      <c r="A1596"/>
      <c r="B1596" s="68"/>
      <c r="C1596"/>
      <c r="D1596"/>
      <c r="E1596"/>
      <c r="F1596"/>
      <c r="G1596"/>
      <c r="H1596"/>
      <c r="I1596"/>
    </row>
    <row r="1597" spans="1:9">
      <c r="A1597"/>
      <c r="B1597" s="68"/>
      <c r="C1597"/>
      <c r="D1597"/>
      <c r="E1597"/>
      <c r="F1597"/>
      <c r="G1597"/>
      <c r="H1597"/>
      <c r="I1597"/>
    </row>
    <row r="1598" spans="1:9">
      <c r="A1598"/>
      <c r="B1598" s="68"/>
      <c r="C1598"/>
      <c r="D1598"/>
      <c r="E1598"/>
      <c r="F1598"/>
      <c r="G1598"/>
      <c r="H1598"/>
      <c r="I1598"/>
    </row>
    <row r="1599" spans="1:9">
      <c r="A1599"/>
      <c r="B1599" s="68"/>
      <c r="C1599"/>
      <c r="D1599"/>
      <c r="E1599"/>
      <c r="F1599"/>
      <c r="G1599"/>
      <c r="H1599"/>
      <c r="I1599"/>
    </row>
    <row r="1600" spans="1:9">
      <c r="A1600"/>
      <c r="B1600" s="68"/>
      <c r="C1600"/>
      <c r="D1600"/>
      <c r="E1600"/>
      <c r="F1600"/>
      <c r="G1600"/>
      <c r="H1600"/>
      <c r="I1600"/>
    </row>
    <row r="1601" spans="1:9">
      <c r="A1601"/>
      <c r="B1601" s="68"/>
      <c r="C1601"/>
      <c r="D1601"/>
      <c r="E1601"/>
      <c r="F1601"/>
      <c r="G1601"/>
      <c r="H1601"/>
      <c r="I1601"/>
    </row>
    <row r="1602" spans="1:9">
      <c r="A1602"/>
      <c r="B1602" s="68"/>
      <c r="C1602"/>
      <c r="D1602"/>
      <c r="E1602"/>
      <c r="F1602"/>
      <c r="G1602"/>
      <c r="H1602"/>
      <c r="I1602"/>
    </row>
    <row r="1603" spans="1:9">
      <c r="A1603"/>
      <c r="B1603" s="68"/>
      <c r="C1603"/>
      <c r="D1603"/>
      <c r="E1603"/>
      <c r="F1603"/>
      <c r="G1603"/>
      <c r="H1603"/>
      <c r="I1603"/>
    </row>
    <row r="1604" spans="1:9">
      <c r="A1604"/>
      <c r="B1604" s="68"/>
      <c r="C1604"/>
      <c r="D1604"/>
      <c r="E1604"/>
      <c r="F1604"/>
      <c r="G1604"/>
      <c r="H1604"/>
      <c r="I1604"/>
    </row>
    <row r="1605" spans="1:9">
      <c r="A1605"/>
      <c r="B1605" s="68"/>
      <c r="C1605"/>
      <c r="D1605"/>
      <c r="E1605"/>
      <c r="F1605"/>
      <c r="G1605"/>
      <c r="H1605"/>
      <c r="I1605"/>
    </row>
    <row r="1606" spans="1:9">
      <c r="A1606"/>
      <c r="B1606" s="68"/>
      <c r="C1606"/>
      <c r="D1606"/>
      <c r="E1606"/>
      <c r="F1606"/>
      <c r="G1606"/>
      <c r="H1606"/>
      <c r="I1606"/>
    </row>
    <row r="1607" spans="1:9">
      <c r="A1607"/>
      <c r="B1607" s="68"/>
      <c r="C1607"/>
      <c r="D1607"/>
      <c r="E1607"/>
      <c r="F1607"/>
      <c r="G1607"/>
      <c r="H1607"/>
      <c r="I1607"/>
    </row>
    <row r="1608" spans="1:9">
      <c r="A1608"/>
      <c r="B1608" s="68"/>
      <c r="C1608"/>
      <c r="D1608"/>
      <c r="E1608"/>
      <c r="F1608"/>
      <c r="G1608"/>
      <c r="H1608"/>
      <c r="I1608"/>
    </row>
    <row r="1609" spans="1:9">
      <c r="A1609"/>
      <c r="B1609" s="68"/>
      <c r="C1609"/>
      <c r="D1609"/>
      <c r="E1609"/>
      <c r="F1609"/>
      <c r="G1609"/>
      <c r="H1609"/>
      <c r="I1609"/>
    </row>
    <row r="1610" spans="1:9">
      <c r="A1610"/>
      <c r="B1610" s="68"/>
      <c r="C1610"/>
      <c r="D1610"/>
      <c r="E1610"/>
      <c r="F1610"/>
      <c r="G1610"/>
      <c r="H1610"/>
      <c r="I1610"/>
    </row>
    <row r="1611" spans="1:9">
      <c r="A1611"/>
      <c r="B1611" s="68"/>
      <c r="C1611"/>
      <c r="D1611"/>
      <c r="E1611"/>
      <c r="F1611"/>
      <c r="G1611"/>
      <c r="H1611"/>
      <c r="I1611"/>
    </row>
    <row r="1612" spans="1:9">
      <c r="A1612"/>
      <c r="B1612" s="68"/>
      <c r="C1612"/>
      <c r="D1612"/>
      <c r="E1612"/>
      <c r="F1612"/>
      <c r="G1612"/>
      <c r="H1612"/>
      <c r="I1612"/>
    </row>
    <row r="1613" spans="1:9">
      <c r="A1613"/>
      <c r="B1613" s="68"/>
      <c r="C1613"/>
      <c r="D1613"/>
      <c r="E1613"/>
      <c r="F1613"/>
      <c r="G1613"/>
      <c r="H1613"/>
      <c r="I1613"/>
    </row>
    <row r="1614" spans="1:9">
      <c r="A1614"/>
      <c r="B1614" s="68"/>
      <c r="C1614"/>
      <c r="D1614"/>
      <c r="E1614"/>
      <c r="F1614"/>
      <c r="G1614"/>
      <c r="H1614"/>
      <c r="I1614"/>
    </row>
    <row r="1615" spans="1:9">
      <c r="A1615"/>
      <c r="B1615" s="68"/>
      <c r="C1615"/>
      <c r="D1615"/>
      <c r="E1615"/>
      <c r="F1615"/>
      <c r="G1615"/>
      <c r="H1615"/>
      <c r="I1615"/>
    </row>
    <row r="1616" spans="1:9">
      <c r="A1616"/>
      <c r="B1616" s="68"/>
      <c r="C1616"/>
      <c r="D1616"/>
      <c r="E1616"/>
      <c r="F1616"/>
      <c r="G1616"/>
      <c r="H1616"/>
      <c r="I1616"/>
    </row>
    <row r="1617" spans="1:9">
      <c r="A1617"/>
      <c r="B1617" s="68"/>
      <c r="C1617"/>
      <c r="D1617"/>
      <c r="E1617"/>
      <c r="F1617"/>
      <c r="G1617"/>
      <c r="H1617"/>
      <c r="I1617"/>
    </row>
    <row r="1618" spans="1:9">
      <c r="A1618"/>
      <c r="B1618" s="68"/>
      <c r="C1618"/>
      <c r="D1618"/>
      <c r="E1618"/>
      <c r="F1618"/>
      <c r="G1618"/>
      <c r="H1618"/>
      <c r="I1618"/>
    </row>
    <row r="1619" spans="1:9">
      <c r="A1619"/>
      <c r="B1619" s="68"/>
      <c r="C1619"/>
      <c r="D1619"/>
      <c r="E1619"/>
      <c r="F1619"/>
      <c r="G1619"/>
      <c r="H1619"/>
      <c r="I1619"/>
    </row>
    <row r="1620" spans="1:9">
      <c r="A1620"/>
      <c r="B1620" s="68"/>
      <c r="C1620"/>
      <c r="D1620"/>
      <c r="E1620"/>
      <c r="F1620"/>
      <c r="G1620"/>
      <c r="H1620"/>
      <c r="I1620"/>
    </row>
    <row r="1621" spans="1:9">
      <c r="A1621"/>
      <c r="B1621" s="68"/>
      <c r="C1621"/>
      <c r="D1621"/>
      <c r="E1621"/>
      <c r="F1621"/>
      <c r="G1621"/>
      <c r="H1621"/>
      <c r="I1621"/>
    </row>
    <row r="1622" spans="1:9">
      <c r="A1622"/>
      <c r="B1622" s="68"/>
      <c r="C1622"/>
      <c r="D1622"/>
      <c r="E1622"/>
      <c r="F1622"/>
      <c r="G1622"/>
      <c r="H1622"/>
      <c r="I1622"/>
    </row>
    <row r="1623" spans="1:9">
      <c r="A1623"/>
      <c r="B1623" s="68"/>
      <c r="C1623"/>
      <c r="D1623"/>
      <c r="E1623"/>
      <c r="F1623"/>
      <c r="G1623"/>
      <c r="H1623"/>
      <c r="I1623"/>
    </row>
    <row r="1624" spans="1:9">
      <c r="A1624"/>
      <c r="B1624" s="68"/>
      <c r="C1624"/>
      <c r="D1624"/>
      <c r="E1624"/>
      <c r="F1624"/>
      <c r="G1624"/>
      <c r="H1624"/>
      <c r="I1624"/>
    </row>
    <row r="1625" spans="1:9">
      <c r="A1625"/>
      <c r="B1625" s="68"/>
      <c r="C1625"/>
      <c r="D1625"/>
      <c r="E1625"/>
      <c r="F1625"/>
      <c r="G1625"/>
      <c r="H1625"/>
      <c r="I1625"/>
    </row>
    <row r="1626" spans="1:9">
      <c r="A1626"/>
      <c r="B1626" s="68"/>
      <c r="C1626"/>
      <c r="D1626"/>
      <c r="E1626"/>
      <c r="F1626"/>
      <c r="G1626"/>
      <c r="H1626"/>
      <c r="I1626"/>
    </row>
    <row r="1627" spans="1:9">
      <c r="A1627"/>
      <c r="B1627" s="68"/>
      <c r="C1627"/>
      <c r="D1627"/>
      <c r="E1627"/>
      <c r="F1627"/>
      <c r="G1627"/>
      <c r="H1627"/>
      <c r="I1627"/>
    </row>
    <row r="1628" spans="1:9">
      <c r="A1628"/>
      <c r="B1628" s="68"/>
      <c r="C1628"/>
      <c r="D1628"/>
      <c r="E1628"/>
      <c r="F1628"/>
      <c r="G1628"/>
      <c r="H1628"/>
      <c r="I1628"/>
    </row>
    <row r="1629" spans="1:9">
      <c r="A1629"/>
      <c r="B1629" s="68"/>
      <c r="C1629"/>
      <c r="D1629"/>
      <c r="E1629"/>
      <c r="F1629"/>
      <c r="G1629"/>
      <c r="H1629"/>
      <c r="I1629"/>
    </row>
    <row r="1630" spans="1:9">
      <c r="A1630"/>
      <c r="B1630" s="68"/>
      <c r="C1630"/>
      <c r="D1630"/>
      <c r="E1630"/>
      <c r="F1630"/>
      <c r="G1630"/>
      <c r="H1630"/>
      <c r="I1630"/>
    </row>
    <row r="1631" spans="1:9">
      <c r="A1631"/>
      <c r="B1631" s="68"/>
      <c r="C1631"/>
      <c r="D1631"/>
      <c r="E1631"/>
      <c r="F1631"/>
      <c r="G1631"/>
      <c r="H1631"/>
      <c r="I1631"/>
    </row>
    <row r="1632" spans="1:9">
      <c r="A1632"/>
      <c r="B1632" s="68"/>
      <c r="C1632"/>
      <c r="D1632"/>
      <c r="E1632"/>
      <c r="F1632"/>
      <c r="G1632"/>
      <c r="H1632"/>
      <c r="I1632"/>
    </row>
    <row r="1633" spans="1:9">
      <c r="A1633"/>
      <c r="B1633" s="68"/>
      <c r="C1633"/>
      <c r="D1633"/>
      <c r="E1633"/>
      <c r="F1633"/>
      <c r="G1633"/>
      <c r="H1633"/>
      <c r="I1633"/>
    </row>
    <row r="1634" spans="1:9">
      <c r="A1634"/>
      <c r="B1634" s="68"/>
      <c r="C1634"/>
      <c r="D1634"/>
      <c r="E1634"/>
      <c r="F1634"/>
      <c r="G1634"/>
      <c r="H1634"/>
      <c r="I1634"/>
    </row>
    <row r="1635" spans="1:9">
      <c r="A1635"/>
      <c r="B1635" s="68"/>
      <c r="C1635"/>
      <c r="D1635"/>
      <c r="E1635"/>
      <c r="F1635"/>
      <c r="G1635"/>
      <c r="H1635"/>
      <c r="I1635"/>
    </row>
    <row r="1636" spans="1:9">
      <c r="A1636"/>
      <c r="B1636" s="68"/>
      <c r="C1636"/>
      <c r="D1636"/>
      <c r="E1636"/>
      <c r="F1636"/>
      <c r="G1636"/>
      <c r="H1636"/>
      <c r="I1636"/>
    </row>
    <row r="1637" spans="1:9">
      <c r="A1637"/>
      <c r="B1637" s="68"/>
      <c r="C1637"/>
      <c r="D1637"/>
      <c r="E1637"/>
      <c r="F1637"/>
      <c r="G1637"/>
      <c r="H1637"/>
      <c r="I1637"/>
    </row>
    <row r="1638" spans="1:9">
      <c r="A1638"/>
      <c r="B1638" s="68"/>
      <c r="C1638"/>
      <c r="D1638"/>
      <c r="E1638"/>
      <c r="F1638"/>
      <c r="G1638"/>
      <c r="H1638"/>
      <c r="I1638"/>
    </row>
    <row r="1639" spans="1:9">
      <c r="A1639"/>
      <c r="B1639" s="68"/>
      <c r="C1639"/>
      <c r="D1639"/>
      <c r="E1639"/>
      <c r="F1639"/>
      <c r="G1639"/>
      <c r="H1639"/>
      <c r="I1639"/>
    </row>
    <row r="1640" spans="1:9">
      <c r="A1640"/>
      <c r="B1640" s="68"/>
      <c r="C1640"/>
      <c r="D1640"/>
      <c r="E1640"/>
      <c r="F1640"/>
      <c r="G1640"/>
      <c r="H1640"/>
      <c r="I1640"/>
    </row>
    <row r="1641" spans="1:9">
      <c r="A1641"/>
      <c r="B1641" s="68"/>
      <c r="C1641"/>
      <c r="D1641"/>
      <c r="E1641"/>
      <c r="F1641"/>
      <c r="G1641"/>
      <c r="H1641"/>
      <c r="I1641"/>
    </row>
    <row r="1642" spans="1:9">
      <c r="A1642"/>
      <c r="B1642" s="68"/>
      <c r="C1642"/>
      <c r="D1642"/>
      <c r="E1642"/>
      <c r="F1642"/>
      <c r="G1642"/>
      <c r="H1642"/>
      <c r="I1642"/>
    </row>
    <row r="1643" spans="1:9">
      <c r="A1643"/>
      <c r="B1643" s="68"/>
      <c r="C1643"/>
      <c r="D1643"/>
      <c r="E1643"/>
      <c r="F1643"/>
      <c r="G1643"/>
      <c r="H1643"/>
      <c r="I1643"/>
    </row>
    <row r="1644" spans="1:9">
      <c r="A1644"/>
      <c r="B1644" s="68"/>
      <c r="C1644"/>
      <c r="D1644"/>
      <c r="E1644"/>
      <c r="F1644"/>
      <c r="G1644"/>
      <c r="H1644"/>
      <c r="I1644"/>
    </row>
    <row r="1645" spans="1:9">
      <c r="A1645"/>
      <c r="B1645" s="68"/>
      <c r="C1645"/>
      <c r="D1645"/>
      <c r="E1645"/>
      <c r="F1645"/>
      <c r="G1645"/>
      <c r="H1645"/>
      <c r="I1645"/>
    </row>
    <row r="1646" spans="1:9">
      <c r="A1646"/>
      <c r="B1646" s="68"/>
      <c r="C1646"/>
      <c r="D1646"/>
      <c r="E1646"/>
      <c r="F1646"/>
      <c r="G1646"/>
      <c r="H1646"/>
      <c r="I1646"/>
    </row>
    <row r="1647" spans="1:9">
      <c r="A1647"/>
      <c r="B1647" s="68"/>
      <c r="C1647"/>
      <c r="D1647"/>
      <c r="E1647"/>
      <c r="F1647"/>
      <c r="G1647"/>
      <c r="H1647"/>
      <c r="I1647"/>
    </row>
    <row r="1648" spans="1:9">
      <c r="A1648"/>
      <c r="B1648" s="68"/>
      <c r="C1648"/>
      <c r="D1648"/>
      <c r="E1648"/>
      <c r="F1648"/>
      <c r="G1648"/>
      <c r="H1648"/>
      <c r="I1648"/>
    </row>
    <row r="1649" spans="1:9">
      <c r="A1649"/>
      <c r="B1649" s="68"/>
      <c r="C1649"/>
      <c r="D1649"/>
      <c r="E1649"/>
      <c r="F1649"/>
      <c r="G1649"/>
      <c r="H1649"/>
      <c r="I1649"/>
    </row>
    <row r="1650" spans="1:9">
      <c r="A1650"/>
      <c r="B1650" s="68"/>
      <c r="C1650"/>
      <c r="D1650"/>
      <c r="E1650"/>
      <c r="F1650"/>
      <c r="G1650"/>
      <c r="H1650"/>
      <c r="I1650"/>
    </row>
    <row r="1651" spans="1:9">
      <c r="A1651"/>
      <c r="B1651" s="68"/>
      <c r="C1651"/>
      <c r="D1651"/>
      <c r="E1651"/>
      <c r="F1651"/>
      <c r="G1651"/>
      <c r="H1651"/>
      <c r="I1651"/>
    </row>
    <row r="1652" spans="1:9">
      <c r="A1652"/>
      <c r="B1652" s="68"/>
      <c r="C1652"/>
      <c r="D1652"/>
      <c r="E1652"/>
      <c r="F1652"/>
      <c r="G1652"/>
      <c r="H1652"/>
      <c r="I1652"/>
    </row>
    <row r="1653" spans="1:9">
      <c r="A1653"/>
      <c r="B1653" s="68"/>
      <c r="C1653"/>
      <c r="D1653"/>
      <c r="E1653"/>
      <c r="F1653"/>
      <c r="G1653"/>
      <c r="H1653"/>
      <c r="I1653"/>
    </row>
    <row r="1654" spans="1:9">
      <c r="A1654"/>
      <c r="B1654" s="68"/>
      <c r="C1654"/>
      <c r="D1654"/>
      <c r="E1654"/>
      <c r="F1654"/>
      <c r="G1654"/>
      <c r="H1654"/>
      <c r="I1654"/>
    </row>
    <row r="1655" spans="1:9">
      <c r="A1655"/>
      <c r="B1655" s="68"/>
      <c r="C1655"/>
      <c r="D1655"/>
      <c r="E1655"/>
      <c r="F1655"/>
      <c r="G1655"/>
      <c r="H1655"/>
      <c r="I1655"/>
    </row>
    <row r="1656" spans="1:9">
      <c r="A1656"/>
      <c r="B1656" s="68"/>
      <c r="C1656"/>
      <c r="D1656"/>
      <c r="E1656"/>
      <c r="F1656"/>
      <c r="G1656"/>
      <c r="H1656"/>
      <c r="I1656"/>
    </row>
    <row r="1657" spans="1:9">
      <c r="A1657"/>
      <c r="B1657" s="68"/>
      <c r="C1657"/>
      <c r="D1657"/>
      <c r="E1657"/>
      <c r="F1657"/>
      <c r="G1657"/>
      <c r="H1657"/>
      <c r="I1657"/>
    </row>
    <row r="1658" spans="1:9">
      <c r="A1658"/>
      <c r="B1658" s="68"/>
      <c r="C1658"/>
      <c r="D1658"/>
      <c r="E1658"/>
      <c r="F1658"/>
      <c r="G1658"/>
      <c r="H1658"/>
      <c r="I1658"/>
    </row>
    <row r="1659" spans="1:9">
      <c r="A1659"/>
      <c r="B1659" s="68"/>
      <c r="C1659"/>
      <c r="D1659"/>
      <c r="E1659"/>
      <c r="F1659"/>
      <c r="G1659"/>
      <c r="H1659"/>
      <c r="I1659"/>
    </row>
    <row r="1660" spans="1:9">
      <c r="A1660"/>
      <c r="B1660" s="68"/>
      <c r="C1660"/>
      <c r="D1660"/>
      <c r="E1660"/>
      <c r="F1660"/>
      <c r="G1660"/>
      <c r="H1660"/>
      <c r="I1660"/>
    </row>
    <row r="1661" spans="1:9">
      <c r="A1661"/>
      <c r="B1661" s="68"/>
      <c r="C1661"/>
      <c r="D1661"/>
      <c r="E1661"/>
      <c r="F1661"/>
      <c r="G1661"/>
      <c r="H1661"/>
      <c r="I1661"/>
    </row>
    <row r="1662" spans="1:9">
      <c r="A1662"/>
      <c r="B1662" s="68"/>
      <c r="C1662"/>
      <c r="D1662"/>
      <c r="E1662"/>
      <c r="F1662"/>
      <c r="G1662"/>
      <c r="H1662"/>
      <c r="I1662"/>
    </row>
    <row r="1663" spans="1:9">
      <c r="A1663"/>
      <c r="B1663" s="68"/>
      <c r="C1663"/>
      <c r="D1663"/>
      <c r="E1663"/>
      <c r="F1663"/>
      <c r="G1663"/>
      <c r="H1663"/>
      <c r="I1663"/>
    </row>
    <row r="1664" spans="1:9">
      <c r="A1664"/>
      <c r="B1664" s="68"/>
      <c r="C1664"/>
      <c r="D1664"/>
      <c r="E1664"/>
      <c r="F1664"/>
      <c r="G1664"/>
      <c r="H1664"/>
      <c r="I1664"/>
    </row>
    <row r="1665" spans="1:9">
      <c r="A1665"/>
      <c r="B1665" s="68"/>
      <c r="C1665"/>
      <c r="D1665"/>
      <c r="E1665"/>
      <c r="F1665"/>
      <c r="G1665"/>
      <c r="H1665"/>
      <c r="I1665"/>
    </row>
    <row r="1666" spans="1:9">
      <c r="A1666"/>
      <c r="B1666" s="68"/>
      <c r="C1666"/>
      <c r="D1666"/>
      <c r="E1666"/>
      <c r="F1666"/>
      <c r="G1666"/>
      <c r="H1666"/>
      <c r="I1666"/>
    </row>
    <row r="1667" spans="1:9">
      <c r="A1667"/>
      <c r="B1667" s="68"/>
      <c r="C1667"/>
      <c r="D1667"/>
      <c r="E1667"/>
      <c r="F1667"/>
      <c r="G1667"/>
      <c r="H1667"/>
      <c r="I1667"/>
    </row>
    <row r="1668" spans="1:9">
      <c r="A1668"/>
      <c r="B1668" s="68"/>
      <c r="C1668"/>
      <c r="D1668"/>
      <c r="E1668"/>
      <c r="F1668"/>
      <c r="G1668"/>
      <c r="H1668"/>
      <c r="I1668"/>
    </row>
    <row r="1669" spans="1:9">
      <c r="A1669"/>
      <c r="B1669" s="68"/>
      <c r="C1669"/>
      <c r="D1669"/>
      <c r="E1669"/>
      <c r="F1669"/>
      <c r="G1669"/>
      <c r="H1669"/>
      <c r="I1669"/>
    </row>
    <row r="1670" spans="1:9">
      <c r="A1670"/>
      <c r="B1670" s="68"/>
      <c r="C1670"/>
      <c r="D1670"/>
      <c r="E1670"/>
      <c r="F1670"/>
      <c r="G1670"/>
      <c r="H1670"/>
      <c r="I1670"/>
    </row>
    <row r="1671" spans="1:9">
      <c r="A1671"/>
      <c r="B1671" s="68"/>
      <c r="C1671"/>
      <c r="D1671"/>
      <c r="E1671"/>
      <c r="F1671"/>
      <c r="G1671"/>
      <c r="H1671"/>
      <c r="I1671"/>
    </row>
    <row r="1672" spans="1:9">
      <c r="A1672"/>
      <c r="B1672" s="68"/>
      <c r="C1672"/>
      <c r="D1672"/>
      <c r="E1672"/>
      <c r="F1672"/>
      <c r="G1672"/>
      <c r="H1672"/>
      <c r="I1672"/>
    </row>
    <row r="1673" spans="1:9">
      <c r="A1673"/>
      <c r="B1673" s="68"/>
      <c r="C1673"/>
      <c r="D1673"/>
      <c r="E1673"/>
      <c r="F1673"/>
      <c r="G1673"/>
      <c r="H1673"/>
      <c r="I1673"/>
    </row>
    <row r="1674" spans="1:9">
      <c r="A1674"/>
      <c r="B1674" s="68"/>
      <c r="C1674"/>
      <c r="D1674"/>
      <c r="E1674"/>
      <c r="F1674"/>
      <c r="G1674"/>
      <c r="H1674"/>
      <c r="I1674"/>
    </row>
    <row r="1675" spans="1:9">
      <c r="A1675"/>
      <c r="B1675" s="68"/>
      <c r="C1675"/>
      <c r="D1675"/>
      <c r="E1675"/>
      <c r="F1675"/>
      <c r="G1675"/>
      <c r="H1675"/>
      <c r="I1675"/>
    </row>
    <row r="1676" spans="1:9">
      <c r="A1676"/>
      <c r="B1676" s="68"/>
      <c r="C1676"/>
      <c r="D1676"/>
      <c r="E1676"/>
      <c r="F1676"/>
      <c r="G1676"/>
      <c r="H1676"/>
      <c r="I1676"/>
    </row>
    <row r="1677" spans="1:9">
      <c r="A1677"/>
      <c r="B1677" s="68"/>
      <c r="C1677"/>
      <c r="D1677"/>
      <c r="E1677"/>
      <c r="F1677"/>
      <c r="G1677"/>
      <c r="H1677"/>
      <c r="I1677"/>
    </row>
    <row r="1678" spans="1:9">
      <c r="A1678"/>
      <c r="B1678" s="68"/>
      <c r="C1678"/>
      <c r="D1678"/>
      <c r="E1678"/>
      <c r="F1678"/>
      <c r="G1678"/>
      <c r="H1678"/>
      <c r="I1678"/>
    </row>
    <row r="1679" spans="1:9">
      <c r="A1679"/>
      <c r="B1679" s="68"/>
      <c r="C1679"/>
      <c r="D1679"/>
      <c r="E1679"/>
      <c r="F1679"/>
      <c r="G1679"/>
      <c r="H1679"/>
      <c r="I1679"/>
    </row>
    <row r="1680" spans="1:9">
      <c r="A1680"/>
      <c r="B1680" s="68"/>
      <c r="C1680"/>
      <c r="D1680"/>
      <c r="E1680"/>
      <c r="F1680"/>
      <c r="G1680"/>
      <c r="H1680"/>
      <c r="I1680"/>
    </row>
    <row r="1681" spans="1:9">
      <c r="A1681"/>
      <c r="B1681" s="68"/>
      <c r="C1681"/>
      <c r="D1681"/>
      <c r="E1681"/>
      <c r="F1681"/>
      <c r="G1681"/>
      <c r="H1681"/>
      <c r="I1681"/>
    </row>
    <row r="1682" spans="1:9">
      <c r="A1682"/>
      <c r="B1682" s="68"/>
      <c r="C1682"/>
      <c r="D1682"/>
      <c r="E1682"/>
      <c r="F1682"/>
      <c r="G1682"/>
      <c r="H1682"/>
      <c r="I1682"/>
    </row>
    <row r="1683" spans="1:9">
      <c r="A1683"/>
      <c r="B1683" s="68"/>
      <c r="C1683"/>
      <c r="D1683"/>
      <c r="E1683"/>
      <c r="F1683"/>
      <c r="G1683"/>
      <c r="H1683"/>
      <c r="I1683"/>
    </row>
    <row r="1684" spans="1:9">
      <c r="A1684"/>
      <c r="B1684" s="68"/>
      <c r="C1684"/>
      <c r="D1684"/>
      <c r="E1684"/>
      <c r="F1684"/>
      <c r="G1684"/>
      <c r="H1684"/>
      <c r="I1684"/>
    </row>
    <row r="1685" spans="1:9">
      <c r="A1685"/>
      <c r="B1685" s="68"/>
      <c r="C1685"/>
      <c r="D1685"/>
      <c r="E1685"/>
      <c r="F1685"/>
      <c r="G1685"/>
      <c r="H1685"/>
      <c r="I1685"/>
    </row>
    <row r="1686" spans="1:9">
      <c r="A1686"/>
      <c r="B1686" s="68"/>
      <c r="C1686"/>
      <c r="D1686"/>
      <c r="E1686"/>
      <c r="F1686"/>
      <c r="G1686"/>
      <c r="H1686"/>
      <c r="I1686"/>
    </row>
    <row r="1687" spans="1:9">
      <c r="A1687"/>
      <c r="B1687" s="68"/>
      <c r="C1687"/>
      <c r="D1687"/>
      <c r="E1687"/>
      <c r="F1687"/>
      <c r="G1687"/>
      <c r="H1687"/>
      <c r="I1687"/>
    </row>
    <row r="1688" spans="1:9">
      <c r="A1688"/>
      <c r="B1688" s="68"/>
      <c r="C1688"/>
      <c r="D1688"/>
      <c r="E1688"/>
      <c r="F1688"/>
      <c r="G1688"/>
      <c r="H1688"/>
      <c r="I1688"/>
    </row>
    <row r="1689" spans="1:9">
      <c r="A1689"/>
      <c r="B1689" s="68"/>
      <c r="C1689"/>
      <c r="D1689"/>
      <c r="E1689"/>
      <c r="F1689"/>
      <c r="G1689"/>
      <c r="H1689"/>
      <c r="I1689"/>
    </row>
    <row r="1690" spans="1:9">
      <c r="A1690"/>
      <c r="B1690" s="68"/>
      <c r="C1690"/>
      <c r="D1690"/>
      <c r="E1690"/>
      <c r="F1690"/>
      <c r="G1690"/>
      <c r="H1690"/>
      <c r="I1690"/>
    </row>
    <row r="1691" spans="1:9">
      <c r="A1691"/>
      <c r="B1691" s="68"/>
      <c r="C1691"/>
      <c r="D1691"/>
      <c r="E1691"/>
      <c r="F1691"/>
      <c r="G1691"/>
      <c r="H1691"/>
      <c r="I1691"/>
    </row>
    <row r="1692" spans="1:9">
      <c r="A1692"/>
      <c r="B1692" s="68"/>
      <c r="C1692"/>
      <c r="D1692"/>
      <c r="E1692"/>
      <c r="F1692"/>
      <c r="G1692"/>
      <c r="H1692"/>
      <c r="I1692"/>
    </row>
    <row r="1693" spans="1:9">
      <c r="A1693"/>
      <c r="B1693" s="68"/>
      <c r="C1693"/>
      <c r="D1693"/>
      <c r="E1693"/>
      <c r="F1693"/>
      <c r="G1693"/>
      <c r="H1693"/>
      <c r="I1693"/>
    </row>
    <row r="1694" spans="1:9">
      <c r="A1694"/>
      <c r="B1694" s="68"/>
      <c r="C1694"/>
      <c r="D1694"/>
      <c r="E1694"/>
      <c r="F1694"/>
      <c r="G1694"/>
      <c r="H1694"/>
      <c r="I1694"/>
    </row>
    <row r="1695" spans="1:9">
      <c r="A1695"/>
      <c r="B1695" s="68"/>
      <c r="C1695"/>
      <c r="D1695"/>
      <c r="E1695"/>
      <c r="F1695"/>
      <c r="G1695"/>
      <c r="H1695"/>
      <c r="I1695"/>
    </row>
    <row r="1696" spans="1:9">
      <c r="A1696"/>
      <c r="B1696" s="68"/>
      <c r="C1696"/>
      <c r="D1696"/>
      <c r="E1696"/>
      <c r="F1696"/>
      <c r="G1696"/>
      <c r="H1696"/>
      <c r="I1696"/>
    </row>
    <row r="1697" spans="1:9">
      <c r="A1697"/>
      <c r="B1697" s="68"/>
      <c r="C1697"/>
      <c r="D1697"/>
      <c r="E1697"/>
      <c r="F1697"/>
      <c r="G1697"/>
      <c r="H1697"/>
      <c r="I1697"/>
    </row>
    <row r="1698" spans="1:9">
      <c r="A1698"/>
      <c r="B1698" s="68"/>
      <c r="C1698"/>
      <c r="D1698"/>
      <c r="E1698"/>
      <c r="F1698"/>
      <c r="G1698"/>
      <c r="H1698"/>
      <c r="I1698"/>
    </row>
    <row r="1699" spans="1:9">
      <c r="A1699"/>
      <c r="B1699" s="68"/>
      <c r="C1699"/>
      <c r="D1699"/>
      <c r="E1699"/>
      <c r="F1699"/>
      <c r="G1699"/>
      <c r="H1699"/>
      <c r="I1699"/>
    </row>
    <row r="1700" spans="1:9">
      <c r="A1700"/>
      <c r="B1700" s="68"/>
      <c r="C1700"/>
      <c r="D1700"/>
      <c r="E1700"/>
      <c r="F1700"/>
      <c r="G1700"/>
      <c r="H1700"/>
      <c r="I1700"/>
    </row>
    <row r="1701" spans="1:9">
      <c r="A1701"/>
      <c r="B1701" s="68"/>
      <c r="C1701"/>
      <c r="D1701"/>
      <c r="E1701"/>
      <c r="F1701"/>
      <c r="G1701"/>
      <c r="H1701"/>
      <c r="I1701"/>
    </row>
    <row r="1702" spans="1:9">
      <c r="A1702"/>
      <c r="B1702" s="68"/>
      <c r="C1702"/>
      <c r="D1702"/>
      <c r="E1702"/>
      <c r="F1702"/>
      <c r="G1702"/>
      <c r="H1702"/>
      <c r="I1702"/>
    </row>
    <row r="1703" spans="1:9">
      <c r="A1703"/>
      <c r="B1703" s="68"/>
      <c r="C1703"/>
      <c r="D1703"/>
      <c r="E1703"/>
      <c r="F1703"/>
      <c r="G1703"/>
      <c r="H1703"/>
      <c r="I1703"/>
    </row>
    <row r="1704" spans="1:9">
      <c r="A1704"/>
      <c r="B1704" s="68"/>
      <c r="C1704"/>
      <c r="D1704"/>
      <c r="E1704"/>
      <c r="F1704"/>
      <c r="G1704"/>
      <c r="H1704"/>
      <c r="I1704"/>
    </row>
    <row r="1705" spans="1:9">
      <c r="A1705"/>
      <c r="B1705" s="68"/>
      <c r="C1705"/>
      <c r="D1705"/>
      <c r="E1705"/>
      <c r="F1705"/>
      <c r="G1705"/>
      <c r="H1705"/>
      <c r="I1705"/>
    </row>
    <row r="1706" spans="1:9">
      <c r="A1706"/>
      <c r="B1706" s="68"/>
      <c r="C1706"/>
      <c r="D1706"/>
      <c r="E1706"/>
      <c r="F1706"/>
      <c r="G1706"/>
      <c r="H1706"/>
      <c r="I1706"/>
    </row>
    <row r="1707" spans="1:9">
      <c r="A1707"/>
      <c r="B1707" s="68"/>
      <c r="C1707"/>
      <c r="D1707"/>
      <c r="E1707"/>
      <c r="F1707"/>
      <c r="G1707"/>
      <c r="H1707"/>
      <c r="I1707"/>
    </row>
    <row r="1708" spans="1:9">
      <c r="A1708"/>
      <c r="B1708" s="68"/>
      <c r="C1708"/>
      <c r="D1708"/>
      <c r="E1708"/>
      <c r="F1708"/>
      <c r="G1708"/>
      <c r="H1708"/>
      <c r="I1708"/>
    </row>
    <row r="1709" spans="1:9">
      <c r="A1709"/>
      <c r="B1709" s="68"/>
      <c r="C1709"/>
      <c r="D1709"/>
      <c r="E1709"/>
      <c r="F1709"/>
      <c r="G1709"/>
      <c r="H1709"/>
      <c r="I1709"/>
    </row>
    <row r="1710" spans="1:9">
      <c r="A1710"/>
      <c r="B1710" s="68"/>
      <c r="C1710"/>
      <c r="D1710"/>
      <c r="E1710"/>
      <c r="F1710"/>
      <c r="G1710"/>
      <c r="H1710"/>
      <c r="I1710"/>
    </row>
    <row r="1711" spans="1:9">
      <c r="A1711"/>
      <c r="B1711" s="68"/>
      <c r="C1711"/>
      <c r="D1711"/>
      <c r="E1711"/>
      <c r="F1711"/>
      <c r="G1711"/>
      <c r="H1711"/>
      <c r="I1711"/>
    </row>
    <row r="1712" spans="1:9">
      <c r="A1712"/>
      <c r="B1712" s="68"/>
      <c r="C1712"/>
      <c r="D1712"/>
      <c r="E1712"/>
      <c r="F1712"/>
      <c r="G1712"/>
      <c r="H1712"/>
      <c r="I1712"/>
    </row>
    <row r="1713" spans="1:9">
      <c r="A1713"/>
      <c r="B1713" s="68"/>
      <c r="C1713"/>
      <c r="D1713"/>
      <c r="E1713"/>
      <c r="F1713"/>
      <c r="G1713"/>
      <c r="H1713"/>
      <c r="I17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DE06-9D78-485E-B4C2-E6C98AC32910}">
  <sheetPr filterMode="1"/>
  <dimension ref="A1:W1727"/>
  <sheetViews>
    <sheetView topLeftCell="B1" zoomScale="85" zoomScaleNormal="85" workbookViewId="0">
      <selection activeCell="D1" sqref="D1"/>
    </sheetView>
  </sheetViews>
  <sheetFormatPr defaultRowHeight="14.5"/>
  <cols>
    <col min="1" max="1" width="8.7265625" style="71"/>
    <col min="2" max="2" width="8.7265625" style="71" customWidth="1"/>
    <col min="3" max="3" width="37.7265625" style="71" customWidth="1"/>
    <col min="4" max="4" width="42.08984375" style="71" customWidth="1"/>
    <col min="5" max="7" width="8.7265625" customWidth="1"/>
    <col min="8" max="8" width="32.90625" customWidth="1"/>
    <col min="9" max="9" width="25.7265625" customWidth="1"/>
    <col min="10" max="21" width="8.7265625" customWidth="1"/>
    <col min="22" max="22" width="20" customWidth="1"/>
    <col min="23" max="23" width="82.6328125" style="71" customWidth="1"/>
    <col min="24" max="16384" width="8.7265625" style="71"/>
  </cols>
  <sheetData>
    <row r="1" spans="1:23">
      <c r="A1" s="71" t="s">
        <v>1690</v>
      </c>
      <c r="B1" s="71" t="s">
        <v>1690</v>
      </c>
      <c r="C1" s="71" t="s">
        <v>1690</v>
      </c>
      <c r="D1" s="71" t="s">
        <v>1690</v>
      </c>
      <c r="E1" t="s">
        <v>1690</v>
      </c>
      <c r="F1" t="s">
        <v>1690</v>
      </c>
      <c r="G1" t="s">
        <v>1690</v>
      </c>
      <c r="H1" s="7">
        <v>1</v>
      </c>
      <c r="I1" s="7">
        <v>2</v>
      </c>
      <c r="J1" s="7">
        <v>3</v>
      </c>
      <c r="K1" s="7">
        <v>4</v>
      </c>
      <c r="L1" s="7">
        <v>5</v>
      </c>
      <c r="M1" s="7">
        <v>6</v>
      </c>
      <c r="N1" s="7">
        <v>7</v>
      </c>
      <c r="O1" s="7">
        <v>8</v>
      </c>
      <c r="P1" s="7">
        <v>9</v>
      </c>
      <c r="Q1" s="7">
        <v>10</v>
      </c>
      <c r="R1" s="7">
        <v>11</v>
      </c>
      <c r="S1" s="7">
        <v>12</v>
      </c>
      <c r="T1" s="7">
        <v>13</v>
      </c>
      <c r="U1" s="7">
        <v>14</v>
      </c>
      <c r="V1" s="7">
        <v>15</v>
      </c>
      <c r="W1" s="71" t="s">
        <v>2023</v>
      </c>
    </row>
    <row r="2" spans="1:23" customFormat="1" hidden="1">
      <c r="A2" t="s">
        <v>1690</v>
      </c>
      <c r="B2">
        <v>1</v>
      </c>
      <c r="C2" t="s">
        <v>0</v>
      </c>
      <c r="D2" t="s">
        <v>0</v>
      </c>
      <c r="E2">
        <f>LEN(D2)</f>
        <v>36</v>
      </c>
      <c r="F2" t="s">
        <v>1690</v>
      </c>
      <c r="G2" t="s">
        <v>1690</v>
      </c>
      <c r="H2" t="s">
        <v>1690</v>
      </c>
      <c r="I2" t="s">
        <v>1690</v>
      </c>
      <c r="J2" t="s">
        <v>1690</v>
      </c>
    </row>
    <row r="3" spans="1:23" hidden="1">
      <c r="A3" s="71" t="b">
        <f>C3=D3</f>
        <v>0</v>
      </c>
      <c r="B3" s="71">
        <f>B2+1</f>
        <v>2</v>
      </c>
      <c r="C3" s="71" t="s">
        <v>0</v>
      </c>
      <c r="D3" s="71" t="s">
        <v>1</v>
      </c>
      <c r="E3">
        <f t="shared" ref="E3:E59" si="0">LEN(D3)</f>
        <v>65</v>
      </c>
      <c r="F3">
        <v>1</v>
      </c>
      <c r="G3">
        <f>IF(F3=1,1,G2+1)</f>
        <v>1</v>
      </c>
      <c r="H3" t="str">
        <f>IF($G3=H$1,$D3,"")</f>
        <v>A Guide to the Project Management Body of Knowledge (PMBOK Guide)</v>
      </c>
      <c r="I3" t="str">
        <f>IF($G4=I$1,$D4,"")</f>
        <v>The PMI publication that defines widely accepted project management practices. The CAPM and the PMP exam are based on this book.</v>
      </c>
      <c r="J3" t="str">
        <f>IF($G5=J$1,$D5,"")</f>
        <v/>
      </c>
      <c r="K3" t="str">
        <f>IF($G6=K$1,$D6,"")</f>
        <v/>
      </c>
      <c r="L3" t="str">
        <f>IF($G7=L$1,$D7,"")</f>
        <v/>
      </c>
      <c r="M3" t="str">
        <f>IF($G8=M$1,$D8,"")</f>
        <v/>
      </c>
      <c r="N3" t="str">
        <f>IF($G9=N$1,$D9,"")</f>
        <v/>
      </c>
      <c r="O3" t="str">
        <f>IF($G10=O$1,$D10,"")</f>
        <v/>
      </c>
      <c r="P3" t="str">
        <f>IF($G11=P$1,$D11,"")</f>
        <v/>
      </c>
      <c r="Q3" t="str">
        <f>IF($G12=Q$1,$D12,"")</f>
        <v/>
      </c>
      <c r="R3" t="str">
        <f>IF($G13=R$1,$D13,"")</f>
        <v/>
      </c>
      <c r="S3" t="str">
        <f>IF($G14=S$1,$D14,"")</f>
        <v/>
      </c>
      <c r="T3" t="str">
        <f>IF($G15=T$1,$D15,"")</f>
        <v/>
      </c>
      <c r="U3" t="str">
        <f>IF($G16=U$1,$D16,"")</f>
        <v/>
      </c>
      <c r="V3" t="str">
        <f>IF($G17=V$1,$D17,"")</f>
        <v/>
      </c>
      <c r="W3" s="71" t="str">
        <f>CONCATENATE(H3," ",I3," ",J3," ",K3," ",L3," ",M3," ",N3," ",O3," ",P3," ",Q3," ",R3," ",S3," ",T3," ",U3," ",V3)</f>
        <v xml:space="preserve">A Guide to the Project Management Body of Knowledge (PMBOK Guide) The PMI publication that defines widely accepted project management practices. The CAPM and the PMP exam are based on this book.             </v>
      </c>
    </row>
    <row r="4" spans="1:23" customFormat="1" hidden="1">
      <c r="A4" t="b">
        <f t="shared" ref="A4:A66" si="1">C4=D4</f>
        <v>0</v>
      </c>
      <c r="B4">
        <f t="shared" ref="B4:B67" si="2">B3+1</f>
        <v>3</v>
      </c>
      <c r="C4" t="s">
        <v>0</v>
      </c>
      <c r="D4" t="s">
        <v>2</v>
      </c>
      <c r="E4">
        <f t="shared" si="0"/>
        <v>128</v>
      </c>
      <c r="G4">
        <f t="shared" ref="G4:G67" si="3">IF(F4=1,1,G3+1)</f>
        <v>2</v>
      </c>
      <c r="H4" t="str">
        <f t="shared" ref="H4:H67" si="4">IF($G4=H$1,$D4,"")</f>
        <v/>
      </c>
      <c r="I4" t="str">
        <f t="shared" ref="I4:I67" si="5">IF($G5=I$1,$D5,"")</f>
        <v/>
      </c>
      <c r="J4" t="str">
        <f t="shared" ref="J4:J67" si="6">IF($G6=J$1,$D6,"")</f>
        <v/>
      </c>
      <c r="K4" t="str">
        <f t="shared" ref="K4:K67" si="7">IF($G7=K$1,$D7,"")</f>
        <v/>
      </c>
      <c r="L4" t="str">
        <f t="shared" ref="L4:L67" si="8">IF($G8=L$1,$D8,"")</f>
        <v/>
      </c>
      <c r="M4" t="str">
        <f t="shared" ref="M4:M67" si="9">IF($G9=M$1,$D9,"")</f>
        <v/>
      </c>
      <c r="N4" t="str">
        <f t="shared" ref="N4:N67" si="10">IF($G10=N$1,$D10,"")</f>
        <v/>
      </c>
      <c r="O4" t="str">
        <f t="shared" ref="O4:O67" si="11">IF($G11=O$1,$D11,"")</f>
        <v/>
      </c>
      <c r="P4" t="str">
        <f t="shared" ref="P4:P67" si="12">IF($G12=P$1,$D12,"")</f>
        <v/>
      </c>
      <c r="Q4" t="str">
        <f t="shared" ref="Q4:Q67" si="13">IF($G13=Q$1,$D13,"")</f>
        <v/>
      </c>
      <c r="R4" t="str">
        <f t="shared" ref="R4:R67" si="14">IF($G14=R$1,$D14,"")</f>
        <v/>
      </c>
      <c r="S4" t="str">
        <f t="shared" ref="S4:S67" si="15">IF($G15=S$1,$D15,"")</f>
        <v/>
      </c>
      <c r="T4" t="str">
        <f t="shared" ref="T4:T67" si="16">IF($G16=T$1,$D16,"")</f>
        <v/>
      </c>
      <c r="U4" t="str">
        <f t="shared" ref="U4:U67" si="17">IF($G17=U$1,$D17,"")</f>
        <v/>
      </c>
      <c r="V4" t="str">
        <f t="shared" ref="V4:V67" si="18">IF($G18=V$1,$D18,"")</f>
        <v/>
      </c>
      <c r="W4" t="str">
        <f t="shared" ref="W4:W66" si="19">CONCATENATE(H4," ",I4," ",J4," ",K4," ",L4," ",M4," ",N4," ",O4," ",P4," ",Q4," ",R4," ",S4," ",T4," ",U4," ",V4)</f>
        <v xml:space="preserve">              </v>
      </c>
    </row>
    <row r="5" spans="1:23" hidden="1">
      <c r="A5" s="71" t="b">
        <f t="shared" si="1"/>
        <v>0</v>
      </c>
      <c r="B5" s="71">
        <f t="shared" si="2"/>
        <v>4</v>
      </c>
      <c r="C5" s="71" t="s">
        <v>0</v>
      </c>
      <c r="D5" s="71" t="s">
        <v>3</v>
      </c>
      <c r="E5">
        <f t="shared" si="0"/>
        <v>17</v>
      </c>
      <c r="F5">
        <v>1</v>
      </c>
      <c r="G5">
        <f t="shared" si="3"/>
        <v>1</v>
      </c>
      <c r="H5" t="str">
        <f t="shared" si="4"/>
        <v>Application areas</v>
      </c>
      <c r="I5" t="str">
        <f t="shared" si="5"/>
        <v>The areas of expertise, industry, or function where a project is centered. Examples of application areas include architecture, IT, health care, and manufacturing.</v>
      </c>
      <c r="J5" t="str">
        <f t="shared" si="6"/>
        <v/>
      </c>
      <c r="K5" t="str">
        <f t="shared" si="7"/>
        <v/>
      </c>
      <c r="L5" t="str">
        <f t="shared" si="8"/>
        <v/>
      </c>
      <c r="M5" t="str">
        <f t="shared" si="9"/>
        <v/>
      </c>
      <c r="N5" t="str">
        <f t="shared" si="10"/>
        <v/>
      </c>
      <c r="O5" t="str">
        <f t="shared" si="11"/>
        <v/>
      </c>
      <c r="P5" t="str">
        <f t="shared" si="12"/>
        <v/>
      </c>
      <c r="Q5" t="str">
        <f t="shared" si="13"/>
        <v/>
      </c>
      <c r="R5" t="str">
        <f t="shared" si="14"/>
        <v/>
      </c>
      <c r="S5" t="str">
        <f t="shared" si="15"/>
        <v/>
      </c>
      <c r="T5" t="str">
        <f t="shared" si="16"/>
        <v/>
      </c>
      <c r="U5" t="str">
        <f t="shared" si="17"/>
        <v/>
      </c>
      <c r="V5" t="str">
        <f t="shared" si="18"/>
        <v/>
      </c>
      <c r="W5" s="71" t="str">
        <f>CONCATENATE(H5," ",I5," ",J5," ",K5," ",L5," ",M5," ",N5," ",O5," ",P5," ",Q5," ",R5," ",S5," ",T5," ",U5," ",V5)</f>
        <v xml:space="preserve">Application areas The areas of expertise, industry, or function where a project is centered. Examples of application areas include architecture, IT, health care, and manufacturing.             </v>
      </c>
    </row>
    <row r="6" spans="1:23" customFormat="1" hidden="1">
      <c r="A6" t="b">
        <f t="shared" si="1"/>
        <v>0</v>
      </c>
      <c r="B6">
        <f t="shared" si="2"/>
        <v>5</v>
      </c>
      <c r="C6" t="s">
        <v>0</v>
      </c>
      <c r="D6" t="s">
        <v>4</v>
      </c>
      <c r="E6">
        <f t="shared" si="0"/>
        <v>162</v>
      </c>
      <c r="G6">
        <f t="shared" si="3"/>
        <v>2</v>
      </c>
      <c r="H6" t="str">
        <f t="shared" si="4"/>
        <v/>
      </c>
      <c r="I6" t="str">
        <f t="shared" si="5"/>
        <v/>
      </c>
      <c r="J6" t="str">
        <f t="shared" si="6"/>
        <v/>
      </c>
      <c r="K6" t="str">
        <f t="shared" si="7"/>
        <v/>
      </c>
      <c r="L6" t="str">
        <f t="shared" si="8"/>
        <v/>
      </c>
      <c r="M6" t="str">
        <f t="shared" si="9"/>
        <v/>
      </c>
      <c r="N6" t="str">
        <f t="shared" si="10"/>
        <v/>
      </c>
      <c r="O6" t="str">
        <f t="shared" si="11"/>
        <v/>
      </c>
      <c r="P6" t="str">
        <f t="shared" si="12"/>
        <v/>
      </c>
      <c r="Q6" t="str">
        <f t="shared" si="13"/>
        <v/>
      </c>
      <c r="R6" t="str">
        <f t="shared" si="14"/>
        <v/>
      </c>
      <c r="S6" t="str">
        <f t="shared" si="15"/>
        <v/>
      </c>
      <c r="T6" t="str">
        <f t="shared" si="16"/>
        <v/>
      </c>
      <c r="U6" t="str">
        <f t="shared" si="17"/>
        <v/>
      </c>
      <c r="V6" t="str">
        <f t="shared" si="18"/>
        <v/>
      </c>
      <c r="W6" t="str">
        <f t="shared" si="19"/>
        <v xml:space="preserve">              </v>
      </c>
    </row>
    <row r="7" spans="1:23" hidden="1">
      <c r="A7" s="71" t="b">
        <f t="shared" si="1"/>
        <v>0</v>
      </c>
      <c r="B7" s="71">
        <f t="shared" si="2"/>
        <v>6</v>
      </c>
      <c r="C7" s="71" t="s">
        <v>0</v>
      </c>
      <c r="D7" s="71" t="s">
        <v>5</v>
      </c>
      <c r="E7">
        <f t="shared" si="0"/>
        <v>14</v>
      </c>
      <c r="F7">
        <v>1</v>
      </c>
      <c r="G7">
        <f t="shared" si="3"/>
        <v>1</v>
      </c>
      <c r="H7" t="str">
        <f t="shared" si="4"/>
        <v>Business value</v>
      </c>
      <c r="I7" t="str">
        <f t="shared" si="5"/>
        <v>A quantifiable return on investment. The return can be tangible, such as equipment, money, or market share. The return can also be intangible, such as brand recognition, trademarks, and reputation.</v>
      </c>
      <c r="J7" t="str">
        <f t="shared" si="6"/>
        <v/>
      </c>
      <c r="K7" t="str">
        <f t="shared" si="7"/>
        <v/>
      </c>
      <c r="L7" t="str">
        <f t="shared" si="8"/>
        <v/>
      </c>
      <c r="M7" t="str">
        <f t="shared" si="9"/>
        <v/>
      </c>
      <c r="N7" t="str">
        <f t="shared" si="10"/>
        <v/>
      </c>
      <c r="O7" t="str">
        <f t="shared" si="11"/>
        <v/>
      </c>
      <c r="P7" t="str">
        <f t="shared" si="12"/>
        <v/>
      </c>
      <c r="Q7" t="str">
        <f t="shared" si="13"/>
        <v/>
      </c>
      <c r="R7" t="str">
        <f t="shared" si="14"/>
        <v/>
      </c>
      <c r="S7" t="str">
        <f t="shared" si="15"/>
        <v/>
      </c>
      <c r="T7" t="str">
        <f t="shared" si="16"/>
        <v/>
      </c>
      <c r="U7" t="str">
        <f t="shared" si="17"/>
        <v/>
      </c>
      <c r="V7" t="str">
        <f t="shared" si="18"/>
        <v/>
      </c>
      <c r="W7" s="71" t="str">
        <f>CONCATENATE(H7," ",I7," ",J7," ",K7," ",L7," ",M7," ",N7," ",O7," ",P7," ",Q7," ",R7," ",S7," ",T7," ",U7," ",V7)</f>
        <v xml:space="preserve">Business value A quantifiable return on investment. The return can be tangible, such as equipment, money, or market share. The return can also be intangible, such as brand recognition, trademarks, and reputation.             </v>
      </c>
    </row>
    <row r="8" spans="1:23" customFormat="1" hidden="1">
      <c r="A8" t="b">
        <f t="shared" si="1"/>
        <v>0</v>
      </c>
      <c r="B8">
        <f t="shared" si="2"/>
        <v>7</v>
      </c>
      <c r="C8" t="s">
        <v>0</v>
      </c>
      <c r="D8" t="s">
        <v>6</v>
      </c>
      <c r="E8">
        <f t="shared" si="0"/>
        <v>197</v>
      </c>
      <c r="G8">
        <f t="shared" si="3"/>
        <v>2</v>
      </c>
      <c r="H8" t="str">
        <f t="shared" si="4"/>
        <v/>
      </c>
      <c r="I8" t="str">
        <f t="shared" si="5"/>
        <v/>
      </c>
      <c r="J8" t="str">
        <f t="shared" si="6"/>
        <v/>
      </c>
      <c r="K8" t="str">
        <f t="shared" si="7"/>
        <v/>
      </c>
      <c r="L8" t="str">
        <f t="shared" si="8"/>
        <v/>
      </c>
      <c r="M8" t="str">
        <f t="shared" si="9"/>
        <v/>
      </c>
      <c r="N8" t="str">
        <f t="shared" si="10"/>
        <v/>
      </c>
      <c r="O8" t="str">
        <f t="shared" si="11"/>
        <v/>
      </c>
      <c r="P8" t="str">
        <f t="shared" si="12"/>
        <v/>
      </c>
      <c r="Q8" t="str">
        <f t="shared" si="13"/>
        <v/>
      </c>
      <c r="R8" t="str">
        <f t="shared" si="14"/>
        <v/>
      </c>
      <c r="S8" t="str">
        <f t="shared" si="15"/>
        <v/>
      </c>
      <c r="T8" t="str">
        <f t="shared" si="16"/>
        <v/>
      </c>
      <c r="U8" t="str">
        <f t="shared" si="17"/>
        <v/>
      </c>
      <c r="V8" t="str">
        <f t="shared" si="18"/>
        <v/>
      </c>
      <c r="W8" t="str">
        <f t="shared" si="19"/>
        <v xml:space="preserve">              </v>
      </c>
    </row>
    <row r="9" spans="1:23" hidden="1">
      <c r="A9" s="71" t="b">
        <f t="shared" si="1"/>
        <v>0</v>
      </c>
      <c r="B9" s="71">
        <f t="shared" si="2"/>
        <v>8</v>
      </c>
      <c r="C9" s="71" t="s">
        <v>0</v>
      </c>
      <c r="D9" s="71" t="s">
        <v>7</v>
      </c>
      <c r="E9">
        <f t="shared" si="0"/>
        <v>48</v>
      </c>
      <c r="F9">
        <v>1</v>
      </c>
      <c r="G9">
        <f t="shared" si="3"/>
        <v>1</v>
      </c>
      <c r="H9" t="str">
        <f t="shared" si="4"/>
        <v>Certified Associate in Project Management (CAPM)</v>
      </c>
      <c r="I9" t="str">
        <f t="shared" si="5"/>
        <v>A person who has slightly less project management experience than a PMP, but who has qualified for and then passed the CAPM examination.</v>
      </c>
      <c r="J9" t="str">
        <f t="shared" si="6"/>
        <v/>
      </c>
      <c r="K9" t="str">
        <f t="shared" si="7"/>
        <v/>
      </c>
      <c r="L9" t="str">
        <f t="shared" si="8"/>
        <v/>
      </c>
      <c r="M9" t="str">
        <f t="shared" si="9"/>
        <v/>
      </c>
      <c r="N9" t="str">
        <f t="shared" si="10"/>
        <v/>
      </c>
      <c r="O9" t="str">
        <f t="shared" si="11"/>
        <v/>
      </c>
      <c r="P9" t="str">
        <f t="shared" si="12"/>
        <v/>
      </c>
      <c r="Q9" t="str">
        <f t="shared" si="13"/>
        <v/>
      </c>
      <c r="R9" t="str">
        <f t="shared" si="14"/>
        <v/>
      </c>
      <c r="S9" t="str">
        <f t="shared" si="15"/>
        <v/>
      </c>
      <c r="T9" t="str">
        <f t="shared" si="16"/>
        <v/>
      </c>
      <c r="U9" t="str">
        <f t="shared" si="17"/>
        <v/>
      </c>
      <c r="V9" t="str">
        <f t="shared" si="18"/>
        <v/>
      </c>
      <c r="W9" s="71" t="str">
        <f>CONCATENATE(H9," ",I9," ",J9," ",K9," ",L9," ",M9," ",N9," ",O9," ",P9," ",Q9," ",R9," ",S9," ",T9," ",U9," ",V9)</f>
        <v xml:space="preserve">Certified Associate in Project Management (CAPM) A person who has slightly less project management experience than a PMP, but who has qualified for and then passed the CAPM examination.             </v>
      </c>
    </row>
    <row r="10" spans="1:23" customFormat="1" hidden="1">
      <c r="A10" t="b">
        <f t="shared" si="1"/>
        <v>0</v>
      </c>
      <c r="B10">
        <f t="shared" si="2"/>
        <v>9</v>
      </c>
      <c r="C10" t="s">
        <v>0</v>
      </c>
      <c r="D10" t="s">
        <v>8</v>
      </c>
      <c r="E10">
        <f t="shared" si="0"/>
        <v>136</v>
      </c>
      <c r="G10">
        <f t="shared" si="3"/>
        <v>2</v>
      </c>
      <c r="H10" t="str">
        <f t="shared" si="4"/>
        <v/>
      </c>
      <c r="I10" t="str">
        <f t="shared" si="5"/>
        <v/>
      </c>
      <c r="J10" t="str">
        <f t="shared" si="6"/>
        <v/>
      </c>
      <c r="K10" t="str">
        <f t="shared" si="7"/>
        <v/>
      </c>
      <c r="L10" t="str">
        <f t="shared" si="8"/>
        <v/>
      </c>
      <c r="M10" t="str">
        <f t="shared" si="9"/>
        <v/>
      </c>
      <c r="N10" t="str">
        <f t="shared" si="10"/>
        <v/>
      </c>
      <c r="O10" t="str">
        <f t="shared" si="11"/>
        <v/>
      </c>
      <c r="P10" t="str">
        <f t="shared" si="12"/>
        <v/>
      </c>
      <c r="Q10" t="str">
        <f t="shared" si="13"/>
        <v/>
      </c>
      <c r="R10" t="str">
        <f t="shared" si="14"/>
        <v/>
      </c>
      <c r="S10" t="str">
        <f t="shared" si="15"/>
        <v/>
      </c>
      <c r="T10" t="str">
        <f t="shared" si="16"/>
        <v/>
      </c>
      <c r="U10" t="str">
        <f t="shared" si="17"/>
        <v/>
      </c>
      <c r="V10" t="str">
        <f t="shared" si="18"/>
        <v/>
      </c>
      <c r="W10" t="str">
        <f t="shared" si="19"/>
        <v xml:space="preserve">              </v>
      </c>
    </row>
    <row r="11" spans="1:23" hidden="1">
      <c r="A11" s="71" t="b">
        <f t="shared" si="1"/>
        <v>0</v>
      </c>
      <c r="B11" s="71">
        <f t="shared" si="2"/>
        <v>10</v>
      </c>
      <c r="C11" s="71" t="s">
        <v>0</v>
      </c>
      <c r="D11" s="71" t="s">
        <v>9</v>
      </c>
      <c r="E11">
        <f t="shared" si="0"/>
        <v>31</v>
      </c>
      <c r="F11">
        <v>1</v>
      </c>
      <c r="G11">
        <f t="shared" si="3"/>
        <v>1</v>
      </c>
      <c r="H11" t="str">
        <f t="shared" si="4"/>
        <v>Cultural and social environment</v>
      </c>
      <c r="I11" t="str">
        <f t="shared" si="5"/>
        <v>Defines how a project affects people and how those people may affect the project. Cultural and social environments include the economic, educational, ethical, religious, demographic, and ethnic composition of the people affected by the project.</v>
      </c>
      <c r="J11" t="str">
        <f t="shared" si="6"/>
        <v/>
      </c>
      <c r="K11" t="str">
        <f t="shared" si="7"/>
        <v/>
      </c>
      <c r="L11" t="str">
        <f t="shared" si="8"/>
        <v/>
      </c>
      <c r="M11" t="str">
        <f t="shared" si="9"/>
        <v/>
      </c>
      <c r="N11" t="str">
        <f t="shared" si="10"/>
        <v/>
      </c>
      <c r="O11" t="str">
        <f t="shared" si="11"/>
        <v/>
      </c>
      <c r="P11" t="str">
        <f t="shared" si="12"/>
        <v/>
      </c>
      <c r="Q11" t="str">
        <f t="shared" si="13"/>
        <v/>
      </c>
      <c r="R11" t="str">
        <f t="shared" si="14"/>
        <v/>
      </c>
      <c r="S11" t="str">
        <f t="shared" si="15"/>
        <v/>
      </c>
      <c r="T11" t="str">
        <f t="shared" si="16"/>
        <v/>
      </c>
      <c r="U11" t="str">
        <f t="shared" si="17"/>
        <v/>
      </c>
      <c r="V11" t="str">
        <f t="shared" si="18"/>
        <v/>
      </c>
      <c r="W11" s="71" t="str">
        <f>CONCATENATE(H11," ",I11," ",J11," ",K11," ",L11," ",M11," ",N11," ",O11," ",P11," ",Q11," ",R11," ",S11," ",T11," ",U11," ",V11)</f>
        <v xml:space="preserve">Cultural and social environment Defines how a project affects people and how those people may affect the project. Cultural and social environments include the economic, educational, ethical, religious, demographic, and ethnic composition of the people affected by the project.             </v>
      </c>
    </row>
    <row r="12" spans="1:23" customFormat="1" hidden="1">
      <c r="A12" t="b">
        <f t="shared" si="1"/>
        <v>0</v>
      </c>
      <c r="B12">
        <f t="shared" si="2"/>
        <v>11</v>
      </c>
      <c r="C12" t="s">
        <v>0</v>
      </c>
      <c r="D12" t="s">
        <v>10</v>
      </c>
      <c r="E12">
        <f t="shared" si="0"/>
        <v>244</v>
      </c>
      <c r="G12">
        <f t="shared" si="3"/>
        <v>2</v>
      </c>
      <c r="H12" t="str">
        <f t="shared" si="4"/>
        <v/>
      </c>
      <c r="I12" t="str">
        <f t="shared" si="5"/>
        <v/>
      </c>
      <c r="J12" t="str">
        <f t="shared" si="6"/>
        <v/>
      </c>
      <c r="K12" t="str">
        <f t="shared" si="7"/>
        <v/>
      </c>
      <c r="L12" t="str">
        <f t="shared" si="8"/>
        <v/>
      </c>
      <c r="M12" t="str">
        <f t="shared" si="9"/>
        <v/>
      </c>
      <c r="N12" t="str">
        <f t="shared" si="10"/>
        <v/>
      </c>
      <c r="O12" t="str">
        <f t="shared" si="11"/>
        <v/>
      </c>
      <c r="P12" t="str">
        <f t="shared" si="12"/>
        <v/>
      </c>
      <c r="Q12" t="str">
        <f t="shared" si="13"/>
        <v/>
      </c>
      <c r="R12" t="str">
        <f t="shared" si="14"/>
        <v/>
      </c>
      <c r="S12" t="str">
        <f t="shared" si="15"/>
        <v/>
      </c>
      <c r="T12" t="str">
        <f t="shared" si="16"/>
        <v/>
      </c>
      <c r="U12" t="str">
        <f t="shared" si="17"/>
        <v/>
      </c>
      <c r="V12" t="str">
        <f t="shared" si="18"/>
        <v/>
      </c>
      <c r="W12" t="str">
        <f t="shared" si="19"/>
        <v xml:space="preserve">              </v>
      </c>
    </row>
    <row r="13" spans="1:23" hidden="1">
      <c r="A13" s="71" t="b">
        <f t="shared" si="1"/>
        <v>0</v>
      </c>
      <c r="B13" s="71">
        <f t="shared" si="2"/>
        <v>12</v>
      </c>
      <c r="C13" s="71" t="s">
        <v>0</v>
      </c>
      <c r="D13" s="71" t="s">
        <v>11</v>
      </c>
      <c r="E13">
        <f t="shared" si="0"/>
        <v>11</v>
      </c>
      <c r="F13">
        <v>1</v>
      </c>
      <c r="G13">
        <f t="shared" si="3"/>
        <v>1</v>
      </c>
      <c r="H13" t="str">
        <f t="shared" si="4"/>
        <v>Deliverable</v>
      </c>
      <c r="I13" t="str">
        <f t="shared" si="5"/>
        <v>A product, service, or result created by a project. Projects can have multiple deliverables.</v>
      </c>
      <c r="J13" t="str">
        <f t="shared" si="6"/>
        <v/>
      </c>
      <c r="K13" t="str">
        <f t="shared" si="7"/>
        <v/>
      </c>
      <c r="L13" t="str">
        <f t="shared" si="8"/>
        <v/>
      </c>
      <c r="M13" t="str">
        <f t="shared" si="9"/>
        <v/>
      </c>
      <c r="N13" t="str">
        <f t="shared" si="10"/>
        <v/>
      </c>
      <c r="O13" t="str">
        <f t="shared" si="11"/>
        <v/>
      </c>
      <c r="P13" t="str">
        <f t="shared" si="12"/>
        <v/>
      </c>
      <c r="Q13" t="str">
        <f t="shared" si="13"/>
        <v/>
      </c>
      <c r="R13" t="str">
        <f t="shared" si="14"/>
        <v/>
      </c>
      <c r="S13" t="str">
        <f t="shared" si="15"/>
        <v/>
      </c>
      <c r="T13" t="str">
        <f t="shared" si="16"/>
        <v/>
      </c>
      <c r="U13" t="str">
        <f t="shared" si="17"/>
        <v/>
      </c>
      <c r="V13" t="str">
        <f t="shared" si="18"/>
        <v/>
      </c>
      <c r="W13" s="71" t="str">
        <f>CONCATENATE(H13," ",I13," ",J13," ",K13," ",L13," ",M13," ",N13," ",O13," ",P13," ",Q13," ",R13," ",S13," ",T13," ",U13," ",V13)</f>
        <v xml:space="preserve">Deliverable A product, service, or result created by a project. Projects can have multiple deliverables.             </v>
      </c>
    </row>
    <row r="14" spans="1:23" customFormat="1" hidden="1">
      <c r="A14" t="b">
        <f t="shared" si="1"/>
        <v>0</v>
      </c>
      <c r="B14">
        <f t="shared" si="2"/>
        <v>13</v>
      </c>
      <c r="C14" t="s">
        <v>0</v>
      </c>
      <c r="D14" t="s">
        <v>12</v>
      </c>
      <c r="E14">
        <f t="shared" si="0"/>
        <v>92</v>
      </c>
      <c r="G14">
        <f t="shared" si="3"/>
        <v>2</v>
      </c>
      <c r="H14" t="str">
        <f t="shared" si="4"/>
        <v/>
      </c>
      <c r="I14" t="str">
        <f t="shared" si="5"/>
        <v/>
      </c>
      <c r="J14" t="str">
        <f t="shared" si="6"/>
        <v/>
      </c>
      <c r="K14" t="str">
        <f t="shared" si="7"/>
        <v/>
      </c>
      <c r="L14" t="str">
        <f t="shared" si="8"/>
        <v/>
      </c>
      <c r="M14" t="str">
        <f t="shared" si="9"/>
        <v/>
      </c>
      <c r="N14" t="str">
        <f t="shared" si="10"/>
        <v/>
      </c>
      <c r="O14" t="str">
        <f t="shared" si="11"/>
        <v/>
      </c>
      <c r="P14" t="str">
        <f t="shared" si="12"/>
        <v/>
      </c>
      <c r="Q14" t="str">
        <f t="shared" si="13"/>
        <v/>
      </c>
      <c r="R14" t="str">
        <f t="shared" si="14"/>
        <v/>
      </c>
      <c r="S14" t="str">
        <f t="shared" si="15"/>
        <v/>
      </c>
      <c r="T14" t="str">
        <f t="shared" si="16"/>
        <v/>
      </c>
      <c r="U14" t="str">
        <f t="shared" si="17"/>
        <v/>
      </c>
      <c r="V14" t="str">
        <f t="shared" si="18"/>
        <v/>
      </c>
      <c r="W14" t="str">
        <f t="shared" si="19"/>
        <v xml:space="preserve">              </v>
      </c>
    </row>
    <row r="15" spans="1:23" hidden="1">
      <c r="A15" s="71" t="b">
        <f t="shared" si="1"/>
        <v>0</v>
      </c>
      <c r="B15" s="71">
        <f t="shared" si="2"/>
        <v>14</v>
      </c>
      <c r="C15" s="71" t="s">
        <v>0</v>
      </c>
      <c r="D15" s="71" t="s">
        <v>13</v>
      </c>
      <c r="E15">
        <f t="shared" si="0"/>
        <v>25</v>
      </c>
      <c r="F15">
        <v>1</v>
      </c>
      <c r="G15">
        <f t="shared" si="3"/>
        <v>1</v>
      </c>
      <c r="H15" t="str">
        <f t="shared" si="4"/>
        <v>General management skills</v>
      </c>
      <c r="I15" t="str">
        <f t="shared" si="5"/>
        <v>These include the application of accounting, procurement, sales and marketing, contracting, manufacturing, logistics, strategic planning, human resource management, standards and regulations, and information technology.</v>
      </c>
      <c r="J15" t="str">
        <f t="shared" si="6"/>
        <v>International and political environment</v>
      </c>
      <c r="K15" t="str">
        <f t="shared" si="7"/>
        <v>The consideration of the local and international laws, languages, communication challenges, time zone differences, and other non-collocated issues that affect a project’s ability to progress.</v>
      </c>
      <c r="L15" t="str">
        <f t="shared" si="8"/>
        <v/>
      </c>
      <c r="M15" t="str">
        <f t="shared" si="9"/>
        <v/>
      </c>
      <c r="N15" t="str">
        <f t="shared" si="10"/>
        <v/>
      </c>
      <c r="O15" t="str">
        <f t="shared" si="11"/>
        <v/>
      </c>
      <c r="P15" t="str">
        <f t="shared" si="12"/>
        <v/>
      </c>
      <c r="Q15" t="str">
        <f t="shared" si="13"/>
        <v/>
      </c>
      <c r="R15" t="str">
        <f t="shared" si="14"/>
        <v/>
      </c>
      <c r="S15" t="str">
        <f t="shared" si="15"/>
        <v/>
      </c>
      <c r="T15" t="str">
        <f t="shared" si="16"/>
        <v/>
      </c>
      <c r="U15" t="str">
        <f t="shared" si="17"/>
        <v/>
      </c>
      <c r="V15" t="str">
        <f t="shared" si="18"/>
        <v/>
      </c>
      <c r="W15" s="71" t="str">
        <f>CONCATENATE(H15," ",I15," ",J15," ",K15," ",L15," ",M15," ",N15," ",O15," ",P15," ",Q15," ",R15," ",S15," ",T15," ",U15," ",V15)</f>
        <v xml:space="preserve">General management skills These include the application of accounting, procurement, sales and marketing, contracting, manufacturing, logistics, strategic planning, human resource management, standards and regulations, and information technology. International and political environment The consideration of the local and international laws, languages, communication challenges, time zone differences, and other non-collocated issues that affect a project’s ability to progress.           </v>
      </c>
    </row>
    <row r="16" spans="1:23" customFormat="1" hidden="1">
      <c r="A16" t="b">
        <f t="shared" si="1"/>
        <v>0</v>
      </c>
      <c r="B16">
        <f t="shared" si="2"/>
        <v>15</v>
      </c>
      <c r="C16" t="s">
        <v>0</v>
      </c>
      <c r="D16" t="s">
        <v>14</v>
      </c>
      <c r="E16">
        <f t="shared" si="0"/>
        <v>219</v>
      </c>
      <c r="G16">
        <f t="shared" si="3"/>
        <v>2</v>
      </c>
      <c r="H16" t="str">
        <f t="shared" si="4"/>
        <v/>
      </c>
      <c r="I16" t="str">
        <f t="shared" si="5"/>
        <v/>
      </c>
      <c r="J16" t="str">
        <f t="shared" si="6"/>
        <v/>
      </c>
      <c r="K16" t="str">
        <f t="shared" si="7"/>
        <v/>
      </c>
      <c r="L16" t="str">
        <f t="shared" si="8"/>
        <v/>
      </c>
      <c r="M16" t="str">
        <f t="shared" si="9"/>
        <v/>
      </c>
      <c r="N16" t="str">
        <f t="shared" si="10"/>
        <v/>
      </c>
      <c r="O16" t="str">
        <f t="shared" si="11"/>
        <v/>
      </c>
      <c r="P16" t="str">
        <f t="shared" si="12"/>
        <v/>
      </c>
      <c r="Q16" t="str">
        <f t="shared" si="13"/>
        <v/>
      </c>
      <c r="R16" t="str">
        <f t="shared" si="14"/>
        <v/>
      </c>
      <c r="S16" t="str">
        <f t="shared" si="15"/>
        <v/>
      </c>
      <c r="T16" t="str">
        <f t="shared" si="16"/>
        <v/>
      </c>
      <c r="U16" t="str">
        <f t="shared" si="17"/>
        <v/>
      </c>
      <c r="V16" t="str">
        <f t="shared" si="18"/>
        <v/>
      </c>
      <c r="W16" t="str">
        <f t="shared" si="19"/>
        <v xml:space="preserve">              </v>
      </c>
    </row>
    <row r="17" spans="1:23" customFormat="1" hidden="1">
      <c r="A17" t="b">
        <f t="shared" si="1"/>
        <v>0</v>
      </c>
      <c r="B17">
        <f t="shared" si="2"/>
        <v>16</v>
      </c>
      <c r="C17" t="s">
        <v>0</v>
      </c>
      <c r="D17" t="s">
        <v>15</v>
      </c>
      <c r="E17">
        <f t="shared" si="0"/>
        <v>39</v>
      </c>
      <c r="G17">
        <f t="shared" si="3"/>
        <v>3</v>
      </c>
      <c r="H17" t="str">
        <f t="shared" si="4"/>
        <v/>
      </c>
      <c r="I17" t="str">
        <f t="shared" si="5"/>
        <v/>
      </c>
      <c r="J17" t="str">
        <f t="shared" si="6"/>
        <v/>
      </c>
      <c r="K17" t="str">
        <f t="shared" si="7"/>
        <v/>
      </c>
      <c r="L17" t="str">
        <f t="shared" si="8"/>
        <v/>
      </c>
      <c r="M17" t="str">
        <f t="shared" si="9"/>
        <v/>
      </c>
      <c r="N17" t="str">
        <f t="shared" si="10"/>
        <v/>
      </c>
      <c r="O17" t="str">
        <f t="shared" si="11"/>
        <v/>
      </c>
      <c r="P17" t="str">
        <f t="shared" si="12"/>
        <v/>
      </c>
      <c r="Q17" t="str">
        <f t="shared" si="13"/>
        <v/>
      </c>
      <c r="R17" t="str">
        <f t="shared" si="14"/>
        <v/>
      </c>
      <c r="S17" t="str">
        <f t="shared" si="15"/>
        <v/>
      </c>
      <c r="T17" t="str">
        <f t="shared" si="16"/>
        <v/>
      </c>
      <c r="U17" t="str">
        <f t="shared" si="17"/>
        <v/>
      </c>
      <c r="V17" t="str">
        <f t="shared" si="18"/>
        <v/>
      </c>
      <c r="W17" t="str">
        <f t="shared" si="19"/>
        <v xml:space="preserve">              </v>
      </c>
    </row>
    <row r="18" spans="1:23" customFormat="1" hidden="1">
      <c r="A18" t="b">
        <f t="shared" si="1"/>
        <v>0</v>
      </c>
      <c r="B18">
        <f t="shared" si="2"/>
        <v>17</v>
      </c>
      <c r="C18" t="s">
        <v>0</v>
      </c>
      <c r="D18" t="s">
        <v>16</v>
      </c>
      <c r="E18">
        <f t="shared" si="0"/>
        <v>191</v>
      </c>
      <c r="G18">
        <f t="shared" si="3"/>
        <v>4</v>
      </c>
      <c r="H18" t="str">
        <f t="shared" si="4"/>
        <v/>
      </c>
      <c r="I18" t="str">
        <f t="shared" si="5"/>
        <v/>
      </c>
      <c r="J18" t="str">
        <f t="shared" si="6"/>
        <v/>
      </c>
      <c r="K18" t="str">
        <f t="shared" si="7"/>
        <v/>
      </c>
      <c r="L18" t="str">
        <f t="shared" si="8"/>
        <v/>
      </c>
      <c r="M18" t="str">
        <f t="shared" si="9"/>
        <v/>
      </c>
      <c r="N18" t="str">
        <f t="shared" si="10"/>
        <v/>
      </c>
      <c r="O18" t="str">
        <f t="shared" si="11"/>
        <v/>
      </c>
      <c r="P18" t="str">
        <f t="shared" si="12"/>
        <v/>
      </c>
      <c r="Q18" t="str">
        <f t="shared" si="13"/>
        <v/>
      </c>
      <c r="R18" t="str">
        <f t="shared" si="14"/>
        <v/>
      </c>
      <c r="S18" t="str">
        <f t="shared" si="15"/>
        <v/>
      </c>
      <c r="T18" t="str">
        <f t="shared" si="16"/>
        <v/>
      </c>
      <c r="U18" t="str">
        <f t="shared" si="17"/>
        <v/>
      </c>
      <c r="V18" t="str">
        <f t="shared" si="18"/>
        <v/>
      </c>
      <c r="W18" t="str">
        <f t="shared" si="19"/>
        <v xml:space="preserve">              </v>
      </c>
    </row>
    <row r="19" spans="1:23" hidden="1">
      <c r="A19" s="71" t="b">
        <f t="shared" si="1"/>
        <v>0</v>
      </c>
      <c r="B19" s="71">
        <f t="shared" si="2"/>
        <v>18</v>
      </c>
      <c r="C19" s="71" t="s">
        <v>0</v>
      </c>
      <c r="D19" s="71" t="s">
        <v>17</v>
      </c>
      <c r="E19">
        <f t="shared" si="0"/>
        <v>20</v>
      </c>
      <c r="F19">
        <v>1</v>
      </c>
      <c r="G19">
        <f t="shared" si="3"/>
        <v>1</v>
      </c>
      <c r="H19" t="str">
        <f t="shared" si="4"/>
        <v>Interpersonal skills</v>
      </c>
      <c r="I19" t="str">
        <f t="shared" si="5"/>
        <v>The ability to interact, lead, motivate, and manage people.</v>
      </c>
      <c r="J19" t="str">
        <f t="shared" si="6"/>
        <v/>
      </c>
      <c r="K19" t="str">
        <f t="shared" si="7"/>
        <v/>
      </c>
      <c r="L19" t="str">
        <f t="shared" si="8"/>
        <v/>
      </c>
      <c r="M19" t="str">
        <f t="shared" si="9"/>
        <v/>
      </c>
      <c r="N19" t="str">
        <f t="shared" si="10"/>
        <v/>
      </c>
      <c r="O19" t="str">
        <f t="shared" si="11"/>
        <v/>
      </c>
      <c r="P19" t="str">
        <f t="shared" si="12"/>
        <v/>
      </c>
      <c r="Q19" t="str">
        <f t="shared" si="13"/>
        <v/>
      </c>
      <c r="R19" t="str">
        <f t="shared" si="14"/>
        <v/>
      </c>
      <c r="S19" t="str">
        <f t="shared" si="15"/>
        <v/>
      </c>
      <c r="T19" t="str">
        <f t="shared" si="16"/>
        <v/>
      </c>
      <c r="U19" t="str">
        <f t="shared" si="17"/>
        <v/>
      </c>
      <c r="V19" t="str">
        <f t="shared" si="18"/>
        <v/>
      </c>
      <c r="W19" s="71" t="str">
        <f>CONCATENATE(H19," ",I19," ",J19," ",K19," ",L19," ",M19," ",N19," ",O19," ",P19," ",Q19," ",R19," ",S19," ",T19," ",U19," ",V19)</f>
        <v xml:space="preserve">Interpersonal skills The ability to interact, lead, motivate, and manage people.             </v>
      </c>
    </row>
    <row r="20" spans="1:23" customFormat="1" hidden="1">
      <c r="A20" t="b">
        <f t="shared" si="1"/>
        <v>0</v>
      </c>
      <c r="B20">
        <f t="shared" si="2"/>
        <v>19</v>
      </c>
      <c r="C20" t="s">
        <v>0</v>
      </c>
      <c r="D20" t="s">
        <v>18</v>
      </c>
      <c r="E20">
        <f t="shared" si="0"/>
        <v>59</v>
      </c>
      <c r="G20">
        <f t="shared" si="3"/>
        <v>2</v>
      </c>
      <c r="H20" t="str">
        <f t="shared" si="4"/>
        <v/>
      </c>
      <c r="I20" t="str">
        <f t="shared" si="5"/>
        <v/>
      </c>
      <c r="J20" t="str">
        <f t="shared" si="6"/>
        <v/>
      </c>
      <c r="K20" t="str">
        <f t="shared" si="7"/>
        <v/>
      </c>
      <c r="L20" t="str">
        <f t="shared" si="8"/>
        <v/>
      </c>
      <c r="M20" t="str">
        <f t="shared" si="9"/>
        <v/>
      </c>
      <c r="N20" t="str">
        <f t="shared" si="10"/>
        <v/>
      </c>
      <c r="O20" t="str">
        <f t="shared" si="11"/>
        <v/>
      </c>
      <c r="P20" t="str">
        <f t="shared" si="12"/>
        <v/>
      </c>
      <c r="Q20" t="str">
        <f t="shared" si="13"/>
        <v/>
      </c>
      <c r="R20" t="str">
        <f t="shared" si="14"/>
        <v/>
      </c>
      <c r="S20" t="str">
        <f t="shared" si="15"/>
        <v/>
      </c>
      <c r="T20" t="str">
        <f t="shared" si="16"/>
        <v/>
      </c>
      <c r="U20" t="str">
        <f t="shared" si="17"/>
        <v/>
      </c>
      <c r="V20" t="str">
        <f t="shared" si="18"/>
        <v/>
      </c>
      <c r="W20" t="str">
        <f t="shared" si="19"/>
        <v xml:space="preserve">              </v>
      </c>
    </row>
    <row r="21" spans="1:23" hidden="1">
      <c r="A21" s="71" t="b">
        <f t="shared" si="1"/>
        <v>0</v>
      </c>
      <c r="B21" s="71">
        <f t="shared" si="2"/>
        <v>20</v>
      </c>
      <c r="C21" s="71" t="s">
        <v>0</v>
      </c>
      <c r="D21" s="71" t="s">
        <v>19</v>
      </c>
      <c r="E21">
        <f t="shared" si="0"/>
        <v>35</v>
      </c>
      <c r="F21">
        <v>1</v>
      </c>
      <c r="G21">
        <f t="shared" si="3"/>
        <v>1</v>
      </c>
      <c r="H21" t="str">
        <f t="shared" si="4"/>
        <v>Iron Triangle of Project Management</v>
      </c>
      <c r="I21" t="str">
        <f t="shared" si="5"/>
        <v>A triangle with the characteristics of time, cost, and scope. Time, cost, and scope each constitute one side of the triangle; if any side of the Iron Triangle is not in balance with the other sides, the project will suffer. The Iron Triangle of Project Management is also known as the Triple Constraints of Project Management, as all projects are constrained by time, cost, and scope.</v>
      </c>
      <c r="J21" t="str">
        <f t="shared" si="6"/>
        <v/>
      </c>
      <c r="K21" t="str">
        <f t="shared" si="7"/>
        <v/>
      </c>
      <c r="L21" t="str">
        <f t="shared" si="8"/>
        <v/>
      </c>
      <c r="M21" t="str">
        <f t="shared" si="9"/>
        <v/>
      </c>
      <c r="N21" t="str">
        <f t="shared" si="10"/>
        <v/>
      </c>
      <c r="O21" t="str">
        <f t="shared" si="11"/>
        <v/>
      </c>
      <c r="P21" t="str">
        <f t="shared" si="12"/>
        <v/>
      </c>
      <c r="Q21" t="str">
        <f t="shared" si="13"/>
        <v/>
      </c>
      <c r="R21" t="str">
        <f t="shared" si="14"/>
        <v/>
      </c>
      <c r="S21" t="str">
        <f t="shared" si="15"/>
        <v/>
      </c>
      <c r="T21" t="str">
        <f t="shared" si="16"/>
        <v/>
      </c>
      <c r="U21" t="str">
        <f t="shared" si="17"/>
        <v/>
      </c>
      <c r="V21" t="str">
        <f t="shared" si="18"/>
        <v/>
      </c>
      <c r="W21" s="71" t="str">
        <f>CONCATENATE(H21," ",I21," ",J21," ",K21," ",L21," ",M21," ",N21," ",O21," ",P21," ",Q21," ",R21," ",S21," ",T21," ",U21," ",V21)</f>
        <v xml:space="preserve">Iron Triangle of Project Management A triangle with the characteristics of time, cost, and scope. Time, cost, and scope each constitute one side of the triangle; if any side of the Iron Triangle is not in balance with the other sides, the project will suffer. The Iron Triangle of Project Management is also known as the Triple Constraints of Project Management, as all projects are constrained by time, cost, and scope.             </v>
      </c>
    </row>
    <row r="22" spans="1:23" customFormat="1" hidden="1">
      <c r="A22" t="b">
        <f t="shared" si="1"/>
        <v>0</v>
      </c>
      <c r="B22">
        <f t="shared" si="2"/>
        <v>21</v>
      </c>
      <c r="C22" t="s">
        <v>0</v>
      </c>
      <c r="D22" t="s">
        <v>20</v>
      </c>
      <c r="E22">
        <f t="shared" si="0"/>
        <v>384</v>
      </c>
      <c r="G22">
        <f t="shared" si="3"/>
        <v>2</v>
      </c>
      <c r="H22" t="str">
        <f t="shared" si="4"/>
        <v/>
      </c>
      <c r="I22" t="str">
        <f t="shared" si="5"/>
        <v/>
      </c>
      <c r="J22" t="str">
        <f t="shared" si="6"/>
        <v/>
      </c>
      <c r="K22" t="str">
        <f t="shared" si="7"/>
        <v/>
      </c>
      <c r="L22" t="str">
        <f t="shared" si="8"/>
        <v/>
      </c>
      <c r="M22" t="str">
        <f t="shared" si="9"/>
        <v/>
      </c>
      <c r="N22" t="str">
        <f t="shared" si="10"/>
        <v/>
      </c>
      <c r="O22" t="str">
        <f t="shared" si="11"/>
        <v/>
      </c>
      <c r="P22" t="str">
        <f t="shared" si="12"/>
        <v/>
      </c>
      <c r="Q22" t="str">
        <f t="shared" si="13"/>
        <v/>
      </c>
      <c r="R22" t="str">
        <f t="shared" si="14"/>
        <v/>
      </c>
      <c r="S22" t="str">
        <f t="shared" si="15"/>
        <v/>
      </c>
      <c r="T22" t="str">
        <f t="shared" si="16"/>
        <v/>
      </c>
      <c r="U22" t="str">
        <f t="shared" si="17"/>
        <v/>
      </c>
      <c r="V22" t="str">
        <f t="shared" si="18"/>
        <v/>
      </c>
      <c r="W22" t="str">
        <f t="shared" si="19"/>
        <v xml:space="preserve">              </v>
      </c>
    </row>
    <row r="23" spans="1:23" hidden="1">
      <c r="A23" s="71" t="b">
        <f t="shared" si="1"/>
        <v>0</v>
      </c>
      <c r="B23" s="71">
        <f t="shared" si="2"/>
        <v>22</v>
      </c>
      <c r="C23" s="71" t="s">
        <v>0</v>
      </c>
      <c r="D23" s="71" t="s">
        <v>21</v>
      </c>
      <c r="E23">
        <f t="shared" si="0"/>
        <v>20</v>
      </c>
      <c r="F23">
        <v>1</v>
      </c>
      <c r="G23">
        <f t="shared" si="3"/>
        <v>1</v>
      </c>
      <c r="H23" t="str">
        <f t="shared" si="4"/>
        <v>Physical environment</v>
      </c>
      <c r="I23" t="str">
        <f t="shared" si="5"/>
        <v>The physical structure and surroundings that affect a project’s work.</v>
      </c>
      <c r="J23" t="str">
        <f t="shared" si="6"/>
        <v/>
      </c>
      <c r="K23" t="str">
        <f t="shared" si="7"/>
        <v/>
      </c>
      <c r="L23" t="str">
        <f t="shared" si="8"/>
        <v/>
      </c>
      <c r="M23" t="str">
        <f t="shared" si="9"/>
        <v/>
      </c>
      <c r="N23" t="str">
        <f t="shared" si="10"/>
        <v/>
      </c>
      <c r="O23" t="str">
        <f t="shared" si="11"/>
        <v/>
      </c>
      <c r="P23" t="str">
        <f t="shared" si="12"/>
        <v/>
      </c>
      <c r="Q23" t="str">
        <f t="shared" si="13"/>
        <v/>
      </c>
      <c r="R23" t="str">
        <f t="shared" si="14"/>
        <v/>
      </c>
      <c r="S23" t="str">
        <f t="shared" si="15"/>
        <v/>
      </c>
      <c r="T23" t="str">
        <f t="shared" si="16"/>
        <v/>
      </c>
      <c r="U23" t="str">
        <f t="shared" si="17"/>
        <v/>
      </c>
      <c r="V23" t="str">
        <f t="shared" si="18"/>
        <v/>
      </c>
      <c r="W23" s="71" t="str">
        <f>CONCATENATE(H23," ",I23," ",J23," ",K23," ",L23," ",M23," ",N23," ",O23," ",P23," ",Q23," ",R23," ",S23," ",T23," ",U23," ",V23)</f>
        <v xml:space="preserve">Physical environment The physical structure and surroundings that affect a project’s work.             </v>
      </c>
    </row>
    <row r="24" spans="1:23" customFormat="1" hidden="1">
      <c r="A24" t="b">
        <f t="shared" si="1"/>
        <v>0</v>
      </c>
      <c r="B24">
        <f t="shared" si="2"/>
        <v>23</v>
      </c>
      <c r="C24" t="s">
        <v>0</v>
      </c>
      <c r="D24" t="s">
        <v>22</v>
      </c>
      <c r="E24">
        <f t="shared" si="0"/>
        <v>69</v>
      </c>
      <c r="G24">
        <f t="shared" si="3"/>
        <v>2</v>
      </c>
      <c r="H24" t="str">
        <f t="shared" si="4"/>
        <v/>
      </c>
      <c r="I24" t="str">
        <f t="shared" si="5"/>
        <v/>
      </c>
      <c r="J24" t="str">
        <f t="shared" si="6"/>
        <v/>
      </c>
      <c r="K24" t="str">
        <f t="shared" si="7"/>
        <v/>
      </c>
      <c r="L24" t="str">
        <f t="shared" si="8"/>
        <v/>
      </c>
      <c r="M24" t="str">
        <f t="shared" si="9"/>
        <v/>
      </c>
      <c r="N24" t="str">
        <f t="shared" si="10"/>
        <v/>
      </c>
      <c r="O24" t="str">
        <f t="shared" si="11"/>
        <v/>
      </c>
      <c r="P24" t="str">
        <f t="shared" si="12"/>
        <v/>
      </c>
      <c r="Q24" t="str">
        <f t="shared" si="13"/>
        <v/>
      </c>
      <c r="R24" t="str">
        <f t="shared" si="14"/>
        <v/>
      </c>
      <c r="S24" t="str">
        <f t="shared" si="15"/>
        <v/>
      </c>
      <c r="T24" t="str">
        <f t="shared" si="16"/>
        <v/>
      </c>
      <c r="U24" t="str">
        <f t="shared" si="17"/>
        <v/>
      </c>
      <c r="V24" t="str">
        <f t="shared" si="18"/>
        <v/>
      </c>
      <c r="W24" t="str">
        <f t="shared" si="19"/>
        <v xml:space="preserve">              </v>
      </c>
    </row>
    <row r="25" spans="1:23" hidden="1">
      <c r="A25" s="71" t="b">
        <f t="shared" si="1"/>
        <v>0</v>
      </c>
      <c r="B25" s="71">
        <f t="shared" si="2"/>
        <v>24</v>
      </c>
      <c r="C25" s="71" t="s">
        <v>0</v>
      </c>
      <c r="D25" s="71" t="s">
        <v>23</v>
      </c>
      <c r="E25">
        <f t="shared" si="0"/>
        <v>14</v>
      </c>
      <c r="F25">
        <v>1</v>
      </c>
      <c r="G25">
        <f t="shared" si="3"/>
        <v>1</v>
      </c>
      <c r="H25" t="str">
        <f t="shared" si="4"/>
        <v>Process groups</v>
      </c>
      <c r="I25" t="str">
        <f t="shared" si="5"/>
        <v>A collection of related processes in project management. There are five process groups and 49 project management processes. The five process groups are Initiating, Planning, Executing, Monitoring and Controlling, and Closing.</v>
      </c>
      <c r="J25" t="str">
        <f t="shared" si="6"/>
        <v/>
      </c>
      <c r="K25" t="str">
        <f t="shared" si="7"/>
        <v/>
      </c>
      <c r="L25" t="str">
        <f t="shared" si="8"/>
        <v/>
      </c>
      <c r="M25" t="str">
        <f t="shared" si="9"/>
        <v/>
      </c>
      <c r="N25" t="str">
        <f t="shared" si="10"/>
        <v/>
      </c>
      <c r="O25" t="str">
        <f t="shared" si="11"/>
        <v/>
      </c>
      <c r="P25" t="str">
        <f t="shared" si="12"/>
        <v/>
      </c>
      <c r="Q25" t="str">
        <f t="shared" si="13"/>
        <v/>
      </c>
      <c r="R25" t="str">
        <f t="shared" si="14"/>
        <v/>
      </c>
      <c r="S25" t="str">
        <f t="shared" si="15"/>
        <v/>
      </c>
      <c r="T25" t="str">
        <f t="shared" si="16"/>
        <v/>
      </c>
      <c r="U25" t="str">
        <f t="shared" si="17"/>
        <v/>
      </c>
      <c r="V25" t="str">
        <f t="shared" si="18"/>
        <v/>
      </c>
      <c r="W25" s="71" t="str">
        <f>CONCATENATE(H25," ",I25," ",J25," ",K25," ",L25," ",M25," ",N25," ",O25," ",P25," ",Q25," ",R25," ",S25," ",T25," ",U25," ",V25)</f>
        <v xml:space="preserve">Process groups A collection of related processes in project management. There are five process groups and 49 project management processes. The five process groups are Initiating, Planning, Executing, Monitoring and Controlling, and Closing.             </v>
      </c>
    </row>
    <row r="26" spans="1:23" customFormat="1" hidden="1">
      <c r="A26" t="b">
        <f t="shared" si="1"/>
        <v>0</v>
      </c>
      <c r="B26">
        <f t="shared" si="2"/>
        <v>25</v>
      </c>
      <c r="C26" t="s">
        <v>0</v>
      </c>
      <c r="D26" t="s">
        <v>24</v>
      </c>
      <c r="E26">
        <f t="shared" si="0"/>
        <v>225</v>
      </c>
      <c r="G26">
        <f t="shared" si="3"/>
        <v>2</v>
      </c>
      <c r="H26" t="str">
        <f t="shared" si="4"/>
        <v/>
      </c>
      <c r="I26" t="str">
        <f t="shared" si="5"/>
        <v/>
      </c>
      <c r="J26" t="str">
        <f t="shared" si="6"/>
        <v/>
      </c>
      <c r="K26" t="str">
        <f t="shared" si="7"/>
        <v/>
      </c>
      <c r="L26" t="str">
        <f t="shared" si="8"/>
        <v/>
      </c>
      <c r="M26" t="str">
        <f t="shared" si="9"/>
        <v/>
      </c>
      <c r="N26" t="str">
        <f t="shared" si="10"/>
        <v/>
      </c>
      <c r="O26" t="str">
        <f t="shared" si="11"/>
        <v/>
      </c>
      <c r="P26" t="str">
        <f t="shared" si="12"/>
        <v/>
      </c>
      <c r="Q26" t="str">
        <f t="shared" si="13"/>
        <v/>
      </c>
      <c r="R26" t="str">
        <f t="shared" si="14"/>
        <v/>
      </c>
      <c r="S26" t="str">
        <f t="shared" si="15"/>
        <v/>
      </c>
      <c r="T26" t="str">
        <f t="shared" si="16"/>
        <v/>
      </c>
      <c r="U26" t="str">
        <f t="shared" si="17"/>
        <v/>
      </c>
      <c r="V26" t="str">
        <f t="shared" si="18"/>
        <v/>
      </c>
      <c r="W26" t="str">
        <f t="shared" si="19"/>
        <v xml:space="preserve">              </v>
      </c>
    </row>
    <row r="27" spans="1:23" hidden="1">
      <c r="A27" s="71" t="b">
        <f t="shared" si="1"/>
        <v>0</v>
      </c>
      <c r="B27" s="71">
        <f t="shared" si="2"/>
        <v>26</v>
      </c>
      <c r="C27" s="71" t="s">
        <v>0</v>
      </c>
      <c r="D27" s="71" t="s">
        <v>25</v>
      </c>
      <c r="E27">
        <f t="shared" si="0"/>
        <v>7</v>
      </c>
      <c r="F27">
        <v>1</v>
      </c>
      <c r="G27">
        <f t="shared" si="3"/>
        <v>1</v>
      </c>
      <c r="H27" t="str">
        <f t="shared" si="4"/>
        <v>Program</v>
      </c>
      <c r="I27" t="str">
        <f t="shared" si="5"/>
        <v>A collection of related projects working in unison toward a common deliverable.</v>
      </c>
      <c r="J27" t="str">
        <f t="shared" si="6"/>
        <v/>
      </c>
      <c r="K27" t="str">
        <f t="shared" si="7"/>
        <v/>
      </c>
      <c r="L27" t="str">
        <f t="shared" si="8"/>
        <v/>
      </c>
      <c r="M27" t="str">
        <f t="shared" si="9"/>
        <v/>
      </c>
      <c r="N27" t="str">
        <f t="shared" si="10"/>
        <v/>
      </c>
      <c r="O27" t="str">
        <f t="shared" si="11"/>
        <v/>
      </c>
      <c r="P27" t="str">
        <f t="shared" si="12"/>
        <v/>
      </c>
      <c r="Q27" t="str">
        <f t="shared" si="13"/>
        <v/>
      </c>
      <c r="R27" t="str">
        <f t="shared" si="14"/>
        <v/>
      </c>
      <c r="S27" t="str">
        <f t="shared" si="15"/>
        <v/>
      </c>
      <c r="T27" t="str">
        <f t="shared" si="16"/>
        <v/>
      </c>
      <c r="U27" t="str">
        <f t="shared" si="17"/>
        <v/>
      </c>
      <c r="V27" t="str">
        <f t="shared" si="18"/>
        <v/>
      </c>
      <c r="W27" s="71" t="str">
        <f>CONCATENATE(H27," ",I27," ",J27," ",K27," ",L27," ",M27," ",N27," ",O27," ",P27," ",Q27," ",R27," ",S27," ",T27," ",U27," ",V27)</f>
        <v xml:space="preserve">Program A collection of related projects working in unison toward a common deliverable.             </v>
      </c>
    </row>
    <row r="28" spans="1:23" customFormat="1" hidden="1">
      <c r="A28" t="b">
        <f t="shared" si="1"/>
        <v>0</v>
      </c>
      <c r="B28">
        <f t="shared" si="2"/>
        <v>27</v>
      </c>
      <c r="C28" t="s">
        <v>0</v>
      </c>
      <c r="D28" t="s">
        <v>26</v>
      </c>
      <c r="E28">
        <f t="shared" si="0"/>
        <v>79</v>
      </c>
      <c r="G28">
        <f t="shared" si="3"/>
        <v>2</v>
      </c>
      <c r="H28" t="str">
        <f t="shared" si="4"/>
        <v/>
      </c>
      <c r="I28" t="str">
        <f t="shared" si="5"/>
        <v/>
      </c>
      <c r="J28" t="str">
        <f t="shared" si="6"/>
        <v/>
      </c>
      <c r="K28" t="str">
        <f t="shared" si="7"/>
        <v/>
      </c>
      <c r="L28" t="str">
        <f t="shared" si="8"/>
        <v/>
      </c>
      <c r="M28" t="str">
        <f t="shared" si="9"/>
        <v/>
      </c>
      <c r="N28" t="str">
        <f t="shared" si="10"/>
        <v/>
      </c>
      <c r="O28" t="str">
        <f t="shared" si="11"/>
        <v/>
      </c>
      <c r="P28" t="str">
        <f t="shared" si="12"/>
        <v/>
      </c>
      <c r="Q28" t="str">
        <f t="shared" si="13"/>
        <v/>
      </c>
      <c r="R28" t="str">
        <f t="shared" si="14"/>
        <v/>
      </c>
      <c r="S28" t="str">
        <f t="shared" si="15"/>
        <v/>
      </c>
      <c r="T28" t="str">
        <f t="shared" si="16"/>
        <v/>
      </c>
      <c r="U28" t="str">
        <f t="shared" si="17"/>
        <v/>
      </c>
      <c r="V28" t="str">
        <f t="shared" si="18"/>
        <v/>
      </c>
      <c r="W28" t="str">
        <f t="shared" si="19"/>
        <v xml:space="preserve">              </v>
      </c>
    </row>
    <row r="29" spans="1:23" hidden="1">
      <c r="A29" s="71" t="b">
        <f t="shared" si="1"/>
        <v>0</v>
      </c>
      <c r="B29" s="71">
        <f t="shared" si="2"/>
        <v>28</v>
      </c>
      <c r="C29" s="71" t="s">
        <v>0</v>
      </c>
      <c r="D29" s="71" t="s">
        <v>27</v>
      </c>
      <c r="E29">
        <f t="shared" si="0"/>
        <v>23</v>
      </c>
      <c r="F29">
        <v>1</v>
      </c>
      <c r="G29">
        <f t="shared" si="3"/>
        <v>1</v>
      </c>
      <c r="H29" t="str">
        <f t="shared" si="4"/>
        <v>Progressive elaboration</v>
      </c>
      <c r="I29" t="str">
        <f t="shared" si="5"/>
        <v>The process of gathering project details. This process uses deductive reasoning, logic, and a series of information-gathering techniques to identify details about a project, product, or solution.</v>
      </c>
      <c r="J29" t="str">
        <f t="shared" si="6"/>
        <v/>
      </c>
      <c r="K29" t="str">
        <f t="shared" si="7"/>
        <v/>
      </c>
      <c r="L29" t="str">
        <f t="shared" si="8"/>
        <v/>
      </c>
      <c r="M29" t="str">
        <f t="shared" si="9"/>
        <v/>
      </c>
      <c r="N29" t="str">
        <f t="shared" si="10"/>
        <v/>
      </c>
      <c r="O29" t="str">
        <f t="shared" si="11"/>
        <v/>
      </c>
      <c r="P29" t="str">
        <f t="shared" si="12"/>
        <v/>
      </c>
      <c r="Q29" t="str">
        <f t="shared" si="13"/>
        <v/>
      </c>
      <c r="R29" t="str">
        <f t="shared" si="14"/>
        <v/>
      </c>
      <c r="S29" t="str">
        <f t="shared" si="15"/>
        <v/>
      </c>
      <c r="T29" t="str">
        <f t="shared" si="16"/>
        <v/>
      </c>
      <c r="U29" t="str">
        <f t="shared" si="17"/>
        <v/>
      </c>
      <c r="V29" t="str">
        <f t="shared" si="18"/>
        <v/>
      </c>
      <c r="W29" s="71" t="str">
        <f>CONCATENATE(H29," ",I29," ",J29," ",K29," ",L29," ",M29," ",N29," ",O29," ",P29," ",Q29," ",R29," ",S29," ",T29," ",U29," ",V29)</f>
        <v xml:space="preserve">Progressive elaboration The process of gathering project details. This process uses deductive reasoning, logic, and a series of information-gathering techniques to identify details about a project, product, or solution.             </v>
      </c>
    </row>
    <row r="30" spans="1:23" customFormat="1" hidden="1">
      <c r="A30" t="b">
        <f t="shared" si="1"/>
        <v>0</v>
      </c>
      <c r="B30">
        <f t="shared" si="2"/>
        <v>29</v>
      </c>
      <c r="C30" t="s">
        <v>0</v>
      </c>
      <c r="D30" t="s">
        <v>28</v>
      </c>
      <c r="E30">
        <f t="shared" si="0"/>
        <v>195</v>
      </c>
      <c r="G30">
        <f t="shared" si="3"/>
        <v>2</v>
      </c>
      <c r="H30" t="str">
        <f t="shared" si="4"/>
        <v/>
      </c>
      <c r="I30" t="str">
        <f t="shared" si="5"/>
        <v/>
      </c>
      <c r="J30" t="str">
        <f t="shared" si="6"/>
        <v/>
      </c>
      <c r="K30" t="str">
        <f t="shared" si="7"/>
        <v/>
      </c>
      <c r="L30" t="str">
        <f t="shared" si="8"/>
        <v/>
      </c>
      <c r="M30" t="str">
        <f t="shared" si="9"/>
        <v/>
      </c>
      <c r="N30" t="str">
        <f t="shared" si="10"/>
        <v/>
      </c>
      <c r="O30" t="str">
        <f t="shared" si="11"/>
        <v/>
      </c>
      <c r="P30" t="str">
        <f t="shared" si="12"/>
        <v/>
      </c>
      <c r="Q30" t="str">
        <f t="shared" si="13"/>
        <v/>
      </c>
      <c r="R30" t="str">
        <f t="shared" si="14"/>
        <v/>
      </c>
      <c r="S30" t="str">
        <f t="shared" si="15"/>
        <v/>
      </c>
      <c r="T30" t="str">
        <f t="shared" si="16"/>
        <v/>
      </c>
      <c r="U30" t="str">
        <f t="shared" si="17"/>
        <v/>
      </c>
      <c r="V30" t="str">
        <f t="shared" si="18"/>
        <v/>
      </c>
      <c r="W30" t="str">
        <f t="shared" si="19"/>
        <v xml:space="preserve">              </v>
      </c>
    </row>
    <row r="31" spans="1:23" hidden="1">
      <c r="A31" s="71" t="b">
        <f t="shared" si="1"/>
        <v>0</v>
      </c>
      <c r="B31" s="71">
        <f t="shared" si="2"/>
        <v>30</v>
      </c>
      <c r="C31" s="71" t="s">
        <v>0</v>
      </c>
      <c r="D31" s="71" t="s">
        <v>29</v>
      </c>
      <c r="E31">
        <f t="shared" si="0"/>
        <v>7</v>
      </c>
      <c r="F31">
        <v>1</v>
      </c>
      <c r="G31">
        <f t="shared" si="3"/>
        <v>1</v>
      </c>
      <c r="H31" t="str">
        <f t="shared" si="4"/>
        <v>Project</v>
      </c>
      <c r="I31" t="str">
        <f t="shared" si="5"/>
        <v>A temporary endeavor to create a unique product, service, or result. The end result of a project is also called a deliverable.</v>
      </c>
      <c r="J31" t="str">
        <f t="shared" si="6"/>
        <v/>
      </c>
      <c r="K31" t="str">
        <f t="shared" si="7"/>
        <v/>
      </c>
      <c r="L31" t="str">
        <f t="shared" si="8"/>
        <v/>
      </c>
      <c r="M31" t="str">
        <f t="shared" si="9"/>
        <v/>
      </c>
      <c r="N31" t="str">
        <f t="shared" si="10"/>
        <v/>
      </c>
      <c r="O31" t="str">
        <f t="shared" si="11"/>
        <v/>
      </c>
      <c r="P31" t="str">
        <f t="shared" si="12"/>
        <v/>
      </c>
      <c r="Q31" t="str">
        <f t="shared" si="13"/>
        <v/>
      </c>
      <c r="R31" t="str">
        <f t="shared" si="14"/>
        <v/>
      </c>
      <c r="S31" t="str">
        <f t="shared" si="15"/>
        <v/>
      </c>
      <c r="T31" t="str">
        <f t="shared" si="16"/>
        <v/>
      </c>
      <c r="U31" t="str">
        <f t="shared" si="17"/>
        <v/>
      </c>
      <c r="V31" t="str">
        <f t="shared" si="18"/>
        <v/>
      </c>
      <c r="W31" s="71" t="str">
        <f>CONCATENATE(H31," ",I31," ",J31," ",K31," ",L31," ",M31," ",N31," ",O31," ",P31," ",Q31," ",R31," ",S31," ",T31," ",U31," ",V31)</f>
        <v xml:space="preserve">Project A temporary endeavor to create a unique product, service, or result. The end result of a project is also called a deliverable.             </v>
      </c>
    </row>
    <row r="32" spans="1:23" customFormat="1" hidden="1">
      <c r="A32" t="b">
        <f t="shared" si="1"/>
        <v>0</v>
      </c>
      <c r="B32">
        <f t="shared" si="2"/>
        <v>31</v>
      </c>
      <c r="C32" t="s">
        <v>0</v>
      </c>
      <c r="D32" t="s">
        <v>30</v>
      </c>
      <c r="E32">
        <f t="shared" si="0"/>
        <v>126</v>
      </c>
      <c r="G32">
        <f t="shared" si="3"/>
        <v>2</v>
      </c>
      <c r="H32" t="str">
        <f t="shared" si="4"/>
        <v/>
      </c>
      <c r="I32" t="str">
        <f t="shared" si="5"/>
        <v/>
      </c>
      <c r="J32" t="str">
        <f t="shared" si="6"/>
        <v/>
      </c>
      <c r="K32" t="str">
        <f t="shared" si="7"/>
        <v/>
      </c>
      <c r="L32" t="str">
        <f t="shared" si="8"/>
        <v/>
      </c>
      <c r="M32" t="str">
        <f t="shared" si="9"/>
        <v/>
      </c>
      <c r="N32" t="str">
        <f t="shared" si="10"/>
        <v/>
      </c>
      <c r="O32" t="str">
        <f t="shared" si="11"/>
        <v/>
      </c>
      <c r="P32" t="str">
        <f t="shared" si="12"/>
        <v/>
      </c>
      <c r="Q32" t="str">
        <f t="shared" si="13"/>
        <v/>
      </c>
      <c r="R32" t="str">
        <f t="shared" si="14"/>
        <v/>
      </c>
      <c r="S32" t="str">
        <f t="shared" si="15"/>
        <v/>
      </c>
      <c r="T32" t="str">
        <f t="shared" si="16"/>
        <v/>
      </c>
      <c r="U32" t="str">
        <f t="shared" si="17"/>
        <v/>
      </c>
      <c r="V32" t="str">
        <f t="shared" si="18"/>
        <v/>
      </c>
      <c r="W32" t="str">
        <f t="shared" si="19"/>
        <v xml:space="preserve">              </v>
      </c>
    </row>
    <row r="33" spans="1:23" hidden="1">
      <c r="A33" s="71" t="b">
        <f t="shared" si="1"/>
        <v>0</v>
      </c>
      <c r="B33" s="71">
        <f t="shared" si="2"/>
        <v>32</v>
      </c>
      <c r="C33" s="71" t="s">
        <v>0</v>
      </c>
      <c r="D33" s="71" t="s">
        <v>31</v>
      </c>
      <c r="E33">
        <f t="shared" si="0"/>
        <v>32</v>
      </c>
      <c r="F33">
        <v>1</v>
      </c>
      <c r="G33">
        <f t="shared" si="3"/>
        <v>1</v>
      </c>
      <c r="H33" t="str">
        <f t="shared" si="4"/>
        <v>Project benefits management plan</v>
      </c>
      <c r="I33" t="str">
        <f t="shared" si="5"/>
        <v>A documented created and maintained by the project sponsor and the project manager. The project benefits management plan defines what benefits the project will create, when the benefits will be realized, and how the benefits will be measured.</v>
      </c>
      <c r="J33" t="str">
        <f t="shared" si="6"/>
        <v/>
      </c>
      <c r="K33" t="str">
        <f t="shared" si="7"/>
        <v/>
      </c>
      <c r="L33" t="str">
        <f t="shared" si="8"/>
        <v/>
      </c>
      <c r="M33" t="str">
        <f t="shared" si="9"/>
        <v/>
      </c>
      <c r="N33" t="str">
        <f t="shared" si="10"/>
        <v/>
      </c>
      <c r="O33" t="str">
        <f t="shared" si="11"/>
        <v/>
      </c>
      <c r="P33" t="str">
        <f t="shared" si="12"/>
        <v/>
      </c>
      <c r="Q33" t="str">
        <f t="shared" si="13"/>
        <v/>
      </c>
      <c r="R33" t="str">
        <f t="shared" si="14"/>
        <v/>
      </c>
      <c r="S33" t="str">
        <f t="shared" si="15"/>
        <v/>
      </c>
      <c r="T33" t="str">
        <f t="shared" si="16"/>
        <v/>
      </c>
      <c r="U33" t="str">
        <f t="shared" si="17"/>
        <v/>
      </c>
      <c r="V33" t="str">
        <f t="shared" si="18"/>
        <v/>
      </c>
      <c r="W33" s="71" t="str">
        <f>CONCATENATE(H33," ",I33," ",J33," ",K33," ",L33," ",M33," ",N33," ",O33," ",P33," ",Q33," ",R33," ",S33," ",T33," ",U33," ",V33)</f>
        <v xml:space="preserve">Project benefits management plan A documented created and maintained by the project sponsor and the project manager. The project benefits management plan defines what benefits the project will create, when the benefits will be realized, and how the benefits will be measured.             </v>
      </c>
    </row>
    <row r="34" spans="1:23" customFormat="1" hidden="1">
      <c r="A34" t="b">
        <f t="shared" si="1"/>
        <v>0</v>
      </c>
      <c r="B34">
        <f t="shared" si="2"/>
        <v>33</v>
      </c>
      <c r="C34" t="s">
        <v>0</v>
      </c>
      <c r="D34" t="s">
        <v>32</v>
      </c>
      <c r="E34">
        <f t="shared" si="0"/>
        <v>242</v>
      </c>
      <c r="G34">
        <f t="shared" si="3"/>
        <v>2</v>
      </c>
      <c r="H34" t="str">
        <f t="shared" si="4"/>
        <v/>
      </c>
      <c r="I34" t="str">
        <f t="shared" si="5"/>
        <v/>
      </c>
      <c r="J34" t="str">
        <f t="shared" si="6"/>
        <v/>
      </c>
      <c r="K34" t="str">
        <f t="shared" si="7"/>
        <v/>
      </c>
      <c r="L34" t="str">
        <f t="shared" si="8"/>
        <v/>
      </c>
      <c r="M34" t="str">
        <f t="shared" si="9"/>
        <v/>
      </c>
      <c r="N34" t="str">
        <f t="shared" si="10"/>
        <v/>
      </c>
      <c r="O34" t="str">
        <f t="shared" si="11"/>
        <v/>
      </c>
      <c r="P34" t="str">
        <f t="shared" si="12"/>
        <v/>
      </c>
      <c r="Q34" t="str">
        <f t="shared" si="13"/>
        <v/>
      </c>
      <c r="R34" t="str">
        <f t="shared" si="14"/>
        <v/>
      </c>
      <c r="S34" t="str">
        <f t="shared" si="15"/>
        <v/>
      </c>
      <c r="T34" t="str">
        <f t="shared" si="16"/>
        <v/>
      </c>
      <c r="U34" t="str">
        <f t="shared" si="17"/>
        <v/>
      </c>
      <c r="V34" t="str">
        <f t="shared" si="18"/>
        <v/>
      </c>
      <c r="W34" t="str">
        <f t="shared" si="19"/>
        <v xml:space="preserve">              </v>
      </c>
    </row>
    <row r="35" spans="1:23" hidden="1">
      <c r="A35" s="71" t="b">
        <f t="shared" si="1"/>
        <v>0</v>
      </c>
      <c r="B35" s="71">
        <f t="shared" si="2"/>
        <v>34</v>
      </c>
      <c r="C35" s="71" t="s">
        <v>0</v>
      </c>
      <c r="D35" s="71" t="s">
        <v>33</v>
      </c>
      <c r="E35">
        <f t="shared" si="0"/>
        <v>21</v>
      </c>
      <c r="F35">
        <v>1</v>
      </c>
      <c r="G35">
        <f t="shared" si="3"/>
        <v>1</v>
      </c>
      <c r="H35" t="str">
        <f t="shared" si="4"/>
        <v>Project business case</v>
      </c>
      <c r="I35" t="str">
        <f t="shared" si="5"/>
        <v>Created and maintained by the project sponsor and shows the financial validity of why a project is chartered and launched within the organization. Typically, the project business case is created before the launch of the project and may be used as a go/no-go decision point.</v>
      </c>
      <c r="J35" t="str">
        <f t="shared" si="6"/>
        <v/>
      </c>
      <c r="K35" t="str">
        <f t="shared" si="7"/>
        <v/>
      </c>
      <c r="L35" t="str">
        <f t="shared" si="8"/>
        <v/>
      </c>
      <c r="M35" t="str">
        <f t="shared" si="9"/>
        <v/>
      </c>
      <c r="N35" t="str">
        <f t="shared" si="10"/>
        <v/>
      </c>
      <c r="O35" t="str">
        <f t="shared" si="11"/>
        <v/>
      </c>
      <c r="P35" t="str">
        <f t="shared" si="12"/>
        <v/>
      </c>
      <c r="Q35" t="str">
        <f t="shared" si="13"/>
        <v/>
      </c>
      <c r="R35" t="str">
        <f t="shared" si="14"/>
        <v/>
      </c>
      <c r="S35" t="str">
        <f t="shared" si="15"/>
        <v/>
      </c>
      <c r="T35" t="str">
        <f t="shared" si="16"/>
        <v/>
      </c>
      <c r="U35" t="str">
        <f t="shared" si="17"/>
        <v/>
      </c>
      <c r="V35" t="str">
        <f t="shared" si="18"/>
        <v/>
      </c>
      <c r="W35" s="71" t="str">
        <f>CONCATENATE(H35," ",I35," ",J35," ",K35," ",L35," ",M35," ",N35," ",O35," ",P35," ",Q35," ",R35," ",S35," ",T35," ",U35," ",V35)</f>
        <v xml:space="preserve">Project business case Created and maintained by the project sponsor and shows the financial validity of why a project is chartered and launched within the organization. Typically, the project business case is created before the launch of the project and may be used as a go/no-go decision point.             </v>
      </c>
    </row>
    <row r="36" spans="1:23" customFormat="1" hidden="1">
      <c r="A36" t="b">
        <f t="shared" si="1"/>
        <v>0</v>
      </c>
      <c r="B36">
        <f t="shared" si="2"/>
        <v>35</v>
      </c>
      <c r="C36" t="s">
        <v>0</v>
      </c>
      <c r="D36" t="s">
        <v>34</v>
      </c>
      <c r="E36">
        <f t="shared" si="0"/>
        <v>273</v>
      </c>
      <c r="G36">
        <f t="shared" si="3"/>
        <v>2</v>
      </c>
      <c r="H36" t="str">
        <f t="shared" si="4"/>
        <v/>
      </c>
      <c r="I36" t="str">
        <f t="shared" si="5"/>
        <v/>
      </c>
      <c r="J36" t="str">
        <f t="shared" si="6"/>
        <v/>
      </c>
      <c r="K36" t="str">
        <f t="shared" si="7"/>
        <v/>
      </c>
      <c r="L36" t="str">
        <f t="shared" si="8"/>
        <v/>
      </c>
      <c r="M36" t="str">
        <f t="shared" si="9"/>
        <v/>
      </c>
      <c r="N36" t="str">
        <f t="shared" si="10"/>
        <v/>
      </c>
      <c r="O36" t="str">
        <f t="shared" si="11"/>
        <v/>
      </c>
      <c r="P36" t="str">
        <f t="shared" si="12"/>
        <v/>
      </c>
      <c r="Q36" t="str">
        <f t="shared" si="13"/>
        <v/>
      </c>
      <c r="R36" t="str">
        <f t="shared" si="14"/>
        <v/>
      </c>
      <c r="S36" t="str">
        <f t="shared" si="15"/>
        <v/>
      </c>
      <c r="T36" t="str">
        <f t="shared" si="16"/>
        <v/>
      </c>
      <c r="U36" t="str">
        <f t="shared" si="17"/>
        <v/>
      </c>
      <c r="V36" t="str">
        <f t="shared" si="18"/>
        <v/>
      </c>
      <c r="W36" t="str">
        <f t="shared" si="19"/>
        <v xml:space="preserve">              </v>
      </c>
    </row>
    <row r="37" spans="1:23" hidden="1">
      <c r="A37" s="71" t="b">
        <f t="shared" si="1"/>
        <v>0</v>
      </c>
      <c r="B37" s="71">
        <f t="shared" si="2"/>
        <v>36</v>
      </c>
      <c r="C37" s="71" t="s">
        <v>0</v>
      </c>
      <c r="D37" s="71" t="s">
        <v>35</v>
      </c>
      <c r="E37">
        <f t="shared" si="0"/>
        <v>19</v>
      </c>
      <c r="F37">
        <v>1</v>
      </c>
      <c r="G37">
        <f t="shared" si="3"/>
        <v>1</v>
      </c>
      <c r="H37" t="str">
        <f t="shared" si="4"/>
        <v>Project environment</v>
      </c>
      <c r="I37" t="str">
        <f t="shared" si="5"/>
        <v>The location and culture of the environment where the project work will reside. The project environment includes the social, economic, and environmental variables the project must work with or around.</v>
      </c>
      <c r="J37" t="str">
        <f t="shared" si="6"/>
        <v/>
      </c>
      <c r="K37" t="str">
        <f t="shared" si="7"/>
        <v/>
      </c>
      <c r="L37" t="str">
        <f t="shared" si="8"/>
        <v/>
      </c>
      <c r="M37" t="str">
        <f t="shared" si="9"/>
        <v/>
      </c>
      <c r="N37" t="str">
        <f t="shared" si="10"/>
        <v/>
      </c>
      <c r="O37" t="str">
        <f t="shared" si="11"/>
        <v/>
      </c>
      <c r="P37" t="str">
        <f t="shared" si="12"/>
        <v/>
      </c>
      <c r="Q37" t="str">
        <f t="shared" si="13"/>
        <v/>
      </c>
      <c r="R37" t="str">
        <f t="shared" si="14"/>
        <v/>
      </c>
      <c r="S37" t="str">
        <f t="shared" si="15"/>
        <v/>
      </c>
      <c r="T37" t="str">
        <f t="shared" si="16"/>
        <v/>
      </c>
      <c r="U37" t="str">
        <f t="shared" si="17"/>
        <v/>
      </c>
      <c r="V37" t="str">
        <f t="shared" si="18"/>
        <v/>
      </c>
      <c r="W37" s="71" t="str">
        <f>CONCATENATE(H37," ",I37," ",J37," ",K37," ",L37," ",M37," ",N37," ",O37," ",P37," ",Q37," ",R37," ",S37," ",T37," ",U37," ",V37)</f>
        <v xml:space="preserve">Project environment The location and culture of the environment where the project work will reside. The project environment includes the social, economic, and environmental variables the project must work with or around.             </v>
      </c>
    </row>
    <row r="38" spans="1:23" customFormat="1" hidden="1">
      <c r="A38" t="b">
        <f t="shared" si="1"/>
        <v>0</v>
      </c>
      <c r="B38">
        <f t="shared" si="2"/>
        <v>37</v>
      </c>
      <c r="C38" t="s">
        <v>0</v>
      </c>
      <c r="D38" t="s">
        <v>36</v>
      </c>
      <c r="E38">
        <f t="shared" si="0"/>
        <v>200</v>
      </c>
      <c r="G38">
        <f t="shared" si="3"/>
        <v>2</v>
      </c>
      <c r="H38" t="str">
        <f t="shared" si="4"/>
        <v/>
      </c>
      <c r="I38" t="str">
        <f t="shared" si="5"/>
        <v/>
      </c>
      <c r="J38" t="str">
        <f t="shared" si="6"/>
        <v/>
      </c>
      <c r="K38" t="str">
        <f t="shared" si="7"/>
        <v/>
      </c>
      <c r="L38" t="str">
        <f t="shared" si="8"/>
        <v/>
      </c>
      <c r="M38" t="str">
        <f t="shared" si="9"/>
        <v/>
      </c>
      <c r="N38" t="str">
        <f t="shared" si="10"/>
        <v/>
      </c>
      <c r="O38" t="str">
        <f t="shared" si="11"/>
        <v/>
      </c>
      <c r="P38" t="str">
        <f t="shared" si="12"/>
        <v/>
      </c>
      <c r="Q38" t="str">
        <f t="shared" si="13"/>
        <v/>
      </c>
      <c r="R38" t="str">
        <f t="shared" si="14"/>
        <v/>
      </c>
      <c r="S38" t="str">
        <f t="shared" si="15"/>
        <v/>
      </c>
      <c r="T38" t="str">
        <f t="shared" si="16"/>
        <v/>
      </c>
      <c r="U38" t="str">
        <f t="shared" si="17"/>
        <v/>
      </c>
      <c r="V38" t="str">
        <f t="shared" si="18"/>
        <v/>
      </c>
      <c r="W38" t="str">
        <f t="shared" si="19"/>
        <v xml:space="preserve">              </v>
      </c>
    </row>
    <row r="39" spans="1:23" hidden="1">
      <c r="A39" s="71" t="b">
        <f t="shared" si="1"/>
        <v>0</v>
      </c>
      <c r="B39" s="71">
        <f t="shared" si="2"/>
        <v>38</v>
      </c>
      <c r="C39" s="71" t="s">
        <v>0</v>
      </c>
      <c r="D39" s="71" t="s">
        <v>37</v>
      </c>
      <c r="E39">
        <f t="shared" si="0"/>
        <v>34</v>
      </c>
      <c r="F39">
        <v>1</v>
      </c>
      <c r="G39">
        <f t="shared" si="3"/>
        <v>1</v>
      </c>
      <c r="H39" t="str">
        <f t="shared" si="4"/>
        <v>Project Management Institute (PMI)</v>
      </c>
      <c r="I39" t="str">
        <f t="shared" si="5"/>
        <v>An organization of project management professionals from around the world, supporting and promoting the careers, values, and concerns of project managers.</v>
      </c>
      <c r="J39" t="str">
        <f t="shared" si="6"/>
        <v/>
      </c>
      <c r="K39" t="str">
        <f t="shared" si="7"/>
        <v/>
      </c>
      <c r="L39" t="str">
        <f t="shared" si="8"/>
        <v/>
      </c>
      <c r="M39" t="str">
        <f t="shared" si="9"/>
        <v/>
      </c>
      <c r="N39" t="str">
        <f t="shared" si="10"/>
        <v/>
      </c>
      <c r="O39" t="str">
        <f t="shared" si="11"/>
        <v/>
      </c>
      <c r="P39" t="str">
        <f t="shared" si="12"/>
        <v/>
      </c>
      <c r="Q39" t="str">
        <f t="shared" si="13"/>
        <v/>
      </c>
      <c r="R39" t="str">
        <f t="shared" si="14"/>
        <v/>
      </c>
      <c r="S39" t="str">
        <f t="shared" si="15"/>
        <v/>
      </c>
      <c r="T39" t="str">
        <f t="shared" si="16"/>
        <v/>
      </c>
      <c r="U39" t="str">
        <f t="shared" si="17"/>
        <v/>
      </c>
      <c r="V39" t="str">
        <f t="shared" si="18"/>
        <v/>
      </c>
      <c r="W39" s="71" t="str">
        <f>CONCATENATE(H39," ",I39," ",J39," ",K39," ",L39," ",M39," ",N39," ",O39," ",P39," ",Q39," ",R39," ",S39," ",T39," ",U39," ",V39)</f>
        <v xml:space="preserve">Project Management Institute (PMI) An organization of project management professionals from around the world, supporting and promoting the careers, values, and concerns of project managers.             </v>
      </c>
    </row>
    <row r="40" spans="1:23" customFormat="1" hidden="1">
      <c r="A40" t="b">
        <f t="shared" si="1"/>
        <v>0</v>
      </c>
      <c r="B40">
        <f t="shared" si="2"/>
        <v>39</v>
      </c>
      <c r="C40" t="s">
        <v>0</v>
      </c>
      <c r="D40" t="s">
        <v>38</v>
      </c>
      <c r="E40">
        <f t="shared" si="0"/>
        <v>154</v>
      </c>
      <c r="G40">
        <f t="shared" si="3"/>
        <v>2</v>
      </c>
      <c r="H40" t="str">
        <f t="shared" si="4"/>
        <v/>
      </c>
      <c r="I40" t="str">
        <f t="shared" si="5"/>
        <v/>
      </c>
      <c r="J40" t="str">
        <f t="shared" si="6"/>
        <v/>
      </c>
      <c r="K40" t="str">
        <f t="shared" si="7"/>
        <v/>
      </c>
      <c r="L40" t="str">
        <f t="shared" si="8"/>
        <v/>
      </c>
      <c r="M40" t="str">
        <f t="shared" si="9"/>
        <v/>
      </c>
      <c r="N40" t="str">
        <f t="shared" si="10"/>
        <v/>
      </c>
      <c r="O40" t="str">
        <f t="shared" si="11"/>
        <v/>
      </c>
      <c r="P40" t="str">
        <f t="shared" si="12"/>
        <v/>
      </c>
      <c r="Q40" t="str">
        <f t="shared" si="13"/>
        <v/>
      </c>
      <c r="R40" t="str">
        <f t="shared" si="14"/>
        <v/>
      </c>
      <c r="S40" t="str">
        <f t="shared" si="15"/>
        <v/>
      </c>
      <c r="T40" t="str">
        <f t="shared" si="16"/>
        <v/>
      </c>
      <c r="U40" t="str">
        <f t="shared" si="17"/>
        <v/>
      </c>
      <c r="V40" t="str">
        <f t="shared" si="18"/>
        <v/>
      </c>
      <c r="W40" t="str">
        <f t="shared" si="19"/>
        <v xml:space="preserve">              </v>
      </c>
    </row>
    <row r="41" spans="1:23" hidden="1">
      <c r="A41" s="71" t="b">
        <f t="shared" si="1"/>
        <v>0</v>
      </c>
      <c r="B41" s="71">
        <f t="shared" si="2"/>
        <v>40</v>
      </c>
      <c r="C41" s="71" t="s">
        <v>0</v>
      </c>
      <c r="D41" s="71" t="s">
        <v>39</v>
      </c>
      <c r="E41">
        <f t="shared" si="0"/>
        <v>18</v>
      </c>
      <c r="F41">
        <v>1</v>
      </c>
      <c r="G41">
        <f t="shared" si="3"/>
        <v>1</v>
      </c>
      <c r="H41" t="str">
        <f t="shared" si="4"/>
        <v>Project life cycle</v>
      </c>
      <c r="I41" t="str">
        <f t="shared" si="5"/>
        <v>The phases that make up the project. Project life cycles are unique to the type of work being performed and are not universal to all projects.</v>
      </c>
      <c r="J41" t="str">
        <f t="shared" si="6"/>
        <v/>
      </c>
      <c r="K41" t="str">
        <f t="shared" si="7"/>
        <v/>
      </c>
      <c r="L41" t="str">
        <f t="shared" si="8"/>
        <v/>
      </c>
      <c r="M41" t="str">
        <f t="shared" si="9"/>
        <v/>
      </c>
      <c r="N41" t="str">
        <f t="shared" si="10"/>
        <v/>
      </c>
      <c r="O41" t="str">
        <f t="shared" si="11"/>
        <v/>
      </c>
      <c r="P41" t="str">
        <f t="shared" si="12"/>
        <v/>
      </c>
      <c r="Q41" t="str">
        <f t="shared" si="13"/>
        <v/>
      </c>
      <c r="R41" t="str">
        <f t="shared" si="14"/>
        <v/>
      </c>
      <c r="S41" t="str">
        <f t="shared" si="15"/>
        <v/>
      </c>
      <c r="T41" t="str">
        <f t="shared" si="16"/>
        <v/>
      </c>
      <c r="U41" t="str">
        <f t="shared" si="17"/>
        <v/>
      </c>
      <c r="V41" t="str">
        <f t="shared" si="18"/>
        <v/>
      </c>
      <c r="W41" s="71" t="str">
        <f>CONCATENATE(H41," ",I41," ",J41," ",K41," ",L41," ",M41," ",N41," ",O41," ",P41," ",Q41," ",R41," ",S41," ",T41," ",U41," ",V41)</f>
        <v xml:space="preserve">Project life cycle The phases that make up the project. Project life cycles are unique to the type of work being performed and are not universal to all projects.             </v>
      </c>
    </row>
    <row r="42" spans="1:23" customFormat="1" hidden="1">
      <c r="A42" t="b">
        <f t="shared" si="1"/>
        <v>0</v>
      </c>
      <c r="B42">
        <f t="shared" si="2"/>
        <v>41</v>
      </c>
      <c r="C42" t="s">
        <v>0</v>
      </c>
      <c r="D42" t="s">
        <v>40</v>
      </c>
      <c r="E42">
        <f t="shared" si="0"/>
        <v>142</v>
      </c>
      <c r="G42">
        <f t="shared" si="3"/>
        <v>2</v>
      </c>
      <c r="H42" t="str">
        <f t="shared" si="4"/>
        <v/>
      </c>
      <c r="I42" t="str">
        <f t="shared" si="5"/>
        <v/>
      </c>
      <c r="J42" t="str">
        <f t="shared" si="6"/>
        <v/>
      </c>
      <c r="K42" t="str">
        <f t="shared" si="7"/>
        <v/>
      </c>
      <c r="L42" t="str">
        <f t="shared" si="8"/>
        <v/>
      </c>
      <c r="M42" t="str">
        <f t="shared" si="9"/>
        <v/>
      </c>
      <c r="N42" t="str">
        <f t="shared" si="10"/>
        <v/>
      </c>
      <c r="O42" t="str">
        <f t="shared" si="11"/>
        <v/>
      </c>
      <c r="P42" t="str">
        <f t="shared" si="12"/>
        <v/>
      </c>
      <c r="Q42" t="str">
        <f t="shared" si="13"/>
        <v/>
      </c>
      <c r="R42" t="str">
        <f t="shared" si="14"/>
        <v/>
      </c>
      <c r="S42" t="str">
        <f t="shared" si="15"/>
        <v/>
      </c>
      <c r="T42" t="str">
        <f t="shared" si="16"/>
        <v/>
      </c>
      <c r="U42" t="str">
        <f t="shared" si="17"/>
        <v/>
      </c>
      <c r="V42" t="str">
        <f t="shared" si="18"/>
        <v/>
      </c>
      <c r="W42" t="str">
        <f t="shared" si="19"/>
        <v xml:space="preserve">              </v>
      </c>
    </row>
    <row r="43" spans="1:23" hidden="1">
      <c r="A43" s="71" t="b">
        <f t="shared" si="1"/>
        <v>0</v>
      </c>
      <c r="B43" s="71">
        <f t="shared" si="2"/>
        <v>42</v>
      </c>
      <c r="C43" s="71" t="s">
        <v>0</v>
      </c>
      <c r="D43" s="71" t="s">
        <v>41</v>
      </c>
      <c r="E43">
        <f t="shared" si="0"/>
        <v>31</v>
      </c>
      <c r="F43">
        <v>1</v>
      </c>
      <c r="G43">
        <f t="shared" si="3"/>
        <v>1</v>
      </c>
      <c r="H43" t="str">
        <f t="shared" si="4"/>
        <v>Project management office (PMO)</v>
      </c>
      <c r="I43" t="str">
        <f t="shared" si="5"/>
        <v>A central office that oversees all projects within an organization or within a functional department. A PMO supports the project manager through software, training, templates, policies, communication, dispute resolution, and other services.</v>
      </c>
      <c r="J43" t="str">
        <f t="shared" si="6"/>
        <v/>
      </c>
      <c r="K43" t="str">
        <f t="shared" si="7"/>
        <v/>
      </c>
      <c r="L43" t="str">
        <f t="shared" si="8"/>
        <v/>
      </c>
      <c r="M43" t="str">
        <f t="shared" si="9"/>
        <v/>
      </c>
      <c r="N43" t="str">
        <f t="shared" si="10"/>
        <v/>
      </c>
      <c r="O43" t="str">
        <f t="shared" si="11"/>
        <v/>
      </c>
      <c r="P43" t="str">
        <f t="shared" si="12"/>
        <v/>
      </c>
      <c r="Q43" t="str">
        <f t="shared" si="13"/>
        <v/>
      </c>
      <c r="R43" t="str">
        <f t="shared" si="14"/>
        <v/>
      </c>
      <c r="S43" t="str">
        <f t="shared" si="15"/>
        <v/>
      </c>
      <c r="T43" t="str">
        <f t="shared" si="16"/>
        <v/>
      </c>
      <c r="U43" t="str">
        <f t="shared" si="17"/>
        <v/>
      </c>
      <c r="V43" t="str">
        <f t="shared" si="18"/>
        <v/>
      </c>
      <c r="W43" s="71" t="str">
        <f>CONCATENATE(H43," ",I43," ",J43," ",K43," ",L43," ",M43," ",N43," ",O43," ",P43," ",Q43," ",R43," ",S43," ",T43," ",U43," ",V43)</f>
        <v xml:space="preserve">Project management office (PMO) A central office that oversees all projects within an organization or within a functional department. A PMO supports the project manager through software, training, templates, policies, communication, dispute resolution, and other services.             </v>
      </c>
    </row>
    <row r="44" spans="1:23" customFormat="1" hidden="1">
      <c r="A44" t="b">
        <f t="shared" si="1"/>
        <v>0</v>
      </c>
      <c r="B44">
        <f t="shared" si="2"/>
        <v>43</v>
      </c>
      <c r="C44" t="s">
        <v>0</v>
      </c>
      <c r="D44" t="s">
        <v>42</v>
      </c>
      <c r="E44">
        <f t="shared" si="0"/>
        <v>240</v>
      </c>
      <c r="G44">
        <f t="shared" si="3"/>
        <v>2</v>
      </c>
      <c r="H44" t="str">
        <f t="shared" si="4"/>
        <v/>
      </c>
      <c r="I44" t="str">
        <f t="shared" si="5"/>
        <v/>
      </c>
      <c r="J44" t="str">
        <f t="shared" si="6"/>
        <v/>
      </c>
      <c r="K44" t="str">
        <f t="shared" si="7"/>
        <v/>
      </c>
      <c r="L44" t="str">
        <f t="shared" si="8"/>
        <v/>
      </c>
      <c r="M44" t="str">
        <f t="shared" si="9"/>
        <v/>
      </c>
      <c r="N44" t="str">
        <f t="shared" si="10"/>
        <v/>
      </c>
      <c r="O44" t="str">
        <f t="shared" si="11"/>
        <v/>
      </c>
      <c r="P44" t="str">
        <f t="shared" si="12"/>
        <v/>
      </c>
      <c r="Q44" t="str">
        <f t="shared" si="13"/>
        <v/>
      </c>
      <c r="R44" t="str">
        <f t="shared" si="14"/>
        <v/>
      </c>
      <c r="S44" t="str">
        <f t="shared" si="15"/>
        <v/>
      </c>
      <c r="T44" t="str">
        <f t="shared" si="16"/>
        <v/>
      </c>
      <c r="U44" t="str">
        <f t="shared" si="17"/>
        <v/>
      </c>
      <c r="V44" t="str">
        <f t="shared" si="18"/>
        <v/>
      </c>
      <c r="W44" t="str">
        <f t="shared" si="19"/>
        <v xml:space="preserve">              </v>
      </c>
    </row>
    <row r="45" spans="1:23" hidden="1">
      <c r="A45" s="71" t="b">
        <f t="shared" si="1"/>
        <v>0</v>
      </c>
      <c r="B45" s="71">
        <f t="shared" si="2"/>
        <v>44</v>
      </c>
      <c r="C45" s="71" t="s">
        <v>0</v>
      </c>
      <c r="D45" s="71" t="s">
        <v>43</v>
      </c>
      <c r="E45">
        <f t="shared" si="0"/>
        <v>37</v>
      </c>
      <c r="F45">
        <v>1</v>
      </c>
      <c r="G45">
        <f t="shared" si="3"/>
        <v>1</v>
      </c>
      <c r="H45" t="str">
        <f t="shared" si="4"/>
        <v>Project Management Professional (PMP)</v>
      </c>
      <c r="I45" t="str">
        <f t="shared" si="5"/>
        <v>A person who has proven project management experience and has qualified for and then passed the PMP examination.</v>
      </c>
      <c r="J45" t="str">
        <f t="shared" si="6"/>
        <v/>
      </c>
      <c r="K45" t="str">
        <f t="shared" si="7"/>
        <v/>
      </c>
      <c r="L45" t="str">
        <f t="shared" si="8"/>
        <v/>
      </c>
      <c r="M45" t="str">
        <f t="shared" si="9"/>
        <v/>
      </c>
      <c r="N45" t="str">
        <f t="shared" si="10"/>
        <v/>
      </c>
      <c r="O45" t="str">
        <f t="shared" si="11"/>
        <v/>
      </c>
      <c r="P45" t="str">
        <f t="shared" si="12"/>
        <v/>
      </c>
      <c r="Q45" t="str">
        <f t="shared" si="13"/>
        <v/>
      </c>
      <c r="R45" t="str">
        <f t="shared" si="14"/>
        <v/>
      </c>
      <c r="S45" t="str">
        <f t="shared" si="15"/>
        <v/>
      </c>
      <c r="T45" t="str">
        <f t="shared" si="16"/>
        <v/>
      </c>
      <c r="U45" t="str">
        <f t="shared" si="17"/>
        <v/>
      </c>
      <c r="V45" t="str">
        <f t="shared" si="18"/>
        <v/>
      </c>
      <c r="W45" s="71" t="str">
        <f>CONCATENATE(H45," ",I45," ",J45," ",K45," ",L45," ",M45," ",N45," ",O45," ",P45," ",Q45," ",R45," ",S45," ",T45," ",U45," ",V45)</f>
        <v xml:space="preserve">Project Management Professional (PMP) A person who has proven project management experience and has qualified for and then passed the PMP examination.             </v>
      </c>
    </row>
    <row r="46" spans="1:23" customFormat="1" hidden="1">
      <c r="A46" t="b">
        <f t="shared" si="1"/>
        <v>0</v>
      </c>
      <c r="B46">
        <f t="shared" si="2"/>
        <v>45</v>
      </c>
      <c r="C46" t="s">
        <v>0</v>
      </c>
      <c r="D46" t="s">
        <v>44</v>
      </c>
      <c r="E46">
        <f t="shared" si="0"/>
        <v>112</v>
      </c>
      <c r="G46">
        <f t="shared" si="3"/>
        <v>2</v>
      </c>
      <c r="H46" t="str">
        <f t="shared" si="4"/>
        <v/>
      </c>
      <c r="I46" t="str">
        <f t="shared" si="5"/>
        <v/>
      </c>
      <c r="J46" t="str">
        <f t="shared" si="6"/>
        <v/>
      </c>
      <c r="K46" t="str">
        <f t="shared" si="7"/>
        <v/>
      </c>
      <c r="L46" t="str">
        <f t="shared" si="8"/>
        <v/>
      </c>
      <c r="M46" t="str">
        <f t="shared" si="9"/>
        <v/>
      </c>
      <c r="N46" t="str">
        <f t="shared" si="10"/>
        <v/>
      </c>
      <c r="O46" t="str">
        <f t="shared" si="11"/>
        <v/>
      </c>
      <c r="P46" t="str">
        <f t="shared" si="12"/>
        <v/>
      </c>
      <c r="Q46" t="str">
        <f t="shared" si="13"/>
        <v/>
      </c>
      <c r="R46" t="str">
        <f t="shared" si="14"/>
        <v/>
      </c>
      <c r="S46" t="str">
        <f t="shared" si="15"/>
        <v/>
      </c>
      <c r="T46" t="str">
        <f t="shared" si="16"/>
        <v/>
      </c>
      <c r="U46" t="str">
        <f t="shared" si="17"/>
        <v/>
      </c>
      <c r="V46" t="str">
        <f t="shared" si="18"/>
        <v/>
      </c>
      <c r="W46" t="str">
        <f t="shared" si="19"/>
        <v xml:space="preserve">              </v>
      </c>
    </row>
    <row r="47" spans="1:23" hidden="1">
      <c r="A47" s="71" t="b">
        <f t="shared" si="1"/>
        <v>0</v>
      </c>
      <c r="B47" s="71">
        <f t="shared" si="2"/>
        <v>46</v>
      </c>
      <c r="C47" s="71" t="s">
        <v>0</v>
      </c>
      <c r="D47" s="71" t="s">
        <v>45</v>
      </c>
      <c r="E47">
        <f t="shared" si="0"/>
        <v>28</v>
      </c>
      <c r="F47">
        <v>1</v>
      </c>
      <c r="G47">
        <f t="shared" si="3"/>
        <v>1</v>
      </c>
      <c r="H47" t="str">
        <f t="shared" si="4"/>
        <v>Project portfolio management</v>
      </c>
      <c r="I47" t="str">
        <f t="shared" si="5"/>
        <v>The management and selection of projects that support an organization’s vision and mission. It is the balance of project priority, risk, reward, and return on investment. This is a senior management process.</v>
      </c>
      <c r="J47" t="str">
        <f t="shared" si="6"/>
        <v/>
      </c>
      <c r="K47" t="str">
        <f t="shared" si="7"/>
        <v/>
      </c>
      <c r="L47" t="str">
        <f t="shared" si="8"/>
        <v/>
      </c>
      <c r="M47" t="str">
        <f t="shared" si="9"/>
        <v/>
      </c>
      <c r="N47" t="str">
        <f t="shared" si="10"/>
        <v/>
      </c>
      <c r="O47" t="str">
        <f t="shared" si="11"/>
        <v/>
      </c>
      <c r="P47" t="str">
        <f t="shared" si="12"/>
        <v/>
      </c>
      <c r="Q47" t="str">
        <f t="shared" si="13"/>
        <v/>
      </c>
      <c r="R47" t="str">
        <f t="shared" si="14"/>
        <v/>
      </c>
      <c r="S47" t="str">
        <f t="shared" si="15"/>
        <v/>
      </c>
      <c r="T47" t="str">
        <f t="shared" si="16"/>
        <v/>
      </c>
      <c r="U47" t="str">
        <f t="shared" si="17"/>
        <v/>
      </c>
      <c r="V47" t="str">
        <f t="shared" si="18"/>
        <v/>
      </c>
      <c r="W47" s="71" t="str">
        <f>CONCATENATE(H47," ",I47," ",J47," ",K47," ",L47," ",M47," ",N47," ",O47," ",P47," ",Q47," ",R47," ",S47," ",T47," ",U47," ",V47)</f>
        <v xml:space="preserve">Project portfolio management The management and selection of projects that support an organization’s vision and mission. It is the balance of project priority, risk, reward, and return on investment. This is a senior management process.             </v>
      </c>
    </row>
    <row r="48" spans="1:23" customFormat="1" hidden="1">
      <c r="A48" t="b">
        <f t="shared" si="1"/>
        <v>0</v>
      </c>
      <c r="B48">
        <f t="shared" si="2"/>
        <v>47</v>
      </c>
      <c r="C48" t="s">
        <v>0</v>
      </c>
      <c r="D48" t="s">
        <v>46</v>
      </c>
      <c r="E48">
        <f t="shared" si="0"/>
        <v>207</v>
      </c>
      <c r="G48">
        <f t="shared" si="3"/>
        <v>2</v>
      </c>
      <c r="H48" t="str">
        <f t="shared" si="4"/>
        <v/>
      </c>
      <c r="I48" t="str">
        <f t="shared" si="5"/>
        <v/>
      </c>
      <c r="J48" t="str">
        <f t="shared" si="6"/>
        <v/>
      </c>
      <c r="K48" t="str">
        <f t="shared" si="7"/>
        <v/>
      </c>
      <c r="L48" t="str">
        <f t="shared" si="8"/>
        <v/>
      </c>
      <c r="M48" t="str">
        <f t="shared" si="9"/>
        <v/>
      </c>
      <c r="N48" t="str">
        <f t="shared" si="10"/>
        <v/>
      </c>
      <c r="O48" t="str">
        <f t="shared" si="11"/>
        <v/>
      </c>
      <c r="P48" t="str">
        <f t="shared" si="12"/>
        <v/>
      </c>
      <c r="Q48" t="str">
        <f t="shared" si="13"/>
        <v/>
      </c>
      <c r="R48" t="str">
        <f t="shared" si="14"/>
        <v/>
      </c>
      <c r="S48" t="str">
        <f t="shared" si="15"/>
        <v/>
      </c>
      <c r="T48" t="str">
        <f t="shared" si="16"/>
        <v/>
      </c>
      <c r="U48" t="str">
        <f t="shared" si="17"/>
        <v/>
      </c>
      <c r="V48" t="str">
        <f t="shared" si="18"/>
        <v/>
      </c>
      <c r="W48" t="str">
        <f t="shared" si="19"/>
        <v xml:space="preserve">              </v>
      </c>
    </row>
    <row r="49" spans="1:23" hidden="1">
      <c r="A49" s="71" t="b">
        <f t="shared" si="1"/>
        <v>0</v>
      </c>
      <c r="B49" s="71">
        <f t="shared" si="2"/>
        <v>48</v>
      </c>
      <c r="C49" s="71" t="s">
        <v>0</v>
      </c>
      <c r="D49" s="71" t="s">
        <v>47</v>
      </c>
      <c r="E49">
        <f t="shared" si="0"/>
        <v>11</v>
      </c>
      <c r="F49">
        <v>1</v>
      </c>
      <c r="G49">
        <f t="shared" si="3"/>
        <v>1</v>
      </c>
      <c r="H49" t="str">
        <f t="shared" si="4"/>
        <v>Subprojects</v>
      </c>
      <c r="I49" t="str">
        <f t="shared" si="5"/>
        <v>A smaller project managed within a larger, parent project. Subprojects are often contracted work whose deliverable allows the larger project to progress.</v>
      </c>
      <c r="J49" t="str">
        <f t="shared" si="6"/>
        <v>Triple Constraints of Project Management</v>
      </c>
      <c r="K49" t="str">
        <f t="shared" si="7"/>
        <v>Also known as the Iron Triangle. This theory posits that time, cost, and scope are three constraints that every project has.</v>
      </c>
      <c r="L49" t="str">
        <f t="shared" si="8"/>
        <v/>
      </c>
      <c r="M49" t="str">
        <f t="shared" si="9"/>
        <v/>
      </c>
      <c r="N49" t="str">
        <f t="shared" si="10"/>
        <v/>
      </c>
      <c r="O49" t="str">
        <f t="shared" si="11"/>
        <v/>
      </c>
      <c r="P49" t="str">
        <f t="shared" si="12"/>
        <v/>
      </c>
      <c r="Q49" t="str">
        <f t="shared" si="13"/>
        <v/>
      </c>
      <c r="R49" t="str">
        <f t="shared" si="14"/>
        <v/>
      </c>
      <c r="S49" t="str">
        <f t="shared" si="15"/>
        <v/>
      </c>
      <c r="T49" t="str">
        <f t="shared" si="16"/>
        <v/>
      </c>
      <c r="U49" t="str">
        <f t="shared" si="17"/>
        <v/>
      </c>
      <c r="V49" t="str">
        <f t="shared" si="18"/>
        <v/>
      </c>
      <c r="W49" s="71" t="str">
        <f>CONCATENATE(H49," ",I49," ",J49," ",K49," ",L49," ",M49," ",N49," ",O49," ",P49," ",Q49," ",R49," ",S49," ",T49," ",U49," ",V49)</f>
        <v xml:space="preserve">Subprojects A smaller project managed within a larger, parent project. Subprojects are often contracted work whose deliverable allows the larger project to progress. Triple Constraints of Project Management Also known as the Iron Triangle. This theory posits that time, cost, and scope are three constraints that every project has.           </v>
      </c>
    </row>
    <row r="50" spans="1:23" customFormat="1" hidden="1">
      <c r="A50" t="b">
        <f t="shared" si="1"/>
        <v>0</v>
      </c>
      <c r="B50">
        <f t="shared" si="2"/>
        <v>49</v>
      </c>
      <c r="C50" t="s">
        <v>0</v>
      </c>
      <c r="D50" t="s">
        <v>48</v>
      </c>
      <c r="E50">
        <f t="shared" si="0"/>
        <v>153</v>
      </c>
      <c r="G50">
        <f t="shared" si="3"/>
        <v>2</v>
      </c>
      <c r="H50" t="str">
        <f t="shared" si="4"/>
        <v/>
      </c>
      <c r="I50" t="str">
        <f t="shared" si="5"/>
        <v/>
      </c>
      <c r="J50" t="str">
        <f t="shared" si="6"/>
        <v/>
      </c>
      <c r="K50" t="str">
        <f t="shared" si="7"/>
        <v/>
      </c>
      <c r="L50" t="str">
        <f t="shared" si="8"/>
        <v/>
      </c>
      <c r="M50" t="str">
        <f t="shared" si="9"/>
        <v/>
      </c>
      <c r="N50" t="str">
        <f t="shared" si="10"/>
        <v/>
      </c>
      <c r="O50" t="str">
        <f t="shared" si="11"/>
        <v/>
      </c>
      <c r="P50" t="str">
        <f t="shared" si="12"/>
        <v/>
      </c>
      <c r="Q50" t="str">
        <f t="shared" si="13"/>
        <v/>
      </c>
      <c r="R50" t="str">
        <f t="shared" si="14"/>
        <v/>
      </c>
      <c r="S50" t="str">
        <f t="shared" si="15"/>
        <v/>
      </c>
      <c r="T50" t="str">
        <f t="shared" si="16"/>
        <v/>
      </c>
      <c r="U50" t="str">
        <f t="shared" si="17"/>
        <v/>
      </c>
      <c r="V50" t="str">
        <f t="shared" si="18"/>
        <v/>
      </c>
      <c r="W50" t="str">
        <f t="shared" si="19"/>
        <v xml:space="preserve">              </v>
      </c>
    </row>
    <row r="51" spans="1:23" customFormat="1" hidden="1">
      <c r="A51" t="b">
        <f t="shared" si="1"/>
        <v>0</v>
      </c>
      <c r="B51">
        <f t="shared" si="2"/>
        <v>50</v>
      </c>
      <c r="C51" t="s">
        <v>0</v>
      </c>
      <c r="D51" t="s">
        <v>49</v>
      </c>
      <c r="E51">
        <f t="shared" si="0"/>
        <v>40</v>
      </c>
      <c r="G51">
        <f t="shared" si="3"/>
        <v>3</v>
      </c>
      <c r="H51" t="str">
        <f t="shared" si="4"/>
        <v/>
      </c>
      <c r="I51" t="str">
        <f t="shared" si="5"/>
        <v/>
      </c>
      <c r="J51" t="str">
        <f t="shared" si="6"/>
        <v/>
      </c>
      <c r="K51" t="str">
        <f t="shared" si="7"/>
        <v/>
      </c>
      <c r="L51" t="str">
        <f t="shared" si="8"/>
        <v/>
      </c>
      <c r="M51" t="str">
        <f t="shared" si="9"/>
        <v/>
      </c>
      <c r="N51" t="str">
        <f t="shared" si="10"/>
        <v/>
      </c>
      <c r="O51" t="str">
        <f t="shared" si="11"/>
        <v/>
      </c>
      <c r="P51" t="str">
        <f t="shared" si="12"/>
        <v/>
      </c>
      <c r="Q51" t="str">
        <f t="shared" si="13"/>
        <v/>
      </c>
      <c r="R51" t="str">
        <f t="shared" si="14"/>
        <v/>
      </c>
      <c r="S51" t="str">
        <f t="shared" si="15"/>
        <v/>
      </c>
      <c r="T51" t="str">
        <f t="shared" si="16"/>
        <v/>
      </c>
      <c r="U51" t="str">
        <f t="shared" si="17"/>
        <v/>
      </c>
      <c r="V51" t="str">
        <f t="shared" si="18"/>
        <v/>
      </c>
      <c r="W51" t="str">
        <f t="shared" si="19"/>
        <v xml:space="preserve">              </v>
      </c>
    </row>
    <row r="52" spans="1:23" customFormat="1" hidden="1">
      <c r="A52" t="b">
        <f t="shared" si="1"/>
        <v>0</v>
      </c>
      <c r="B52">
        <f t="shared" si="2"/>
        <v>51</v>
      </c>
      <c r="C52" t="s">
        <v>0</v>
      </c>
      <c r="D52" t="s">
        <v>50</v>
      </c>
      <c r="E52">
        <f t="shared" si="0"/>
        <v>124</v>
      </c>
      <c r="G52">
        <f t="shared" si="3"/>
        <v>4</v>
      </c>
      <c r="H52" t="str">
        <f t="shared" si="4"/>
        <v/>
      </c>
      <c r="I52" t="str">
        <f t="shared" si="5"/>
        <v/>
      </c>
      <c r="J52" t="str">
        <f t="shared" si="6"/>
        <v/>
      </c>
      <c r="K52" t="str">
        <f t="shared" si="7"/>
        <v/>
      </c>
      <c r="L52" t="str">
        <f t="shared" si="8"/>
        <v/>
      </c>
      <c r="M52" t="str">
        <f t="shared" si="9"/>
        <v/>
      </c>
      <c r="N52" t="str">
        <f t="shared" si="10"/>
        <v/>
      </c>
      <c r="O52" t="str">
        <f t="shared" si="11"/>
        <v/>
      </c>
      <c r="P52" t="str">
        <f t="shared" si="12"/>
        <v/>
      </c>
      <c r="Q52" t="str">
        <f t="shared" si="13"/>
        <v/>
      </c>
      <c r="R52" t="str">
        <f t="shared" si="14"/>
        <v/>
      </c>
      <c r="S52" t="str">
        <f t="shared" si="15"/>
        <v/>
      </c>
      <c r="T52" t="str">
        <f t="shared" si="16"/>
        <v/>
      </c>
      <c r="U52" t="str">
        <f t="shared" si="17"/>
        <v/>
      </c>
      <c r="V52" t="str">
        <f t="shared" si="18"/>
        <v/>
      </c>
      <c r="W52" t="str">
        <f t="shared" si="19"/>
        <v xml:space="preserve">              </v>
      </c>
    </row>
    <row r="53" spans="1:23" hidden="1">
      <c r="A53" s="71" t="b">
        <f t="shared" si="1"/>
        <v>0</v>
      </c>
      <c r="B53" s="71">
        <f t="shared" si="2"/>
        <v>52</v>
      </c>
      <c r="C53" s="71" t="s">
        <v>0</v>
      </c>
      <c r="D53" s="71" t="s">
        <v>51</v>
      </c>
      <c r="E53">
        <f t="shared" si="0"/>
        <v>21</v>
      </c>
      <c r="F53">
        <v>1</v>
      </c>
      <c r="G53">
        <f t="shared" si="3"/>
        <v>1</v>
      </c>
      <c r="H53" t="str">
        <f t="shared" si="4"/>
        <v>Work performance data</v>
      </c>
      <c r="I53" t="str">
        <f t="shared" si="5"/>
        <v>Raw data, observations, and measurements about project components. Work performance data is gathered and stored in the project management information system.</v>
      </c>
      <c r="J53" t="str">
        <f t="shared" si="6"/>
        <v/>
      </c>
      <c r="K53" t="str">
        <f t="shared" si="7"/>
        <v/>
      </c>
      <c r="L53" t="str">
        <f t="shared" si="8"/>
        <v/>
      </c>
      <c r="M53" t="str">
        <f t="shared" si="9"/>
        <v/>
      </c>
      <c r="N53" t="str">
        <f t="shared" si="10"/>
        <v/>
      </c>
      <c r="O53" t="str">
        <f t="shared" si="11"/>
        <v/>
      </c>
      <c r="P53" t="str">
        <f t="shared" si="12"/>
        <v/>
      </c>
      <c r="Q53" t="str">
        <f t="shared" si="13"/>
        <v/>
      </c>
      <c r="R53" t="str">
        <f t="shared" si="14"/>
        <v/>
      </c>
      <c r="S53" t="str">
        <f t="shared" si="15"/>
        <v/>
      </c>
      <c r="T53" t="str">
        <f t="shared" si="16"/>
        <v/>
      </c>
      <c r="U53" t="str">
        <f t="shared" si="17"/>
        <v/>
      </c>
      <c r="V53" t="str">
        <f t="shared" si="18"/>
        <v/>
      </c>
      <c r="W53" s="71" t="str">
        <f>CONCATENATE(H53," ",I53," ",J53," ",K53," ",L53," ",M53," ",N53," ",O53," ",P53," ",Q53," ",R53," ",S53," ",T53," ",U53," ",V53)</f>
        <v xml:space="preserve">Work performance data Raw data, observations, and measurements about project components. Work performance data is gathered and stored in the project management information system.             </v>
      </c>
    </row>
    <row r="54" spans="1:23" customFormat="1" hidden="1">
      <c r="A54" t="b">
        <f t="shared" si="1"/>
        <v>0</v>
      </c>
      <c r="B54">
        <f t="shared" si="2"/>
        <v>53</v>
      </c>
      <c r="C54" t="s">
        <v>0</v>
      </c>
      <c r="D54" t="s">
        <v>52</v>
      </c>
      <c r="E54">
        <f t="shared" si="0"/>
        <v>157</v>
      </c>
      <c r="G54">
        <f t="shared" si="3"/>
        <v>2</v>
      </c>
      <c r="H54" t="str">
        <f t="shared" si="4"/>
        <v/>
      </c>
      <c r="I54" t="str">
        <f t="shared" si="5"/>
        <v/>
      </c>
      <c r="J54" t="str">
        <f t="shared" si="6"/>
        <v/>
      </c>
      <c r="K54" t="str">
        <f t="shared" si="7"/>
        <v/>
      </c>
      <c r="L54" t="str">
        <f t="shared" si="8"/>
        <v/>
      </c>
      <c r="M54" t="str">
        <f t="shared" si="9"/>
        <v/>
      </c>
      <c r="N54" t="str">
        <f t="shared" si="10"/>
        <v/>
      </c>
      <c r="O54" t="str">
        <f t="shared" si="11"/>
        <v/>
      </c>
      <c r="P54" t="str">
        <f t="shared" si="12"/>
        <v/>
      </c>
      <c r="Q54" t="str">
        <f t="shared" si="13"/>
        <v/>
      </c>
      <c r="R54" t="str">
        <f t="shared" si="14"/>
        <v/>
      </c>
      <c r="S54" t="str">
        <f t="shared" si="15"/>
        <v/>
      </c>
      <c r="T54" t="str">
        <f t="shared" si="16"/>
        <v/>
      </c>
      <c r="U54" t="str">
        <f t="shared" si="17"/>
        <v/>
      </c>
      <c r="V54" t="str">
        <f t="shared" si="18"/>
        <v/>
      </c>
      <c r="W54" t="str">
        <f t="shared" si="19"/>
        <v xml:space="preserve">              </v>
      </c>
    </row>
    <row r="55" spans="1:23" hidden="1">
      <c r="A55" s="71" t="b">
        <f t="shared" si="1"/>
        <v>0</v>
      </c>
      <c r="B55" s="71">
        <f t="shared" si="2"/>
        <v>54</v>
      </c>
      <c r="C55" s="71" t="s">
        <v>0</v>
      </c>
      <c r="D55" s="71" t="s">
        <v>53</v>
      </c>
      <c r="E55">
        <f t="shared" si="0"/>
        <v>28</v>
      </c>
      <c r="F55">
        <v>1</v>
      </c>
      <c r="G55">
        <f t="shared" si="3"/>
        <v>1</v>
      </c>
      <c r="H55" t="str">
        <f t="shared" si="4"/>
        <v>Work performance information</v>
      </c>
      <c r="I55" t="str">
        <f t="shared" si="5"/>
        <v>Work performance information is the processed and analyzed data that will help the project manager make project decisions.</v>
      </c>
      <c r="J55" t="str">
        <f t="shared" si="6"/>
        <v/>
      </c>
      <c r="K55" t="str">
        <f t="shared" si="7"/>
        <v/>
      </c>
      <c r="L55" t="str">
        <f t="shared" si="8"/>
        <v/>
      </c>
      <c r="M55" t="str">
        <f t="shared" si="9"/>
        <v/>
      </c>
      <c r="N55" t="str">
        <f t="shared" si="10"/>
        <v/>
      </c>
      <c r="O55" t="str">
        <f t="shared" si="11"/>
        <v/>
      </c>
      <c r="P55" t="str">
        <f t="shared" si="12"/>
        <v/>
      </c>
      <c r="Q55" t="str">
        <f t="shared" si="13"/>
        <v/>
      </c>
      <c r="R55" t="str">
        <f t="shared" si="14"/>
        <v/>
      </c>
      <c r="S55" t="str">
        <f t="shared" si="15"/>
        <v/>
      </c>
      <c r="T55" t="str">
        <f t="shared" si="16"/>
        <v/>
      </c>
      <c r="U55" t="str">
        <f t="shared" si="17"/>
        <v/>
      </c>
      <c r="V55" t="str">
        <f t="shared" si="18"/>
        <v/>
      </c>
      <c r="W55" s="71" t="str">
        <f>CONCATENATE(H55," ",I55," ",J55," ",K55," ",L55," ",M55," ",N55," ",O55," ",P55," ",Q55," ",R55," ",S55," ",T55," ",U55," ",V55)</f>
        <v xml:space="preserve">Work performance information Work performance information is the processed and analyzed data that will help the project manager make project decisions.             </v>
      </c>
    </row>
    <row r="56" spans="1:23" customFormat="1" hidden="1">
      <c r="A56" t="b">
        <f t="shared" si="1"/>
        <v>0</v>
      </c>
      <c r="B56">
        <f t="shared" si="2"/>
        <v>55</v>
      </c>
      <c r="C56" t="s">
        <v>0</v>
      </c>
      <c r="D56" t="s">
        <v>54</v>
      </c>
      <c r="E56">
        <f t="shared" si="0"/>
        <v>122</v>
      </c>
      <c r="G56">
        <f t="shared" si="3"/>
        <v>2</v>
      </c>
      <c r="H56" t="str">
        <f t="shared" si="4"/>
        <v/>
      </c>
      <c r="I56" t="str">
        <f t="shared" si="5"/>
        <v/>
      </c>
      <c r="J56" t="str">
        <f t="shared" si="6"/>
        <v/>
      </c>
      <c r="K56" t="str">
        <f t="shared" si="7"/>
        <v/>
      </c>
      <c r="L56" t="str">
        <f t="shared" si="8"/>
        <v/>
      </c>
      <c r="M56" t="str">
        <f t="shared" si="9"/>
        <v/>
      </c>
      <c r="N56" t="str">
        <f t="shared" si="10"/>
        <v/>
      </c>
      <c r="O56" t="str">
        <f t="shared" si="11"/>
        <v/>
      </c>
      <c r="P56" t="str">
        <f t="shared" si="12"/>
        <v/>
      </c>
      <c r="Q56" t="str">
        <f t="shared" si="13"/>
        <v/>
      </c>
      <c r="R56" t="str">
        <f t="shared" si="14"/>
        <v/>
      </c>
      <c r="S56" t="str">
        <f t="shared" si="15"/>
        <v/>
      </c>
      <c r="T56" t="str">
        <f t="shared" si="16"/>
        <v/>
      </c>
      <c r="U56" t="str">
        <f t="shared" si="17"/>
        <v/>
      </c>
      <c r="V56" t="str">
        <f t="shared" si="18"/>
        <v/>
      </c>
      <c r="W56" t="str">
        <f t="shared" si="19"/>
        <v xml:space="preserve">              </v>
      </c>
    </row>
    <row r="57" spans="1:23" hidden="1">
      <c r="A57" s="71" t="b">
        <f t="shared" si="1"/>
        <v>0</v>
      </c>
      <c r="B57" s="71">
        <f t="shared" si="2"/>
        <v>56</v>
      </c>
      <c r="C57" s="71" t="s">
        <v>0</v>
      </c>
      <c r="D57" s="71" t="s">
        <v>55</v>
      </c>
      <c r="E57">
        <f t="shared" si="0"/>
        <v>24</v>
      </c>
      <c r="F57">
        <v>1</v>
      </c>
      <c r="G57">
        <f t="shared" si="3"/>
        <v>1</v>
      </c>
      <c r="H57" t="str">
        <f t="shared" si="4"/>
        <v>Work performance reports</v>
      </c>
      <c r="I57" t="str">
        <f t="shared" si="5"/>
        <v>Work performance reports is the formatted communication of work performance information. Work performance reports communicate what’s happening in the project through status reports, memos, dashboards, or other modalities.</v>
      </c>
      <c r="J57" t="str">
        <f t="shared" si="6"/>
        <v>Hybrid structure An organization that creates a blend of the functional, matrix, and project-oriented structures. Multidivisional structure Describe organizations that have duplication of efforts within the organization, but not within each department or division of the organization. Project manager has little authority in this structure and the functional manager controls the project budget. Organic or simple Describes a loosely organized business or organization. There likely aren’t big formal departments and people work alongside one another regardless of roles and titles. The project manager likely has little control over the project resources and may not be called a project manager. Organizational process assets Organizational process assets include organizational processes, policies, procedures, and items from a corporate knowledge base. Organizational process assets are grouped into two categories to consider: processes, policies and procedures, and organizational knowledge bases. Organizational Knowledge Repositories Organizational knowledge repositories are the databases, files, and historical information that you can use to help better plan and manage your projects. This is an organizational process asset that is created internally to your organization through the ongoing work of operations and other projects.</v>
      </c>
      <c r="K57" t="str">
        <f t="shared" si="7"/>
        <v>Organizational System A system can create things by working with multiple components that the individual components could not create if they worked alone. The structure of the organization and the governance framework creates constraints that affect how the project manager makes decisions within the project. The organizational system directly affects how the project manager utilizes their power, influence, leadership, and even political capital, to get things done in the environment. Project management office (PMO) A business unit that centralizes the operations and procedures of all projects within the organization. The PMO can be supportive, controlling, or directive. Project-oriented structure An organization that assigns a project team to one project for the duration of the project life cycle. The project manager has high-to-almost-complete project power. Strong matrix structure An organization where organizational resources are pooled into one project team, but the functional managers have less project power than the project manager. Virtual organization Uses a network structure to communicate and interact with other groups and departments. A point of contact exists for each department and these department point of contact receive and send all messages for the department. Weak matrix structure An organization where organizational resources are pooled into one project team, but the functional managers have more project power than the project manager.</v>
      </c>
      <c r="L57" t="str">
        <f t="shared" si="8"/>
        <v/>
      </c>
      <c r="M57" t="str">
        <f t="shared" si="9"/>
        <v/>
      </c>
      <c r="N57" t="str">
        <f t="shared" si="10"/>
        <v/>
      </c>
      <c r="O57" t="str">
        <f t="shared" si="11"/>
        <v/>
      </c>
      <c r="P57" t="str">
        <f t="shared" si="12"/>
        <v/>
      </c>
      <c r="Q57" t="str">
        <f t="shared" si="13"/>
        <v/>
      </c>
      <c r="R57" t="str">
        <f t="shared" si="14"/>
        <v/>
      </c>
      <c r="S57" t="str">
        <f t="shared" si="15"/>
        <v/>
      </c>
      <c r="T57" t="str">
        <f t="shared" si="16"/>
        <v/>
      </c>
      <c r="U57" t="str">
        <f t="shared" si="17"/>
        <v/>
      </c>
      <c r="V57" t="str">
        <f t="shared" si="18"/>
        <v/>
      </c>
      <c r="W57" s="71" t="str">
        <f>CONCATENATE(H57," ",I57," ",J57," ",K57," ",L57," ",M57," ",N57," ",O57," ",P57," ",Q57," ",R57," ",S57," ",T57," ",U57," ",V57)</f>
        <v xml:space="preserve">Work performance reports Work performance reports is the formatted communication of work performance information. Work performance reports communicate what’s happening in the project through status reports, memos, dashboards, or other modalities. Hybrid structure An organization that creates a blend of the functional, matrix, and project-oriented structures. Multidivisional structure Describe organizations that have duplication of efforts within the organization, but not within each department or division of the organization. Project manager has little authority in this structure and the functional manager controls the project budget. Organic or simple Describes a loosely organized business or organization. There likely aren’t big formal departments and people work alongside one another regardless of roles and titles. The project manager likely has little control over the project resources and may not be called a project manager. Organizational process assets Organizational process assets include organizational processes, policies, procedures, and items from a corporate knowledge base. Organizational process assets are grouped into two categories to consider: processes, policies and procedures, and organizational knowledge bases. Organizational Knowledge Repositories Organizational knowledge repositories are the databases, files, and historical information that you can use to help better plan and manage your projects. This is an organizational process asset that is created internally to your organization through the ongoing work of operations and other projects. Organizational System A system can create things by working with multiple components that the individual components could not create if they worked alone. The structure of the organization and the governance framework creates constraints that affect how the project manager makes decisions within the project. The organizational system directly affects how the project manager utilizes their power, influence, leadership, and even political capital, to get things done in the environment. Project management office (PMO) A business unit that centralizes the operations and procedures of all projects within the organization. The PMO can be supportive, controlling, or directive. Project-oriented structure An organization that assigns a project team to one project for the duration of the project life cycle. The project manager has high-to-almost-complete project power. Strong matrix structure An organization where organizational resources are pooled into one project team, but the functional managers have less project power than the project manager. Virtual organization Uses a network structure to communicate and interact with other groups and departments. A point of contact exists for each department and these department point of contact receive and send all messages for the department. Weak matrix structure An organization where organizational resources are pooled into one project team, but the functional managers have more project power than the project manager.           </v>
      </c>
    </row>
    <row r="58" spans="1:23" customFormat="1" hidden="1">
      <c r="A58" t="b">
        <f t="shared" si="1"/>
        <v>0</v>
      </c>
      <c r="B58">
        <f t="shared" si="2"/>
        <v>57</v>
      </c>
      <c r="C58" t="s">
        <v>0</v>
      </c>
      <c r="D58" t="s">
        <v>56</v>
      </c>
      <c r="E58">
        <f t="shared" si="0"/>
        <v>221</v>
      </c>
      <c r="G58">
        <f t="shared" si="3"/>
        <v>2</v>
      </c>
      <c r="H58" t="str">
        <f t="shared" si="4"/>
        <v/>
      </c>
      <c r="I58" t="str">
        <f t="shared" si="5"/>
        <v/>
      </c>
      <c r="J58" t="str">
        <f t="shared" si="6"/>
        <v/>
      </c>
      <c r="K58" t="str">
        <f t="shared" si="7"/>
        <v/>
      </c>
      <c r="L58" t="str">
        <f t="shared" si="8"/>
        <v/>
      </c>
      <c r="M58" t="str">
        <f t="shared" si="9"/>
        <v/>
      </c>
      <c r="N58" t="str">
        <f t="shared" si="10"/>
        <v/>
      </c>
      <c r="O58" t="str">
        <f t="shared" si="11"/>
        <v/>
      </c>
      <c r="P58" t="str">
        <f t="shared" si="12"/>
        <v/>
      </c>
      <c r="Q58" t="str">
        <f t="shared" si="13"/>
        <v/>
      </c>
      <c r="R58" t="str">
        <f t="shared" si="14"/>
        <v/>
      </c>
      <c r="S58" t="str">
        <f t="shared" si="15"/>
        <v/>
      </c>
      <c r="T58" t="str">
        <f t="shared" si="16"/>
        <v/>
      </c>
      <c r="U58" t="str">
        <f t="shared" si="17"/>
        <v/>
      </c>
      <c r="V58" t="str">
        <f t="shared" si="18"/>
        <v/>
      </c>
      <c r="W58" t="str">
        <f t="shared" si="19"/>
        <v xml:space="preserve">              </v>
      </c>
    </row>
    <row r="59" spans="1:23" customFormat="1">
      <c r="A59" t="b">
        <f t="shared" si="1"/>
        <v>0</v>
      </c>
      <c r="B59">
        <f t="shared" si="2"/>
        <v>58</v>
      </c>
      <c r="C59" t="s">
        <v>0</v>
      </c>
      <c r="D59" t="s">
        <v>57</v>
      </c>
      <c r="E59">
        <f t="shared" si="0"/>
        <v>1341</v>
      </c>
      <c r="G59">
        <f t="shared" si="3"/>
        <v>3</v>
      </c>
      <c r="H59" t="str">
        <f t="shared" si="4"/>
        <v/>
      </c>
      <c r="I59" t="str">
        <f t="shared" si="5"/>
        <v/>
      </c>
      <c r="J59" t="str">
        <f t="shared" si="6"/>
        <v/>
      </c>
      <c r="K59" t="str">
        <f t="shared" si="7"/>
        <v/>
      </c>
      <c r="L59" t="str">
        <f t="shared" si="8"/>
        <v/>
      </c>
      <c r="M59" t="str">
        <f t="shared" si="9"/>
        <v/>
      </c>
      <c r="N59" t="str">
        <f t="shared" si="10"/>
        <v/>
      </c>
      <c r="O59" t="str">
        <f t="shared" si="11"/>
        <v/>
      </c>
      <c r="P59" t="str">
        <f t="shared" si="12"/>
        <v/>
      </c>
      <c r="Q59" t="str">
        <f t="shared" si="13"/>
        <v/>
      </c>
      <c r="R59" t="str">
        <f t="shared" si="14"/>
        <v/>
      </c>
      <c r="S59" t="str">
        <f t="shared" si="15"/>
        <v/>
      </c>
      <c r="T59" t="str">
        <f t="shared" si="16"/>
        <v/>
      </c>
      <c r="U59" t="str">
        <f t="shared" si="17"/>
        <v/>
      </c>
      <c r="V59" t="str">
        <f t="shared" si="18"/>
        <v/>
      </c>
      <c r="W59" t="str">
        <f t="shared" si="19"/>
        <v xml:space="preserve">              </v>
      </c>
    </row>
    <row r="60" spans="1:23" customFormat="1">
      <c r="A60" t="b">
        <f t="shared" si="1"/>
        <v>0</v>
      </c>
      <c r="B60">
        <f t="shared" si="2"/>
        <v>59</v>
      </c>
      <c r="C60" t="s">
        <v>0</v>
      </c>
      <c r="D60" t="s">
        <v>58</v>
      </c>
      <c r="E60">
        <f t="shared" ref="E60:E113" si="20">LEN(D60)</f>
        <v>1478</v>
      </c>
      <c r="G60">
        <f t="shared" si="3"/>
        <v>4</v>
      </c>
      <c r="H60" t="str">
        <f t="shared" si="4"/>
        <v/>
      </c>
      <c r="I60" t="str">
        <f t="shared" si="5"/>
        <v/>
      </c>
      <c r="J60" t="str">
        <f t="shared" si="6"/>
        <v/>
      </c>
      <c r="K60" t="str">
        <f t="shared" si="7"/>
        <v/>
      </c>
      <c r="L60" t="str">
        <f t="shared" si="8"/>
        <v/>
      </c>
      <c r="M60" t="str">
        <f t="shared" si="9"/>
        <v/>
      </c>
      <c r="N60" t="str">
        <f t="shared" si="10"/>
        <v/>
      </c>
      <c r="O60" t="str">
        <f t="shared" si="11"/>
        <v/>
      </c>
      <c r="P60" t="str">
        <f t="shared" si="12"/>
        <v/>
      </c>
      <c r="Q60" t="str">
        <f t="shared" si="13"/>
        <v/>
      </c>
      <c r="R60" t="str">
        <f t="shared" si="14"/>
        <v/>
      </c>
      <c r="S60" t="str">
        <f t="shared" si="15"/>
        <v/>
      </c>
      <c r="T60" t="str">
        <f t="shared" si="16"/>
        <v/>
      </c>
      <c r="U60" t="str">
        <f t="shared" si="17"/>
        <v/>
      </c>
      <c r="V60" t="str">
        <f t="shared" si="18"/>
        <v/>
      </c>
      <c r="W60" t="str">
        <f t="shared" si="19"/>
        <v xml:space="preserve">              </v>
      </c>
    </row>
    <row r="61" spans="1:23" hidden="1">
      <c r="A61" s="71" t="b">
        <f t="shared" si="1"/>
        <v>0</v>
      </c>
      <c r="B61" s="71">
        <f t="shared" si="2"/>
        <v>60</v>
      </c>
      <c r="C61" s="71" t="s">
        <v>59</v>
      </c>
      <c r="D61" s="71" t="s">
        <v>60</v>
      </c>
      <c r="E61">
        <f t="shared" si="20"/>
        <v>16</v>
      </c>
      <c r="F61">
        <v>1</v>
      </c>
      <c r="G61">
        <f t="shared" si="3"/>
        <v>1</v>
      </c>
      <c r="H61" t="str">
        <f t="shared" si="4"/>
        <v>active listening</v>
      </c>
      <c r="I61" t="str">
        <f t="shared" si="5"/>
        <v>The message receiver restates what’s</v>
      </c>
      <c r="J61" t="str">
        <f t="shared" si="6"/>
        <v>been said to fully understand and confirm</v>
      </c>
      <c r="K61" t="str">
        <f t="shared" si="7"/>
        <v>the message and it provides an</v>
      </c>
      <c r="L61" t="str">
        <f t="shared" si="8"/>
        <v>opportunity for the sender to clarify the</v>
      </c>
      <c r="M61" t="str">
        <f t="shared" si="9"/>
        <v>message if needed.</v>
      </c>
      <c r="N61" t="str">
        <f t="shared" si="10"/>
        <v/>
      </c>
      <c r="O61" t="str">
        <f t="shared" si="11"/>
        <v/>
      </c>
      <c r="P61" t="str">
        <f t="shared" si="12"/>
        <v/>
      </c>
      <c r="Q61" t="str">
        <f t="shared" si="13"/>
        <v/>
      </c>
      <c r="R61" t="str">
        <f t="shared" si="14"/>
        <v/>
      </c>
      <c r="S61" t="str">
        <f t="shared" si="15"/>
        <v/>
      </c>
      <c r="T61" t="str">
        <f t="shared" si="16"/>
        <v/>
      </c>
      <c r="U61" t="str">
        <f t="shared" si="17"/>
        <v/>
      </c>
      <c r="V61" t="str">
        <f t="shared" si="18"/>
        <v/>
      </c>
      <c r="W61" s="71" t="str">
        <f>CONCATENATE(H61," ",I61," ",J61," ",K61," ",L61," ",M61," ",N61," ",O61," ",P61," ",Q61," ",R61," ",S61," ",T61," ",U61," ",V61)</f>
        <v xml:space="preserve">active listening The message receiver restates what’s been said to fully understand and confirm the message and it provides an opportunity for the sender to clarify the message if needed.         </v>
      </c>
    </row>
    <row r="62" spans="1:23" customFormat="1" hidden="1">
      <c r="A62" t="b">
        <f t="shared" si="1"/>
        <v>0</v>
      </c>
      <c r="B62">
        <f t="shared" si="2"/>
        <v>61</v>
      </c>
      <c r="C62" t="s">
        <v>59</v>
      </c>
      <c r="D62" t="s">
        <v>61</v>
      </c>
      <c r="E62">
        <f t="shared" si="20"/>
        <v>36</v>
      </c>
      <c r="G62">
        <f t="shared" si="3"/>
        <v>2</v>
      </c>
      <c r="H62" t="str">
        <f t="shared" si="4"/>
        <v/>
      </c>
      <c r="I62" t="str">
        <f t="shared" si="5"/>
        <v/>
      </c>
      <c r="J62" t="str">
        <f t="shared" si="6"/>
        <v/>
      </c>
      <c r="K62" t="str">
        <f t="shared" si="7"/>
        <v/>
      </c>
      <c r="L62" t="str">
        <f t="shared" si="8"/>
        <v/>
      </c>
      <c r="M62" t="str">
        <f t="shared" si="9"/>
        <v/>
      </c>
      <c r="N62" t="str">
        <f t="shared" si="10"/>
        <v/>
      </c>
      <c r="O62" t="str">
        <f t="shared" si="11"/>
        <v/>
      </c>
      <c r="P62" t="str">
        <f t="shared" si="12"/>
        <v/>
      </c>
      <c r="Q62" t="str">
        <f t="shared" si="13"/>
        <v/>
      </c>
      <c r="R62" t="str">
        <f t="shared" si="14"/>
        <v/>
      </c>
      <c r="S62" t="str">
        <f t="shared" si="15"/>
        <v/>
      </c>
      <c r="T62" t="str">
        <f t="shared" si="16"/>
        <v/>
      </c>
      <c r="U62" t="str">
        <f t="shared" si="17"/>
        <v/>
      </c>
      <c r="V62" t="str">
        <f t="shared" si="18"/>
        <v/>
      </c>
      <c r="W62" t="str">
        <f t="shared" si="19"/>
        <v xml:space="preserve">              </v>
      </c>
    </row>
    <row r="63" spans="1:23" customFormat="1" hidden="1">
      <c r="A63" t="b">
        <f t="shared" si="1"/>
        <v>0</v>
      </c>
      <c r="B63">
        <f t="shared" si="2"/>
        <v>62</v>
      </c>
      <c r="C63" t="s">
        <v>59</v>
      </c>
      <c r="D63" t="s">
        <v>62</v>
      </c>
      <c r="E63">
        <f t="shared" si="20"/>
        <v>41</v>
      </c>
      <c r="G63">
        <f t="shared" si="3"/>
        <v>3</v>
      </c>
      <c r="H63" t="str">
        <f t="shared" si="4"/>
        <v/>
      </c>
      <c r="I63" t="str">
        <f t="shared" si="5"/>
        <v/>
      </c>
      <c r="J63" t="str">
        <f t="shared" si="6"/>
        <v/>
      </c>
      <c r="K63" t="str">
        <f t="shared" si="7"/>
        <v/>
      </c>
      <c r="L63" t="str">
        <f t="shared" si="8"/>
        <v/>
      </c>
      <c r="M63" t="str">
        <f t="shared" si="9"/>
        <v/>
      </c>
      <c r="N63" t="str">
        <f t="shared" si="10"/>
        <v/>
      </c>
      <c r="O63" t="str">
        <f t="shared" si="11"/>
        <v/>
      </c>
      <c r="P63" t="str">
        <f t="shared" si="12"/>
        <v/>
      </c>
      <c r="Q63" t="str">
        <f t="shared" si="13"/>
        <v/>
      </c>
      <c r="R63" t="str">
        <f t="shared" si="14"/>
        <v/>
      </c>
      <c r="S63" t="str">
        <f t="shared" si="15"/>
        <v/>
      </c>
      <c r="T63" t="str">
        <f t="shared" si="16"/>
        <v/>
      </c>
      <c r="U63" t="str">
        <f t="shared" si="17"/>
        <v/>
      </c>
      <c r="V63" t="str">
        <f t="shared" si="18"/>
        <v/>
      </c>
      <c r="W63" t="str">
        <f t="shared" si="19"/>
        <v xml:space="preserve">              </v>
      </c>
    </row>
    <row r="64" spans="1:23" customFormat="1" hidden="1">
      <c r="A64" t="b">
        <f t="shared" si="1"/>
        <v>0</v>
      </c>
      <c r="B64">
        <f t="shared" si="2"/>
        <v>63</v>
      </c>
      <c r="C64" t="s">
        <v>59</v>
      </c>
      <c r="D64" t="s">
        <v>63</v>
      </c>
      <c r="E64">
        <f t="shared" si="20"/>
        <v>30</v>
      </c>
      <c r="G64">
        <f t="shared" si="3"/>
        <v>4</v>
      </c>
      <c r="H64" t="str">
        <f t="shared" si="4"/>
        <v/>
      </c>
      <c r="I64" t="str">
        <f t="shared" si="5"/>
        <v/>
      </c>
      <c r="J64" t="str">
        <f t="shared" si="6"/>
        <v/>
      </c>
      <c r="K64" t="str">
        <f t="shared" si="7"/>
        <v/>
      </c>
      <c r="L64" t="str">
        <f t="shared" si="8"/>
        <v/>
      </c>
      <c r="M64" t="str">
        <f t="shared" si="9"/>
        <v/>
      </c>
      <c r="N64" t="str">
        <f t="shared" si="10"/>
        <v/>
      </c>
      <c r="O64" t="str">
        <f t="shared" si="11"/>
        <v/>
      </c>
      <c r="P64" t="str">
        <f t="shared" si="12"/>
        <v/>
      </c>
      <c r="Q64" t="str">
        <f t="shared" si="13"/>
        <v/>
      </c>
      <c r="R64" t="str">
        <f t="shared" si="14"/>
        <v/>
      </c>
      <c r="S64" t="str">
        <f t="shared" si="15"/>
        <v/>
      </c>
      <c r="T64" t="str">
        <f t="shared" si="16"/>
        <v/>
      </c>
      <c r="U64" t="str">
        <f t="shared" si="17"/>
        <v/>
      </c>
      <c r="V64" t="str">
        <f t="shared" si="18"/>
        <v/>
      </c>
      <c r="W64" t="str">
        <f t="shared" si="19"/>
        <v xml:space="preserve">              </v>
      </c>
    </row>
    <row r="65" spans="1:23" customFormat="1" hidden="1">
      <c r="A65" t="b">
        <f t="shared" si="1"/>
        <v>0</v>
      </c>
      <c r="B65">
        <f t="shared" si="2"/>
        <v>64</v>
      </c>
      <c r="C65" t="s">
        <v>59</v>
      </c>
      <c r="D65" t="s">
        <v>64</v>
      </c>
      <c r="E65">
        <f t="shared" si="20"/>
        <v>41</v>
      </c>
      <c r="G65">
        <f t="shared" si="3"/>
        <v>5</v>
      </c>
      <c r="H65" t="str">
        <f t="shared" si="4"/>
        <v/>
      </c>
      <c r="I65" t="str">
        <f t="shared" si="5"/>
        <v/>
      </c>
      <c r="J65" t="str">
        <f t="shared" si="6"/>
        <v/>
      </c>
      <c r="K65" t="str">
        <f t="shared" si="7"/>
        <v/>
      </c>
      <c r="L65" t="str">
        <f t="shared" si="8"/>
        <v/>
      </c>
      <c r="M65" t="str">
        <f t="shared" si="9"/>
        <v/>
      </c>
      <c r="N65" t="str">
        <f t="shared" si="10"/>
        <v/>
      </c>
      <c r="O65" t="str">
        <f t="shared" si="11"/>
        <v/>
      </c>
      <c r="P65" t="str">
        <f t="shared" si="12"/>
        <v/>
      </c>
      <c r="Q65" t="str">
        <f t="shared" si="13"/>
        <v/>
      </c>
      <c r="R65" t="str">
        <f t="shared" si="14"/>
        <v/>
      </c>
      <c r="S65" t="str">
        <f t="shared" si="15"/>
        <v/>
      </c>
      <c r="T65" t="str">
        <f t="shared" si="16"/>
        <v/>
      </c>
      <c r="U65" t="str">
        <f t="shared" si="17"/>
        <v/>
      </c>
      <c r="V65" t="str">
        <f t="shared" si="18"/>
        <v/>
      </c>
      <c r="W65" t="str">
        <f t="shared" si="19"/>
        <v xml:space="preserve">              </v>
      </c>
    </row>
    <row r="66" spans="1:23" customFormat="1" hidden="1">
      <c r="A66" t="b">
        <f t="shared" si="1"/>
        <v>0</v>
      </c>
      <c r="B66">
        <f t="shared" si="2"/>
        <v>65</v>
      </c>
      <c r="C66" t="s">
        <v>59</v>
      </c>
      <c r="D66" t="s">
        <v>65</v>
      </c>
      <c r="E66">
        <f t="shared" si="20"/>
        <v>18</v>
      </c>
      <c r="G66">
        <f t="shared" si="3"/>
        <v>6</v>
      </c>
      <c r="H66" t="str">
        <f t="shared" si="4"/>
        <v/>
      </c>
      <c r="I66" t="str">
        <f t="shared" si="5"/>
        <v/>
      </c>
      <c r="J66" t="str">
        <f t="shared" si="6"/>
        <v/>
      </c>
      <c r="K66" t="str">
        <f t="shared" si="7"/>
        <v/>
      </c>
      <c r="L66" t="str">
        <f t="shared" si="8"/>
        <v/>
      </c>
      <c r="M66" t="str">
        <f t="shared" si="9"/>
        <v/>
      </c>
      <c r="N66" t="str">
        <f t="shared" si="10"/>
        <v/>
      </c>
      <c r="O66" t="str">
        <f t="shared" si="11"/>
        <v/>
      </c>
      <c r="P66" t="str">
        <f t="shared" si="12"/>
        <v/>
      </c>
      <c r="Q66" t="str">
        <f t="shared" si="13"/>
        <v/>
      </c>
      <c r="R66" t="str">
        <f t="shared" si="14"/>
        <v/>
      </c>
      <c r="S66" t="str">
        <f t="shared" si="15"/>
        <v/>
      </c>
      <c r="T66" t="str">
        <f t="shared" si="16"/>
        <v/>
      </c>
      <c r="U66" t="str">
        <f t="shared" si="17"/>
        <v/>
      </c>
      <c r="V66" t="str">
        <f t="shared" si="18"/>
        <v/>
      </c>
      <c r="W66" t="str">
        <f t="shared" si="19"/>
        <v xml:space="preserve">              </v>
      </c>
    </row>
    <row r="67" spans="1:23" hidden="1">
      <c r="A67" s="71" t="b">
        <f t="shared" ref="A67:A130" si="21">C67=D67</f>
        <v>0</v>
      </c>
      <c r="B67" s="71">
        <f t="shared" si="2"/>
        <v>66</v>
      </c>
      <c r="C67" s="71" t="s">
        <v>59</v>
      </c>
      <c r="D67" s="71" t="s">
        <v>66</v>
      </c>
      <c r="E67">
        <f t="shared" si="20"/>
        <v>22</v>
      </c>
      <c r="F67">
        <v>1</v>
      </c>
      <c r="G67">
        <f t="shared" si="3"/>
        <v>1</v>
      </c>
      <c r="H67" t="str">
        <f t="shared" si="4"/>
        <v>active problem solving</v>
      </c>
      <c r="I67" t="str">
        <f t="shared" si="5"/>
        <v>Active problem solving begins with</v>
      </c>
      <c r="J67" t="str">
        <f t="shared" si="6"/>
        <v>problem definition. Problem definition is</v>
      </c>
      <c r="K67" t="str">
        <f t="shared" si="7"/>
        <v>the ability to discern between the cause</v>
      </c>
      <c r="L67" t="str">
        <f t="shared" si="8"/>
        <v>and effect of the problem. Root-cause</v>
      </c>
      <c r="M67" t="str">
        <f t="shared" si="9"/>
        <v>analysis looks beyond the immediate</v>
      </c>
      <c r="N67" t="str">
        <f t="shared" si="10"/>
        <v>symptoms to the cause of the</v>
      </c>
      <c r="O67" t="str">
        <f t="shared" si="11"/>
        <v>symptoms—which then affords</v>
      </c>
      <c r="P67" t="str">
        <f t="shared" si="12"/>
        <v>opportunities for solutions.</v>
      </c>
      <c r="Q67" t="str">
        <f t="shared" si="13"/>
        <v/>
      </c>
      <c r="R67" t="str">
        <f t="shared" si="14"/>
        <v/>
      </c>
      <c r="S67" t="str">
        <f t="shared" si="15"/>
        <v/>
      </c>
      <c r="T67" t="str">
        <f t="shared" si="16"/>
        <v/>
      </c>
      <c r="U67" t="str">
        <f t="shared" si="17"/>
        <v/>
      </c>
      <c r="V67" t="str">
        <f t="shared" si="18"/>
        <v/>
      </c>
      <c r="W67" s="71" t="str">
        <f>CONCATENATE(H67," ",I67," ",J67," ",K67," ",L67," ",M67," ",N67," ",O67," ",P67," ",Q67," ",R67," ",S67," ",T67," ",U67," ",V67)</f>
        <v xml:space="preserve">active problem solving Active problem solving begins with problem definition. Problem definition is the ability to discern between the cause and effect of the problem. Root-cause analysis looks beyond the immediate symptoms to the cause of the symptoms—which then affords opportunities for solutions.      </v>
      </c>
    </row>
    <row r="68" spans="1:23" customFormat="1" hidden="1">
      <c r="A68" t="b">
        <f t="shared" si="21"/>
        <v>0</v>
      </c>
      <c r="B68">
        <f t="shared" ref="B68:B131" si="22">B67+1</f>
        <v>67</v>
      </c>
      <c r="C68" t="s">
        <v>59</v>
      </c>
      <c r="D68" t="s">
        <v>67</v>
      </c>
      <c r="E68">
        <f t="shared" si="20"/>
        <v>34</v>
      </c>
      <c r="G68">
        <f t="shared" ref="G68:G131" si="23">IF(F68=1,1,G67+1)</f>
        <v>2</v>
      </c>
      <c r="H68" t="str">
        <f t="shared" ref="H68:H131" si="24">IF($G68=H$1,$D68,"")</f>
        <v/>
      </c>
      <c r="I68" t="str">
        <f t="shared" ref="I68:I131" si="25">IF($G69=I$1,$D69,"")</f>
        <v/>
      </c>
      <c r="J68" t="str">
        <f t="shared" ref="J68:J131" si="26">IF($G70=J$1,$D70,"")</f>
        <v/>
      </c>
      <c r="K68" t="str">
        <f t="shared" ref="K68:K131" si="27">IF($G71=K$1,$D71,"")</f>
        <v/>
      </c>
      <c r="L68" t="str">
        <f t="shared" ref="L68:L131" si="28">IF($G72=L$1,$D72,"")</f>
        <v/>
      </c>
      <c r="M68" t="str">
        <f t="shared" ref="M68:M131" si="29">IF($G73=M$1,$D73,"")</f>
        <v/>
      </c>
      <c r="N68" t="str">
        <f t="shared" ref="N68:N131" si="30">IF($G74=N$1,$D74,"")</f>
        <v/>
      </c>
      <c r="O68" t="str">
        <f t="shared" ref="O68:O131" si="31">IF($G75=O$1,$D75,"")</f>
        <v/>
      </c>
      <c r="P68" t="str">
        <f t="shared" ref="P68:P131" si="32">IF($G76=P$1,$D76,"")</f>
        <v/>
      </c>
      <c r="Q68" t="str">
        <f t="shared" ref="Q68:Q131" si="33">IF($G77=Q$1,$D77,"")</f>
        <v/>
      </c>
      <c r="R68" t="str">
        <f t="shared" ref="R68:R131" si="34">IF($G78=R$1,$D78,"")</f>
        <v/>
      </c>
      <c r="S68" t="str">
        <f t="shared" ref="S68:S131" si="35">IF($G79=S$1,$D79,"")</f>
        <v/>
      </c>
      <c r="T68" t="str">
        <f t="shared" ref="T68:T131" si="36">IF($G80=T$1,$D80,"")</f>
        <v/>
      </c>
      <c r="U68" t="str">
        <f t="shared" ref="U68:U131" si="37">IF($G81=U$1,$D81,"")</f>
        <v/>
      </c>
      <c r="V68" t="str">
        <f t="shared" ref="V68:V131" si="38">IF($G82=V$1,$D82,"")</f>
        <v/>
      </c>
      <c r="W68" t="str">
        <f t="shared" ref="W68:W130" si="39">CONCATENATE(H68," ",I68," ",J68," ",K68," ",L68," ",M68," ",N68," ",O68," ",P68," ",Q68," ",R68," ",S68," ",T68," ",U68," ",V68)</f>
        <v xml:space="preserve">              </v>
      </c>
    </row>
    <row r="69" spans="1:23" customFormat="1" hidden="1">
      <c r="A69" t="b">
        <f t="shared" si="21"/>
        <v>0</v>
      </c>
      <c r="B69">
        <f t="shared" si="22"/>
        <v>68</v>
      </c>
      <c r="C69" t="s">
        <v>59</v>
      </c>
      <c r="D69" t="s">
        <v>68</v>
      </c>
      <c r="E69">
        <f t="shared" si="20"/>
        <v>41</v>
      </c>
      <c r="G69">
        <f t="shared" si="23"/>
        <v>3</v>
      </c>
      <c r="H69" t="str">
        <f t="shared" si="24"/>
        <v/>
      </c>
      <c r="I69" t="str">
        <f t="shared" si="25"/>
        <v/>
      </c>
      <c r="J69" t="str">
        <f t="shared" si="26"/>
        <v/>
      </c>
      <c r="K69" t="str">
        <f t="shared" si="27"/>
        <v/>
      </c>
      <c r="L69" t="str">
        <f t="shared" si="28"/>
        <v/>
      </c>
      <c r="M69" t="str">
        <f t="shared" si="29"/>
        <v/>
      </c>
      <c r="N69" t="str">
        <f t="shared" si="30"/>
        <v/>
      </c>
      <c r="O69" t="str">
        <f t="shared" si="31"/>
        <v/>
      </c>
      <c r="P69" t="str">
        <f t="shared" si="32"/>
        <v/>
      </c>
      <c r="Q69" t="str">
        <f t="shared" si="33"/>
        <v/>
      </c>
      <c r="R69" t="str">
        <f t="shared" si="34"/>
        <v/>
      </c>
      <c r="S69" t="str">
        <f t="shared" si="35"/>
        <v/>
      </c>
      <c r="T69" t="str">
        <f t="shared" si="36"/>
        <v/>
      </c>
      <c r="U69" t="str">
        <f t="shared" si="37"/>
        <v/>
      </c>
      <c r="V69" t="str">
        <f t="shared" si="38"/>
        <v/>
      </c>
      <c r="W69" t="str">
        <f t="shared" si="39"/>
        <v xml:space="preserve">              </v>
      </c>
    </row>
    <row r="70" spans="1:23" customFormat="1" hidden="1">
      <c r="A70" t="b">
        <f t="shared" si="21"/>
        <v>0</v>
      </c>
      <c r="B70">
        <f t="shared" si="22"/>
        <v>69</v>
      </c>
      <c r="C70" t="s">
        <v>59</v>
      </c>
      <c r="D70" t="s">
        <v>69</v>
      </c>
      <c r="E70">
        <f t="shared" si="20"/>
        <v>40</v>
      </c>
      <c r="G70">
        <f t="shared" si="23"/>
        <v>4</v>
      </c>
      <c r="H70" t="str">
        <f t="shared" si="24"/>
        <v/>
      </c>
      <c r="I70" t="str">
        <f t="shared" si="25"/>
        <v/>
      </c>
      <c r="J70" t="str">
        <f t="shared" si="26"/>
        <v/>
      </c>
      <c r="K70" t="str">
        <f t="shared" si="27"/>
        <v/>
      </c>
      <c r="L70" t="str">
        <f t="shared" si="28"/>
        <v/>
      </c>
      <c r="M70" t="str">
        <f t="shared" si="29"/>
        <v/>
      </c>
      <c r="N70" t="str">
        <f t="shared" si="30"/>
        <v/>
      </c>
      <c r="O70" t="str">
        <f t="shared" si="31"/>
        <v/>
      </c>
      <c r="P70" t="str">
        <f t="shared" si="32"/>
        <v/>
      </c>
      <c r="Q70" t="str">
        <f t="shared" si="33"/>
        <v/>
      </c>
      <c r="R70" t="str">
        <f t="shared" si="34"/>
        <v/>
      </c>
      <c r="S70" t="str">
        <f t="shared" si="35"/>
        <v/>
      </c>
      <c r="T70" t="str">
        <f t="shared" si="36"/>
        <v/>
      </c>
      <c r="U70" t="str">
        <f t="shared" si="37"/>
        <v/>
      </c>
      <c r="V70" t="str">
        <f t="shared" si="38"/>
        <v/>
      </c>
      <c r="W70" t="str">
        <f t="shared" si="39"/>
        <v xml:space="preserve">              </v>
      </c>
    </row>
    <row r="71" spans="1:23" customFormat="1" hidden="1">
      <c r="A71" t="b">
        <f t="shared" si="21"/>
        <v>0</v>
      </c>
      <c r="B71">
        <f t="shared" si="22"/>
        <v>70</v>
      </c>
      <c r="C71" t="s">
        <v>59</v>
      </c>
      <c r="D71" t="s">
        <v>70</v>
      </c>
      <c r="E71">
        <f t="shared" si="20"/>
        <v>37</v>
      </c>
      <c r="G71">
        <f t="shared" si="23"/>
        <v>5</v>
      </c>
      <c r="H71" t="str">
        <f t="shared" si="24"/>
        <v/>
      </c>
      <c r="I71" t="str">
        <f t="shared" si="25"/>
        <v/>
      </c>
      <c r="J71" t="str">
        <f t="shared" si="26"/>
        <v/>
      </c>
      <c r="K71" t="str">
        <f t="shared" si="27"/>
        <v/>
      </c>
      <c r="L71" t="str">
        <f t="shared" si="28"/>
        <v/>
      </c>
      <c r="M71" t="str">
        <f t="shared" si="29"/>
        <v/>
      </c>
      <c r="N71" t="str">
        <f t="shared" si="30"/>
        <v/>
      </c>
      <c r="O71" t="str">
        <f t="shared" si="31"/>
        <v/>
      </c>
      <c r="P71" t="str">
        <f t="shared" si="32"/>
        <v/>
      </c>
      <c r="Q71" t="str">
        <f t="shared" si="33"/>
        <v/>
      </c>
      <c r="R71" t="str">
        <f t="shared" si="34"/>
        <v/>
      </c>
      <c r="S71" t="str">
        <f t="shared" si="35"/>
        <v/>
      </c>
      <c r="T71" t="str">
        <f t="shared" si="36"/>
        <v/>
      </c>
      <c r="U71" t="str">
        <f t="shared" si="37"/>
        <v/>
      </c>
      <c r="V71" t="str">
        <f t="shared" si="38"/>
        <v/>
      </c>
      <c r="W71" t="str">
        <f t="shared" si="39"/>
        <v xml:space="preserve">              </v>
      </c>
    </row>
    <row r="72" spans="1:23" customFormat="1" hidden="1">
      <c r="A72" t="b">
        <f t="shared" si="21"/>
        <v>0</v>
      </c>
      <c r="B72">
        <f t="shared" si="22"/>
        <v>71</v>
      </c>
      <c r="C72" t="s">
        <v>59</v>
      </c>
      <c r="D72" t="s">
        <v>71</v>
      </c>
      <c r="E72">
        <f t="shared" si="20"/>
        <v>35</v>
      </c>
      <c r="G72">
        <f t="shared" si="23"/>
        <v>6</v>
      </c>
      <c r="H72" t="str">
        <f t="shared" si="24"/>
        <v/>
      </c>
      <c r="I72" t="str">
        <f t="shared" si="25"/>
        <v/>
      </c>
      <c r="J72" t="str">
        <f t="shared" si="26"/>
        <v/>
      </c>
      <c r="K72" t="str">
        <f t="shared" si="27"/>
        <v/>
      </c>
      <c r="L72" t="str">
        <f t="shared" si="28"/>
        <v/>
      </c>
      <c r="M72" t="str">
        <f t="shared" si="29"/>
        <v/>
      </c>
      <c r="N72" t="str">
        <f t="shared" si="30"/>
        <v/>
      </c>
      <c r="O72" t="str">
        <f t="shared" si="31"/>
        <v/>
      </c>
      <c r="P72" t="str">
        <f t="shared" si="32"/>
        <v/>
      </c>
      <c r="Q72" t="str">
        <f t="shared" si="33"/>
        <v/>
      </c>
      <c r="R72" t="str">
        <f t="shared" si="34"/>
        <v/>
      </c>
      <c r="S72" t="str">
        <f t="shared" si="35"/>
        <v/>
      </c>
      <c r="T72" t="str">
        <f t="shared" si="36"/>
        <v/>
      </c>
      <c r="U72" t="str">
        <f t="shared" si="37"/>
        <v/>
      </c>
      <c r="V72" t="str">
        <f t="shared" si="38"/>
        <v/>
      </c>
      <c r="W72" t="str">
        <f t="shared" si="39"/>
        <v xml:space="preserve">              </v>
      </c>
    </row>
    <row r="73" spans="1:23" customFormat="1" hidden="1">
      <c r="A73" t="b">
        <f t="shared" si="21"/>
        <v>0</v>
      </c>
      <c r="B73">
        <f t="shared" si="22"/>
        <v>72</v>
      </c>
      <c r="C73" t="s">
        <v>59</v>
      </c>
      <c r="D73" t="s">
        <v>72</v>
      </c>
      <c r="E73">
        <f t="shared" si="20"/>
        <v>28</v>
      </c>
      <c r="G73">
        <f t="shared" si="23"/>
        <v>7</v>
      </c>
      <c r="H73" t="str">
        <f t="shared" si="24"/>
        <v/>
      </c>
      <c r="I73" t="str">
        <f t="shared" si="25"/>
        <v/>
      </c>
      <c r="J73" t="str">
        <f t="shared" si="26"/>
        <v/>
      </c>
      <c r="K73" t="str">
        <f t="shared" si="27"/>
        <v/>
      </c>
      <c r="L73" t="str">
        <f t="shared" si="28"/>
        <v/>
      </c>
      <c r="M73" t="str">
        <f t="shared" si="29"/>
        <v/>
      </c>
      <c r="N73" t="str">
        <f t="shared" si="30"/>
        <v/>
      </c>
      <c r="O73" t="str">
        <f t="shared" si="31"/>
        <v/>
      </c>
      <c r="P73" t="str">
        <f t="shared" si="32"/>
        <v/>
      </c>
      <c r="Q73" t="str">
        <f t="shared" si="33"/>
        <v/>
      </c>
      <c r="R73" t="str">
        <f t="shared" si="34"/>
        <v/>
      </c>
      <c r="S73" t="str">
        <f t="shared" si="35"/>
        <v/>
      </c>
      <c r="T73" t="str">
        <f t="shared" si="36"/>
        <v/>
      </c>
      <c r="U73" t="str">
        <f t="shared" si="37"/>
        <v/>
      </c>
      <c r="V73" t="str">
        <f t="shared" si="38"/>
        <v/>
      </c>
      <c r="W73" t="str">
        <f t="shared" si="39"/>
        <v xml:space="preserve">              </v>
      </c>
    </row>
    <row r="74" spans="1:23" customFormat="1" hidden="1">
      <c r="A74" t="b">
        <f t="shared" si="21"/>
        <v>0</v>
      </c>
      <c r="B74">
        <f t="shared" si="22"/>
        <v>73</v>
      </c>
      <c r="C74" t="s">
        <v>59</v>
      </c>
      <c r="D74" t="s">
        <v>73</v>
      </c>
      <c r="E74">
        <f t="shared" si="20"/>
        <v>27</v>
      </c>
      <c r="G74">
        <f t="shared" si="23"/>
        <v>8</v>
      </c>
      <c r="H74" t="str">
        <f t="shared" si="24"/>
        <v/>
      </c>
      <c r="I74" t="str">
        <f t="shared" si="25"/>
        <v/>
      </c>
      <c r="J74" t="str">
        <f t="shared" si="26"/>
        <v/>
      </c>
      <c r="K74" t="str">
        <f t="shared" si="27"/>
        <v/>
      </c>
      <c r="L74" t="str">
        <f t="shared" si="28"/>
        <v/>
      </c>
      <c r="M74" t="str">
        <f t="shared" si="29"/>
        <v/>
      </c>
      <c r="N74" t="str">
        <f t="shared" si="30"/>
        <v/>
      </c>
      <c r="O74" t="str">
        <f t="shared" si="31"/>
        <v/>
      </c>
      <c r="P74" t="str">
        <f t="shared" si="32"/>
        <v/>
      </c>
      <c r="Q74" t="str">
        <f t="shared" si="33"/>
        <v/>
      </c>
      <c r="R74" t="str">
        <f t="shared" si="34"/>
        <v/>
      </c>
      <c r="S74" t="str">
        <f t="shared" si="35"/>
        <v/>
      </c>
      <c r="T74" t="str">
        <f t="shared" si="36"/>
        <v/>
      </c>
      <c r="U74" t="str">
        <f t="shared" si="37"/>
        <v/>
      </c>
      <c r="V74" t="str">
        <f t="shared" si="38"/>
        <v/>
      </c>
      <c r="W74" t="str">
        <f t="shared" si="39"/>
        <v xml:space="preserve">              </v>
      </c>
    </row>
    <row r="75" spans="1:23" customFormat="1" hidden="1">
      <c r="A75" t="b">
        <f t="shared" si="21"/>
        <v>0</v>
      </c>
      <c r="B75">
        <f t="shared" si="22"/>
        <v>74</v>
      </c>
      <c r="C75" t="s">
        <v>59</v>
      </c>
      <c r="D75" t="s">
        <v>74</v>
      </c>
      <c r="E75">
        <f t="shared" si="20"/>
        <v>28</v>
      </c>
      <c r="G75">
        <f t="shared" si="23"/>
        <v>9</v>
      </c>
      <c r="H75" t="str">
        <f t="shared" si="24"/>
        <v/>
      </c>
      <c r="I75" t="str">
        <f t="shared" si="25"/>
        <v/>
      </c>
      <c r="J75" t="str">
        <f t="shared" si="26"/>
        <v/>
      </c>
      <c r="K75" t="str">
        <f t="shared" si="27"/>
        <v/>
      </c>
      <c r="L75" t="str">
        <f t="shared" si="28"/>
        <v/>
      </c>
      <c r="M75" t="str">
        <f t="shared" si="29"/>
        <v/>
      </c>
      <c r="N75" t="str">
        <f t="shared" si="30"/>
        <v/>
      </c>
      <c r="O75" t="str">
        <f t="shared" si="31"/>
        <v/>
      </c>
      <c r="P75" t="str">
        <f t="shared" si="32"/>
        <v/>
      </c>
      <c r="Q75" t="str">
        <f t="shared" si="33"/>
        <v/>
      </c>
      <c r="R75" t="str">
        <f t="shared" si="34"/>
        <v/>
      </c>
      <c r="S75" t="str">
        <f t="shared" si="35"/>
        <v/>
      </c>
      <c r="T75" t="str">
        <f t="shared" si="36"/>
        <v/>
      </c>
      <c r="U75" t="str">
        <f t="shared" si="37"/>
        <v/>
      </c>
      <c r="V75" t="str">
        <f t="shared" si="38"/>
        <v/>
      </c>
      <c r="W75" t="str">
        <f t="shared" si="39"/>
        <v xml:space="preserve">              </v>
      </c>
    </row>
    <row r="76" spans="1:23" hidden="1">
      <c r="A76" s="71" t="b">
        <f t="shared" si="21"/>
        <v>0</v>
      </c>
      <c r="B76" s="71">
        <f t="shared" si="22"/>
        <v>75</v>
      </c>
      <c r="C76" s="71" t="s">
        <v>59</v>
      </c>
      <c r="D76" s="71" t="s">
        <v>75</v>
      </c>
      <c r="E76">
        <f t="shared" si="20"/>
        <v>14</v>
      </c>
      <c r="F76">
        <v>1</v>
      </c>
      <c r="G76">
        <f t="shared" si="23"/>
        <v>1</v>
      </c>
      <c r="H76" t="str">
        <f t="shared" si="24"/>
        <v>avoiding power</v>
      </c>
      <c r="I76" t="str">
        <f t="shared" si="25"/>
        <v>The project manager refuses to act, get</v>
      </c>
      <c r="J76" t="str">
        <f t="shared" si="26"/>
        <v>involved, or make decisions.</v>
      </c>
      <c r="K76" t="str">
        <f t="shared" si="27"/>
        <v/>
      </c>
      <c r="L76" t="str">
        <f t="shared" si="28"/>
        <v/>
      </c>
      <c r="M76" t="str">
        <f t="shared" si="29"/>
        <v/>
      </c>
      <c r="N76" t="str">
        <f t="shared" si="30"/>
        <v/>
      </c>
      <c r="O76" t="str">
        <f t="shared" si="31"/>
        <v/>
      </c>
      <c r="P76" t="str">
        <f t="shared" si="32"/>
        <v/>
      </c>
      <c r="Q76" t="str">
        <f t="shared" si="33"/>
        <v/>
      </c>
      <c r="R76" t="str">
        <f t="shared" si="34"/>
        <v/>
      </c>
      <c r="S76" t="str">
        <f t="shared" si="35"/>
        <v/>
      </c>
      <c r="T76" t="str">
        <f t="shared" si="36"/>
        <v/>
      </c>
      <c r="U76" t="str">
        <f t="shared" si="37"/>
        <v/>
      </c>
      <c r="V76" t="str">
        <f t="shared" si="38"/>
        <v/>
      </c>
      <c r="W76" s="71" t="str">
        <f>CONCATENATE(H76," ",I76," ",J76," ",K76," ",L76," ",M76," ",N76," ",O76," ",P76," ",Q76," ",R76," ",S76," ",T76," ",U76," ",V76)</f>
        <v xml:space="preserve">avoiding power The project manager refuses to act, get involved, or make decisions.            </v>
      </c>
    </row>
    <row r="77" spans="1:23" customFormat="1" hidden="1">
      <c r="A77" t="b">
        <f t="shared" si="21"/>
        <v>0</v>
      </c>
      <c r="B77">
        <f t="shared" si="22"/>
        <v>76</v>
      </c>
      <c r="C77" t="s">
        <v>59</v>
      </c>
      <c r="D77" t="s">
        <v>76</v>
      </c>
      <c r="E77">
        <f t="shared" si="20"/>
        <v>39</v>
      </c>
      <c r="G77">
        <f t="shared" si="23"/>
        <v>2</v>
      </c>
      <c r="H77" t="str">
        <f t="shared" si="24"/>
        <v/>
      </c>
      <c r="I77" t="str">
        <f t="shared" si="25"/>
        <v/>
      </c>
      <c r="J77" t="str">
        <f t="shared" si="26"/>
        <v/>
      </c>
      <c r="K77" t="str">
        <f t="shared" si="27"/>
        <v/>
      </c>
      <c r="L77" t="str">
        <f t="shared" si="28"/>
        <v/>
      </c>
      <c r="M77" t="str">
        <f t="shared" si="29"/>
        <v/>
      </c>
      <c r="N77" t="str">
        <f t="shared" si="30"/>
        <v/>
      </c>
      <c r="O77" t="str">
        <f t="shared" si="31"/>
        <v/>
      </c>
      <c r="P77" t="str">
        <f t="shared" si="32"/>
        <v/>
      </c>
      <c r="Q77" t="str">
        <f t="shared" si="33"/>
        <v/>
      </c>
      <c r="R77" t="str">
        <f t="shared" si="34"/>
        <v/>
      </c>
      <c r="S77" t="str">
        <f t="shared" si="35"/>
        <v/>
      </c>
      <c r="T77" t="str">
        <f t="shared" si="36"/>
        <v/>
      </c>
      <c r="U77" t="str">
        <f t="shared" si="37"/>
        <v/>
      </c>
      <c r="V77" t="str">
        <f t="shared" si="38"/>
        <v/>
      </c>
      <c r="W77" t="str">
        <f t="shared" si="39"/>
        <v xml:space="preserve">              </v>
      </c>
    </row>
    <row r="78" spans="1:23" customFormat="1" hidden="1">
      <c r="A78" t="b">
        <f t="shared" si="21"/>
        <v>0</v>
      </c>
      <c r="B78">
        <f t="shared" si="22"/>
        <v>77</v>
      </c>
      <c r="C78" t="s">
        <v>59</v>
      </c>
      <c r="D78" t="s">
        <v>77</v>
      </c>
      <c r="E78">
        <f t="shared" si="20"/>
        <v>28</v>
      </c>
      <c r="G78">
        <f t="shared" si="23"/>
        <v>3</v>
      </c>
      <c r="H78" t="str">
        <f t="shared" si="24"/>
        <v/>
      </c>
      <c r="I78" t="str">
        <f t="shared" si="25"/>
        <v/>
      </c>
      <c r="J78" t="str">
        <f t="shared" si="26"/>
        <v/>
      </c>
      <c r="K78" t="str">
        <f t="shared" si="27"/>
        <v/>
      </c>
      <c r="L78" t="str">
        <f t="shared" si="28"/>
        <v/>
      </c>
      <c r="M78" t="str">
        <f t="shared" si="29"/>
        <v/>
      </c>
      <c r="N78" t="str">
        <f t="shared" si="30"/>
        <v/>
      </c>
      <c r="O78" t="str">
        <f t="shared" si="31"/>
        <v/>
      </c>
      <c r="P78" t="str">
        <f t="shared" si="32"/>
        <v/>
      </c>
      <c r="Q78" t="str">
        <f t="shared" si="33"/>
        <v/>
      </c>
      <c r="R78" t="str">
        <f t="shared" si="34"/>
        <v/>
      </c>
      <c r="S78" t="str">
        <f t="shared" si="35"/>
        <v/>
      </c>
      <c r="T78" t="str">
        <f t="shared" si="36"/>
        <v/>
      </c>
      <c r="U78" t="str">
        <f t="shared" si="37"/>
        <v/>
      </c>
      <c r="V78" t="str">
        <f t="shared" si="38"/>
        <v/>
      </c>
      <c r="W78" t="str">
        <f t="shared" si="39"/>
        <v xml:space="preserve">              </v>
      </c>
    </row>
    <row r="79" spans="1:23" hidden="1">
      <c r="A79" s="71" t="b">
        <f t="shared" si="21"/>
        <v>0</v>
      </c>
      <c r="B79" s="71">
        <f t="shared" si="22"/>
        <v>78</v>
      </c>
      <c r="C79" s="71" t="s">
        <v>59</v>
      </c>
      <c r="D79" s="71" t="s">
        <v>78</v>
      </c>
      <c r="E79">
        <f t="shared" si="20"/>
        <v>22</v>
      </c>
      <c r="F79">
        <v>1</v>
      </c>
      <c r="G79">
        <f t="shared" si="23"/>
        <v>1</v>
      </c>
      <c r="H79" t="str">
        <f t="shared" si="24"/>
        <v>charismatic leadership</v>
      </c>
      <c r="I79" t="str">
        <f t="shared" si="25"/>
        <v>The leader is motivating, has highenergy,</v>
      </c>
      <c r="J79" t="str">
        <f t="shared" si="26"/>
        <v>and inspires the team through</v>
      </c>
      <c r="K79" t="str">
        <f t="shared" si="27"/>
        <v>strong convictions about what’s possible</v>
      </c>
      <c r="L79" t="str">
        <f t="shared" si="28"/>
        <v>and what the team can achieve. Positive</v>
      </c>
      <c r="M79" t="str">
        <f t="shared" si="29"/>
        <v>thinking and a can-do mentality are</v>
      </c>
      <c r="N79" t="str">
        <f t="shared" si="30"/>
        <v>characteristics of a charismatic leader.</v>
      </c>
      <c r="O79" t="str">
        <f t="shared" si="31"/>
        <v/>
      </c>
      <c r="P79" t="str">
        <f t="shared" si="32"/>
        <v/>
      </c>
      <c r="Q79" t="str">
        <f t="shared" si="33"/>
        <v/>
      </c>
      <c r="R79" t="str">
        <f t="shared" si="34"/>
        <v/>
      </c>
      <c r="S79" t="str">
        <f t="shared" si="35"/>
        <v/>
      </c>
      <c r="T79" t="str">
        <f t="shared" si="36"/>
        <v/>
      </c>
      <c r="U79" t="str">
        <f t="shared" si="37"/>
        <v/>
      </c>
      <c r="V79" t="str">
        <f t="shared" si="38"/>
        <v/>
      </c>
      <c r="W79" s="71" t="str">
        <f>CONCATENATE(H79," ",I79," ",J79," ",K79," ",L79," ",M79," ",N79," ",O79," ",P79," ",Q79," ",R79," ",S79," ",T79," ",U79," ",V79)</f>
        <v xml:space="preserve">charismatic leadership The leader is motivating, has highenergy, and inspires the team through strong convictions about what’s possible and what the team can achieve. Positive thinking and a can-do mentality are characteristics of a charismatic leader.        </v>
      </c>
    </row>
    <row r="80" spans="1:23" customFormat="1" hidden="1">
      <c r="A80" t="b">
        <f t="shared" si="21"/>
        <v>0</v>
      </c>
      <c r="B80">
        <f t="shared" si="22"/>
        <v>79</v>
      </c>
      <c r="C80" t="s">
        <v>59</v>
      </c>
      <c r="D80" t="s">
        <v>79</v>
      </c>
      <c r="E80">
        <f t="shared" si="20"/>
        <v>41</v>
      </c>
      <c r="G80">
        <f t="shared" si="23"/>
        <v>2</v>
      </c>
      <c r="H80" t="str">
        <f t="shared" si="24"/>
        <v/>
      </c>
      <c r="I80" t="str">
        <f t="shared" si="25"/>
        <v/>
      </c>
      <c r="J80" t="str">
        <f t="shared" si="26"/>
        <v/>
      </c>
      <c r="K80" t="str">
        <f t="shared" si="27"/>
        <v/>
      </c>
      <c r="L80" t="str">
        <f t="shared" si="28"/>
        <v/>
      </c>
      <c r="M80" t="str">
        <f t="shared" si="29"/>
        <v/>
      </c>
      <c r="N80" t="str">
        <f t="shared" si="30"/>
        <v/>
      </c>
      <c r="O80" t="str">
        <f t="shared" si="31"/>
        <v/>
      </c>
      <c r="P80" t="str">
        <f t="shared" si="32"/>
        <v/>
      </c>
      <c r="Q80" t="str">
        <f t="shared" si="33"/>
        <v/>
      </c>
      <c r="R80" t="str">
        <f t="shared" si="34"/>
        <v/>
      </c>
      <c r="S80" t="str">
        <f t="shared" si="35"/>
        <v/>
      </c>
      <c r="T80" t="str">
        <f t="shared" si="36"/>
        <v/>
      </c>
      <c r="U80" t="str">
        <f t="shared" si="37"/>
        <v/>
      </c>
      <c r="V80" t="str">
        <f t="shared" si="38"/>
        <v/>
      </c>
      <c r="W80" t="str">
        <f t="shared" si="39"/>
        <v xml:space="preserve">              </v>
      </c>
    </row>
    <row r="81" spans="1:23" customFormat="1" hidden="1">
      <c r="A81" t="b">
        <f t="shared" si="21"/>
        <v>0</v>
      </c>
      <c r="B81">
        <f t="shared" si="22"/>
        <v>80</v>
      </c>
      <c r="C81" t="s">
        <v>59</v>
      </c>
      <c r="D81" t="s">
        <v>80</v>
      </c>
      <c r="E81">
        <f t="shared" si="20"/>
        <v>29</v>
      </c>
      <c r="G81">
        <f t="shared" si="23"/>
        <v>3</v>
      </c>
      <c r="H81" t="str">
        <f t="shared" si="24"/>
        <v/>
      </c>
      <c r="I81" t="str">
        <f t="shared" si="25"/>
        <v/>
      </c>
      <c r="J81" t="str">
        <f t="shared" si="26"/>
        <v/>
      </c>
      <c r="K81" t="str">
        <f t="shared" si="27"/>
        <v/>
      </c>
      <c r="L81" t="str">
        <f t="shared" si="28"/>
        <v/>
      </c>
      <c r="M81" t="str">
        <f t="shared" si="29"/>
        <v/>
      </c>
      <c r="N81" t="str">
        <f t="shared" si="30"/>
        <v/>
      </c>
      <c r="O81" t="str">
        <f t="shared" si="31"/>
        <v/>
      </c>
      <c r="P81" t="str">
        <f t="shared" si="32"/>
        <v/>
      </c>
      <c r="Q81" t="str">
        <f t="shared" si="33"/>
        <v/>
      </c>
      <c r="R81" t="str">
        <f t="shared" si="34"/>
        <v/>
      </c>
      <c r="S81" t="str">
        <f t="shared" si="35"/>
        <v/>
      </c>
      <c r="T81" t="str">
        <f t="shared" si="36"/>
        <v/>
      </c>
      <c r="U81" t="str">
        <f t="shared" si="37"/>
        <v/>
      </c>
      <c r="V81" t="str">
        <f t="shared" si="38"/>
        <v/>
      </c>
      <c r="W81" t="str">
        <f t="shared" si="39"/>
        <v xml:space="preserve">              </v>
      </c>
    </row>
    <row r="82" spans="1:23" customFormat="1" hidden="1">
      <c r="A82" t="b">
        <f t="shared" si="21"/>
        <v>0</v>
      </c>
      <c r="B82">
        <f t="shared" si="22"/>
        <v>81</v>
      </c>
      <c r="C82" t="s">
        <v>59</v>
      </c>
      <c r="D82" t="s">
        <v>81</v>
      </c>
      <c r="E82">
        <f t="shared" si="20"/>
        <v>40</v>
      </c>
      <c r="G82">
        <f t="shared" si="23"/>
        <v>4</v>
      </c>
      <c r="H82" t="str">
        <f t="shared" si="24"/>
        <v/>
      </c>
      <c r="I82" t="str">
        <f t="shared" si="25"/>
        <v/>
      </c>
      <c r="J82" t="str">
        <f t="shared" si="26"/>
        <v/>
      </c>
      <c r="K82" t="str">
        <f t="shared" si="27"/>
        <v/>
      </c>
      <c r="L82" t="str">
        <f t="shared" si="28"/>
        <v/>
      </c>
      <c r="M82" t="str">
        <f t="shared" si="29"/>
        <v/>
      </c>
      <c r="N82" t="str">
        <f t="shared" si="30"/>
        <v/>
      </c>
      <c r="O82" t="str">
        <f t="shared" si="31"/>
        <v/>
      </c>
      <c r="P82" t="str">
        <f t="shared" si="32"/>
        <v/>
      </c>
      <c r="Q82" t="str">
        <f t="shared" si="33"/>
        <v/>
      </c>
      <c r="R82" t="str">
        <f t="shared" si="34"/>
        <v/>
      </c>
      <c r="S82" t="str">
        <f t="shared" si="35"/>
        <v/>
      </c>
      <c r="T82" t="str">
        <f t="shared" si="36"/>
        <v/>
      </c>
      <c r="U82" t="str">
        <f t="shared" si="37"/>
        <v/>
      </c>
      <c r="V82" t="str">
        <f t="shared" si="38"/>
        <v/>
      </c>
      <c r="W82" t="str">
        <f t="shared" si="39"/>
        <v xml:space="preserve">              </v>
      </c>
    </row>
    <row r="83" spans="1:23" customFormat="1" hidden="1">
      <c r="A83" t="b">
        <f t="shared" si="21"/>
        <v>0</v>
      </c>
      <c r="B83">
        <f t="shared" si="22"/>
        <v>82</v>
      </c>
      <c r="C83" t="s">
        <v>59</v>
      </c>
      <c r="D83" t="s">
        <v>82</v>
      </c>
      <c r="E83">
        <f t="shared" si="20"/>
        <v>39</v>
      </c>
      <c r="G83">
        <f t="shared" si="23"/>
        <v>5</v>
      </c>
      <c r="H83" t="str">
        <f t="shared" si="24"/>
        <v/>
      </c>
      <c r="I83" t="str">
        <f t="shared" si="25"/>
        <v/>
      </c>
      <c r="J83" t="str">
        <f t="shared" si="26"/>
        <v/>
      </c>
      <c r="K83" t="str">
        <f t="shared" si="27"/>
        <v/>
      </c>
      <c r="L83" t="str">
        <f t="shared" si="28"/>
        <v/>
      </c>
      <c r="M83" t="str">
        <f t="shared" si="29"/>
        <v/>
      </c>
      <c r="N83" t="str">
        <f t="shared" si="30"/>
        <v/>
      </c>
      <c r="O83" t="str">
        <f t="shared" si="31"/>
        <v/>
      </c>
      <c r="P83" t="str">
        <f t="shared" si="32"/>
        <v/>
      </c>
      <c r="Q83" t="str">
        <f t="shared" si="33"/>
        <v/>
      </c>
      <c r="R83" t="str">
        <f t="shared" si="34"/>
        <v/>
      </c>
      <c r="S83" t="str">
        <f t="shared" si="35"/>
        <v/>
      </c>
      <c r="T83" t="str">
        <f t="shared" si="36"/>
        <v/>
      </c>
      <c r="U83" t="str">
        <f t="shared" si="37"/>
        <v/>
      </c>
      <c r="V83" t="str">
        <f t="shared" si="38"/>
        <v/>
      </c>
      <c r="W83" t="str">
        <f t="shared" si="39"/>
        <v xml:space="preserve">              </v>
      </c>
    </row>
    <row r="84" spans="1:23" customFormat="1" hidden="1">
      <c r="A84" t="b">
        <f t="shared" si="21"/>
        <v>0</v>
      </c>
      <c r="B84">
        <f t="shared" si="22"/>
        <v>83</v>
      </c>
      <c r="C84" t="s">
        <v>59</v>
      </c>
      <c r="D84" t="s">
        <v>83</v>
      </c>
      <c r="E84">
        <f t="shared" si="20"/>
        <v>35</v>
      </c>
      <c r="G84">
        <f t="shared" si="23"/>
        <v>6</v>
      </c>
      <c r="H84" t="str">
        <f t="shared" si="24"/>
        <v/>
      </c>
      <c r="I84" t="str">
        <f t="shared" si="25"/>
        <v/>
      </c>
      <c r="J84" t="str">
        <f t="shared" si="26"/>
        <v/>
      </c>
      <c r="K84" t="str">
        <f t="shared" si="27"/>
        <v/>
      </c>
      <c r="L84" t="str">
        <f t="shared" si="28"/>
        <v/>
      </c>
      <c r="M84" t="str">
        <f t="shared" si="29"/>
        <v/>
      </c>
      <c r="N84" t="str">
        <f t="shared" si="30"/>
        <v/>
      </c>
      <c r="O84" t="str">
        <f t="shared" si="31"/>
        <v/>
      </c>
      <c r="P84" t="str">
        <f t="shared" si="32"/>
        <v/>
      </c>
      <c r="Q84" t="str">
        <f t="shared" si="33"/>
        <v/>
      </c>
      <c r="R84" t="str">
        <f t="shared" si="34"/>
        <v/>
      </c>
      <c r="S84" t="str">
        <f t="shared" si="35"/>
        <v/>
      </c>
      <c r="T84" t="str">
        <f t="shared" si="36"/>
        <v/>
      </c>
      <c r="U84" t="str">
        <f t="shared" si="37"/>
        <v/>
      </c>
      <c r="V84" t="str">
        <f t="shared" si="38"/>
        <v/>
      </c>
      <c r="W84" t="str">
        <f t="shared" si="39"/>
        <v xml:space="preserve">              </v>
      </c>
    </row>
    <row r="85" spans="1:23" customFormat="1" hidden="1">
      <c r="A85" t="b">
        <f t="shared" si="21"/>
        <v>0</v>
      </c>
      <c r="B85">
        <f t="shared" si="22"/>
        <v>84</v>
      </c>
      <c r="C85" t="s">
        <v>59</v>
      </c>
      <c r="D85" t="s">
        <v>84</v>
      </c>
      <c r="E85">
        <f t="shared" si="20"/>
        <v>40</v>
      </c>
      <c r="G85">
        <f t="shared" si="23"/>
        <v>7</v>
      </c>
      <c r="H85" t="str">
        <f t="shared" si="24"/>
        <v/>
      </c>
      <c r="I85" t="str">
        <f t="shared" si="25"/>
        <v/>
      </c>
      <c r="J85" t="str">
        <f t="shared" si="26"/>
        <v/>
      </c>
      <c r="K85" t="str">
        <f t="shared" si="27"/>
        <v/>
      </c>
      <c r="L85" t="str">
        <f t="shared" si="28"/>
        <v/>
      </c>
      <c r="M85" t="str">
        <f t="shared" si="29"/>
        <v/>
      </c>
      <c r="N85" t="str">
        <f t="shared" si="30"/>
        <v/>
      </c>
      <c r="O85" t="str">
        <f t="shared" si="31"/>
        <v/>
      </c>
      <c r="P85" t="str">
        <f t="shared" si="32"/>
        <v/>
      </c>
      <c r="Q85" t="str">
        <f t="shared" si="33"/>
        <v/>
      </c>
      <c r="R85" t="str">
        <f t="shared" si="34"/>
        <v/>
      </c>
      <c r="S85" t="str">
        <f t="shared" si="35"/>
        <v/>
      </c>
      <c r="T85" t="str">
        <f t="shared" si="36"/>
        <v/>
      </c>
      <c r="U85" t="str">
        <f t="shared" si="37"/>
        <v/>
      </c>
      <c r="V85" t="str">
        <f t="shared" si="38"/>
        <v/>
      </c>
      <c r="W85" t="str">
        <f t="shared" si="39"/>
        <v xml:space="preserve">              </v>
      </c>
    </row>
    <row r="86" spans="1:23" hidden="1">
      <c r="A86" s="71" t="b">
        <f t="shared" si="21"/>
        <v>0</v>
      </c>
      <c r="B86" s="71">
        <f t="shared" si="22"/>
        <v>85</v>
      </c>
      <c r="C86" s="71" t="s">
        <v>59</v>
      </c>
      <c r="D86" s="71" t="s">
        <v>85</v>
      </c>
      <c r="E86">
        <f t="shared" si="20"/>
        <v>12</v>
      </c>
      <c r="F86">
        <v>1</v>
      </c>
      <c r="G86">
        <f t="shared" si="23"/>
        <v>1</v>
      </c>
      <c r="H86" t="str">
        <f t="shared" si="24"/>
        <v>expert power</v>
      </c>
      <c r="I86" t="str">
        <f t="shared" si="25"/>
        <v>The project manager has deep skills and</v>
      </c>
      <c r="J86" t="str">
        <f t="shared" si="26"/>
        <v>experience in a discipline (for example,</v>
      </c>
      <c r="K86" t="str">
        <f t="shared" si="27"/>
        <v>years of working in IT helps an IT project</v>
      </c>
      <c r="L86" t="str">
        <f t="shared" si="28"/>
        <v>manager better manage IT projects).</v>
      </c>
      <c r="M86" t="str">
        <f t="shared" si="29"/>
        <v>ingratiating power</v>
      </c>
      <c r="N86" t="str">
        <f t="shared" si="30"/>
        <v>The project manager aims to gain favor</v>
      </c>
      <c r="O86" t="str">
        <f t="shared" si="31"/>
        <v>with the project team and stakeholders</v>
      </c>
      <c r="P86" t="str">
        <f t="shared" si="32"/>
        <v>through flattery.</v>
      </c>
      <c r="Q86" t="str">
        <f t="shared" si="33"/>
        <v/>
      </c>
      <c r="R86" t="str">
        <f t="shared" si="34"/>
        <v/>
      </c>
      <c r="S86" t="str">
        <f t="shared" si="35"/>
        <v/>
      </c>
      <c r="T86" t="str">
        <f t="shared" si="36"/>
        <v/>
      </c>
      <c r="U86" t="str">
        <f t="shared" si="37"/>
        <v/>
      </c>
      <c r="V86" t="str">
        <f t="shared" si="38"/>
        <v/>
      </c>
      <c r="W86" s="71" t="str">
        <f>CONCATENATE(H86," ",I86," ",J86," ",K86," ",L86," ",M86," ",N86," ",O86," ",P86," ",Q86," ",R86," ",S86," ",T86," ",U86," ",V86)</f>
        <v xml:space="preserve">expert power The project manager has deep skills and experience in a discipline (for example, years of working in IT helps an IT project manager better manage IT projects). ingratiating power The project manager aims to gain favor with the project team and stakeholders through flattery.      </v>
      </c>
    </row>
    <row r="87" spans="1:23" customFormat="1" hidden="1">
      <c r="A87" t="b">
        <f t="shared" si="21"/>
        <v>0</v>
      </c>
      <c r="B87">
        <f t="shared" si="22"/>
        <v>86</v>
      </c>
      <c r="C87" t="s">
        <v>59</v>
      </c>
      <c r="D87" t="s">
        <v>86</v>
      </c>
      <c r="E87">
        <f t="shared" si="20"/>
        <v>39</v>
      </c>
      <c r="G87">
        <f t="shared" si="23"/>
        <v>2</v>
      </c>
      <c r="H87" t="str">
        <f t="shared" si="24"/>
        <v/>
      </c>
      <c r="I87" t="str">
        <f t="shared" si="25"/>
        <v/>
      </c>
      <c r="J87" t="str">
        <f t="shared" si="26"/>
        <v/>
      </c>
      <c r="K87" t="str">
        <f t="shared" si="27"/>
        <v/>
      </c>
      <c r="L87" t="str">
        <f t="shared" si="28"/>
        <v/>
      </c>
      <c r="M87" t="str">
        <f t="shared" si="29"/>
        <v/>
      </c>
      <c r="N87" t="str">
        <f t="shared" si="30"/>
        <v/>
      </c>
      <c r="O87" t="str">
        <f t="shared" si="31"/>
        <v/>
      </c>
      <c r="P87" t="str">
        <f t="shared" si="32"/>
        <v/>
      </c>
      <c r="Q87" t="str">
        <f t="shared" si="33"/>
        <v/>
      </c>
      <c r="R87" t="str">
        <f t="shared" si="34"/>
        <v/>
      </c>
      <c r="S87" t="str">
        <f t="shared" si="35"/>
        <v/>
      </c>
      <c r="T87" t="str">
        <f t="shared" si="36"/>
        <v/>
      </c>
      <c r="U87" t="str">
        <f t="shared" si="37"/>
        <v/>
      </c>
      <c r="V87" t="str">
        <f t="shared" si="38"/>
        <v/>
      </c>
      <c r="W87" t="str">
        <f t="shared" si="39"/>
        <v xml:space="preserve">              </v>
      </c>
    </row>
    <row r="88" spans="1:23" customFormat="1" hidden="1">
      <c r="A88" t="b">
        <f t="shared" si="21"/>
        <v>0</v>
      </c>
      <c r="B88">
        <f t="shared" si="22"/>
        <v>87</v>
      </c>
      <c r="C88" t="s">
        <v>59</v>
      </c>
      <c r="D88" t="s">
        <v>87</v>
      </c>
      <c r="E88">
        <f t="shared" si="20"/>
        <v>40</v>
      </c>
      <c r="G88">
        <f t="shared" si="23"/>
        <v>3</v>
      </c>
      <c r="H88" t="str">
        <f t="shared" si="24"/>
        <v/>
      </c>
      <c r="I88" t="str">
        <f t="shared" si="25"/>
        <v/>
      </c>
      <c r="J88" t="str">
        <f t="shared" si="26"/>
        <v/>
      </c>
      <c r="K88" t="str">
        <f t="shared" si="27"/>
        <v/>
      </c>
      <c r="L88" t="str">
        <f t="shared" si="28"/>
        <v/>
      </c>
      <c r="M88" t="str">
        <f t="shared" si="29"/>
        <v/>
      </c>
      <c r="N88" t="str">
        <f t="shared" si="30"/>
        <v/>
      </c>
      <c r="O88" t="str">
        <f t="shared" si="31"/>
        <v/>
      </c>
      <c r="P88" t="str">
        <f t="shared" si="32"/>
        <v/>
      </c>
      <c r="Q88" t="str">
        <f t="shared" si="33"/>
        <v/>
      </c>
      <c r="R88" t="str">
        <f t="shared" si="34"/>
        <v/>
      </c>
      <c r="S88" t="str">
        <f t="shared" si="35"/>
        <v/>
      </c>
      <c r="T88" t="str">
        <f t="shared" si="36"/>
        <v/>
      </c>
      <c r="U88" t="str">
        <f t="shared" si="37"/>
        <v/>
      </c>
      <c r="V88" t="str">
        <f t="shared" si="38"/>
        <v/>
      </c>
      <c r="W88" t="str">
        <f t="shared" si="39"/>
        <v xml:space="preserve">              </v>
      </c>
    </row>
    <row r="89" spans="1:23" customFormat="1" hidden="1">
      <c r="A89" t="b">
        <f t="shared" si="21"/>
        <v>0</v>
      </c>
      <c r="B89">
        <f t="shared" si="22"/>
        <v>88</v>
      </c>
      <c r="C89" t="s">
        <v>59</v>
      </c>
      <c r="D89" t="s">
        <v>88</v>
      </c>
      <c r="E89">
        <f t="shared" si="20"/>
        <v>42</v>
      </c>
      <c r="G89">
        <f t="shared" si="23"/>
        <v>4</v>
      </c>
      <c r="H89" t="str">
        <f t="shared" si="24"/>
        <v/>
      </c>
      <c r="I89" t="str">
        <f t="shared" si="25"/>
        <v/>
      </c>
      <c r="J89" t="str">
        <f t="shared" si="26"/>
        <v/>
      </c>
      <c r="K89" t="str">
        <f t="shared" si="27"/>
        <v/>
      </c>
      <c r="L89" t="str">
        <f t="shared" si="28"/>
        <v/>
      </c>
      <c r="M89" t="str">
        <f t="shared" si="29"/>
        <v/>
      </c>
      <c r="N89" t="str">
        <f t="shared" si="30"/>
        <v/>
      </c>
      <c r="O89" t="str">
        <f t="shared" si="31"/>
        <v/>
      </c>
      <c r="P89" t="str">
        <f t="shared" si="32"/>
        <v/>
      </c>
      <c r="Q89" t="str">
        <f t="shared" si="33"/>
        <v/>
      </c>
      <c r="R89" t="str">
        <f t="shared" si="34"/>
        <v/>
      </c>
      <c r="S89" t="str">
        <f t="shared" si="35"/>
        <v/>
      </c>
      <c r="T89" t="str">
        <f t="shared" si="36"/>
        <v/>
      </c>
      <c r="U89" t="str">
        <f t="shared" si="37"/>
        <v/>
      </c>
      <c r="V89" t="str">
        <f t="shared" si="38"/>
        <v/>
      </c>
      <c r="W89" t="str">
        <f t="shared" si="39"/>
        <v xml:space="preserve">              </v>
      </c>
    </row>
    <row r="90" spans="1:23" customFormat="1" hidden="1">
      <c r="A90" t="b">
        <f t="shared" si="21"/>
        <v>0</v>
      </c>
      <c r="B90">
        <f t="shared" si="22"/>
        <v>89</v>
      </c>
      <c r="C90" t="s">
        <v>59</v>
      </c>
      <c r="D90" t="s">
        <v>89</v>
      </c>
      <c r="E90">
        <f t="shared" si="20"/>
        <v>35</v>
      </c>
      <c r="G90">
        <f t="shared" si="23"/>
        <v>5</v>
      </c>
      <c r="H90" t="str">
        <f t="shared" si="24"/>
        <v/>
      </c>
      <c r="I90" t="str">
        <f t="shared" si="25"/>
        <v/>
      </c>
      <c r="J90" t="str">
        <f t="shared" si="26"/>
        <v/>
      </c>
      <c r="K90" t="str">
        <f t="shared" si="27"/>
        <v/>
      </c>
      <c r="L90" t="str">
        <f t="shared" si="28"/>
        <v/>
      </c>
      <c r="M90" t="str">
        <f t="shared" si="29"/>
        <v/>
      </c>
      <c r="N90" t="str">
        <f t="shared" si="30"/>
        <v/>
      </c>
      <c r="O90" t="str">
        <f t="shared" si="31"/>
        <v/>
      </c>
      <c r="P90" t="str">
        <f t="shared" si="32"/>
        <v/>
      </c>
      <c r="Q90" t="str">
        <f t="shared" si="33"/>
        <v/>
      </c>
      <c r="R90" t="str">
        <f t="shared" si="34"/>
        <v/>
      </c>
      <c r="S90" t="str">
        <f t="shared" si="35"/>
        <v/>
      </c>
      <c r="T90" t="str">
        <f t="shared" si="36"/>
        <v/>
      </c>
      <c r="U90" t="str">
        <f t="shared" si="37"/>
        <v/>
      </c>
      <c r="V90" t="str">
        <f t="shared" si="38"/>
        <v/>
      </c>
      <c r="W90" t="str">
        <f t="shared" si="39"/>
        <v xml:space="preserve">              </v>
      </c>
    </row>
    <row r="91" spans="1:23" customFormat="1" hidden="1">
      <c r="A91" t="b">
        <f t="shared" si="21"/>
        <v>0</v>
      </c>
      <c r="B91">
        <f t="shared" si="22"/>
        <v>90</v>
      </c>
      <c r="C91" t="s">
        <v>59</v>
      </c>
      <c r="D91" t="s">
        <v>90</v>
      </c>
      <c r="E91">
        <f t="shared" si="20"/>
        <v>18</v>
      </c>
      <c r="G91">
        <f t="shared" si="23"/>
        <v>6</v>
      </c>
      <c r="H91" t="str">
        <f t="shared" si="24"/>
        <v/>
      </c>
      <c r="I91" t="str">
        <f t="shared" si="25"/>
        <v/>
      </c>
      <c r="J91" t="str">
        <f t="shared" si="26"/>
        <v/>
      </c>
      <c r="K91" t="str">
        <f t="shared" si="27"/>
        <v/>
      </c>
      <c r="L91" t="str">
        <f t="shared" si="28"/>
        <v/>
      </c>
      <c r="M91" t="str">
        <f t="shared" si="29"/>
        <v/>
      </c>
      <c r="N91" t="str">
        <f t="shared" si="30"/>
        <v/>
      </c>
      <c r="O91" t="str">
        <f t="shared" si="31"/>
        <v/>
      </c>
      <c r="P91" t="str">
        <f t="shared" si="32"/>
        <v/>
      </c>
      <c r="Q91" t="str">
        <f t="shared" si="33"/>
        <v/>
      </c>
      <c r="R91" t="str">
        <f t="shared" si="34"/>
        <v/>
      </c>
      <c r="S91" t="str">
        <f t="shared" si="35"/>
        <v/>
      </c>
      <c r="T91" t="str">
        <f t="shared" si="36"/>
        <v/>
      </c>
      <c r="U91" t="str">
        <f t="shared" si="37"/>
        <v/>
      </c>
      <c r="V91" t="str">
        <f t="shared" si="38"/>
        <v/>
      </c>
      <c r="W91" t="str">
        <f t="shared" si="39"/>
        <v xml:space="preserve">              </v>
      </c>
    </row>
    <row r="92" spans="1:23" customFormat="1" hidden="1">
      <c r="A92" t="b">
        <f t="shared" si="21"/>
        <v>0</v>
      </c>
      <c r="B92">
        <f t="shared" si="22"/>
        <v>91</v>
      </c>
      <c r="C92" t="s">
        <v>59</v>
      </c>
      <c r="D92" t="s">
        <v>91</v>
      </c>
      <c r="E92">
        <f t="shared" si="20"/>
        <v>38</v>
      </c>
      <c r="G92">
        <f t="shared" si="23"/>
        <v>7</v>
      </c>
      <c r="H92" t="str">
        <f t="shared" si="24"/>
        <v/>
      </c>
      <c r="I92" t="str">
        <f t="shared" si="25"/>
        <v/>
      </c>
      <c r="J92" t="str">
        <f t="shared" si="26"/>
        <v/>
      </c>
      <c r="K92" t="str">
        <f t="shared" si="27"/>
        <v/>
      </c>
      <c r="L92" t="str">
        <f t="shared" si="28"/>
        <v/>
      </c>
      <c r="M92" t="str">
        <f t="shared" si="29"/>
        <v/>
      </c>
      <c r="N92" t="str">
        <f t="shared" si="30"/>
        <v/>
      </c>
      <c r="O92" t="str">
        <f t="shared" si="31"/>
        <v/>
      </c>
      <c r="P92" t="str">
        <f t="shared" si="32"/>
        <v/>
      </c>
      <c r="Q92" t="str">
        <f t="shared" si="33"/>
        <v/>
      </c>
      <c r="R92" t="str">
        <f t="shared" si="34"/>
        <v/>
      </c>
      <c r="S92" t="str">
        <f t="shared" si="35"/>
        <v/>
      </c>
      <c r="T92" t="str">
        <f t="shared" si="36"/>
        <v/>
      </c>
      <c r="U92" t="str">
        <f t="shared" si="37"/>
        <v/>
      </c>
      <c r="V92" t="str">
        <f t="shared" si="38"/>
        <v/>
      </c>
      <c r="W92" t="str">
        <f t="shared" si="39"/>
        <v xml:space="preserve">              </v>
      </c>
    </row>
    <row r="93" spans="1:23" customFormat="1" hidden="1">
      <c r="A93" t="b">
        <f t="shared" si="21"/>
        <v>0</v>
      </c>
      <c r="B93">
        <f t="shared" si="22"/>
        <v>92</v>
      </c>
      <c r="C93" t="s">
        <v>59</v>
      </c>
      <c r="D93" t="s">
        <v>92</v>
      </c>
      <c r="E93">
        <f t="shared" si="20"/>
        <v>38</v>
      </c>
      <c r="G93">
        <f t="shared" si="23"/>
        <v>8</v>
      </c>
      <c r="H93" t="str">
        <f t="shared" si="24"/>
        <v/>
      </c>
      <c r="I93" t="str">
        <f t="shared" si="25"/>
        <v/>
      </c>
      <c r="J93" t="str">
        <f t="shared" si="26"/>
        <v/>
      </c>
      <c r="K93" t="str">
        <f t="shared" si="27"/>
        <v/>
      </c>
      <c r="L93" t="str">
        <f t="shared" si="28"/>
        <v/>
      </c>
      <c r="M93" t="str">
        <f t="shared" si="29"/>
        <v/>
      </c>
      <c r="N93" t="str">
        <f t="shared" si="30"/>
        <v/>
      </c>
      <c r="O93" t="str">
        <f t="shared" si="31"/>
        <v/>
      </c>
      <c r="P93" t="str">
        <f t="shared" si="32"/>
        <v/>
      </c>
      <c r="Q93" t="str">
        <f t="shared" si="33"/>
        <v/>
      </c>
      <c r="R93" t="str">
        <f t="shared" si="34"/>
        <v/>
      </c>
      <c r="S93" t="str">
        <f t="shared" si="35"/>
        <v/>
      </c>
      <c r="T93" t="str">
        <f t="shared" si="36"/>
        <v/>
      </c>
      <c r="U93" t="str">
        <f t="shared" si="37"/>
        <v/>
      </c>
      <c r="V93" t="str">
        <f t="shared" si="38"/>
        <v/>
      </c>
      <c r="W93" t="str">
        <f t="shared" si="39"/>
        <v xml:space="preserve">              </v>
      </c>
    </row>
    <row r="94" spans="1:23" customFormat="1" hidden="1">
      <c r="A94" t="b">
        <f t="shared" si="21"/>
        <v>0</v>
      </c>
      <c r="B94">
        <f t="shared" si="22"/>
        <v>93</v>
      </c>
      <c r="C94" t="s">
        <v>59</v>
      </c>
      <c r="D94" t="s">
        <v>93</v>
      </c>
      <c r="E94">
        <f t="shared" si="20"/>
        <v>17</v>
      </c>
      <c r="G94">
        <f t="shared" si="23"/>
        <v>9</v>
      </c>
      <c r="H94" t="str">
        <f t="shared" si="24"/>
        <v/>
      </c>
      <c r="I94" t="str">
        <f t="shared" si="25"/>
        <v/>
      </c>
      <c r="J94" t="str">
        <f t="shared" si="26"/>
        <v/>
      </c>
      <c r="K94" t="str">
        <f t="shared" si="27"/>
        <v/>
      </c>
      <c r="L94" t="str">
        <f t="shared" si="28"/>
        <v/>
      </c>
      <c r="M94" t="str">
        <f t="shared" si="29"/>
        <v/>
      </c>
      <c r="N94" t="str">
        <f t="shared" si="30"/>
        <v/>
      </c>
      <c r="O94" t="str">
        <f t="shared" si="31"/>
        <v/>
      </c>
      <c r="P94" t="str">
        <f t="shared" si="32"/>
        <v/>
      </c>
      <c r="Q94" t="str">
        <f t="shared" si="33"/>
        <v/>
      </c>
      <c r="R94" t="str">
        <f t="shared" si="34"/>
        <v/>
      </c>
      <c r="S94" t="str">
        <f t="shared" si="35"/>
        <v/>
      </c>
      <c r="T94" t="str">
        <f t="shared" si="36"/>
        <v/>
      </c>
      <c r="U94" t="str">
        <f t="shared" si="37"/>
        <v/>
      </c>
      <c r="V94" t="str">
        <f t="shared" si="38"/>
        <v/>
      </c>
      <c r="W94" t="str">
        <f t="shared" si="39"/>
        <v xml:space="preserve">              </v>
      </c>
    </row>
    <row r="95" spans="1:23" hidden="1">
      <c r="A95" s="71" t="b">
        <f t="shared" si="21"/>
        <v>0</v>
      </c>
      <c r="B95" s="71">
        <f t="shared" si="22"/>
        <v>94</v>
      </c>
      <c r="C95" s="71" t="s">
        <v>59</v>
      </c>
      <c r="D95" s="71" t="s">
        <v>94</v>
      </c>
      <c r="E95">
        <f t="shared" si="20"/>
        <v>19</v>
      </c>
      <c r="F95">
        <v>1</v>
      </c>
      <c r="G95">
        <f t="shared" si="23"/>
        <v>1</v>
      </c>
      <c r="H95" t="str">
        <f t="shared" si="24"/>
        <v>informational power</v>
      </c>
      <c r="I95" t="str">
        <f t="shared" si="25"/>
        <v>The individual has power and control of</v>
      </c>
      <c r="J95" t="str">
        <f t="shared" si="26"/>
        <v>the data gathering and distribution of</v>
      </c>
      <c r="K95" t="str">
        <f t="shared" si="27"/>
        <v>information.</v>
      </c>
      <c r="L95" t="str">
        <f t="shared" si="28"/>
        <v>interactional leadership The leader is a hybrid of transactional, transformational, and charismatic leaders. The interactional leader wants the team to act, is excited and inspired about the project work, yet still holds the team accountable for their results. guilt-based power The project manager can make the team and stakeholders feel guilty to gain compliance in the project. leadership Leadership is about aligning, motivating, and inspiring the project team members to do the right thing, build trust, think creatively, and to challenge the status quo. laissez-faire leadership The leader takes a “hands-off” approach to the project. This means the project team makes decisions, takes initiative in the actions, and creates goals. While this approach can provide autonomy, it can make the leader appear absent when it comes to project decisions. management Management utilizes positional power to maintain, administrate, control, and focus on getting things done without challenging the status quo of the project and organization. media selection Based on the audience and the message being sent, the media should be in alignment with the message. meeting management Meetings are forms of communication. How the meeting is led, managed, and controlled all influence the message being delivered. Agendas, minutes, and order are mandatory for effective communications within a meeting. personal or charismatic power The project manager has a warm personality that others like.</v>
      </c>
      <c r="M95" t="str">
        <f t="shared" si="29"/>
        <v>presentation</v>
      </c>
      <c r="N95" t="str">
        <f t="shared" si="30"/>
        <v>In formal presentations, the presenter’s</v>
      </c>
      <c r="O95" t="str">
        <f t="shared" si="31"/>
        <v>oral and body language, visual aids, and</v>
      </c>
      <c r="P95" t="str">
        <f t="shared" si="32"/>
        <v>handouts all influence the message being</v>
      </c>
      <c r="Q95" t="str">
        <f t="shared" si="33"/>
        <v>delivered.</v>
      </c>
      <c r="R95" t="str">
        <f t="shared" si="34"/>
        <v/>
      </c>
      <c r="S95" t="str">
        <f t="shared" si="35"/>
        <v/>
      </c>
      <c r="T95" t="str">
        <f t="shared" si="36"/>
        <v/>
      </c>
      <c r="U95" t="str">
        <f t="shared" si="37"/>
        <v/>
      </c>
      <c r="V95" t="str">
        <f t="shared" si="38"/>
        <v/>
      </c>
      <c r="W95" s="71" t="str">
        <f>CONCATENATE(H95," ",I95," ",J95," ",K95," ",L95," ",M95," ",N95," ",O95," ",P95," ",Q95," ",R95," ",S95," ",T95," ",U95," ",V95)</f>
        <v xml:space="preserve">informational power The individual has power and control of the data gathering and distribution of information. interactional leadership The leader is a hybrid of transactional, transformational, and charismatic leaders. The interactional leader wants the team to act, is excited and inspired about the project work, yet still holds the team accountable for their results. guilt-based power The project manager can make the team and stakeholders feel guilty to gain compliance in the project. leadership Leadership is about aligning, motivating, and inspiring the project team members to do the right thing, build trust, think creatively, and to challenge the status quo. laissez-faire leadership The leader takes a “hands-off” approach to the project. This means the project team makes decisions, takes initiative in the actions, and creates goals. While this approach can provide autonomy, it can make the leader appear absent when it comes to project decisions. management Management utilizes positional power to maintain, administrate, control, and focus on getting things done without challenging the status quo of the project and organization. media selection Based on the audience and the message being sent, the media should be in alignment with the message. meeting management Meetings are forms of communication. How the meeting is led, managed, and controlled all influence the message being delivered. Agendas, minutes, and order are mandatory for effective communications within a meeting. personal or charismatic power The project manager has a warm personality that others like. presentation In formal presentations, the presenter’s oral and body language, visual aids, and handouts all influence the message being delivered.     </v>
      </c>
    </row>
    <row r="96" spans="1:23" customFormat="1" hidden="1">
      <c r="A96" t="b">
        <f t="shared" si="21"/>
        <v>0</v>
      </c>
      <c r="B96">
        <f t="shared" si="22"/>
        <v>95</v>
      </c>
      <c r="C96" t="s">
        <v>59</v>
      </c>
      <c r="D96" t="s">
        <v>95</v>
      </c>
      <c r="E96">
        <f t="shared" si="20"/>
        <v>39</v>
      </c>
      <c r="G96">
        <f t="shared" si="23"/>
        <v>2</v>
      </c>
      <c r="H96" t="str">
        <f t="shared" si="24"/>
        <v/>
      </c>
      <c r="I96" t="str">
        <f t="shared" si="25"/>
        <v/>
      </c>
      <c r="J96" t="str">
        <f t="shared" si="26"/>
        <v/>
      </c>
      <c r="K96" t="str">
        <f t="shared" si="27"/>
        <v/>
      </c>
      <c r="L96" t="str">
        <f t="shared" si="28"/>
        <v/>
      </c>
      <c r="M96" t="str">
        <f t="shared" si="29"/>
        <v/>
      </c>
      <c r="N96" t="str">
        <f t="shared" si="30"/>
        <v/>
      </c>
      <c r="O96" t="str">
        <f t="shared" si="31"/>
        <v/>
      </c>
      <c r="P96" t="str">
        <f t="shared" si="32"/>
        <v/>
      </c>
      <c r="Q96" t="str">
        <f t="shared" si="33"/>
        <v/>
      </c>
      <c r="R96" t="str">
        <f t="shared" si="34"/>
        <v/>
      </c>
      <c r="S96" t="str">
        <f t="shared" si="35"/>
        <v/>
      </c>
      <c r="T96" t="str">
        <f t="shared" si="36"/>
        <v/>
      </c>
      <c r="U96" t="str">
        <f t="shared" si="37"/>
        <v/>
      </c>
      <c r="V96" t="str">
        <f t="shared" si="38"/>
        <v/>
      </c>
      <c r="W96" t="str">
        <f t="shared" si="39"/>
        <v xml:space="preserve">              </v>
      </c>
    </row>
    <row r="97" spans="1:23" customFormat="1" hidden="1">
      <c r="A97" t="b">
        <f t="shared" si="21"/>
        <v>0</v>
      </c>
      <c r="B97">
        <f t="shared" si="22"/>
        <v>96</v>
      </c>
      <c r="C97" t="s">
        <v>59</v>
      </c>
      <c r="D97" t="s">
        <v>96</v>
      </c>
      <c r="E97">
        <f t="shared" si="20"/>
        <v>38</v>
      </c>
      <c r="G97">
        <f t="shared" si="23"/>
        <v>3</v>
      </c>
      <c r="H97" t="str">
        <f t="shared" si="24"/>
        <v/>
      </c>
      <c r="I97" t="str">
        <f t="shared" si="25"/>
        <v/>
      </c>
      <c r="J97" t="str">
        <f t="shared" si="26"/>
        <v/>
      </c>
      <c r="K97" t="str">
        <f t="shared" si="27"/>
        <v/>
      </c>
      <c r="L97" t="str">
        <f t="shared" si="28"/>
        <v/>
      </c>
      <c r="M97" t="str">
        <f t="shared" si="29"/>
        <v/>
      </c>
      <c r="N97" t="str">
        <f t="shared" si="30"/>
        <v/>
      </c>
      <c r="O97" t="str">
        <f t="shared" si="31"/>
        <v/>
      </c>
      <c r="P97" t="str">
        <f t="shared" si="32"/>
        <v/>
      </c>
      <c r="Q97" t="str">
        <f t="shared" si="33"/>
        <v/>
      </c>
      <c r="R97" t="str">
        <f t="shared" si="34"/>
        <v/>
      </c>
      <c r="S97" t="str">
        <f t="shared" si="35"/>
        <v/>
      </c>
      <c r="T97" t="str">
        <f t="shared" si="36"/>
        <v/>
      </c>
      <c r="U97" t="str">
        <f t="shared" si="37"/>
        <v/>
      </c>
      <c r="V97" t="str">
        <f t="shared" si="38"/>
        <v/>
      </c>
      <c r="W97" t="str">
        <f t="shared" si="39"/>
        <v xml:space="preserve">              </v>
      </c>
    </row>
    <row r="98" spans="1:23" customFormat="1" hidden="1">
      <c r="A98" t="b">
        <f t="shared" si="21"/>
        <v>0</v>
      </c>
      <c r="B98">
        <f t="shared" si="22"/>
        <v>97</v>
      </c>
      <c r="C98" t="s">
        <v>59</v>
      </c>
      <c r="D98" t="s">
        <v>97</v>
      </c>
      <c r="E98">
        <f t="shared" si="20"/>
        <v>12</v>
      </c>
      <c r="G98">
        <f t="shared" si="23"/>
        <v>4</v>
      </c>
      <c r="H98" t="str">
        <f t="shared" si="24"/>
        <v/>
      </c>
      <c r="I98" t="str">
        <f t="shared" si="25"/>
        <v/>
      </c>
      <c r="J98" t="str">
        <f t="shared" si="26"/>
        <v/>
      </c>
      <c r="K98" t="str">
        <f t="shared" si="27"/>
        <v/>
      </c>
      <c r="L98" t="str">
        <f t="shared" si="28"/>
        <v/>
      </c>
      <c r="M98" t="str">
        <f t="shared" si="29"/>
        <v/>
      </c>
      <c r="N98" t="str">
        <f t="shared" si="30"/>
        <v/>
      </c>
      <c r="O98" t="str">
        <f t="shared" si="31"/>
        <v/>
      </c>
      <c r="P98" t="str">
        <f t="shared" si="32"/>
        <v/>
      </c>
      <c r="Q98" t="str">
        <f t="shared" si="33"/>
        <v/>
      </c>
      <c r="R98" t="str">
        <f t="shared" si="34"/>
        <v/>
      </c>
      <c r="S98" t="str">
        <f t="shared" si="35"/>
        <v/>
      </c>
      <c r="T98" t="str">
        <f t="shared" si="36"/>
        <v/>
      </c>
      <c r="U98" t="str">
        <f t="shared" si="37"/>
        <v/>
      </c>
      <c r="V98" t="str">
        <f t="shared" si="38"/>
        <v/>
      </c>
      <c r="W98" t="str">
        <f t="shared" si="39"/>
        <v xml:space="preserve">              </v>
      </c>
    </row>
    <row r="99" spans="1:23" customFormat="1">
      <c r="A99" t="b">
        <f t="shared" si="21"/>
        <v>0</v>
      </c>
      <c r="B99">
        <f t="shared" si="22"/>
        <v>98</v>
      </c>
      <c r="C99" t="s">
        <v>59</v>
      </c>
      <c r="D99" t="s">
        <v>98</v>
      </c>
      <c r="E99">
        <f t="shared" si="20"/>
        <v>1481</v>
      </c>
      <c r="G99">
        <f t="shared" si="23"/>
        <v>5</v>
      </c>
      <c r="H99" t="str">
        <f t="shared" si="24"/>
        <v/>
      </c>
      <c r="I99" t="str">
        <f t="shared" si="25"/>
        <v/>
      </c>
      <c r="J99" t="str">
        <f t="shared" si="26"/>
        <v/>
      </c>
      <c r="K99" t="str">
        <f t="shared" si="27"/>
        <v/>
      </c>
      <c r="L99" t="str">
        <f t="shared" si="28"/>
        <v/>
      </c>
      <c r="M99" t="str">
        <f t="shared" si="29"/>
        <v/>
      </c>
      <c r="N99" t="str">
        <f t="shared" si="30"/>
        <v/>
      </c>
      <c r="O99" t="str">
        <f t="shared" si="31"/>
        <v/>
      </c>
      <c r="P99" t="str">
        <f t="shared" si="32"/>
        <v/>
      </c>
      <c r="Q99" t="str">
        <f t="shared" si="33"/>
        <v/>
      </c>
      <c r="R99" t="str">
        <f t="shared" si="34"/>
        <v/>
      </c>
      <c r="S99" t="str">
        <f t="shared" si="35"/>
        <v/>
      </c>
      <c r="T99" t="str">
        <f t="shared" si="36"/>
        <v/>
      </c>
      <c r="U99" t="str">
        <f t="shared" si="37"/>
        <v/>
      </c>
      <c r="V99" t="str">
        <f t="shared" si="38"/>
        <v/>
      </c>
      <c r="W99" t="str">
        <f t="shared" si="39"/>
        <v xml:space="preserve">              </v>
      </c>
    </row>
    <row r="100" spans="1:23" customFormat="1" hidden="1">
      <c r="A100" t="b">
        <f t="shared" si="21"/>
        <v>0</v>
      </c>
      <c r="B100">
        <f t="shared" si="22"/>
        <v>99</v>
      </c>
      <c r="C100" t="s">
        <v>59</v>
      </c>
      <c r="D100" t="s">
        <v>99</v>
      </c>
      <c r="E100">
        <f t="shared" si="20"/>
        <v>12</v>
      </c>
      <c r="G100">
        <f t="shared" si="23"/>
        <v>6</v>
      </c>
      <c r="H100" t="str">
        <f t="shared" si="24"/>
        <v/>
      </c>
      <c r="I100" t="str">
        <f t="shared" si="25"/>
        <v/>
      </c>
      <c r="J100" t="str">
        <f t="shared" si="26"/>
        <v/>
      </c>
      <c r="K100" t="str">
        <f t="shared" si="27"/>
        <v/>
      </c>
      <c r="L100" t="str">
        <f t="shared" si="28"/>
        <v/>
      </c>
      <c r="M100" t="str">
        <f t="shared" si="29"/>
        <v/>
      </c>
      <c r="N100" t="str">
        <f t="shared" si="30"/>
        <v/>
      </c>
      <c r="O100" t="str">
        <f t="shared" si="31"/>
        <v/>
      </c>
      <c r="P100" t="str">
        <f t="shared" si="32"/>
        <v/>
      </c>
      <c r="Q100" t="str">
        <f t="shared" si="33"/>
        <v/>
      </c>
      <c r="R100" t="str">
        <f t="shared" si="34"/>
        <v/>
      </c>
      <c r="S100" t="str">
        <f t="shared" si="35"/>
        <v/>
      </c>
      <c r="T100" t="str">
        <f t="shared" si="36"/>
        <v/>
      </c>
      <c r="U100" t="str">
        <f t="shared" si="37"/>
        <v/>
      </c>
      <c r="V100" t="str">
        <f t="shared" si="38"/>
        <v/>
      </c>
      <c r="W100" t="str">
        <f t="shared" si="39"/>
        <v xml:space="preserve">              </v>
      </c>
    </row>
    <row r="101" spans="1:23" customFormat="1" hidden="1">
      <c r="A101" t="b">
        <f t="shared" si="21"/>
        <v>0</v>
      </c>
      <c r="B101">
        <f t="shared" si="22"/>
        <v>100</v>
      </c>
      <c r="C101" t="s">
        <v>59</v>
      </c>
      <c r="D101" t="s">
        <v>100</v>
      </c>
      <c r="E101">
        <f t="shared" si="20"/>
        <v>40</v>
      </c>
      <c r="G101">
        <f t="shared" si="23"/>
        <v>7</v>
      </c>
      <c r="H101" t="str">
        <f t="shared" si="24"/>
        <v/>
      </c>
      <c r="I101" t="str">
        <f t="shared" si="25"/>
        <v/>
      </c>
      <c r="J101" t="str">
        <f t="shared" si="26"/>
        <v/>
      </c>
      <c r="K101" t="str">
        <f t="shared" si="27"/>
        <v/>
      </c>
      <c r="L101" t="str">
        <f t="shared" si="28"/>
        <v/>
      </c>
      <c r="M101" t="str">
        <f t="shared" si="29"/>
        <v/>
      </c>
      <c r="N101" t="str">
        <f t="shared" si="30"/>
        <v/>
      </c>
      <c r="O101" t="str">
        <f t="shared" si="31"/>
        <v/>
      </c>
      <c r="P101" t="str">
        <f t="shared" si="32"/>
        <v/>
      </c>
      <c r="Q101" t="str">
        <f t="shared" si="33"/>
        <v/>
      </c>
      <c r="R101" t="str">
        <f t="shared" si="34"/>
        <v/>
      </c>
      <c r="S101" t="str">
        <f t="shared" si="35"/>
        <v/>
      </c>
      <c r="T101" t="str">
        <f t="shared" si="36"/>
        <v/>
      </c>
      <c r="U101" t="str">
        <f t="shared" si="37"/>
        <v/>
      </c>
      <c r="V101" t="str">
        <f t="shared" si="38"/>
        <v/>
      </c>
      <c r="W101" t="str">
        <f t="shared" si="39"/>
        <v xml:space="preserve">              </v>
      </c>
    </row>
    <row r="102" spans="1:23" customFormat="1" hidden="1">
      <c r="A102" t="b">
        <f t="shared" si="21"/>
        <v>0</v>
      </c>
      <c r="B102">
        <f t="shared" si="22"/>
        <v>101</v>
      </c>
      <c r="C102" t="s">
        <v>59</v>
      </c>
      <c r="D102" t="s">
        <v>101</v>
      </c>
      <c r="E102">
        <f t="shared" si="20"/>
        <v>40</v>
      </c>
      <c r="G102">
        <f t="shared" si="23"/>
        <v>8</v>
      </c>
      <c r="H102" t="str">
        <f t="shared" si="24"/>
        <v/>
      </c>
      <c r="I102" t="str">
        <f t="shared" si="25"/>
        <v/>
      </c>
      <c r="J102" t="str">
        <f t="shared" si="26"/>
        <v/>
      </c>
      <c r="K102" t="str">
        <f t="shared" si="27"/>
        <v/>
      </c>
      <c r="L102" t="str">
        <f t="shared" si="28"/>
        <v/>
      </c>
      <c r="M102" t="str">
        <f t="shared" si="29"/>
        <v/>
      </c>
      <c r="N102" t="str">
        <f t="shared" si="30"/>
        <v/>
      </c>
      <c r="O102" t="str">
        <f t="shared" si="31"/>
        <v/>
      </c>
      <c r="P102" t="str">
        <f t="shared" si="32"/>
        <v/>
      </c>
      <c r="Q102" t="str">
        <f t="shared" si="33"/>
        <v/>
      </c>
      <c r="R102" t="str">
        <f t="shared" si="34"/>
        <v/>
      </c>
      <c r="S102" t="str">
        <f t="shared" si="35"/>
        <v/>
      </c>
      <c r="T102" t="str">
        <f t="shared" si="36"/>
        <v/>
      </c>
      <c r="U102" t="str">
        <f t="shared" si="37"/>
        <v/>
      </c>
      <c r="V102" t="str">
        <f t="shared" si="38"/>
        <v/>
      </c>
      <c r="W102" t="str">
        <f t="shared" si="39"/>
        <v xml:space="preserve">              </v>
      </c>
    </row>
    <row r="103" spans="1:23" customFormat="1" hidden="1">
      <c r="A103" t="b">
        <f t="shared" si="21"/>
        <v>0</v>
      </c>
      <c r="B103">
        <f t="shared" si="22"/>
        <v>102</v>
      </c>
      <c r="C103" t="s">
        <v>59</v>
      </c>
      <c r="D103" t="s">
        <v>102</v>
      </c>
      <c r="E103">
        <f t="shared" si="20"/>
        <v>40</v>
      </c>
      <c r="G103">
        <f t="shared" si="23"/>
        <v>9</v>
      </c>
      <c r="H103" t="str">
        <f t="shared" si="24"/>
        <v/>
      </c>
      <c r="I103" t="str">
        <f t="shared" si="25"/>
        <v/>
      </c>
      <c r="J103" t="str">
        <f t="shared" si="26"/>
        <v/>
      </c>
      <c r="K103" t="str">
        <f t="shared" si="27"/>
        <v/>
      </c>
      <c r="L103" t="str">
        <f t="shared" si="28"/>
        <v/>
      </c>
      <c r="M103" t="str">
        <f t="shared" si="29"/>
        <v/>
      </c>
      <c r="N103" t="str">
        <f t="shared" si="30"/>
        <v/>
      </c>
      <c r="O103" t="str">
        <f t="shared" si="31"/>
        <v/>
      </c>
      <c r="P103" t="str">
        <f t="shared" si="32"/>
        <v/>
      </c>
      <c r="Q103" t="str">
        <f t="shared" si="33"/>
        <v/>
      </c>
      <c r="R103" t="str">
        <f t="shared" si="34"/>
        <v/>
      </c>
      <c r="S103" t="str">
        <f t="shared" si="35"/>
        <v/>
      </c>
      <c r="T103" t="str">
        <f t="shared" si="36"/>
        <v/>
      </c>
      <c r="U103" t="str">
        <f t="shared" si="37"/>
        <v/>
      </c>
      <c r="V103" t="str">
        <f t="shared" si="38"/>
        <v/>
      </c>
      <c r="W103" t="str">
        <f t="shared" si="39"/>
        <v xml:space="preserve">              </v>
      </c>
    </row>
    <row r="104" spans="1:23" customFormat="1" hidden="1">
      <c r="A104" t="b">
        <f t="shared" si="21"/>
        <v>0</v>
      </c>
      <c r="B104">
        <f t="shared" si="22"/>
        <v>103</v>
      </c>
      <c r="C104" t="s">
        <v>59</v>
      </c>
      <c r="D104" t="s">
        <v>103</v>
      </c>
      <c r="E104">
        <f t="shared" si="20"/>
        <v>10</v>
      </c>
      <c r="G104">
        <f t="shared" si="23"/>
        <v>10</v>
      </c>
      <c r="H104" t="str">
        <f t="shared" si="24"/>
        <v/>
      </c>
      <c r="I104" t="str">
        <f t="shared" si="25"/>
        <v/>
      </c>
      <c r="J104" t="str">
        <f t="shared" si="26"/>
        <v/>
      </c>
      <c r="K104" t="str">
        <f t="shared" si="27"/>
        <v/>
      </c>
      <c r="L104" t="str">
        <f t="shared" si="28"/>
        <v/>
      </c>
      <c r="M104" t="str">
        <f t="shared" si="29"/>
        <v/>
      </c>
      <c r="N104" t="str">
        <f t="shared" si="30"/>
        <v/>
      </c>
      <c r="O104" t="str">
        <f t="shared" si="31"/>
        <v/>
      </c>
      <c r="P104" t="str">
        <f t="shared" si="32"/>
        <v/>
      </c>
      <c r="Q104" t="str">
        <f t="shared" si="33"/>
        <v/>
      </c>
      <c r="R104" t="str">
        <f t="shared" si="34"/>
        <v/>
      </c>
      <c r="S104" t="str">
        <f t="shared" si="35"/>
        <v/>
      </c>
      <c r="T104" t="str">
        <f t="shared" si="36"/>
        <v/>
      </c>
      <c r="U104" t="str">
        <f t="shared" si="37"/>
        <v/>
      </c>
      <c r="V104" t="str">
        <f t="shared" si="38"/>
        <v/>
      </c>
      <c r="W104" t="str">
        <f t="shared" si="39"/>
        <v xml:space="preserve">              </v>
      </c>
    </row>
    <row r="105" spans="1:23" hidden="1">
      <c r="A105" s="71" t="b">
        <f t="shared" si="21"/>
        <v>0</v>
      </c>
      <c r="B105" s="71">
        <f t="shared" si="22"/>
        <v>104</v>
      </c>
      <c r="C105" s="71" t="s">
        <v>59</v>
      </c>
      <c r="D105" s="71" t="s">
        <v>104</v>
      </c>
      <c r="E105">
        <f t="shared" si="20"/>
        <v>20</v>
      </c>
      <c r="F105">
        <v>1</v>
      </c>
      <c r="G105">
        <f t="shared" si="23"/>
        <v>1</v>
      </c>
      <c r="H105" t="str">
        <f t="shared" si="24"/>
        <v>pressure-based power</v>
      </c>
      <c r="I105" t="str">
        <f t="shared" si="25"/>
        <v>The project manager can restrict choices</v>
      </c>
      <c r="J105" t="str">
        <f t="shared" si="26"/>
        <v>to get the project team to perform and do</v>
      </c>
      <c r="K105" t="str">
        <f t="shared" si="27"/>
        <v>the project work.</v>
      </c>
      <c r="L105" t="str">
        <f t="shared" si="28"/>
        <v/>
      </c>
      <c r="M105" t="str">
        <f t="shared" si="29"/>
        <v/>
      </c>
      <c r="N105" t="str">
        <f t="shared" si="30"/>
        <v/>
      </c>
      <c r="O105" t="str">
        <f t="shared" si="31"/>
        <v/>
      </c>
      <c r="P105" t="str">
        <f t="shared" si="32"/>
        <v/>
      </c>
      <c r="Q105" t="str">
        <f t="shared" si="33"/>
        <v/>
      </c>
      <c r="R105" t="str">
        <f t="shared" si="34"/>
        <v/>
      </c>
      <c r="S105" t="str">
        <f t="shared" si="35"/>
        <v/>
      </c>
      <c r="T105" t="str">
        <f t="shared" si="36"/>
        <v/>
      </c>
      <c r="U105" t="str">
        <f t="shared" si="37"/>
        <v/>
      </c>
      <c r="V105" t="str">
        <f t="shared" si="38"/>
        <v/>
      </c>
      <c r="W105" s="71" t="str">
        <f>CONCATENATE(H105," ",I105," ",J105," ",K105," ",L105," ",M105," ",N105," ",O105," ",P105," ",Q105," ",R105," ",S105," ",T105," ",U105," ",V105)</f>
        <v xml:space="preserve">pressure-based power The project manager can restrict choices to get the project team to perform and do the project work.           </v>
      </c>
    </row>
    <row r="106" spans="1:23" customFormat="1" hidden="1">
      <c r="A106" t="b">
        <f t="shared" si="21"/>
        <v>0</v>
      </c>
      <c r="B106">
        <f t="shared" si="22"/>
        <v>105</v>
      </c>
      <c r="C106" t="s">
        <v>59</v>
      </c>
      <c r="D106" t="s">
        <v>105</v>
      </c>
      <c r="E106">
        <f t="shared" si="20"/>
        <v>40</v>
      </c>
      <c r="G106">
        <f t="shared" si="23"/>
        <v>2</v>
      </c>
      <c r="H106" t="str">
        <f t="shared" si="24"/>
        <v/>
      </c>
      <c r="I106" t="str">
        <f t="shared" si="25"/>
        <v/>
      </c>
      <c r="J106" t="str">
        <f t="shared" si="26"/>
        <v/>
      </c>
      <c r="K106" t="str">
        <f t="shared" si="27"/>
        <v/>
      </c>
      <c r="L106" t="str">
        <f t="shared" si="28"/>
        <v/>
      </c>
      <c r="M106" t="str">
        <f t="shared" si="29"/>
        <v/>
      </c>
      <c r="N106" t="str">
        <f t="shared" si="30"/>
        <v/>
      </c>
      <c r="O106" t="str">
        <f t="shared" si="31"/>
        <v/>
      </c>
      <c r="P106" t="str">
        <f t="shared" si="32"/>
        <v/>
      </c>
      <c r="Q106" t="str">
        <f t="shared" si="33"/>
        <v/>
      </c>
      <c r="R106" t="str">
        <f t="shared" si="34"/>
        <v/>
      </c>
      <c r="S106" t="str">
        <f t="shared" si="35"/>
        <v/>
      </c>
      <c r="T106" t="str">
        <f t="shared" si="36"/>
        <v/>
      </c>
      <c r="U106" t="str">
        <f t="shared" si="37"/>
        <v/>
      </c>
      <c r="V106" t="str">
        <f t="shared" si="38"/>
        <v/>
      </c>
      <c r="W106" t="str">
        <f t="shared" si="39"/>
        <v xml:space="preserve">              </v>
      </c>
    </row>
    <row r="107" spans="1:23" customFormat="1" hidden="1">
      <c r="A107" t="b">
        <f t="shared" si="21"/>
        <v>0</v>
      </c>
      <c r="B107">
        <f t="shared" si="22"/>
        <v>106</v>
      </c>
      <c r="C107" t="s">
        <v>59</v>
      </c>
      <c r="D107" t="s">
        <v>106</v>
      </c>
      <c r="E107">
        <f t="shared" si="20"/>
        <v>41</v>
      </c>
      <c r="G107">
        <f t="shared" si="23"/>
        <v>3</v>
      </c>
      <c r="H107" t="str">
        <f t="shared" si="24"/>
        <v/>
      </c>
      <c r="I107" t="str">
        <f t="shared" si="25"/>
        <v/>
      </c>
      <c r="J107" t="str">
        <f t="shared" si="26"/>
        <v/>
      </c>
      <c r="K107" t="str">
        <f t="shared" si="27"/>
        <v/>
      </c>
      <c r="L107" t="str">
        <f t="shared" si="28"/>
        <v/>
      </c>
      <c r="M107" t="str">
        <f t="shared" si="29"/>
        <v/>
      </c>
      <c r="N107" t="str">
        <f t="shared" si="30"/>
        <v/>
      </c>
      <c r="O107" t="str">
        <f t="shared" si="31"/>
        <v/>
      </c>
      <c r="P107" t="str">
        <f t="shared" si="32"/>
        <v/>
      </c>
      <c r="Q107" t="str">
        <f t="shared" si="33"/>
        <v/>
      </c>
      <c r="R107" t="str">
        <f t="shared" si="34"/>
        <v/>
      </c>
      <c r="S107" t="str">
        <f t="shared" si="35"/>
        <v/>
      </c>
      <c r="T107" t="str">
        <f t="shared" si="36"/>
        <v/>
      </c>
      <c r="U107" t="str">
        <f t="shared" si="37"/>
        <v/>
      </c>
      <c r="V107" t="str">
        <f t="shared" si="38"/>
        <v/>
      </c>
      <c r="W107" t="str">
        <f t="shared" si="39"/>
        <v xml:space="preserve">              </v>
      </c>
    </row>
    <row r="108" spans="1:23" customFormat="1" hidden="1">
      <c r="A108" t="b">
        <f t="shared" si="21"/>
        <v>0</v>
      </c>
      <c r="B108">
        <f t="shared" si="22"/>
        <v>107</v>
      </c>
      <c r="C108" t="s">
        <v>59</v>
      </c>
      <c r="D108" t="s">
        <v>107</v>
      </c>
      <c r="E108">
        <f t="shared" si="20"/>
        <v>17</v>
      </c>
      <c r="G108">
        <f t="shared" si="23"/>
        <v>4</v>
      </c>
      <c r="H108" t="str">
        <f t="shared" si="24"/>
        <v/>
      </c>
      <c r="I108" t="str">
        <f t="shared" si="25"/>
        <v/>
      </c>
      <c r="J108" t="str">
        <f t="shared" si="26"/>
        <v/>
      </c>
      <c r="K108" t="str">
        <f t="shared" si="27"/>
        <v/>
      </c>
      <c r="L108" t="str">
        <f t="shared" si="28"/>
        <v/>
      </c>
      <c r="M108" t="str">
        <f t="shared" si="29"/>
        <v/>
      </c>
      <c r="N108" t="str">
        <f t="shared" si="30"/>
        <v/>
      </c>
      <c r="O108" t="str">
        <f t="shared" si="31"/>
        <v/>
      </c>
      <c r="P108" t="str">
        <f t="shared" si="32"/>
        <v/>
      </c>
      <c r="Q108" t="str">
        <f t="shared" si="33"/>
        <v/>
      </c>
      <c r="R108" t="str">
        <f t="shared" si="34"/>
        <v/>
      </c>
      <c r="S108" t="str">
        <f t="shared" si="35"/>
        <v/>
      </c>
      <c r="T108" t="str">
        <f t="shared" si="36"/>
        <v/>
      </c>
      <c r="U108" t="str">
        <f t="shared" si="37"/>
        <v/>
      </c>
      <c r="V108" t="str">
        <f t="shared" si="38"/>
        <v/>
      </c>
      <c r="W108" t="str">
        <f t="shared" si="39"/>
        <v xml:space="preserve">              </v>
      </c>
    </row>
    <row r="109" spans="1:23" hidden="1">
      <c r="A109" s="71" t="b">
        <f t="shared" si="21"/>
        <v>0</v>
      </c>
      <c r="B109" s="71">
        <f t="shared" si="22"/>
        <v>108</v>
      </c>
      <c r="C109" s="71" t="s">
        <v>59</v>
      </c>
      <c r="D109" s="71" t="s">
        <v>108</v>
      </c>
      <c r="E109">
        <f t="shared" si="20"/>
        <v>19</v>
      </c>
      <c r="F109">
        <v>1</v>
      </c>
      <c r="G109">
        <f t="shared" si="23"/>
        <v>1</v>
      </c>
      <c r="H109" t="str">
        <f t="shared" si="24"/>
        <v>PMI Talent Triangle</v>
      </c>
      <c r="I109" t="str">
        <f t="shared" si="25"/>
        <v>Defines three areas of PDUs for PMI</v>
      </c>
      <c r="J109" t="str">
        <f t="shared" si="26"/>
        <v>certified professionals to maintain their</v>
      </c>
      <c r="K109" t="str">
        <f t="shared" si="27"/>
        <v>certification. The PMI Talent Triangle</v>
      </c>
      <c r="L109" t="str">
        <f t="shared" si="28"/>
        <v>includes technical project management,</v>
      </c>
      <c r="M109" t="str">
        <f t="shared" si="29"/>
        <v>leadership, and strategic and business</v>
      </c>
      <c r="N109" t="str">
        <f t="shared" si="30"/>
        <v>management.</v>
      </c>
      <c r="O109" t="str">
        <f t="shared" si="31"/>
        <v/>
      </c>
      <c r="P109" t="str">
        <f t="shared" si="32"/>
        <v/>
      </c>
      <c r="Q109" t="str">
        <f t="shared" si="33"/>
        <v/>
      </c>
      <c r="R109" t="str">
        <f t="shared" si="34"/>
        <v/>
      </c>
      <c r="S109" t="str">
        <f t="shared" si="35"/>
        <v/>
      </c>
      <c r="T109" t="str">
        <f t="shared" si="36"/>
        <v/>
      </c>
      <c r="U109" t="str">
        <f t="shared" si="37"/>
        <v/>
      </c>
      <c r="V109" t="str">
        <f t="shared" si="38"/>
        <v/>
      </c>
      <c r="W109" s="71" t="str">
        <f>CONCATENATE(H109," ",I109," ",J109," ",K109," ",L109," ",M109," ",N109," ",O109," ",P109," ",Q109," ",R109," ",S109," ",T109," ",U109," ",V109)</f>
        <v xml:space="preserve">PMI Talent Triangle Defines three areas of PDUs for PMI certified professionals to maintain their certification. The PMI Talent Triangle includes technical project management, leadership, and strategic and business management.        </v>
      </c>
    </row>
    <row r="110" spans="1:23" customFormat="1" hidden="1">
      <c r="A110" t="b">
        <f t="shared" si="21"/>
        <v>0</v>
      </c>
      <c r="B110">
        <f t="shared" si="22"/>
        <v>109</v>
      </c>
      <c r="C110" t="s">
        <v>59</v>
      </c>
      <c r="D110" t="s">
        <v>109</v>
      </c>
      <c r="E110">
        <f t="shared" si="20"/>
        <v>35</v>
      </c>
      <c r="G110">
        <f t="shared" si="23"/>
        <v>2</v>
      </c>
      <c r="H110" t="str">
        <f t="shared" si="24"/>
        <v/>
      </c>
      <c r="I110" t="str">
        <f t="shared" si="25"/>
        <v/>
      </c>
      <c r="J110" t="str">
        <f t="shared" si="26"/>
        <v/>
      </c>
      <c r="K110" t="str">
        <f t="shared" si="27"/>
        <v/>
      </c>
      <c r="L110" t="str">
        <f t="shared" si="28"/>
        <v/>
      </c>
      <c r="M110" t="str">
        <f t="shared" si="29"/>
        <v/>
      </c>
      <c r="N110" t="str">
        <f t="shared" si="30"/>
        <v/>
      </c>
      <c r="O110" t="str">
        <f t="shared" si="31"/>
        <v/>
      </c>
      <c r="P110" t="str">
        <f t="shared" si="32"/>
        <v/>
      </c>
      <c r="Q110" t="str">
        <f t="shared" si="33"/>
        <v/>
      </c>
      <c r="R110" t="str">
        <f t="shared" si="34"/>
        <v/>
      </c>
      <c r="S110" t="str">
        <f t="shared" si="35"/>
        <v/>
      </c>
      <c r="T110" t="str">
        <f t="shared" si="36"/>
        <v/>
      </c>
      <c r="U110" t="str">
        <f t="shared" si="37"/>
        <v/>
      </c>
      <c r="V110" t="str">
        <f t="shared" si="38"/>
        <v/>
      </c>
      <c r="W110" t="str">
        <f t="shared" si="39"/>
        <v xml:space="preserve">              </v>
      </c>
    </row>
    <row r="111" spans="1:23" customFormat="1" hidden="1">
      <c r="A111" t="b">
        <f t="shared" si="21"/>
        <v>0</v>
      </c>
      <c r="B111">
        <f t="shared" si="22"/>
        <v>110</v>
      </c>
      <c r="C111" t="s">
        <v>59</v>
      </c>
      <c r="D111" t="s">
        <v>110</v>
      </c>
      <c r="E111">
        <f t="shared" si="20"/>
        <v>41</v>
      </c>
      <c r="G111">
        <f t="shared" si="23"/>
        <v>3</v>
      </c>
      <c r="H111" t="str">
        <f t="shared" si="24"/>
        <v/>
      </c>
      <c r="I111" t="str">
        <f t="shared" si="25"/>
        <v/>
      </c>
      <c r="J111" t="str">
        <f t="shared" si="26"/>
        <v/>
      </c>
      <c r="K111" t="str">
        <f t="shared" si="27"/>
        <v/>
      </c>
      <c r="L111" t="str">
        <f t="shared" si="28"/>
        <v/>
      </c>
      <c r="M111" t="str">
        <f t="shared" si="29"/>
        <v/>
      </c>
      <c r="N111" t="str">
        <f t="shared" si="30"/>
        <v/>
      </c>
      <c r="O111" t="str">
        <f t="shared" si="31"/>
        <v/>
      </c>
      <c r="P111" t="str">
        <f t="shared" si="32"/>
        <v/>
      </c>
      <c r="Q111" t="str">
        <f t="shared" si="33"/>
        <v/>
      </c>
      <c r="R111" t="str">
        <f t="shared" si="34"/>
        <v/>
      </c>
      <c r="S111" t="str">
        <f t="shared" si="35"/>
        <v/>
      </c>
      <c r="T111" t="str">
        <f t="shared" si="36"/>
        <v/>
      </c>
      <c r="U111" t="str">
        <f t="shared" si="37"/>
        <v/>
      </c>
      <c r="V111" t="str">
        <f t="shared" si="38"/>
        <v/>
      </c>
      <c r="W111" t="str">
        <f t="shared" si="39"/>
        <v xml:space="preserve">              </v>
      </c>
    </row>
    <row r="112" spans="1:23" customFormat="1" hidden="1">
      <c r="A112" t="b">
        <f t="shared" si="21"/>
        <v>0</v>
      </c>
      <c r="B112">
        <f t="shared" si="22"/>
        <v>111</v>
      </c>
      <c r="C112" t="s">
        <v>59</v>
      </c>
      <c r="D112" t="s">
        <v>111</v>
      </c>
      <c r="E112">
        <f t="shared" si="20"/>
        <v>38</v>
      </c>
      <c r="G112">
        <f t="shared" si="23"/>
        <v>4</v>
      </c>
      <c r="H112" t="str">
        <f t="shared" si="24"/>
        <v/>
      </c>
      <c r="I112" t="str">
        <f t="shared" si="25"/>
        <v/>
      </c>
      <c r="J112" t="str">
        <f t="shared" si="26"/>
        <v/>
      </c>
      <c r="K112" t="str">
        <f t="shared" si="27"/>
        <v/>
      </c>
      <c r="L112" t="str">
        <f t="shared" si="28"/>
        <v/>
      </c>
      <c r="M112" t="str">
        <f t="shared" si="29"/>
        <v/>
      </c>
      <c r="N112" t="str">
        <f t="shared" si="30"/>
        <v/>
      </c>
      <c r="O112" t="str">
        <f t="shared" si="31"/>
        <v/>
      </c>
      <c r="P112" t="str">
        <f t="shared" si="32"/>
        <v/>
      </c>
      <c r="Q112" t="str">
        <f t="shared" si="33"/>
        <v/>
      </c>
      <c r="R112" t="str">
        <f t="shared" si="34"/>
        <v/>
      </c>
      <c r="S112" t="str">
        <f t="shared" si="35"/>
        <v/>
      </c>
      <c r="T112" t="str">
        <f t="shared" si="36"/>
        <v/>
      </c>
      <c r="U112" t="str">
        <f t="shared" si="37"/>
        <v/>
      </c>
      <c r="V112" t="str">
        <f t="shared" si="38"/>
        <v/>
      </c>
      <c r="W112" t="str">
        <f t="shared" si="39"/>
        <v xml:space="preserve">              </v>
      </c>
    </row>
    <row r="113" spans="1:23" customFormat="1" hidden="1">
      <c r="A113" t="b">
        <f t="shared" si="21"/>
        <v>0</v>
      </c>
      <c r="B113">
        <f t="shared" si="22"/>
        <v>112</v>
      </c>
      <c r="C113" t="s">
        <v>59</v>
      </c>
      <c r="D113" t="s">
        <v>112</v>
      </c>
      <c r="E113">
        <f t="shared" si="20"/>
        <v>38</v>
      </c>
      <c r="G113">
        <f t="shared" si="23"/>
        <v>5</v>
      </c>
      <c r="H113" t="str">
        <f t="shared" si="24"/>
        <v/>
      </c>
      <c r="I113" t="str">
        <f t="shared" si="25"/>
        <v/>
      </c>
      <c r="J113" t="str">
        <f t="shared" si="26"/>
        <v/>
      </c>
      <c r="K113" t="str">
        <f t="shared" si="27"/>
        <v/>
      </c>
      <c r="L113" t="str">
        <f t="shared" si="28"/>
        <v/>
      </c>
      <c r="M113" t="str">
        <f t="shared" si="29"/>
        <v/>
      </c>
      <c r="N113" t="str">
        <f t="shared" si="30"/>
        <v/>
      </c>
      <c r="O113" t="str">
        <f t="shared" si="31"/>
        <v/>
      </c>
      <c r="P113" t="str">
        <f t="shared" si="32"/>
        <v/>
      </c>
      <c r="Q113" t="str">
        <f t="shared" si="33"/>
        <v/>
      </c>
      <c r="R113" t="str">
        <f t="shared" si="34"/>
        <v/>
      </c>
      <c r="S113" t="str">
        <f t="shared" si="35"/>
        <v/>
      </c>
      <c r="T113" t="str">
        <f t="shared" si="36"/>
        <v/>
      </c>
      <c r="U113" t="str">
        <f t="shared" si="37"/>
        <v/>
      </c>
      <c r="V113" t="str">
        <f t="shared" si="38"/>
        <v/>
      </c>
      <c r="W113" t="str">
        <f t="shared" si="39"/>
        <v xml:space="preserve">              </v>
      </c>
    </row>
    <row r="114" spans="1:23" customFormat="1" hidden="1">
      <c r="A114" t="b">
        <f t="shared" si="21"/>
        <v>0</v>
      </c>
      <c r="B114">
        <f t="shared" si="22"/>
        <v>113</v>
      </c>
      <c r="C114" t="s">
        <v>59</v>
      </c>
      <c r="D114" t="s">
        <v>113</v>
      </c>
      <c r="E114">
        <f t="shared" ref="E114:E172" si="40">LEN(D114)</f>
        <v>38</v>
      </c>
      <c r="G114">
        <f t="shared" si="23"/>
        <v>6</v>
      </c>
      <c r="H114" t="str">
        <f t="shared" si="24"/>
        <v/>
      </c>
      <c r="I114" t="str">
        <f t="shared" si="25"/>
        <v/>
      </c>
      <c r="J114" t="str">
        <f t="shared" si="26"/>
        <v/>
      </c>
      <c r="K114" t="str">
        <f t="shared" si="27"/>
        <v/>
      </c>
      <c r="L114" t="str">
        <f t="shared" si="28"/>
        <v/>
      </c>
      <c r="M114" t="str">
        <f t="shared" si="29"/>
        <v/>
      </c>
      <c r="N114" t="str">
        <f t="shared" si="30"/>
        <v/>
      </c>
      <c r="O114" t="str">
        <f t="shared" si="31"/>
        <v/>
      </c>
      <c r="P114" t="str">
        <f t="shared" si="32"/>
        <v/>
      </c>
      <c r="Q114" t="str">
        <f t="shared" si="33"/>
        <v/>
      </c>
      <c r="R114" t="str">
        <f t="shared" si="34"/>
        <v/>
      </c>
      <c r="S114" t="str">
        <f t="shared" si="35"/>
        <v/>
      </c>
      <c r="T114" t="str">
        <f t="shared" si="36"/>
        <v/>
      </c>
      <c r="U114" t="str">
        <f t="shared" si="37"/>
        <v/>
      </c>
      <c r="V114" t="str">
        <f t="shared" si="38"/>
        <v/>
      </c>
      <c r="W114" t="str">
        <f t="shared" si="39"/>
        <v xml:space="preserve">              </v>
      </c>
    </row>
    <row r="115" spans="1:23" customFormat="1" hidden="1">
      <c r="A115" t="b">
        <f t="shared" si="21"/>
        <v>0</v>
      </c>
      <c r="B115">
        <f t="shared" si="22"/>
        <v>114</v>
      </c>
      <c r="C115" t="s">
        <v>59</v>
      </c>
      <c r="D115" t="s">
        <v>114</v>
      </c>
      <c r="E115">
        <f t="shared" si="40"/>
        <v>11</v>
      </c>
      <c r="G115">
        <f t="shared" si="23"/>
        <v>7</v>
      </c>
      <c r="H115" t="str">
        <f t="shared" si="24"/>
        <v/>
      </c>
      <c r="I115" t="str">
        <f t="shared" si="25"/>
        <v/>
      </c>
      <c r="J115" t="str">
        <f t="shared" si="26"/>
        <v/>
      </c>
      <c r="K115" t="str">
        <f t="shared" si="27"/>
        <v/>
      </c>
      <c r="L115" t="str">
        <f t="shared" si="28"/>
        <v/>
      </c>
      <c r="M115" t="str">
        <f t="shared" si="29"/>
        <v/>
      </c>
      <c r="N115" t="str">
        <f t="shared" si="30"/>
        <v/>
      </c>
      <c r="O115" t="str">
        <f t="shared" si="31"/>
        <v/>
      </c>
      <c r="P115" t="str">
        <f t="shared" si="32"/>
        <v/>
      </c>
      <c r="Q115" t="str">
        <f t="shared" si="33"/>
        <v/>
      </c>
      <c r="R115" t="str">
        <f t="shared" si="34"/>
        <v/>
      </c>
      <c r="S115" t="str">
        <f t="shared" si="35"/>
        <v/>
      </c>
      <c r="T115" t="str">
        <f t="shared" si="36"/>
        <v/>
      </c>
      <c r="U115" t="str">
        <f t="shared" si="37"/>
        <v/>
      </c>
      <c r="V115" t="str">
        <f t="shared" si="38"/>
        <v/>
      </c>
      <c r="W115" t="str">
        <f t="shared" si="39"/>
        <v xml:space="preserve">              </v>
      </c>
    </row>
    <row r="116" spans="1:23" hidden="1">
      <c r="A116" s="71" t="b">
        <f t="shared" si="21"/>
        <v>0</v>
      </c>
      <c r="B116" s="71">
        <f t="shared" si="22"/>
        <v>115</v>
      </c>
      <c r="C116" s="71" t="s">
        <v>59</v>
      </c>
      <c r="D116" s="71" t="s">
        <v>115</v>
      </c>
      <c r="E116">
        <f t="shared" si="40"/>
        <v>16</v>
      </c>
      <c r="F116">
        <v>1</v>
      </c>
      <c r="G116">
        <f t="shared" si="23"/>
        <v>1</v>
      </c>
      <c r="H116" t="str">
        <f t="shared" si="24"/>
        <v>positional power</v>
      </c>
      <c r="I116" t="str">
        <f t="shared" si="25"/>
        <v>The project manager’s power is because</v>
      </c>
      <c r="J116" t="str">
        <f t="shared" si="26"/>
        <v>of the position she has as the project</v>
      </c>
      <c r="K116" t="str">
        <f t="shared" si="27"/>
        <v>manager. This is also known as formal,</v>
      </c>
      <c r="L116" t="str">
        <f t="shared" si="28"/>
        <v>authoritative, and legitimate power.</v>
      </c>
      <c r="M116" t="str">
        <f t="shared" si="29"/>
        <v/>
      </c>
      <c r="N116" t="str">
        <f t="shared" si="30"/>
        <v/>
      </c>
      <c r="O116" t="str">
        <f t="shared" si="31"/>
        <v/>
      </c>
      <c r="P116" t="str">
        <f t="shared" si="32"/>
        <v/>
      </c>
      <c r="Q116" t="str">
        <f t="shared" si="33"/>
        <v/>
      </c>
      <c r="R116" t="str">
        <f t="shared" si="34"/>
        <v/>
      </c>
      <c r="S116" t="str">
        <f t="shared" si="35"/>
        <v/>
      </c>
      <c r="T116" t="str">
        <f t="shared" si="36"/>
        <v/>
      </c>
      <c r="U116" t="str">
        <f t="shared" si="37"/>
        <v/>
      </c>
      <c r="V116" t="str">
        <f t="shared" si="38"/>
        <v/>
      </c>
      <c r="W116" s="71" t="str">
        <f>CONCATENATE(H116," ",I116," ",J116," ",K116," ",L116," ",M116," ",N116," ",O116," ",P116," ",Q116," ",R116," ",S116," ",T116," ",U116," ",V116)</f>
        <v xml:space="preserve">positional power The project manager’s power is because of the position she has as the project manager. This is also known as formal, authoritative, and legitimate power.          </v>
      </c>
    </row>
    <row r="117" spans="1:23" customFormat="1" hidden="1">
      <c r="A117" t="b">
        <f t="shared" si="21"/>
        <v>0</v>
      </c>
      <c r="B117">
        <f t="shared" si="22"/>
        <v>116</v>
      </c>
      <c r="C117" t="s">
        <v>59</v>
      </c>
      <c r="D117" t="s">
        <v>116</v>
      </c>
      <c r="E117">
        <f t="shared" si="40"/>
        <v>38</v>
      </c>
      <c r="G117">
        <f t="shared" si="23"/>
        <v>2</v>
      </c>
      <c r="H117" t="str">
        <f t="shared" si="24"/>
        <v/>
      </c>
      <c r="I117" t="str">
        <f t="shared" si="25"/>
        <v/>
      </c>
      <c r="J117" t="str">
        <f t="shared" si="26"/>
        <v/>
      </c>
      <c r="K117" t="str">
        <f t="shared" si="27"/>
        <v/>
      </c>
      <c r="L117" t="str">
        <f t="shared" si="28"/>
        <v/>
      </c>
      <c r="M117" t="str">
        <f t="shared" si="29"/>
        <v/>
      </c>
      <c r="N117" t="str">
        <f t="shared" si="30"/>
        <v/>
      </c>
      <c r="O117" t="str">
        <f t="shared" si="31"/>
        <v/>
      </c>
      <c r="P117" t="str">
        <f t="shared" si="32"/>
        <v/>
      </c>
      <c r="Q117" t="str">
        <f t="shared" si="33"/>
        <v/>
      </c>
      <c r="R117" t="str">
        <f t="shared" si="34"/>
        <v/>
      </c>
      <c r="S117" t="str">
        <f t="shared" si="35"/>
        <v/>
      </c>
      <c r="T117" t="str">
        <f t="shared" si="36"/>
        <v/>
      </c>
      <c r="U117" t="str">
        <f t="shared" si="37"/>
        <v/>
      </c>
      <c r="V117" t="str">
        <f t="shared" si="38"/>
        <v/>
      </c>
      <c r="W117" t="str">
        <f t="shared" si="39"/>
        <v xml:space="preserve">              </v>
      </c>
    </row>
    <row r="118" spans="1:23" customFormat="1" hidden="1">
      <c r="A118" t="b">
        <f t="shared" si="21"/>
        <v>0</v>
      </c>
      <c r="B118">
        <f t="shared" si="22"/>
        <v>117</v>
      </c>
      <c r="C118" t="s">
        <v>59</v>
      </c>
      <c r="D118" t="s">
        <v>117</v>
      </c>
      <c r="E118">
        <f t="shared" si="40"/>
        <v>38</v>
      </c>
      <c r="G118">
        <f t="shared" si="23"/>
        <v>3</v>
      </c>
      <c r="H118" t="str">
        <f t="shared" si="24"/>
        <v/>
      </c>
      <c r="I118" t="str">
        <f t="shared" si="25"/>
        <v/>
      </c>
      <c r="J118" t="str">
        <f t="shared" si="26"/>
        <v/>
      </c>
      <c r="K118" t="str">
        <f t="shared" si="27"/>
        <v/>
      </c>
      <c r="L118" t="str">
        <f t="shared" si="28"/>
        <v/>
      </c>
      <c r="M118" t="str">
        <f t="shared" si="29"/>
        <v/>
      </c>
      <c r="N118" t="str">
        <f t="shared" si="30"/>
        <v/>
      </c>
      <c r="O118" t="str">
        <f t="shared" si="31"/>
        <v/>
      </c>
      <c r="P118" t="str">
        <f t="shared" si="32"/>
        <v/>
      </c>
      <c r="Q118" t="str">
        <f t="shared" si="33"/>
        <v/>
      </c>
      <c r="R118" t="str">
        <f t="shared" si="34"/>
        <v/>
      </c>
      <c r="S118" t="str">
        <f t="shared" si="35"/>
        <v/>
      </c>
      <c r="T118" t="str">
        <f t="shared" si="36"/>
        <v/>
      </c>
      <c r="U118" t="str">
        <f t="shared" si="37"/>
        <v/>
      </c>
      <c r="V118" t="str">
        <f t="shared" si="38"/>
        <v/>
      </c>
      <c r="W118" t="str">
        <f t="shared" si="39"/>
        <v xml:space="preserve">              </v>
      </c>
    </row>
    <row r="119" spans="1:23" customFormat="1" hidden="1">
      <c r="A119" t="b">
        <f t="shared" si="21"/>
        <v>0</v>
      </c>
      <c r="B119">
        <f t="shared" si="22"/>
        <v>118</v>
      </c>
      <c r="C119" t="s">
        <v>59</v>
      </c>
      <c r="D119" t="s">
        <v>118</v>
      </c>
      <c r="E119">
        <f t="shared" si="40"/>
        <v>38</v>
      </c>
      <c r="G119">
        <f t="shared" si="23"/>
        <v>4</v>
      </c>
      <c r="H119" t="str">
        <f t="shared" si="24"/>
        <v/>
      </c>
      <c r="I119" t="str">
        <f t="shared" si="25"/>
        <v/>
      </c>
      <c r="J119" t="str">
        <f t="shared" si="26"/>
        <v/>
      </c>
      <c r="K119" t="str">
        <f t="shared" si="27"/>
        <v/>
      </c>
      <c r="L119" t="str">
        <f t="shared" si="28"/>
        <v/>
      </c>
      <c r="M119" t="str">
        <f t="shared" si="29"/>
        <v/>
      </c>
      <c r="N119" t="str">
        <f t="shared" si="30"/>
        <v/>
      </c>
      <c r="O119" t="str">
        <f t="shared" si="31"/>
        <v/>
      </c>
      <c r="P119" t="str">
        <f t="shared" si="32"/>
        <v/>
      </c>
      <c r="Q119" t="str">
        <f t="shared" si="33"/>
        <v/>
      </c>
      <c r="R119" t="str">
        <f t="shared" si="34"/>
        <v/>
      </c>
      <c r="S119" t="str">
        <f t="shared" si="35"/>
        <v/>
      </c>
      <c r="T119" t="str">
        <f t="shared" si="36"/>
        <v/>
      </c>
      <c r="U119" t="str">
        <f t="shared" si="37"/>
        <v/>
      </c>
      <c r="V119" t="str">
        <f t="shared" si="38"/>
        <v/>
      </c>
      <c r="W119" t="str">
        <f t="shared" si="39"/>
        <v xml:space="preserve">              </v>
      </c>
    </row>
    <row r="120" spans="1:23" customFormat="1" hidden="1">
      <c r="A120" t="b">
        <f t="shared" si="21"/>
        <v>0</v>
      </c>
      <c r="B120">
        <f t="shared" si="22"/>
        <v>119</v>
      </c>
      <c r="C120" t="s">
        <v>59</v>
      </c>
      <c r="D120" t="s">
        <v>119</v>
      </c>
      <c r="E120">
        <f t="shared" si="40"/>
        <v>36</v>
      </c>
      <c r="G120">
        <f t="shared" si="23"/>
        <v>5</v>
      </c>
      <c r="H120" t="str">
        <f t="shared" si="24"/>
        <v/>
      </c>
      <c r="I120" t="str">
        <f t="shared" si="25"/>
        <v/>
      </c>
      <c r="J120" t="str">
        <f t="shared" si="26"/>
        <v/>
      </c>
      <c r="K120" t="str">
        <f t="shared" si="27"/>
        <v/>
      </c>
      <c r="L120" t="str">
        <f t="shared" si="28"/>
        <v/>
      </c>
      <c r="M120" t="str">
        <f t="shared" si="29"/>
        <v/>
      </c>
      <c r="N120" t="str">
        <f t="shared" si="30"/>
        <v/>
      </c>
      <c r="O120" t="str">
        <f t="shared" si="31"/>
        <v/>
      </c>
      <c r="P120" t="str">
        <f t="shared" si="32"/>
        <v/>
      </c>
      <c r="Q120" t="str">
        <f t="shared" si="33"/>
        <v/>
      </c>
      <c r="R120" t="str">
        <f t="shared" si="34"/>
        <v/>
      </c>
      <c r="S120" t="str">
        <f t="shared" si="35"/>
        <v/>
      </c>
      <c r="T120" t="str">
        <f t="shared" si="36"/>
        <v/>
      </c>
      <c r="U120" t="str">
        <f t="shared" si="37"/>
        <v/>
      </c>
      <c r="V120" t="str">
        <f t="shared" si="38"/>
        <v/>
      </c>
      <c r="W120" t="str">
        <f t="shared" si="39"/>
        <v xml:space="preserve">              </v>
      </c>
    </row>
    <row r="121" spans="1:23" hidden="1">
      <c r="A121" s="71" t="b">
        <f t="shared" si="21"/>
        <v>0</v>
      </c>
      <c r="B121" s="71">
        <f t="shared" si="22"/>
        <v>120</v>
      </c>
      <c r="C121" s="71" t="s">
        <v>59</v>
      </c>
      <c r="D121" s="71" t="s">
        <v>120</v>
      </c>
      <c r="E121">
        <f t="shared" si="40"/>
        <v>37</v>
      </c>
      <c r="F121">
        <v>1</v>
      </c>
      <c r="G121">
        <f t="shared" si="23"/>
        <v>1</v>
      </c>
      <c r="H121" t="str">
        <f t="shared" si="24"/>
        <v>Professional Development Units (PDUs)</v>
      </c>
      <c r="I121" t="str">
        <f t="shared" si="25"/>
        <v>PDUs are earned after the PMP to</v>
      </c>
      <c r="J121" t="str">
        <f t="shared" si="26"/>
        <v>maintain the PMP certification. PMPs are</v>
      </c>
      <c r="K121" t="str">
        <f t="shared" si="27"/>
        <v>required to earn 60 PDUs per three-year</v>
      </c>
      <c r="L121" t="str">
        <f t="shared" si="28"/>
        <v>certification cycle. Of the 60 PDUs, a</v>
      </c>
      <c r="M121" t="str">
        <f t="shared" si="29"/>
        <v>minimum of 35 hours must come from</v>
      </c>
      <c r="N121" t="str">
        <f t="shared" si="30"/>
        <v>educational opportunities.</v>
      </c>
      <c r="O121" t="str">
        <f t="shared" si="31"/>
        <v/>
      </c>
      <c r="P121" t="str">
        <f t="shared" si="32"/>
        <v/>
      </c>
      <c r="Q121" t="str">
        <f t="shared" si="33"/>
        <v/>
      </c>
      <c r="R121" t="str">
        <f t="shared" si="34"/>
        <v/>
      </c>
      <c r="S121" t="str">
        <f t="shared" si="35"/>
        <v/>
      </c>
      <c r="T121" t="str">
        <f t="shared" si="36"/>
        <v/>
      </c>
      <c r="U121" t="str">
        <f t="shared" si="37"/>
        <v/>
      </c>
      <c r="V121" t="str">
        <f t="shared" si="38"/>
        <v/>
      </c>
      <c r="W121" s="71" t="str">
        <f>CONCATENATE(H121," ",I121," ",J121," ",K121," ",L121," ",M121," ",N121," ",O121," ",P121," ",Q121," ",R121," ",S121," ",T121," ",U121," ",V121)</f>
        <v xml:space="preserve">Professional Development Units (PDUs) PDUs are earned after the PMP to maintain the PMP certification. PMPs are required to earn 60 PDUs per three-year certification cycle. Of the 60 PDUs, a minimum of 35 hours must come from educational opportunities.        </v>
      </c>
    </row>
    <row r="122" spans="1:23" customFormat="1" hidden="1">
      <c r="A122" t="b">
        <f t="shared" si="21"/>
        <v>0</v>
      </c>
      <c r="B122">
        <f t="shared" si="22"/>
        <v>121</v>
      </c>
      <c r="C122" t="s">
        <v>59</v>
      </c>
      <c r="D122" t="s">
        <v>121</v>
      </c>
      <c r="E122">
        <f t="shared" si="40"/>
        <v>32</v>
      </c>
      <c r="G122">
        <f t="shared" si="23"/>
        <v>2</v>
      </c>
      <c r="H122" t="str">
        <f t="shared" si="24"/>
        <v/>
      </c>
      <c r="I122" t="str">
        <f t="shared" si="25"/>
        <v/>
      </c>
      <c r="J122" t="str">
        <f t="shared" si="26"/>
        <v/>
      </c>
      <c r="K122" t="str">
        <f t="shared" si="27"/>
        <v/>
      </c>
      <c r="L122" t="str">
        <f t="shared" si="28"/>
        <v/>
      </c>
      <c r="M122" t="str">
        <f t="shared" si="29"/>
        <v/>
      </c>
      <c r="N122" t="str">
        <f t="shared" si="30"/>
        <v/>
      </c>
      <c r="O122" t="str">
        <f t="shared" si="31"/>
        <v/>
      </c>
      <c r="P122" t="str">
        <f t="shared" si="32"/>
        <v/>
      </c>
      <c r="Q122" t="str">
        <f t="shared" si="33"/>
        <v/>
      </c>
      <c r="R122" t="str">
        <f t="shared" si="34"/>
        <v/>
      </c>
      <c r="S122" t="str">
        <f t="shared" si="35"/>
        <v/>
      </c>
      <c r="T122" t="str">
        <f t="shared" si="36"/>
        <v/>
      </c>
      <c r="U122" t="str">
        <f t="shared" si="37"/>
        <v/>
      </c>
      <c r="V122" t="str">
        <f t="shared" si="38"/>
        <v/>
      </c>
      <c r="W122" t="str">
        <f t="shared" si="39"/>
        <v xml:space="preserve">              </v>
      </c>
    </row>
    <row r="123" spans="1:23" customFormat="1" hidden="1">
      <c r="A123" t="b">
        <f t="shared" si="21"/>
        <v>0</v>
      </c>
      <c r="B123">
        <f t="shared" si="22"/>
        <v>122</v>
      </c>
      <c r="C123" t="s">
        <v>59</v>
      </c>
      <c r="D123" t="s">
        <v>122</v>
      </c>
      <c r="E123">
        <f t="shared" si="40"/>
        <v>40</v>
      </c>
      <c r="G123">
        <f t="shared" si="23"/>
        <v>3</v>
      </c>
      <c r="H123" t="str">
        <f t="shared" si="24"/>
        <v/>
      </c>
      <c r="I123" t="str">
        <f t="shared" si="25"/>
        <v/>
      </c>
      <c r="J123" t="str">
        <f t="shared" si="26"/>
        <v/>
      </c>
      <c r="K123" t="str">
        <f t="shared" si="27"/>
        <v/>
      </c>
      <c r="L123" t="str">
        <f t="shared" si="28"/>
        <v/>
      </c>
      <c r="M123" t="str">
        <f t="shared" si="29"/>
        <v/>
      </c>
      <c r="N123" t="str">
        <f t="shared" si="30"/>
        <v/>
      </c>
      <c r="O123" t="str">
        <f t="shared" si="31"/>
        <v/>
      </c>
      <c r="P123" t="str">
        <f t="shared" si="32"/>
        <v/>
      </c>
      <c r="Q123" t="str">
        <f t="shared" si="33"/>
        <v/>
      </c>
      <c r="R123" t="str">
        <f t="shared" si="34"/>
        <v/>
      </c>
      <c r="S123" t="str">
        <f t="shared" si="35"/>
        <v/>
      </c>
      <c r="T123" t="str">
        <f t="shared" si="36"/>
        <v/>
      </c>
      <c r="U123" t="str">
        <f t="shared" si="37"/>
        <v/>
      </c>
      <c r="V123" t="str">
        <f t="shared" si="38"/>
        <v/>
      </c>
      <c r="W123" t="str">
        <f t="shared" si="39"/>
        <v xml:space="preserve">              </v>
      </c>
    </row>
    <row r="124" spans="1:23" customFormat="1" hidden="1">
      <c r="A124" t="b">
        <f t="shared" si="21"/>
        <v>0</v>
      </c>
      <c r="B124">
        <f t="shared" si="22"/>
        <v>123</v>
      </c>
      <c r="C124" t="s">
        <v>59</v>
      </c>
      <c r="D124" t="s">
        <v>123</v>
      </c>
      <c r="E124">
        <f t="shared" si="40"/>
        <v>39</v>
      </c>
      <c r="G124">
        <f t="shared" si="23"/>
        <v>4</v>
      </c>
      <c r="H124" t="str">
        <f t="shared" si="24"/>
        <v/>
      </c>
      <c r="I124" t="str">
        <f t="shared" si="25"/>
        <v/>
      </c>
      <c r="J124" t="str">
        <f t="shared" si="26"/>
        <v/>
      </c>
      <c r="K124" t="str">
        <f t="shared" si="27"/>
        <v/>
      </c>
      <c r="L124" t="str">
        <f t="shared" si="28"/>
        <v/>
      </c>
      <c r="M124" t="str">
        <f t="shared" si="29"/>
        <v/>
      </c>
      <c r="N124" t="str">
        <f t="shared" si="30"/>
        <v/>
      </c>
      <c r="O124" t="str">
        <f t="shared" si="31"/>
        <v/>
      </c>
      <c r="P124" t="str">
        <f t="shared" si="32"/>
        <v/>
      </c>
      <c r="Q124" t="str">
        <f t="shared" si="33"/>
        <v/>
      </c>
      <c r="R124" t="str">
        <f t="shared" si="34"/>
        <v/>
      </c>
      <c r="S124" t="str">
        <f t="shared" si="35"/>
        <v/>
      </c>
      <c r="T124" t="str">
        <f t="shared" si="36"/>
        <v/>
      </c>
      <c r="U124" t="str">
        <f t="shared" si="37"/>
        <v/>
      </c>
      <c r="V124" t="str">
        <f t="shared" si="38"/>
        <v/>
      </c>
      <c r="W124" t="str">
        <f t="shared" si="39"/>
        <v xml:space="preserve">              </v>
      </c>
    </row>
    <row r="125" spans="1:23" customFormat="1" hidden="1">
      <c r="A125" t="b">
        <f t="shared" si="21"/>
        <v>0</v>
      </c>
      <c r="B125">
        <f t="shared" si="22"/>
        <v>124</v>
      </c>
      <c r="C125" t="s">
        <v>59</v>
      </c>
      <c r="D125" t="s">
        <v>124</v>
      </c>
      <c r="E125">
        <f t="shared" si="40"/>
        <v>38</v>
      </c>
      <c r="G125">
        <f t="shared" si="23"/>
        <v>5</v>
      </c>
      <c r="H125" t="str">
        <f t="shared" si="24"/>
        <v/>
      </c>
      <c r="I125" t="str">
        <f t="shared" si="25"/>
        <v/>
      </c>
      <c r="J125" t="str">
        <f t="shared" si="26"/>
        <v/>
      </c>
      <c r="K125" t="str">
        <f t="shared" si="27"/>
        <v/>
      </c>
      <c r="L125" t="str">
        <f t="shared" si="28"/>
        <v/>
      </c>
      <c r="M125" t="str">
        <f t="shared" si="29"/>
        <v/>
      </c>
      <c r="N125" t="str">
        <f t="shared" si="30"/>
        <v/>
      </c>
      <c r="O125" t="str">
        <f t="shared" si="31"/>
        <v/>
      </c>
      <c r="P125" t="str">
        <f t="shared" si="32"/>
        <v/>
      </c>
      <c r="Q125" t="str">
        <f t="shared" si="33"/>
        <v/>
      </c>
      <c r="R125" t="str">
        <f t="shared" si="34"/>
        <v/>
      </c>
      <c r="S125" t="str">
        <f t="shared" si="35"/>
        <v/>
      </c>
      <c r="T125" t="str">
        <f t="shared" si="36"/>
        <v/>
      </c>
      <c r="U125" t="str">
        <f t="shared" si="37"/>
        <v/>
      </c>
      <c r="V125" t="str">
        <f t="shared" si="38"/>
        <v/>
      </c>
      <c r="W125" t="str">
        <f t="shared" si="39"/>
        <v xml:space="preserve">              </v>
      </c>
    </row>
    <row r="126" spans="1:23" customFormat="1" hidden="1">
      <c r="A126" t="b">
        <f t="shared" si="21"/>
        <v>0</v>
      </c>
      <c r="B126">
        <f t="shared" si="22"/>
        <v>125</v>
      </c>
      <c r="C126" t="s">
        <v>59</v>
      </c>
      <c r="D126" t="s">
        <v>125</v>
      </c>
      <c r="E126">
        <f t="shared" si="40"/>
        <v>34</v>
      </c>
      <c r="G126">
        <f t="shared" si="23"/>
        <v>6</v>
      </c>
      <c r="H126" t="str">
        <f t="shared" si="24"/>
        <v/>
      </c>
      <c r="I126" t="str">
        <f t="shared" si="25"/>
        <v/>
      </c>
      <c r="J126" t="str">
        <f t="shared" si="26"/>
        <v/>
      </c>
      <c r="K126" t="str">
        <f t="shared" si="27"/>
        <v/>
      </c>
      <c r="L126" t="str">
        <f t="shared" si="28"/>
        <v/>
      </c>
      <c r="M126" t="str">
        <f t="shared" si="29"/>
        <v/>
      </c>
      <c r="N126" t="str">
        <f t="shared" si="30"/>
        <v/>
      </c>
      <c r="O126" t="str">
        <f t="shared" si="31"/>
        <v/>
      </c>
      <c r="P126" t="str">
        <f t="shared" si="32"/>
        <v/>
      </c>
      <c r="Q126" t="str">
        <f t="shared" si="33"/>
        <v/>
      </c>
      <c r="R126" t="str">
        <f t="shared" si="34"/>
        <v/>
      </c>
      <c r="S126" t="str">
        <f t="shared" si="35"/>
        <v/>
      </c>
      <c r="T126" t="str">
        <f t="shared" si="36"/>
        <v/>
      </c>
      <c r="U126" t="str">
        <f t="shared" si="37"/>
        <v/>
      </c>
      <c r="V126" t="str">
        <f t="shared" si="38"/>
        <v/>
      </c>
      <c r="W126" t="str">
        <f t="shared" si="39"/>
        <v xml:space="preserve">              </v>
      </c>
    </row>
    <row r="127" spans="1:23" customFormat="1" hidden="1">
      <c r="A127" t="b">
        <f t="shared" si="21"/>
        <v>0</v>
      </c>
      <c r="B127">
        <f t="shared" si="22"/>
        <v>126</v>
      </c>
      <c r="C127" t="s">
        <v>59</v>
      </c>
      <c r="D127" t="s">
        <v>126</v>
      </c>
      <c r="E127">
        <f t="shared" si="40"/>
        <v>26</v>
      </c>
      <c r="G127">
        <f t="shared" si="23"/>
        <v>7</v>
      </c>
      <c r="H127" t="str">
        <f t="shared" si="24"/>
        <v/>
      </c>
      <c r="I127" t="str">
        <f t="shared" si="25"/>
        <v/>
      </c>
      <c r="J127" t="str">
        <f t="shared" si="26"/>
        <v/>
      </c>
      <c r="K127" t="str">
        <f t="shared" si="27"/>
        <v/>
      </c>
      <c r="L127" t="str">
        <f t="shared" si="28"/>
        <v/>
      </c>
      <c r="M127" t="str">
        <f t="shared" si="29"/>
        <v/>
      </c>
      <c r="N127" t="str">
        <f t="shared" si="30"/>
        <v/>
      </c>
      <c r="O127" t="str">
        <f t="shared" si="31"/>
        <v/>
      </c>
      <c r="P127" t="str">
        <f t="shared" si="32"/>
        <v/>
      </c>
      <c r="Q127" t="str">
        <f t="shared" si="33"/>
        <v/>
      </c>
      <c r="R127" t="str">
        <f t="shared" si="34"/>
        <v/>
      </c>
      <c r="S127" t="str">
        <f t="shared" si="35"/>
        <v/>
      </c>
      <c r="T127" t="str">
        <f t="shared" si="36"/>
        <v/>
      </c>
      <c r="U127" t="str">
        <f t="shared" si="37"/>
        <v/>
      </c>
      <c r="V127" t="str">
        <f t="shared" si="38"/>
        <v/>
      </c>
      <c r="W127" t="str">
        <f t="shared" si="39"/>
        <v xml:space="preserve">              </v>
      </c>
    </row>
    <row r="128" spans="1:23" hidden="1">
      <c r="A128" s="71" t="b">
        <f t="shared" si="21"/>
        <v>0</v>
      </c>
      <c r="B128" s="71">
        <f t="shared" si="22"/>
        <v>127</v>
      </c>
      <c r="C128" s="71" t="s">
        <v>59</v>
      </c>
      <c r="D128" s="71" t="s">
        <v>127</v>
      </c>
      <c r="E128">
        <f t="shared" si="40"/>
        <v>15</v>
      </c>
      <c r="F128">
        <v>1</v>
      </c>
      <c r="G128">
        <f t="shared" si="23"/>
        <v>1</v>
      </c>
      <c r="H128" t="str">
        <f t="shared" si="24"/>
        <v>project manager</v>
      </c>
      <c r="I128" t="str">
        <f t="shared" si="25"/>
        <v>The role of leading the project team and</v>
      </c>
      <c r="J128" t="str">
        <f t="shared" si="26"/>
        <v>managing the project resources to</v>
      </c>
      <c r="K128" t="str">
        <f t="shared" si="27"/>
        <v>effectively achieve the objectives of the</v>
      </c>
      <c r="L128" t="str">
        <f t="shared" si="28"/>
        <v>project.</v>
      </c>
      <c r="M128" t="str">
        <f t="shared" si="29"/>
        <v>punitive or coercive power</v>
      </c>
      <c r="N128" t="str">
        <f t="shared" si="30"/>
        <v>The project manager can punish the</v>
      </c>
      <c r="O128" t="str">
        <f t="shared" si="31"/>
        <v>project team.</v>
      </c>
      <c r="P128" t="str">
        <f t="shared" si="32"/>
        <v/>
      </c>
      <c r="Q128" t="str">
        <f t="shared" si="33"/>
        <v/>
      </c>
      <c r="R128" t="str">
        <f t="shared" si="34"/>
        <v/>
      </c>
      <c r="S128" t="str">
        <f t="shared" si="35"/>
        <v/>
      </c>
      <c r="T128" t="str">
        <f t="shared" si="36"/>
        <v/>
      </c>
      <c r="U128" t="str">
        <f t="shared" si="37"/>
        <v/>
      </c>
      <c r="V128" t="str">
        <f t="shared" si="38"/>
        <v/>
      </c>
      <c r="W128" s="71" t="str">
        <f>CONCATENATE(H128," ",I128," ",J128," ",K128," ",L128," ",M128," ",N128," ",O128," ",P128," ",Q128," ",R128," ",S128," ",T128," ",U128," ",V128)</f>
        <v xml:space="preserve">project manager The role of leading the project team and managing the project resources to effectively achieve the objectives of the project. punitive or coercive power The project manager can punish the project team.       </v>
      </c>
    </row>
    <row r="129" spans="1:23" customFormat="1" hidden="1">
      <c r="A129" t="b">
        <f t="shared" si="21"/>
        <v>0</v>
      </c>
      <c r="B129">
        <f t="shared" si="22"/>
        <v>128</v>
      </c>
      <c r="C129" t="s">
        <v>59</v>
      </c>
      <c r="D129" t="s">
        <v>128</v>
      </c>
      <c r="E129">
        <f t="shared" si="40"/>
        <v>40</v>
      </c>
      <c r="G129">
        <f t="shared" si="23"/>
        <v>2</v>
      </c>
      <c r="H129" t="str">
        <f t="shared" si="24"/>
        <v/>
      </c>
      <c r="I129" t="str">
        <f t="shared" si="25"/>
        <v/>
      </c>
      <c r="J129" t="str">
        <f t="shared" si="26"/>
        <v/>
      </c>
      <c r="K129" t="str">
        <f t="shared" si="27"/>
        <v/>
      </c>
      <c r="L129" t="str">
        <f t="shared" si="28"/>
        <v/>
      </c>
      <c r="M129" t="str">
        <f t="shared" si="29"/>
        <v/>
      </c>
      <c r="N129" t="str">
        <f t="shared" si="30"/>
        <v/>
      </c>
      <c r="O129" t="str">
        <f t="shared" si="31"/>
        <v/>
      </c>
      <c r="P129" t="str">
        <f t="shared" si="32"/>
        <v/>
      </c>
      <c r="Q129" t="str">
        <f t="shared" si="33"/>
        <v/>
      </c>
      <c r="R129" t="str">
        <f t="shared" si="34"/>
        <v/>
      </c>
      <c r="S129" t="str">
        <f t="shared" si="35"/>
        <v/>
      </c>
      <c r="T129" t="str">
        <f t="shared" si="36"/>
        <v/>
      </c>
      <c r="U129" t="str">
        <f t="shared" si="37"/>
        <v/>
      </c>
      <c r="V129" t="str">
        <f t="shared" si="38"/>
        <v/>
      </c>
      <c r="W129" t="str">
        <f t="shared" si="39"/>
        <v xml:space="preserve">              </v>
      </c>
    </row>
    <row r="130" spans="1:23" customFormat="1" hidden="1">
      <c r="A130" t="b">
        <f t="shared" si="21"/>
        <v>0</v>
      </c>
      <c r="B130">
        <f t="shared" si="22"/>
        <v>129</v>
      </c>
      <c r="C130" t="s">
        <v>59</v>
      </c>
      <c r="D130" t="s">
        <v>129</v>
      </c>
      <c r="E130">
        <f t="shared" si="40"/>
        <v>33</v>
      </c>
      <c r="G130">
        <f t="shared" si="23"/>
        <v>3</v>
      </c>
      <c r="H130" t="str">
        <f t="shared" si="24"/>
        <v/>
      </c>
      <c r="I130" t="str">
        <f t="shared" si="25"/>
        <v/>
      </c>
      <c r="J130" t="str">
        <f t="shared" si="26"/>
        <v/>
      </c>
      <c r="K130" t="str">
        <f t="shared" si="27"/>
        <v/>
      </c>
      <c r="L130" t="str">
        <f t="shared" si="28"/>
        <v/>
      </c>
      <c r="M130" t="str">
        <f t="shared" si="29"/>
        <v/>
      </c>
      <c r="N130" t="str">
        <f t="shared" si="30"/>
        <v/>
      </c>
      <c r="O130" t="str">
        <f t="shared" si="31"/>
        <v/>
      </c>
      <c r="P130" t="str">
        <f t="shared" si="32"/>
        <v/>
      </c>
      <c r="Q130" t="str">
        <f t="shared" si="33"/>
        <v/>
      </c>
      <c r="R130" t="str">
        <f t="shared" si="34"/>
        <v/>
      </c>
      <c r="S130" t="str">
        <f t="shared" si="35"/>
        <v/>
      </c>
      <c r="T130" t="str">
        <f t="shared" si="36"/>
        <v/>
      </c>
      <c r="U130" t="str">
        <f t="shared" si="37"/>
        <v/>
      </c>
      <c r="V130" t="str">
        <f t="shared" si="38"/>
        <v/>
      </c>
      <c r="W130" t="str">
        <f t="shared" si="39"/>
        <v xml:space="preserve">              </v>
      </c>
    </row>
    <row r="131" spans="1:23" customFormat="1" hidden="1">
      <c r="A131" t="b">
        <f t="shared" ref="A131:A193" si="41">C131=D131</f>
        <v>0</v>
      </c>
      <c r="B131">
        <f t="shared" si="22"/>
        <v>130</v>
      </c>
      <c r="C131" t="s">
        <v>59</v>
      </c>
      <c r="D131" t="s">
        <v>130</v>
      </c>
      <c r="E131">
        <f t="shared" si="40"/>
        <v>41</v>
      </c>
      <c r="G131">
        <f t="shared" si="23"/>
        <v>4</v>
      </c>
      <c r="H131" t="str">
        <f t="shared" si="24"/>
        <v/>
      </c>
      <c r="I131" t="str">
        <f t="shared" si="25"/>
        <v/>
      </c>
      <c r="J131" t="str">
        <f t="shared" si="26"/>
        <v/>
      </c>
      <c r="K131" t="str">
        <f t="shared" si="27"/>
        <v/>
      </c>
      <c r="L131" t="str">
        <f t="shared" si="28"/>
        <v/>
      </c>
      <c r="M131" t="str">
        <f t="shared" si="29"/>
        <v/>
      </c>
      <c r="N131" t="str">
        <f t="shared" si="30"/>
        <v/>
      </c>
      <c r="O131" t="str">
        <f t="shared" si="31"/>
        <v/>
      </c>
      <c r="P131" t="str">
        <f t="shared" si="32"/>
        <v/>
      </c>
      <c r="Q131" t="str">
        <f t="shared" si="33"/>
        <v/>
      </c>
      <c r="R131" t="str">
        <f t="shared" si="34"/>
        <v/>
      </c>
      <c r="S131" t="str">
        <f t="shared" si="35"/>
        <v/>
      </c>
      <c r="T131" t="str">
        <f t="shared" si="36"/>
        <v/>
      </c>
      <c r="U131" t="str">
        <f t="shared" si="37"/>
        <v/>
      </c>
      <c r="V131" t="str">
        <f t="shared" si="38"/>
        <v/>
      </c>
      <c r="W131" t="str">
        <f t="shared" ref="W131:W193" si="42">CONCATENATE(H131," ",I131," ",J131," ",K131," ",L131," ",M131," ",N131," ",O131," ",P131," ",Q131," ",R131," ",S131," ",T131," ",U131," ",V131)</f>
        <v xml:space="preserve">              </v>
      </c>
    </row>
    <row r="132" spans="1:23" customFormat="1" hidden="1">
      <c r="A132" t="b">
        <f t="shared" si="41"/>
        <v>0</v>
      </c>
      <c r="B132">
        <f t="shared" ref="B132:B195" si="43">B131+1</f>
        <v>131</v>
      </c>
      <c r="C132" t="s">
        <v>59</v>
      </c>
      <c r="D132" t="s">
        <v>131</v>
      </c>
      <c r="E132">
        <f t="shared" si="40"/>
        <v>8</v>
      </c>
      <c r="G132">
        <f t="shared" ref="G132:G195" si="44">IF(F132=1,1,G131+1)</f>
        <v>5</v>
      </c>
      <c r="H132" t="str">
        <f t="shared" ref="H132:H195" si="45">IF($G132=H$1,$D132,"")</f>
        <v/>
      </c>
      <c r="I132" t="str">
        <f t="shared" ref="I132:I195" si="46">IF($G133=I$1,$D133,"")</f>
        <v/>
      </c>
      <c r="J132" t="str">
        <f t="shared" ref="J132:J195" si="47">IF($G134=J$1,$D134,"")</f>
        <v/>
      </c>
      <c r="K132" t="str">
        <f t="shared" ref="K132:K195" si="48">IF($G135=K$1,$D135,"")</f>
        <v/>
      </c>
      <c r="L132" t="str">
        <f t="shared" ref="L132:L195" si="49">IF($G136=L$1,$D136,"")</f>
        <v/>
      </c>
      <c r="M132" t="str">
        <f t="shared" ref="M132:M195" si="50">IF($G137=M$1,$D137,"")</f>
        <v/>
      </c>
      <c r="N132" t="str">
        <f t="shared" ref="N132:N195" si="51">IF($G138=N$1,$D138,"")</f>
        <v/>
      </c>
      <c r="O132" t="str">
        <f t="shared" ref="O132:O195" si="52">IF($G139=O$1,$D139,"")</f>
        <v/>
      </c>
      <c r="P132" t="str">
        <f t="shared" ref="P132:P195" si="53">IF($G140=P$1,$D140,"")</f>
        <v/>
      </c>
      <c r="Q132" t="str">
        <f t="shared" ref="Q132:Q195" si="54">IF($G141=Q$1,$D141,"")</f>
        <v/>
      </c>
      <c r="R132" t="str">
        <f t="shared" ref="R132:R195" si="55">IF($G142=R$1,$D142,"")</f>
        <v/>
      </c>
      <c r="S132" t="str">
        <f t="shared" ref="S132:S195" si="56">IF($G143=S$1,$D143,"")</f>
        <v/>
      </c>
      <c r="T132" t="str">
        <f t="shared" ref="T132:T195" si="57">IF($G144=T$1,$D144,"")</f>
        <v/>
      </c>
      <c r="U132" t="str">
        <f t="shared" ref="U132:U195" si="58">IF($G145=U$1,$D145,"")</f>
        <v/>
      </c>
      <c r="V132" t="str">
        <f t="shared" ref="V132:V195" si="59">IF($G146=V$1,$D146,"")</f>
        <v/>
      </c>
      <c r="W132" t="str">
        <f t="shared" si="42"/>
        <v xml:space="preserve">              </v>
      </c>
    </row>
    <row r="133" spans="1:23" customFormat="1" hidden="1">
      <c r="A133" t="b">
        <f t="shared" si="41"/>
        <v>0</v>
      </c>
      <c r="B133">
        <f t="shared" si="43"/>
        <v>132</v>
      </c>
      <c r="C133" t="s">
        <v>59</v>
      </c>
      <c r="D133" t="s">
        <v>132</v>
      </c>
      <c r="E133">
        <f t="shared" si="40"/>
        <v>26</v>
      </c>
      <c r="G133">
        <f t="shared" si="44"/>
        <v>6</v>
      </c>
      <c r="H133" t="str">
        <f t="shared" si="45"/>
        <v/>
      </c>
      <c r="I133" t="str">
        <f t="shared" si="46"/>
        <v/>
      </c>
      <c r="J133" t="str">
        <f t="shared" si="47"/>
        <v/>
      </c>
      <c r="K133" t="str">
        <f t="shared" si="48"/>
        <v/>
      </c>
      <c r="L133" t="str">
        <f t="shared" si="49"/>
        <v/>
      </c>
      <c r="M133" t="str">
        <f t="shared" si="50"/>
        <v/>
      </c>
      <c r="N133" t="str">
        <f t="shared" si="51"/>
        <v/>
      </c>
      <c r="O133" t="str">
        <f t="shared" si="52"/>
        <v/>
      </c>
      <c r="P133" t="str">
        <f t="shared" si="53"/>
        <v/>
      </c>
      <c r="Q133" t="str">
        <f t="shared" si="54"/>
        <v/>
      </c>
      <c r="R133" t="str">
        <f t="shared" si="55"/>
        <v/>
      </c>
      <c r="S133" t="str">
        <f t="shared" si="56"/>
        <v/>
      </c>
      <c r="T133" t="str">
        <f t="shared" si="57"/>
        <v/>
      </c>
      <c r="U133" t="str">
        <f t="shared" si="58"/>
        <v/>
      </c>
      <c r="V133" t="str">
        <f t="shared" si="59"/>
        <v/>
      </c>
      <c r="W133" t="str">
        <f t="shared" si="42"/>
        <v xml:space="preserve">              </v>
      </c>
    </row>
    <row r="134" spans="1:23" customFormat="1" hidden="1">
      <c r="A134" t="b">
        <f t="shared" si="41"/>
        <v>0</v>
      </c>
      <c r="B134">
        <f t="shared" si="43"/>
        <v>133</v>
      </c>
      <c r="C134" t="s">
        <v>59</v>
      </c>
      <c r="D134" t="s">
        <v>133</v>
      </c>
      <c r="E134">
        <f t="shared" si="40"/>
        <v>34</v>
      </c>
      <c r="G134">
        <f t="shared" si="44"/>
        <v>7</v>
      </c>
      <c r="H134" t="str">
        <f t="shared" si="45"/>
        <v/>
      </c>
      <c r="I134" t="str">
        <f t="shared" si="46"/>
        <v/>
      </c>
      <c r="J134" t="str">
        <f t="shared" si="47"/>
        <v/>
      </c>
      <c r="K134" t="str">
        <f t="shared" si="48"/>
        <v/>
      </c>
      <c r="L134" t="str">
        <f t="shared" si="49"/>
        <v/>
      </c>
      <c r="M134" t="str">
        <f t="shared" si="50"/>
        <v/>
      </c>
      <c r="N134" t="str">
        <f t="shared" si="51"/>
        <v/>
      </c>
      <c r="O134" t="str">
        <f t="shared" si="52"/>
        <v/>
      </c>
      <c r="P134" t="str">
        <f t="shared" si="53"/>
        <v/>
      </c>
      <c r="Q134" t="str">
        <f t="shared" si="54"/>
        <v/>
      </c>
      <c r="R134" t="str">
        <f t="shared" si="55"/>
        <v/>
      </c>
      <c r="S134" t="str">
        <f t="shared" si="56"/>
        <v/>
      </c>
      <c r="T134" t="str">
        <f t="shared" si="57"/>
        <v/>
      </c>
      <c r="U134" t="str">
        <f t="shared" si="58"/>
        <v/>
      </c>
      <c r="V134" t="str">
        <f t="shared" si="59"/>
        <v/>
      </c>
      <c r="W134" t="str">
        <f t="shared" si="42"/>
        <v xml:space="preserve">              </v>
      </c>
    </row>
    <row r="135" spans="1:23" customFormat="1" hidden="1">
      <c r="A135" t="b">
        <f t="shared" si="41"/>
        <v>0</v>
      </c>
      <c r="B135">
        <f t="shared" si="43"/>
        <v>134</v>
      </c>
      <c r="C135" t="s">
        <v>59</v>
      </c>
      <c r="D135" t="s">
        <v>134</v>
      </c>
      <c r="E135">
        <f t="shared" si="40"/>
        <v>13</v>
      </c>
      <c r="G135">
        <f t="shared" si="44"/>
        <v>8</v>
      </c>
      <c r="H135" t="str">
        <f t="shared" si="45"/>
        <v/>
      </c>
      <c r="I135" t="str">
        <f t="shared" si="46"/>
        <v/>
      </c>
      <c r="J135" t="str">
        <f t="shared" si="47"/>
        <v/>
      </c>
      <c r="K135" t="str">
        <f t="shared" si="48"/>
        <v/>
      </c>
      <c r="L135" t="str">
        <f t="shared" si="49"/>
        <v/>
      </c>
      <c r="M135" t="str">
        <f t="shared" si="50"/>
        <v/>
      </c>
      <c r="N135" t="str">
        <f t="shared" si="51"/>
        <v/>
      </c>
      <c r="O135" t="str">
        <f t="shared" si="52"/>
        <v/>
      </c>
      <c r="P135" t="str">
        <f t="shared" si="53"/>
        <v/>
      </c>
      <c r="Q135" t="str">
        <f t="shared" si="54"/>
        <v/>
      </c>
      <c r="R135" t="str">
        <f t="shared" si="55"/>
        <v/>
      </c>
      <c r="S135" t="str">
        <f t="shared" si="56"/>
        <v/>
      </c>
      <c r="T135" t="str">
        <f t="shared" si="57"/>
        <v/>
      </c>
      <c r="U135" t="str">
        <f t="shared" si="58"/>
        <v/>
      </c>
      <c r="V135" t="str">
        <f t="shared" si="59"/>
        <v/>
      </c>
      <c r="W135" t="str">
        <f t="shared" si="42"/>
        <v xml:space="preserve">              </v>
      </c>
    </row>
    <row r="136" spans="1:23" hidden="1">
      <c r="A136" s="71" t="b">
        <f t="shared" si="41"/>
        <v>0</v>
      </c>
      <c r="B136" s="71">
        <f t="shared" si="43"/>
        <v>135</v>
      </c>
      <c r="C136" s="71" t="s">
        <v>59</v>
      </c>
      <c r="D136" s="71" t="s">
        <v>135</v>
      </c>
      <c r="E136">
        <f t="shared" si="40"/>
        <v>14</v>
      </c>
      <c r="F136">
        <v>1</v>
      </c>
      <c r="G136">
        <f t="shared" si="44"/>
        <v>1</v>
      </c>
      <c r="H136" t="str">
        <f t="shared" si="45"/>
        <v>referent power</v>
      </c>
      <c r="I136" t="str">
        <f t="shared" si="46"/>
        <v>The project manager is respected or</v>
      </c>
      <c r="J136" t="str">
        <f t="shared" si="47"/>
        <v>admired because of the team’s past</v>
      </c>
      <c r="K136" t="str">
        <f t="shared" si="48"/>
        <v>experiences with the project manager.</v>
      </c>
      <c r="L136" t="str">
        <f t="shared" si="49"/>
        <v>This is about the project manager’s</v>
      </c>
      <c r="M136" t="str">
        <f t="shared" si="50"/>
        <v>credibility in the organization.</v>
      </c>
      <c r="N136" t="str">
        <f t="shared" si="51"/>
        <v/>
      </c>
      <c r="O136" t="str">
        <f t="shared" si="52"/>
        <v/>
      </c>
      <c r="P136" t="str">
        <f t="shared" si="53"/>
        <v/>
      </c>
      <c r="Q136" t="str">
        <f t="shared" si="54"/>
        <v/>
      </c>
      <c r="R136" t="str">
        <f t="shared" si="55"/>
        <v/>
      </c>
      <c r="S136" t="str">
        <f t="shared" si="56"/>
        <v/>
      </c>
      <c r="T136" t="str">
        <f t="shared" si="57"/>
        <v/>
      </c>
      <c r="U136" t="str">
        <f t="shared" si="58"/>
        <v/>
      </c>
      <c r="V136" t="str">
        <f t="shared" si="59"/>
        <v/>
      </c>
      <c r="W136" s="71" t="str">
        <f>CONCATENATE(H136," ",I136," ",J136," ",K136," ",L136," ",M136," ",N136," ",O136," ",P136," ",Q136," ",R136," ",S136," ",T136," ",U136," ",V136)</f>
        <v xml:space="preserve">referent power The project manager is respected or admired because of the team’s past experiences with the project manager. This is about the project manager’s credibility in the organization.         </v>
      </c>
    </row>
    <row r="137" spans="1:23" customFormat="1" hidden="1">
      <c r="A137" t="b">
        <f t="shared" si="41"/>
        <v>0</v>
      </c>
      <c r="B137">
        <f t="shared" si="43"/>
        <v>136</v>
      </c>
      <c r="C137" t="s">
        <v>59</v>
      </c>
      <c r="D137" t="s">
        <v>136</v>
      </c>
      <c r="E137">
        <f t="shared" si="40"/>
        <v>35</v>
      </c>
      <c r="G137">
        <f t="shared" si="44"/>
        <v>2</v>
      </c>
      <c r="H137" t="str">
        <f t="shared" si="45"/>
        <v/>
      </c>
      <c r="I137" t="str">
        <f t="shared" si="46"/>
        <v/>
      </c>
      <c r="J137" t="str">
        <f t="shared" si="47"/>
        <v/>
      </c>
      <c r="K137" t="str">
        <f t="shared" si="48"/>
        <v/>
      </c>
      <c r="L137" t="str">
        <f t="shared" si="49"/>
        <v/>
      </c>
      <c r="M137" t="str">
        <f t="shared" si="50"/>
        <v/>
      </c>
      <c r="N137" t="str">
        <f t="shared" si="51"/>
        <v/>
      </c>
      <c r="O137" t="str">
        <f t="shared" si="52"/>
        <v/>
      </c>
      <c r="P137" t="str">
        <f t="shared" si="53"/>
        <v/>
      </c>
      <c r="Q137" t="str">
        <f t="shared" si="54"/>
        <v/>
      </c>
      <c r="R137" t="str">
        <f t="shared" si="55"/>
        <v/>
      </c>
      <c r="S137" t="str">
        <f t="shared" si="56"/>
        <v/>
      </c>
      <c r="T137" t="str">
        <f t="shared" si="57"/>
        <v/>
      </c>
      <c r="U137" t="str">
        <f t="shared" si="58"/>
        <v/>
      </c>
      <c r="V137" t="str">
        <f t="shared" si="59"/>
        <v/>
      </c>
      <c r="W137" t="str">
        <f t="shared" si="42"/>
        <v xml:space="preserve">              </v>
      </c>
    </row>
    <row r="138" spans="1:23" customFormat="1" hidden="1">
      <c r="A138" t="b">
        <f t="shared" si="41"/>
        <v>0</v>
      </c>
      <c r="B138">
        <f t="shared" si="43"/>
        <v>137</v>
      </c>
      <c r="C138" t="s">
        <v>59</v>
      </c>
      <c r="D138" t="s">
        <v>137</v>
      </c>
      <c r="E138">
        <f t="shared" si="40"/>
        <v>34</v>
      </c>
      <c r="G138">
        <f t="shared" si="44"/>
        <v>3</v>
      </c>
      <c r="H138" t="str">
        <f t="shared" si="45"/>
        <v/>
      </c>
      <c r="I138" t="str">
        <f t="shared" si="46"/>
        <v/>
      </c>
      <c r="J138" t="str">
        <f t="shared" si="47"/>
        <v/>
      </c>
      <c r="K138" t="str">
        <f t="shared" si="48"/>
        <v/>
      </c>
      <c r="L138" t="str">
        <f t="shared" si="49"/>
        <v/>
      </c>
      <c r="M138" t="str">
        <f t="shared" si="50"/>
        <v/>
      </c>
      <c r="N138" t="str">
        <f t="shared" si="51"/>
        <v/>
      </c>
      <c r="O138" t="str">
        <f t="shared" si="52"/>
        <v/>
      </c>
      <c r="P138" t="str">
        <f t="shared" si="53"/>
        <v/>
      </c>
      <c r="Q138" t="str">
        <f t="shared" si="54"/>
        <v/>
      </c>
      <c r="R138" t="str">
        <f t="shared" si="55"/>
        <v/>
      </c>
      <c r="S138" t="str">
        <f t="shared" si="56"/>
        <v/>
      </c>
      <c r="T138" t="str">
        <f t="shared" si="57"/>
        <v/>
      </c>
      <c r="U138" t="str">
        <f t="shared" si="58"/>
        <v/>
      </c>
      <c r="V138" t="str">
        <f t="shared" si="59"/>
        <v/>
      </c>
      <c r="W138" t="str">
        <f t="shared" si="42"/>
        <v xml:space="preserve">              </v>
      </c>
    </row>
    <row r="139" spans="1:23" customFormat="1" hidden="1">
      <c r="A139" t="b">
        <f t="shared" si="41"/>
        <v>0</v>
      </c>
      <c r="B139">
        <f t="shared" si="43"/>
        <v>138</v>
      </c>
      <c r="C139" t="s">
        <v>59</v>
      </c>
      <c r="D139" t="s">
        <v>138</v>
      </c>
      <c r="E139">
        <f t="shared" si="40"/>
        <v>37</v>
      </c>
      <c r="G139">
        <f t="shared" si="44"/>
        <v>4</v>
      </c>
      <c r="H139" t="str">
        <f t="shared" si="45"/>
        <v/>
      </c>
      <c r="I139" t="str">
        <f t="shared" si="46"/>
        <v/>
      </c>
      <c r="J139" t="str">
        <f t="shared" si="47"/>
        <v/>
      </c>
      <c r="K139" t="str">
        <f t="shared" si="48"/>
        <v/>
      </c>
      <c r="L139" t="str">
        <f t="shared" si="49"/>
        <v/>
      </c>
      <c r="M139" t="str">
        <f t="shared" si="50"/>
        <v/>
      </c>
      <c r="N139" t="str">
        <f t="shared" si="51"/>
        <v/>
      </c>
      <c r="O139" t="str">
        <f t="shared" si="52"/>
        <v/>
      </c>
      <c r="P139" t="str">
        <f t="shared" si="53"/>
        <v/>
      </c>
      <c r="Q139" t="str">
        <f t="shared" si="54"/>
        <v/>
      </c>
      <c r="R139" t="str">
        <f t="shared" si="55"/>
        <v/>
      </c>
      <c r="S139" t="str">
        <f t="shared" si="56"/>
        <v/>
      </c>
      <c r="T139" t="str">
        <f t="shared" si="57"/>
        <v/>
      </c>
      <c r="U139" t="str">
        <f t="shared" si="58"/>
        <v/>
      </c>
      <c r="V139" t="str">
        <f t="shared" si="59"/>
        <v/>
      </c>
      <c r="W139" t="str">
        <f t="shared" si="42"/>
        <v xml:space="preserve">              </v>
      </c>
    </row>
    <row r="140" spans="1:23" customFormat="1" hidden="1">
      <c r="A140" t="b">
        <f t="shared" si="41"/>
        <v>0</v>
      </c>
      <c r="B140">
        <f t="shared" si="43"/>
        <v>139</v>
      </c>
      <c r="C140" t="s">
        <v>59</v>
      </c>
      <c r="D140" t="s">
        <v>139</v>
      </c>
      <c r="E140">
        <f t="shared" si="40"/>
        <v>35</v>
      </c>
      <c r="G140">
        <f t="shared" si="44"/>
        <v>5</v>
      </c>
      <c r="H140" t="str">
        <f t="shared" si="45"/>
        <v/>
      </c>
      <c r="I140" t="str">
        <f t="shared" si="46"/>
        <v/>
      </c>
      <c r="J140" t="str">
        <f t="shared" si="47"/>
        <v/>
      </c>
      <c r="K140" t="str">
        <f t="shared" si="48"/>
        <v/>
      </c>
      <c r="L140" t="str">
        <f t="shared" si="49"/>
        <v/>
      </c>
      <c r="M140" t="str">
        <f t="shared" si="50"/>
        <v/>
      </c>
      <c r="N140" t="str">
        <f t="shared" si="51"/>
        <v/>
      </c>
      <c r="O140" t="str">
        <f t="shared" si="52"/>
        <v/>
      </c>
      <c r="P140" t="str">
        <f t="shared" si="53"/>
        <v/>
      </c>
      <c r="Q140" t="str">
        <f t="shared" si="54"/>
        <v/>
      </c>
      <c r="R140" t="str">
        <f t="shared" si="55"/>
        <v/>
      </c>
      <c r="S140" t="str">
        <f t="shared" si="56"/>
        <v/>
      </c>
      <c r="T140" t="str">
        <f t="shared" si="57"/>
        <v/>
      </c>
      <c r="U140" t="str">
        <f t="shared" si="58"/>
        <v/>
      </c>
      <c r="V140" t="str">
        <f t="shared" si="59"/>
        <v/>
      </c>
      <c r="W140" t="str">
        <f t="shared" si="42"/>
        <v xml:space="preserve">              </v>
      </c>
    </row>
    <row r="141" spans="1:23" customFormat="1" hidden="1">
      <c r="A141" t="b">
        <f t="shared" si="41"/>
        <v>0</v>
      </c>
      <c r="B141">
        <f t="shared" si="43"/>
        <v>140</v>
      </c>
      <c r="C141" t="s">
        <v>59</v>
      </c>
      <c r="D141" t="s">
        <v>140</v>
      </c>
      <c r="E141">
        <f t="shared" si="40"/>
        <v>32</v>
      </c>
      <c r="G141">
        <f t="shared" si="44"/>
        <v>6</v>
      </c>
      <c r="H141" t="str">
        <f t="shared" si="45"/>
        <v/>
      </c>
      <c r="I141" t="str">
        <f t="shared" si="46"/>
        <v/>
      </c>
      <c r="J141" t="str">
        <f t="shared" si="47"/>
        <v/>
      </c>
      <c r="K141" t="str">
        <f t="shared" si="48"/>
        <v/>
      </c>
      <c r="L141" t="str">
        <f t="shared" si="49"/>
        <v/>
      </c>
      <c r="M141" t="str">
        <f t="shared" si="50"/>
        <v/>
      </c>
      <c r="N141" t="str">
        <f t="shared" si="51"/>
        <v/>
      </c>
      <c r="O141" t="str">
        <f t="shared" si="52"/>
        <v/>
      </c>
      <c r="P141" t="str">
        <f t="shared" si="53"/>
        <v/>
      </c>
      <c r="Q141" t="str">
        <f t="shared" si="54"/>
        <v/>
      </c>
      <c r="R141" t="str">
        <f t="shared" si="55"/>
        <v/>
      </c>
      <c r="S141" t="str">
        <f t="shared" si="56"/>
        <v/>
      </c>
      <c r="T141" t="str">
        <f t="shared" si="57"/>
        <v/>
      </c>
      <c r="U141" t="str">
        <f t="shared" si="58"/>
        <v/>
      </c>
      <c r="V141" t="str">
        <f t="shared" si="59"/>
        <v/>
      </c>
      <c r="W141" t="str">
        <f t="shared" si="42"/>
        <v xml:space="preserve">              </v>
      </c>
    </row>
    <row r="142" spans="1:23" hidden="1">
      <c r="A142" s="71" t="b">
        <f t="shared" si="41"/>
        <v>0</v>
      </c>
      <c r="B142" s="71">
        <f t="shared" si="43"/>
        <v>141</v>
      </c>
      <c r="C142" s="71" t="s">
        <v>59</v>
      </c>
      <c r="D142" s="71" t="s">
        <v>141</v>
      </c>
      <c r="E142">
        <f t="shared" si="40"/>
        <v>12</v>
      </c>
      <c r="F142">
        <v>1</v>
      </c>
      <c r="G142">
        <f t="shared" si="44"/>
        <v>1</v>
      </c>
      <c r="H142" t="str">
        <f t="shared" si="45"/>
        <v>reward power</v>
      </c>
      <c r="I142" t="str">
        <f t="shared" si="46"/>
        <v>The project manager can reward the</v>
      </c>
      <c r="J142" t="str">
        <f t="shared" si="47"/>
        <v>project team.</v>
      </c>
      <c r="K142" t="str">
        <f t="shared" si="48"/>
        <v>sender-receiver models Communication requires a sender and a receiver. Within this model may be multiple avenues to complete the flow of communication, but barriers to effective communication may be present as well. servant leadership The leader puts others first and focuses on the needs of the people he serves. Servant leaders provide opportunity for growth, education, autonomy within the project, and the well-being of others. The primary focus of servant leadership is service to others. situational power The project manager has power because of certain situations in the organization. style The tone, structure, and formality of the message being sent should be in alignment with the audience and the content of the message. transactional leadership The leader emphasizes the goals of the project and rewards and disincentives for the project team. This is sometimes called management by exception as it’s the exception that is reward or punished. transformational leadership The leader inspires and motivates the project team to achieve the project goals. Transformational leaders aim to empower the project team to act, be innovative in the project work, and accomplish through ambition.</v>
      </c>
      <c r="L142" t="str">
        <f t="shared" si="49"/>
        <v>or fold page in half. Read the term, recite</v>
      </c>
      <c r="M142" t="str">
        <f t="shared" si="50"/>
        <v>the definition, and then look at this side of</v>
      </c>
      <c r="N142" t="str">
        <f t="shared" si="51"/>
        <v/>
      </c>
      <c r="O142" t="str">
        <f t="shared" si="52"/>
        <v/>
      </c>
      <c r="P142" t="str">
        <f t="shared" si="53"/>
        <v/>
      </c>
      <c r="Q142" t="str">
        <f t="shared" si="54"/>
        <v/>
      </c>
      <c r="R142" t="str">
        <f t="shared" si="55"/>
        <v/>
      </c>
      <c r="S142" t="str">
        <f t="shared" si="56"/>
        <v/>
      </c>
      <c r="T142" t="str">
        <f t="shared" si="57"/>
        <v/>
      </c>
      <c r="U142" t="str">
        <f t="shared" si="58"/>
        <v/>
      </c>
      <c r="V142" t="str">
        <f t="shared" si="59"/>
        <v/>
      </c>
      <c r="W142" s="71" t="str">
        <f>CONCATENATE(H142," ",I142," ",J142," ",K142," ",L142," ",M142," ",N142," ",O142," ",P142," ",Q142," ",R142," ",S142," ",T142," ",U142," ",V142)</f>
        <v xml:space="preserve">reward power The project manager can reward the project team. sender-receiver models Communication requires a sender and a receiver. Within this model may be multiple avenues to complete the flow of communication, but barriers to effective communication may be present as well. servant leadership The leader puts others first and focuses on the needs of the people he serves. Servant leaders provide opportunity for growth, education, autonomy within the project, and the well-being of others. The primary focus of servant leadership is service to others. situational power The project manager has power because of certain situations in the organization. style The tone, structure, and formality of the message being sent should be in alignment with the audience and the content of the message. transactional leadership The leader emphasizes the goals of the project and rewards and disincentives for the project team. This is sometimes called management by exception as it’s the exception that is reward or punished. transformational leadership The leader inspires and motivates the project team to achieve the project goals. Transformational leaders aim to empower the project team to act, be innovative in the project work, and accomplish through ambition. or fold page in half. Read the term, recite the definition, and then look at this side of         </v>
      </c>
    </row>
    <row r="143" spans="1:23" customFormat="1" hidden="1">
      <c r="A143" t="b">
        <f t="shared" si="41"/>
        <v>0</v>
      </c>
      <c r="B143">
        <f t="shared" si="43"/>
        <v>142</v>
      </c>
      <c r="C143" t="s">
        <v>59</v>
      </c>
      <c r="D143" t="s">
        <v>142</v>
      </c>
      <c r="E143">
        <f t="shared" si="40"/>
        <v>34</v>
      </c>
      <c r="G143">
        <f t="shared" si="44"/>
        <v>2</v>
      </c>
      <c r="H143" t="str">
        <f t="shared" si="45"/>
        <v/>
      </c>
      <c r="I143" t="str">
        <f t="shared" si="46"/>
        <v/>
      </c>
      <c r="J143" t="str">
        <f t="shared" si="47"/>
        <v/>
      </c>
      <c r="K143" t="str">
        <f t="shared" si="48"/>
        <v/>
      </c>
      <c r="L143" t="str">
        <f t="shared" si="49"/>
        <v/>
      </c>
      <c r="M143" t="str">
        <f t="shared" si="50"/>
        <v/>
      </c>
      <c r="N143" t="str">
        <f t="shared" si="51"/>
        <v/>
      </c>
      <c r="O143" t="str">
        <f t="shared" si="52"/>
        <v/>
      </c>
      <c r="P143" t="str">
        <f t="shared" si="53"/>
        <v/>
      </c>
      <c r="Q143" t="str">
        <f t="shared" si="54"/>
        <v/>
      </c>
      <c r="R143" t="str">
        <f t="shared" si="55"/>
        <v/>
      </c>
      <c r="S143" t="str">
        <f t="shared" si="56"/>
        <v/>
      </c>
      <c r="T143" t="str">
        <f t="shared" si="57"/>
        <v/>
      </c>
      <c r="U143" t="str">
        <f t="shared" si="58"/>
        <v/>
      </c>
      <c r="V143" t="str">
        <f t="shared" si="59"/>
        <v/>
      </c>
      <c r="W143" t="str">
        <f t="shared" si="42"/>
        <v xml:space="preserve">              </v>
      </c>
    </row>
    <row r="144" spans="1:23" customFormat="1" hidden="1">
      <c r="A144" t="b">
        <f t="shared" si="41"/>
        <v>0</v>
      </c>
      <c r="B144">
        <f t="shared" si="43"/>
        <v>143</v>
      </c>
      <c r="C144" t="s">
        <v>59</v>
      </c>
      <c r="D144" t="s">
        <v>134</v>
      </c>
      <c r="E144">
        <f t="shared" si="40"/>
        <v>13</v>
      </c>
      <c r="G144">
        <f t="shared" si="44"/>
        <v>3</v>
      </c>
      <c r="H144" t="str">
        <f t="shared" si="45"/>
        <v/>
      </c>
      <c r="I144" t="str">
        <f t="shared" si="46"/>
        <v/>
      </c>
      <c r="J144" t="str">
        <f t="shared" si="47"/>
        <v/>
      </c>
      <c r="K144" t="str">
        <f t="shared" si="48"/>
        <v/>
      </c>
      <c r="L144" t="str">
        <f t="shared" si="49"/>
        <v/>
      </c>
      <c r="M144" t="str">
        <f t="shared" si="50"/>
        <v/>
      </c>
      <c r="N144" t="str">
        <f t="shared" si="51"/>
        <v/>
      </c>
      <c r="O144" t="str">
        <f t="shared" si="52"/>
        <v/>
      </c>
      <c r="P144" t="str">
        <f t="shared" si="53"/>
        <v/>
      </c>
      <c r="Q144" t="str">
        <f t="shared" si="54"/>
        <v/>
      </c>
      <c r="R144" t="str">
        <f t="shared" si="55"/>
        <v/>
      </c>
      <c r="S144" t="str">
        <f t="shared" si="56"/>
        <v/>
      </c>
      <c r="T144" t="str">
        <f t="shared" si="57"/>
        <v/>
      </c>
      <c r="U144" t="str">
        <f t="shared" si="58"/>
        <v/>
      </c>
      <c r="V144" t="str">
        <f t="shared" si="59"/>
        <v/>
      </c>
      <c r="W144" t="str">
        <f t="shared" si="42"/>
        <v xml:space="preserve">              </v>
      </c>
    </row>
    <row r="145" spans="1:23" customFormat="1">
      <c r="A145" t="b">
        <f t="shared" si="41"/>
        <v>0</v>
      </c>
      <c r="B145">
        <f t="shared" si="43"/>
        <v>144</v>
      </c>
      <c r="C145" t="s">
        <v>59</v>
      </c>
      <c r="D145" t="s">
        <v>143</v>
      </c>
      <c r="E145">
        <f t="shared" si="40"/>
        <v>1197</v>
      </c>
      <c r="G145">
        <f t="shared" si="44"/>
        <v>4</v>
      </c>
      <c r="H145" t="str">
        <f t="shared" si="45"/>
        <v/>
      </c>
      <c r="I145" t="str">
        <f t="shared" si="46"/>
        <v/>
      </c>
      <c r="J145" t="str">
        <f t="shared" si="47"/>
        <v/>
      </c>
      <c r="K145" t="str">
        <f t="shared" si="48"/>
        <v/>
      </c>
      <c r="L145" t="str">
        <f t="shared" si="49"/>
        <v/>
      </c>
      <c r="M145" t="str">
        <f t="shared" si="50"/>
        <v/>
      </c>
      <c r="N145" t="str">
        <f t="shared" si="51"/>
        <v/>
      </c>
      <c r="O145" t="str">
        <f t="shared" si="52"/>
        <v/>
      </c>
      <c r="P145" t="str">
        <f t="shared" si="53"/>
        <v/>
      </c>
      <c r="Q145" t="str">
        <f t="shared" si="54"/>
        <v/>
      </c>
      <c r="R145" t="str">
        <f t="shared" si="55"/>
        <v/>
      </c>
      <c r="S145" t="str">
        <f t="shared" si="56"/>
        <v/>
      </c>
      <c r="T145" t="str">
        <f t="shared" si="57"/>
        <v/>
      </c>
      <c r="U145" t="str">
        <f t="shared" si="58"/>
        <v/>
      </c>
      <c r="V145" t="str">
        <f t="shared" si="59"/>
        <v/>
      </c>
      <c r="W145" t="str">
        <f t="shared" si="42"/>
        <v xml:space="preserve">              </v>
      </c>
    </row>
    <row r="146" spans="1:23" customFormat="1" hidden="1">
      <c r="A146" t="b">
        <f t="shared" si="41"/>
        <v>0</v>
      </c>
      <c r="B146">
        <f t="shared" si="43"/>
        <v>145</v>
      </c>
      <c r="C146" t="s">
        <v>144</v>
      </c>
      <c r="D146" t="s">
        <v>145</v>
      </c>
      <c r="E146">
        <f t="shared" si="40"/>
        <v>43</v>
      </c>
      <c r="G146">
        <f t="shared" si="44"/>
        <v>5</v>
      </c>
      <c r="H146" t="str">
        <f t="shared" si="45"/>
        <v/>
      </c>
      <c r="I146" t="str">
        <f t="shared" si="46"/>
        <v/>
      </c>
      <c r="J146" t="str">
        <f t="shared" si="47"/>
        <v/>
      </c>
      <c r="K146" t="str">
        <f t="shared" si="48"/>
        <v/>
      </c>
      <c r="L146" t="str">
        <f t="shared" si="49"/>
        <v/>
      </c>
      <c r="M146" t="str">
        <f t="shared" si="50"/>
        <v/>
      </c>
      <c r="N146" t="str">
        <f t="shared" si="51"/>
        <v/>
      </c>
      <c r="O146" t="str">
        <f t="shared" si="52"/>
        <v/>
      </c>
      <c r="P146" t="str">
        <f t="shared" si="53"/>
        <v/>
      </c>
      <c r="Q146" t="str">
        <f t="shared" si="54"/>
        <v/>
      </c>
      <c r="R146" t="str">
        <f t="shared" si="55"/>
        <v/>
      </c>
      <c r="S146" t="str">
        <f t="shared" si="56"/>
        <v/>
      </c>
      <c r="T146" t="str">
        <f t="shared" si="57"/>
        <v/>
      </c>
      <c r="U146" t="str">
        <f t="shared" si="58"/>
        <v/>
      </c>
      <c r="V146" t="str">
        <f t="shared" si="59"/>
        <v/>
      </c>
      <c r="W146" t="str">
        <f t="shared" si="42"/>
        <v xml:space="preserve">              </v>
      </c>
    </row>
    <row r="147" spans="1:23" customFormat="1" hidden="1">
      <c r="A147" t="b">
        <f t="shared" si="41"/>
        <v>0</v>
      </c>
      <c r="B147">
        <f t="shared" si="43"/>
        <v>146</v>
      </c>
      <c r="C147" t="s">
        <v>144</v>
      </c>
      <c r="D147" t="s">
        <v>146</v>
      </c>
      <c r="E147">
        <f t="shared" si="40"/>
        <v>45</v>
      </c>
      <c r="G147">
        <f t="shared" si="44"/>
        <v>6</v>
      </c>
      <c r="H147" t="str">
        <f t="shared" si="45"/>
        <v/>
      </c>
      <c r="I147" t="str">
        <f t="shared" si="46"/>
        <v/>
      </c>
      <c r="J147" t="str">
        <f t="shared" si="47"/>
        <v/>
      </c>
      <c r="K147" t="str">
        <f t="shared" si="48"/>
        <v/>
      </c>
      <c r="L147" t="str">
        <f t="shared" si="49"/>
        <v/>
      </c>
      <c r="M147" t="str">
        <f t="shared" si="50"/>
        <v/>
      </c>
      <c r="N147" t="str">
        <f t="shared" si="51"/>
        <v/>
      </c>
      <c r="O147" t="str">
        <f t="shared" si="52"/>
        <v/>
      </c>
      <c r="P147" t="str">
        <f t="shared" si="53"/>
        <v/>
      </c>
      <c r="Q147" t="str">
        <f t="shared" si="54"/>
        <v/>
      </c>
      <c r="R147" t="str">
        <f t="shared" si="55"/>
        <v/>
      </c>
      <c r="S147" t="str">
        <f t="shared" si="56"/>
        <v/>
      </c>
      <c r="T147" t="str">
        <f t="shared" si="57"/>
        <v/>
      </c>
      <c r="U147" t="str">
        <f t="shared" si="58"/>
        <v/>
      </c>
      <c r="V147" t="str">
        <f t="shared" si="59"/>
        <v/>
      </c>
      <c r="W147" t="str">
        <f t="shared" si="42"/>
        <v xml:space="preserve">              </v>
      </c>
    </row>
    <row r="148" spans="1:23" hidden="1">
      <c r="A148" s="71" t="b">
        <f t="shared" si="41"/>
        <v>0</v>
      </c>
      <c r="B148" s="71">
        <f t="shared" si="43"/>
        <v>147</v>
      </c>
      <c r="C148" s="71" t="s">
        <v>144</v>
      </c>
      <c r="D148" s="71" t="s">
        <v>147</v>
      </c>
      <c r="E148">
        <f t="shared" si="40"/>
        <v>14</v>
      </c>
      <c r="F148">
        <v>1</v>
      </c>
      <c r="G148">
        <f t="shared" si="44"/>
        <v>1</v>
      </c>
      <c r="H148" t="str">
        <f t="shared" si="45"/>
        <v>Assumption log</v>
      </c>
      <c r="I148" t="str">
        <f t="shared" si="46"/>
        <v>An assumption is something that is</v>
      </c>
      <c r="J148" t="str">
        <f t="shared" si="47"/>
        <v>believed to be true or false, but it has not</v>
      </c>
      <c r="K148" t="str">
        <f t="shared" si="48"/>
        <v>yet been proven to be true or false.</v>
      </c>
      <c r="L148" t="str">
        <f t="shared" si="49"/>
        <v>Assumptions that prove wrong can</v>
      </c>
      <c r="M148" t="str">
        <f t="shared" si="50"/>
        <v>become risks for the project. All identified</v>
      </c>
      <c r="N148" t="str">
        <f t="shared" si="51"/>
        <v>project assumptions are recorded in the</v>
      </c>
      <c r="O148" t="str">
        <f t="shared" si="52"/>
        <v>assumption log for testing and analysis,</v>
      </c>
      <c r="P148" t="str">
        <f t="shared" si="53"/>
        <v>and the outcomes are recorded.</v>
      </c>
      <c r="Q148" t="str">
        <f t="shared" si="54"/>
        <v/>
      </c>
      <c r="R148" t="str">
        <f t="shared" si="55"/>
        <v/>
      </c>
      <c r="S148" t="str">
        <f t="shared" si="56"/>
        <v/>
      </c>
      <c r="T148" t="str">
        <f t="shared" si="57"/>
        <v/>
      </c>
      <c r="U148" t="str">
        <f t="shared" si="58"/>
        <v/>
      </c>
      <c r="V148" t="str">
        <f t="shared" si="59"/>
        <v/>
      </c>
      <c r="W148" s="71" t="str">
        <f>CONCATENATE(H148," ",I148," ",J148," ",K148," ",L148," ",M148," ",N148," ",O148," ",P148," ",Q148," ",R148," ",S148," ",T148," ",U148," ",V148)</f>
        <v xml:space="preserve">Assumption log An assumption is something that is believed to be true or false, but it has not yet been proven to be true or false. Assumptions that prove wrong can become risks for the project. All identified project assumptions are recorded in the assumption log for testing and analysis, and the outcomes are recorded.      </v>
      </c>
    </row>
    <row r="149" spans="1:23" customFormat="1" hidden="1">
      <c r="A149" t="b">
        <f t="shared" si="41"/>
        <v>0</v>
      </c>
      <c r="B149">
        <f t="shared" si="43"/>
        <v>148</v>
      </c>
      <c r="C149" t="s">
        <v>144</v>
      </c>
      <c r="D149" t="s">
        <v>148</v>
      </c>
      <c r="E149">
        <f t="shared" si="40"/>
        <v>34</v>
      </c>
      <c r="G149">
        <f t="shared" si="44"/>
        <v>2</v>
      </c>
      <c r="H149" t="str">
        <f t="shared" si="45"/>
        <v/>
      </c>
      <c r="I149" t="str">
        <f t="shared" si="46"/>
        <v/>
      </c>
      <c r="J149" t="str">
        <f t="shared" si="47"/>
        <v/>
      </c>
      <c r="K149" t="str">
        <f t="shared" si="48"/>
        <v/>
      </c>
      <c r="L149" t="str">
        <f t="shared" si="49"/>
        <v/>
      </c>
      <c r="M149" t="str">
        <f t="shared" si="50"/>
        <v/>
      </c>
      <c r="N149" t="str">
        <f t="shared" si="51"/>
        <v/>
      </c>
      <c r="O149" t="str">
        <f t="shared" si="52"/>
        <v/>
      </c>
      <c r="P149" t="str">
        <f t="shared" si="53"/>
        <v/>
      </c>
      <c r="Q149" t="str">
        <f t="shared" si="54"/>
        <v/>
      </c>
      <c r="R149" t="str">
        <f t="shared" si="55"/>
        <v/>
      </c>
      <c r="S149" t="str">
        <f t="shared" si="56"/>
        <v/>
      </c>
      <c r="T149" t="str">
        <f t="shared" si="57"/>
        <v/>
      </c>
      <c r="U149" t="str">
        <f t="shared" si="58"/>
        <v/>
      </c>
      <c r="V149" t="str">
        <f t="shared" si="59"/>
        <v/>
      </c>
      <c r="W149" t="str">
        <f t="shared" si="42"/>
        <v xml:space="preserve">              </v>
      </c>
    </row>
    <row r="150" spans="1:23" customFormat="1" hidden="1">
      <c r="A150" t="b">
        <f t="shared" si="41"/>
        <v>0</v>
      </c>
      <c r="B150">
        <f t="shared" si="43"/>
        <v>149</v>
      </c>
      <c r="C150" t="s">
        <v>144</v>
      </c>
      <c r="D150" t="s">
        <v>149</v>
      </c>
      <c r="E150">
        <f t="shared" si="40"/>
        <v>44</v>
      </c>
      <c r="G150">
        <f t="shared" si="44"/>
        <v>3</v>
      </c>
      <c r="H150" t="str">
        <f t="shared" si="45"/>
        <v/>
      </c>
      <c r="I150" t="str">
        <f t="shared" si="46"/>
        <v/>
      </c>
      <c r="J150" t="str">
        <f t="shared" si="47"/>
        <v/>
      </c>
      <c r="K150" t="str">
        <f t="shared" si="48"/>
        <v/>
      </c>
      <c r="L150" t="str">
        <f t="shared" si="49"/>
        <v/>
      </c>
      <c r="M150" t="str">
        <f t="shared" si="50"/>
        <v/>
      </c>
      <c r="N150" t="str">
        <f t="shared" si="51"/>
        <v/>
      </c>
      <c r="O150" t="str">
        <f t="shared" si="52"/>
        <v/>
      </c>
      <c r="P150" t="str">
        <f t="shared" si="53"/>
        <v/>
      </c>
      <c r="Q150" t="str">
        <f t="shared" si="54"/>
        <v/>
      </c>
      <c r="R150" t="str">
        <f t="shared" si="55"/>
        <v/>
      </c>
      <c r="S150" t="str">
        <f t="shared" si="56"/>
        <v/>
      </c>
      <c r="T150" t="str">
        <f t="shared" si="57"/>
        <v/>
      </c>
      <c r="U150" t="str">
        <f t="shared" si="58"/>
        <v/>
      </c>
      <c r="V150" t="str">
        <f t="shared" si="59"/>
        <v/>
      </c>
      <c r="W150" t="str">
        <f t="shared" si="42"/>
        <v xml:space="preserve">              </v>
      </c>
    </row>
    <row r="151" spans="1:23" customFormat="1" hidden="1">
      <c r="A151" t="b">
        <f t="shared" si="41"/>
        <v>0</v>
      </c>
      <c r="B151">
        <f t="shared" si="43"/>
        <v>150</v>
      </c>
      <c r="C151" t="s">
        <v>144</v>
      </c>
      <c r="D151" t="s">
        <v>150</v>
      </c>
      <c r="E151">
        <f t="shared" si="40"/>
        <v>36</v>
      </c>
      <c r="G151">
        <f t="shared" si="44"/>
        <v>4</v>
      </c>
      <c r="H151" t="str">
        <f t="shared" si="45"/>
        <v/>
      </c>
      <c r="I151" t="str">
        <f t="shared" si="46"/>
        <v/>
      </c>
      <c r="J151" t="str">
        <f t="shared" si="47"/>
        <v/>
      </c>
      <c r="K151" t="str">
        <f t="shared" si="48"/>
        <v/>
      </c>
      <c r="L151" t="str">
        <f t="shared" si="49"/>
        <v/>
      </c>
      <c r="M151" t="str">
        <f t="shared" si="50"/>
        <v/>
      </c>
      <c r="N151" t="str">
        <f t="shared" si="51"/>
        <v/>
      </c>
      <c r="O151" t="str">
        <f t="shared" si="52"/>
        <v/>
      </c>
      <c r="P151" t="str">
        <f t="shared" si="53"/>
        <v/>
      </c>
      <c r="Q151" t="str">
        <f t="shared" si="54"/>
        <v/>
      </c>
      <c r="R151" t="str">
        <f t="shared" si="55"/>
        <v/>
      </c>
      <c r="S151" t="str">
        <f t="shared" si="56"/>
        <v/>
      </c>
      <c r="T151" t="str">
        <f t="shared" si="57"/>
        <v/>
      </c>
      <c r="U151" t="str">
        <f t="shared" si="58"/>
        <v/>
      </c>
      <c r="V151" t="str">
        <f t="shared" si="59"/>
        <v/>
      </c>
      <c r="W151" t="str">
        <f t="shared" si="42"/>
        <v xml:space="preserve">              </v>
      </c>
    </row>
    <row r="152" spans="1:23" customFormat="1" hidden="1">
      <c r="A152" t="b">
        <f t="shared" si="41"/>
        <v>0</v>
      </c>
      <c r="B152">
        <f t="shared" si="43"/>
        <v>151</v>
      </c>
      <c r="C152" t="s">
        <v>144</v>
      </c>
      <c r="D152" t="s">
        <v>151</v>
      </c>
      <c r="E152">
        <f t="shared" si="40"/>
        <v>32</v>
      </c>
      <c r="G152">
        <f t="shared" si="44"/>
        <v>5</v>
      </c>
      <c r="H152" t="str">
        <f t="shared" si="45"/>
        <v/>
      </c>
      <c r="I152" t="str">
        <f t="shared" si="46"/>
        <v/>
      </c>
      <c r="J152" t="str">
        <f t="shared" si="47"/>
        <v/>
      </c>
      <c r="K152" t="str">
        <f t="shared" si="48"/>
        <v/>
      </c>
      <c r="L152" t="str">
        <f t="shared" si="49"/>
        <v/>
      </c>
      <c r="M152" t="str">
        <f t="shared" si="50"/>
        <v/>
      </c>
      <c r="N152" t="str">
        <f t="shared" si="51"/>
        <v/>
      </c>
      <c r="O152" t="str">
        <f t="shared" si="52"/>
        <v/>
      </c>
      <c r="P152" t="str">
        <f t="shared" si="53"/>
        <v/>
      </c>
      <c r="Q152" t="str">
        <f t="shared" si="54"/>
        <v/>
      </c>
      <c r="R152" t="str">
        <f t="shared" si="55"/>
        <v/>
      </c>
      <c r="S152" t="str">
        <f t="shared" si="56"/>
        <v/>
      </c>
      <c r="T152" t="str">
        <f t="shared" si="57"/>
        <v/>
      </c>
      <c r="U152" t="str">
        <f t="shared" si="58"/>
        <v/>
      </c>
      <c r="V152" t="str">
        <f t="shared" si="59"/>
        <v/>
      </c>
      <c r="W152" t="str">
        <f t="shared" si="42"/>
        <v xml:space="preserve">              </v>
      </c>
    </row>
    <row r="153" spans="1:23" customFormat="1" hidden="1">
      <c r="A153" t="b">
        <f t="shared" si="41"/>
        <v>0</v>
      </c>
      <c r="B153">
        <f t="shared" si="43"/>
        <v>152</v>
      </c>
      <c r="C153" t="s">
        <v>144</v>
      </c>
      <c r="D153" t="s">
        <v>152</v>
      </c>
      <c r="E153">
        <f t="shared" si="40"/>
        <v>44</v>
      </c>
      <c r="G153">
        <f t="shared" si="44"/>
        <v>6</v>
      </c>
      <c r="H153" t="str">
        <f t="shared" si="45"/>
        <v/>
      </c>
      <c r="I153" t="str">
        <f t="shared" si="46"/>
        <v/>
      </c>
      <c r="J153" t="str">
        <f t="shared" si="47"/>
        <v/>
      </c>
      <c r="K153" t="str">
        <f t="shared" si="48"/>
        <v/>
      </c>
      <c r="L153" t="str">
        <f t="shared" si="49"/>
        <v/>
      </c>
      <c r="M153" t="str">
        <f t="shared" si="50"/>
        <v/>
      </c>
      <c r="N153" t="str">
        <f t="shared" si="51"/>
        <v/>
      </c>
      <c r="O153" t="str">
        <f t="shared" si="52"/>
        <v/>
      </c>
      <c r="P153" t="str">
        <f t="shared" si="53"/>
        <v/>
      </c>
      <c r="Q153" t="str">
        <f t="shared" si="54"/>
        <v/>
      </c>
      <c r="R153" t="str">
        <f t="shared" si="55"/>
        <v/>
      </c>
      <c r="S153" t="str">
        <f t="shared" si="56"/>
        <v/>
      </c>
      <c r="T153" t="str">
        <f t="shared" si="57"/>
        <v/>
      </c>
      <c r="U153" t="str">
        <f t="shared" si="58"/>
        <v/>
      </c>
      <c r="V153" t="str">
        <f t="shared" si="59"/>
        <v/>
      </c>
      <c r="W153" t="str">
        <f t="shared" si="42"/>
        <v xml:space="preserve">              </v>
      </c>
    </row>
    <row r="154" spans="1:23" customFormat="1" hidden="1">
      <c r="A154" t="b">
        <f t="shared" si="41"/>
        <v>0</v>
      </c>
      <c r="B154">
        <f t="shared" si="43"/>
        <v>153</v>
      </c>
      <c r="C154" t="s">
        <v>144</v>
      </c>
      <c r="D154" t="s">
        <v>153</v>
      </c>
      <c r="E154">
        <f t="shared" si="40"/>
        <v>39</v>
      </c>
      <c r="G154">
        <f t="shared" si="44"/>
        <v>7</v>
      </c>
      <c r="H154" t="str">
        <f t="shared" si="45"/>
        <v/>
      </c>
      <c r="I154" t="str">
        <f t="shared" si="46"/>
        <v/>
      </c>
      <c r="J154" t="str">
        <f t="shared" si="47"/>
        <v/>
      </c>
      <c r="K154" t="str">
        <f t="shared" si="48"/>
        <v/>
      </c>
      <c r="L154" t="str">
        <f t="shared" si="49"/>
        <v/>
      </c>
      <c r="M154" t="str">
        <f t="shared" si="50"/>
        <v/>
      </c>
      <c r="N154" t="str">
        <f t="shared" si="51"/>
        <v/>
      </c>
      <c r="O154" t="str">
        <f t="shared" si="52"/>
        <v/>
      </c>
      <c r="P154" t="str">
        <f t="shared" si="53"/>
        <v/>
      </c>
      <c r="Q154" t="str">
        <f t="shared" si="54"/>
        <v/>
      </c>
      <c r="R154" t="str">
        <f t="shared" si="55"/>
        <v/>
      </c>
      <c r="S154" t="str">
        <f t="shared" si="56"/>
        <v/>
      </c>
      <c r="T154" t="str">
        <f t="shared" si="57"/>
        <v/>
      </c>
      <c r="U154" t="str">
        <f t="shared" si="58"/>
        <v/>
      </c>
      <c r="V154" t="str">
        <f t="shared" si="59"/>
        <v/>
      </c>
      <c r="W154" t="str">
        <f t="shared" si="42"/>
        <v xml:space="preserve">              </v>
      </c>
    </row>
    <row r="155" spans="1:23" customFormat="1" hidden="1">
      <c r="A155" t="b">
        <f t="shared" si="41"/>
        <v>0</v>
      </c>
      <c r="B155">
        <f t="shared" si="43"/>
        <v>154</v>
      </c>
      <c r="C155" t="s">
        <v>144</v>
      </c>
      <c r="D155" t="s">
        <v>154</v>
      </c>
      <c r="E155">
        <f t="shared" si="40"/>
        <v>40</v>
      </c>
      <c r="G155">
        <f t="shared" si="44"/>
        <v>8</v>
      </c>
      <c r="H155" t="str">
        <f t="shared" si="45"/>
        <v/>
      </c>
      <c r="I155" t="str">
        <f t="shared" si="46"/>
        <v/>
      </c>
      <c r="J155" t="str">
        <f t="shared" si="47"/>
        <v/>
      </c>
      <c r="K155" t="str">
        <f t="shared" si="48"/>
        <v/>
      </c>
      <c r="L155" t="str">
        <f t="shared" si="49"/>
        <v/>
      </c>
      <c r="M155" t="str">
        <f t="shared" si="50"/>
        <v/>
      </c>
      <c r="N155" t="str">
        <f t="shared" si="51"/>
        <v/>
      </c>
      <c r="O155" t="str">
        <f t="shared" si="52"/>
        <v/>
      </c>
      <c r="P155" t="str">
        <f t="shared" si="53"/>
        <v/>
      </c>
      <c r="Q155" t="str">
        <f t="shared" si="54"/>
        <v/>
      </c>
      <c r="R155" t="str">
        <f t="shared" si="55"/>
        <v/>
      </c>
      <c r="S155" t="str">
        <f t="shared" si="56"/>
        <v/>
      </c>
      <c r="T155" t="str">
        <f t="shared" si="57"/>
        <v/>
      </c>
      <c r="U155" t="str">
        <f t="shared" si="58"/>
        <v/>
      </c>
      <c r="V155" t="str">
        <f t="shared" si="59"/>
        <v/>
      </c>
      <c r="W155" t="str">
        <f t="shared" si="42"/>
        <v xml:space="preserve">              </v>
      </c>
    </row>
    <row r="156" spans="1:23" customFormat="1" hidden="1">
      <c r="A156" t="b">
        <f t="shared" si="41"/>
        <v>0</v>
      </c>
      <c r="B156">
        <f t="shared" si="43"/>
        <v>155</v>
      </c>
      <c r="C156" t="s">
        <v>144</v>
      </c>
      <c r="D156" t="s">
        <v>155</v>
      </c>
      <c r="E156">
        <f t="shared" si="40"/>
        <v>30</v>
      </c>
      <c r="G156">
        <f t="shared" si="44"/>
        <v>9</v>
      </c>
      <c r="H156" t="str">
        <f t="shared" si="45"/>
        <v/>
      </c>
      <c r="I156" t="str">
        <f t="shared" si="46"/>
        <v/>
      </c>
      <c r="J156" t="str">
        <f t="shared" si="47"/>
        <v/>
      </c>
      <c r="K156" t="str">
        <f t="shared" si="48"/>
        <v/>
      </c>
      <c r="L156" t="str">
        <f t="shared" si="49"/>
        <v/>
      </c>
      <c r="M156" t="str">
        <f t="shared" si="50"/>
        <v/>
      </c>
      <c r="N156" t="str">
        <f t="shared" si="51"/>
        <v/>
      </c>
      <c r="O156" t="str">
        <f t="shared" si="52"/>
        <v/>
      </c>
      <c r="P156" t="str">
        <f t="shared" si="53"/>
        <v/>
      </c>
      <c r="Q156" t="str">
        <f t="shared" si="54"/>
        <v/>
      </c>
      <c r="R156" t="str">
        <f t="shared" si="55"/>
        <v/>
      </c>
      <c r="S156" t="str">
        <f t="shared" si="56"/>
        <v/>
      </c>
      <c r="T156" t="str">
        <f t="shared" si="57"/>
        <v/>
      </c>
      <c r="U156" t="str">
        <f t="shared" si="58"/>
        <v/>
      </c>
      <c r="V156" t="str">
        <f t="shared" si="59"/>
        <v/>
      </c>
      <c r="W156" t="str">
        <f t="shared" si="42"/>
        <v xml:space="preserve">              </v>
      </c>
    </row>
    <row r="157" spans="1:23" hidden="1">
      <c r="A157" s="71" t="b">
        <f t="shared" si="41"/>
        <v>0</v>
      </c>
      <c r="B157" s="71">
        <f t="shared" si="43"/>
        <v>156</v>
      </c>
      <c r="C157" s="71" t="s">
        <v>144</v>
      </c>
      <c r="D157" s="71" t="s">
        <v>156</v>
      </c>
      <c r="E157">
        <f t="shared" si="40"/>
        <v>31</v>
      </c>
      <c r="F157">
        <v>1</v>
      </c>
      <c r="G157">
        <f t="shared" si="44"/>
        <v>1</v>
      </c>
      <c r="H157" t="str">
        <f t="shared" si="45"/>
        <v>Benefit/cost ratio (BCR) models</v>
      </c>
      <c r="I157" t="str">
        <f t="shared" si="46"/>
        <v>This is an example of a benefits</v>
      </c>
      <c r="J157" t="str">
        <f t="shared" si="47"/>
        <v>comparison model. It examines the</v>
      </c>
      <c r="K157" t="str">
        <f t="shared" si="48"/>
        <v>benefit-to-cost ratio.</v>
      </c>
      <c r="L157" t="str">
        <f t="shared" si="49"/>
        <v/>
      </c>
      <c r="M157" t="str">
        <f t="shared" si="50"/>
        <v/>
      </c>
      <c r="N157" t="str">
        <f t="shared" si="51"/>
        <v/>
      </c>
      <c r="O157" t="str">
        <f t="shared" si="52"/>
        <v/>
      </c>
      <c r="P157" t="str">
        <f t="shared" si="53"/>
        <v/>
      </c>
      <c r="Q157" t="str">
        <f t="shared" si="54"/>
        <v/>
      </c>
      <c r="R157" t="str">
        <f t="shared" si="55"/>
        <v/>
      </c>
      <c r="S157" t="str">
        <f t="shared" si="56"/>
        <v/>
      </c>
      <c r="T157" t="str">
        <f t="shared" si="57"/>
        <v/>
      </c>
      <c r="U157" t="str">
        <f t="shared" si="58"/>
        <v/>
      </c>
      <c r="V157" t="str">
        <f t="shared" si="59"/>
        <v/>
      </c>
      <c r="W157" s="71" t="str">
        <f>CONCATENATE(H157," ",I157," ",J157," ",K157," ",L157," ",M157," ",N157," ",O157," ",P157," ",Q157," ",R157," ",S157," ",T157," ",U157," ",V157)</f>
        <v xml:space="preserve">Benefit/cost ratio (BCR) models This is an example of a benefits comparison model. It examines the benefit-to-cost ratio.           </v>
      </c>
    </row>
    <row r="158" spans="1:23" customFormat="1" hidden="1">
      <c r="A158" t="b">
        <f t="shared" si="41"/>
        <v>0</v>
      </c>
      <c r="B158">
        <f t="shared" si="43"/>
        <v>157</v>
      </c>
      <c r="C158" t="s">
        <v>144</v>
      </c>
      <c r="D158" t="s">
        <v>157</v>
      </c>
      <c r="E158">
        <f t="shared" si="40"/>
        <v>32</v>
      </c>
      <c r="G158">
        <f t="shared" si="44"/>
        <v>2</v>
      </c>
      <c r="H158" t="str">
        <f t="shared" si="45"/>
        <v/>
      </c>
      <c r="I158" t="str">
        <f t="shared" si="46"/>
        <v/>
      </c>
      <c r="J158" t="str">
        <f t="shared" si="47"/>
        <v/>
      </c>
      <c r="K158" t="str">
        <f t="shared" si="48"/>
        <v/>
      </c>
      <c r="L158" t="str">
        <f t="shared" si="49"/>
        <v/>
      </c>
      <c r="M158" t="str">
        <f t="shared" si="50"/>
        <v/>
      </c>
      <c r="N158" t="str">
        <f t="shared" si="51"/>
        <v/>
      </c>
      <c r="O158" t="str">
        <f t="shared" si="52"/>
        <v/>
      </c>
      <c r="P158" t="str">
        <f t="shared" si="53"/>
        <v/>
      </c>
      <c r="Q158" t="str">
        <f t="shared" si="54"/>
        <v/>
      </c>
      <c r="R158" t="str">
        <f t="shared" si="55"/>
        <v/>
      </c>
      <c r="S158" t="str">
        <f t="shared" si="56"/>
        <v/>
      </c>
      <c r="T158" t="str">
        <f t="shared" si="57"/>
        <v/>
      </c>
      <c r="U158" t="str">
        <f t="shared" si="58"/>
        <v/>
      </c>
      <c r="V158" t="str">
        <f t="shared" si="59"/>
        <v/>
      </c>
      <c r="W158" t="str">
        <f t="shared" si="42"/>
        <v xml:space="preserve">              </v>
      </c>
    </row>
    <row r="159" spans="1:23" customFormat="1" hidden="1">
      <c r="A159" t="b">
        <f t="shared" si="41"/>
        <v>0</v>
      </c>
      <c r="B159">
        <f t="shared" si="43"/>
        <v>158</v>
      </c>
      <c r="C159" t="s">
        <v>144</v>
      </c>
      <c r="D159" t="s">
        <v>158</v>
      </c>
      <c r="E159">
        <f t="shared" si="40"/>
        <v>33</v>
      </c>
      <c r="G159">
        <f t="shared" si="44"/>
        <v>3</v>
      </c>
      <c r="H159" t="str">
        <f t="shared" si="45"/>
        <v/>
      </c>
      <c r="I159" t="str">
        <f t="shared" si="46"/>
        <v/>
      </c>
      <c r="J159" t="str">
        <f t="shared" si="47"/>
        <v/>
      </c>
      <c r="K159" t="str">
        <f t="shared" si="48"/>
        <v/>
      </c>
      <c r="L159" t="str">
        <f t="shared" si="49"/>
        <v/>
      </c>
      <c r="M159" t="str">
        <f t="shared" si="50"/>
        <v/>
      </c>
      <c r="N159" t="str">
        <f t="shared" si="51"/>
        <v/>
      </c>
      <c r="O159" t="str">
        <f t="shared" si="52"/>
        <v/>
      </c>
      <c r="P159" t="str">
        <f t="shared" si="53"/>
        <v/>
      </c>
      <c r="Q159" t="str">
        <f t="shared" si="54"/>
        <v/>
      </c>
      <c r="R159" t="str">
        <f t="shared" si="55"/>
        <v/>
      </c>
      <c r="S159" t="str">
        <f t="shared" si="56"/>
        <v/>
      </c>
      <c r="T159" t="str">
        <f t="shared" si="57"/>
        <v/>
      </c>
      <c r="U159" t="str">
        <f t="shared" si="58"/>
        <v/>
      </c>
      <c r="V159" t="str">
        <f t="shared" si="59"/>
        <v/>
      </c>
      <c r="W159" t="str">
        <f t="shared" si="42"/>
        <v xml:space="preserve">              </v>
      </c>
    </row>
    <row r="160" spans="1:23" customFormat="1" hidden="1">
      <c r="A160" t="b">
        <f t="shared" si="41"/>
        <v>0</v>
      </c>
      <c r="B160">
        <f t="shared" si="43"/>
        <v>159</v>
      </c>
      <c r="C160" t="s">
        <v>144</v>
      </c>
      <c r="D160" t="s">
        <v>159</v>
      </c>
      <c r="E160">
        <f t="shared" si="40"/>
        <v>22</v>
      </c>
      <c r="G160">
        <f t="shared" si="44"/>
        <v>4</v>
      </c>
      <c r="H160" t="str">
        <f t="shared" si="45"/>
        <v/>
      </c>
      <c r="I160" t="str">
        <f t="shared" si="46"/>
        <v/>
      </c>
      <c r="J160" t="str">
        <f t="shared" si="47"/>
        <v/>
      </c>
      <c r="K160" t="str">
        <f t="shared" si="48"/>
        <v/>
      </c>
      <c r="L160" t="str">
        <f t="shared" si="49"/>
        <v/>
      </c>
      <c r="M160" t="str">
        <f t="shared" si="50"/>
        <v/>
      </c>
      <c r="N160" t="str">
        <f t="shared" si="51"/>
        <v/>
      </c>
      <c r="O160" t="str">
        <f t="shared" si="52"/>
        <v/>
      </c>
      <c r="P160" t="str">
        <f t="shared" si="53"/>
        <v/>
      </c>
      <c r="Q160" t="str">
        <f t="shared" si="54"/>
        <v/>
      </c>
      <c r="R160" t="str">
        <f t="shared" si="55"/>
        <v/>
      </c>
      <c r="S160" t="str">
        <f t="shared" si="56"/>
        <v/>
      </c>
      <c r="T160" t="str">
        <f t="shared" si="57"/>
        <v/>
      </c>
      <c r="U160" t="str">
        <f t="shared" si="58"/>
        <v/>
      </c>
      <c r="V160" t="str">
        <f t="shared" si="59"/>
        <v/>
      </c>
      <c r="W160" t="str">
        <f t="shared" si="42"/>
        <v xml:space="preserve">              </v>
      </c>
    </row>
    <row r="161" spans="1:23" hidden="1">
      <c r="A161" s="71" t="b">
        <f t="shared" si="41"/>
        <v>0</v>
      </c>
      <c r="B161" s="71">
        <f t="shared" si="43"/>
        <v>160</v>
      </c>
      <c r="C161" s="71" t="s">
        <v>144</v>
      </c>
      <c r="D161" s="71" t="s">
        <v>160</v>
      </c>
      <c r="E161">
        <f t="shared" si="40"/>
        <v>26</v>
      </c>
      <c r="F161">
        <v>1</v>
      </c>
      <c r="G161">
        <f t="shared" si="44"/>
        <v>1</v>
      </c>
      <c r="H161" t="str">
        <f t="shared" si="45"/>
        <v>Change control board (CCB)</v>
      </c>
      <c r="I161" t="str">
        <f t="shared" si="46"/>
        <v>A committee that evaluates the</v>
      </c>
      <c r="J161" t="str">
        <f t="shared" si="47"/>
        <v>worthiness of a proposed change and</v>
      </c>
      <c r="K161" t="str">
        <f t="shared" si="48"/>
        <v>either approves or rejects the proposed</v>
      </c>
      <c r="L161" t="str">
        <f t="shared" si="49"/>
        <v>change.</v>
      </c>
      <c r="M161" t="str">
        <f t="shared" si="50"/>
        <v/>
      </c>
      <c r="N161" t="str">
        <f t="shared" si="51"/>
        <v/>
      </c>
      <c r="O161" t="str">
        <f t="shared" si="52"/>
        <v/>
      </c>
      <c r="P161" t="str">
        <f t="shared" si="53"/>
        <v/>
      </c>
      <c r="Q161" t="str">
        <f t="shared" si="54"/>
        <v/>
      </c>
      <c r="R161" t="str">
        <f t="shared" si="55"/>
        <v/>
      </c>
      <c r="S161" t="str">
        <f t="shared" si="56"/>
        <v/>
      </c>
      <c r="T161" t="str">
        <f t="shared" si="57"/>
        <v/>
      </c>
      <c r="U161" t="str">
        <f t="shared" si="58"/>
        <v/>
      </c>
      <c r="V161" t="str">
        <f t="shared" si="59"/>
        <v/>
      </c>
      <c r="W161" s="71" t="str">
        <f>CONCATENATE(H161," ",I161," ",J161," ",K161," ",L161," ",M161," ",N161," ",O161," ",P161," ",Q161," ",R161," ",S161," ",T161," ",U161," ",V161)</f>
        <v xml:space="preserve">Change control board (CCB) A committee that evaluates the worthiness of a proposed change and either approves or rejects the proposed change.          </v>
      </c>
    </row>
    <row r="162" spans="1:23" customFormat="1" hidden="1">
      <c r="A162" t="b">
        <f t="shared" si="41"/>
        <v>0</v>
      </c>
      <c r="B162">
        <f t="shared" si="43"/>
        <v>161</v>
      </c>
      <c r="C162" t="s">
        <v>144</v>
      </c>
      <c r="D162" t="s">
        <v>161</v>
      </c>
      <c r="E162">
        <f t="shared" si="40"/>
        <v>30</v>
      </c>
      <c r="G162">
        <f t="shared" si="44"/>
        <v>2</v>
      </c>
      <c r="H162" t="str">
        <f t="shared" si="45"/>
        <v/>
      </c>
      <c r="I162" t="str">
        <f t="shared" si="46"/>
        <v/>
      </c>
      <c r="J162" t="str">
        <f t="shared" si="47"/>
        <v/>
      </c>
      <c r="K162" t="str">
        <f t="shared" si="48"/>
        <v/>
      </c>
      <c r="L162" t="str">
        <f t="shared" si="49"/>
        <v/>
      </c>
      <c r="M162" t="str">
        <f t="shared" si="50"/>
        <v/>
      </c>
      <c r="N162" t="str">
        <f t="shared" si="51"/>
        <v/>
      </c>
      <c r="O162" t="str">
        <f t="shared" si="52"/>
        <v/>
      </c>
      <c r="P162" t="str">
        <f t="shared" si="53"/>
        <v/>
      </c>
      <c r="Q162" t="str">
        <f t="shared" si="54"/>
        <v/>
      </c>
      <c r="R162" t="str">
        <f t="shared" si="55"/>
        <v/>
      </c>
      <c r="S162" t="str">
        <f t="shared" si="56"/>
        <v/>
      </c>
      <c r="T162" t="str">
        <f t="shared" si="57"/>
        <v/>
      </c>
      <c r="U162" t="str">
        <f t="shared" si="58"/>
        <v/>
      </c>
      <c r="V162" t="str">
        <f t="shared" si="59"/>
        <v/>
      </c>
      <c r="W162" t="str">
        <f t="shared" si="42"/>
        <v xml:space="preserve">              </v>
      </c>
    </row>
    <row r="163" spans="1:23" customFormat="1" hidden="1">
      <c r="A163" t="b">
        <f t="shared" si="41"/>
        <v>0</v>
      </c>
      <c r="B163">
        <f t="shared" si="43"/>
        <v>162</v>
      </c>
      <c r="C163" t="s">
        <v>144</v>
      </c>
      <c r="D163" t="s">
        <v>162</v>
      </c>
      <c r="E163">
        <f t="shared" si="40"/>
        <v>35</v>
      </c>
      <c r="G163">
        <f t="shared" si="44"/>
        <v>3</v>
      </c>
      <c r="H163" t="str">
        <f t="shared" si="45"/>
        <v/>
      </c>
      <c r="I163" t="str">
        <f t="shared" si="46"/>
        <v/>
      </c>
      <c r="J163" t="str">
        <f t="shared" si="47"/>
        <v/>
      </c>
      <c r="K163" t="str">
        <f t="shared" si="48"/>
        <v/>
      </c>
      <c r="L163" t="str">
        <f t="shared" si="49"/>
        <v/>
      </c>
      <c r="M163" t="str">
        <f t="shared" si="50"/>
        <v/>
      </c>
      <c r="N163" t="str">
        <f t="shared" si="51"/>
        <v/>
      </c>
      <c r="O163" t="str">
        <f t="shared" si="52"/>
        <v/>
      </c>
      <c r="P163" t="str">
        <f t="shared" si="53"/>
        <v/>
      </c>
      <c r="Q163" t="str">
        <f t="shared" si="54"/>
        <v/>
      </c>
      <c r="R163" t="str">
        <f t="shared" si="55"/>
        <v/>
      </c>
      <c r="S163" t="str">
        <f t="shared" si="56"/>
        <v/>
      </c>
      <c r="T163" t="str">
        <f t="shared" si="57"/>
        <v/>
      </c>
      <c r="U163" t="str">
        <f t="shared" si="58"/>
        <v/>
      </c>
      <c r="V163" t="str">
        <f t="shared" si="59"/>
        <v/>
      </c>
      <c r="W163" t="str">
        <f t="shared" si="42"/>
        <v xml:space="preserve">              </v>
      </c>
    </row>
    <row r="164" spans="1:23" customFormat="1" hidden="1">
      <c r="A164" t="b">
        <f t="shared" si="41"/>
        <v>0</v>
      </c>
      <c r="B164">
        <f t="shared" si="43"/>
        <v>163</v>
      </c>
      <c r="C164" t="s">
        <v>144</v>
      </c>
      <c r="D164" t="s">
        <v>163</v>
      </c>
      <c r="E164">
        <f t="shared" si="40"/>
        <v>39</v>
      </c>
      <c r="G164">
        <f t="shared" si="44"/>
        <v>4</v>
      </c>
      <c r="H164" t="str">
        <f t="shared" si="45"/>
        <v/>
      </c>
      <c r="I164" t="str">
        <f t="shared" si="46"/>
        <v/>
      </c>
      <c r="J164" t="str">
        <f t="shared" si="47"/>
        <v/>
      </c>
      <c r="K164" t="str">
        <f t="shared" si="48"/>
        <v/>
      </c>
      <c r="L164" t="str">
        <f t="shared" si="49"/>
        <v/>
      </c>
      <c r="M164" t="str">
        <f t="shared" si="50"/>
        <v/>
      </c>
      <c r="N164" t="str">
        <f t="shared" si="51"/>
        <v/>
      </c>
      <c r="O164" t="str">
        <f t="shared" si="52"/>
        <v/>
      </c>
      <c r="P164" t="str">
        <f t="shared" si="53"/>
        <v/>
      </c>
      <c r="Q164" t="str">
        <f t="shared" si="54"/>
        <v/>
      </c>
      <c r="R164" t="str">
        <f t="shared" si="55"/>
        <v/>
      </c>
      <c r="S164" t="str">
        <f t="shared" si="56"/>
        <v/>
      </c>
      <c r="T164" t="str">
        <f t="shared" si="57"/>
        <v/>
      </c>
      <c r="U164" t="str">
        <f t="shared" si="58"/>
        <v/>
      </c>
      <c r="V164" t="str">
        <f t="shared" si="59"/>
        <v/>
      </c>
      <c r="W164" t="str">
        <f t="shared" si="42"/>
        <v xml:space="preserve">              </v>
      </c>
    </row>
    <row r="165" spans="1:23" customFormat="1" hidden="1">
      <c r="A165" t="b">
        <f t="shared" si="41"/>
        <v>0</v>
      </c>
      <c r="B165">
        <f t="shared" si="43"/>
        <v>164</v>
      </c>
      <c r="C165" t="s">
        <v>144</v>
      </c>
      <c r="D165" t="s">
        <v>164</v>
      </c>
      <c r="E165">
        <f t="shared" si="40"/>
        <v>7</v>
      </c>
      <c r="G165">
        <f t="shared" si="44"/>
        <v>5</v>
      </c>
      <c r="H165" t="str">
        <f t="shared" si="45"/>
        <v/>
      </c>
      <c r="I165" t="str">
        <f t="shared" si="46"/>
        <v/>
      </c>
      <c r="J165" t="str">
        <f t="shared" si="47"/>
        <v/>
      </c>
      <c r="K165" t="str">
        <f t="shared" si="48"/>
        <v/>
      </c>
      <c r="L165" t="str">
        <f t="shared" si="49"/>
        <v/>
      </c>
      <c r="M165" t="str">
        <f t="shared" si="50"/>
        <v/>
      </c>
      <c r="N165" t="str">
        <f t="shared" si="51"/>
        <v/>
      </c>
      <c r="O165" t="str">
        <f t="shared" si="52"/>
        <v/>
      </c>
      <c r="P165" t="str">
        <f t="shared" si="53"/>
        <v/>
      </c>
      <c r="Q165" t="str">
        <f t="shared" si="54"/>
        <v/>
      </c>
      <c r="R165" t="str">
        <f t="shared" si="55"/>
        <v/>
      </c>
      <c r="S165" t="str">
        <f t="shared" si="56"/>
        <v/>
      </c>
      <c r="T165" t="str">
        <f t="shared" si="57"/>
        <v/>
      </c>
      <c r="U165" t="str">
        <f t="shared" si="58"/>
        <v/>
      </c>
      <c r="V165" t="str">
        <f t="shared" si="59"/>
        <v/>
      </c>
      <c r="W165" t="str">
        <f t="shared" si="42"/>
        <v xml:space="preserve">              </v>
      </c>
    </row>
    <row r="166" spans="1:23" hidden="1">
      <c r="A166" s="71" t="b">
        <f t="shared" si="41"/>
        <v>0</v>
      </c>
      <c r="B166" s="71">
        <f t="shared" si="43"/>
        <v>165</v>
      </c>
      <c r="C166" s="71" t="s">
        <v>144</v>
      </c>
      <c r="D166" s="71" t="s">
        <v>165</v>
      </c>
      <c r="E166">
        <f t="shared" si="40"/>
        <v>27</v>
      </c>
      <c r="F166">
        <v>1</v>
      </c>
      <c r="G166">
        <f t="shared" si="44"/>
        <v>1</v>
      </c>
      <c r="H166" t="str">
        <f t="shared" si="45"/>
        <v>Change control system (CCS)</v>
      </c>
      <c r="I166" t="str">
        <f t="shared" si="46"/>
        <v>The change control system communicates</v>
      </c>
      <c r="J166" t="str">
        <f t="shared" si="47"/>
        <v>the process for controlling changes to the</v>
      </c>
      <c r="K166" t="str">
        <f t="shared" si="48"/>
        <v>project deliverables. This system works</v>
      </c>
      <c r="L166" t="str">
        <f t="shared" si="49"/>
        <v>with the configuration management</v>
      </c>
      <c r="M166" t="str">
        <f t="shared" si="50"/>
        <v>system and seeks to control and</v>
      </c>
      <c r="N166" t="str">
        <f t="shared" si="51"/>
        <v>document proposals to change the</v>
      </c>
      <c r="O166" t="str">
        <f t="shared" si="52"/>
        <v>project’s product.</v>
      </c>
      <c r="P166" t="str">
        <f t="shared" si="53"/>
        <v/>
      </c>
      <c r="Q166" t="str">
        <f t="shared" si="54"/>
        <v/>
      </c>
      <c r="R166" t="str">
        <f t="shared" si="55"/>
        <v/>
      </c>
      <c r="S166" t="str">
        <f t="shared" si="56"/>
        <v/>
      </c>
      <c r="T166" t="str">
        <f t="shared" si="57"/>
        <v/>
      </c>
      <c r="U166" t="str">
        <f t="shared" si="58"/>
        <v/>
      </c>
      <c r="V166" t="str">
        <f t="shared" si="59"/>
        <v/>
      </c>
      <c r="W166" s="71" t="str">
        <f>CONCATENATE(H166," ",I166," ",J166," ",K166," ",L166," ",M166," ",N166," ",O166," ",P166," ",Q166," ",R166," ",S166," ",T166," ",U166," ",V166)</f>
        <v xml:space="preserve">Change control system (CCS) The change control system communicates the process for controlling changes to the project deliverables. This system works with the configuration management system and seeks to control and document proposals to change the project’s product.       </v>
      </c>
    </row>
    <row r="167" spans="1:23" customFormat="1" hidden="1">
      <c r="A167" t="b">
        <f t="shared" si="41"/>
        <v>0</v>
      </c>
      <c r="B167">
        <f t="shared" si="43"/>
        <v>166</v>
      </c>
      <c r="C167" t="s">
        <v>144</v>
      </c>
      <c r="D167" t="s">
        <v>166</v>
      </c>
      <c r="E167">
        <f t="shared" si="40"/>
        <v>38</v>
      </c>
      <c r="G167">
        <f t="shared" si="44"/>
        <v>2</v>
      </c>
      <c r="H167" t="str">
        <f t="shared" si="45"/>
        <v/>
      </c>
      <c r="I167" t="str">
        <f t="shared" si="46"/>
        <v/>
      </c>
      <c r="J167" t="str">
        <f t="shared" si="47"/>
        <v/>
      </c>
      <c r="K167" t="str">
        <f t="shared" si="48"/>
        <v/>
      </c>
      <c r="L167" t="str">
        <f t="shared" si="49"/>
        <v/>
      </c>
      <c r="M167" t="str">
        <f t="shared" si="50"/>
        <v/>
      </c>
      <c r="N167" t="str">
        <f t="shared" si="51"/>
        <v/>
      </c>
      <c r="O167" t="str">
        <f t="shared" si="52"/>
        <v/>
      </c>
      <c r="P167" t="str">
        <f t="shared" si="53"/>
        <v/>
      </c>
      <c r="Q167" t="str">
        <f t="shared" si="54"/>
        <v/>
      </c>
      <c r="R167" t="str">
        <f t="shared" si="55"/>
        <v/>
      </c>
      <c r="S167" t="str">
        <f t="shared" si="56"/>
        <v/>
      </c>
      <c r="T167" t="str">
        <f t="shared" si="57"/>
        <v/>
      </c>
      <c r="U167" t="str">
        <f t="shared" si="58"/>
        <v/>
      </c>
      <c r="V167" t="str">
        <f t="shared" si="59"/>
        <v/>
      </c>
      <c r="W167" t="str">
        <f t="shared" si="42"/>
        <v xml:space="preserve">              </v>
      </c>
    </row>
    <row r="168" spans="1:23" customFormat="1" hidden="1">
      <c r="A168" t="b">
        <f t="shared" si="41"/>
        <v>0</v>
      </c>
      <c r="B168">
        <f t="shared" si="43"/>
        <v>167</v>
      </c>
      <c r="C168" t="s">
        <v>144</v>
      </c>
      <c r="D168" t="s">
        <v>167</v>
      </c>
      <c r="E168">
        <f t="shared" si="40"/>
        <v>42</v>
      </c>
      <c r="G168">
        <f t="shared" si="44"/>
        <v>3</v>
      </c>
      <c r="H168" t="str">
        <f t="shared" si="45"/>
        <v/>
      </c>
      <c r="I168" t="str">
        <f t="shared" si="46"/>
        <v/>
      </c>
      <c r="J168" t="str">
        <f t="shared" si="47"/>
        <v/>
      </c>
      <c r="K168" t="str">
        <f t="shared" si="48"/>
        <v/>
      </c>
      <c r="L168" t="str">
        <f t="shared" si="49"/>
        <v/>
      </c>
      <c r="M168" t="str">
        <f t="shared" si="50"/>
        <v/>
      </c>
      <c r="N168" t="str">
        <f t="shared" si="51"/>
        <v/>
      </c>
      <c r="O168" t="str">
        <f t="shared" si="52"/>
        <v/>
      </c>
      <c r="P168" t="str">
        <f t="shared" si="53"/>
        <v/>
      </c>
      <c r="Q168" t="str">
        <f t="shared" si="54"/>
        <v/>
      </c>
      <c r="R168" t="str">
        <f t="shared" si="55"/>
        <v/>
      </c>
      <c r="S168" t="str">
        <f t="shared" si="56"/>
        <v/>
      </c>
      <c r="T168" t="str">
        <f t="shared" si="57"/>
        <v/>
      </c>
      <c r="U168" t="str">
        <f t="shared" si="58"/>
        <v/>
      </c>
      <c r="V168" t="str">
        <f t="shared" si="59"/>
        <v/>
      </c>
      <c r="W168" t="str">
        <f t="shared" si="42"/>
        <v xml:space="preserve">              </v>
      </c>
    </row>
    <row r="169" spans="1:23" customFormat="1" hidden="1">
      <c r="A169" t="b">
        <f t="shared" si="41"/>
        <v>0</v>
      </c>
      <c r="B169">
        <f t="shared" si="43"/>
        <v>168</v>
      </c>
      <c r="C169" t="s">
        <v>144</v>
      </c>
      <c r="D169" t="s">
        <v>168</v>
      </c>
      <c r="E169">
        <f t="shared" si="40"/>
        <v>39</v>
      </c>
      <c r="G169">
        <f t="shared" si="44"/>
        <v>4</v>
      </c>
      <c r="H169" t="str">
        <f t="shared" si="45"/>
        <v/>
      </c>
      <c r="I169" t="str">
        <f t="shared" si="46"/>
        <v/>
      </c>
      <c r="J169" t="str">
        <f t="shared" si="47"/>
        <v/>
      </c>
      <c r="K169" t="str">
        <f t="shared" si="48"/>
        <v/>
      </c>
      <c r="L169" t="str">
        <f t="shared" si="49"/>
        <v/>
      </c>
      <c r="M169" t="str">
        <f t="shared" si="50"/>
        <v/>
      </c>
      <c r="N169" t="str">
        <f t="shared" si="51"/>
        <v/>
      </c>
      <c r="O169" t="str">
        <f t="shared" si="52"/>
        <v/>
      </c>
      <c r="P169" t="str">
        <f t="shared" si="53"/>
        <v/>
      </c>
      <c r="Q169" t="str">
        <f t="shared" si="54"/>
        <v/>
      </c>
      <c r="R169" t="str">
        <f t="shared" si="55"/>
        <v/>
      </c>
      <c r="S169" t="str">
        <f t="shared" si="56"/>
        <v/>
      </c>
      <c r="T169" t="str">
        <f t="shared" si="57"/>
        <v/>
      </c>
      <c r="U169" t="str">
        <f t="shared" si="58"/>
        <v/>
      </c>
      <c r="V169" t="str">
        <f t="shared" si="59"/>
        <v/>
      </c>
      <c r="W169" t="str">
        <f t="shared" si="42"/>
        <v xml:space="preserve">              </v>
      </c>
    </row>
    <row r="170" spans="1:23" customFormat="1" hidden="1">
      <c r="A170" t="b">
        <f t="shared" si="41"/>
        <v>0</v>
      </c>
      <c r="B170">
        <f t="shared" si="43"/>
        <v>169</v>
      </c>
      <c r="C170" t="s">
        <v>144</v>
      </c>
      <c r="D170" t="s">
        <v>169</v>
      </c>
      <c r="E170">
        <f t="shared" si="40"/>
        <v>33</v>
      </c>
      <c r="G170">
        <f t="shared" si="44"/>
        <v>5</v>
      </c>
      <c r="H170" t="str">
        <f t="shared" si="45"/>
        <v/>
      </c>
      <c r="I170" t="str">
        <f t="shared" si="46"/>
        <v/>
      </c>
      <c r="J170" t="str">
        <f t="shared" si="47"/>
        <v/>
      </c>
      <c r="K170" t="str">
        <f t="shared" si="48"/>
        <v/>
      </c>
      <c r="L170" t="str">
        <f t="shared" si="49"/>
        <v/>
      </c>
      <c r="M170" t="str">
        <f t="shared" si="50"/>
        <v/>
      </c>
      <c r="N170" t="str">
        <f t="shared" si="51"/>
        <v/>
      </c>
      <c r="O170" t="str">
        <f t="shared" si="52"/>
        <v/>
      </c>
      <c r="P170" t="str">
        <f t="shared" si="53"/>
        <v/>
      </c>
      <c r="Q170" t="str">
        <f t="shared" si="54"/>
        <v/>
      </c>
      <c r="R170" t="str">
        <f t="shared" si="55"/>
        <v/>
      </c>
      <c r="S170" t="str">
        <f t="shared" si="56"/>
        <v/>
      </c>
      <c r="T170" t="str">
        <f t="shared" si="57"/>
        <v/>
      </c>
      <c r="U170" t="str">
        <f t="shared" si="58"/>
        <v/>
      </c>
      <c r="V170" t="str">
        <f t="shared" si="59"/>
        <v/>
      </c>
      <c r="W170" t="str">
        <f t="shared" si="42"/>
        <v xml:space="preserve">              </v>
      </c>
    </row>
    <row r="171" spans="1:23" customFormat="1" hidden="1">
      <c r="A171" t="b">
        <f t="shared" si="41"/>
        <v>0</v>
      </c>
      <c r="B171">
        <f t="shared" si="43"/>
        <v>170</v>
      </c>
      <c r="C171" t="s">
        <v>144</v>
      </c>
      <c r="D171" t="s">
        <v>170</v>
      </c>
      <c r="E171">
        <f t="shared" si="40"/>
        <v>31</v>
      </c>
      <c r="G171">
        <f t="shared" si="44"/>
        <v>6</v>
      </c>
      <c r="H171" t="str">
        <f t="shared" si="45"/>
        <v/>
      </c>
      <c r="I171" t="str">
        <f t="shared" si="46"/>
        <v/>
      </c>
      <c r="J171" t="str">
        <f t="shared" si="47"/>
        <v/>
      </c>
      <c r="K171" t="str">
        <f t="shared" si="48"/>
        <v/>
      </c>
      <c r="L171" t="str">
        <f t="shared" si="49"/>
        <v/>
      </c>
      <c r="M171" t="str">
        <f t="shared" si="50"/>
        <v/>
      </c>
      <c r="N171" t="str">
        <f t="shared" si="51"/>
        <v/>
      </c>
      <c r="O171" t="str">
        <f t="shared" si="52"/>
        <v/>
      </c>
      <c r="P171" t="str">
        <f t="shared" si="53"/>
        <v/>
      </c>
      <c r="Q171" t="str">
        <f t="shared" si="54"/>
        <v/>
      </c>
      <c r="R171" t="str">
        <f t="shared" si="55"/>
        <v/>
      </c>
      <c r="S171" t="str">
        <f t="shared" si="56"/>
        <v/>
      </c>
      <c r="T171" t="str">
        <f t="shared" si="57"/>
        <v/>
      </c>
      <c r="U171" t="str">
        <f t="shared" si="58"/>
        <v/>
      </c>
      <c r="V171" t="str">
        <f t="shared" si="59"/>
        <v/>
      </c>
      <c r="W171" t="str">
        <f t="shared" si="42"/>
        <v xml:space="preserve">              </v>
      </c>
    </row>
    <row r="172" spans="1:23" customFormat="1" hidden="1">
      <c r="A172" t="b">
        <f t="shared" si="41"/>
        <v>0</v>
      </c>
      <c r="B172">
        <f t="shared" si="43"/>
        <v>171</v>
      </c>
      <c r="C172" t="s">
        <v>144</v>
      </c>
      <c r="D172" t="s">
        <v>171</v>
      </c>
      <c r="E172">
        <f t="shared" si="40"/>
        <v>32</v>
      </c>
      <c r="G172">
        <f t="shared" si="44"/>
        <v>7</v>
      </c>
      <c r="H172" t="str">
        <f t="shared" si="45"/>
        <v/>
      </c>
      <c r="I172" t="str">
        <f t="shared" si="46"/>
        <v/>
      </c>
      <c r="J172" t="str">
        <f t="shared" si="47"/>
        <v/>
      </c>
      <c r="K172" t="str">
        <f t="shared" si="48"/>
        <v/>
      </c>
      <c r="L172" t="str">
        <f t="shared" si="49"/>
        <v/>
      </c>
      <c r="M172" t="str">
        <f t="shared" si="50"/>
        <v/>
      </c>
      <c r="N172" t="str">
        <f t="shared" si="51"/>
        <v/>
      </c>
      <c r="O172" t="str">
        <f t="shared" si="52"/>
        <v/>
      </c>
      <c r="P172" t="str">
        <f t="shared" si="53"/>
        <v/>
      </c>
      <c r="Q172" t="str">
        <f t="shared" si="54"/>
        <v/>
      </c>
      <c r="R172" t="str">
        <f t="shared" si="55"/>
        <v/>
      </c>
      <c r="S172" t="str">
        <f t="shared" si="56"/>
        <v/>
      </c>
      <c r="T172" t="str">
        <f t="shared" si="57"/>
        <v/>
      </c>
      <c r="U172" t="str">
        <f t="shared" si="58"/>
        <v/>
      </c>
      <c r="V172" t="str">
        <f t="shared" si="59"/>
        <v/>
      </c>
      <c r="W172" t="str">
        <f t="shared" si="42"/>
        <v xml:space="preserve">              </v>
      </c>
    </row>
    <row r="173" spans="1:23" customFormat="1" hidden="1">
      <c r="A173" t="b">
        <f t="shared" si="41"/>
        <v>0</v>
      </c>
      <c r="B173">
        <f t="shared" si="43"/>
        <v>172</v>
      </c>
      <c r="C173" t="s">
        <v>144</v>
      </c>
      <c r="D173" t="s">
        <v>172</v>
      </c>
      <c r="E173">
        <f t="shared" ref="E173:E234" si="60">LEN(D173)</f>
        <v>18</v>
      </c>
      <c r="G173">
        <f t="shared" si="44"/>
        <v>8</v>
      </c>
      <c r="H173" t="str">
        <f t="shared" si="45"/>
        <v/>
      </c>
      <c r="I173" t="str">
        <f t="shared" si="46"/>
        <v/>
      </c>
      <c r="J173" t="str">
        <f t="shared" si="47"/>
        <v/>
      </c>
      <c r="K173" t="str">
        <f t="shared" si="48"/>
        <v/>
      </c>
      <c r="L173" t="str">
        <f t="shared" si="49"/>
        <v/>
      </c>
      <c r="M173" t="str">
        <f t="shared" si="50"/>
        <v/>
      </c>
      <c r="N173" t="str">
        <f t="shared" si="51"/>
        <v/>
      </c>
      <c r="O173" t="str">
        <f t="shared" si="52"/>
        <v/>
      </c>
      <c r="P173" t="str">
        <f t="shared" si="53"/>
        <v/>
      </c>
      <c r="Q173" t="str">
        <f t="shared" si="54"/>
        <v/>
      </c>
      <c r="R173" t="str">
        <f t="shared" si="55"/>
        <v/>
      </c>
      <c r="S173" t="str">
        <f t="shared" si="56"/>
        <v/>
      </c>
      <c r="T173" t="str">
        <f t="shared" si="57"/>
        <v/>
      </c>
      <c r="U173" t="str">
        <f t="shared" si="58"/>
        <v/>
      </c>
      <c r="V173" t="str">
        <f t="shared" si="59"/>
        <v/>
      </c>
      <c r="W173" t="str">
        <f t="shared" si="42"/>
        <v xml:space="preserve">              </v>
      </c>
    </row>
    <row r="174" spans="1:23" hidden="1">
      <c r="A174" s="71" t="b">
        <f t="shared" si="41"/>
        <v>0</v>
      </c>
      <c r="B174" s="71">
        <f t="shared" si="43"/>
        <v>173</v>
      </c>
      <c r="C174" s="71" t="s">
        <v>144</v>
      </c>
      <c r="D174" s="71" t="s">
        <v>173</v>
      </c>
      <c r="E174">
        <f t="shared" si="60"/>
        <v>10</v>
      </c>
      <c r="F174">
        <v>1</v>
      </c>
      <c r="G174">
        <f t="shared" si="44"/>
        <v>1</v>
      </c>
      <c r="H174" t="str">
        <f t="shared" si="45"/>
        <v>Change log</v>
      </c>
      <c r="I174" t="str">
        <f t="shared" si="46"/>
        <v>All changes that enter into a project are</v>
      </c>
      <c r="J174" t="str">
        <f t="shared" si="47"/>
        <v>recorded in the change log. The</v>
      </c>
      <c r="K174" t="str">
        <f t="shared" si="48"/>
        <v>characteristics of the change, such as the</v>
      </c>
      <c r="L174" t="str">
        <f t="shared" si="49"/>
        <v>time, cost, risk, and scope details, are</v>
      </c>
      <c r="M174" t="str">
        <f t="shared" si="50"/>
        <v>also recorded.</v>
      </c>
      <c r="N174" t="str">
        <f t="shared" si="51"/>
        <v/>
      </c>
      <c r="O174" t="str">
        <f t="shared" si="52"/>
        <v/>
      </c>
      <c r="P174" t="str">
        <f t="shared" si="53"/>
        <v/>
      </c>
      <c r="Q174" t="str">
        <f t="shared" si="54"/>
        <v/>
      </c>
      <c r="R174" t="str">
        <f t="shared" si="55"/>
        <v/>
      </c>
      <c r="S174" t="str">
        <f t="shared" si="56"/>
        <v/>
      </c>
      <c r="T174" t="str">
        <f t="shared" si="57"/>
        <v/>
      </c>
      <c r="U174" t="str">
        <f t="shared" si="58"/>
        <v/>
      </c>
      <c r="V174" t="str">
        <f t="shared" si="59"/>
        <v/>
      </c>
      <c r="W174" s="71" t="str">
        <f>CONCATENATE(H174," ",I174," ",J174," ",K174," ",L174," ",M174," ",N174," ",O174," ",P174," ",Q174," ",R174," ",S174," ",T174," ",U174," ",V174)</f>
        <v xml:space="preserve">Change log All changes that enter into a project are recorded in the change log. The characteristics of the change, such as the time, cost, risk, and scope details, are also recorded.         </v>
      </c>
    </row>
    <row r="175" spans="1:23" customFormat="1" hidden="1">
      <c r="A175" t="b">
        <f t="shared" si="41"/>
        <v>0</v>
      </c>
      <c r="B175">
        <f t="shared" si="43"/>
        <v>174</v>
      </c>
      <c r="C175" t="s">
        <v>144</v>
      </c>
      <c r="D175" t="s">
        <v>174</v>
      </c>
      <c r="E175">
        <f t="shared" si="60"/>
        <v>41</v>
      </c>
      <c r="G175">
        <f t="shared" si="44"/>
        <v>2</v>
      </c>
      <c r="H175" t="str">
        <f t="shared" si="45"/>
        <v/>
      </c>
      <c r="I175" t="str">
        <f t="shared" si="46"/>
        <v/>
      </c>
      <c r="J175" t="str">
        <f t="shared" si="47"/>
        <v/>
      </c>
      <c r="K175" t="str">
        <f t="shared" si="48"/>
        <v/>
      </c>
      <c r="L175" t="str">
        <f t="shared" si="49"/>
        <v/>
      </c>
      <c r="M175" t="str">
        <f t="shared" si="50"/>
        <v/>
      </c>
      <c r="N175" t="str">
        <f t="shared" si="51"/>
        <v/>
      </c>
      <c r="O175" t="str">
        <f t="shared" si="52"/>
        <v/>
      </c>
      <c r="P175" t="str">
        <f t="shared" si="53"/>
        <v/>
      </c>
      <c r="Q175" t="str">
        <f t="shared" si="54"/>
        <v/>
      </c>
      <c r="R175" t="str">
        <f t="shared" si="55"/>
        <v/>
      </c>
      <c r="S175" t="str">
        <f t="shared" si="56"/>
        <v/>
      </c>
      <c r="T175" t="str">
        <f t="shared" si="57"/>
        <v/>
      </c>
      <c r="U175" t="str">
        <f t="shared" si="58"/>
        <v/>
      </c>
      <c r="V175" t="str">
        <f t="shared" si="59"/>
        <v/>
      </c>
      <c r="W175" t="str">
        <f t="shared" si="42"/>
        <v xml:space="preserve">              </v>
      </c>
    </row>
    <row r="176" spans="1:23" customFormat="1" hidden="1">
      <c r="A176" t="b">
        <f t="shared" si="41"/>
        <v>0</v>
      </c>
      <c r="B176">
        <f t="shared" si="43"/>
        <v>175</v>
      </c>
      <c r="C176" t="s">
        <v>144</v>
      </c>
      <c r="D176" t="s">
        <v>175</v>
      </c>
      <c r="E176">
        <f t="shared" si="60"/>
        <v>31</v>
      </c>
      <c r="G176">
        <f t="shared" si="44"/>
        <v>3</v>
      </c>
      <c r="H176" t="str">
        <f t="shared" si="45"/>
        <v/>
      </c>
      <c r="I176" t="str">
        <f t="shared" si="46"/>
        <v/>
      </c>
      <c r="J176" t="str">
        <f t="shared" si="47"/>
        <v/>
      </c>
      <c r="K176" t="str">
        <f t="shared" si="48"/>
        <v/>
      </c>
      <c r="L176" t="str">
        <f t="shared" si="49"/>
        <v/>
      </c>
      <c r="M176" t="str">
        <f t="shared" si="50"/>
        <v/>
      </c>
      <c r="N176" t="str">
        <f t="shared" si="51"/>
        <v/>
      </c>
      <c r="O176" t="str">
        <f t="shared" si="52"/>
        <v/>
      </c>
      <c r="P176" t="str">
        <f t="shared" si="53"/>
        <v/>
      </c>
      <c r="Q176" t="str">
        <f t="shared" si="54"/>
        <v/>
      </c>
      <c r="R176" t="str">
        <f t="shared" si="55"/>
        <v/>
      </c>
      <c r="S176" t="str">
        <f t="shared" si="56"/>
        <v/>
      </c>
      <c r="T176" t="str">
        <f t="shared" si="57"/>
        <v/>
      </c>
      <c r="U176" t="str">
        <f t="shared" si="58"/>
        <v/>
      </c>
      <c r="V176" t="str">
        <f t="shared" si="59"/>
        <v/>
      </c>
      <c r="W176" t="str">
        <f t="shared" si="42"/>
        <v xml:space="preserve">              </v>
      </c>
    </row>
    <row r="177" spans="1:23" customFormat="1" hidden="1">
      <c r="A177" t="b">
        <f t="shared" si="41"/>
        <v>0</v>
      </c>
      <c r="B177">
        <f t="shared" si="43"/>
        <v>176</v>
      </c>
      <c r="C177" t="s">
        <v>144</v>
      </c>
      <c r="D177" t="s">
        <v>176</v>
      </c>
      <c r="E177">
        <f t="shared" si="60"/>
        <v>42</v>
      </c>
      <c r="G177">
        <f t="shared" si="44"/>
        <v>4</v>
      </c>
      <c r="H177" t="str">
        <f t="shared" si="45"/>
        <v/>
      </c>
      <c r="I177" t="str">
        <f t="shared" si="46"/>
        <v/>
      </c>
      <c r="J177" t="str">
        <f t="shared" si="47"/>
        <v/>
      </c>
      <c r="K177" t="str">
        <f t="shared" si="48"/>
        <v/>
      </c>
      <c r="L177" t="str">
        <f t="shared" si="49"/>
        <v/>
      </c>
      <c r="M177" t="str">
        <f t="shared" si="50"/>
        <v/>
      </c>
      <c r="N177" t="str">
        <f t="shared" si="51"/>
        <v/>
      </c>
      <c r="O177" t="str">
        <f t="shared" si="52"/>
        <v/>
      </c>
      <c r="P177" t="str">
        <f t="shared" si="53"/>
        <v/>
      </c>
      <c r="Q177" t="str">
        <f t="shared" si="54"/>
        <v/>
      </c>
      <c r="R177" t="str">
        <f t="shared" si="55"/>
        <v/>
      </c>
      <c r="S177" t="str">
        <f t="shared" si="56"/>
        <v/>
      </c>
      <c r="T177" t="str">
        <f t="shared" si="57"/>
        <v/>
      </c>
      <c r="U177" t="str">
        <f t="shared" si="58"/>
        <v/>
      </c>
      <c r="V177" t="str">
        <f t="shared" si="59"/>
        <v/>
      </c>
      <c r="W177" t="str">
        <f t="shared" si="42"/>
        <v xml:space="preserve">              </v>
      </c>
    </row>
    <row r="178" spans="1:23" customFormat="1" hidden="1">
      <c r="A178" t="b">
        <f t="shared" si="41"/>
        <v>0</v>
      </c>
      <c r="B178">
        <f t="shared" si="43"/>
        <v>177</v>
      </c>
      <c r="C178" t="s">
        <v>144</v>
      </c>
      <c r="D178" t="s">
        <v>177</v>
      </c>
      <c r="E178">
        <f t="shared" si="60"/>
        <v>40</v>
      </c>
      <c r="G178">
        <f t="shared" si="44"/>
        <v>5</v>
      </c>
      <c r="H178" t="str">
        <f t="shared" si="45"/>
        <v/>
      </c>
      <c r="I178" t="str">
        <f t="shared" si="46"/>
        <v/>
      </c>
      <c r="J178" t="str">
        <f t="shared" si="47"/>
        <v/>
      </c>
      <c r="K178" t="str">
        <f t="shared" si="48"/>
        <v/>
      </c>
      <c r="L178" t="str">
        <f t="shared" si="49"/>
        <v/>
      </c>
      <c r="M178" t="str">
        <f t="shared" si="50"/>
        <v/>
      </c>
      <c r="N178" t="str">
        <f t="shared" si="51"/>
        <v/>
      </c>
      <c r="O178" t="str">
        <f t="shared" si="52"/>
        <v/>
      </c>
      <c r="P178" t="str">
        <f t="shared" si="53"/>
        <v/>
      </c>
      <c r="Q178" t="str">
        <f t="shared" si="54"/>
        <v/>
      </c>
      <c r="R178" t="str">
        <f t="shared" si="55"/>
        <v/>
      </c>
      <c r="S178" t="str">
        <f t="shared" si="56"/>
        <v/>
      </c>
      <c r="T178" t="str">
        <f t="shared" si="57"/>
        <v/>
      </c>
      <c r="U178" t="str">
        <f t="shared" si="58"/>
        <v/>
      </c>
      <c r="V178" t="str">
        <f t="shared" si="59"/>
        <v/>
      </c>
      <c r="W178" t="str">
        <f t="shared" si="42"/>
        <v xml:space="preserve">              </v>
      </c>
    </row>
    <row r="179" spans="1:23" customFormat="1" hidden="1">
      <c r="A179" t="b">
        <f t="shared" si="41"/>
        <v>0</v>
      </c>
      <c r="B179">
        <f t="shared" si="43"/>
        <v>178</v>
      </c>
      <c r="C179" t="s">
        <v>144</v>
      </c>
      <c r="D179" t="s">
        <v>178</v>
      </c>
      <c r="E179">
        <f t="shared" si="60"/>
        <v>14</v>
      </c>
      <c r="G179">
        <f t="shared" si="44"/>
        <v>6</v>
      </c>
      <c r="H179" t="str">
        <f t="shared" si="45"/>
        <v/>
      </c>
      <c r="I179" t="str">
        <f t="shared" si="46"/>
        <v/>
      </c>
      <c r="J179" t="str">
        <f t="shared" si="47"/>
        <v/>
      </c>
      <c r="K179" t="str">
        <f t="shared" si="48"/>
        <v/>
      </c>
      <c r="L179" t="str">
        <f t="shared" si="49"/>
        <v/>
      </c>
      <c r="M179" t="str">
        <f t="shared" si="50"/>
        <v/>
      </c>
      <c r="N179" t="str">
        <f t="shared" si="51"/>
        <v/>
      </c>
      <c r="O179" t="str">
        <f t="shared" si="52"/>
        <v/>
      </c>
      <c r="P179" t="str">
        <f t="shared" si="53"/>
        <v/>
      </c>
      <c r="Q179" t="str">
        <f t="shared" si="54"/>
        <v/>
      </c>
      <c r="R179" t="str">
        <f t="shared" si="55"/>
        <v/>
      </c>
      <c r="S179" t="str">
        <f t="shared" si="56"/>
        <v/>
      </c>
      <c r="T179" t="str">
        <f t="shared" si="57"/>
        <v/>
      </c>
      <c r="U179" t="str">
        <f t="shared" si="58"/>
        <v/>
      </c>
      <c r="V179" t="str">
        <f t="shared" si="59"/>
        <v/>
      </c>
      <c r="W179" t="str">
        <f t="shared" si="42"/>
        <v xml:space="preserve">              </v>
      </c>
    </row>
    <row r="180" spans="1:23" hidden="1">
      <c r="A180" s="71" t="b">
        <f t="shared" si="41"/>
        <v>0</v>
      </c>
      <c r="B180" s="71">
        <f t="shared" si="43"/>
        <v>179</v>
      </c>
      <c r="C180" s="71" t="s">
        <v>144</v>
      </c>
      <c r="D180" s="71" t="s">
        <v>179</v>
      </c>
      <c r="E180">
        <f t="shared" si="60"/>
        <v>22</v>
      </c>
      <c r="F180">
        <v>1</v>
      </c>
      <c r="G180">
        <f t="shared" si="44"/>
        <v>1</v>
      </c>
      <c r="H180" t="str">
        <f t="shared" si="45"/>
        <v>Change management plan</v>
      </c>
      <c r="I180" t="str">
        <f t="shared" si="46"/>
        <v>This plan details the project procedures</v>
      </c>
      <c r="J180" t="str">
        <f t="shared" si="47"/>
        <v>for entertaining change requests: how</v>
      </c>
      <c r="K180" t="str">
        <f t="shared" si="48"/>
        <v>change requests are managed,</v>
      </c>
      <c r="L180" t="str">
        <f t="shared" si="49"/>
        <v>documented, approved, or declined.</v>
      </c>
      <c r="M180" t="str">
        <f t="shared" si="50"/>
        <v/>
      </c>
      <c r="N180" t="str">
        <f t="shared" si="51"/>
        <v/>
      </c>
      <c r="O180" t="str">
        <f t="shared" si="52"/>
        <v/>
      </c>
      <c r="P180" t="str">
        <f t="shared" si="53"/>
        <v/>
      </c>
      <c r="Q180" t="str">
        <f t="shared" si="54"/>
        <v/>
      </c>
      <c r="R180" t="str">
        <f t="shared" si="55"/>
        <v/>
      </c>
      <c r="S180" t="str">
        <f t="shared" si="56"/>
        <v/>
      </c>
      <c r="T180" t="str">
        <f t="shared" si="57"/>
        <v/>
      </c>
      <c r="U180" t="str">
        <f t="shared" si="58"/>
        <v/>
      </c>
      <c r="V180" t="str">
        <f t="shared" si="59"/>
        <v/>
      </c>
      <c r="W180" s="71" t="str">
        <f>CONCATENATE(H180," ",I180," ",J180," ",K180," ",L180," ",M180," ",N180," ",O180," ",P180," ",Q180," ",R180," ",S180," ",T180," ",U180," ",V180)</f>
        <v xml:space="preserve">Change management plan This plan details the project procedures for entertaining change requests: how change requests are managed, documented, approved, or declined.          </v>
      </c>
    </row>
    <row r="181" spans="1:23" customFormat="1" hidden="1">
      <c r="A181" t="b">
        <f t="shared" si="41"/>
        <v>0</v>
      </c>
      <c r="B181">
        <f t="shared" si="43"/>
        <v>180</v>
      </c>
      <c r="C181" t="s">
        <v>144</v>
      </c>
      <c r="D181" t="s">
        <v>180</v>
      </c>
      <c r="E181">
        <f t="shared" si="60"/>
        <v>40</v>
      </c>
      <c r="G181">
        <f t="shared" si="44"/>
        <v>2</v>
      </c>
      <c r="H181" t="str">
        <f t="shared" si="45"/>
        <v/>
      </c>
      <c r="I181" t="str">
        <f t="shared" si="46"/>
        <v/>
      </c>
      <c r="J181" t="str">
        <f t="shared" si="47"/>
        <v/>
      </c>
      <c r="K181" t="str">
        <f t="shared" si="48"/>
        <v/>
      </c>
      <c r="L181" t="str">
        <f t="shared" si="49"/>
        <v/>
      </c>
      <c r="M181" t="str">
        <f t="shared" si="50"/>
        <v/>
      </c>
      <c r="N181" t="str">
        <f t="shared" si="51"/>
        <v/>
      </c>
      <c r="O181" t="str">
        <f t="shared" si="52"/>
        <v/>
      </c>
      <c r="P181" t="str">
        <f t="shared" si="53"/>
        <v/>
      </c>
      <c r="Q181" t="str">
        <f t="shared" si="54"/>
        <v/>
      </c>
      <c r="R181" t="str">
        <f t="shared" si="55"/>
        <v/>
      </c>
      <c r="S181" t="str">
        <f t="shared" si="56"/>
        <v/>
      </c>
      <c r="T181" t="str">
        <f t="shared" si="57"/>
        <v/>
      </c>
      <c r="U181" t="str">
        <f t="shared" si="58"/>
        <v/>
      </c>
      <c r="V181" t="str">
        <f t="shared" si="59"/>
        <v/>
      </c>
      <c r="W181" t="str">
        <f t="shared" si="42"/>
        <v xml:space="preserve">              </v>
      </c>
    </row>
    <row r="182" spans="1:23" customFormat="1" hidden="1">
      <c r="A182" t="b">
        <f t="shared" si="41"/>
        <v>0</v>
      </c>
      <c r="B182">
        <f t="shared" si="43"/>
        <v>181</v>
      </c>
      <c r="C182" t="s">
        <v>144</v>
      </c>
      <c r="D182" t="s">
        <v>181</v>
      </c>
      <c r="E182">
        <f t="shared" si="60"/>
        <v>37</v>
      </c>
      <c r="G182">
        <f t="shared" si="44"/>
        <v>3</v>
      </c>
      <c r="H182" t="str">
        <f t="shared" si="45"/>
        <v/>
      </c>
      <c r="I182" t="str">
        <f t="shared" si="46"/>
        <v/>
      </c>
      <c r="J182" t="str">
        <f t="shared" si="47"/>
        <v/>
      </c>
      <c r="K182" t="str">
        <f t="shared" si="48"/>
        <v/>
      </c>
      <c r="L182" t="str">
        <f t="shared" si="49"/>
        <v/>
      </c>
      <c r="M182" t="str">
        <f t="shared" si="50"/>
        <v/>
      </c>
      <c r="N182" t="str">
        <f t="shared" si="51"/>
        <v/>
      </c>
      <c r="O182" t="str">
        <f t="shared" si="52"/>
        <v/>
      </c>
      <c r="P182" t="str">
        <f t="shared" si="53"/>
        <v/>
      </c>
      <c r="Q182" t="str">
        <f t="shared" si="54"/>
        <v/>
      </c>
      <c r="R182" t="str">
        <f t="shared" si="55"/>
        <v/>
      </c>
      <c r="S182" t="str">
        <f t="shared" si="56"/>
        <v/>
      </c>
      <c r="T182" t="str">
        <f t="shared" si="57"/>
        <v/>
      </c>
      <c r="U182" t="str">
        <f t="shared" si="58"/>
        <v/>
      </c>
      <c r="V182" t="str">
        <f t="shared" si="59"/>
        <v/>
      </c>
      <c r="W182" t="str">
        <f t="shared" si="42"/>
        <v xml:space="preserve">              </v>
      </c>
    </row>
    <row r="183" spans="1:23" customFormat="1" hidden="1">
      <c r="A183" t="b">
        <f t="shared" si="41"/>
        <v>0</v>
      </c>
      <c r="B183">
        <f t="shared" si="43"/>
        <v>182</v>
      </c>
      <c r="C183" t="s">
        <v>144</v>
      </c>
      <c r="D183" t="s">
        <v>182</v>
      </c>
      <c r="E183">
        <f t="shared" si="60"/>
        <v>28</v>
      </c>
      <c r="G183">
        <f t="shared" si="44"/>
        <v>4</v>
      </c>
      <c r="H183" t="str">
        <f t="shared" si="45"/>
        <v/>
      </c>
      <c r="I183" t="str">
        <f t="shared" si="46"/>
        <v/>
      </c>
      <c r="J183" t="str">
        <f t="shared" si="47"/>
        <v/>
      </c>
      <c r="K183" t="str">
        <f t="shared" si="48"/>
        <v/>
      </c>
      <c r="L183" t="str">
        <f t="shared" si="49"/>
        <v/>
      </c>
      <c r="M183" t="str">
        <f t="shared" si="50"/>
        <v/>
      </c>
      <c r="N183" t="str">
        <f t="shared" si="51"/>
        <v/>
      </c>
      <c r="O183" t="str">
        <f t="shared" si="52"/>
        <v/>
      </c>
      <c r="P183" t="str">
        <f t="shared" si="53"/>
        <v/>
      </c>
      <c r="Q183" t="str">
        <f t="shared" si="54"/>
        <v/>
      </c>
      <c r="R183" t="str">
        <f t="shared" si="55"/>
        <v/>
      </c>
      <c r="S183" t="str">
        <f t="shared" si="56"/>
        <v/>
      </c>
      <c r="T183" t="str">
        <f t="shared" si="57"/>
        <v/>
      </c>
      <c r="U183" t="str">
        <f t="shared" si="58"/>
        <v/>
      </c>
      <c r="V183" t="str">
        <f t="shared" si="59"/>
        <v/>
      </c>
      <c r="W183" t="str">
        <f t="shared" si="42"/>
        <v xml:space="preserve">              </v>
      </c>
    </row>
    <row r="184" spans="1:23" customFormat="1" hidden="1">
      <c r="A184" t="b">
        <f t="shared" si="41"/>
        <v>0</v>
      </c>
      <c r="B184">
        <f t="shared" si="43"/>
        <v>183</v>
      </c>
      <c r="C184" t="s">
        <v>144</v>
      </c>
      <c r="D184" t="s">
        <v>183</v>
      </c>
      <c r="E184">
        <f t="shared" si="60"/>
        <v>34</v>
      </c>
      <c r="G184">
        <f t="shared" si="44"/>
        <v>5</v>
      </c>
      <c r="H184" t="str">
        <f t="shared" si="45"/>
        <v/>
      </c>
      <c r="I184" t="str">
        <f t="shared" si="46"/>
        <v/>
      </c>
      <c r="J184" t="str">
        <f t="shared" si="47"/>
        <v/>
      </c>
      <c r="K184" t="str">
        <f t="shared" si="48"/>
        <v/>
      </c>
      <c r="L184" t="str">
        <f t="shared" si="49"/>
        <v/>
      </c>
      <c r="M184" t="str">
        <f t="shared" si="50"/>
        <v/>
      </c>
      <c r="N184" t="str">
        <f t="shared" si="51"/>
        <v/>
      </c>
      <c r="O184" t="str">
        <f t="shared" si="52"/>
        <v/>
      </c>
      <c r="P184" t="str">
        <f t="shared" si="53"/>
        <v/>
      </c>
      <c r="Q184" t="str">
        <f t="shared" si="54"/>
        <v/>
      </c>
      <c r="R184" t="str">
        <f t="shared" si="55"/>
        <v/>
      </c>
      <c r="S184" t="str">
        <f t="shared" si="56"/>
        <v/>
      </c>
      <c r="T184" t="str">
        <f t="shared" si="57"/>
        <v/>
      </c>
      <c r="U184" t="str">
        <f t="shared" si="58"/>
        <v/>
      </c>
      <c r="V184" t="str">
        <f t="shared" si="59"/>
        <v/>
      </c>
      <c r="W184" t="str">
        <f t="shared" si="42"/>
        <v xml:space="preserve">              </v>
      </c>
    </row>
    <row r="185" spans="1:23" hidden="1">
      <c r="A185" s="71" t="b">
        <f t="shared" si="41"/>
        <v>0</v>
      </c>
      <c r="B185" s="71">
        <f t="shared" si="43"/>
        <v>184</v>
      </c>
      <c r="C185" s="71" t="s">
        <v>144</v>
      </c>
      <c r="D185" s="71" t="s">
        <v>184</v>
      </c>
      <c r="E185">
        <f t="shared" si="60"/>
        <v>17</v>
      </c>
      <c r="F185">
        <v>1</v>
      </c>
      <c r="G185">
        <f t="shared" si="44"/>
        <v>1</v>
      </c>
      <c r="H185" t="str">
        <f t="shared" si="45"/>
        <v>Closure processes</v>
      </c>
      <c r="I185" t="str">
        <f t="shared" si="46"/>
        <v>This final process group of the project</v>
      </c>
      <c r="J185" t="str">
        <f t="shared" si="47"/>
        <v>management life cycle is responsible for</v>
      </c>
      <c r="K185" t="str">
        <f t="shared" si="48"/>
        <v>closing the project phase or project. This</v>
      </c>
      <c r="L185" t="str">
        <f t="shared" si="49"/>
        <v>is where project documentation is</v>
      </c>
      <c r="M185" t="str">
        <f t="shared" si="50"/>
        <v>archived and project contracts are also</v>
      </c>
      <c r="N185" t="str">
        <f t="shared" si="51"/>
        <v>closed.</v>
      </c>
      <c r="O185" t="str">
        <f t="shared" si="52"/>
        <v/>
      </c>
      <c r="P185" t="str">
        <f t="shared" si="53"/>
        <v/>
      </c>
      <c r="Q185" t="str">
        <f t="shared" si="54"/>
        <v/>
      </c>
      <c r="R185" t="str">
        <f t="shared" si="55"/>
        <v/>
      </c>
      <c r="S185" t="str">
        <f t="shared" si="56"/>
        <v/>
      </c>
      <c r="T185" t="str">
        <f t="shared" si="57"/>
        <v/>
      </c>
      <c r="U185" t="str">
        <f t="shared" si="58"/>
        <v/>
      </c>
      <c r="V185" t="str">
        <f t="shared" si="59"/>
        <v/>
      </c>
      <c r="W185" s="71" t="str">
        <f>CONCATENATE(H185," ",I185," ",J185," ",K185," ",L185," ",M185," ",N185," ",O185," ",P185," ",Q185," ",R185," ",S185," ",T185," ",U185," ",V185)</f>
        <v xml:space="preserve">Closure processes This final process group of the project management life cycle is responsible for closing the project phase or project. This is where project documentation is archived and project contracts are also closed.        </v>
      </c>
    </row>
    <row r="186" spans="1:23" customFormat="1" hidden="1">
      <c r="A186" t="b">
        <f t="shared" si="41"/>
        <v>0</v>
      </c>
      <c r="B186">
        <f t="shared" si="43"/>
        <v>185</v>
      </c>
      <c r="C186" t="s">
        <v>144</v>
      </c>
      <c r="D186" t="s">
        <v>185</v>
      </c>
      <c r="E186">
        <f t="shared" si="60"/>
        <v>39</v>
      </c>
      <c r="G186">
        <f t="shared" si="44"/>
        <v>2</v>
      </c>
      <c r="H186" t="str">
        <f t="shared" si="45"/>
        <v/>
      </c>
      <c r="I186" t="str">
        <f t="shared" si="46"/>
        <v/>
      </c>
      <c r="J186" t="str">
        <f t="shared" si="47"/>
        <v/>
      </c>
      <c r="K186" t="str">
        <f t="shared" si="48"/>
        <v/>
      </c>
      <c r="L186" t="str">
        <f t="shared" si="49"/>
        <v/>
      </c>
      <c r="M186" t="str">
        <f t="shared" si="50"/>
        <v/>
      </c>
      <c r="N186" t="str">
        <f t="shared" si="51"/>
        <v/>
      </c>
      <c r="O186" t="str">
        <f t="shared" si="52"/>
        <v/>
      </c>
      <c r="P186" t="str">
        <f t="shared" si="53"/>
        <v/>
      </c>
      <c r="Q186" t="str">
        <f t="shared" si="54"/>
        <v/>
      </c>
      <c r="R186" t="str">
        <f t="shared" si="55"/>
        <v/>
      </c>
      <c r="S186" t="str">
        <f t="shared" si="56"/>
        <v/>
      </c>
      <c r="T186" t="str">
        <f t="shared" si="57"/>
        <v/>
      </c>
      <c r="U186" t="str">
        <f t="shared" si="58"/>
        <v/>
      </c>
      <c r="V186" t="str">
        <f t="shared" si="59"/>
        <v/>
      </c>
      <c r="W186" t="str">
        <f t="shared" si="42"/>
        <v xml:space="preserve">              </v>
      </c>
    </row>
    <row r="187" spans="1:23" customFormat="1" hidden="1">
      <c r="A187" t="b">
        <f t="shared" si="41"/>
        <v>0</v>
      </c>
      <c r="B187">
        <f t="shared" si="43"/>
        <v>186</v>
      </c>
      <c r="C187" t="s">
        <v>144</v>
      </c>
      <c r="D187" t="s">
        <v>186</v>
      </c>
      <c r="E187">
        <f t="shared" si="60"/>
        <v>40</v>
      </c>
      <c r="G187">
        <f t="shared" si="44"/>
        <v>3</v>
      </c>
      <c r="H187" t="str">
        <f t="shared" si="45"/>
        <v/>
      </c>
      <c r="I187" t="str">
        <f t="shared" si="46"/>
        <v/>
      </c>
      <c r="J187" t="str">
        <f t="shared" si="47"/>
        <v/>
      </c>
      <c r="K187" t="str">
        <f t="shared" si="48"/>
        <v/>
      </c>
      <c r="L187" t="str">
        <f t="shared" si="49"/>
        <v/>
      </c>
      <c r="M187" t="str">
        <f t="shared" si="50"/>
        <v/>
      </c>
      <c r="N187" t="str">
        <f t="shared" si="51"/>
        <v/>
      </c>
      <c r="O187" t="str">
        <f t="shared" si="52"/>
        <v/>
      </c>
      <c r="P187" t="str">
        <f t="shared" si="53"/>
        <v/>
      </c>
      <c r="Q187" t="str">
        <f t="shared" si="54"/>
        <v/>
      </c>
      <c r="R187" t="str">
        <f t="shared" si="55"/>
        <v/>
      </c>
      <c r="S187" t="str">
        <f t="shared" si="56"/>
        <v/>
      </c>
      <c r="T187" t="str">
        <f t="shared" si="57"/>
        <v/>
      </c>
      <c r="U187" t="str">
        <f t="shared" si="58"/>
        <v/>
      </c>
      <c r="V187" t="str">
        <f t="shared" si="59"/>
        <v/>
      </c>
      <c r="W187" t="str">
        <f t="shared" si="42"/>
        <v xml:space="preserve">              </v>
      </c>
    </row>
    <row r="188" spans="1:23" customFormat="1" hidden="1">
      <c r="A188" t="b">
        <f t="shared" si="41"/>
        <v>0</v>
      </c>
      <c r="B188">
        <f t="shared" si="43"/>
        <v>187</v>
      </c>
      <c r="C188" t="s">
        <v>144</v>
      </c>
      <c r="D188" t="s">
        <v>187</v>
      </c>
      <c r="E188">
        <f t="shared" si="60"/>
        <v>42</v>
      </c>
      <c r="G188">
        <f t="shared" si="44"/>
        <v>4</v>
      </c>
      <c r="H188" t="str">
        <f t="shared" si="45"/>
        <v/>
      </c>
      <c r="I188" t="str">
        <f t="shared" si="46"/>
        <v/>
      </c>
      <c r="J188" t="str">
        <f t="shared" si="47"/>
        <v/>
      </c>
      <c r="K188" t="str">
        <f t="shared" si="48"/>
        <v/>
      </c>
      <c r="L188" t="str">
        <f t="shared" si="49"/>
        <v/>
      </c>
      <c r="M188" t="str">
        <f t="shared" si="50"/>
        <v/>
      </c>
      <c r="N188" t="str">
        <f t="shared" si="51"/>
        <v/>
      </c>
      <c r="O188" t="str">
        <f t="shared" si="52"/>
        <v/>
      </c>
      <c r="P188" t="str">
        <f t="shared" si="53"/>
        <v/>
      </c>
      <c r="Q188" t="str">
        <f t="shared" si="54"/>
        <v/>
      </c>
      <c r="R188" t="str">
        <f t="shared" si="55"/>
        <v/>
      </c>
      <c r="S188" t="str">
        <f t="shared" si="56"/>
        <v/>
      </c>
      <c r="T188" t="str">
        <f t="shared" si="57"/>
        <v/>
      </c>
      <c r="U188" t="str">
        <f t="shared" si="58"/>
        <v/>
      </c>
      <c r="V188" t="str">
        <f t="shared" si="59"/>
        <v/>
      </c>
      <c r="W188" t="str">
        <f t="shared" si="42"/>
        <v xml:space="preserve">              </v>
      </c>
    </row>
    <row r="189" spans="1:23" customFormat="1" hidden="1">
      <c r="A189" t="b">
        <f t="shared" si="41"/>
        <v>0</v>
      </c>
      <c r="B189">
        <f t="shared" si="43"/>
        <v>188</v>
      </c>
      <c r="C189" t="s">
        <v>144</v>
      </c>
      <c r="D189" t="s">
        <v>188</v>
      </c>
      <c r="E189">
        <f t="shared" si="60"/>
        <v>33</v>
      </c>
      <c r="G189">
        <f t="shared" si="44"/>
        <v>5</v>
      </c>
      <c r="H189" t="str">
        <f t="shared" si="45"/>
        <v/>
      </c>
      <c r="I189" t="str">
        <f t="shared" si="46"/>
        <v/>
      </c>
      <c r="J189" t="str">
        <f t="shared" si="47"/>
        <v/>
      </c>
      <c r="K189" t="str">
        <f t="shared" si="48"/>
        <v/>
      </c>
      <c r="L189" t="str">
        <f t="shared" si="49"/>
        <v/>
      </c>
      <c r="M189" t="str">
        <f t="shared" si="50"/>
        <v/>
      </c>
      <c r="N189" t="str">
        <f t="shared" si="51"/>
        <v/>
      </c>
      <c r="O189" t="str">
        <f t="shared" si="52"/>
        <v/>
      </c>
      <c r="P189" t="str">
        <f t="shared" si="53"/>
        <v/>
      </c>
      <c r="Q189" t="str">
        <f t="shared" si="54"/>
        <v/>
      </c>
      <c r="R189" t="str">
        <f t="shared" si="55"/>
        <v/>
      </c>
      <c r="S189" t="str">
        <f t="shared" si="56"/>
        <v/>
      </c>
      <c r="T189" t="str">
        <f t="shared" si="57"/>
        <v/>
      </c>
      <c r="U189" t="str">
        <f t="shared" si="58"/>
        <v/>
      </c>
      <c r="V189" t="str">
        <f t="shared" si="59"/>
        <v/>
      </c>
      <c r="W189" t="str">
        <f t="shared" si="42"/>
        <v xml:space="preserve">              </v>
      </c>
    </row>
    <row r="190" spans="1:23" customFormat="1" hidden="1">
      <c r="A190" t="b">
        <f t="shared" si="41"/>
        <v>0</v>
      </c>
      <c r="B190">
        <f t="shared" si="43"/>
        <v>189</v>
      </c>
      <c r="C190" t="s">
        <v>144</v>
      </c>
      <c r="D190" t="s">
        <v>189</v>
      </c>
      <c r="E190">
        <f t="shared" si="60"/>
        <v>39</v>
      </c>
      <c r="G190">
        <f t="shared" si="44"/>
        <v>6</v>
      </c>
      <c r="H190" t="str">
        <f t="shared" si="45"/>
        <v/>
      </c>
      <c r="I190" t="str">
        <f t="shared" si="46"/>
        <v/>
      </c>
      <c r="J190" t="str">
        <f t="shared" si="47"/>
        <v/>
      </c>
      <c r="K190" t="str">
        <f t="shared" si="48"/>
        <v/>
      </c>
      <c r="L190" t="str">
        <f t="shared" si="49"/>
        <v/>
      </c>
      <c r="M190" t="str">
        <f t="shared" si="50"/>
        <v/>
      </c>
      <c r="N190" t="str">
        <f t="shared" si="51"/>
        <v/>
      </c>
      <c r="O190" t="str">
        <f t="shared" si="52"/>
        <v/>
      </c>
      <c r="P190" t="str">
        <f t="shared" si="53"/>
        <v/>
      </c>
      <c r="Q190" t="str">
        <f t="shared" si="54"/>
        <v/>
      </c>
      <c r="R190" t="str">
        <f t="shared" si="55"/>
        <v/>
      </c>
      <c r="S190" t="str">
        <f t="shared" si="56"/>
        <v/>
      </c>
      <c r="T190" t="str">
        <f t="shared" si="57"/>
        <v/>
      </c>
      <c r="U190" t="str">
        <f t="shared" si="58"/>
        <v/>
      </c>
      <c r="V190" t="str">
        <f t="shared" si="59"/>
        <v/>
      </c>
      <c r="W190" t="str">
        <f t="shared" si="42"/>
        <v xml:space="preserve">              </v>
      </c>
    </row>
    <row r="191" spans="1:23" customFormat="1" hidden="1">
      <c r="A191" t="b">
        <f t="shared" si="41"/>
        <v>0</v>
      </c>
      <c r="B191">
        <f t="shared" si="43"/>
        <v>190</v>
      </c>
      <c r="C191" t="s">
        <v>144</v>
      </c>
      <c r="D191" t="s">
        <v>190</v>
      </c>
      <c r="E191">
        <f t="shared" si="60"/>
        <v>7</v>
      </c>
      <c r="G191">
        <f t="shared" si="44"/>
        <v>7</v>
      </c>
      <c r="H191" t="str">
        <f t="shared" si="45"/>
        <v/>
      </c>
      <c r="I191" t="str">
        <f t="shared" si="46"/>
        <v/>
      </c>
      <c r="J191" t="str">
        <f t="shared" si="47"/>
        <v/>
      </c>
      <c r="K191" t="str">
        <f t="shared" si="48"/>
        <v/>
      </c>
      <c r="L191" t="str">
        <f t="shared" si="49"/>
        <v/>
      </c>
      <c r="M191" t="str">
        <f t="shared" si="50"/>
        <v/>
      </c>
      <c r="N191" t="str">
        <f t="shared" si="51"/>
        <v/>
      </c>
      <c r="O191" t="str">
        <f t="shared" si="52"/>
        <v/>
      </c>
      <c r="P191" t="str">
        <f t="shared" si="53"/>
        <v/>
      </c>
      <c r="Q191" t="str">
        <f t="shared" si="54"/>
        <v/>
      </c>
      <c r="R191" t="str">
        <f t="shared" si="55"/>
        <v/>
      </c>
      <c r="S191" t="str">
        <f t="shared" si="56"/>
        <v/>
      </c>
      <c r="T191" t="str">
        <f t="shared" si="57"/>
        <v/>
      </c>
      <c r="U191" t="str">
        <f t="shared" si="58"/>
        <v/>
      </c>
      <c r="V191" t="str">
        <f t="shared" si="59"/>
        <v/>
      </c>
      <c r="W191" t="str">
        <f t="shared" si="42"/>
        <v xml:space="preserve">              </v>
      </c>
    </row>
    <row r="192" spans="1:23" hidden="1">
      <c r="A192" s="71" t="b">
        <f t="shared" si="41"/>
        <v>0</v>
      </c>
      <c r="B192" s="71">
        <f t="shared" si="43"/>
        <v>191</v>
      </c>
      <c r="C192" s="71" t="s">
        <v>144</v>
      </c>
      <c r="D192" s="71" t="s">
        <v>191</v>
      </c>
      <c r="E192">
        <f t="shared" si="60"/>
        <v>30</v>
      </c>
      <c r="F192">
        <v>1</v>
      </c>
      <c r="G192">
        <f t="shared" si="44"/>
        <v>1</v>
      </c>
      <c r="H192" t="str">
        <f t="shared" si="45"/>
        <v>Communications management plan</v>
      </c>
      <c r="I192" t="str">
        <f t="shared" si="46"/>
        <v>This plan defines who will get what</v>
      </c>
      <c r="J192" t="str">
        <f t="shared" si="47"/>
        <v>information, how they will receive it, and</v>
      </c>
      <c r="K192" t="str">
        <f t="shared" si="48"/>
        <v>in what modality the communication will</v>
      </c>
      <c r="L192" t="str">
        <f t="shared" si="49"/>
        <v>take place.</v>
      </c>
      <c r="M192" t="str">
        <f t="shared" si="50"/>
        <v/>
      </c>
      <c r="N192" t="str">
        <f t="shared" si="51"/>
        <v/>
      </c>
      <c r="O192" t="str">
        <f t="shared" si="52"/>
        <v/>
      </c>
      <c r="P192" t="str">
        <f t="shared" si="53"/>
        <v/>
      </c>
      <c r="Q192" t="str">
        <f t="shared" si="54"/>
        <v/>
      </c>
      <c r="R192" t="str">
        <f t="shared" si="55"/>
        <v/>
      </c>
      <c r="S192" t="str">
        <f t="shared" si="56"/>
        <v/>
      </c>
      <c r="T192" t="str">
        <f t="shared" si="57"/>
        <v/>
      </c>
      <c r="U192" t="str">
        <f t="shared" si="58"/>
        <v/>
      </c>
      <c r="V192" t="str">
        <f t="shared" si="59"/>
        <v/>
      </c>
      <c r="W192" s="71" t="str">
        <f>CONCATENATE(H192," ",I192," ",J192," ",K192," ",L192," ",M192," ",N192," ",O192," ",P192," ",Q192," ",R192," ",S192," ",T192," ",U192," ",V192)</f>
        <v xml:space="preserve">Communications management plan This plan defines who will get what information, how they will receive it, and in what modality the communication will take place.          </v>
      </c>
    </row>
    <row r="193" spans="1:23" customFormat="1" hidden="1">
      <c r="A193" t="b">
        <f t="shared" si="41"/>
        <v>0</v>
      </c>
      <c r="B193">
        <f t="shared" si="43"/>
        <v>192</v>
      </c>
      <c r="C193" t="s">
        <v>144</v>
      </c>
      <c r="D193" t="s">
        <v>192</v>
      </c>
      <c r="E193">
        <f t="shared" si="60"/>
        <v>35</v>
      </c>
      <c r="G193">
        <f t="shared" si="44"/>
        <v>2</v>
      </c>
      <c r="H193" t="str">
        <f t="shared" si="45"/>
        <v/>
      </c>
      <c r="I193" t="str">
        <f t="shared" si="46"/>
        <v/>
      </c>
      <c r="J193" t="str">
        <f t="shared" si="47"/>
        <v/>
      </c>
      <c r="K193" t="str">
        <f t="shared" si="48"/>
        <v/>
      </c>
      <c r="L193" t="str">
        <f t="shared" si="49"/>
        <v/>
      </c>
      <c r="M193" t="str">
        <f t="shared" si="50"/>
        <v/>
      </c>
      <c r="N193" t="str">
        <f t="shared" si="51"/>
        <v/>
      </c>
      <c r="O193" t="str">
        <f t="shared" si="52"/>
        <v/>
      </c>
      <c r="P193" t="str">
        <f t="shared" si="53"/>
        <v/>
      </c>
      <c r="Q193" t="str">
        <f t="shared" si="54"/>
        <v/>
      </c>
      <c r="R193" t="str">
        <f t="shared" si="55"/>
        <v/>
      </c>
      <c r="S193" t="str">
        <f t="shared" si="56"/>
        <v/>
      </c>
      <c r="T193" t="str">
        <f t="shared" si="57"/>
        <v/>
      </c>
      <c r="U193" t="str">
        <f t="shared" si="58"/>
        <v/>
      </c>
      <c r="V193" t="str">
        <f t="shared" si="59"/>
        <v/>
      </c>
      <c r="W193" t="str">
        <f t="shared" si="42"/>
        <v xml:space="preserve">              </v>
      </c>
    </row>
    <row r="194" spans="1:23" customFormat="1" hidden="1">
      <c r="A194" t="b">
        <f t="shared" ref="A194:A257" si="61">C194=D194</f>
        <v>0</v>
      </c>
      <c r="B194">
        <f t="shared" si="43"/>
        <v>193</v>
      </c>
      <c r="C194" t="s">
        <v>144</v>
      </c>
      <c r="D194" t="s">
        <v>193</v>
      </c>
      <c r="E194">
        <f t="shared" si="60"/>
        <v>42</v>
      </c>
      <c r="G194">
        <f t="shared" si="44"/>
        <v>3</v>
      </c>
      <c r="H194" t="str">
        <f t="shared" si="45"/>
        <v/>
      </c>
      <c r="I194" t="str">
        <f t="shared" si="46"/>
        <v/>
      </c>
      <c r="J194" t="str">
        <f t="shared" si="47"/>
        <v/>
      </c>
      <c r="K194" t="str">
        <f t="shared" si="48"/>
        <v/>
      </c>
      <c r="L194" t="str">
        <f t="shared" si="49"/>
        <v/>
      </c>
      <c r="M194" t="str">
        <f t="shared" si="50"/>
        <v/>
      </c>
      <c r="N194" t="str">
        <f t="shared" si="51"/>
        <v/>
      </c>
      <c r="O194" t="str">
        <f t="shared" si="52"/>
        <v/>
      </c>
      <c r="P194" t="str">
        <f t="shared" si="53"/>
        <v/>
      </c>
      <c r="Q194" t="str">
        <f t="shared" si="54"/>
        <v/>
      </c>
      <c r="R194" t="str">
        <f t="shared" si="55"/>
        <v/>
      </c>
      <c r="S194" t="str">
        <f t="shared" si="56"/>
        <v/>
      </c>
      <c r="T194" t="str">
        <f t="shared" si="57"/>
        <v/>
      </c>
      <c r="U194" t="str">
        <f t="shared" si="58"/>
        <v/>
      </c>
      <c r="V194" t="str">
        <f t="shared" si="59"/>
        <v/>
      </c>
      <c r="W194" t="str">
        <f t="shared" ref="W194:W257" si="62">CONCATENATE(H194," ",I194," ",J194," ",K194," ",L194," ",M194," ",N194," ",O194," ",P194," ",Q194," ",R194," ",S194," ",T194," ",U194," ",V194)</f>
        <v xml:space="preserve">              </v>
      </c>
    </row>
    <row r="195" spans="1:23" customFormat="1" hidden="1">
      <c r="A195" t="b">
        <f t="shared" si="61"/>
        <v>0</v>
      </c>
      <c r="B195">
        <f t="shared" si="43"/>
        <v>194</v>
      </c>
      <c r="C195" t="s">
        <v>144</v>
      </c>
      <c r="D195" t="s">
        <v>194</v>
      </c>
      <c r="E195">
        <f t="shared" si="60"/>
        <v>39</v>
      </c>
      <c r="G195">
        <f t="shared" si="44"/>
        <v>4</v>
      </c>
      <c r="H195" t="str">
        <f t="shared" si="45"/>
        <v/>
      </c>
      <c r="I195" t="str">
        <f t="shared" si="46"/>
        <v/>
      </c>
      <c r="J195" t="str">
        <f t="shared" si="47"/>
        <v/>
      </c>
      <c r="K195" t="str">
        <f t="shared" si="48"/>
        <v/>
      </c>
      <c r="L195" t="str">
        <f t="shared" si="49"/>
        <v/>
      </c>
      <c r="M195" t="str">
        <f t="shared" si="50"/>
        <v/>
      </c>
      <c r="N195" t="str">
        <f t="shared" si="51"/>
        <v/>
      </c>
      <c r="O195" t="str">
        <f t="shared" si="52"/>
        <v/>
      </c>
      <c r="P195" t="str">
        <f t="shared" si="53"/>
        <v/>
      </c>
      <c r="Q195" t="str">
        <f t="shared" si="54"/>
        <v/>
      </c>
      <c r="R195" t="str">
        <f t="shared" si="55"/>
        <v/>
      </c>
      <c r="S195" t="str">
        <f t="shared" si="56"/>
        <v/>
      </c>
      <c r="T195" t="str">
        <f t="shared" si="57"/>
        <v/>
      </c>
      <c r="U195" t="str">
        <f t="shared" si="58"/>
        <v/>
      </c>
      <c r="V195" t="str">
        <f t="shared" si="59"/>
        <v/>
      </c>
      <c r="W195" t="str">
        <f t="shared" si="62"/>
        <v xml:space="preserve">              </v>
      </c>
    </row>
    <row r="196" spans="1:23" customFormat="1" hidden="1">
      <c r="A196" t="b">
        <f t="shared" si="61"/>
        <v>0</v>
      </c>
      <c r="B196">
        <f t="shared" ref="B196:B259" si="63">B195+1</f>
        <v>195</v>
      </c>
      <c r="C196" t="s">
        <v>144</v>
      </c>
      <c r="D196" t="s">
        <v>195</v>
      </c>
      <c r="E196">
        <f t="shared" si="60"/>
        <v>11</v>
      </c>
      <c r="G196">
        <f t="shared" ref="G196:G259" si="64">IF(F196=1,1,G195+1)</f>
        <v>5</v>
      </c>
      <c r="H196" t="str">
        <f t="shared" ref="H196:H259" si="65">IF($G196=H$1,$D196,"")</f>
        <v/>
      </c>
      <c r="I196" t="str">
        <f t="shared" ref="I196:I259" si="66">IF($G197=I$1,$D197,"")</f>
        <v/>
      </c>
      <c r="J196" t="str">
        <f t="shared" ref="J196:J259" si="67">IF($G198=J$1,$D198,"")</f>
        <v/>
      </c>
      <c r="K196" t="str">
        <f t="shared" ref="K196:K259" si="68">IF($G199=K$1,$D199,"")</f>
        <v/>
      </c>
      <c r="L196" t="str">
        <f t="shared" ref="L196:L259" si="69">IF($G200=L$1,$D200,"")</f>
        <v/>
      </c>
      <c r="M196" t="str">
        <f t="shared" ref="M196:M259" si="70">IF($G201=M$1,$D201,"")</f>
        <v/>
      </c>
      <c r="N196" t="str">
        <f t="shared" ref="N196:N259" si="71">IF($G202=N$1,$D202,"")</f>
        <v/>
      </c>
      <c r="O196" t="str">
        <f t="shared" ref="O196:O259" si="72">IF($G203=O$1,$D203,"")</f>
        <v/>
      </c>
      <c r="P196" t="str">
        <f t="shared" ref="P196:P259" si="73">IF($G204=P$1,$D204,"")</f>
        <v/>
      </c>
      <c r="Q196" t="str">
        <f t="shared" ref="Q196:Q259" si="74">IF($G205=Q$1,$D205,"")</f>
        <v/>
      </c>
      <c r="R196" t="str">
        <f t="shared" ref="R196:R259" si="75">IF($G206=R$1,$D206,"")</f>
        <v/>
      </c>
      <c r="S196" t="str">
        <f t="shared" ref="S196:S259" si="76">IF($G207=S$1,$D207,"")</f>
        <v/>
      </c>
      <c r="T196" t="str">
        <f t="shared" ref="T196:T259" si="77">IF($G208=T$1,$D208,"")</f>
        <v/>
      </c>
      <c r="U196" t="str">
        <f t="shared" ref="U196:U259" si="78">IF($G209=U$1,$D209,"")</f>
        <v/>
      </c>
      <c r="V196" t="str">
        <f t="shared" ref="V196:V259" si="79">IF($G210=V$1,$D210,"")</f>
        <v/>
      </c>
      <c r="W196" t="str">
        <f t="shared" si="62"/>
        <v xml:space="preserve">              </v>
      </c>
    </row>
    <row r="197" spans="1:23" hidden="1">
      <c r="A197" s="71" t="b">
        <f t="shared" si="61"/>
        <v>0</v>
      </c>
      <c r="B197" s="71">
        <f t="shared" si="63"/>
        <v>196</v>
      </c>
      <c r="C197" s="71" t="s">
        <v>144</v>
      </c>
      <c r="D197" s="71" t="s">
        <v>196</v>
      </c>
      <c r="E197">
        <f t="shared" si="60"/>
        <v>28</v>
      </c>
      <c r="F197">
        <v>1</v>
      </c>
      <c r="G197">
        <f t="shared" si="64"/>
        <v>1</v>
      </c>
      <c r="H197" t="str">
        <f t="shared" si="65"/>
        <v>Configuration identification</v>
      </c>
      <c r="I197" t="str">
        <f t="shared" si="66"/>
        <v>This includes the labeling of the</v>
      </c>
      <c r="J197" t="str">
        <f t="shared" si="67"/>
        <v>components, how changes are made to</v>
      </c>
      <c r="K197" t="str">
        <f t="shared" si="68"/>
        <v>the product, and the accountability of the</v>
      </c>
      <c r="L197" t="str">
        <f t="shared" si="69"/>
        <v>changes.</v>
      </c>
      <c r="M197" t="str">
        <f t="shared" si="70"/>
        <v/>
      </c>
      <c r="N197" t="str">
        <f t="shared" si="71"/>
        <v/>
      </c>
      <c r="O197" t="str">
        <f t="shared" si="72"/>
        <v/>
      </c>
      <c r="P197" t="str">
        <f t="shared" si="73"/>
        <v/>
      </c>
      <c r="Q197" t="str">
        <f t="shared" si="74"/>
        <v/>
      </c>
      <c r="R197" t="str">
        <f t="shared" si="75"/>
        <v/>
      </c>
      <c r="S197" t="str">
        <f t="shared" si="76"/>
        <v/>
      </c>
      <c r="T197" t="str">
        <f t="shared" si="77"/>
        <v/>
      </c>
      <c r="U197" t="str">
        <f t="shared" si="78"/>
        <v/>
      </c>
      <c r="V197" t="str">
        <f t="shared" si="79"/>
        <v/>
      </c>
      <c r="W197" s="71" t="str">
        <f>CONCATENATE(H197," ",I197," ",J197," ",K197," ",L197," ",M197," ",N197," ",O197," ",P197," ",Q197," ",R197," ",S197," ",T197," ",U197," ",V197)</f>
        <v xml:space="preserve">Configuration identification This includes the labeling of the components, how changes are made to the product, and the accountability of the changes.          </v>
      </c>
    </row>
    <row r="198" spans="1:23" customFormat="1" hidden="1">
      <c r="A198" t="b">
        <f t="shared" si="61"/>
        <v>0</v>
      </c>
      <c r="B198">
        <f t="shared" si="63"/>
        <v>197</v>
      </c>
      <c r="C198" t="s">
        <v>144</v>
      </c>
      <c r="D198" t="s">
        <v>197</v>
      </c>
      <c r="E198">
        <f t="shared" si="60"/>
        <v>33</v>
      </c>
      <c r="G198">
        <f t="shared" si="64"/>
        <v>2</v>
      </c>
      <c r="H198" t="str">
        <f t="shared" si="65"/>
        <v/>
      </c>
      <c r="I198" t="str">
        <f t="shared" si="66"/>
        <v/>
      </c>
      <c r="J198" t="str">
        <f t="shared" si="67"/>
        <v/>
      </c>
      <c r="K198" t="str">
        <f t="shared" si="68"/>
        <v/>
      </c>
      <c r="L198" t="str">
        <f t="shared" si="69"/>
        <v/>
      </c>
      <c r="M198" t="str">
        <f t="shared" si="70"/>
        <v/>
      </c>
      <c r="N198" t="str">
        <f t="shared" si="71"/>
        <v/>
      </c>
      <c r="O198" t="str">
        <f t="shared" si="72"/>
        <v/>
      </c>
      <c r="P198" t="str">
        <f t="shared" si="73"/>
        <v/>
      </c>
      <c r="Q198" t="str">
        <f t="shared" si="74"/>
        <v/>
      </c>
      <c r="R198" t="str">
        <f t="shared" si="75"/>
        <v/>
      </c>
      <c r="S198" t="str">
        <f t="shared" si="76"/>
        <v/>
      </c>
      <c r="T198" t="str">
        <f t="shared" si="77"/>
        <v/>
      </c>
      <c r="U198" t="str">
        <f t="shared" si="78"/>
        <v/>
      </c>
      <c r="V198" t="str">
        <f t="shared" si="79"/>
        <v/>
      </c>
      <c r="W198" t="str">
        <f t="shared" si="62"/>
        <v xml:space="preserve">              </v>
      </c>
    </row>
    <row r="199" spans="1:23" customFormat="1" hidden="1">
      <c r="A199" t="b">
        <f t="shared" si="61"/>
        <v>0</v>
      </c>
      <c r="B199">
        <f t="shared" si="63"/>
        <v>198</v>
      </c>
      <c r="C199" t="s">
        <v>144</v>
      </c>
      <c r="D199" t="s">
        <v>198</v>
      </c>
      <c r="E199">
        <f t="shared" si="60"/>
        <v>35</v>
      </c>
      <c r="G199">
        <f t="shared" si="64"/>
        <v>3</v>
      </c>
      <c r="H199" t="str">
        <f t="shared" si="65"/>
        <v/>
      </c>
      <c r="I199" t="str">
        <f t="shared" si="66"/>
        <v/>
      </c>
      <c r="J199" t="str">
        <f t="shared" si="67"/>
        <v/>
      </c>
      <c r="K199" t="str">
        <f t="shared" si="68"/>
        <v/>
      </c>
      <c r="L199" t="str">
        <f t="shared" si="69"/>
        <v/>
      </c>
      <c r="M199" t="str">
        <f t="shared" si="70"/>
        <v/>
      </c>
      <c r="N199" t="str">
        <f t="shared" si="71"/>
        <v/>
      </c>
      <c r="O199" t="str">
        <f t="shared" si="72"/>
        <v/>
      </c>
      <c r="P199" t="str">
        <f t="shared" si="73"/>
        <v/>
      </c>
      <c r="Q199" t="str">
        <f t="shared" si="74"/>
        <v/>
      </c>
      <c r="R199" t="str">
        <f t="shared" si="75"/>
        <v/>
      </c>
      <c r="S199" t="str">
        <f t="shared" si="76"/>
        <v/>
      </c>
      <c r="T199" t="str">
        <f t="shared" si="77"/>
        <v/>
      </c>
      <c r="U199" t="str">
        <f t="shared" si="78"/>
        <v/>
      </c>
      <c r="V199" t="str">
        <f t="shared" si="79"/>
        <v/>
      </c>
      <c r="W199" t="str">
        <f t="shared" si="62"/>
        <v xml:space="preserve">              </v>
      </c>
    </row>
    <row r="200" spans="1:23" customFormat="1" hidden="1">
      <c r="A200" t="b">
        <f t="shared" si="61"/>
        <v>0</v>
      </c>
      <c r="B200">
        <f t="shared" si="63"/>
        <v>199</v>
      </c>
      <c r="C200" t="s">
        <v>144</v>
      </c>
      <c r="D200" t="s">
        <v>199</v>
      </c>
      <c r="E200">
        <f t="shared" si="60"/>
        <v>42</v>
      </c>
      <c r="G200">
        <f t="shared" si="64"/>
        <v>4</v>
      </c>
      <c r="H200" t="str">
        <f t="shared" si="65"/>
        <v/>
      </c>
      <c r="I200" t="str">
        <f t="shared" si="66"/>
        <v/>
      </c>
      <c r="J200" t="str">
        <f t="shared" si="67"/>
        <v/>
      </c>
      <c r="K200" t="str">
        <f t="shared" si="68"/>
        <v/>
      </c>
      <c r="L200" t="str">
        <f t="shared" si="69"/>
        <v/>
      </c>
      <c r="M200" t="str">
        <f t="shared" si="70"/>
        <v/>
      </c>
      <c r="N200" t="str">
        <f t="shared" si="71"/>
        <v/>
      </c>
      <c r="O200" t="str">
        <f t="shared" si="72"/>
        <v/>
      </c>
      <c r="P200" t="str">
        <f t="shared" si="73"/>
        <v/>
      </c>
      <c r="Q200" t="str">
        <f t="shared" si="74"/>
        <v/>
      </c>
      <c r="R200" t="str">
        <f t="shared" si="75"/>
        <v/>
      </c>
      <c r="S200" t="str">
        <f t="shared" si="76"/>
        <v/>
      </c>
      <c r="T200" t="str">
        <f t="shared" si="77"/>
        <v/>
      </c>
      <c r="U200" t="str">
        <f t="shared" si="78"/>
        <v/>
      </c>
      <c r="V200" t="str">
        <f t="shared" si="79"/>
        <v/>
      </c>
      <c r="W200" t="str">
        <f t="shared" si="62"/>
        <v xml:space="preserve">              </v>
      </c>
    </row>
    <row r="201" spans="1:23" customFormat="1" hidden="1">
      <c r="A201" t="b">
        <f t="shared" si="61"/>
        <v>0</v>
      </c>
      <c r="B201">
        <f t="shared" si="63"/>
        <v>200</v>
      </c>
      <c r="C201" t="s">
        <v>144</v>
      </c>
      <c r="D201" t="s">
        <v>200</v>
      </c>
      <c r="E201">
        <f t="shared" si="60"/>
        <v>8</v>
      </c>
      <c r="G201">
        <f t="shared" si="64"/>
        <v>5</v>
      </c>
      <c r="H201" t="str">
        <f t="shared" si="65"/>
        <v/>
      </c>
      <c r="I201" t="str">
        <f t="shared" si="66"/>
        <v/>
      </c>
      <c r="J201" t="str">
        <f t="shared" si="67"/>
        <v/>
      </c>
      <c r="K201" t="str">
        <f t="shared" si="68"/>
        <v/>
      </c>
      <c r="L201" t="str">
        <f t="shared" si="69"/>
        <v/>
      </c>
      <c r="M201" t="str">
        <f t="shared" si="70"/>
        <v/>
      </c>
      <c r="N201" t="str">
        <f t="shared" si="71"/>
        <v/>
      </c>
      <c r="O201" t="str">
        <f t="shared" si="72"/>
        <v/>
      </c>
      <c r="P201" t="str">
        <f t="shared" si="73"/>
        <v/>
      </c>
      <c r="Q201" t="str">
        <f t="shared" si="74"/>
        <v/>
      </c>
      <c r="R201" t="str">
        <f t="shared" si="75"/>
        <v/>
      </c>
      <c r="S201" t="str">
        <f t="shared" si="76"/>
        <v/>
      </c>
      <c r="T201" t="str">
        <f t="shared" si="77"/>
        <v/>
      </c>
      <c r="U201" t="str">
        <f t="shared" si="78"/>
        <v/>
      </c>
      <c r="V201" t="str">
        <f t="shared" si="79"/>
        <v/>
      </c>
      <c r="W201" t="str">
        <f t="shared" si="62"/>
        <v xml:space="preserve">              </v>
      </c>
    </row>
    <row r="202" spans="1:23" hidden="1">
      <c r="A202" s="71" t="b">
        <f t="shared" si="61"/>
        <v>0</v>
      </c>
      <c r="B202" s="71">
        <f t="shared" si="63"/>
        <v>201</v>
      </c>
      <c r="C202" s="71" t="s">
        <v>144</v>
      </c>
      <c r="D202" s="71" t="s">
        <v>201</v>
      </c>
      <c r="E202">
        <f t="shared" si="60"/>
        <v>29</v>
      </c>
      <c r="F202">
        <v>1</v>
      </c>
      <c r="G202">
        <f t="shared" si="64"/>
        <v>1</v>
      </c>
      <c r="H202" t="str">
        <f t="shared" si="65"/>
        <v>Configuration management plan</v>
      </c>
      <c r="I202" t="str">
        <f t="shared" si="66"/>
        <v>This plan is an input to the control scope</v>
      </c>
      <c r="J202" t="str">
        <f t="shared" si="67"/>
        <v>process. It defines how changes to the</v>
      </c>
      <c r="K202" t="str">
        <f t="shared" si="68"/>
        <v>features and functions of the project</v>
      </c>
      <c r="L202" t="str">
        <f t="shared" si="69"/>
        <v>deliverable, the product scope, may enter</v>
      </c>
      <c r="M202" t="str">
        <f t="shared" si="70"/>
        <v>the project.</v>
      </c>
      <c r="N202" t="str">
        <f t="shared" si="71"/>
        <v/>
      </c>
      <c r="O202" t="str">
        <f t="shared" si="72"/>
        <v/>
      </c>
      <c r="P202" t="str">
        <f t="shared" si="73"/>
        <v/>
      </c>
      <c r="Q202" t="str">
        <f t="shared" si="74"/>
        <v/>
      </c>
      <c r="R202" t="str">
        <f t="shared" si="75"/>
        <v/>
      </c>
      <c r="S202" t="str">
        <f t="shared" si="76"/>
        <v/>
      </c>
      <c r="T202" t="str">
        <f t="shared" si="77"/>
        <v/>
      </c>
      <c r="U202" t="str">
        <f t="shared" si="78"/>
        <v/>
      </c>
      <c r="V202" t="str">
        <f t="shared" si="79"/>
        <v/>
      </c>
      <c r="W202" s="71" t="str">
        <f>CONCATENATE(H202," ",I202," ",J202," ",K202," ",L202," ",M202," ",N202," ",O202," ",P202," ",Q202," ",R202," ",S202," ",T202," ",U202," ",V202)</f>
        <v xml:space="preserve">Configuration management plan This plan is an input to the control scope process. It defines how changes to the features and functions of the project deliverable, the product scope, may enter the project.         </v>
      </c>
    </row>
    <row r="203" spans="1:23" customFormat="1" hidden="1">
      <c r="A203" t="b">
        <f t="shared" si="61"/>
        <v>0</v>
      </c>
      <c r="B203">
        <f t="shared" si="63"/>
        <v>202</v>
      </c>
      <c r="C203" t="s">
        <v>144</v>
      </c>
      <c r="D203" t="s">
        <v>202</v>
      </c>
      <c r="E203">
        <f t="shared" si="60"/>
        <v>42</v>
      </c>
      <c r="G203">
        <f t="shared" si="64"/>
        <v>2</v>
      </c>
      <c r="H203" t="str">
        <f t="shared" si="65"/>
        <v/>
      </c>
      <c r="I203" t="str">
        <f t="shared" si="66"/>
        <v/>
      </c>
      <c r="J203" t="str">
        <f t="shared" si="67"/>
        <v/>
      </c>
      <c r="K203" t="str">
        <f t="shared" si="68"/>
        <v/>
      </c>
      <c r="L203" t="str">
        <f t="shared" si="69"/>
        <v/>
      </c>
      <c r="M203" t="str">
        <f t="shared" si="70"/>
        <v/>
      </c>
      <c r="N203" t="str">
        <f t="shared" si="71"/>
        <v/>
      </c>
      <c r="O203" t="str">
        <f t="shared" si="72"/>
        <v/>
      </c>
      <c r="P203" t="str">
        <f t="shared" si="73"/>
        <v/>
      </c>
      <c r="Q203" t="str">
        <f t="shared" si="74"/>
        <v/>
      </c>
      <c r="R203" t="str">
        <f t="shared" si="75"/>
        <v/>
      </c>
      <c r="S203" t="str">
        <f t="shared" si="76"/>
        <v/>
      </c>
      <c r="T203" t="str">
        <f t="shared" si="77"/>
        <v/>
      </c>
      <c r="U203" t="str">
        <f t="shared" si="78"/>
        <v/>
      </c>
      <c r="V203" t="str">
        <f t="shared" si="79"/>
        <v/>
      </c>
      <c r="W203" t="str">
        <f t="shared" si="62"/>
        <v xml:space="preserve">              </v>
      </c>
    </row>
    <row r="204" spans="1:23" customFormat="1" hidden="1">
      <c r="A204" t="b">
        <f t="shared" si="61"/>
        <v>0</v>
      </c>
      <c r="B204">
        <f t="shared" si="63"/>
        <v>203</v>
      </c>
      <c r="C204" t="s">
        <v>144</v>
      </c>
      <c r="D204" t="s">
        <v>203</v>
      </c>
      <c r="E204">
        <f t="shared" si="60"/>
        <v>38</v>
      </c>
      <c r="G204">
        <f t="shared" si="64"/>
        <v>3</v>
      </c>
      <c r="H204" t="str">
        <f t="shared" si="65"/>
        <v/>
      </c>
      <c r="I204" t="str">
        <f t="shared" si="66"/>
        <v/>
      </c>
      <c r="J204" t="str">
        <f t="shared" si="67"/>
        <v/>
      </c>
      <c r="K204" t="str">
        <f t="shared" si="68"/>
        <v/>
      </c>
      <c r="L204" t="str">
        <f t="shared" si="69"/>
        <v/>
      </c>
      <c r="M204" t="str">
        <f t="shared" si="70"/>
        <v/>
      </c>
      <c r="N204" t="str">
        <f t="shared" si="71"/>
        <v/>
      </c>
      <c r="O204" t="str">
        <f t="shared" si="72"/>
        <v/>
      </c>
      <c r="P204" t="str">
        <f t="shared" si="73"/>
        <v/>
      </c>
      <c r="Q204" t="str">
        <f t="shared" si="74"/>
        <v/>
      </c>
      <c r="R204" t="str">
        <f t="shared" si="75"/>
        <v/>
      </c>
      <c r="S204" t="str">
        <f t="shared" si="76"/>
        <v/>
      </c>
      <c r="T204" t="str">
        <f t="shared" si="77"/>
        <v/>
      </c>
      <c r="U204" t="str">
        <f t="shared" si="78"/>
        <v/>
      </c>
      <c r="V204" t="str">
        <f t="shared" si="79"/>
        <v/>
      </c>
      <c r="W204" t="str">
        <f t="shared" si="62"/>
        <v xml:space="preserve">              </v>
      </c>
    </row>
    <row r="205" spans="1:23" customFormat="1" hidden="1">
      <c r="A205" t="b">
        <f t="shared" si="61"/>
        <v>0</v>
      </c>
      <c r="B205">
        <f t="shared" si="63"/>
        <v>204</v>
      </c>
      <c r="C205" t="s">
        <v>144</v>
      </c>
      <c r="D205" t="s">
        <v>204</v>
      </c>
      <c r="E205">
        <f t="shared" si="60"/>
        <v>37</v>
      </c>
      <c r="G205">
        <f t="shared" si="64"/>
        <v>4</v>
      </c>
      <c r="H205" t="str">
        <f t="shared" si="65"/>
        <v/>
      </c>
      <c r="I205" t="str">
        <f t="shared" si="66"/>
        <v/>
      </c>
      <c r="J205" t="str">
        <f t="shared" si="67"/>
        <v/>
      </c>
      <c r="K205" t="str">
        <f t="shared" si="68"/>
        <v/>
      </c>
      <c r="L205" t="str">
        <f t="shared" si="69"/>
        <v/>
      </c>
      <c r="M205" t="str">
        <f t="shared" si="70"/>
        <v/>
      </c>
      <c r="N205" t="str">
        <f t="shared" si="71"/>
        <v/>
      </c>
      <c r="O205" t="str">
        <f t="shared" si="72"/>
        <v/>
      </c>
      <c r="P205" t="str">
        <f t="shared" si="73"/>
        <v/>
      </c>
      <c r="Q205" t="str">
        <f t="shared" si="74"/>
        <v/>
      </c>
      <c r="R205" t="str">
        <f t="shared" si="75"/>
        <v/>
      </c>
      <c r="S205" t="str">
        <f t="shared" si="76"/>
        <v/>
      </c>
      <c r="T205" t="str">
        <f t="shared" si="77"/>
        <v/>
      </c>
      <c r="U205" t="str">
        <f t="shared" si="78"/>
        <v/>
      </c>
      <c r="V205" t="str">
        <f t="shared" si="79"/>
        <v/>
      </c>
      <c r="W205" t="str">
        <f t="shared" si="62"/>
        <v xml:space="preserve">              </v>
      </c>
    </row>
    <row r="206" spans="1:23" customFormat="1" hidden="1">
      <c r="A206" t="b">
        <f t="shared" si="61"/>
        <v>0</v>
      </c>
      <c r="B206">
        <f t="shared" si="63"/>
        <v>205</v>
      </c>
      <c r="C206" t="s">
        <v>144</v>
      </c>
      <c r="D206" t="s">
        <v>205</v>
      </c>
      <c r="E206">
        <f t="shared" si="60"/>
        <v>41</v>
      </c>
      <c r="G206">
        <f t="shared" si="64"/>
        <v>5</v>
      </c>
      <c r="H206" t="str">
        <f t="shared" si="65"/>
        <v/>
      </c>
      <c r="I206" t="str">
        <f t="shared" si="66"/>
        <v/>
      </c>
      <c r="J206" t="str">
        <f t="shared" si="67"/>
        <v/>
      </c>
      <c r="K206" t="str">
        <f t="shared" si="68"/>
        <v/>
      </c>
      <c r="L206" t="str">
        <f t="shared" si="69"/>
        <v/>
      </c>
      <c r="M206" t="str">
        <f t="shared" si="70"/>
        <v/>
      </c>
      <c r="N206" t="str">
        <f t="shared" si="71"/>
        <v/>
      </c>
      <c r="O206" t="str">
        <f t="shared" si="72"/>
        <v/>
      </c>
      <c r="P206" t="str">
        <f t="shared" si="73"/>
        <v/>
      </c>
      <c r="Q206" t="str">
        <f t="shared" si="74"/>
        <v/>
      </c>
      <c r="R206" t="str">
        <f t="shared" si="75"/>
        <v/>
      </c>
      <c r="S206" t="str">
        <f t="shared" si="76"/>
        <v/>
      </c>
      <c r="T206" t="str">
        <f t="shared" si="77"/>
        <v/>
      </c>
      <c r="U206" t="str">
        <f t="shared" si="78"/>
        <v/>
      </c>
      <c r="V206" t="str">
        <f t="shared" si="79"/>
        <v/>
      </c>
      <c r="W206" t="str">
        <f t="shared" si="62"/>
        <v xml:space="preserve">              </v>
      </c>
    </row>
    <row r="207" spans="1:23" customFormat="1" hidden="1">
      <c r="A207" t="b">
        <f t="shared" si="61"/>
        <v>0</v>
      </c>
      <c r="B207">
        <f t="shared" si="63"/>
        <v>206</v>
      </c>
      <c r="C207" t="s">
        <v>144</v>
      </c>
      <c r="D207" t="s">
        <v>206</v>
      </c>
      <c r="E207">
        <f t="shared" si="60"/>
        <v>12</v>
      </c>
      <c r="G207">
        <f t="shared" si="64"/>
        <v>6</v>
      </c>
      <c r="H207" t="str">
        <f t="shared" si="65"/>
        <v/>
      </c>
      <c r="I207" t="str">
        <f t="shared" si="66"/>
        <v/>
      </c>
      <c r="J207" t="str">
        <f t="shared" si="67"/>
        <v/>
      </c>
      <c r="K207" t="str">
        <f t="shared" si="68"/>
        <v/>
      </c>
      <c r="L207" t="str">
        <f t="shared" si="69"/>
        <v/>
      </c>
      <c r="M207" t="str">
        <f t="shared" si="70"/>
        <v/>
      </c>
      <c r="N207" t="str">
        <f t="shared" si="71"/>
        <v/>
      </c>
      <c r="O207" t="str">
        <f t="shared" si="72"/>
        <v/>
      </c>
      <c r="P207" t="str">
        <f t="shared" si="73"/>
        <v/>
      </c>
      <c r="Q207" t="str">
        <f t="shared" si="74"/>
        <v/>
      </c>
      <c r="R207" t="str">
        <f t="shared" si="75"/>
        <v/>
      </c>
      <c r="S207" t="str">
        <f t="shared" si="76"/>
        <v/>
      </c>
      <c r="T207" t="str">
        <f t="shared" si="77"/>
        <v/>
      </c>
      <c r="U207" t="str">
        <f t="shared" si="78"/>
        <v/>
      </c>
      <c r="V207" t="str">
        <f t="shared" si="79"/>
        <v/>
      </c>
      <c r="W207" t="str">
        <f t="shared" si="62"/>
        <v xml:space="preserve">              </v>
      </c>
    </row>
    <row r="208" spans="1:23" hidden="1">
      <c r="A208" s="71" t="b">
        <f t="shared" si="61"/>
        <v>0</v>
      </c>
      <c r="B208" s="71">
        <f t="shared" si="63"/>
        <v>207</v>
      </c>
      <c r="C208" s="71" t="s">
        <v>144</v>
      </c>
      <c r="D208" s="71" t="s">
        <v>207</v>
      </c>
      <c r="E208">
        <f t="shared" si="60"/>
        <v>31</v>
      </c>
      <c r="F208">
        <v>1</v>
      </c>
      <c r="G208">
        <f t="shared" si="64"/>
        <v>1</v>
      </c>
      <c r="H208" t="str">
        <f t="shared" si="65"/>
        <v>Configuration management system</v>
      </c>
      <c r="I208" t="str">
        <f t="shared" si="66"/>
        <v>This system defines how stakeholders are</v>
      </c>
      <c r="J208" t="str">
        <f t="shared" si="67"/>
        <v>allowed to submit change requests, the</v>
      </c>
      <c r="K208" t="str">
        <f t="shared" si="68"/>
        <v>conditions for approving a change</v>
      </c>
      <c r="L208" t="str">
        <f t="shared" si="69"/>
        <v>request, and how approved change</v>
      </c>
      <c r="M208" t="str">
        <f t="shared" si="70"/>
        <v>requests are validated in the project</v>
      </c>
      <c r="N208" t="str">
        <f t="shared" si="71"/>
        <v>scope. Configuration management also</v>
      </c>
      <c r="O208" t="str">
        <f t="shared" si="72"/>
        <v>documents the characteristics and</v>
      </c>
      <c r="P208" t="str">
        <f t="shared" si="73"/>
        <v>functions of the project’s products and</v>
      </c>
      <c r="Q208" t="str">
        <f t="shared" si="74"/>
        <v>any changes to a product’s</v>
      </c>
      <c r="R208" t="str">
        <f t="shared" si="75"/>
        <v>characteristics.</v>
      </c>
      <c r="S208" t="str">
        <f t="shared" si="76"/>
        <v/>
      </c>
      <c r="T208" t="str">
        <f t="shared" si="77"/>
        <v/>
      </c>
      <c r="U208" t="str">
        <f t="shared" si="78"/>
        <v/>
      </c>
      <c r="V208" t="str">
        <f t="shared" si="79"/>
        <v/>
      </c>
      <c r="W208" s="71" t="str">
        <f>CONCATENATE(H208," ",I208," ",J208," ",K208," ",L208," ",M208," ",N208," ",O208," ",P208," ",Q208," ",R208," ",S208," ",T208," ",U208," ",V208)</f>
        <v xml:space="preserve">Configuration management system This system defines how stakeholders are allowed to submit change requests, the conditions for approving a change request, and how approved change requests are validated in the project scope. Configuration management also documents the characteristics and functions of the project’s products and any changes to a product’s characteristics.    </v>
      </c>
    </row>
    <row r="209" spans="1:23" customFormat="1" hidden="1">
      <c r="A209" t="b">
        <f t="shared" si="61"/>
        <v>0</v>
      </c>
      <c r="B209">
        <f t="shared" si="63"/>
        <v>208</v>
      </c>
      <c r="C209" t="s">
        <v>144</v>
      </c>
      <c r="D209" t="s">
        <v>208</v>
      </c>
      <c r="E209">
        <f t="shared" si="60"/>
        <v>40</v>
      </c>
      <c r="G209">
        <f t="shared" si="64"/>
        <v>2</v>
      </c>
      <c r="H209" t="str">
        <f t="shared" si="65"/>
        <v/>
      </c>
      <c r="I209" t="str">
        <f t="shared" si="66"/>
        <v/>
      </c>
      <c r="J209" t="str">
        <f t="shared" si="67"/>
        <v/>
      </c>
      <c r="K209" t="str">
        <f t="shared" si="68"/>
        <v/>
      </c>
      <c r="L209" t="str">
        <f t="shared" si="69"/>
        <v/>
      </c>
      <c r="M209" t="str">
        <f t="shared" si="70"/>
        <v/>
      </c>
      <c r="N209" t="str">
        <f t="shared" si="71"/>
        <v/>
      </c>
      <c r="O209" t="str">
        <f t="shared" si="72"/>
        <v/>
      </c>
      <c r="P209" t="str">
        <f t="shared" si="73"/>
        <v/>
      </c>
      <c r="Q209" t="str">
        <f t="shared" si="74"/>
        <v/>
      </c>
      <c r="R209" t="str">
        <f t="shared" si="75"/>
        <v/>
      </c>
      <c r="S209" t="str">
        <f t="shared" si="76"/>
        <v/>
      </c>
      <c r="T209" t="str">
        <f t="shared" si="77"/>
        <v/>
      </c>
      <c r="U209" t="str">
        <f t="shared" si="78"/>
        <v/>
      </c>
      <c r="V209" t="str">
        <f t="shared" si="79"/>
        <v/>
      </c>
      <c r="W209" t="str">
        <f t="shared" si="62"/>
        <v xml:space="preserve">              </v>
      </c>
    </row>
    <row r="210" spans="1:23" customFormat="1" hidden="1">
      <c r="A210" t="b">
        <f t="shared" si="61"/>
        <v>0</v>
      </c>
      <c r="B210">
        <f t="shared" si="63"/>
        <v>209</v>
      </c>
      <c r="C210" t="s">
        <v>144</v>
      </c>
      <c r="D210" t="s">
        <v>209</v>
      </c>
      <c r="E210">
        <f t="shared" si="60"/>
        <v>38</v>
      </c>
      <c r="G210">
        <f t="shared" si="64"/>
        <v>3</v>
      </c>
      <c r="H210" t="str">
        <f t="shared" si="65"/>
        <v/>
      </c>
      <c r="I210" t="str">
        <f t="shared" si="66"/>
        <v/>
      </c>
      <c r="J210" t="str">
        <f t="shared" si="67"/>
        <v/>
      </c>
      <c r="K210" t="str">
        <f t="shared" si="68"/>
        <v/>
      </c>
      <c r="L210" t="str">
        <f t="shared" si="69"/>
        <v/>
      </c>
      <c r="M210" t="str">
        <f t="shared" si="70"/>
        <v/>
      </c>
      <c r="N210" t="str">
        <f t="shared" si="71"/>
        <v/>
      </c>
      <c r="O210" t="str">
        <f t="shared" si="72"/>
        <v/>
      </c>
      <c r="P210" t="str">
        <f t="shared" si="73"/>
        <v/>
      </c>
      <c r="Q210" t="str">
        <f t="shared" si="74"/>
        <v/>
      </c>
      <c r="R210" t="str">
        <f t="shared" si="75"/>
        <v/>
      </c>
      <c r="S210" t="str">
        <f t="shared" si="76"/>
        <v/>
      </c>
      <c r="T210" t="str">
        <f t="shared" si="77"/>
        <v/>
      </c>
      <c r="U210" t="str">
        <f t="shared" si="78"/>
        <v/>
      </c>
      <c r="V210" t="str">
        <f t="shared" si="79"/>
        <v/>
      </c>
      <c r="W210" t="str">
        <f t="shared" si="62"/>
        <v xml:space="preserve">              </v>
      </c>
    </row>
    <row r="211" spans="1:23" customFormat="1" hidden="1">
      <c r="A211" t="b">
        <f t="shared" si="61"/>
        <v>0</v>
      </c>
      <c r="B211">
        <f t="shared" si="63"/>
        <v>210</v>
      </c>
      <c r="C211" t="s">
        <v>144</v>
      </c>
      <c r="D211" t="s">
        <v>210</v>
      </c>
      <c r="E211">
        <f t="shared" si="60"/>
        <v>33</v>
      </c>
      <c r="G211">
        <f t="shared" si="64"/>
        <v>4</v>
      </c>
      <c r="H211" t="str">
        <f t="shared" si="65"/>
        <v/>
      </c>
      <c r="I211" t="str">
        <f t="shared" si="66"/>
        <v/>
      </c>
      <c r="J211" t="str">
        <f t="shared" si="67"/>
        <v/>
      </c>
      <c r="K211" t="str">
        <f t="shared" si="68"/>
        <v/>
      </c>
      <c r="L211" t="str">
        <f t="shared" si="69"/>
        <v/>
      </c>
      <c r="M211" t="str">
        <f t="shared" si="70"/>
        <v/>
      </c>
      <c r="N211" t="str">
        <f t="shared" si="71"/>
        <v/>
      </c>
      <c r="O211" t="str">
        <f t="shared" si="72"/>
        <v/>
      </c>
      <c r="P211" t="str">
        <f t="shared" si="73"/>
        <v/>
      </c>
      <c r="Q211" t="str">
        <f t="shared" si="74"/>
        <v/>
      </c>
      <c r="R211" t="str">
        <f t="shared" si="75"/>
        <v/>
      </c>
      <c r="S211" t="str">
        <f t="shared" si="76"/>
        <v/>
      </c>
      <c r="T211" t="str">
        <f t="shared" si="77"/>
        <v/>
      </c>
      <c r="U211" t="str">
        <f t="shared" si="78"/>
        <v/>
      </c>
      <c r="V211" t="str">
        <f t="shared" si="79"/>
        <v/>
      </c>
      <c r="W211" t="str">
        <f t="shared" si="62"/>
        <v xml:space="preserve">              </v>
      </c>
    </row>
    <row r="212" spans="1:23" customFormat="1" hidden="1">
      <c r="A212" t="b">
        <f t="shared" si="61"/>
        <v>0</v>
      </c>
      <c r="B212">
        <f t="shared" si="63"/>
        <v>211</v>
      </c>
      <c r="C212" t="s">
        <v>144</v>
      </c>
      <c r="D212" t="s">
        <v>211</v>
      </c>
      <c r="E212">
        <f t="shared" si="60"/>
        <v>32</v>
      </c>
      <c r="G212">
        <f t="shared" si="64"/>
        <v>5</v>
      </c>
      <c r="H212" t="str">
        <f t="shared" si="65"/>
        <v/>
      </c>
      <c r="I212" t="str">
        <f t="shared" si="66"/>
        <v/>
      </c>
      <c r="J212" t="str">
        <f t="shared" si="67"/>
        <v/>
      </c>
      <c r="K212" t="str">
        <f t="shared" si="68"/>
        <v/>
      </c>
      <c r="L212" t="str">
        <f t="shared" si="69"/>
        <v/>
      </c>
      <c r="M212" t="str">
        <f t="shared" si="70"/>
        <v/>
      </c>
      <c r="N212" t="str">
        <f t="shared" si="71"/>
        <v/>
      </c>
      <c r="O212" t="str">
        <f t="shared" si="72"/>
        <v/>
      </c>
      <c r="P212" t="str">
        <f t="shared" si="73"/>
        <v/>
      </c>
      <c r="Q212" t="str">
        <f t="shared" si="74"/>
        <v/>
      </c>
      <c r="R212" t="str">
        <f t="shared" si="75"/>
        <v/>
      </c>
      <c r="S212" t="str">
        <f t="shared" si="76"/>
        <v/>
      </c>
      <c r="T212" t="str">
        <f t="shared" si="77"/>
        <v/>
      </c>
      <c r="U212" t="str">
        <f t="shared" si="78"/>
        <v/>
      </c>
      <c r="V212" t="str">
        <f t="shared" si="79"/>
        <v/>
      </c>
      <c r="W212" t="str">
        <f t="shared" si="62"/>
        <v xml:space="preserve">              </v>
      </c>
    </row>
    <row r="213" spans="1:23" customFormat="1" hidden="1">
      <c r="A213" t="b">
        <f t="shared" si="61"/>
        <v>0</v>
      </c>
      <c r="B213">
        <f t="shared" si="63"/>
        <v>212</v>
      </c>
      <c r="C213" t="s">
        <v>144</v>
      </c>
      <c r="D213" t="s">
        <v>212</v>
      </c>
      <c r="E213">
        <f t="shared" si="60"/>
        <v>37</v>
      </c>
      <c r="G213">
        <f t="shared" si="64"/>
        <v>6</v>
      </c>
      <c r="H213" t="str">
        <f t="shared" si="65"/>
        <v/>
      </c>
      <c r="I213" t="str">
        <f t="shared" si="66"/>
        <v/>
      </c>
      <c r="J213" t="str">
        <f t="shared" si="67"/>
        <v/>
      </c>
      <c r="K213" t="str">
        <f t="shared" si="68"/>
        <v/>
      </c>
      <c r="L213" t="str">
        <f t="shared" si="69"/>
        <v/>
      </c>
      <c r="M213" t="str">
        <f t="shared" si="70"/>
        <v/>
      </c>
      <c r="N213" t="str">
        <f t="shared" si="71"/>
        <v/>
      </c>
      <c r="O213" t="str">
        <f t="shared" si="72"/>
        <v/>
      </c>
      <c r="P213" t="str">
        <f t="shared" si="73"/>
        <v/>
      </c>
      <c r="Q213" t="str">
        <f t="shared" si="74"/>
        <v/>
      </c>
      <c r="R213" t="str">
        <f t="shared" si="75"/>
        <v/>
      </c>
      <c r="S213" t="str">
        <f t="shared" si="76"/>
        <v/>
      </c>
      <c r="T213" t="str">
        <f t="shared" si="77"/>
        <v/>
      </c>
      <c r="U213" t="str">
        <f t="shared" si="78"/>
        <v/>
      </c>
      <c r="V213" t="str">
        <f t="shared" si="79"/>
        <v/>
      </c>
      <c r="W213" t="str">
        <f t="shared" si="62"/>
        <v xml:space="preserve">              </v>
      </c>
    </row>
    <row r="214" spans="1:23" customFormat="1" hidden="1">
      <c r="A214" t="b">
        <f t="shared" si="61"/>
        <v>0</v>
      </c>
      <c r="B214">
        <f t="shared" si="63"/>
        <v>213</v>
      </c>
      <c r="C214" t="s">
        <v>144</v>
      </c>
      <c r="D214" t="s">
        <v>213</v>
      </c>
      <c r="E214">
        <f t="shared" si="60"/>
        <v>36</v>
      </c>
      <c r="G214">
        <f t="shared" si="64"/>
        <v>7</v>
      </c>
      <c r="H214" t="str">
        <f t="shared" si="65"/>
        <v/>
      </c>
      <c r="I214" t="str">
        <f t="shared" si="66"/>
        <v/>
      </c>
      <c r="J214" t="str">
        <f t="shared" si="67"/>
        <v/>
      </c>
      <c r="K214" t="str">
        <f t="shared" si="68"/>
        <v/>
      </c>
      <c r="L214" t="str">
        <f t="shared" si="69"/>
        <v/>
      </c>
      <c r="M214" t="str">
        <f t="shared" si="70"/>
        <v/>
      </c>
      <c r="N214" t="str">
        <f t="shared" si="71"/>
        <v/>
      </c>
      <c r="O214" t="str">
        <f t="shared" si="72"/>
        <v/>
      </c>
      <c r="P214" t="str">
        <f t="shared" si="73"/>
        <v/>
      </c>
      <c r="Q214" t="str">
        <f t="shared" si="74"/>
        <v/>
      </c>
      <c r="R214" t="str">
        <f t="shared" si="75"/>
        <v/>
      </c>
      <c r="S214" t="str">
        <f t="shared" si="76"/>
        <v/>
      </c>
      <c r="T214" t="str">
        <f t="shared" si="77"/>
        <v/>
      </c>
      <c r="U214" t="str">
        <f t="shared" si="78"/>
        <v/>
      </c>
      <c r="V214" t="str">
        <f t="shared" si="79"/>
        <v/>
      </c>
      <c r="W214" t="str">
        <f t="shared" si="62"/>
        <v xml:space="preserve">              </v>
      </c>
    </row>
    <row r="215" spans="1:23" customFormat="1" hidden="1">
      <c r="A215" t="b">
        <f t="shared" si="61"/>
        <v>0</v>
      </c>
      <c r="B215">
        <f t="shared" si="63"/>
        <v>214</v>
      </c>
      <c r="C215" t="s">
        <v>144</v>
      </c>
      <c r="D215" t="s">
        <v>214</v>
      </c>
      <c r="E215">
        <f t="shared" si="60"/>
        <v>33</v>
      </c>
      <c r="G215">
        <f t="shared" si="64"/>
        <v>8</v>
      </c>
      <c r="H215" t="str">
        <f t="shared" si="65"/>
        <v/>
      </c>
      <c r="I215" t="str">
        <f t="shared" si="66"/>
        <v/>
      </c>
      <c r="J215" t="str">
        <f t="shared" si="67"/>
        <v/>
      </c>
      <c r="K215" t="str">
        <f t="shared" si="68"/>
        <v/>
      </c>
      <c r="L215" t="str">
        <f t="shared" si="69"/>
        <v/>
      </c>
      <c r="M215" t="str">
        <f t="shared" si="70"/>
        <v/>
      </c>
      <c r="N215" t="str">
        <f t="shared" si="71"/>
        <v/>
      </c>
      <c r="O215" t="str">
        <f t="shared" si="72"/>
        <v/>
      </c>
      <c r="P215" t="str">
        <f t="shared" si="73"/>
        <v/>
      </c>
      <c r="Q215" t="str">
        <f t="shared" si="74"/>
        <v/>
      </c>
      <c r="R215" t="str">
        <f t="shared" si="75"/>
        <v/>
      </c>
      <c r="S215" t="str">
        <f t="shared" si="76"/>
        <v/>
      </c>
      <c r="T215" t="str">
        <f t="shared" si="77"/>
        <v/>
      </c>
      <c r="U215" t="str">
        <f t="shared" si="78"/>
        <v/>
      </c>
      <c r="V215" t="str">
        <f t="shared" si="79"/>
        <v/>
      </c>
      <c r="W215" t="str">
        <f t="shared" si="62"/>
        <v xml:space="preserve">              </v>
      </c>
    </row>
    <row r="216" spans="1:23" customFormat="1" hidden="1">
      <c r="A216" t="b">
        <f t="shared" si="61"/>
        <v>0</v>
      </c>
      <c r="B216">
        <f t="shared" si="63"/>
        <v>215</v>
      </c>
      <c r="C216" t="s">
        <v>144</v>
      </c>
      <c r="D216" t="s">
        <v>215</v>
      </c>
      <c r="E216">
        <f t="shared" si="60"/>
        <v>39</v>
      </c>
      <c r="G216">
        <f t="shared" si="64"/>
        <v>9</v>
      </c>
      <c r="H216" t="str">
        <f t="shared" si="65"/>
        <v/>
      </c>
      <c r="I216" t="str">
        <f t="shared" si="66"/>
        <v/>
      </c>
      <c r="J216" t="str">
        <f t="shared" si="67"/>
        <v/>
      </c>
      <c r="K216" t="str">
        <f t="shared" si="68"/>
        <v/>
      </c>
      <c r="L216" t="str">
        <f t="shared" si="69"/>
        <v/>
      </c>
      <c r="M216" t="str">
        <f t="shared" si="70"/>
        <v/>
      </c>
      <c r="N216" t="str">
        <f t="shared" si="71"/>
        <v/>
      </c>
      <c r="O216" t="str">
        <f t="shared" si="72"/>
        <v/>
      </c>
      <c r="P216" t="str">
        <f t="shared" si="73"/>
        <v/>
      </c>
      <c r="Q216" t="str">
        <f t="shared" si="74"/>
        <v/>
      </c>
      <c r="R216" t="str">
        <f t="shared" si="75"/>
        <v/>
      </c>
      <c r="S216" t="str">
        <f t="shared" si="76"/>
        <v/>
      </c>
      <c r="T216" t="str">
        <f t="shared" si="77"/>
        <v/>
      </c>
      <c r="U216" t="str">
        <f t="shared" si="78"/>
        <v/>
      </c>
      <c r="V216" t="str">
        <f t="shared" si="79"/>
        <v/>
      </c>
      <c r="W216" t="str">
        <f t="shared" si="62"/>
        <v xml:space="preserve">              </v>
      </c>
    </row>
    <row r="217" spans="1:23" customFormat="1" hidden="1">
      <c r="A217" t="b">
        <f t="shared" si="61"/>
        <v>0</v>
      </c>
      <c r="B217">
        <f t="shared" si="63"/>
        <v>216</v>
      </c>
      <c r="C217" t="s">
        <v>144</v>
      </c>
      <c r="D217" t="s">
        <v>216</v>
      </c>
      <c r="E217">
        <f t="shared" si="60"/>
        <v>26</v>
      </c>
      <c r="G217">
        <f t="shared" si="64"/>
        <v>10</v>
      </c>
      <c r="H217" t="str">
        <f t="shared" si="65"/>
        <v/>
      </c>
      <c r="I217" t="str">
        <f t="shared" si="66"/>
        <v/>
      </c>
      <c r="J217" t="str">
        <f t="shared" si="67"/>
        <v/>
      </c>
      <c r="K217" t="str">
        <f t="shared" si="68"/>
        <v/>
      </c>
      <c r="L217" t="str">
        <f t="shared" si="69"/>
        <v/>
      </c>
      <c r="M217" t="str">
        <f t="shared" si="70"/>
        <v/>
      </c>
      <c r="N217" t="str">
        <f t="shared" si="71"/>
        <v/>
      </c>
      <c r="O217" t="str">
        <f t="shared" si="72"/>
        <v/>
      </c>
      <c r="P217" t="str">
        <f t="shared" si="73"/>
        <v/>
      </c>
      <c r="Q217" t="str">
        <f t="shared" si="74"/>
        <v/>
      </c>
      <c r="R217" t="str">
        <f t="shared" si="75"/>
        <v/>
      </c>
      <c r="S217" t="str">
        <f t="shared" si="76"/>
        <v/>
      </c>
      <c r="T217" t="str">
        <f t="shared" si="77"/>
        <v/>
      </c>
      <c r="U217" t="str">
        <f t="shared" si="78"/>
        <v/>
      </c>
      <c r="V217" t="str">
        <f t="shared" si="79"/>
        <v/>
      </c>
      <c r="W217" t="str">
        <f t="shared" si="62"/>
        <v xml:space="preserve">              </v>
      </c>
    </row>
    <row r="218" spans="1:23" customFormat="1" hidden="1">
      <c r="A218" t="b">
        <f t="shared" si="61"/>
        <v>0</v>
      </c>
      <c r="B218">
        <f t="shared" si="63"/>
        <v>217</v>
      </c>
      <c r="C218" t="s">
        <v>144</v>
      </c>
      <c r="D218" t="s">
        <v>217</v>
      </c>
      <c r="E218">
        <f t="shared" si="60"/>
        <v>16</v>
      </c>
      <c r="G218">
        <f t="shared" si="64"/>
        <v>11</v>
      </c>
      <c r="H218" t="str">
        <f t="shared" si="65"/>
        <v/>
      </c>
      <c r="I218" t="str">
        <f t="shared" si="66"/>
        <v/>
      </c>
      <c r="J218" t="str">
        <f t="shared" si="67"/>
        <v/>
      </c>
      <c r="K218" t="str">
        <f t="shared" si="68"/>
        <v/>
      </c>
      <c r="L218" t="str">
        <f t="shared" si="69"/>
        <v/>
      </c>
      <c r="M218" t="str">
        <f t="shared" si="70"/>
        <v/>
      </c>
      <c r="N218" t="str">
        <f t="shared" si="71"/>
        <v/>
      </c>
      <c r="O218" t="str">
        <f t="shared" si="72"/>
        <v/>
      </c>
      <c r="P218" t="str">
        <f t="shared" si="73"/>
        <v/>
      </c>
      <c r="Q218" t="str">
        <f t="shared" si="74"/>
        <v/>
      </c>
      <c r="R218" t="str">
        <f t="shared" si="75"/>
        <v/>
      </c>
      <c r="S218" t="str">
        <f t="shared" si="76"/>
        <v/>
      </c>
      <c r="T218" t="str">
        <f t="shared" si="77"/>
        <v/>
      </c>
      <c r="U218" t="str">
        <f t="shared" si="78"/>
        <v/>
      </c>
      <c r="V218" t="str">
        <f t="shared" si="79"/>
        <v/>
      </c>
      <c r="W218" t="str">
        <f t="shared" si="62"/>
        <v xml:space="preserve">              </v>
      </c>
    </row>
    <row r="219" spans="1:23" hidden="1">
      <c r="A219" s="71" t="b">
        <f t="shared" si="61"/>
        <v>0</v>
      </c>
      <c r="B219" s="71">
        <f t="shared" si="63"/>
        <v>218</v>
      </c>
      <c r="C219" s="71" t="s">
        <v>144</v>
      </c>
      <c r="D219" s="71" t="s">
        <v>218</v>
      </c>
      <c r="E219">
        <f t="shared" si="60"/>
        <v>31</v>
      </c>
      <c r="F219">
        <v>1</v>
      </c>
      <c r="G219">
        <f t="shared" si="64"/>
        <v>1</v>
      </c>
      <c r="H219" t="str">
        <f t="shared" si="65"/>
        <v>Configuration status accounting</v>
      </c>
      <c r="I219" t="str">
        <f t="shared" si="66"/>
        <v>The organization of the product materials,</v>
      </c>
      <c r="J219" t="str">
        <f t="shared" si="67"/>
        <v>details, and prior product documentation.</v>
      </c>
      <c r="K219" t="str">
        <f t="shared" si="68"/>
        <v>Configuration verification and auditing</v>
      </c>
      <c r="L219" t="str">
        <f t="shared" si="69"/>
        <v>The scope verification and completeness</v>
      </c>
      <c r="M219" t="str">
        <f t="shared" si="70"/>
        <v>auditing of project or phase deliverables</v>
      </c>
      <c r="N219" t="str">
        <f t="shared" si="71"/>
        <v>to ensure that they are in alignment with</v>
      </c>
      <c r="O219" t="str">
        <f t="shared" si="72"/>
        <v>the project plan.</v>
      </c>
      <c r="P219" t="str">
        <f t="shared" si="73"/>
        <v/>
      </c>
      <c r="Q219" t="str">
        <f t="shared" si="74"/>
        <v/>
      </c>
      <c r="R219" t="str">
        <f t="shared" si="75"/>
        <v/>
      </c>
      <c r="S219" t="str">
        <f t="shared" si="76"/>
        <v/>
      </c>
      <c r="T219" t="str">
        <f t="shared" si="77"/>
        <v/>
      </c>
      <c r="U219" t="str">
        <f t="shared" si="78"/>
        <v/>
      </c>
      <c r="V219" t="str">
        <f t="shared" si="79"/>
        <v/>
      </c>
      <c r="W219" s="71" t="str">
        <f>CONCATENATE(H219," ",I219," ",J219," ",K219," ",L219," ",M219," ",N219," ",O219," ",P219," ",Q219," ",R219," ",S219," ",T219," ",U219," ",V219)</f>
        <v xml:space="preserve">Configuration status accounting The organization of the product materials, details, and prior product documentation. Configuration verification and auditing The scope verification and completeness auditing of project or phase deliverables to ensure that they are in alignment with the project plan.       </v>
      </c>
    </row>
    <row r="220" spans="1:23" customFormat="1" hidden="1">
      <c r="A220" t="b">
        <f t="shared" si="61"/>
        <v>0</v>
      </c>
      <c r="B220">
        <f t="shared" si="63"/>
        <v>219</v>
      </c>
      <c r="C220" t="s">
        <v>144</v>
      </c>
      <c r="D220" t="s">
        <v>219</v>
      </c>
      <c r="E220">
        <f t="shared" si="60"/>
        <v>42</v>
      </c>
      <c r="G220">
        <f t="shared" si="64"/>
        <v>2</v>
      </c>
      <c r="H220" t="str">
        <f t="shared" si="65"/>
        <v/>
      </c>
      <c r="I220" t="str">
        <f t="shared" si="66"/>
        <v/>
      </c>
      <c r="J220" t="str">
        <f t="shared" si="67"/>
        <v/>
      </c>
      <c r="K220" t="str">
        <f t="shared" si="68"/>
        <v/>
      </c>
      <c r="L220" t="str">
        <f t="shared" si="69"/>
        <v/>
      </c>
      <c r="M220" t="str">
        <f t="shared" si="70"/>
        <v/>
      </c>
      <c r="N220" t="str">
        <f t="shared" si="71"/>
        <v/>
      </c>
      <c r="O220" t="str">
        <f t="shared" si="72"/>
        <v/>
      </c>
      <c r="P220" t="str">
        <f t="shared" si="73"/>
        <v/>
      </c>
      <c r="Q220" t="str">
        <f t="shared" si="74"/>
        <v/>
      </c>
      <c r="R220" t="str">
        <f t="shared" si="75"/>
        <v/>
      </c>
      <c r="S220" t="str">
        <f t="shared" si="76"/>
        <v/>
      </c>
      <c r="T220" t="str">
        <f t="shared" si="77"/>
        <v/>
      </c>
      <c r="U220" t="str">
        <f t="shared" si="78"/>
        <v/>
      </c>
      <c r="V220" t="str">
        <f t="shared" si="79"/>
        <v/>
      </c>
      <c r="W220" t="str">
        <f t="shared" si="62"/>
        <v xml:space="preserve">              </v>
      </c>
    </row>
    <row r="221" spans="1:23" customFormat="1" hidden="1">
      <c r="A221" t="b">
        <f t="shared" si="61"/>
        <v>0</v>
      </c>
      <c r="B221">
        <f t="shared" si="63"/>
        <v>220</v>
      </c>
      <c r="C221" t="s">
        <v>144</v>
      </c>
      <c r="D221" t="s">
        <v>220</v>
      </c>
      <c r="E221">
        <f t="shared" si="60"/>
        <v>41</v>
      </c>
      <c r="G221">
        <f t="shared" si="64"/>
        <v>3</v>
      </c>
      <c r="H221" t="str">
        <f t="shared" si="65"/>
        <v/>
      </c>
      <c r="I221" t="str">
        <f t="shared" si="66"/>
        <v/>
      </c>
      <c r="J221" t="str">
        <f t="shared" si="67"/>
        <v/>
      </c>
      <c r="K221" t="str">
        <f t="shared" si="68"/>
        <v/>
      </c>
      <c r="L221" t="str">
        <f t="shared" si="69"/>
        <v/>
      </c>
      <c r="M221" t="str">
        <f t="shared" si="70"/>
        <v/>
      </c>
      <c r="N221" t="str">
        <f t="shared" si="71"/>
        <v/>
      </c>
      <c r="O221" t="str">
        <f t="shared" si="72"/>
        <v/>
      </c>
      <c r="P221" t="str">
        <f t="shared" si="73"/>
        <v/>
      </c>
      <c r="Q221" t="str">
        <f t="shared" si="74"/>
        <v/>
      </c>
      <c r="R221" t="str">
        <f t="shared" si="75"/>
        <v/>
      </c>
      <c r="S221" t="str">
        <f t="shared" si="76"/>
        <v/>
      </c>
      <c r="T221" t="str">
        <f t="shared" si="77"/>
        <v/>
      </c>
      <c r="U221" t="str">
        <f t="shared" si="78"/>
        <v/>
      </c>
      <c r="V221" t="str">
        <f t="shared" si="79"/>
        <v/>
      </c>
      <c r="W221" t="str">
        <f t="shared" si="62"/>
        <v xml:space="preserve">              </v>
      </c>
    </row>
    <row r="222" spans="1:23" customFormat="1" hidden="1">
      <c r="A222" t="b">
        <f t="shared" si="61"/>
        <v>0</v>
      </c>
      <c r="B222">
        <f t="shared" si="63"/>
        <v>221</v>
      </c>
      <c r="C222" t="s">
        <v>144</v>
      </c>
      <c r="D222" t="s">
        <v>221</v>
      </c>
      <c r="E222">
        <f t="shared" si="60"/>
        <v>39</v>
      </c>
      <c r="G222">
        <f t="shared" si="64"/>
        <v>4</v>
      </c>
      <c r="H222" t="str">
        <f t="shared" si="65"/>
        <v/>
      </c>
      <c r="I222" t="str">
        <f t="shared" si="66"/>
        <v/>
      </c>
      <c r="J222" t="str">
        <f t="shared" si="67"/>
        <v/>
      </c>
      <c r="K222" t="str">
        <f t="shared" si="68"/>
        <v/>
      </c>
      <c r="L222" t="str">
        <f t="shared" si="69"/>
        <v/>
      </c>
      <c r="M222" t="str">
        <f t="shared" si="70"/>
        <v/>
      </c>
      <c r="N222" t="str">
        <f t="shared" si="71"/>
        <v/>
      </c>
      <c r="O222" t="str">
        <f t="shared" si="72"/>
        <v/>
      </c>
      <c r="P222" t="str">
        <f t="shared" si="73"/>
        <v/>
      </c>
      <c r="Q222" t="str">
        <f t="shared" si="74"/>
        <v/>
      </c>
      <c r="R222" t="str">
        <f t="shared" si="75"/>
        <v/>
      </c>
      <c r="S222" t="str">
        <f t="shared" si="76"/>
        <v/>
      </c>
      <c r="T222" t="str">
        <f t="shared" si="77"/>
        <v/>
      </c>
      <c r="U222" t="str">
        <f t="shared" si="78"/>
        <v/>
      </c>
      <c r="V222" t="str">
        <f t="shared" si="79"/>
        <v/>
      </c>
      <c r="W222" t="str">
        <f t="shared" si="62"/>
        <v xml:space="preserve">              </v>
      </c>
    </row>
    <row r="223" spans="1:23" customFormat="1" hidden="1">
      <c r="A223" t="b">
        <f t="shared" si="61"/>
        <v>0</v>
      </c>
      <c r="B223">
        <f t="shared" si="63"/>
        <v>222</v>
      </c>
      <c r="C223" t="s">
        <v>144</v>
      </c>
      <c r="D223" t="s">
        <v>222</v>
      </c>
      <c r="E223">
        <f t="shared" si="60"/>
        <v>39</v>
      </c>
      <c r="G223">
        <f t="shared" si="64"/>
        <v>5</v>
      </c>
      <c r="H223" t="str">
        <f t="shared" si="65"/>
        <v/>
      </c>
      <c r="I223" t="str">
        <f t="shared" si="66"/>
        <v/>
      </c>
      <c r="J223" t="str">
        <f t="shared" si="67"/>
        <v/>
      </c>
      <c r="K223" t="str">
        <f t="shared" si="68"/>
        <v/>
      </c>
      <c r="L223" t="str">
        <f t="shared" si="69"/>
        <v/>
      </c>
      <c r="M223" t="str">
        <f t="shared" si="70"/>
        <v/>
      </c>
      <c r="N223" t="str">
        <f t="shared" si="71"/>
        <v/>
      </c>
      <c r="O223" t="str">
        <f t="shared" si="72"/>
        <v/>
      </c>
      <c r="P223" t="str">
        <f t="shared" si="73"/>
        <v/>
      </c>
      <c r="Q223" t="str">
        <f t="shared" si="74"/>
        <v/>
      </c>
      <c r="R223" t="str">
        <f t="shared" si="75"/>
        <v/>
      </c>
      <c r="S223" t="str">
        <f t="shared" si="76"/>
        <v/>
      </c>
      <c r="T223" t="str">
        <f t="shared" si="77"/>
        <v/>
      </c>
      <c r="U223" t="str">
        <f t="shared" si="78"/>
        <v/>
      </c>
      <c r="V223" t="str">
        <f t="shared" si="79"/>
        <v/>
      </c>
      <c r="W223" t="str">
        <f t="shared" si="62"/>
        <v xml:space="preserve">              </v>
      </c>
    </row>
    <row r="224" spans="1:23" customFormat="1" hidden="1">
      <c r="A224" t="b">
        <f t="shared" si="61"/>
        <v>0</v>
      </c>
      <c r="B224">
        <f t="shared" si="63"/>
        <v>223</v>
      </c>
      <c r="C224" t="s">
        <v>144</v>
      </c>
      <c r="D224" t="s">
        <v>223</v>
      </c>
      <c r="E224">
        <f t="shared" si="60"/>
        <v>41</v>
      </c>
      <c r="G224">
        <f t="shared" si="64"/>
        <v>6</v>
      </c>
      <c r="H224" t="str">
        <f t="shared" si="65"/>
        <v/>
      </c>
      <c r="I224" t="str">
        <f t="shared" si="66"/>
        <v/>
      </c>
      <c r="J224" t="str">
        <f t="shared" si="67"/>
        <v/>
      </c>
      <c r="K224" t="str">
        <f t="shared" si="68"/>
        <v/>
      </c>
      <c r="L224" t="str">
        <f t="shared" si="69"/>
        <v/>
      </c>
      <c r="M224" t="str">
        <f t="shared" si="70"/>
        <v/>
      </c>
      <c r="N224" t="str">
        <f t="shared" si="71"/>
        <v/>
      </c>
      <c r="O224" t="str">
        <f t="shared" si="72"/>
        <v/>
      </c>
      <c r="P224" t="str">
        <f t="shared" si="73"/>
        <v/>
      </c>
      <c r="Q224" t="str">
        <f t="shared" si="74"/>
        <v/>
      </c>
      <c r="R224" t="str">
        <f t="shared" si="75"/>
        <v/>
      </c>
      <c r="S224" t="str">
        <f t="shared" si="76"/>
        <v/>
      </c>
      <c r="T224" t="str">
        <f t="shared" si="77"/>
        <v/>
      </c>
      <c r="U224" t="str">
        <f t="shared" si="78"/>
        <v/>
      </c>
      <c r="V224" t="str">
        <f t="shared" si="79"/>
        <v/>
      </c>
      <c r="W224" t="str">
        <f t="shared" si="62"/>
        <v xml:space="preserve">              </v>
      </c>
    </row>
    <row r="225" spans="1:23" customFormat="1" hidden="1">
      <c r="A225" t="b">
        <f t="shared" si="61"/>
        <v>0</v>
      </c>
      <c r="B225">
        <f t="shared" si="63"/>
        <v>224</v>
      </c>
      <c r="C225" t="s">
        <v>144</v>
      </c>
      <c r="D225" t="s">
        <v>224</v>
      </c>
      <c r="E225">
        <f t="shared" si="60"/>
        <v>41</v>
      </c>
      <c r="G225">
        <f t="shared" si="64"/>
        <v>7</v>
      </c>
      <c r="H225" t="str">
        <f t="shared" si="65"/>
        <v/>
      </c>
      <c r="I225" t="str">
        <f t="shared" si="66"/>
        <v/>
      </c>
      <c r="J225" t="str">
        <f t="shared" si="67"/>
        <v/>
      </c>
      <c r="K225" t="str">
        <f t="shared" si="68"/>
        <v/>
      </c>
      <c r="L225" t="str">
        <f t="shared" si="69"/>
        <v/>
      </c>
      <c r="M225" t="str">
        <f t="shared" si="70"/>
        <v/>
      </c>
      <c r="N225" t="str">
        <f t="shared" si="71"/>
        <v/>
      </c>
      <c r="O225" t="str">
        <f t="shared" si="72"/>
        <v/>
      </c>
      <c r="P225" t="str">
        <f t="shared" si="73"/>
        <v/>
      </c>
      <c r="Q225" t="str">
        <f t="shared" si="74"/>
        <v/>
      </c>
      <c r="R225" t="str">
        <f t="shared" si="75"/>
        <v/>
      </c>
      <c r="S225" t="str">
        <f t="shared" si="76"/>
        <v/>
      </c>
      <c r="T225" t="str">
        <f t="shared" si="77"/>
        <v/>
      </c>
      <c r="U225" t="str">
        <f t="shared" si="78"/>
        <v/>
      </c>
      <c r="V225" t="str">
        <f t="shared" si="79"/>
        <v/>
      </c>
      <c r="W225" t="str">
        <f t="shared" si="62"/>
        <v xml:space="preserve">              </v>
      </c>
    </row>
    <row r="226" spans="1:23" customFormat="1" hidden="1">
      <c r="A226" t="b">
        <f t="shared" si="61"/>
        <v>0</v>
      </c>
      <c r="B226">
        <f t="shared" si="63"/>
        <v>225</v>
      </c>
      <c r="C226" t="s">
        <v>144</v>
      </c>
      <c r="D226" t="s">
        <v>225</v>
      </c>
      <c r="E226">
        <f t="shared" si="60"/>
        <v>17</v>
      </c>
      <c r="G226">
        <f t="shared" si="64"/>
        <v>8</v>
      </c>
      <c r="H226" t="str">
        <f t="shared" si="65"/>
        <v/>
      </c>
      <c r="I226" t="str">
        <f t="shared" si="66"/>
        <v/>
      </c>
      <c r="J226" t="str">
        <f t="shared" si="67"/>
        <v/>
      </c>
      <c r="K226" t="str">
        <f t="shared" si="68"/>
        <v/>
      </c>
      <c r="L226" t="str">
        <f t="shared" si="69"/>
        <v/>
      </c>
      <c r="M226" t="str">
        <f t="shared" si="70"/>
        <v/>
      </c>
      <c r="N226" t="str">
        <f t="shared" si="71"/>
        <v/>
      </c>
      <c r="O226" t="str">
        <f t="shared" si="72"/>
        <v/>
      </c>
      <c r="P226" t="str">
        <f t="shared" si="73"/>
        <v/>
      </c>
      <c r="Q226" t="str">
        <f t="shared" si="74"/>
        <v/>
      </c>
      <c r="R226" t="str">
        <f t="shared" si="75"/>
        <v/>
      </c>
      <c r="S226" t="str">
        <f t="shared" si="76"/>
        <v/>
      </c>
      <c r="T226" t="str">
        <f t="shared" si="77"/>
        <v/>
      </c>
      <c r="U226" t="str">
        <f t="shared" si="78"/>
        <v/>
      </c>
      <c r="V226" t="str">
        <f t="shared" si="79"/>
        <v/>
      </c>
      <c r="W226" t="str">
        <f t="shared" si="62"/>
        <v xml:space="preserve">              </v>
      </c>
    </row>
    <row r="227" spans="1:23" hidden="1">
      <c r="A227" s="71" t="b">
        <f t="shared" si="61"/>
        <v>0</v>
      </c>
      <c r="B227" s="71">
        <f t="shared" si="63"/>
        <v>226</v>
      </c>
      <c r="C227" s="71" t="s">
        <v>144</v>
      </c>
      <c r="D227" s="71" t="s">
        <v>226</v>
      </c>
      <c r="E227">
        <f t="shared" si="60"/>
        <v>16</v>
      </c>
      <c r="F227">
        <v>1</v>
      </c>
      <c r="G227">
        <f t="shared" si="64"/>
        <v>1</v>
      </c>
      <c r="H227" t="str">
        <f t="shared" si="65"/>
        <v>Contract closure</v>
      </c>
      <c r="I227" t="str">
        <f t="shared" si="66"/>
        <v>The formal verification of the contract</v>
      </c>
      <c r="J227" t="str">
        <f t="shared" si="67"/>
        <v>completeness by the vendor and the</v>
      </c>
      <c r="K227" t="str">
        <f t="shared" si="68"/>
        <v>performing organization.</v>
      </c>
      <c r="L227" t="str">
        <f t="shared" si="69"/>
        <v/>
      </c>
      <c r="M227" t="str">
        <f t="shared" si="70"/>
        <v/>
      </c>
      <c r="N227" t="str">
        <f t="shared" si="71"/>
        <v/>
      </c>
      <c r="O227" t="str">
        <f t="shared" si="72"/>
        <v/>
      </c>
      <c r="P227" t="str">
        <f t="shared" si="73"/>
        <v/>
      </c>
      <c r="Q227" t="str">
        <f t="shared" si="74"/>
        <v/>
      </c>
      <c r="R227" t="str">
        <f t="shared" si="75"/>
        <v/>
      </c>
      <c r="S227" t="str">
        <f t="shared" si="76"/>
        <v/>
      </c>
      <c r="T227" t="str">
        <f t="shared" si="77"/>
        <v/>
      </c>
      <c r="U227" t="str">
        <f t="shared" si="78"/>
        <v/>
      </c>
      <c r="V227" t="str">
        <f t="shared" si="79"/>
        <v/>
      </c>
      <c r="W227" s="71" t="str">
        <f>CONCATENATE(H227," ",I227," ",J227," ",K227," ",L227," ",M227," ",N227," ",O227," ",P227," ",Q227," ",R227," ",S227," ",T227," ",U227," ",V227)</f>
        <v xml:space="preserve">Contract closure The formal verification of the contract completeness by the vendor and the performing organization.           </v>
      </c>
    </row>
    <row r="228" spans="1:23" customFormat="1" hidden="1">
      <c r="A228" t="b">
        <f t="shared" si="61"/>
        <v>0</v>
      </c>
      <c r="B228">
        <f t="shared" si="63"/>
        <v>227</v>
      </c>
      <c r="C228" t="s">
        <v>144</v>
      </c>
      <c r="D228" t="s">
        <v>227</v>
      </c>
      <c r="E228">
        <f t="shared" si="60"/>
        <v>39</v>
      </c>
      <c r="G228">
        <f t="shared" si="64"/>
        <v>2</v>
      </c>
      <c r="H228" t="str">
        <f t="shared" si="65"/>
        <v/>
      </c>
      <c r="I228" t="str">
        <f t="shared" si="66"/>
        <v/>
      </c>
      <c r="J228" t="str">
        <f t="shared" si="67"/>
        <v/>
      </c>
      <c r="K228" t="str">
        <f t="shared" si="68"/>
        <v/>
      </c>
      <c r="L228" t="str">
        <f t="shared" si="69"/>
        <v/>
      </c>
      <c r="M228" t="str">
        <f t="shared" si="70"/>
        <v/>
      </c>
      <c r="N228" t="str">
        <f t="shared" si="71"/>
        <v/>
      </c>
      <c r="O228" t="str">
        <f t="shared" si="72"/>
        <v/>
      </c>
      <c r="P228" t="str">
        <f t="shared" si="73"/>
        <v/>
      </c>
      <c r="Q228" t="str">
        <f t="shared" si="74"/>
        <v/>
      </c>
      <c r="R228" t="str">
        <f t="shared" si="75"/>
        <v/>
      </c>
      <c r="S228" t="str">
        <f t="shared" si="76"/>
        <v/>
      </c>
      <c r="T228" t="str">
        <f t="shared" si="77"/>
        <v/>
      </c>
      <c r="U228" t="str">
        <f t="shared" si="78"/>
        <v/>
      </c>
      <c r="V228" t="str">
        <f t="shared" si="79"/>
        <v/>
      </c>
      <c r="W228" t="str">
        <f t="shared" si="62"/>
        <v xml:space="preserve">              </v>
      </c>
    </row>
    <row r="229" spans="1:23" customFormat="1" hidden="1">
      <c r="A229" t="b">
        <f t="shared" si="61"/>
        <v>0</v>
      </c>
      <c r="B229">
        <f t="shared" si="63"/>
        <v>228</v>
      </c>
      <c r="C229" t="s">
        <v>144</v>
      </c>
      <c r="D229" t="s">
        <v>228</v>
      </c>
      <c r="E229">
        <f t="shared" si="60"/>
        <v>34</v>
      </c>
      <c r="G229">
        <f t="shared" si="64"/>
        <v>3</v>
      </c>
      <c r="H229" t="str">
        <f t="shared" si="65"/>
        <v/>
      </c>
      <c r="I229" t="str">
        <f t="shared" si="66"/>
        <v/>
      </c>
      <c r="J229" t="str">
        <f t="shared" si="67"/>
        <v/>
      </c>
      <c r="K229" t="str">
        <f t="shared" si="68"/>
        <v/>
      </c>
      <c r="L229" t="str">
        <f t="shared" si="69"/>
        <v/>
      </c>
      <c r="M229" t="str">
        <f t="shared" si="70"/>
        <v/>
      </c>
      <c r="N229" t="str">
        <f t="shared" si="71"/>
        <v/>
      </c>
      <c r="O229" t="str">
        <f t="shared" si="72"/>
        <v/>
      </c>
      <c r="P229" t="str">
        <f t="shared" si="73"/>
        <v/>
      </c>
      <c r="Q229" t="str">
        <f t="shared" si="74"/>
        <v/>
      </c>
      <c r="R229" t="str">
        <f t="shared" si="75"/>
        <v/>
      </c>
      <c r="S229" t="str">
        <f t="shared" si="76"/>
        <v/>
      </c>
      <c r="T229" t="str">
        <f t="shared" si="77"/>
        <v/>
      </c>
      <c r="U229" t="str">
        <f t="shared" si="78"/>
        <v/>
      </c>
      <c r="V229" t="str">
        <f t="shared" si="79"/>
        <v/>
      </c>
      <c r="W229" t="str">
        <f t="shared" si="62"/>
        <v xml:space="preserve">              </v>
      </c>
    </row>
    <row r="230" spans="1:23" customFormat="1" hidden="1">
      <c r="A230" t="b">
        <f t="shared" si="61"/>
        <v>0</v>
      </c>
      <c r="B230">
        <f t="shared" si="63"/>
        <v>229</v>
      </c>
      <c r="C230" t="s">
        <v>144</v>
      </c>
      <c r="D230" t="s">
        <v>229</v>
      </c>
      <c r="E230">
        <f t="shared" si="60"/>
        <v>24</v>
      </c>
      <c r="G230">
        <f t="shared" si="64"/>
        <v>4</v>
      </c>
      <c r="H230" t="str">
        <f t="shared" si="65"/>
        <v/>
      </c>
      <c r="I230" t="str">
        <f t="shared" si="66"/>
        <v/>
      </c>
      <c r="J230" t="str">
        <f t="shared" si="67"/>
        <v/>
      </c>
      <c r="K230" t="str">
        <f t="shared" si="68"/>
        <v/>
      </c>
      <c r="L230" t="str">
        <f t="shared" si="69"/>
        <v/>
      </c>
      <c r="M230" t="str">
        <f t="shared" si="70"/>
        <v/>
      </c>
      <c r="N230" t="str">
        <f t="shared" si="71"/>
        <v/>
      </c>
      <c r="O230" t="str">
        <f t="shared" si="72"/>
        <v/>
      </c>
      <c r="P230" t="str">
        <f t="shared" si="73"/>
        <v/>
      </c>
      <c r="Q230" t="str">
        <f t="shared" si="74"/>
        <v/>
      </c>
      <c r="R230" t="str">
        <f t="shared" si="75"/>
        <v/>
      </c>
      <c r="S230" t="str">
        <f t="shared" si="76"/>
        <v/>
      </c>
      <c r="T230" t="str">
        <f t="shared" si="77"/>
        <v/>
      </c>
      <c r="U230" t="str">
        <f t="shared" si="78"/>
        <v/>
      </c>
      <c r="V230" t="str">
        <f t="shared" si="79"/>
        <v/>
      </c>
      <c r="W230" t="str">
        <f t="shared" si="62"/>
        <v xml:space="preserve">              </v>
      </c>
    </row>
    <row r="231" spans="1:23" hidden="1">
      <c r="A231" s="71" t="b">
        <f t="shared" si="61"/>
        <v>0</v>
      </c>
      <c r="B231" s="71">
        <f t="shared" si="63"/>
        <v>230</v>
      </c>
      <c r="C231" s="71" t="s">
        <v>144</v>
      </c>
      <c r="D231" s="71" t="s">
        <v>230</v>
      </c>
      <c r="E231">
        <f t="shared" si="60"/>
        <v>13</v>
      </c>
      <c r="F231">
        <v>1</v>
      </c>
      <c r="G231">
        <f t="shared" si="64"/>
        <v>1</v>
      </c>
      <c r="H231" t="str">
        <f t="shared" si="65"/>
        <v>Cost baseline</v>
      </c>
      <c r="I231" t="str">
        <f t="shared" si="66"/>
        <v>This is the aggregated costs of all of the</v>
      </c>
      <c r="J231" t="str">
        <f t="shared" si="67"/>
        <v>work packages within the work</v>
      </c>
      <c r="K231" t="str">
        <f t="shared" si="68"/>
        <v>breakdown structure (WBS).</v>
      </c>
      <c r="L231" t="str">
        <f t="shared" si="69"/>
        <v/>
      </c>
      <c r="M231" t="str">
        <f t="shared" si="70"/>
        <v/>
      </c>
      <c r="N231" t="str">
        <f t="shared" si="71"/>
        <v/>
      </c>
      <c r="O231" t="str">
        <f t="shared" si="72"/>
        <v/>
      </c>
      <c r="P231" t="str">
        <f t="shared" si="73"/>
        <v/>
      </c>
      <c r="Q231" t="str">
        <f t="shared" si="74"/>
        <v/>
      </c>
      <c r="R231" t="str">
        <f t="shared" si="75"/>
        <v/>
      </c>
      <c r="S231" t="str">
        <f t="shared" si="76"/>
        <v/>
      </c>
      <c r="T231" t="str">
        <f t="shared" si="77"/>
        <v/>
      </c>
      <c r="U231" t="str">
        <f t="shared" si="78"/>
        <v/>
      </c>
      <c r="V231" t="str">
        <f t="shared" si="79"/>
        <v/>
      </c>
      <c r="W231" s="71" t="str">
        <f>CONCATENATE(H231," ",I231," ",J231," ",K231," ",L231," ",M231," ",N231," ",O231," ",P231," ",Q231," ",R231," ",S231," ",T231," ",U231," ",V231)</f>
        <v xml:space="preserve">Cost baseline This is the aggregated costs of all of the work packages within the work breakdown structure (WBS).           </v>
      </c>
    </row>
    <row r="232" spans="1:23" customFormat="1" hidden="1">
      <c r="A232" t="b">
        <f t="shared" si="61"/>
        <v>0</v>
      </c>
      <c r="B232">
        <f t="shared" si="63"/>
        <v>231</v>
      </c>
      <c r="C232" t="s">
        <v>144</v>
      </c>
      <c r="D232" t="s">
        <v>231</v>
      </c>
      <c r="E232">
        <f t="shared" si="60"/>
        <v>42</v>
      </c>
      <c r="G232">
        <f t="shared" si="64"/>
        <v>2</v>
      </c>
      <c r="H232" t="str">
        <f t="shared" si="65"/>
        <v/>
      </c>
      <c r="I232" t="str">
        <f t="shared" si="66"/>
        <v/>
      </c>
      <c r="J232" t="str">
        <f t="shared" si="67"/>
        <v/>
      </c>
      <c r="K232" t="str">
        <f t="shared" si="68"/>
        <v/>
      </c>
      <c r="L232" t="str">
        <f t="shared" si="69"/>
        <v/>
      </c>
      <c r="M232" t="str">
        <f t="shared" si="70"/>
        <v/>
      </c>
      <c r="N232" t="str">
        <f t="shared" si="71"/>
        <v/>
      </c>
      <c r="O232" t="str">
        <f t="shared" si="72"/>
        <v/>
      </c>
      <c r="P232" t="str">
        <f t="shared" si="73"/>
        <v/>
      </c>
      <c r="Q232" t="str">
        <f t="shared" si="74"/>
        <v/>
      </c>
      <c r="R232" t="str">
        <f t="shared" si="75"/>
        <v/>
      </c>
      <c r="S232" t="str">
        <f t="shared" si="76"/>
        <v/>
      </c>
      <c r="T232" t="str">
        <f t="shared" si="77"/>
        <v/>
      </c>
      <c r="U232" t="str">
        <f t="shared" si="78"/>
        <v/>
      </c>
      <c r="V232" t="str">
        <f t="shared" si="79"/>
        <v/>
      </c>
      <c r="W232" t="str">
        <f t="shared" si="62"/>
        <v xml:space="preserve">              </v>
      </c>
    </row>
    <row r="233" spans="1:23" customFormat="1" hidden="1">
      <c r="A233" t="b">
        <f t="shared" si="61"/>
        <v>0</v>
      </c>
      <c r="B233">
        <f t="shared" si="63"/>
        <v>232</v>
      </c>
      <c r="C233" t="s">
        <v>144</v>
      </c>
      <c r="D233" t="s">
        <v>232</v>
      </c>
      <c r="E233">
        <f t="shared" si="60"/>
        <v>29</v>
      </c>
      <c r="G233">
        <f t="shared" si="64"/>
        <v>3</v>
      </c>
      <c r="H233" t="str">
        <f t="shared" si="65"/>
        <v/>
      </c>
      <c r="I233" t="str">
        <f t="shared" si="66"/>
        <v/>
      </c>
      <c r="J233" t="str">
        <f t="shared" si="67"/>
        <v/>
      </c>
      <c r="K233" t="str">
        <f t="shared" si="68"/>
        <v/>
      </c>
      <c r="L233" t="str">
        <f t="shared" si="69"/>
        <v/>
      </c>
      <c r="M233" t="str">
        <f t="shared" si="70"/>
        <v/>
      </c>
      <c r="N233" t="str">
        <f t="shared" si="71"/>
        <v/>
      </c>
      <c r="O233" t="str">
        <f t="shared" si="72"/>
        <v/>
      </c>
      <c r="P233" t="str">
        <f t="shared" si="73"/>
        <v/>
      </c>
      <c r="Q233" t="str">
        <f t="shared" si="74"/>
        <v/>
      </c>
      <c r="R233" t="str">
        <f t="shared" si="75"/>
        <v/>
      </c>
      <c r="S233" t="str">
        <f t="shared" si="76"/>
        <v/>
      </c>
      <c r="T233" t="str">
        <f t="shared" si="77"/>
        <v/>
      </c>
      <c r="U233" t="str">
        <f t="shared" si="78"/>
        <v/>
      </c>
      <c r="V233" t="str">
        <f t="shared" si="79"/>
        <v/>
      </c>
      <c r="W233" t="str">
        <f t="shared" si="62"/>
        <v xml:space="preserve">              </v>
      </c>
    </row>
    <row r="234" spans="1:23" customFormat="1" hidden="1">
      <c r="A234" t="b">
        <f t="shared" si="61"/>
        <v>0</v>
      </c>
      <c r="B234">
        <f t="shared" si="63"/>
        <v>233</v>
      </c>
      <c r="C234" t="s">
        <v>144</v>
      </c>
      <c r="D234" t="s">
        <v>233</v>
      </c>
      <c r="E234">
        <f t="shared" si="60"/>
        <v>26</v>
      </c>
      <c r="G234">
        <f t="shared" si="64"/>
        <v>4</v>
      </c>
      <c r="H234" t="str">
        <f t="shared" si="65"/>
        <v/>
      </c>
      <c r="I234" t="str">
        <f t="shared" si="66"/>
        <v/>
      </c>
      <c r="J234" t="str">
        <f t="shared" si="67"/>
        <v/>
      </c>
      <c r="K234" t="str">
        <f t="shared" si="68"/>
        <v/>
      </c>
      <c r="L234" t="str">
        <f t="shared" si="69"/>
        <v/>
      </c>
      <c r="M234" t="str">
        <f t="shared" si="70"/>
        <v/>
      </c>
      <c r="N234" t="str">
        <f t="shared" si="71"/>
        <v/>
      </c>
      <c r="O234" t="str">
        <f t="shared" si="72"/>
        <v/>
      </c>
      <c r="P234" t="str">
        <f t="shared" si="73"/>
        <v/>
      </c>
      <c r="Q234" t="str">
        <f t="shared" si="74"/>
        <v/>
      </c>
      <c r="R234" t="str">
        <f t="shared" si="75"/>
        <v/>
      </c>
      <c r="S234" t="str">
        <f t="shared" si="76"/>
        <v/>
      </c>
      <c r="T234" t="str">
        <f t="shared" si="77"/>
        <v/>
      </c>
      <c r="U234" t="str">
        <f t="shared" si="78"/>
        <v/>
      </c>
      <c r="V234" t="str">
        <f t="shared" si="79"/>
        <v/>
      </c>
      <c r="W234" t="str">
        <f t="shared" si="62"/>
        <v xml:space="preserve">              </v>
      </c>
    </row>
    <row r="235" spans="1:23" hidden="1">
      <c r="A235" s="71" t="b">
        <f t="shared" si="61"/>
        <v>0</v>
      </c>
      <c r="B235" s="71">
        <f t="shared" si="63"/>
        <v>234</v>
      </c>
      <c r="C235" s="71" t="s">
        <v>144</v>
      </c>
      <c r="D235" s="71" t="s">
        <v>234</v>
      </c>
      <c r="E235">
        <f t="shared" ref="E235:E297" si="80">LEN(D235)</f>
        <v>20</v>
      </c>
      <c r="F235">
        <v>1</v>
      </c>
      <c r="G235">
        <f t="shared" si="64"/>
        <v>1</v>
      </c>
      <c r="H235" t="str">
        <f t="shared" si="65"/>
        <v>Cost management plan</v>
      </c>
      <c r="I235" t="str">
        <f t="shared" si="66"/>
        <v>This plan details how the project costs</v>
      </c>
      <c r="J235" t="str">
        <f t="shared" si="67"/>
        <v>will be planned for, estimated, budgeted,</v>
      </c>
      <c r="K235" t="str">
        <f t="shared" si="68"/>
        <v>and then monitored and controlled.</v>
      </c>
      <c r="L235" t="str">
        <f t="shared" si="69"/>
        <v/>
      </c>
      <c r="M235" t="str">
        <f t="shared" si="70"/>
        <v/>
      </c>
      <c r="N235" t="str">
        <f t="shared" si="71"/>
        <v/>
      </c>
      <c r="O235" t="str">
        <f t="shared" si="72"/>
        <v/>
      </c>
      <c r="P235" t="str">
        <f t="shared" si="73"/>
        <v/>
      </c>
      <c r="Q235" t="str">
        <f t="shared" si="74"/>
        <v/>
      </c>
      <c r="R235" t="str">
        <f t="shared" si="75"/>
        <v/>
      </c>
      <c r="S235" t="str">
        <f t="shared" si="76"/>
        <v/>
      </c>
      <c r="T235" t="str">
        <f t="shared" si="77"/>
        <v/>
      </c>
      <c r="U235" t="str">
        <f t="shared" si="78"/>
        <v/>
      </c>
      <c r="V235" t="str">
        <f t="shared" si="79"/>
        <v/>
      </c>
      <c r="W235" s="71" t="str">
        <f>CONCATENATE(H235," ",I235," ",J235," ",K235," ",L235," ",M235," ",N235," ",O235," ",P235," ",Q235," ",R235," ",S235," ",T235," ",U235," ",V235)</f>
        <v xml:space="preserve">Cost management plan This plan details how the project costs will be planned for, estimated, budgeted, and then monitored and controlled.           </v>
      </c>
    </row>
    <row r="236" spans="1:23" customFormat="1" hidden="1">
      <c r="A236" t="b">
        <f t="shared" si="61"/>
        <v>0</v>
      </c>
      <c r="B236">
        <f t="shared" si="63"/>
        <v>235</v>
      </c>
      <c r="C236" t="s">
        <v>144</v>
      </c>
      <c r="D236" t="s">
        <v>235</v>
      </c>
      <c r="E236">
        <f t="shared" si="80"/>
        <v>39</v>
      </c>
      <c r="G236">
        <f t="shared" si="64"/>
        <v>2</v>
      </c>
      <c r="H236" t="str">
        <f t="shared" si="65"/>
        <v/>
      </c>
      <c r="I236" t="str">
        <f t="shared" si="66"/>
        <v/>
      </c>
      <c r="J236" t="str">
        <f t="shared" si="67"/>
        <v/>
      </c>
      <c r="K236" t="str">
        <f t="shared" si="68"/>
        <v/>
      </c>
      <c r="L236" t="str">
        <f t="shared" si="69"/>
        <v/>
      </c>
      <c r="M236" t="str">
        <f t="shared" si="70"/>
        <v/>
      </c>
      <c r="N236" t="str">
        <f t="shared" si="71"/>
        <v/>
      </c>
      <c r="O236" t="str">
        <f t="shared" si="72"/>
        <v/>
      </c>
      <c r="P236" t="str">
        <f t="shared" si="73"/>
        <v/>
      </c>
      <c r="Q236" t="str">
        <f t="shared" si="74"/>
        <v/>
      </c>
      <c r="R236" t="str">
        <f t="shared" si="75"/>
        <v/>
      </c>
      <c r="S236" t="str">
        <f t="shared" si="76"/>
        <v/>
      </c>
      <c r="T236" t="str">
        <f t="shared" si="77"/>
        <v/>
      </c>
      <c r="U236" t="str">
        <f t="shared" si="78"/>
        <v/>
      </c>
      <c r="V236" t="str">
        <f t="shared" si="79"/>
        <v/>
      </c>
      <c r="W236" t="str">
        <f t="shared" si="62"/>
        <v xml:space="preserve">              </v>
      </c>
    </row>
    <row r="237" spans="1:23" customFormat="1" hidden="1">
      <c r="A237" t="b">
        <f t="shared" si="61"/>
        <v>0</v>
      </c>
      <c r="B237">
        <f t="shared" si="63"/>
        <v>236</v>
      </c>
      <c r="C237" t="s">
        <v>144</v>
      </c>
      <c r="D237" t="s">
        <v>236</v>
      </c>
      <c r="E237">
        <f t="shared" si="80"/>
        <v>41</v>
      </c>
      <c r="G237">
        <f t="shared" si="64"/>
        <v>3</v>
      </c>
      <c r="H237" t="str">
        <f t="shared" si="65"/>
        <v/>
      </c>
      <c r="I237" t="str">
        <f t="shared" si="66"/>
        <v/>
      </c>
      <c r="J237" t="str">
        <f t="shared" si="67"/>
        <v/>
      </c>
      <c r="K237" t="str">
        <f t="shared" si="68"/>
        <v/>
      </c>
      <c r="L237" t="str">
        <f t="shared" si="69"/>
        <v/>
      </c>
      <c r="M237" t="str">
        <f t="shared" si="70"/>
        <v/>
      </c>
      <c r="N237" t="str">
        <f t="shared" si="71"/>
        <v/>
      </c>
      <c r="O237" t="str">
        <f t="shared" si="72"/>
        <v/>
      </c>
      <c r="P237" t="str">
        <f t="shared" si="73"/>
        <v/>
      </c>
      <c r="Q237" t="str">
        <f t="shared" si="74"/>
        <v/>
      </c>
      <c r="R237" t="str">
        <f t="shared" si="75"/>
        <v/>
      </c>
      <c r="S237" t="str">
        <f t="shared" si="76"/>
        <v/>
      </c>
      <c r="T237" t="str">
        <f t="shared" si="77"/>
        <v/>
      </c>
      <c r="U237" t="str">
        <f t="shared" si="78"/>
        <v/>
      </c>
      <c r="V237" t="str">
        <f t="shared" si="79"/>
        <v/>
      </c>
      <c r="W237" t="str">
        <f t="shared" si="62"/>
        <v xml:space="preserve">              </v>
      </c>
    </row>
    <row r="238" spans="1:23" customFormat="1" hidden="1">
      <c r="A238" t="b">
        <f t="shared" si="61"/>
        <v>0</v>
      </c>
      <c r="B238">
        <f t="shared" si="63"/>
        <v>237</v>
      </c>
      <c r="C238" t="s">
        <v>144</v>
      </c>
      <c r="D238" t="s">
        <v>237</v>
      </c>
      <c r="E238">
        <f t="shared" si="80"/>
        <v>34</v>
      </c>
      <c r="G238">
        <f t="shared" si="64"/>
        <v>4</v>
      </c>
      <c r="H238" t="str">
        <f t="shared" si="65"/>
        <v/>
      </c>
      <c r="I238" t="str">
        <f t="shared" si="66"/>
        <v/>
      </c>
      <c r="J238" t="str">
        <f t="shared" si="67"/>
        <v/>
      </c>
      <c r="K238" t="str">
        <f t="shared" si="68"/>
        <v/>
      </c>
      <c r="L238" t="str">
        <f t="shared" si="69"/>
        <v/>
      </c>
      <c r="M238" t="str">
        <f t="shared" si="70"/>
        <v/>
      </c>
      <c r="N238" t="str">
        <f t="shared" si="71"/>
        <v/>
      </c>
      <c r="O238" t="str">
        <f t="shared" si="72"/>
        <v/>
      </c>
      <c r="P238" t="str">
        <f t="shared" si="73"/>
        <v/>
      </c>
      <c r="Q238" t="str">
        <f t="shared" si="74"/>
        <v/>
      </c>
      <c r="R238" t="str">
        <f t="shared" si="75"/>
        <v/>
      </c>
      <c r="S238" t="str">
        <f t="shared" si="76"/>
        <v/>
      </c>
      <c r="T238" t="str">
        <f t="shared" si="77"/>
        <v/>
      </c>
      <c r="U238" t="str">
        <f t="shared" si="78"/>
        <v/>
      </c>
      <c r="V238" t="str">
        <f t="shared" si="79"/>
        <v/>
      </c>
      <c r="W238" t="str">
        <f t="shared" si="62"/>
        <v xml:space="preserve">              </v>
      </c>
    </row>
    <row r="239" spans="1:23" hidden="1">
      <c r="A239" s="71" t="b">
        <f t="shared" si="61"/>
        <v>0</v>
      </c>
      <c r="B239" s="71">
        <f t="shared" si="63"/>
        <v>238</v>
      </c>
      <c r="C239" s="71" t="s">
        <v>144</v>
      </c>
      <c r="D239" s="71" t="s">
        <v>238</v>
      </c>
      <c r="E239">
        <f t="shared" si="80"/>
        <v>18</v>
      </c>
      <c r="F239">
        <v>1</v>
      </c>
      <c r="G239">
        <f t="shared" si="64"/>
        <v>1</v>
      </c>
      <c r="H239" t="str">
        <f t="shared" si="65"/>
        <v>Explicit knowledge</v>
      </c>
      <c r="I239" t="str">
        <f t="shared" si="66"/>
        <v>Knowledge that can be quickly and easily</v>
      </c>
      <c r="J239" t="str">
        <f t="shared" si="67"/>
        <v>expressed through conversations,</v>
      </c>
      <c r="K239" t="str">
        <f t="shared" si="68"/>
        <v>documentation, figures, or numbers, is</v>
      </c>
      <c r="L239" t="str">
        <f t="shared" si="69"/>
        <v>easily communicated.</v>
      </c>
      <c r="M239" t="str">
        <f t="shared" si="70"/>
        <v/>
      </c>
      <c r="N239" t="str">
        <f t="shared" si="71"/>
        <v/>
      </c>
      <c r="O239" t="str">
        <f t="shared" si="72"/>
        <v/>
      </c>
      <c r="P239" t="str">
        <f t="shared" si="73"/>
        <v/>
      </c>
      <c r="Q239" t="str">
        <f t="shared" si="74"/>
        <v/>
      </c>
      <c r="R239" t="str">
        <f t="shared" si="75"/>
        <v/>
      </c>
      <c r="S239" t="str">
        <f t="shared" si="76"/>
        <v/>
      </c>
      <c r="T239" t="str">
        <f t="shared" si="77"/>
        <v/>
      </c>
      <c r="U239" t="str">
        <f t="shared" si="78"/>
        <v/>
      </c>
      <c r="V239" t="str">
        <f t="shared" si="79"/>
        <v/>
      </c>
      <c r="W239" s="71" t="str">
        <f>CONCATENATE(H239," ",I239," ",J239," ",K239," ",L239," ",M239," ",N239," ",O239," ",P239," ",Q239," ",R239," ",S239," ",T239," ",U239," ",V239)</f>
        <v xml:space="preserve">Explicit knowledge Knowledge that can be quickly and easily expressed through conversations, documentation, figures, or numbers, is easily communicated.          </v>
      </c>
    </row>
    <row r="240" spans="1:23" customFormat="1" hidden="1">
      <c r="A240" t="b">
        <f t="shared" si="61"/>
        <v>0</v>
      </c>
      <c r="B240">
        <f t="shared" si="63"/>
        <v>239</v>
      </c>
      <c r="C240" t="s">
        <v>144</v>
      </c>
      <c r="D240" t="s">
        <v>239</v>
      </c>
      <c r="E240">
        <f t="shared" si="80"/>
        <v>40</v>
      </c>
      <c r="G240">
        <f t="shared" si="64"/>
        <v>2</v>
      </c>
      <c r="H240" t="str">
        <f t="shared" si="65"/>
        <v/>
      </c>
      <c r="I240" t="str">
        <f t="shared" si="66"/>
        <v/>
      </c>
      <c r="J240" t="str">
        <f t="shared" si="67"/>
        <v/>
      </c>
      <c r="K240" t="str">
        <f t="shared" si="68"/>
        <v/>
      </c>
      <c r="L240" t="str">
        <f t="shared" si="69"/>
        <v/>
      </c>
      <c r="M240" t="str">
        <f t="shared" si="70"/>
        <v/>
      </c>
      <c r="N240" t="str">
        <f t="shared" si="71"/>
        <v/>
      </c>
      <c r="O240" t="str">
        <f t="shared" si="72"/>
        <v/>
      </c>
      <c r="P240" t="str">
        <f t="shared" si="73"/>
        <v/>
      </c>
      <c r="Q240" t="str">
        <f t="shared" si="74"/>
        <v/>
      </c>
      <c r="R240" t="str">
        <f t="shared" si="75"/>
        <v/>
      </c>
      <c r="S240" t="str">
        <f t="shared" si="76"/>
        <v/>
      </c>
      <c r="T240" t="str">
        <f t="shared" si="77"/>
        <v/>
      </c>
      <c r="U240" t="str">
        <f t="shared" si="78"/>
        <v/>
      </c>
      <c r="V240" t="str">
        <f t="shared" si="79"/>
        <v/>
      </c>
      <c r="W240" t="str">
        <f t="shared" si="62"/>
        <v xml:space="preserve">              </v>
      </c>
    </row>
    <row r="241" spans="1:23" customFormat="1" hidden="1">
      <c r="A241" t="b">
        <f t="shared" si="61"/>
        <v>0</v>
      </c>
      <c r="B241">
        <f t="shared" si="63"/>
        <v>240</v>
      </c>
      <c r="C241" t="s">
        <v>144</v>
      </c>
      <c r="D241" t="s">
        <v>240</v>
      </c>
      <c r="E241">
        <f t="shared" si="80"/>
        <v>32</v>
      </c>
      <c r="G241">
        <f t="shared" si="64"/>
        <v>3</v>
      </c>
      <c r="H241" t="str">
        <f t="shared" si="65"/>
        <v/>
      </c>
      <c r="I241" t="str">
        <f t="shared" si="66"/>
        <v/>
      </c>
      <c r="J241" t="str">
        <f t="shared" si="67"/>
        <v/>
      </c>
      <c r="K241" t="str">
        <f t="shared" si="68"/>
        <v/>
      </c>
      <c r="L241" t="str">
        <f t="shared" si="69"/>
        <v/>
      </c>
      <c r="M241" t="str">
        <f t="shared" si="70"/>
        <v/>
      </c>
      <c r="N241" t="str">
        <f t="shared" si="71"/>
        <v/>
      </c>
      <c r="O241" t="str">
        <f t="shared" si="72"/>
        <v/>
      </c>
      <c r="P241" t="str">
        <f t="shared" si="73"/>
        <v/>
      </c>
      <c r="Q241" t="str">
        <f t="shared" si="74"/>
        <v/>
      </c>
      <c r="R241" t="str">
        <f t="shared" si="75"/>
        <v/>
      </c>
      <c r="S241" t="str">
        <f t="shared" si="76"/>
        <v/>
      </c>
      <c r="T241" t="str">
        <f t="shared" si="77"/>
        <v/>
      </c>
      <c r="U241" t="str">
        <f t="shared" si="78"/>
        <v/>
      </c>
      <c r="V241" t="str">
        <f t="shared" si="79"/>
        <v/>
      </c>
      <c r="W241" t="str">
        <f t="shared" si="62"/>
        <v xml:space="preserve">              </v>
      </c>
    </row>
    <row r="242" spans="1:23" customFormat="1" hidden="1">
      <c r="A242" t="b">
        <f t="shared" si="61"/>
        <v>0</v>
      </c>
      <c r="B242">
        <f t="shared" si="63"/>
        <v>241</v>
      </c>
      <c r="C242" t="s">
        <v>144</v>
      </c>
      <c r="D242" t="s">
        <v>241</v>
      </c>
      <c r="E242">
        <f t="shared" si="80"/>
        <v>38</v>
      </c>
      <c r="G242">
        <f t="shared" si="64"/>
        <v>4</v>
      </c>
      <c r="H242" t="str">
        <f t="shared" si="65"/>
        <v/>
      </c>
      <c r="I242" t="str">
        <f t="shared" si="66"/>
        <v/>
      </c>
      <c r="J242" t="str">
        <f t="shared" si="67"/>
        <v/>
      </c>
      <c r="K242" t="str">
        <f t="shared" si="68"/>
        <v/>
      </c>
      <c r="L242" t="str">
        <f t="shared" si="69"/>
        <v/>
      </c>
      <c r="M242" t="str">
        <f t="shared" si="70"/>
        <v/>
      </c>
      <c r="N242" t="str">
        <f t="shared" si="71"/>
        <v/>
      </c>
      <c r="O242" t="str">
        <f t="shared" si="72"/>
        <v/>
      </c>
      <c r="P242" t="str">
        <f t="shared" si="73"/>
        <v/>
      </c>
      <c r="Q242" t="str">
        <f t="shared" si="74"/>
        <v/>
      </c>
      <c r="R242" t="str">
        <f t="shared" si="75"/>
        <v/>
      </c>
      <c r="S242" t="str">
        <f t="shared" si="76"/>
        <v/>
      </c>
      <c r="T242" t="str">
        <f t="shared" si="77"/>
        <v/>
      </c>
      <c r="U242" t="str">
        <f t="shared" si="78"/>
        <v/>
      </c>
      <c r="V242" t="str">
        <f t="shared" si="79"/>
        <v/>
      </c>
      <c r="W242" t="str">
        <f t="shared" si="62"/>
        <v xml:space="preserve">              </v>
      </c>
    </row>
    <row r="243" spans="1:23" customFormat="1" hidden="1">
      <c r="A243" t="b">
        <f t="shared" si="61"/>
        <v>0</v>
      </c>
      <c r="B243">
        <f t="shared" si="63"/>
        <v>242</v>
      </c>
      <c r="C243" t="s">
        <v>144</v>
      </c>
      <c r="D243" t="s">
        <v>242</v>
      </c>
      <c r="E243">
        <f t="shared" si="80"/>
        <v>20</v>
      </c>
      <c r="G243">
        <f t="shared" si="64"/>
        <v>5</v>
      </c>
      <c r="H243" t="str">
        <f t="shared" si="65"/>
        <v/>
      </c>
      <c r="I243" t="str">
        <f t="shared" si="66"/>
        <v/>
      </c>
      <c r="J243" t="str">
        <f t="shared" si="67"/>
        <v/>
      </c>
      <c r="K243" t="str">
        <f t="shared" si="68"/>
        <v/>
      </c>
      <c r="L243" t="str">
        <f t="shared" si="69"/>
        <v/>
      </c>
      <c r="M243" t="str">
        <f t="shared" si="70"/>
        <v/>
      </c>
      <c r="N243" t="str">
        <f t="shared" si="71"/>
        <v/>
      </c>
      <c r="O243" t="str">
        <f t="shared" si="72"/>
        <v/>
      </c>
      <c r="P243" t="str">
        <f t="shared" si="73"/>
        <v/>
      </c>
      <c r="Q243" t="str">
        <f t="shared" si="74"/>
        <v/>
      </c>
      <c r="R243" t="str">
        <f t="shared" si="75"/>
        <v/>
      </c>
      <c r="S243" t="str">
        <f t="shared" si="76"/>
        <v/>
      </c>
      <c r="T243" t="str">
        <f t="shared" si="77"/>
        <v/>
      </c>
      <c r="U243" t="str">
        <f t="shared" si="78"/>
        <v/>
      </c>
      <c r="V243" t="str">
        <f t="shared" si="79"/>
        <v/>
      </c>
      <c r="W243" t="str">
        <f t="shared" si="62"/>
        <v xml:space="preserve">              </v>
      </c>
    </row>
    <row r="244" spans="1:23" hidden="1">
      <c r="A244" s="71" t="b">
        <f t="shared" si="61"/>
        <v>0</v>
      </c>
      <c r="B244" s="71">
        <f t="shared" si="63"/>
        <v>243</v>
      </c>
      <c r="C244" s="71" t="s">
        <v>144</v>
      </c>
      <c r="D244" s="71" t="s">
        <v>243</v>
      </c>
      <c r="E244">
        <f t="shared" si="80"/>
        <v>12</v>
      </c>
      <c r="F244">
        <v>1</v>
      </c>
      <c r="G244">
        <f t="shared" si="64"/>
        <v>1</v>
      </c>
      <c r="H244" t="str">
        <f t="shared" si="65"/>
        <v>Future value</v>
      </c>
      <c r="I244" t="str">
        <f t="shared" si="66"/>
        <v>A benefit comparison model to determine</v>
      </c>
      <c r="J244" t="str">
        <f t="shared" si="67"/>
        <v>a future value of money. The formula to</v>
      </c>
      <c r="K244" t="str">
        <f t="shared" si="68"/>
        <v>calculate future value is FV = PV(1 + I)n,</v>
      </c>
      <c r="L244" t="str">
        <f t="shared" si="69"/>
        <v>where PV is present value, I is the given</v>
      </c>
      <c r="M244" t="str">
        <f t="shared" si="70"/>
        <v>interest rate, and n is the number of</v>
      </c>
      <c r="N244" t="str">
        <f t="shared" si="71"/>
        <v>periods.</v>
      </c>
      <c r="O244" t="str">
        <f t="shared" si="72"/>
        <v/>
      </c>
      <c r="P244" t="str">
        <f t="shared" si="73"/>
        <v/>
      </c>
      <c r="Q244" t="str">
        <f t="shared" si="74"/>
        <v/>
      </c>
      <c r="R244" t="str">
        <f t="shared" si="75"/>
        <v/>
      </c>
      <c r="S244" t="str">
        <f t="shared" si="76"/>
        <v/>
      </c>
      <c r="T244" t="str">
        <f t="shared" si="77"/>
        <v/>
      </c>
      <c r="U244" t="str">
        <f t="shared" si="78"/>
        <v/>
      </c>
      <c r="V244" t="str">
        <f t="shared" si="79"/>
        <v/>
      </c>
      <c r="W244" s="71" t="str">
        <f>CONCATENATE(H244," ",I244," ",J244," ",K244," ",L244," ",M244," ",N244," ",O244," ",P244," ",Q244," ",R244," ",S244," ",T244," ",U244," ",V244)</f>
        <v xml:space="preserve">Future value A benefit comparison model to determine a future value of money. The formula to calculate future value is FV = PV(1 + I)n, where PV is present value, I is the given interest rate, and n is the number of periods.        </v>
      </c>
    </row>
    <row r="245" spans="1:23" customFormat="1" hidden="1">
      <c r="A245" t="b">
        <f t="shared" si="61"/>
        <v>0</v>
      </c>
      <c r="B245">
        <f t="shared" si="63"/>
        <v>244</v>
      </c>
      <c r="C245" t="s">
        <v>144</v>
      </c>
      <c r="D245" t="s">
        <v>244</v>
      </c>
      <c r="E245">
        <f t="shared" si="80"/>
        <v>39</v>
      </c>
      <c r="G245">
        <f t="shared" si="64"/>
        <v>2</v>
      </c>
      <c r="H245" t="str">
        <f t="shared" si="65"/>
        <v/>
      </c>
      <c r="I245" t="str">
        <f t="shared" si="66"/>
        <v/>
      </c>
      <c r="J245" t="str">
        <f t="shared" si="67"/>
        <v/>
      </c>
      <c r="K245" t="str">
        <f t="shared" si="68"/>
        <v/>
      </c>
      <c r="L245" t="str">
        <f t="shared" si="69"/>
        <v/>
      </c>
      <c r="M245" t="str">
        <f t="shared" si="70"/>
        <v/>
      </c>
      <c r="N245" t="str">
        <f t="shared" si="71"/>
        <v/>
      </c>
      <c r="O245" t="str">
        <f t="shared" si="72"/>
        <v/>
      </c>
      <c r="P245" t="str">
        <f t="shared" si="73"/>
        <v/>
      </c>
      <c r="Q245" t="str">
        <f t="shared" si="74"/>
        <v/>
      </c>
      <c r="R245" t="str">
        <f t="shared" si="75"/>
        <v/>
      </c>
      <c r="S245" t="str">
        <f t="shared" si="76"/>
        <v/>
      </c>
      <c r="T245" t="str">
        <f t="shared" si="77"/>
        <v/>
      </c>
      <c r="U245" t="str">
        <f t="shared" si="78"/>
        <v/>
      </c>
      <c r="V245" t="str">
        <f t="shared" si="79"/>
        <v/>
      </c>
      <c r="W245" t="str">
        <f t="shared" si="62"/>
        <v xml:space="preserve">              </v>
      </c>
    </row>
    <row r="246" spans="1:23" customFormat="1" hidden="1">
      <c r="A246" t="b">
        <f t="shared" si="61"/>
        <v>0</v>
      </c>
      <c r="B246">
        <f t="shared" si="63"/>
        <v>245</v>
      </c>
      <c r="C246" t="s">
        <v>144</v>
      </c>
      <c r="D246" t="s">
        <v>245</v>
      </c>
      <c r="E246">
        <f t="shared" si="80"/>
        <v>39</v>
      </c>
      <c r="G246">
        <f t="shared" si="64"/>
        <v>3</v>
      </c>
      <c r="H246" t="str">
        <f t="shared" si="65"/>
        <v/>
      </c>
      <c r="I246" t="str">
        <f t="shared" si="66"/>
        <v/>
      </c>
      <c r="J246" t="str">
        <f t="shared" si="67"/>
        <v/>
      </c>
      <c r="K246" t="str">
        <f t="shared" si="68"/>
        <v/>
      </c>
      <c r="L246" t="str">
        <f t="shared" si="69"/>
        <v/>
      </c>
      <c r="M246" t="str">
        <f t="shared" si="70"/>
        <v/>
      </c>
      <c r="N246" t="str">
        <f t="shared" si="71"/>
        <v/>
      </c>
      <c r="O246" t="str">
        <f t="shared" si="72"/>
        <v/>
      </c>
      <c r="P246" t="str">
        <f t="shared" si="73"/>
        <v/>
      </c>
      <c r="Q246" t="str">
        <f t="shared" si="74"/>
        <v/>
      </c>
      <c r="R246" t="str">
        <f t="shared" si="75"/>
        <v/>
      </c>
      <c r="S246" t="str">
        <f t="shared" si="76"/>
        <v/>
      </c>
      <c r="T246" t="str">
        <f t="shared" si="77"/>
        <v/>
      </c>
      <c r="U246" t="str">
        <f t="shared" si="78"/>
        <v/>
      </c>
      <c r="V246" t="str">
        <f t="shared" si="79"/>
        <v/>
      </c>
      <c r="W246" t="str">
        <f t="shared" si="62"/>
        <v xml:space="preserve">              </v>
      </c>
    </row>
    <row r="247" spans="1:23" customFormat="1" hidden="1">
      <c r="A247" t="b">
        <f t="shared" si="61"/>
        <v>0</v>
      </c>
      <c r="B247">
        <f t="shared" si="63"/>
        <v>246</v>
      </c>
      <c r="C247" t="s">
        <v>144</v>
      </c>
      <c r="D247" t="s">
        <v>246</v>
      </c>
      <c r="E247">
        <f t="shared" si="80"/>
        <v>42</v>
      </c>
      <c r="G247">
        <f t="shared" si="64"/>
        <v>4</v>
      </c>
      <c r="H247" t="str">
        <f t="shared" si="65"/>
        <v/>
      </c>
      <c r="I247" t="str">
        <f t="shared" si="66"/>
        <v/>
      </c>
      <c r="J247" t="str">
        <f t="shared" si="67"/>
        <v/>
      </c>
      <c r="K247" t="str">
        <f t="shared" si="68"/>
        <v/>
      </c>
      <c r="L247" t="str">
        <f t="shared" si="69"/>
        <v/>
      </c>
      <c r="M247" t="str">
        <f t="shared" si="70"/>
        <v/>
      </c>
      <c r="N247" t="str">
        <f t="shared" si="71"/>
        <v/>
      </c>
      <c r="O247" t="str">
        <f t="shared" si="72"/>
        <v/>
      </c>
      <c r="P247" t="str">
        <f t="shared" si="73"/>
        <v/>
      </c>
      <c r="Q247" t="str">
        <f t="shared" si="74"/>
        <v/>
      </c>
      <c r="R247" t="str">
        <f t="shared" si="75"/>
        <v/>
      </c>
      <c r="S247" t="str">
        <f t="shared" si="76"/>
        <v/>
      </c>
      <c r="T247" t="str">
        <f t="shared" si="77"/>
        <v/>
      </c>
      <c r="U247" t="str">
        <f t="shared" si="78"/>
        <v/>
      </c>
      <c r="V247" t="str">
        <f t="shared" si="79"/>
        <v/>
      </c>
      <c r="W247" t="str">
        <f t="shared" si="62"/>
        <v xml:space="preserve">              </v>
      </c>
    </row>
    <row r="248" spans="1:23" customFormat="1" hidden="1">
      <c r="A248" t="b">
        <f t="shared" si="61"/>
        <v>0</v>
      </c>
      <c r="B248">
        <f t="shared" si="63"/>
        <v>247</v>
      </c>
      <c r="C248" t="s">
        <v>144</v>
      </c>
      <c r="D248" t="s">
        <v>247</v>
      </c>
      <c r="E248">
        <f t="shared" si="80"/>
        <v>41</v>
      </c>
      <c r="G248">
        <f t="shared" si="64"/>
        <v>5</v>
      </c>
      <c r="H248" t="str">
        <f t="shared" si="65"/>
        <v/>
      </c>
      <c r="I248" t="str">
        <f t="shared" si="66"/>
        <v/>
      </c>
      <c r="J248" t="str">
        <f t="shared" si="67"/>
        <v/>
      </c>
      <c r="K248" t="str">
        <f t="shared" si="68"/>
        <v/>
      </c>
      <c r="L248" t="str">
        <f t="shared" si="69"/>
        <v/>
      </c>
      <c r="M248" t="str">
        <f t="shared" si="70"/>
        <v/>
      </c>
      <c r="N248" t="str">
        <f t="shared" si="71"/>
        <v/>
      </c>
      <c r="O248" t="str">
        <f t="shared" si="72"/>
        <v/>
      </c>
      <c r="P248" t="str">
        <f t="shared" si="73"/>
        <v/>
      </c>
      <c r="Q248" t="str">
        <f t="shared" si="74"/>
        <v/>
      </c>
      <c r="R248" t="str">
        <f t="shared" si="75"/>
        <v/>
      </c>
      <c r="S248" t="str">
        <f t="shared" si="76"/>
        <v/>
      </c>
      <c r="T248" t="str">
        <f t="shared" si="77"/>
        <v/>
      </c>
      <c r="U248" t="str">
        <f t="shared" si="78"/>
        <v/>
      </c>
      <c r="V248" t="str">
        <f t="shared" si="79"/>
        <v/>
      </c>
      <c r="W248" t="str">
        <f t="shared" si="62"/>
        <v xml:space="preserve">              </v>
      </c>
    </row>
    <row r="249" spans="1:23" customFormat="1" hidden="1">
      <c r="A249" t="b">
        <f t="shared" si="61"/>
        <v>0</v>
      </c>
      <c r="B249">
        <f t="shared" si="63"/>
        <v>248</v>
      </c>
      <c r="C249" t="s">
        <v>144</v>
      </c>
      <c r="D249" t="s">
        <v>248</v>
      </c>
      <c r="E249">
        <f t="shared" si="80"/>
        <v>37</v>
      </c>
      <c r="G249">
        <f t="shared" si="64"/>
        <v>6</v>
      </c>
      <c r="H249" t="str">
        <f t="shared" si="65"/>
        <v/>
      </c>
      <c r="I249" t="str">
        <f t="shared" si="66"/>
        <v/>
      </c>
      <c r="J249" t="str">
        <f t="shared" si="67"/>
        <v/>
      </c>
      <c r="K249" t="str">
        <f t="shared" si="68"/>
        <v/>
      </c>
      <c r="L249" t="str">
        <f t="shared" si="69"/>
        <v/>
      </c>
      <c r="M249" t="str">
        <f t="shared" si="70"/>
        <v/>
      </c>
      <c r="N249" t="str">
        <f t="shared" si="71"/>
        <v/>
      </c>
      <c r="O249" t="str">
        <f t="shared" si="72"/>
        <v/>
      </c>
      <c r="P249" t="str">
        <f t="shared" si="73"/>
        <v/>
      </c>
      <c r="Q249" t="str">
        <f t="shared" si="74"/>
        <v/>
      </c>
      <c r="R249" t="str">
        <f t="shared" si="75"/>
        <v/>
      </c>
      <c r="S249" t="str">
        <f t="shared" si="76"/>
        <v/>
      </c>
      <c r="T249" t="str">
        <f t="shared" si="77"/>
        <v/>
      </c>
      <c r="U249" t="str">
        <f t="shared" si="78"/>
        <v/>
      </c>
      <c r="V249" t="str">
        <f t="shared" si="79"/>
        <v/>
      </c>
      <c r="W249" t="str">
        <f t="shared" si="62"/>
        <v xml:space="preserve">              </v>
      </c>
    </row>
    <row r="250" spans="1:23" customFormat="1" hidden="1">
      <c r="A250" t="b">
        <f t="shared" si="61"/>
        <v>0</v>
      </c>
      <c r="B250">
        <f t="shared" si="63"/>
        <v>249</v>
      </c>
      <c r="C250" t="s">
        <v>144</v>
      </c>
      <c r="D250" t="s">
        <v>249</v>
      </c>
      <c r="E250">
        <f t="shared" si="80"/>
        <v>8</v>
      </c>
      <c r="G250">
        <f t="shared" si="64"/>
        <v>7</v>
      </c>
      <c r="H250" t="str">
        <f t="shared" si="65"/>
        <v/>
      </c>
      <c r="I250" t="str">
        <f t="shared" si="66"/>
        <v/>
      </c>
      <c r="J250" t="str">
        <f t="shared" si="67"/>
        <v/>
      </c>
      <c r="K250" t="str">
        <f t="shared" si="68"/>
        <v/>
      </c>
      <c r="L250" t="str">
        <f t="shared" si="69"/>
        <v/>
      </c>
      <c r="M250" t="str">
        <f t="shared" si="70"/>
        <v/>
      </c>
      <c r="N250" t="str">
        <f t="shared" si="71"/>
        <v/>
      </c>
      <c r="O250" t="str">
        <f t="shared" si="72"/>
        <v/>
      </c>
      <c r="P250" t="str">
        <f t="shared" si="73"/>
        <v/>
      </c>
      <c r="Q250" t="str">
        <f t="shared" si="74"/>
        <v/>
      </c>
      <c r="R250" t="str">
        <f t="shared" si="75"/>
        <v/>
      </c>
      <c r="S250" t="str">
        <f t="shared" si="76"/>
        <v/>
      </c>
      <c r="T250" t="str">
        <f t="shared" si="77"/>
        <v/>
      </c>
      <c r="U250" t="str">
        <f t="shared" si="78"/>
        <v/>
      </c>
      <c r="V250" t="str">
        <f t="shared" si="79"/>
        <v/>
      </c>
      <c r="W250" t="str">
        <f t="shared" si="62"/>
        <v xml:space="preserve">              </v>
      </c>
    </row>
    <row r="251" spans="1:23" hidden="1">
      <c r="A251" s="71" t="b">
        <f t="shared" si="61"/>
        <v>0</v>
      </c>
      <c r="B251" s="71">
        <f t="shared" si="63"/>
        <v>250</v>
      </c>
      <c r="C251" s="71" t="s">
        <v>144</v>
      </c>
      <c r="D251" s="71" t="s">
        <v>250</v>
      </c>
      <c r="E251">
        <f t="shared" si="80"/>
        <v>25</v>
      </c>
      <c r="F251">
        <v>1</v>
      </c>
      <c r="G251">
        <f t="shared" si="64"/>
        <v>1</v>
      </c>
      <c r="H251" t="str">
        <f t="shared" si="65"/>
        <v>Integrated change control</v>
      </c>
      <c r="I251" t="str">
        <f t="shared" si="66"/>
        <v>A process to consider and control the</v>
      </c>
      <c r="J251" t="str">
        <f t="shared" si="67"/>
        <v>impact of a proposed change on the</v>
      </c>
      <c r="K251" t="str">
        <f t="shared" si="68"/>
        <v>project’s knowledge areas.</v>
      </c>
      <c r="L251" t="str">
        <f t="shared" si="69"/>
        <v/>
      </c>
      <c r="M251" t="str">
        <f t="shared" si="70"/>
        <v/>
      </c>
      <c r="N251" t="str">
        <f t="shared" si="71"/>
        <v/>
      </c>
      <c r="O251" t="str">
        <f t="shared" si="72"/>
        <v/>
      </c>
      <c r="P251" t="str">
        <f t="shared" si="73"/>
        <v/>
      </c>
      <c r="Q251" t="str">
        <f t="shared" si="74"/>
        <v/>
      </c>
      <c r="R251" t="str">
        <f t="shared" si="75"/>
        <v/>
      </c>
      <c r="S251" t="str">
        <f t="shared" si="76"/>
        <v/>
      </c>
      <c r="T251" t="str">
        <f t="shared" si="77"/>
        <v/>
      </c>
      <c r="U251" t="str">
        <f t="shared" si="78"/>
        <v/>
      </c>
      <c r="V251" t="str">
        <f t="shared" si="79"/>
        <v/>
      </c>
      <c r="W251" s="71" t="str">
        <f>CONCATENATE(H251," ",I251," ",J251," ",K251," ",L251," ",M251," ",N251," ",O251," ",P251," ",Q251," ",R251," ",S251," ",T251," ",U251," ",V251)</f>
        <v xml:space="preserve">Integrated change control A process to consider and control the impact of a proposed change on the project’s knowledge areas.           </v>
      </c>
    </row>
    <row r="252" spans="1:23" customFormat="1" hidden="1">
      <c r="A252" t="b">
        <f t="shared" si="61"/>
        <v>0</v>
      </c>
      <c r="B252">
        <f t="shared" si="63"/>
        <v>251</v>
      </c>
      <c r="C252" t="s">
        <v>144</v>
      </c>
      <c r="D252" t="s">
        <v>251</v>
      </c>
      <c r="E252">
        <f t="shared" si="80"/>
        <v>37</v>
      </c>
      <c r="G252">
        <f t="shared" si="64"/>
        <v>2</v>
      </c>
      <c r="H252" t="str">
        <f t="shared" si="65"/>
        <v/>
      </c>
      <c r="I252" t="str">
        <f t="shared" si="66"/>
        <v/>
      </c>
      <c r="J252" t="str">
        <f t="shared" si="67"/>
        <v/>
      </c>
      <c r="K252" t="str">
        <f t="shared" si="68"/>
        <v/>
      </c>
      <c r="L252" t="str">
        <f t="shared" si="69"/>
        <v/>
      </c>
      <c r="M252" t="str">
        <f t="shared" si="70"/>
        <v/>
      </c>
      <c r="N252" t="str">
        <f t="shared" si="71"/>
        <v/>
      </c>
      <c r="O252" t="str">
        <f t="shared" si="72"/>
        <v/>
      </c>
      <c r="P252" t="str">
        <f t="shared" si="73"/>
        <v/>
      </c>
      <c r="Q252" t="str">
        <f t="shared" si="74"/>
        <v/>
      </c>
      <c r="R252" t="str">
        <f t="shared" si="75"/>
        <v/>
      </c>
      <c r="S252" t="str">
        <f t="shared" si="76"/>
        <v/>
      </c>
      <c r="T252" t="str">
        <f t="shared" si="77"/>
        <v/>
      </c>
      <c r="U252" t="str">
        <f t="shared" si="78"/>
        <v/>
      </c>
      <c r="V252" t="str">
        <f t="shared" si="79"/>
        <v/>
      </c>
      <c r="W252" t="str">
        <f t="shared" si="62"/>
        <v xml:space="preserve">              </v>
      </c>
    </row>
    <row r="253" spans="1:23" customFormat="1" hidden="1">
      <c r="A253" t="b">
        <f t="shared" si="61"/>
        <v>0</v>
      </c>
      <c r="B253">
        <f t="shared" si="63"/>
        <v>252</v>
      </c>
      <c r="C253" t="s">
        <v>144</v>
      </c>
      <c r="D253" t="s">
        <v>252</v>
      </c>
      <c r="E253">
        <f t="shared" si="80"/>
        <v>34</v>
      </c>
      <c r="G253">
        <f t="shared" si="64"/>
        <v>3</v>
      </c>
      <c r="H253" t="str">
        <f t="shared" si="65"/>
        <v/>
      </c>
      <c r="I253" t="str">
        <f t="shared" si="66"/>
        <v/>
      </c>
      <c r="J253" t="str">
        <f t="shared" si="67"/>
        <v/>
      </c>
      <c r="K253" t="str">
        <f t="shared" si="68"/>
        <v/>
      </c>
      <c r="L253" t="str">
        <f t="shared" si="69"/>
        <v/>
      </c>
      <c r="M253" t="str">
        <f t="shared" si="70"/>
        <v/>
      </c>
      <c r="N253" t="str">
        <f t="shared" si="71"/>
        <v/>
      </c>
      <c r="O253" t="str">
        <f t="shared" si="72"/>
        <v/>
      </c>
      <c r="P253" t="str">
        <f t="shared" si="73"/>
        <v/>
      </c>
      <c r="Q253" t="str">
        <f t="shared" si="74"/>
        <v/>
      </c>
      <c r="R253" t="str">
        <f t="shared" si="75"/>
        <v/>
      </c>
      <c r="S253" t="str">
        <f t="shared" si="76"/>
        <v/>
      </c>
      <c r="T253" t="str">
        <f t="shared" si="77"/>
        <v/>
      </c>
      <c r="U253" t="str">
        <f t="shared" si="78"/>
        <v/>
      </c>
      <c r="V253" t="str">
        <f t="shared" si="79"/>
        <v/>
      </c>
      <c r="W253" t="str">
        <f t="shared" si="62"/>
        <v xml:space="preserve">              </v>
      </c>
    </row>
    <row r="254" spans="1:23" customFormat="1" hidden="1">
      <c r="A254" t="b">
        <f t="shared" si="61"/>
        <v>0</v>
      </c>
      <c r="B254">
        <f t="shared" si="63"/>
        <v>253</v>
      </c>
      <c r="C254" t="s">
        <v>144</v>
      </c>
      <c r="D254" t="s">
        <v>253</v>
      </c>
      <c r="E254">
        <f t="shared" si="80"/>
        <v>26</v>
      </c>
      <c r="G254">
        <f t="shared" si="64"/>
        <v>4</v>
      </c>
      <c r="H254" t="str">
        <f t="shared" si="65"/>
        <v/>
      </c>
      <c r="I254" t="str">
        <f t="shared" si="66"/>
        <v/>
      </c>
      <c r="J254" t="str">
        <f t="shared" si="67"/>
        <v/>
      </c>
      <c r="K254" t="str">
        <f t="shared" si="68"/>
        <v/>
      </c>
      <c r="L254" t="str">
        <f t="shared" si="69"/>
        <v/>
      </c>
      <c r="M254" t="str">
        <f t="shared" si="70"/>
        <v/>
      </c>
      <c r="N254" t="str">
        <f t="shared" si="71"/>
        <v/>
      </c>
      <c r="O254" t="str">
        <f t="shared" si="72"/>
        <v/>
      </c>
      <c r="P254" t="str">
        <f t="shared" si="73"/>
        <v/>
      </c>
      <c r="Q254" t="str">
        <f t="shared" si="74"/>
        <v/>
      </c>
      <c r="R254" t="str">
        <f t="shared" si="75"/>
        <v/>
      </c>
      <c r="S254" t="str">
        <f t="shared" si="76"/>
        <v/>
      </c>
      <c r="T254" t="str">
        <f t="shared" si="77"/>
        <v/>
      </c>
      <c r="U254" t="str">
        <f t="shared" si="78"/>
        <v/>
      </c>
      <c r="V254" t="str">
        <f t="shared" si="79"/>
        <v/>
      </c>
      <c r="W254" t="str">
        <f t="shared" si="62"/>
        <v xml:space="preserve">              </v>
      </c>
    </row>
    <row r="255" spans="1:23" hidden="1">
      <c r="A255" s="71" t="b">
        <f t="shared" si="61"/>
        <v>0</v>
      </c>
      <c r="B255" s="71">
        <f t="shared" si="63"/>
        <v>254</v>
      </c>
      <c r="C255" s="71" t="s">
        <v>144</v>
      </c>
      <c r="D255" s="71" t="s">
        <v>254</v>
      </c>
      <c r="E255">
        <f t="shared" si="80"/>
        <v>9</v>
      </c>
      <c r="F255">
        <v>1</v>
      </c>
      <c r="G255">
        <f t="shared" si="64"/>
        <v>1</v>
      </c>
      <c r="H255" t="str">
        <f t="shared" si="65"/>
        <v>Issue log</v>
      </c>
      <c r="I255" t="str">
        <f t="shared" si="66"/>
        <v>Issues are points of contention where</v>
      </c>
      <c r="J255" t="str">
        <f t="shared" si="67"/>
        <v>some question of the project’s direction</v>
      </c>
      <c r="K255" t="str">
        <f t="shared" si="68"/>
        <v>needs to be resolved. All identified issues</v>
      </c>
      <c r="L255" t="str">
        <f t="shared" si="69"/>
        <v>are documented in the issue log, along</v>
      </c>
      <c r="M255" t="str">
        <f t="shared" si="70"/>
        <v>with an issue owner and a deadline to</v>
      </c>
      <c r="N255" t="str">
        <f t="shared" si="71"/>
        <v>resolve the issue. The outcome of the</v>
      </c>
      <c r="O255" t="str">
        <f t="shared" si="72"/>
        <v>issue is also recorded.</v>
      </c>
      <c r="P255" t="str">
        <f t="shared" si="73"/>
        <v/>
      </c>
      <c r="Q255" t="str">
        <f t="shared" si="74"/>
        <v/>
      </c>
      <c r="R255" t="str">
        <f t="shared" si="75"/>
        <v/>
      </c>
      <c r="S255" t="str">
        <f t="shared" si="76"/>
        <v/>
      </c>
      <c r="T255" t="str">
        <f t="shared" si="77"/>
        <v/>
      </c>
      <c r="U255" t="str">
        <f t="shared" si="78"/>
        <v/>
      </c>
      <c r="V255" t="str">
        <f t="shared" si="79"/>
        <v/>
      </c>
      <c r="W255" s="71" t="str">
        <f>CONCATENATE(H255," ",I255," ",J255," ",K255," ",L255," ",M255," ",N255," ",O255," ",P255," ",Q255," ",R255," ",S255," ",T255," ",U255," ",V255)</f>
        <v xml:space="preserve">Issue log Issues are points of contention where some question of the project’s direction needs to be resolved. All identified issues are documented in the issue log, along with an issue owner and a deadline to resolve the issue. The outcome of the issue is also recorded.       </v>
      </c>
    </row>
    <row r="256" spans="1:23" customFormat="1" hidden="1">
      <c r="A256" t="b">
        <f t="shared" si="61"/>
        <v>0</v>
      </c>
      <c r="B256">
        <f t="shared" si="63"/>
        <v>255</v>
      </c>
      <c r="C256" t="s">
        <v>144</v>
      </c>
      <c r="D256" t="s">
        <v>255</v>
      </c>
      <c r="E256">
        <f t="shared" si="80"/>
        <v>37</v>
      </c>
      <c r="G256">
        <f t="shared" si="64"/>
        <v>2</v>
      </c>
      <c r="H256" t="str">
        <f t="shared" si="65"/>
        <v/>
      </c>
      <c r="I256" t="str">
        <f t="shared" si="66"/>
        <v/>
      </c>
      <c r="J256" t="str">
        <f t="shared" si="67"/>
        <v/>
      </c>
      <c r="K256" t="str">
        <f t="shared" si="68"/>
        <v/>
      </c>
      <c r="L256" t="str">
        <f t="shared" si="69"/>
        <v/>
      </c>
      <c r="M256" t="str">
        <f t="shared" si="70"/>
        <v/>
      </c>
      <c r="N256" t="str">
        <f t="shared" si="71"/>
        <v/>
      </c>
      <c r="O256" t="str">
        <f t="shared" si="72"/>
        <v/>
      </c>
      <c r="P256" t="str">
        <f t="shared" si="73"/>
        <v/>
      </c>
      <c r="Q256" t="str">
        <f t="shared" si="74"/>
        <v/>
      </c>
      <c r="R256" t="str">
        <f t="shared" si="75"/>
        <v/>
      </c>
      <c r="S256" t="str">
        <f t="shared" si="76"/>
        <v/>
      </c>
      <c r="T256" t="str">
        <f t="shared" si="77"/>
        <v/>
      </c>
      <c r="U256" t="str">
        <f t="shared" si="78"/>
        <v/>
      </c>
      <c r="V256" t="str">
        <f t="shared" si="79"/>
        <v/>
      </c>
      <c r="W256" t="str">
        <f t="shared" si="62"/>
        <v xml:space="preserve">              </v>
      </c>
    </row>
    <row r="257" spans="1:23" customFormat="1" hidden="1">
      <c r="A257" t="b">
        <f t="shared" si="61"/>
        <v>0</v>
      </c>
      <c r="B257">
        <f t="shared" si="63"/>
        <v>256</v>
      </c>
      <c r="C257" t="s">
        <v>144</v>
      </c>
      <c r="D257" t="s">
        <v>256</v>
      </c>
      <c r="E257">
        <f t="shared" si="80"/>
        <v>40</v>
      </c>
      <c r="G257">
        <f t="shared" si="64"/>
        <v>3</v>
      </c>
      <c r="H257" t="str">
        <f t="shared" si="65"/>
        <v/>
      </c>
      <c r="I257" t="str">
        <f t="shared" si="66"/>
        <v/>
      </c>
      <c r="J257" t="str">
        <f t="shared" si="67"/>
        <v/>
      </c>
      <c r="K257" t="str">
        <f t="shared" si="68"/>
        <v/>
      </c>
      <c r="L257" t="str">
        <f t="shared" si="69"/>
        <v/>
      </c>
      <c r="M257" t="str">
        <f t="shared" si="70"/>
        <v/>
      </c>
      <c r="N257" t="str">
        <f t="shared" si="71"/>
        <v/>
      </c>
      <c r="O257" t="str">
        <f t="shared" si="72"/>
        <v/>
      </c>
      <c r="P257" t="str">
        <f t="shared" si="73"/>
        <v/>
      </c>
      <c r="Q257" t="str">
        <f t="shared" si="74"/>
        <v/>
      </c>
      <c r="R257" t="str">
        <f t="shared" si="75"/>
        <v/>
      </c>
      <c r="S257" t="str">
        <f t="shared" si="76"/>
        <v/>
      </c>
      <c r="T257" t="str">
        <f t="shared" si="77"/>
        <v/>
      </c>
      <c r="U257" t="str">
        <f t="shared" si="78"/>
        <v/>
      </c>
      <c r="V257" t="str">
        <f t="shared" si="79"/>
        <v/>
      </c>
      <c r="W257" t="str">
        <f t="shared" si="62"/>
        <v xml:space="preserve">              </v>
      </c>
    </row>
    <row r="258" spans="1:23" customFormat="1" hidden="1">
      <c r="A258" t="b">
        <f t="shared" ref="A258:A321" si="81">C258=D258</f>
        <v>0</v>
      </c>
      <c r="B258">
        <f t="shared" si="63"/>
        <v>257</v>
      </c>
      <c r="C258" t="s">
        <v>144</v>
      </c>
      <c r="D258" t="s">
        <v>257</v>
      </c>
      <c r="E258">
        <f t="shared" si="80"/>
        <v>43</v>
      </c>
      <c r="G258">
        <f t="shared" si="64"/>
        <v>4</v>
      </c>
      <c r="H258" t="str">
        <f t="shared" si="65"/>
        <v/>
      </c>
      <c r="I258" t="str">
        <f t="shared" si="66"/>
        <v/>
      </c>
      <c r="J258" t="str">
        <f t="shared" si="67"/>
        <v/>
      </c>
      <c r="K258" t="str">
        <f t="shared" si="68"/>
        <v/>
      </c>
      <c r="L258" t="str">
        <f t="shared" si="69"/>
        <v/>
      </c>
      <c r="M258" t="str">
        <f t="shared" si="70"/>
        <v/>
      </c>
      <c r="N258" t="str">
        <f t="shared" si="71"/>
        <v/>
      </c>
      <c r="O258" t="str">
        <f t="shared" si="72"/>
        <v/>
      </c>
      <c r="P258" t="str">
        <f t="shared" si="73"/>
        <v/>
      </c>
      <c r="Q258" t="str">
        <f t="shared" si="74"/>
        <v/>
      </c>
      <c r="R258" t="str">
        <f t="shared" si="75"/>
        <v/>
      </c>
      <c r="S258" t="str">
        <f t="shared" si="76"/>
        <v/>
      </c>
      <c r="T258" t="str">
        <f t="shared" si="77"/>
        <v/>
      </c>
      <c r="U258" t="str">
        <f t="shared" si="78"/>
        <v/>
      </c>
      <c r="V258" t="str">
        <f t="shared" si="79"/>
        <v/>
      </c>
      <c r="W258" t="str">
        <f t="shared" ref="W258:W321" si="82">CONCATENATE(H258," ",I258," ",J258," ",K258," ",L258," ",M258," ",N258," ",O258," ",P258," ",Q258," ",R258," ",S258," ",T258," ",U258," ",V258)</f>
        <v xml:space="preserve">              </v>
      </c>
    </row>
    <row r="259" spans="1:23" customFormat="1" hidden="1">
      <c r="A259" t="b">
        <f t="shared" si="81"/>
        <v>0</v>
      </c>
      <c r="B259">
        <f t="shared" si="63"/>
        <v>258</v>
      </c>
      <c r="C259" t="s">
        <v>144</v>
      </c>
      <c r="D259" t="s">
        <v>258</v>
      </c>
      <c r="E259">
        <f t="shared" si="80"/>
        <v>38</v>
      </c>
      <c r="G259">
        <f t="shared" si="64"/>
        <v>5</v>
      </c>
      <c r="H259" t="str">
        <f t="shared" si="65"/>
        <v/>
      </c>
      <c r="I259" t="str">
        <f t="shared" si="66"/>
        <v/>
      </c>
      <c r="J259" t="str">
        <f t="shared" si="67"/>
        <v/>
      </c>
      <c r="K259" t="str">
        <f t="shared" si="68"/>
        <v/>
      </c>
      <c r="L259" t="str">
        <f t="shared" si="69"/>
        <v/>
      </c>
      <c r="M259" t="str">
        <f t="shared" si="70"/>
        <v/>
      </c>
      <c r="N259" t="str">
        <f t="shared" si="71"/>
        <v/>
      </c>
      <c r="O259" t="str">
        <f t="shared" si="72"/>
        <v/>
      </c>
      <c r="P259" t="str">
        <f t="shared" si="73"/>
        <v/>
      </c>
      <c r="Q259" t="str">
        <f t="shared" si="74"/>
        <v/>
      </c>
      <c r="R259" t="str">
        <f t="shared" si="75"/>
        <v/>
      </c>
      <c r="S259" t="str">
        <f t="shared" si="76"/>
        <v/>
      </c>
      <c r="T259" t="str">
        <f t="shared" si="77"/>
        <v/>
      </c>
      <c r="U259" t="str">
        <f t="shared" si="78"/>
        <v/>
      </c>
      <c r="V259" t="str">
        <f t="shared" si="79"/>
        <v/>
      </c>
      <c r="W259" t="str">
        <f t="shared" si="82"/>
        <v xml:space="preserve">              </v>
      </c>
    </row>
    <row r="260" spans="1:23" customFormat="1" hidden="1">
      <c r="A260" t="b">
        <f t="shared" si="81"/>
        <v>0</v>
      </c>
      <c r="B260">
        <f t="shared" ref="B260:B323" si="83">B259+1</f>
        <v>259</v>
      </c>
      <c r="C260" t="s">
        <v>144</v>
      </c>
      <c r="D260" t="s">
        <v>259</v>
      </c>
      <c r="E260">
        <f t="shared" si="80"/>
        <v>37</v>
      </c>
      <c r="G260">
        <f t="shared" ref="G260:G323" si="84">IF(F260=1,1,G259+1)</f>
        <v>6</v>
      </c>
      <c r="H260" t="str">
        <f t="shared" ref="H260:H323" si="85">IF($G260=H$1,$D260,"")</f>
        <v/>
      </c>
      <c r="I260" t="str">
        <f t="shared" ref="I260:I323" si="86">IF($G261=I$1,$D261,"")</f>
        <v/>
      </c>
      <c r="J260" t="str">
        <f t="shared" ref="J260:J323" si="87">IF($G262=J$1,$D262,"")</f>
        <v/>
      </c>
      <c r="K260" t="str">
        <f t="shared" ref="K260:K323" si="88">IF($G263=K$1,$D263,"")</f>
        <v/>
      </c>
      <c r="L260" t="str">
        <f t="shared" ref="L260:L323" si="89">IF($G264=L$1,$D264,"")</f>
        <v/>
      </c>
      <c r="M260" t="str">
        <f t="shared" ref="M260:M323" si="90">IF($G265=M$1,$D265,"")</f>
        <v/>
      </c>
      <c r="N260" t="str">
        <f t="shared" ref="N260:N323" si="91">IF($G266=N$1,$D266,"")</f>
        <v/>
      </c>
      <c r="O260" t="str">
        <f t="shared" ref="O260:O323" si="92">IF($G267=O$1,$D267,"")</f>
        <v/>
      </c>
      <c r="P260" t="str">
        <f t="shared" ref="P260:P323" si="93">IF($G268=P$1,$D268,"")</f>
        <v/>
      </c>
      <c r="Q260" t="str">
        <f t="shared" ref="Q260:Q323" si="94">IF($G269=Q$1,$D269,"")</f>
        <v/>
      </c>
      <c r="R260" t="str">
        <f t="shared" ref="R260:R323" si="95">IF($G270=R$1,$D270,"")</f>
        <v/>
      </c>
      <c r="S260" t="str">
        <f t="shared" ref="S260:S323" si="96">IF($G271=S$1,$D271,"")</f>
        <v/>
      </c>
      <c r="T260" t="str">
        <f t="shared" ref="T260:T323" si="97">IF($G272=T$1,$D272,"")</f>
        <v/>
      </c>
      <c r="U260" t="str">
        <f t="shared" ref="U260:U323" si="98">IF($G273=U$1,$D273,"")</f>
        <v/>
      </c>
      <c r="V260" t="str">
        <f t="shared" ref="V260:V323" si="99">IF($G274=V$1,$D274,"")</f>
        <v/>
      </c>
      <c r="W260" t="str">
        <f t="shared" si="82"/>
        <v xml:space="preserve">              </v>
      </c>
    </row>
    <row r="261" spans="1:23" customFormat="1" hidden="1">
      <c r="A261" t="b">
        <f t="shared" si="81"/>
        <v>0</v>
      </c>
      <c r="B261">
        <f t="shared" si="83"/>
        <v>260</v>
      </c>
      <c r="C261" t="s">
        <v>144</v>
      </c>
      <c r="D261" t="s">
        <v>260</v>
      </c>
      <c r="E261">
        <f t="shared" si="80"/>
        <v>37</v>
      </c>
      <c r="G261">
        <f t="shared" si="84"/>
        <v>7</v>
      </c>
      <c r="H261" t="str">
        <f t="shared" si="85"/>
        <v/>
      </c>
      <c r="I261" t="str">
        <f t="shared" si="86"/>
        <v/>
      </c>
      <c r="J261" t="str">
        <f t="shared" si="87"/>
        <v/>
      </c>
      <c r="K261" t="str">
        <f t="shared" si="88"/>
        <v/>
      </c>
      <c r="L261" t="str">
        <f t="shared" si="89"/>
        <v/>
      </c>
      <c r="M261" t="str">
        <f t="shared" si="90"/>
        <v/>
      </c>
      <c r="N261" t="str">
        <f t="shared" si="91"/>
        <v/>
      </c>
      <c r="O261" t="str">
        <f t="shared" si="92"/>
        <v/>
      </c>
      <c r="P261" t="str">
        <f t="shared" si="93"/>
        <v/>
      </c>
      <c r="Q261" t="str">
        <f t="shared" si="94"/>
        <v/>
      </c>
      <c r="R261" t="str">
        <f t="shared" si="95"/>
        <v/>
      </c>
      <c r="S261" t="str">
        <f t="shared" si="96"/>
        <v/>
      </c>
      <c r="T261" t="str">
        <f t="shared" si="97"/>
        <v/>
      </c>
      <c r="U261" t="str">
        <f t="shared" si="98"/>
        <v/>
      </c>
      <c r="V261" t="str">
        <f t="shared" si="99"/>
        <v/>
      </c>
      <c r="W261" t="str">
        <f t="shared" si="82"/>
        <v xml:space="preserve">              </v>
      </c>
    </row>
    <row r="262" spans="1:23" customFormat="1" hidden="1">
      <c r="A262" t="b">
        <f t="shared" si="81"/>
        <v>0</v>
      </c>
      <c r="B262">
        <f t="shared" si="83"/>
        <v>261</v>
      </c>
      <c r="C262" t="s">
        <v>144</v>
      </c>
      <c r="D262" t="s">
        <v>261</v>
      </c>
      <c r="E262">
        <f t="shared" si="80"/>
        <v>23</v>
      </c>
      <c r="G262">
        <f t="shared" si="84"/>
        <v>8</v>
      </c>
      <c r="H262" t="str">
        <f t="shared" si="85"/>
        <v/>
      </c>
      <c r="I262" t="str">
        <f t="shared" si="86"/>
        <v/>
      </c>
      <c r="J262" t="str">
        <f t="shared" si="87"/>
        <v/>
      </c>
      <c r="K262" t="str">
        <f t="shared" si="88"/>
        <v/>
      </c>
      <c r="L262" t="str">
        <f t="shared" si="89"/>
        <v/>
      </c>
      <c r="M262" t="str">
        <f t="shared" si="90"/>
        <v/>
      </c>
      <c r="N262" t="str">
        <f t="shared" si="91"/>
        <v/>
      </c>
      <c r="O262" t="str">
        <f t="shared" si="92"/>
        <v/>
      </c>
      <c r="P262" t="str">
        <f t="shared" si="93"/>
        <v/>
      </c>
      <c r="Q262" t="str">
        <f t="shared" si="94"/>
        <v/>
      </c>
      <c r="R262" t="str">
        <f t="shared" si="95"/>
        <v/>
      </c>
      <c r="S262" t="str">
        <f t="shared" si="96"/>
        <v/>
      </c>
      <c r="T262" t="str">
        <f t="shared" si="97"/>
        <v/>
      </c>
      <c r="U262" t="str">
        <f t="shared" si="98"/>
        <v/>
      </c>
      <c r="V262" t="str">
        <f t="shared" si="99"/>
        <v/>
      </c>
      <c r="W262" t="str">
        <f t="shared" si="82"/>
        <v xml:space="preserve">              </v>
      </c>
    </row>
    <row r="263" spans="1:23" hidden="1">
      <c r="A263" s="71" t="b">
        <f t="shared" si="81"/>
        <v>0</v>
      </c>
      <c r="B263" s="71">
        <f t="shared" si="83"/>
        <v>262</v>
      </c>
      <c r="C263" s="71" t="s">
        <v>144</v>
      </c>
      <c r="D263" s="71" t="s">
        <v>262</v>
      </c>
      <c r="E263">
        <f t="shared" si="80"/>
        <v>18</v>
      </c>
      <c r="F263">
        <v>1</v>
      </c>
      <c r="G263">
        <f t="shared" si="84"/>
        <v>1</v>
      </c>
      <c r="H263" t="str">
        <f t="shared" si="85"/>
        <v>Mathematical model</v>
      </c>
      <c r="I263" t="str">
        <f t="shared" si="86"/>
        <v>A project selection method to determine</v>
      </c>
      <c r="J263" t="str">
        <f t="shared" si="87"/>
        <v>the likelihood of success. These models</v>
      </c>
      <c r="K263" t="str">
        <f t="shared" si="88"/>
        <v>include linear programming, nonlinear</v>
      </c>
      <c r="L263" t="str">
        <f t="shared" si="89"/>
        <v>programming, dynamic programming,</v>
      </c>
      <c r="M263" t="str">
        <f t="shared" si="90"/>
        <v>integer programming, and multiobjective</v>
      </c>
      <c r="N263" t="str">
        <f t="shared" si="91"/>
        <v>programming.</v>
      </c>
      <c r="O263" t="str">
        <f t="shared" si="92"/>
        <v/>
      </c>
      <c r="P263" t="str">
        <f t="shared" si="93"/>
        <v/>
      </c>
      <c r="Q263" t="str">
        <f t="shared" si="94"/>
        <v/>
      </c>
      <c r="R263" t="str">
        <f t="shared" si="95"/>
        <v/>
      </c>
      <c r="S263" t="str">
        <f t="shared" si="96"/>
        <v/>
      </c>
      <c r="T263" t="str">
        <f t="shared" si="97"/>
        <v/>
      </c>
      <c r="U263" t="str">
        <f t="shared" si="98"/>
        <v/>
      </c>
      <c r="V263" t="str">
        <f t="shared" si="99"/>
        <v/>
      </c>
      <c r="W263" s="71" t="str">
        <f>CONCATENATE(H263," ",I263," ",J263," ",K263," ",L263," ",M263," ",N263," ",O263," ",P263," ",Q263," ",R263," ",S263," ",T263," ",U263," ",V263)</f>
        <v xml:space="preserve">Mathematical model A project selection method to determine the likelihood of success. These models include linear programming, nonlinear programming, dynamic programming, integer programming, and multiobjective programming.        </v>
      </c>
    </row>
    <row r="264" spans="1:23" customFormat="1" hidden="1">
      <c r="A264" t="b">
        <f t="shared" si="81"/>
        <v>0</v>
      </c>
      <c r="B264">
        <f t="shared" si="83"/>
        <v>263</v>
      </c>
      <c r="C264" t="s">
        <v>144</v>
      </c>
      <c r="D264" t="s">
        <v>263</v>
      </c>
      <c r="E264">
        <f t="shared" si="80"/>
        <v>39</v>
      </c>
      <c r="G264">
        <f t="shared" si="84"/>
        <v>2</v>
      </c>
      <c r="H264" t="str">
        <f t="shared" si="85"/>
        <v/>
      </c>
      <c r="I264" t="str">
        <f t="shared" si="86"/>
        <v/>
      </c>
      <c r="J264" t="str">
        <f t="shared" si="87"/>
        <v/>
      </c>
      <c r="K264" t="str">
        <f t="shared" si="88"/>
        <v/>
      </c>
      <c r="L264" t="str">
        <f t="shared" si="89"/>
        <v/>
      </c>
      <c r="M264" t="str">
        <f t="shared" si="90"/>
        <v/>
      </c>
      <c r="N264" t="str">
        <f t="shared" si="91"/>
        <v/>
      </c>
      <c r="O264" t="str">
        <f t="shared" si="92"/>
        <v/>
      </c>
      <c r="P264" t="str">
        <f t="shared" si="93"/>
        <v/>
      </c>
      <c r="Q264" t="str">
        <f t="shared" si="94"/>
        <v/>
      </c>
      <c r="R264" t="str">
        <f t="shared" si="95"/>
        <v/>
      </c>
      <c r="S264" t="str">
        <f t="shared" si="96"/>
        <v/>
      </c>
      <c r="T264" t="str">
        <f t="shared" si="97"/>
        <v/>
      </c>
      <c r="U264" t="str">
        <f t="shared" si="98"/>
        <v/>
      </c>
      <c r="V264" t="str">
        <f t="shared" si="99"/>
        <v/>
      </c>
      <c r="W264" t="str">
        <f t="shared" si="82"/>
        <v xml:space="preserve">              </v>
      </c>
    </row>
    <row r="265" spans="1:23" customFormat="1" hidden="1">
      <c r="A265" t="b">
        <f t="shared" si="81"/>
        <v>0</v>
      </c>
      <c r="B265">
        <f t="shared" si="83"/>
        <v>264</v>
      </c>
      <c r="C265" t="s">
        <v>144</v>
      </c>
      <c r="D265" t="s">
        <v>264</v>
      </c>
      <c r="E265">
        <f t="shared" si="80"/>
        <v>39</v>
      </c>
      <c r="G265">
        <f t="shared" si="84"/>
        <v>3</v>
      </c>
      <c r="H265" t="str">
        <f t="shared" si="85"/>
        <v/>
      </c>
      <c r="I265" t="str">
        <f t="shared" si="86"/>
        <v/>
      </c>
      <c r="J265" t="str">
        <f t="shared" si="87"/>
        <v/>
      </c>
      <c r="K265" t="str">
        <f t="shared" si="88"/>
        <v/>
      </c>
      <c r="L265" t="str">
        <f t="shared" si="89"/>
        <v/>
      </c>
      <c r="M265" t="str">
        <f t="shared" si="90"/>
        <v/>
      </c>
      <c r="N265" t="str">
        <f t="shared" si="91"/>
        <v/>
      </c>
      <c r="O265" t="str">
        <f t="shared" si="92"/>
        <v/>
      </c>
      <c r="P265" t="str">
        <f t="shared" si="93"/>
        <v/>
      </c>
      <c r="Q265" t="str">
        <f t="shared" si="94"/>
        <v/>
      </c>
      <c r="R265" t="str">
        <f t="shared" si="95"/>
        <v/>
      </c>
      <c r="S265" t="str">
        <f t="shared" si="96"/>
        <v/>
      </c>
      <c r="T265" t="str">
        <f t="shared" si="97"/>
        <v/>
      </c>
      <c r="U265" t="str">
        <f t="shared" si="98"/>
        <v/>
      </c>
      <c r="V265" t="str">
        <f t="shared" si="99"/>
        <v/>
      </c>
      <c r="W265" t="str">
        <f t="shared" si="82"/>
        <v xml:space="preserve">              </v>
      </c>
    </row>
    <row r="266" spans="1:23" customFormat="1" hidden="1">
      <c r="A266" t="b">
        <f t="shared" si="81"/>
        <v>0</v>
      </c>
      <c r="B266">
        <f t="shared" si="83"/>
        <v>265</v>
      </c>
      <c r="C266" t="s">
        <v>144</v>
      </c>
      <c r="D266" t="s">
        <v>265</v>
      </c>
      <c r="E266">
        <f t="shared" si="80"/>
        <v>37</v>
      </c>
      <c r="G266">
        <f t="shared" si="84"/>
        <v>4</v>
      </c>
      <c r="H266" t="str">
        <f t="shared" si="85"/>
        <v/>
      </c>
      <c r="I266" t="str">
        <f t="shared" si="86"/>
        <v/>
      </c>
      <c r="J266" t="str">
        <f t="shared" si="87"/>
        <v/>
      </c>
      <c r="K266" t="str">
        <f t="shared" si="88"/>
        <v/>
      </c>
      <c r="L266" t="str">
        <f t="shared" si="89"/>
        <v/>
      </c>
      <c r="M266" t="str">
        <f t="shared" si="90"/>
        <v/>
      </c>
      <c r="N266" t="str">
        <f t="shared" si="91"/>
        <v/>
      </c>
      <c r="O266" t="str">
        <f t="shared" si="92"/>
        <v/>
      </c>
      <c r="P266" t="str">
        <f t="shared" si="93"/>
        <v/>
      </c>
      <c r="Q266" t="str">
        <f t="shared" si="94"/>
        <v/>
      </c>
      <c r="R266" t="str">
        <f t="shared" si="95"/>
        <v/>
      </c>
      <c r="S266" t="str">
        <f t="shared" si="96"/>
        <v/>
      </c>
      <c r="T266" t="str">
        <f t="shared" si="97"/>
        <v/>
      </c>
      <c r="U266" t="str">
        <f t="shared" si="98"/>
        <v/>
      </c>
      <c r="V266" t="str">
        <f t="shared" si="99"/>
        <v/>
      </c>
      <c r="W266" t="str">
        <f t="shared" si="82"/>
        <v xml:space="preserve">              </v>
      </c>
    </row>
    <row r="267" spans="1:23" customFormat="1" hidden="1">
      <c r="A267" t="b">
        <f t="shared" si="81"/>
        <v>0</v>
      </c>
      <c r="B267">
        <f t="shared" si="83"/>
        <v>266</v>
      </c>
      <c r="C267" t="s">
        <v>144</v>
      </c>
      <c r="D267" t="s">
        <v>266</v>
      </c>
      <c r="E267">
        <f t="shared" si="80"/>
        <v>33</v>
      </c>
      <c r="G267">
        <f t="shared" si="84"/>
        <v>5</v>
      </c>
      <c r="H267" t="str">
        <f t="shared" si="85"/>
        <v/>
      </c>
      <c r="I267" t="str">
        <f t="shared" si="86"/>
        <v/>
      </c>
      <c r="J267" t="str">
        <f t="shared" si="87"/>
        <v/>
      </c>
      <c r="K267" t="str">
        <f t="shared" si="88"/>
        <v/>
      </c>
      <c r="L267" t="str">
        <f t="shared" si="89"/>
        <v/>
      </c>
      <c r="M267" t="str">
        <f t="shared" si="90"/>
        <v/>
      </c>
      <c r="N267" t="str">
        <f t="shared" si="91"/>
        <v/>
      </c>
      <c r="O267" t="str">
        <f t="shared" si="92"/>
        <v/>
      </c>
      <c r="P267" t="str">
        <f t="shared" si="93"/>
        <v/>
      </c>
      <c r="Q267" t="str">
        <f t="shared" si="94"/>
        <v/>
      </c>
      <c r="R267" t="str">
        <f t="shared" si="95"/>
        <v/>
      </c>
      <c r="S267" t="str">
        <f t="shared" si="96"/>
        <v/>
      </c>
      <c r="T267" t="str">
        <f t="shared" si="97"/>
        <v/>
      </c>
      <c r="U267" t="str">
        <f t="shared" si="98"/>
        <v/>
      </c>
      <c r="V267" t="str">
        <f t="shared" si="99"/>
        <v/>
      </c>
      <c r="W267" t="str">
        <f t="shared" si="82"/>
        <v xml:space="preserve">              </v>
      </c>
    </row>
    <row r="268" spans="1:23" customFormat="1" hidden="1">
      <c r="A268" t="b">
        <f t="shared" si="81"/>
        <v>0</v>
      </c>
      <c r="B268">
        <f t="shared" si="83"/>
        <v>267</v>
      </c>
      <c r="C268" t="s">
        <v>144</v>
      </c>
      <c r="D268" t="s">
        <v>267</v>
      </c>
      <c r="E268">
        <f t="shared" si="80"/>
        <v>39</v>
      </c>
      <c r="G268">
        <f t="shared" si="84"/>
        <v>6</v>
      </c>
      <c r="H268" t="str">
        <f t="shared" si="85"/>
        <v/>
      </c>
      <c r="I268" t="str">
        <f t="shared" si="86"/>
        <v/>
      </c>
      <c r="J268" t="str">
        <f t="shared" si="87"/>
        <v/>
      </c>
      <c r="K268" t="str">
        <f t="shared" si="88"/>
        <v/>
      </c>
      <c r="L268" t="str">
        <f t="shared" si="89"/>
        <v/>
      </c>
      <c r="M268" t="str">
        <f t="shared" si="90"/>
        <v/>
      </c>
      <c r="N268" t="str">
        <f t="shared" si="91"/>
        <v/>
      </c>
      <c r="O268" t="str">
        <f t="shared" si="92"/>
        <v/>
      </c>
      <c r="P268" t="str">
        <f t="shared" si="93"/>
        <v/>
      </c>
      <c r="Q268" t="str">
        <f t="shared" si="94"/>
        <v/>
      </c>
      <c r="R268" t="str">
        <f t="shared" si="95"/>
        <v/>
      </c>
      <c r="S268" t="str">
        <f t="shared" si="96"/>
        <v/>
      </c>
      <c r="T268" t="str">
        <f t="shared" si="97"/>
        <v/>
      </c>
      <c r="U268" t="str">
        <f t="shared" si="98"/>
        <v/>
      </c>
      <c r="V268" t="str">
        <f t="shared" si="99"/>
        <v/>
      </c>
      <c r="W268" t="str">
        <f t="shared" si="82"/>
        <v xml:space="preserve">              </v>
      </c>
    </row>
    <row r="269" spans="1:23" customFormat="1" hidden="1">
      <c r="A269" t="b">
        <f t="shared" si="81"/>
        <v>0</v>
      </c>
      <c r="B269">
        <f t="shared" si="83"/>
        <v>268</v>
      </c>
      <c r="C269" t="s">
        <v>144</v>
      </c>
      <c r="D269" t="s">
        <v>268</v>
      </c>
      <c r="E269">
        <f t="shared" si="80"/>
        <v>12</v>
      </c>
      <c r="G269">
        <f t="shared" si="84"/>
        <v>7</v>
      </c>
      <c r="H269" t="str">
        <f t="shared" si="85"/>
        <v/>
      </c>
      <c r="I269" t="str">
        <f t="shared" si="86"/>
        <v/>
      </c>
      <c r="J269" t="str">
        <f t="shared" si="87"/>
        <v/>
      </c>
      <c r="K269" t="str">
        <f t="shared" si="88"/>
        <v/>
      </c>
      <c r="L269" t="str">
        <f t="shared" si="89"/>
        <v/>
      </c>
      <c r="M269" t="str">
        <f t="shared" si="90"/>
        <v/>
      </c>
      <c r="N269" t="str">
        <f t="shared" si="91"/>
        <v/>
      </c>
      <c r="O269" t="str">
        <f t="shared" si="92"/>
        <v/>
      </c>
      <c r="P269" t="str">
        <f t="shared" si="93"/>
        <v/>
      </c>
      <c r="Q269" t="str">
        <f t="shared" si="94"/>
        <v/>
      </c>
      <c r="R269" t="str">
        <f t="shared" si="95"/>
        <v/>
      </c>
      <c r="S269" t="str">
        <f t="shared" si="96"/>
        <v/>
      </c>
      <c r="T269" t="str">
        <f t="shared" si="97"/>
        <v/>
      </c>
      <c r="U269" t="str">
        <f t="shared" si="98"/>
        <v/>
      </c>
      <c r="V269" t="str">
        <f t="shared" si="99"/>
        <v/>
      </c>
      <c r="W269" t="str">
        <f t="shared" si="82"/>
        <v xml:space="preserve">              </v>
      </c>
    </row>
    <row r="270" spans="1:23" hidden="1">
      <c r="A270" s="71" t="b">
        <f t="shared" si="81"/>
        <v>0</v>
      </c>
      <c r="B270" s="71">
        <f t="shared" si="83"/>
        <v>269</v>
      </c>
      <c r="C270" s="71" t="s">
        <v>144</v>
      </c>
      <c r="D270" s="71" t="s">
        <v>269</v>
      </c>
      <c r="E270">
        <f t="shared" si="80"/>
        <v>9</v>
      </c>
      <c r="F270">
        <v>1</v>
      </c>
      <c r="G270">
        <f t="shared" si="84"/>
        <v>1</v>
      </c>
      <c r="H270" t="str">
        <f t="shared" si="85"/>
        <v>Milestone</v>
      </c>
      <c r="I270" t="str">
        <f t="shared" si="86"/>
        <v>Milestones are significant points or</v>
      </c>
      <c r="J270" t="str">
        <f t="shared" si="87"/>
        <v>events in the project’s progress that</v>
      </c>
      <c r="K270" t="str">
        <f t="shared" si="88"/>
        <v>represent accomplishment in the project.</v>
      </c>
      <c r="L270" t="str">
        <f t="shared" si="89"/>
        <v>Projects usually create milestones as the</v>
      </c>
      <c r="M270" t="str">
        <f t="shared" si="90"/>
        <v>result of completing phases within the</v>
      </c>
      <c r="N270" t="str">
        <f t="shared" si="91"/>
        <v>project.</v>
      </c>
      <c r="O270" t="str">
        <f t="shared" si="92"/>
        <v/>
      </c>
      <c r="P270" t="str">
        <f t="shared" si="93"/>
        <v/>
      </c>
      <c r="Q270" t="str">
        <f t="shared" si="94"/>
        <v/>
      </c>
      <c r="R270" t="str">
        <f t="shared" si="95"/>
        <v/>
      </c>
      <c r="S270" t="str">
        <f t="shared" si="96"/>
        <v/>
      </c>
      <c r="T270" t="str">
        <f t="shared" si="97"/>
        <v/>
      </c>
      <c r="U270" t="str">
        <f t="shared" si="98"/>
        <v/>
      </c>
      <c r="V270" t="str">
        <f t="shared" si="99"/>
        <v/>
      </c>
      <c r="W270" s="71" t="str">
        <f>CONCATENATE(H270," ",I270," ",J270," ",K270," ",L270," ",M270," ",N270," ",O270," ",P270," ",Q270," ",R270," ",S270," ",T270," ",U270," ",V270)</f>
        <v xml:space="preserve">Milestone Milestones are significant points or events in the project’s progress that represent accomplishment in the project. Projects usually create milestones as the result of completing phases within the project.        </v>
      </c>
    </row>
    <row r="271" spans="1:23" customFormat="1" hidden="1">
      <c r="A271" t="b">
        <f t="shared" si="81"/>
        <v>0</v>
      </c>
      <c r="B271">
        <f t="shared" si="83"/>
        <v>270</v>
      </c>
      <c r="C271" t="s">
        <v>144</v>
      </c>
      <c r="D271" t="s">
        <v>270</v>
      </c>
      <c r="E271">
        <f t="shared" si="80"/>
        <v>36</v>
      </c>
      <c r="G271">
        <f t="shared" si="84"/>
        <v>2</v>
      </c>
      <c r="H271" t="str">
        <f t="shared" si="85"/>
        <v/>
      </c>
      <c r="I271" t="str">
        <f t="shared" si="86"/>
        <v/>
      </c>
      <c r="J271" t="str">
        <f t="shared" si="87"/>
        <v/>
      </c>
      <c r="K271" t="str">
        <f t="shared" si="88"/>
        <v/>
      </c>
      <c r="L271" t="str">
        <f t="shared" si="89"/>
        <v/>
      </c>
      <c r="M271" t="str">
        <f t="shared" si="90"/>
        <v/>
      </c>
      <c r="N271" t="str">
        <f t="shared" si="91"/>
        <v/>
      </c>
      <c r="O271" t="str">
        <f t="shared" si="92"/>
        <v/>
      </c>
      <c r="P271" t="str">
        <f t="shared" si="93"/>
        <v/>
      </c>
      <c r="Q271" t="str">
        <f t="shared" si="94"/>
        <v/>
      </c>
      <c r="R271" t="str">
        <f t="shared" si="95"/>
        <v/>
      </c>
      <c r="S271" t="str">
        <f t="shared" si="96"/>
        <v/>
      </c>
      <c r="T271" t="str">
        <f t="shared" si="97"/>
        <v/>
      </c>
      <c r="U271" t="str">
        <f t="shared" si="98"/>
        <v/>
      </c>
      <c r="V271" t="str">
        <f t="shared" si="99"/>
        <v/>
      </c>
      <c r="W271" t="str">
        <f t="shared" si="82"/>
        <v xml:space="preserve">              </v>
      </c>
    </row>
    <row r="272" spans="1:23" customFormat="1" hidden="1">
      <c r="A272" t="b">
        <f t="shared" si="81"/>
        <v>0</v>
      </c>
      <c r="B272">
        <f t="shared" si="83"/>
        <v>271</v>
      </c>
      <c r="C272" t="s">
        <v>144</v>
      </c>
      <c r="D272" t="s">
        <v>271</v>
      </c>
      <c r="E272">
        <f t="shared" si="80"/>
        <v>37</v>
      </c>
      <c r="G272">
        <f t="shared" si="84"/>
        <v>3</v>
      </c>
      <c r="H272" t="str">
        <f t="shared" si="85"/>
        <v/>
      </c>
      <c r="I272" t="str">
        <f t="shared" si="86"/>
        <v/>
      </c>
      <c r="J272" t="str">
        <f t="shared" si="87"/>
        <v/>
      </c>
      <c r="K272" t="str">
        <f t="shared" si="88"/>
        <v/>
      </c>
      <c r="L272" t="str">
        <f t="shared" si="89"/>
        <v/>
      </c>
      <c r="M272" t="str">
        <f t="shared" si="90"/>
        <v/>
      </c>
      <c r="N272" t="str">
        <f t="shared" si="91"/>
        <v/>
      </c>
      <c r="O272" t="str">
        <f t="shared" si="92"/>
        <v/>
      </c>
      <c r="P272" t="str">
        <f t="shared" si="93"/>
        <v/>
      </c>
      <c r="Q272" t="str">
        <f t="shared" si="94"/>
        <v/>
      </c>
      <c r="R272" t="str">
        <f t="shared" si="95"/>
        <v/>
      </c>
      <c r="S272" t="str">
        <f t="shared" si="96"/>
        <v/>
      </c>
      <c r="T272" t="str">
        <f t="shared" si="97"/>
        <v/>
      </c>
      <c r="U272" t="str">
        <f t="shared" si="98"/>
        <v/>
      </c>
      <c r="V272" t="str">
        <f t="shared" si="99"/>
        <v/>
      </c>
      <c r="W272" t="str">
        <f t="shared" si="82"/>
        <v xml:space="preserve">              </v>
      </c>
    </row>
    <row r="273" spans="1:23" customFormat="1" hidden="1">
      <c r="A273" t="b">
        <f t="shared" si="81"/>
        <v>0</v>
      </c>
      <c r="B273">
        <f t="shared" si="83"/>
        <v>272</v>
      </c>
      <c r="C273" t="s">
        <v>144</v>
      </c>
      <c r="D273" t="s">
        <v>272</v>
      </c>
      <c r="E273">
        <f t="shared" si="80"/>
        <v>40</v>
      </c>
      <c r="G273">
        <f t="shared" si="84"/>
        <v>4</v>
      </c>
      <c r="H273" t="str">
        <f t="shared" si="85"/>
        <v/>
      </c>
      <c r="I273" t="str">
        <f t="shared" si="86"/>
        <v/>
      </c>
      <c r="J273" t="str">
        <f t="shared" si="87"/>
        <v/>
      </c>
      <c r="K273" t="str">
        <f t="shared" si="88"/>
        <v/>
      </c>
      <c r="L273" t="str">
        <f t="shared" si="89"/>
        <v/>
      </c>
      <c r="M273" t="str">
        <f t="shared" si="90"/>
        <v/>
      </c>
      <c r="N273" t="str">
        <f t="shared" si="91"/>
        <v/>
      </c>
      <c r="O273" t="str">
        <f t="shared" si="92"/>
        <v/>
      </c>
      <c r="P273" t="str">
        <f t="shared" si="93"/>
        <v/>
      </c>
      <c r="Q273" t="str">
        <f t="shared" si="94"/>
        <v/>
      </c>
      <c r="R273" t="str">
        <f t="shared" si="95"/>
        <v/>
      </c>
      <c r="S273" t="str">
        <f t="shared" si="96"/>
        <v/>
      </c>
      <c r="T273" t="str">
        <f t="shared" si="97"/>
        <v/>
      </c>
      <c r="U273" t="str">
        <f t="shared" si="98"/>
        <v/>
      </c>
      <c r="V273" t="str">
        <f t="shared" si="99"/>
        <v/>
      </c>
      <c r="W273" t="str">
        <f t="shared" si="82"/>
        <v xml:space="preserve">              </v>
      </c>
    </row>
    <row r="274" spans="1:23" customFormat="1" hidden="1">
      <c r="A274" t="b">
        <f t="shared" si="81"/>
        <v>0</v>
      </c>
      <c r="B274">
        <f t="shared" si="83"/>
        <v>273</v>
      </c>
      <c r="C274" t="s">
        <v>144</v>
      </c>
      <c r="D274" t="s">
        <v>273</v>
      </c>
      <c r="E274">
        <f t="shared" si="80"/>
        <v>41</v>
      </c>
      <c r="G274">
        <f t="shared" si="84"/>
        <v>5</v>
      </c>
      <c r="H274" t="str">
        <f t="shared" si="85"/>
        <v/>
      </c>
      <c r="I274" t="str">
        <f t="shared" si="86"/>
        <v/>
      </c>
      <c r="J274" t="str">
        <f t="shared" si="87"/>
        <v/>
      </c>
      <c r="K274" t="str">
        <f t="shared" si="88"/>
        <v/>
      </c>
      <c r="L274" t="str">
        <f t="shared" si="89"/>
        <v/>
      </c>
      <c r="M274" t="str">
        <f t="shared" si="90"/>
        <v/>
      </c>
      <c r="N274" t="str">
        <f t="shared" si="91"/>
        <v/>
      </c>
      <c r="O274" t="str">
        <f t="shared" si="92"/>
        <v/>
      </c>
      <c r="P274" t="str">
        <f t="shared" si="93"/>
        <v/>
      </c>
      <c r="Q274" t="str">
        <f t="shared" si="94"/>
        <v/>
      </c>
      <c r="R274" t="str">
        <f t="shared" si="95"/>
        <v/>
      </c>
      <c r="S274" t="str">
        <f t="shared" si="96"/>
        <v/>
      </c>
      <c r="T274" t="str">
        <f t="shared" si="97"/>
        <v/>
      </c>
      <c r="U274" t="str">
        <f t="shared" si="98"/>
        <v/>
      </c>
      <c r="V274" t="str">
        <f t="shared" si="99"/>
        <v/>
      </c>
      <c r="W274" t="str">
        <f t="shared" si="82"/>
        <v xml:space="preserve">              </v>
      </c>
    </row>
    <row r="275" spans="1:23" customFormat="1" hidden="1">
      <c r="A275" t="b">
        <f t="shared" si="81"/>
        <v>0</v>
      </c>
      <c r="B275">
        <f t="shared" si="83"/>
        <v>274</v>
      </c>
      <c r="C275" t="s">
        <v>144</v>
      </c>
      <c r="D275" t="s">
        <v>274</v>
      </c>
      <c r="E275">
        <f t="shared" si="80"/>
        <v>38</v>
      </c>
      <c r="G275">
        <f t="shared" si="84"/>
        <v>6</v>
      </c>
      <c r="H275" t="str">
        <f t="shared" si="85"/>
        <v/>
      </c>
      <c r="I275" t="str">
        <f t="shared" si="86"/>
        <v/>
      </c>
      <c r="J275" t="str">
        <f t="shared" si="87"/>
        <v/>
      </c>
      <c r="K275" t="str">
        <f t="shared" si="88"/>
        <v/>
      </c>
      <c r="L275" t="str">
        <f t="shared" si="89"/>
        <v/>
      </c>
      <c r="M275" t="str">
        <f t="shared" si="90"/>
        <v/>
      </c>
      <c r="N275" t="str">
        <f t="shared" si="91"/>
        <v/>
      </c>
      <c r="O275" t="str">
        <f t="shared" si="92"/>
        <v/>
      </c>
      <c r="P275" t="str">
        <f t="shared" si="93"/>
        <v/>
      </c>
      <c r="Q275" t="str">
        <f t="shared" si="94"/>
        <v/>
      </c>
      <c r="R275" t="str">
        <f t="shared" si="95"/>
        <v/>
      </c>
      <c r="S275" t="str">
        <f t="shared" si="96"/>
        <v/>
      </c>
      <c r="T275" t="str">
        <f t="shared" si="97"/>
        <v/>
      </c>
      <c r="U275" t="str">
        <f t="shared" si="98"/>
        <v/>
      </c>
      <c r="V275" t="str">
        <f t="shared" si="99"/>
        <v/>
      </c>
      <c r="W275" t="str">
        <f t="shared" si="82"/>
        <v xml:space="preserve">              </v>
      </c>
    </row>
    <row r="276" spans="1:23" customFormat="1" hidden="1">
      <c r="A276" t="b">
        <f t="shared" si="81"/>
        <v>0</v>
      </c>
      <c r="B276">
        <f t="shared" si="83"/>
        <v>275</v>
      </c>
      <c r="C276" t="s">
        <v>144</v>
      </c>
      <c r="D276" t="s">
        <v>131</v>
      </c>
      <c r="E276">
        <f t="shared" si="80"/>
        <v>8</v>
      </c>
      <c r="G276">
        <f t="shared" si="84"/>
        <v>7</v>
      </c>
      <c r="H276" t="str">
        <f t="shared" si="85"/>
        <v/>
      </c>
      <c r="I276" t="str">
        <f t="shared" si="86"/>
        <v/>
      </c>
      <c r="J276" t="str">
        <f t="shared" si="87"/>
        <v/>
      </c>
      <c r="K276" t="str">
        <f t="shared" si="88"/>
        <v/>
      </c>
      <c r="L276" t="str">
        <f t="shared" si="89"/>
        <v/>
      </c>
      <c r="M276" t="str">
        <f t="shared" si="90"/>
        <v/>
      </c>
      <c r="N276" t="str">
        <f t="shared" si="91"/>
        <v/>
      </c>
      <c r="O276" t="str">
        <f t="shared" si="92"/>
        <v/>
      </c>
      <c r="P276" t="str">
        <f t="shared" si="93"/>
        <v/>
      </c>
      <c r="Q276" t="str">
        <f t="shared" si="94"/>
        <v/>
      </c>
      <c r="R276" t="str">
        <f t="shared" si="95"/>
        <v/>
      </c>
      <c r="S276" t="str">
        <f t="shared" si="96"/>
        <v/>
      </c>
      <c r="T276" t="str">
        <f t="shared" si="97"/>
        <v/>
      </c>
      <c r="U276" t="str">
        <f t="shared" si="98"/>
        <v/>
      </c>
      <c r="V276" t="str">
        <f t="shared" si="99"/>
        <v/>
      </c>
      <c r="W276" t="str">
        <f t="shared" si="82"/>
        <v xml:space="preserve">              </v>
      </c>
    </row>
    <row r="277" spans="1:23" hidden="1">
      <c r="A277" s="71" t="b">
        <f t="shared" si="81"/>
        <v>0</v>
      </c>
      <c r="B277" s="71">
        <f t="shared" si="83"/>
        <v>276</v>
      </c>
      <c r="C277" s="71" t="s">
        <v>144</v>
      </c>
      <c r="D277" s="71" t="s">
        <v>275</v>
      </c>
      <c r="E277">
        <f t="shared" si="80"/>
        <v>14</v>
      </c>
      <c r="F277">
        <v>1</v>
      </c>
      <c r="G277">
        <f t="shared" si="84"/>
        <v>1</v>
      </c>
      <c r="H277" t="str">
        <f t="shared" si="85"/>
        <v>Milestone list</v>
      </c>
      <c r="I277" t="str">
        <f t="shared" si="86"/>
        <v>This list details the project milestones and</v>
      </c>
      <c r="J277" t="str">
        <f t="shared" si="87"/>
        <v>their attributes. It is used for several</v>
      </c>
      <c r="K277" t="str">
        <f t="shared" si="88"/>
        <v>areas of project planning, but also helps</v>
      </c>
      <c r="L277" t="str">
        <f t="shared" si="89"/>
        <v>determine how quickly the project may be</v>
      </c>
      <c r="M277" t="str">
        <f t="shared" si="90"/>
        <v>achieving its objectives.</v>
      </c>
      <c r="N277" t="str">
        <f t="shared" si="91"/>
        <v/>
      </c>
      <c r="O277" t="str">
        <f t="shared" si="92"/>
        <v/>
      </c>
      <c r="P277" t="str">
        <f t="shared" si="93"/>
        <v/>
      </c>
      <c r="Q277" t="str">
        <f t="shared" si="94"/>
        <v/>
      </c>
      <c r="R277" t="str">
        <f t="shared" si="95"/>
        <v/>
      </c>
      <c r="S277" t="str">
        <f t="shared" si="96"/>
        <v/>
      </c>
      <c r="T277" t="str">
        <f t="shared" si="97"/>
        <v/>
      </c>
      <c r="U277" t="str">
        <f t="shared" si="98"/>
        <v/>
      </c>
      <c r="V277" t="str">
        <f t="shared" si="99"/>
        <v/>
      </c>
      <c r="W277" s="71" t="str">
        <f>CONCATENATE(H277," ",I277," ",J277," ",K277," ",L277," ",M277," ",N277," ",O277," ",P277," ",Q277," ",R277," ",S277," ",T277," ",U277," ",V277)</f>
        <v xml:space="preserve">Milestone list This list details the project milestones and their attributes. It is used for several areas of project planning, but also helps determine how quickly the project may be achieving its objectives.         </v>
      </c>
    </row>
    <row r="278" spans="1:23" customFormat="1" hidden="1">
      <c r="A278" t="b">
        <f t="shared" si="81"/>
        <v>0</v>
      </c>
      <c r="B278">
        <f t="shared" si="83"/>
        <v>277</v>
      </c>
      <c r="C278" t="s">
        <v>144</v>
      </c>
      <c r="D278" t="s">
        <v>276</v>
      </c>
      <c r="E278">
        <f t="shared" si="80"/>
        <v>44</v>
      </c>
      <c r="G278">
        <f t="shared" si="84"/>
        <v>2</v>
      </c>
      <c r="H278" t="str">
        <f t="shared" si="85"/>
        <v/>
      </c>
      <c r="I278" t="str">
        <f t="shared" si="86"/>
        <v/>
      </c>
      <c r="J278" t="str">
        <f t="shared" si="87"/>
        <v/>
      </c>
      <c r="K278" t="str">
        <f t="shared" si="88"/>
        <v/>
      </c>
      <c r="L278" t="str">
        <f t="shared" si="89"/>
        <v/>
      </c>
      <c r="M278" t="str">
        <f t="shared" si="90"/>
        <v/>
      </c>
      <c r="N278" t="str">
        <f t="shared" si="91"/>
        <v/>
      </c>
      <c r="O278" t="str">
        <f t="shared" si="92"/>
        <v/>
      </c>
      <c r="P278" t="str">
        <f t="shared" si="93"/>
        <v/>
      </c>
      <c r="Q278" t="str">
        <f t="shared" si="94"/>
        <v/>
      </c>
      <c r="R278" t="str">
        <f t="shared" si="95"/>
        <v/>
      </c>
      <c r="S278" t="str">
        <f t="shared" si="96"/>
        <v/>
      </c>
      <c r="T278" t="str">
        <f t="shared" si="97"/>
        <v/>
      </c>
      <c r="U278" t="str">
        <f t="shared" si="98"/>
        <v/>
      </c>
      <c r="V278" t="str">
        <f t="shared" si="99"/>
        <v/>
      </c>
      <c r="W278" t="str">
        <f t="shared" si="82"/>
        <v xml:space="preserve">              </v>
      </c>
    </row>
    <row r="279" spans="1:23" customFormat="1" hidden="1">
      <c r="A279" t="b">
        <f t="shared" si="81"/>
        <v>0</v>
      </c>
      <c r="B279">
        <f t="shared" si="83"/>
        <v>278</v>
      </c>
      <c r="C279" t="s">
        <v>144</v>
      </c>
      <c r="D279" t="s">
        <v>277</v>
      </c>
      <c r="E279">
        <f t="shared" si="80"/>
        <v>40</v>
      </c>
      <c r="G279">
        <f t="shared" si="84"/>
        <v>3</v>
      </c>
      <c r="H279" t="str">
        <f t="shared" si="85"/>
        <v/>
      </c>
      <c r="I279" t="str">
        <f t="shared" si="86"/>
        <v/>
      </c>
      <c r="J279" t="str">
        <f t="shared" si="87"/>
        <v/>
      </c>
      <c r="K279" t="str">
        <f t="shared" si="88"/>
        <v/>
      </c>
      <c r="L279" t="str">
        <f t="shared" si="89"/>
        <v/>
      </c>
      <c r="M279" t="str">
        <f t="shared" si="90"/>
        <v/>
      </c>
      <c r="N279" t="str">
        <f t="shared" si="91"/>
        <v/>
      </c>
      <c r="O279" t="str">
        <f t="shared" si="92"/>
        <v/>
      </c>
      <c r="P279" t="str">
        <f t="shared" si="93"/>
        <v/>
      </c>
      <c r="Q279" t="str">
        <f t="shared" si="94"/>
        <v/>
      </c>
      <c r="R279" t="str">
        <f t="shared" si="95"/>
        <v/>
      </c>
      <c r="S279" t="str">
        <f t="shared" si="96"/>
        <v/>
      </c>
      <c r="T279" t="str">
        <f t="shared" si="97"/>
        <v/>
      </c>
      <c r="U279" t="str">
        <f t="shared" si="98"/>
        <v/>
      </c>
      <c r="V279" t="str">
        <f t="shared" si="99"/>
        <v/>
      </c>
      <c r="W279" t="str">
        <f t="shared" si="82"/>
        <v xml:space="preserve">              </v>
      </c>
    </row>
    <row r="280" spans="1:23" customFormat="1" hidden="1">
      <c r="A280" t="b">
        <f t="shared" si="81"/>
        <v>0</v>
      </c>
      <c r="B280">
        <f t="shared" si="83"/>
        <v>279</v>
      </c>
      <c r="C280" t="s">
        <v>144</v>
      </c>
      <c r="D280" t="s">
        <v>278</v>
      </c>
      <c r="E280">
        <f t="shared" si="80"/>
        <v>41</v>
      </c>
      <c r="G280">
        <f t="shared" si="84"/>
        <v>4</v>
      </c>
      <c r="H280" t="str">
        <f t="shared" si="85"/>
        <v/>
      </c>
      <c r="I280" t="str">
        <f t="shared" si="86"/>
        <v/>
      </c>
      <c r="J280" t="str">
        <f t="shared" si="87"/>
        <v/>
      </c>
      <c r="K280" t="str">
        <f t="shared" si="88"/>
        <v/>
      </c>
      <c r="L280" t="str">
        <f t="shared" si="89"/>
        <v/>
      </c>
      <c r="M280" t="str">
        <f t="shared" si="90"/>
        <v/>
      </c>
      <c r="N280" t="str">
        <f t="shared" si="91"/>
        <v/>
      </c>
      <c r="O280" t="str">
        <f t="shared" si="92"/>
        <v/>
      </c>
      <c r="P280" t="str">
        <f t="shared" si="93"/>
        <v/>
      </c>
      <c r="Q280" t="str">
        <f t="shared" si="94"/>
        <v/>
      </c>
      <c r="R280" t="str">
        <f t="shared" si="95"/>
        <v/>
      </c>
      <c r="S280" t="str">
        <f t="shared" si="96"/>
        <v/>
      </c>
      <c r="T280" t="str">
        <f t="shared" si="97"/>
        <v/>
      </c>
      <c r="U280" t="str">
        <f t="shared" si="98"/>
        <v/>
      </c>
      <c r="V280" t="str">
        <f t="shared" si="99"/>
        <v/>
      </c>
      <c r="W280" t="str">
        <f t="shared" si="82"/>
        <v xml:space="preserve">              </v>
      </c>
    </row>
    <row r="281" spans="1:23" customFormat="1" hidden="1">
      <c r="A281" t="b">
        <f t="shared" si="81"/>
        <v>0</v>
      </c>
      <c r="B281">
        <f t="shared" si="83"/>
        <v>280</v>
      </c>
      <c r="C281" t="s">
        <v>144</v>
      </c>
      <c r="D281" t="s">
        <v>279</v>
      </c>
      <c r="E281">
        <f t="shared" si="80"/>
        <v>40</v>
      </c>
      <c r="G281">
        <f t="shared" si="84"/>
        <v>5</v>
      </c>
      <c r="H281" t="str">
        <f t="shared" si="85"/>
        <v/>
      </c>
      <c r="I281" t="str">
        <f t="shared" si="86"/>
        <v/>
      </c>
      <c r="J281" t="str">
        <f t="shared" si="87"/>
        <v/>
      </c>
      <c r="K281" t="str">
        <f t="shared" si="88"/>
        <v/>
      </c>
      <c r="L281" t="str">
        <f t="shared" si="89"/>
        <v/>
      </c>
      <c r="M281" t="str">
        <f t="shared" si="90"/>
        <v/>
      </c>
      <c r="N281" t="str">
        <f t="shared" si="91"/>
        <v/>
      </c>
      <c r="O281" t="str">
        <f t="shared" si="92"/>
        <v/>
      </c>
      <c r="P281" t="str">
        <f t="shared" si="93"/>
        <v/>
      </c>
      <c r="Q281" t="str">
        <f t="shared" si="94"/>
        <v/>
      </c>
      <c r="R281" t="str">
        <f t="shared" si="95"/>
        <v/>
      </c>
      <c r="S281" t="str">
        <f t="shared" si="96"/>
        <v/>
      </c>
      <c r="T281" t="str">
        <f t="shared" si="97"/>
        <v/>
      </c>
      <c r="U281" t="str">
        <f t="shared" si="98"/>
        <v/>
      </c>
      <c r="V281" t="str">
        <f t="shared" si="99"/>
        <v/>
      </c>
      <c r="W281" t="str">
        <f t="shared" si="82"/>
        <v xml:space="preserve">              </v>
      </c>
    </row>
    <row r="282" spans="1:23" customFormat="1" hidden="1">
      <c r="A282" t="b">
        <f t="shared" si="81"/>
        <v>0</v>
      </c>
      <c r="B282">
        <f t="shared" si="83"/>
        <v>281</v>
      </c>
      <c r="C282" t="s">
        <v>144</v>
      </c>
      <c r="D282" t="s">
        <v>280</v>
      </c>
      <c r="E282">
        <f t="shared" si="80"/>
        <v>25</v>
      </c>
      <c r="G282">
        <f t="shared" si="84"/>
        <v>6</v>
      </c>
      <c r="H282" t="str">
        <f t="shared" si="85"/>
        <v/>
      </c>
      <c r="I282" t="str">
        <f t="shared" si="86"/>
        <v/>
      </c>
      <c r="J282" t="str">
        <f t="shared" si="87"/>
        <v/>
      </c>
      <c r="K282" t="str">
        <f t="shared" si="88"/>
        <v/>
      </c>
      <c r="L282" t="str">
        <f t="shared" si="89"/>
        <v/>
      </c>
      <c r="M282" t="str">
        <f t="shared" si="90"/>
        <v/>
      </c>
      <c r="N282" t="str">
        <f t="shared" si="91"/>
        <v/>
      </c>
      <c r="O282" t="str">
        <f t="shared" si="92"/>
        <v/>
      </c>
      <c r="P282" t="str">
        <f t="shared" si="93"/>
        <v/>
      </c>
      <c r="Q282" t="str">
        <f t="shared" si="94"/>
        <v/>
      </c>
      <c r="R282" t="str">
        <f t="shared" si="95"/>
        <v/>
      </c>
      <c r="S282" t="str">
        <f t="shared" si="96"/>
        <v/>
      </c>
      <c r="T282" t="str">
        <f t="shared" si="97"/>
        <v/>
      </c>
      <c r="U282" t="str">
        <f t="shared" si="98"/>
        <v/>
      </c>
      <c r="V282" t="str">
        <f t="shared" si="99"/>
        <v/>
      </c>
      <c r="W282" t="str">
        <f t="shared" si="82"/>
        <v xml:space="preserve">              </v>
      </c>
    </row>
    <row r="283" spans="1:23" hidden="1">
      <c r="A283" s="71" t="b">
        <f t="shared" si="81"/>
        <v>0</v>
      </c>
      <c r="B283" s="71">
        <f t="shared" si="83"/>
        <v>282</v>
      </c>
      <c r="C283" s="71" t="s">
        <v>144</v>
      </c>
      <c r="D283" s="71" t="s">
        <v>281</v>
      </c>
      <c r="E283">
        <f t="shared" si="80"/>
        <v>13</v>
      </c>
      <c r="F283">
        <v>1</v>
      </c>
      <c r="G283">
        <f t="shared" si="84"/>
        <v>1</v>
      </c>
      <c r="H283" t="str">
        <f t="shared" si="85"/>
        <v>Murder boards</v>
      </c>
      <c r="I283" t="str">
        <f t="shared" si="86"/>
        <v>These are committees that ask every</v>
      </c>
      <c r="J283" t="str">
        <f t="shared" si="87"/>
        <v>conceivable negative question about the</v>
      </c>
      <c r="K283" t="str">
        <f t="shared" si="88"/>
        <v>proposed project. Their goals are to</v>
      </c>
      <c r="L283" t="str">
        <f t="shared" si="89"/>
        <v>expose the project’s strengths and</v>
      </c>
      <c r="M283" t="str">
        <f t="shared" si="90"/>
        <v>weaknesses, and to kill the project if it’s</v>
      </c>
      <c r="N283" t="str">
        <f t="shared" si="91"/>
        <v>deemed unworthy for the organization to</v>
      </c>
      <c r="O283" t="str">
        <f t="shared" si="92"/>
        <v>commit to. Also known as project steering</v>
      </c>
      <c r="P283" t="str">
        <f t="shared" si="93"/>
        <v>committees or project selection</v>
      </c>
      <c r="Q283" t="str">
        <f t="shared" si="94"/>
        <v>committees.</v>
      </c>
      <c r="R283" t="str">
        <f t="shared" si="95"/>
        <v/>
      </c>
      <c r="S283" t="str">
        <f t="shared" si="96"/>
        <v/>
      </c>
      <c r="T283" t="str">
        <f t="shared" si="97"/>
        <v/>
      </c>
      <c r="U283" t="str">
        <f t="shared" si="98"/>
        <v/>
      </c>
      <c r="V283" t="str">
        <f t="shared" si="99"/>
        <v/>
      </c>
      <c r="W283" s="71" t="str">
        <f>CONCATENATE(H283," ",I283," ",J283," ",K283," ",L283," ",M283," ",N283," ",O283," ",P283," ",Q283," ",R283," ",S283," ",T283," ",U283," ",V283)</f>
        <v xml:space="preserve">Murder boards These are committees that ask every conceivable negative question about the proposed project. Their goals are to expose the project’s strengths and weaknesses, and to kill the project if it’s deemed unworthy for the organization to commit to. Also known as project steering committees or project selection committees.     </v>
      </c>
    </row>
    <row r="284" spans="1:23" customFormat="1" hidden="1">
      <c r="A284" t="b">
        <f t="shared" si="81"/>
        <v>0</v>
      </c>
      <c r="B284">
        <f t="shared" si="83"/>
        <v>283</v>
      </c>
      <c r="C284" t="s">
        <v>144</v>
      </c>
      <c r="D284" t="s">
        <v>282</v>
      </c>
      <c r="E284">
        <f t="shared" si="80"/>
        <v>35</v>
      </c>
      <c r="G284">
        <f t="shared" si="84"/>
        <v>2</v>
      </c>
      <c r="H284" t="str">
        <f t="shared" si="85"/>
        <v/>
      </c>
      <c r="I284" t="str">
        <f t="shared" si="86"/>
        <v/>
      </c>
      <c r="J284" t="str">
        <f t="shared" si="87"/>
        <v/>
      </c>
      <c r="K284" t="str">
        <f t="shared" si="88"/>
        <v/>
      </c>
      <c r="L284" t="str">
        <f t="shared" si="89"/>
        <v/>
      </c>
      <c r="M284" t="str">
        <f t="shared" si="90"/>
        <v/>
      </c>
      <c r="N284" t="str">
        <f t="shared" si="91"/>
        <v/>
      </c>
      <c r="O284" t="str">
        <f t="shared" si="92"/>
        <v/>
      </c>
      <c r="P284" t="str">
        <f t="shared" si="93"/>
        <v/>
      </c>
      <c r="Q284" t="str">
        <f t="shared" si="94"/>
        <v/>
      </c>
      <c r="R284" t="str">
        <f t="shared" si="95"/>
        <v/>
      </c>
      <c r="S284" t="str">
        <f t="shared" si="96"/>
        <v/>
      </c>
      <c r="T284" t="str">
        <f t="shared" si="97"/>
        <v/>
      </c>
      <c r="U284" t="str">
        <f t="shared" si="98"/>
        <v/>
      </c>
      <c r="V284" t="str">
        <f t="shared" si="99"/>
        <v/>
      </c>
      <c r="W284" t="str">
        <f t="shared" si="82"/>
        <v xml:space="preserve">              </v>
      </c>
    </row>
    <row r="285" spans="1:23" customFormat="1" hidden="1">
      <c r="A285" t="b">
        <f t="shared" si="81"/>
        <v>0</v>
      </c>
      <c r="B285">
        <f t="shared" si="83"/>
        <v>284</v>
      </c>
      <c r="C285" t="s">
        <v>144</v>
      </c>
      <c r="D285" t="s">
        <v>283</v>
      </c>
      <c r="E285">
        <f t="shared" si="80"/>
        <v>39</v>
      </c>
      <c r="G285">
        <f t="shared" si="84"/>
        <v>3</v>
      </c>
      <c r="H285" t="str">
        <f t="shared" si="85"/>
        <v/>
      </c>
      <c r="I285" t="str">
        <f t="shared" si="86"/>
        <v/>
      </c>
      <c r="J285" t="str">
        <f t="shared" si="87"/>
        <v/>
      </c>
      <c r="K285" t="str">
        <f t="shared" si="88"/>
        <v/>
      </c>
      <c r="L285" t="str">
        <f t="shared" si="89"/>
        <v/>
      </c>
      <c r="M285" t="str">
        <f t="shared" si="90"/>
        <v/>
      </c>
      <c r="N285" t="str">
        <f t="shared" si="91"/>
        <v/>
      </c>
      <c r="O285" t="str">
        <f t="shared" si="92"/>
        <v/>
      </c>
      <c r="P285" t="str">
        <f t="shared" si="93"/>
        <v/>
      </c>
      <c r="Q285" t="str">
        <f t="shared" si="94"/>
        <v/>
      </c>
      <c r="R285" t="str">
        <f t="shared" si="95"/>
        <v/>
      </c>
      <c r="S285" t="str">
        <f t="shared" si="96"/>
        <v/>
      </c>
      <c r="T285" t="str">
        <f t="shared" si="97"/>
        <v/>
      </c>
      <c r="U285" t="str">
        <f t="shared" si="98"/>
        <v/>
      </c>
      <c r="V285" t="str">
        <f t="shared" si="99"/>
        <v/>
      </c>
      <c r="W285" t="str">
        <f t="shared" si="82"/>
        <v xml:space="preserve">              </v>
      </c>
    </row>
    <row r="286" spans="1:23" customFormat="1" hidden="1">
      <c r="A286" t="b">
        <f t="shared" si="81"/>
        <v>0</v>
      </c>
      <c r="B286">
        <f t="shared" si="83"/>
        <v>285</v>
      </c>
      <c r="C286" t="s">
        <v>144</v>
      </c>
      <c r="D286" t="s">
        <v>284</v>
      </c>
      <c r="E286">
        <f t="shared" si="80"/>
        <v>36</v>
      </c>
      <c r="G286">
        <f t="shared" si="84"/>
        <v>4</v>
      </c>
      <c r="H286" t="str">
        <f t="shared" si="85"/>
        <v/>
      </c>
      <c r="I286" t="str">
        <f t="shared" si="86"/>
        <v/>
      </c>
      <c r="J286" t="str">
        <f t="shared" si="87"/>
        <v/>
      </c>
      <c r="K286" t="str">
        <f t="shared" si="88"/>
        <v/>
      </c>
      <c r="L286" t="str">
        <f t="shared" si="89"/>
        <v/>
      </c>
      <c r="M286" t="str">
        <f t="shared" si="90"/>
        <v/>
      </c>
      <c r="N286" t="str">
        <f t="shared" si="91"/>
        <v/>
      </c>
      <c r="O286" t="str">
        <f t="shared" si="92"/>
        <v/>
      </c>
      <c r="P286" t="str">
        <f t="shared" si="93"/>
        <v/>
      </c>
      <c r="Q286" t="str">
        <f t="shared" si="94"/>
        <v/>
      </c>
      <c r="R286" t="str">
        <f t="shared" si="95"/>
        <v/>
      </c>
      <c r="S286" t="str">
        <f t="shared" si="96"/>
        <v/>
      </c>
      <c r="T286" t="str">
        <f t="shared" si="97"/>
        <v/>
      </c>
      <c r="U286" t="str">
        <f t="shared" si="98"/>
        <v/>
      </c>
      <c r="V286" t="str">
        <f t="shared" si="99"/>
        <v/>
      </c>
      <c r="W286" t="str">
        <f t="shared" si="82"/>
        <v xml:space="preserve">              </v>
      </c>
    </row>
    <row r="287" spans="1:23" customFormat="1" hidden="1">
      <c r="A287" t="b">
        <f t="shared" si="81"/>
        <v>0</v>
      </c>
      <c r="B287">
        <f t="shared" si="83"/>
        <v>286</v>
      </c>
      <c r="C287" t="s">
        <v>144</v>
      </c>
      <c r="D287" t="s">
        <v>285</v>
      </c>
      <c r="E287">
        <f t="shared" si="80"/>
        <v>34</v>
      </c>
      <c r="G287">
        <f t="shared" si="84"/>
        <v>5</v>
      </c>
      <c r="H287" t="str">
        <f t="shared" si="85"/>
        <v/>
      </c>
      <c r="I287" t="str">
        <f t="shared" si="86"/>
        <v/>
      </c>
      <c r="J287" t="str">
        <f t="shared" si="87"/>
        <v/>
      </c>
      <c r="K287" t="str">
        <f t="shared" si="88"/>
        <v/>
      </c>
      <c r="L287" t="str">
        <f t="shared" si="89"/>
        <v/>
      </c>
      <c r="M287" t="str">
        <f t="shared" si="90"/>
        <v/>
      </c>
      <c r="N287" t="str">
        <f t="shared" si="91"/>
        <v/>
      </c>
      <c r="O287" t="str">
        <f t="shared" si="92"/>
        <v/>
      </c>
      <c r="P287" t="str">
        <f t="shared" si="93"/>
        <v/>
      </c>
      <c r="Q287" t="str">
        <f t="shared" si="94"/>
        <v/>
      </c>
      <c r="R287" t="str">
        <f t="shared" si="95"/>
        <v/>
      </c>
      <c r="S287" t="str">
        <f t="shared" si="96"/>
        <v/>
      </c>
      <c r="T287" t="str">
        <f t="shared" si="97"/>
        <v/>
      </c>
      <c r="U287" t="str">
        <f t="shared" si="98"/>
        <v/>
      </c>
      <c r="V287" t="str">
        <f t="shared" si="99"/>
        <v/>
      </c>
      <c r="W287" t="str">
        <f t="shared" si="82"/>
        <v xml:space="preserve">              </v>
      </c>
    </row>
    <row r="288" spans="1:23" customFormat="1" hidden="1">
      <c r="A288" t="b">
        <f t="shared" si="81"/>
        <v>0</v>
      </c>
      <c r="B288">
        <f t="shared" si="83"/>
        <v>287</v>
      </c>
      <c r="C288" t="s">
        <v>144</v>
      </c>
      <c r="D288" t="s">
        <v>286</v>
      </c>
      <c r="E288">
        <f t="shared" si="80"/>
        <v>43</v>
      </c>
      <c r="G288">
        <f t="shared" si="84"/>
        <v>6</v>
      </c>
      <c r="H288" t="str">
        <f t="shared" si="85"/>
        <v/>
      </c>
      <c r="I288" t="str">
        <f t="shared" si="86"/>
        <v/>
      </c>
      <c r="J288" t="str">
        <f t="shared" si="87"/>
        <v/>
      </c>
      <c r="K288" t="str">
        <f t="shared" si="88"/>
        <v/>
      </c>
      <c r="L288" t="str">
        <f t="shared" si="89"/>
        <v/>
      </c>
      <c r="M288" t="str">
        <f t="shared" si="90"/>
        <v/>
      </c>
      <c r="N288" t="str">
        <f t="shared" si="91"/>
        <v/>
      </c>
      <c r="O288" t="str">
        <f t="shared" si="92"/>
        <v/>
      </c>
      <c r="P288" t="str">
        <f t="shared" si="93"/>
        <v/>
      </c>
      <c r="Q288" t="str">
        <f t="shared" si="94"/>
        <v/>
      </c>
      <c r="R288" t="str">
        <f t="shared" si="95"/>
        <v/>
      </c>
      <c r="S288" t="str">
        <f t="shared" si="96"/>
        <v/>
      </c>
      <c r="T288" t="str">
        <f t="shared" si="97"/>
        <v/>
      </c>
      <c r="U288" t="str">
        <f t="shared" si="98"/>
        <v/>
      </c>
      <c r="V288" t="str">
        <f t="shared" si="99"/>
        <v/>
      </c>
      <c r="W288" t="str">
        <f t="shared" si="82"/>
        <v xml:space="preserve">              </v>
      </c>
    </row>
    <row r="289" spans="1:23" customFormat="1" hidden="1">
      <c r="A289" t="b">
        <f t="shared" si="81"/>
        <v>0</v>
      </c>
      <c r="B289">
        <f t="shared" si="83"/>
        <v>288</v>
      </c>
      <c r="C289" t="s">
        <v>144</v>
      </c>
      <c r="D289" t="s">
        <v>287</v>
      </c>
      <c r="E289">
        <f t="shared" si="80"/>
        <v>39</v>
      </c>
      <c r="G289">
        <f t="shared" si="84"/>
        <v>7</v>
      </c>
      <c r="H289" t="str">
        <f t="shared" si="85"/>
        <v/>
      </c>
      <c r="I289" t="str">
        <f t="shared" si="86"/>
        <v/>
      </c>
      <c r="J289" t="str">
        <f t="shared" si="87"/>
        <v/>
      </c>
      <c r="K289" t="str">
        <f t="shared" si="88"/>
        <v/>
      </c>
      <c r="L289" t="str">
        <f t="shared" si="89"/>
        <v/>
      </c>
      <c r="M289" t="str">
        <f t="shared" si="90"/>
        <v/>
      </c>
      <c r="N289" t="str">
        <f t="shared" si="91"/>
        <v/>
      </c>
      <c r="O289" t="str">
        <f t="shared" si="92"/>
        <v/>
      </c>
      <c r="P289" t="str">
        <f t="shared" si="93"/>
        <v/>
      </c>
      <c r="Q289" t="str">
        <f t="shared" si="94"/>
        <v/>
      </c>
      <c r="R289" t="str">
        <f t="shared" si="95"/>
        <v/>
      </c>
      <c r="S289" t="str">
        <f t="shared" si="96"/>
        <v/>
      </c>
      <c r="T289" t="str">
        <f t="shared" si="97"/>
        <v/>
      </c>
      <c r="U289" t="str">
        <f t="shared" si="98"/>
        <v/>
      </c>
      <c r="V289" t="str">
        <f t="shared" si="99"/>
        <v/>
      </c>
      <c r="W289" t="str">
        <f t="shared" si="82"/>
        <v xml:space="preserve">              </v>
      </c>
    </row>
    <row r="290" spans="1:23" customFormat="1" hidden="1">
      <c r="A290" t="b">
        <f t="shared" si="81"/>
        <v>0</v>
      </c>
      <c r="B290">
        <f t="shared" si="83"/>
        <v>289</v>
      </c>
      <c r="C290" t="s">
        <v>144</v>
      </c>
      <c r="D290" t="s">
        <v>288</v>
      </c>
      <c r="E290">
        <f t="shared" si="80"/>
        <v>41</v>
      </c>
      <c r="G290">
        <f t="shared" si="84"/>
        <v>8</v>
      </c>
      <c r="H290" t="str">
        <f t="shared" si="85"/>
        <v/>
      </c>
      <c r="I290" t="str">
        <f t="shared" si="86"/>
        <v/>
      </c>
      <c r="J290" t="str">
        <f t="shared" si="87"/>
        <v/>
      </c>
      <c r="K290" t="str">
        <f t="shared" si="88"/>
        <v/>
      </c>
      <c r="L290" t="str">
        <f t="shared" si="89"/>
        <v/>
      </c>
      <c r="M290" t="str">
        <f t="shared" si="90"/>
        <v/>
      </c>
      <c r="N290" t="str">
        <f t="shared" si="91"/>
        <v/>
      </c>
      <c r="O290" t="str">
        <f t="shared" si="92"/>
        <v/>
      </c>
      <c r="P290" t="str">
        <f t="shared" si="93"/>
        <v/>
      </c>
      <c r="Q290" t="str">
        <f t="shared" si="94"/>
        <v/>
      </c>
      <c r="R290" t="str">
        <f t="shared" si="95"/>
        <v/>
      </c>
      <c r="S290" t="str">
        <f t="shared" si="96"/>
        <v/>
      </c>
      <c r="T290" t="str">
        <f t="shared" si="97"/>
        <v/>
      </c>
      <c r="U290" t="str">
        <f t="shared" si="98"/>
        <v/>
      </c>
      <c r="V290" t="str">
        <f t="shared" si="99"/>
        <v/>
      </c>
      <c r="W290" t="str">
        <f t="shared" si="82"/>
        <v xml:space="preserve">              </v>
      </c>
    </row>
    <row r="291" spans="1:23" customFormat="1" hidden="1">
      <c r="A291" t="b">
        <f t="shared" si="81"/>
        <v>0</v>
      </c>
      <c r="B291">
        <f t="shared" si="83"/>
        <v>290</v>
      </c>
      <c r="C291" t="s">
        <v>144</v>
      </c>
      <c r="D291" t="s">
        <v>289</v>
      </c>
      <c r="E291">
        <f t="shared" si="80"/>
        <v>31</v>
      </c>
      <c r="G291">
        <f t="shared" si="84"/>
        <v>9</v>
      </c>
      <c r="H291" t="str">
        <f t="shared" si="85"/>
        <v/>
      </c>
      <c r="I291" t="str">
        <f t="shared" si="86"/>
        <v/>
      </c>
      <c r="J291" t="str">
        <f t="shared" si="87"/>
        <v/>
      </c>
      <c r="K291" t="str">
        <f t="shared" si="88"/>
        <v/>
      </c>
      <c r="L291" t="str">
        <f t="shared" si="89"/>
        <v/>
      </c>
      <c r="M291" t="str">
        <f t="shared" si="90"/>
        <v/>
      </c>
      <c r="N291" t="str">
        <f t="shared" si="91"/>
        <v/>
      </c>
      <c r="O291" t="str">
        <f t="shared" si="92"/>
        <v/>
      </c>
      <c r="P291" t="str">
        <f t="shared" si="93"/>
        <v/>
      </c>
      <c r="Q291" t="str">
        <f t="shared" si="94"/>
        <v/>
      </c>
      <c r="R291" t="str">
        <f t="shared" si="95"/>
        <v/>
      </c>
      <c r="S291" t="str">
        <f t="shared" si="96"/>
        <v/>
      </c>
      <c r="T291" t="str">
        <f t="shared" si="97"/>
        <v/>
      </c>
      <c r="U291" t="str">
        <f t="shared" si="98"/>
        <v/>
      </c>
      <c r="V291" t="str">
        <f t="shared" si="99"/>
        <v/>
      </c>
      <c r="W291" t="str">
        <f t="shared" si="82"/>
        <v xml:space="preserve">              </v>
      </c>
    </row>
    <row r="292" spans="1:23" customFormat="1" hidden="1">
      <c r="A292" t="b">
        <f t="shared" si="81"/>
        <v>0</v>
      </c>
      <c r="B292">
        <f t="shared" si="83"/>
        <v>291</v>
      </c>
      <c r="C292" t="s">
        <v>144</v>
      </c>
      <c r="D292" t="s">
        <v>290</v>
      </c>
      <c r="E292">
        <f t="shared" si="80"/>
        <v>11</v>
      </c>
      <c r="G292">
        <f t="shared" si="84"/>
        <v>10</v>
      </c>
      <c r="H292" t="str">
        <f t="shared" si="85"/>
        <v/>
      </c>
      <c r="I292" t="str">
        <f t="shared" si="86"/>
        <v/>
      </c>
      <c r="J292" t="str">
        <f t="shared" si="87"/>
        <v/>
      </c>
      <c r="K292" t="str">
        <f t="shared" si="88"/>
        <v/>
      </c>
      <c r="L292" t="str">
        <f t="shared" si="89"/>
        <v/>
      </c>
      <c r="M292" t="str">
        <f t="shared" si="90"/>
        <v/>
      </c>
      <c r="N292" t="str">
        <f t="shared" si="91"/>
        <v/>
      </c>
      <c r="O292" t="str">
        <f t="shared" si="92"/>
        <v/>
      </c>
      <c r="P292" t="str">
        <f t="shared" si="93"/>
        <v/>
      </c>
      <c r="Q292" t="str">
        <f t="shared" si="94"/>
        <v/>
      </c>
      <c r="R292" t="str">
        <f t="shared" si="95"/>
        <v/>
      </c>
      <c r="S292" t="str">
        <f t="shared" si="96"/>
        <v/>
      </c>
      <c r="T292" t="str">
        <f t="shared" si="97"/>
        <v/>
      </c>
      <c r="U292" t="str">
        <f t="shared" si="98"/>
        <v/>
      </c>
      <c r="V292" t="str">
        <f t="shared" si="99"/>
        <v/>
      </c>
      <c r="W292" t="str">
        <f t="shared" si="82"/>
        <v xml:space="preserve">              </v>
      </c>
    </row>
    <row r="293" spans="1:23" hidden="1">
      <c r="A293" s="71" t="b">
        <f t="shared" si="81"/>
        <v>0</v>
      </c>
      <c r="B293" s="71">
        <f t="shared" si="83"/>
        <v>292</v>
      </c>
      <c r="C293" s="71" t="s">
        <v>144</v>
      </c>
      <c r="D293" s="71" t="s">
        <v>291</v>
      </c>
      <c r="E293">
        <f t="shared" si="80"/>
        <v>17</v>
      </c>
      <c r="F293">
        <v>1</v>
      </c>
      <c r="G293">
        <f t="shared" si="84"/>
        <v>1</v>
      </c>
      <c r="H293" t="str">
        <f t="shared" si="85"/>
        <v>Net present value</v>
      </c>
      <c r="I293" t="str">
        <f t="shared" si="86"/>
        <v>Evaluates the monies returned on a</v>
      </c>
      <c r="J293" t="str">
        <f t="shared" si="87"/>
        <v>project for each period the project lasts.</v>
      </c>
      <c r="K293" t="str">
        <f t="shared" si="88"/>
        <v/>
      </c>
      <c r="L293" t="str">
        <f t="shared" si="89"/>
        <v/>
      </c>
      <c r="M293" t="str">
        <f t="shared" si="90"/>
        <v/>
      </c>
      <c r="N293" t="str">
        <f t="shared" si="91"/>
        <v/>
      </c>
      <c r="O293" t="str">
        <f t="shared" si="92"/>
        <v/>
      </c>
      <c r="P293" t="str">
        <f t="shared" si="93"/>
        <v/>
      </c>
      <c r="Q293" t="str">
        <f t="shared" si="94"/>
        <v/>
      </c>
      <c r="R293" t="str">
        <f t="shared" si="95"/>
        <v/>
      </c>
      <c r="S293" t="str">
        <f t="shared" si="96"/>
        <v/>
      </c>
      <c r="T293" t="str">
        <f t="shared" si="97"/>
        <v/>
      </c>
      <c r="U293" t="str">
        <f t="shared" si="98"/>
        <v/>
      </c>
      <c r="V293" t="str">
        <f t="shared" si="99"/>
        <v/>
      </c>
      <c r="W293" s="71" t="str">
        <f>CONCATENATE(H293," ",I293," ",J293," ",K293," ",L293," ",M293," ",N293," ",O293," ",P293," ",Q293," ",R293," ",S293," ",T293," ",U293," ",V293)</f>
        <v xml:space="preserve">Net present value Evaluates the monies returned on a project for each period the project lasts.            </v>
      </c>
    </row>
    <row r="294" spans="1:23" customFormat="1" hidden="1">
      <c r="A294" t="b">
        <f t="shared" si="81"/>
        <v>0</v>
      </c>
      <c r="B294">
        <f t="shared" si="83"/>
        <v>293</v>
      </c>
      <c r="C294" t="s">
        <v>144</v>
      </c>
      <c r="D294" t="s">
        <v>292</v>
      </c>
      <c r="E294">
        <f t="shared" si="80"/>
        <v>34</v>
      </c>
      <c r="G294">
        <f t="shared" si="84"/>
        <v>2</v>
      </c>
      <c r="H294" t="str">
        <f t="shared" si="85"/>
        <v/>
      </c>
      <c r="I294" t="str">
        <f t="shared" si="86"/>
        <v/>
      </c>
      <c r="J294" t="str">
        <f t="shared" si="87"/>
        <v/>
      </c>
      <c r="K294" t="str">
        <f t="shared" si="88"/>
        <v/>
      </c>
      <c r="L294" t="str">
        <f t="shared" si="89"/>
        <v/>
      </c>
      <c r="M294" t="str">
        <f t="shared" si="90"/>
        <v/>
      </c>
      <c r="N294" t="str">
        <f t="shared" si="91"/>
        <v/>
      </c>
      <c r="O294" t="str">
        <f t="shared" si="92"/>
        <v/>
      </c>
      <c r="P294" t="str">
        <f t="shared" si="93"/>
        <v/>
      </c>
      <c r="Q294" t="str">
        <f t="shared" si="94"/>
        <v/>
      </c>
      <c r="R294" t="str">
        <f t="shared" si="95"/>
        <v/>
      </c>
      <c r="S294" t="str">
        <f t="shared" si="96"/>
        <v/>
      </c>
      <c r="T294" t="str">
        <f t="shared" si="97"/>
        <v/>
      </c>
      <c r="U294" t="str">
        <f t="shared" si="98"/>
        <v/>
      </c>
      <c r="V294" t="str">
        <f t="shared" si="99"/>
        <v/>
      </c>
      <c r="W294" t="str">
        <f t="shared" si="82"/>
        <v xml:space="preserve">              </v>
      </c>
    </row>
    <row r="295" spans="1:23" customFormat="1" hidden="1">
      <c r="A295" t="b">
        <f t="shared" si="81"/>
        <v>0</v>
      </c>
      <c r="B295">
        <f t="shared" si="83"/>
        <v>294</v>
      </c>
      <c r="C295" t="s">
        <v>144</v>
      </c>
      <c r="D295" t="s">
        <v>293</v>
      </c>
      <c r="E295">
        <f t="shared" si="80"/>
        <v>42</v>
      </c>
      <c r="G295">
        <f t="shared" si="84"/>
        <v>3</v>
      </c>
      <c r="H295" t="str">
        <f t="shared" si="85"/>
        <v/>
      </c>
      <c r="I295" t="str">
        <f t="shared" si="86"/>
        <v/>
      </c>
      <c r="J295" t="str">
        <f t="shared" si="87"/>
        <v/>
      </c>
      <c r="K295" t="str">
        <f t="shared" si="88"/>
        <v/>
      </c>
      <c r="L295" t="str">
        <f t="shared" si="89"/>
        <v/>
      </c>
      <c r="M295" t="str">
        <f t="shared" si="90"/>
        <v/>
      </c>
      <c r="N295" t="str">
        <f t="shared" si="91"/>
        <v/>
      </c>
      <c r="O295" t="str">
        <f t="shared" si="92"/>
        <v/>
      </c>
      <c r="P295" t="str">
        <f t="shared" si="93"/>
        <v/>
      </c>
      <c r="Q295" t="str">
        <f t="shared" si="94"/>
        <v/>
      </c>
      <c r="R295" t="str">
        <f t="shared" si="95"/>
        <v/>
      </c>
      <c r="S295" t="str">
        <f t="shared" si="96"/>
        <v/>
      </c>
      <c r="T295" t="str">
        <f t="shared" si="97"/>
        <v/>
      </c>
      <c r="U295" t="str">
        <f t="shared" si="98"/>
        <v/>
      </c>
      <c r="V295" t="str">
        <f t="shared" si="99"/>
        <v/>
      </c>
      <c r="W295" t="str">
        <f t="shared" si="82"/>
        <v xml:space="preserve">              </v>
      </c>
    </row>
    <row r="296" spans="1:23" hidden="1">
      <c r="A296" s="71" t="b">
        <f t="shared" si="81"/>
        <v>0</v>
      </c>
      <c r="B296" s="71">
        <f t="shared" si="83"/>
        <v>295</v>
      </c>
      <c r="C296" s="71" t="s">
        <v>144</v>
      </c>
      <c r="D296" s="71" t="s">
        <v>294</v>
      </c>
      <c r="E296">
        <f t="shared" si="80"/>
        <v>14</v>
      </c>
      <c r="F296">
        <v>1</v>
      </c>
      <c r="G296">
        <f t="shared" si="84"/>
        <v>1</v>
      </c>
      <c r="H296" t="str">
        <f t="shared" si="85"/>
        <v>Payback period</v>
      </c>
      <c r="I296" t="str">
        <f t="shared" si="86"/>
        <v>An estimate to predict how long it will</v>
      </c>
      <c r="J296" t="str">
        <f t="shared" si="87"/>
        <v>take a project to pay back an organization</v>
      </c>
      <c r="K296" t="str">
        <f t="shared" si="88"/>
        <v>for the project’s investment of capital.</v>
      </c>
      <c r="L296" t="str">
        <f t="shared" si="89"/>
        <v/>
      </c>
      <c r="M296" t="str">
        <f t="shared" si="90"/>
        <v/>
      </c>
      <c r="N296" t="str">
        <f t="shared" si="91"/>
        <v/>
      </c>
      <c r="O296" t="str">
        <f t="shared" si="92"/>
        <v/>
      </c>
      <c r="P296" t="str">
        <f t="shared" si="93"/>
        <v/>
      </c>
      <c r="Q296" t="str">
        <f t="shared" si="94"/>
        <v/>
      </c>
      <c r="R296" t="str">
        <f t="shared" si="95"/>
        <v/>
      </c>
      <c r="S296" t="str">
        <f t="shared" si="96"/>
        <v/>
      </c>
      <c r="T296" t="str">
        <f t="shared" si="97"/>
        <v/>
      </c>
      <c r="U296" t="str">
        <f t="shared" si="98"/>
        <v/>
      </c>
      <c r="V296" t="str">
        <f t="shared" si="99"/>
        <v/>
      </c>
      <c r="W296" s="71" t="str">
        <f>CONCATENATE(H296," ",I296," ",J296," ",K296," ",L296," ",M296," ",N296," ",O296," ",P296," ",Q296," ",R296," ",S296," ",T296," ",U296," ",V296)</f>
        <v xml:space="preserve">Payback period An estimate to predict how long it will take a project to pay back an organization for the project’s investment of capital.           </v>
      </c>
    </row>
    <row r="297" spans="1:23" customFormat="1" hidden="1">
      <c r="A297" t="b">
        <f t="shared" si="81"/>
        <v>0</v>
      </c>
      <c r="B297">
        <f t="shared" si="83"/>
        <v>296</v>
      </c>
      <c r="C297" t="s">
        <v>144</v>
      </c>
      <c r="D297" t="s">
        <v>295</v>
      </c>
      <c r="E297">
        <f t="shared" si="80"/>
        <v>39</v>
      </c>
      <c r="G297">
        <f t="shared" si="84"/>
        <v>2</v>
      </c>
      <c r="H297" t="str">
        <f t="shared" si="85"/>
        <v/>
      </c>
      <c r="I297" t="str">
        <f t="shared" si="86"/>
        <v/>
      </c>
      <c r="J297" t="str">
        <f t="shared" si="87"/>
        <v/>
      </c>
      <c r="K297" t="str">
        <f t="shared" si="88"/>
        <v/>
      </c>
      <c r="L297" t="str">
        <f t="shared" si="89"/>
        <v/>
      </c>
      <c r="M297" t="str">
        <f t="shared" si="90"/>
        <v/>
      </c>
      <c r="N297" t="str">
        <f t="shared" si="91"/>
        <v/>
      </c>
      <c r="O297" t="str">
        <f t="shared" si="92"/>
        <v/>
      </c>
      <c r="P297" t="str">
        <f t="shared" si="93"/>
        <v/>
      </c>
      <c r="Q297" t="str">
        <f t="shared" si="94"/>
        <v/>
      </c>
      <c r="R297" t="str">
        <f t="shared" si="95"/>
        <v/>
      </c>
      <c r="S297" t="str">
        <f t="shared" si="96"/>
        <v/>
      </c>
      <c r="T297" t="str">
        <f t="shared" si="97"/>
        <v/>
      </c>
      <c r="U297" t="str">
        <f t="shared" si="98"/>
        <v/>
      </c>
      <c r="V297" t="str">
        <f t="shared" si="99"/>
        <v/>
      </c>
      <c r="W297" t="str">
        <f t="shared" si="82"/>
        <v xml:space="preserve">              </v>
      </c>
    </row>
    <row r="298" spans="1:23" customFormat="1" hidden="1">
      <c r="A298" t="b">
        <f t="shared" si="81"/>
        <v>0</v>
      </c>
      <c r="B298">
        <f t="shared" si="83"/>
        <v>297</v>
      </c>
      <c r="C298" t="s">
        <v>144</v>
      </c>
      <c r="D298" t="s">
        <v>296</v>
      </c>
      <c r="E298">
        <f t="shared" ref="E298:E360" si="100">LEN(D298)</f>
        <v>42</v>
      </c>
      <c r="G298">
        <f t="shared" si="84"/>
        <v>3</v>
      </c>
      <c r="H298" t="str">
        <f t="shared" si="85"/>
        <v/>
      </c>
      <c r="I298" t="str">
        <f t="shared" si="86"/>
        <v/>
      </c>
      <c r="J298" t="str">
        <f t="shared" si="87"/>
        <v/>
      </c>
      <c r="K298" t="str">
        <f t="shared" si="88"/>
        <v/>
      </c>
      <c r="L298" t="str">
        <f t="shared" si="89"/>
        <v/>
      </c>
      <c r="M298" t="str">
        <f t="shared" si="90"/>
        <v/>
      </c>
      <c r="N298" t="str">
        <f t="shared" si="91"/>
        <v/>
      </c>
      <c r="O298" t="str">
        <f t="shared" si="92"/>
        <v/>
      </c>
      <c r="P298" t="str">
        <f t="shared" si="93"/>
        <v/>
      </c>
      <c r="Q298" t="str">
        <f t="shared" si="94"/>
        <v/>
      </c>
      <c r="R298" t="str">
        <f t="shared" si="95"/>
        <v/>
      </c>
      <c r="S298" t="str">
        <f t="shared" si="96"/>
        <v/>
      </c>
      <c r="T298" t="str">
        <f t="shared" si="97"/>
        <v/>
      </c>
      <c r="U298" t="str">
        <f t="shared" si="98"/>
        <v/>
      </c>
      <c r="V298" t="str">
        <f t="shared" si="99"/>
        <v/>
      </c>
      <c r="W298" t="str">
        <f t="shared" si="82"/>
        <v xml:space="preserve">              </v>
      </c>
    </row>
    <row r="299" spans="1:23" customFormat="1" hidden="1">
      <c r="A299" t="b">
        <f t="shared" si="81"/>
        <v>0</v>
      </c>
      <c r="B299">
        <f t="shared" si="83"/>
        <v>298</v>
      </c>
      <c r="C299" t="s">
        <v>144</v>
      </c>
      <c r="D299" t="s">
        <v>297</v>
      </c>
      <c r="E299">
        <f t="shared" si="100"/>
        <v>40</v>
      </c>
      <c r="G299">
        <f t="shared" si="84"/>
        <v>4</v>
      </c>
      <c r="H299" t="str">
        <f t="shared" si="85"/>
        <v/>
      </c>
      <c r="I299" t="str">
        <f t="shared" si="86"/>
        <v/>
      </c>
      <c r="J299" t="str">
        <f t="shared" si="87"/>
        <v/>
      </c>
      <c r="K299" t="str">
        <f t="shared" si="88"/>
        <v/>
      </c>
      <c r="L299" t="str">
        <f t="shared" si="89"/>
        <v/>
      </c>
      <c r="M299" t="str">
        <f t="shared" si="90"/>
        <v/>
      </c>
      <c r="N299" t="str">
        <f t="shared" si="91"/>
        <v/>
      </c>
      <c r="O299" t="str">
        <f t="shared" si="92"/>
        <v/>
      </c>
      <c r="P299" t="str">
        <f t="shared" si="93"/>
        <v/>
      </c>
      <c r="Q299" t="str">
        <f t="shared" si="94"/>
        <v/>
      </c>
      <c r="R299" t="str">
        <f t="shared" si="95"/>
        <v/>
      </c>
      <c r="S299" t="str">
        <f t="shared" si="96"/>
        <v/>
      </c>
      <c r="T299" t="str">
        <f t="shared" si="97"/>
        <v/>
      </c>
      <c r="U299" t="str">
        <f t="shared" si="98"/>
        <v/>
      </c>
      <c r="V299" t="str">
        <f t="shared" si="99"/>
        <v/>
      </c>
      <c r="W299" t="str">
        <f t="shared" si="82"/>
        <v xml:space="preserve">              </v>
      </c>
    </row>
    <row r="300" spans="1:23" hidden="1">
      <c r="A300" s="71" t="b">
        <f t="shared" si="81"/>
        <v>0</v>
      </c>
      <c r="B300" s="71">
        <f t="shared" si="83"/>
        <v>299</v>
      </c>
      <c r="C300" s="71" t="s">
        <v>144</v>
      </c>
      <c r="D300" s="71" t="s">
        <v>298</v>
      </c>
      <c r="E300">
        <f t="shared" si="100"/>
        <v>13</v>
      </c>
      <c r="F300">
        <v>1</v>
      </c>
      <c r="G300">
        <f t="shared" si="84"/>
        <v>1</v>
      </c>
      <c r="H300" t="str">
        <f t="shared" si="85"/>
        <v>Present value</v>
      </c>
      <c r="I300" t="str">
        <f t="shared" si="86"/>
        <v>A benefit comparison model to determine</v>
      </c>
      <c r="J300" t="str">
        <f t="shared" si="87"/>
        <v>the present value of a future amount of</v>
      </c>
      <c r="K300" t="str">
        <f t="shared" si="88"/>
        <v>money. The formula to calculate present</v>
      </c>
      <c r="L300" t="str">
        <f t="shared" si="89"/>
        <v>value is PV = FV ÷ (1 + i)n, where FV is</v>
      </c>
      <c r="M300" t="str">
        <f t="shared" si="90"/>
        <v>future value, I is the given interest rate,</v>
      </c>
      <c r="N300" t="str">
        <f t="shared" si="91"/>
        <v>and n is the number of periods.</v>
      </c>
      <c r="O300" t="str">
        <f t="shared" si="92"/>
        <v/>
      </c>
      <c r="P300" t="str">
        <f t="shared" si="93"/>
        <v/>
      </c>
      <c r="Q300" t="str">
        <f t="shared" si="94"/>
        <v/>
      </c>
      <c r="R300" t="str">
        <f t="shared" si="95"/>
        <v/>
      </c>
      <c r="S300" t="str">
        <f t="shared" si="96"/>
        <v/>
      </c>
      <c r="T300" t="str">
        <f t="shared" si="97"/>
        <v/>
      </c>
      <c r="U300" t="str">
        <f t="shared" si="98"/>
        <v/>
      </c>
      <c r="V300" t="str">
        <f t="shared" si="99"/>
        <v/>
      </c>
      <c r="W300" s="71" t="str">
        <f>CONCATENATE(H300," ",I300," ",J300," ",K300," ",L300," ",M300," ",N300," ",O300," ",P300," ",Q300," ",R300," ",S300," ",T300," ",U300," ",V300)</f>
        <v xml:space="preserve">Present value A benefit comparison model to determine the present value of a future amount of money. The formula to calculate present value is PV = FV ÷ (1 + i)n, where FV is future value, I is the given interest rate, and n is the number of periods.        </v>
      </c>
    </row>
    <row r="301" spans="1:23" customFormat="1" hidden="1">
      <c r="A301" t="b">
        <f t="shared" si="81"/>
        <v>0</v>
      </c>
      <c r="B301">
        <f t="shared" si="83"/>
        <v>300</v>
      </c>
      <c r="C301" t="s">
        <v>144</v>
      </c>
      <c r="D301" t="s">
        <v>244</v>
      </c>
      <c r="E301">
        <f t="shared" si="100"/>
        <v>39</v>
      </c>
      <c r="G301">
        <f t="shared" si="84"/>
        <v>2</v>
      </c>
      <c r="H301" t="str">
        <f t="shared" si="85"/>
        <v/>
      </c>
      <c r="I301" t="str">
        <f t="shared" si="86"/>
        <v/>
      </c>
      <c r="J301" t="str">
        <f t="shared" si="87"/>
        <v/>
      </c>
      <c r="K301" t="str">
        <f t="shared" si="88"/>
        <v/>
      </c>
      <c r="L301" t="str">
        <f t="shared" si="89"/>
        <v/>
      </c>
      <c r="M301" t="str">
        <f t="shared" si="90"/>
        <v/>
      </c>
      <c r="N301" t="str">
        <f t="shared" si="91"/>
        <v/>
      </c>
      <c r="O301" t="str">
        <f t="shared" si="92"/>
        <v/>
      </c>
      <c r="P301" t="str">
        <f t="shared" si="93"/>
        <v/>
      </c>
      <c r="Q301" t="str">
        <f t="shared" si="94"/>
        <v/>
      </c>
      <c r="R301" t="str">
        <f t="shared" si="95"/>
        <v/>
      </c>
      <c r="S301" t="str">
        <f t="shared" si="96"/>
        <v/>
      </c>
      <c r="T301" t="str">
        <f t="shared" si="97"/>
        <v/>
      </c>
      <c r="U301" t="str">
        <f t="shared" si="98"/>
        <v/>
      </c>
      <c r="V301" t="str">
        <f t="shared" si="99"/>
        <v/>
      </c>
      <c r="W301" t="str">
        <f t="shared" si="82"/>
        <v xml:space="preserve">              </v>
      </c>
    </row>
    <row r="302" spans="1:23" customFormat="1" hidden="1">
      <c r="A302" t="b">
        <f t="shared" si="81"/>
        <v>0</v>
      </c>
      <c r="B302">
        <f t="shared" si="83"/>
        <v>301</v>
      </c>
      <c r="C302" t="s">
        <v>144</v>
      </c>
      <c r="D302" t="s">
        <v>299</v>
      </c>
      <c r="E302">
        <f t="shared" si="100"/>
        <v>39</v>
      </c>
      <c r="G302">
        <f t="shared" si="84"/>
        <v>3</v>
      </c>
      <c r="H302" t="str">
        <f t="shared" si="85"/>
        <v/>
      </c>
      <c r="I302" t="str">
        <f t="shared" si="86"/>
        <v/>
      </c>
      <c r="J302" t="str">
        <f t="shared" si="87"/>
        <v/>
      </c>
      <c r="K302" t="str">
        <f t="shared" si="88"/>
        <v/>
      </c>
      <c r="L302" t="str">
        <f t="shared" si="89"/>
        <v/>
      </c>
      <c r="M302" t="str">
        <f t="shared" si="90"/>
        <v/>
      </c>
      <c r="N302" t="str">
        <f t="shared" si="91"/>
        <v/>
      </c>
      <c r="O302" t="str">
        <f t="shared" si="92"/>
        <v/>
      </c>
      <c r="P302" t="str">
        <f t="shared" si="93"/>
        <v/>
      </c>
      <c r="Q302" t="str">
        <f t="shared" si="94"/>
        <v/>
      </c>
      <c r="R302" t="str">
        <f t="shared" si="95"/>
        <v/>
      </c>
      <c r="S302" t="str">
        <f t="shared" si="96"/>
        <v/>
      </c>
      <c r="T302" t="str">
        <f t="shared" si="97"/>
        <v/>
      </c>
      <c r="U302" t="str">
        <f t="shared" si="98"/>
        <v/>
      </c>
      <c r="V302" t="str">
        <f t="shared" si="99"/>
        <v/>
      </c>
      <c r="W302" t="str">
        <f t="shared" si="82"/>
        <v xml:space="preserve">              </v>
      </c>
    </row>
    <row r="303" spans="1:23" customFormat="1" hidden="1">
      <c r="A303" t="b">
        <f t="shared" si="81"/>
        <v>0</v>
      </c>
      <c r="B303">
        <f t="shared" si="83"/>
        <v>302</v>
      </c>
      <c r="C303" t="s">
        <v>144</v>
      </c>
      <c r="D303" t="s">
        <v>300</v>
      </c>
      <c r="E303">
        <f t="shared" si="100"/>
        <v>39</v>
      </c>
      <c r="G303">
        <f t="shared" si="84"/>
        <v>4</v>
      </c>
      <c r="H303" t="str">
        <f t="shared" si="85"/>
        <v/>
      </c>
      <c r="I303" t="str">
        <f t="shared" si="86"/>
        <v/>
      </c>
      <c r="J303" t="str">
        <f t="shared" si="87"/>
        <v/>
      </c>
      <c r="K303" t="str">
        <f t="shared" si="88"/>
        <v/>
      </c>
      <c r="L303" t="str">
        <f t="shared" si="89"/>
        <v/>
      </c>
      <c r="M303" t="str">
        <f t="shared" si="90"/>
        <v/>
      </c>
      <c r="N303" t="str">
        <f t="shared" si="91"/>
        <v/>
      </c>
      <c r="O303" t="str">
        <f t="shared" si="92"/>
        <v/>
      </c>
      <c r="P303" t="str">
        <f t="shared" si="93"/>
        <v/>
      </c>
      <c r="Q303" t="str">
        <f t="shared" si="94"/>
        <v/>
      </c>
      <c r="R303" t="str">
        <f t="shared" si="95"/>
        <v/>
      </c>
      <c r="S303" t="str">
        <f t="shared" si="96"/>
        <v/>
      </c>
      <c r="T303" t="str">
        <f t="shared" si="97"/>
        <v/>
      </c>
      <c r="U303" t="str">
        <f t="shared" si="98"/>
        <v/>
      </c>
      <c r="V303" t="str">
        <f t="shared" si="99"/>
        <v/>
      </c>
      <c r="W303" t="str">
        <f t="shared" si="82"/>
        <v xml:space="preserve">              </v>
      </c>
    </row>
    <row r="304" spans="1:23" customFormat="1" hidden="1">
      <c r="A304" t="b">
        <f t="shared" si="81"/>
        <v>0</v>
      </c>
      <c r="B304">
        <f t="shared" si="83"/>
        <v>303</v>
      </c>
      <c r="C304" t="s">
        <v>144</v>
      </c>
      <c r="D304" t="s">
        <v>301</v>
      </c>
      <c r="E304">
        <f t="shared" si="100"/>
        <v>40</v>
      </c>
      <c r="G304">
        <f t="shared" si="84"/>
        <v>5</v>
      </c>
      <c r="H304" t="str">
        <f t="shared" si="85"/>
        <v/>
      </c>
      <c r="I304" t="str">
        <f t="shared" si="86"/>
        <v/>
      </c>
      <c r="J304" t="str">
        <f t="shared" si="87"/>
        <v/>
      </c>
      <c r="K304" t="str">
        <f t="shared" si="88"/>
        <v/>
      </c>
      <c r="L304" t="str">
        <f t="shared" si="89"/>
        <v/>
      </c>
      <c r="M304" t="str">
        <f t="shared" si="90"/>
        <v/>
      </c>
      <c r="N304" t="str">
        <f t="shared" si="91"/>
        <v/>
      </c>
      <c r="O304" t="str">
        <f t="shared" si="92"/>
        <v/>
      </c>
      <c r="P304" t="str">
        <f t="shared" si="93"/>
        <v/>
      </c>
      <c r="Q304" t="str">
        <f t="shared" si="94"/>
        <v/>
      </c>
      <c r="R304" t="str">
        <f t="shared" si="95"/>
        <v/>
      </c>
      <c r="S304" t="str">
        <f t="shared" si="96"/>
        <v/>
      </c>
      <c r="T304" t="str">
        <f t="shared" si="97"/>
        <v/>
      </c>
      <c r="U304" t="str">
        <f t="shared" si="98"/>
        <v/>
      </c>
      <c r="V304" t="str">
        <f t="shared" si="99"/>
        <v/>
      </c>
      <c r="W304" t="str">
        <f t="shared" si="82"/>
        <v xml:space="preserve">              </v>
      </c>
    </row>
    <row r="305" spans="1:23" customFormat="1" hidden="1">
      <c r="A305" t="b">
        <f t="shared" si="81"/>
        <v>0</v>
      </c>
      <c r="B305">
        <f t="shared" si="83"/>
        <v>304</v>
      </c>
      <c r="C305" t="s">
        <v>144</v>
      </c>
      <c r="D305" t="s">
        <v>302</v>
      </c>
      <c r="E305">
        <f t="shared" si="100"/>
        <v>43</v>
      </c>
      <c r="G305">
        <f t="shared" si="84"/>
        <v>6</v>
      </c>
      <c r="H305" t="str">
        <f t="shared" si="85"/>
        <v/>
      </c>
      <c r="I305" t="str">
        <f t="shared" si="86"/>
        <v/>
      </c>
      <c r="J305" t="str">
        <f t="shared" si="87"/>
        <v/>
      </c>
      <c r="K305" t="str">
        <f t="shared" si="88"/>
        <v/>
      </c>
      <c r="L305" t="str">
        <f t="shared" si="89"/>
        <v/>
      </c>
      <c r="M305" t="str">
        <f t="shared" si="90"/>
        <v/>
      </c>
      <c r="N305" t="str">
        <f t="shared" si="91"/>
        <v/>
      </c>
      <c r="O305" t="str">
        <f t="shared" si="92"/>
        <v/>
      </c>
      <c r="P305" t="str">
        <f t="shared" si="93"/>
        <v/>
      </c>
      <c r="Q305" t="str">
        <f t="shared" si="94"/>
        <v/>
      </c>
      <c r="R305" t="str">
        <f t="shared" si="95"/>
        <v/>
      </c>
      <c r="S305" t="str">
        <f t="shared" si="96"/>
        <v/>
      </c>
      <c r="T305" t="str">
        <f t="shared" si="97"/>
        <v/>
      </c>
      <c r="U305" t="str">
        <f t="shared" si="98"/>
        <v/>
      </c>
      <c r="V305" t="str">
        <f t="shared" si="99"/>
        <v/>
      </c>
      <c r="W305" t="str">
        <f t="shared" si="82"/>
        <v xml:space="preserve">              </v>
      </c>
    </row>
    <row r="306" spans="1:23" customFormat="1" hidden="1">
      <c r="A306" t="b">
        <f t="shared" si="81"/>
        <v>0</v>
      </c>
      <c r="B306">
        <f t="shared" si="83"/>
        <v>305</v>
      </c>
      <c r="C306" t="s">
        <v>144</v>
      </c>
      <c r="D306" t="s">
        <v>303</v>
      </c>
      <c r="E306">
        <f t="shared" si="100"/>
        <v>31</v>
      </c>
      <c r="G306">
        <f t="shared" si="84"/>
        <v>7</v>
      </c>
      <c r="H306" t="str">
        <f t="shared" si="85"/>
        <v/>
      </c>
      <c r="I306" t="str">
        <f t="shared" si="86"/>
        <v/>
      </c>
      <c r="J306" t="str">
        <f t="shared" si="87"/>
        <v/>
      </c>
      <c r="K306" t="str">
        <f t="shared" si="88"/>
        <v/>
      </c>
      <c r="L306" t="str">
        <f t="shared" si="89"/>
        <v/>
      </c>
      <c r="M306" t="str">
        <f t="shared" si="90"/>
        <v/>
      </c>
      <c r="N306" t="str">
        <f t="shared" si="91"/>
        <v/>
      </c>
      <c r="O306" t="str">
        <f t="shared" si="92"/>
        <v/>
      </c>
      <c r="P306" t="str">
        <f t="shared" si="93"/>
        <v/>
      </c>
      <c r="Q306" t="str">
        <f t="shared" si="94"/>
        <v/>
      </c>
      <c r="R306" t="str">
        <f t="shared" si="95"/>
        <v/>
      </c>
      <c r="S306" t="str">
        <f t="shared" si="96"/>
        <v/>
      </c>
      <c r="T306" t="str">
        <f t="shared" si="97"/>
        <v/>
      </c>
      <c r="U306" t="str">
        <f t="shared" si="98"/>
        <v/>
      </c>
      <c r="V306" t="str">
        <f t="shared" si="99"/>
        <v/>
      </c>
      <c r="W306" t="str">
        <f t="shared" si="82"/>
        <v xml:space="preserve">              </v>
      </c>
    </row>
    <row r="307" spans="1:23" hidden="1">
      <c r="A307" s="71" t="b">
        <f t="shared" si="81"/>
        <v>0</v>
      </c>
      <c r="B307" s="71">
        <f t="shared" si="83"/>
        <v>306</v>
      </c>
      <c r="C307" s="71" t="s">
        <v>144</v>
      </c>
      <c r="D307" s="71" t="s">
        <v>304</v>
      </c>
      <c r="E307">
        <f t="shared" si="100"/>
        <v>27</v>
      </c>
      <c r="F307">
        <v>1</v>
      </c>
      <c r="G307">
        <f t="shared" si="84"/>
        <v>1</v>
      </c>
      <c r="H307" t="str">
        <f t="shared" si="85"/>
        <v>Procurement management plan</v>
      </c>
      <c r="I307" t="str">
        <f t="shared" si="86"/>
        <v>The procurement management plan</v>
      </c>
      <c r="J307" t="str">
        <f t="shared" si="87"/>
        <v>controls how the project will acquire</v>
      </c>
      <c r="K307" t="str">
        <f t="shared" si="88"/>
        <v>goods and services.</v>
      </c>
      <c r="L307" t="str">
        <f t="shared" si="89"/>
        <v/>
      </c>
      <c r="M307" t="str">
        <f t="shared" si="90"/>
        <v/>
      </c>
      <c r="N307" t="str">
        <f t="shared" si="91"/>
        <v/>
      </c>
      <c r="O307" t="str">
        <f t="shared" si="92"/>
        <v/>
      </c>
      <c r="P307" t="str">
        <f t="shared" si="93"/>
        <v/>
      </c>
      <c r="Q307" t="str">
        <f t="shared" si="94"/>
        <v/>
      </c>
      <c r="R307" t="str">
        <f t="shared" si="95"/>
        <v/>
      </c>
      <c r="S307" t="str">
        <f t="shared" si="96"/>
        <v/>
      </c>
      <c r="T307" t="str">
        <f t="shared" si="97"/>
        <v/>
      </c>
      <c r="U307" t="str">
        <f t="shared" si="98"/>
        <v/>
      </c>
      <c r="V307" t="str">
        <f t="shared" si="99"/>
        <v/>
      </c>
      <c r="W307" s="71" t="str">
        <f>CONCATENATE(H307," ",I307," ",J307," ",K307," ",L307," ",M307," ",N307," ",O307," ",P307," ",Q307," ",R307," ",S307," ",T307," ",U307," ",V307)</f>
        <v xml:space="preserve">Procurement management plan The procurement management plan controls how the project will acquire goods and services.           </v>
      </c>
    </row>
    <row r="308" spans="1:23" customFormat="1" hidden="1">
      <c r="A308" t="b">
        <f t="shared" si="81"/>
        <v>0</v>
      </c>
      <c r="B308">
        <f t="shared" si="83"/>
        <v>307</v>
      </c>
      <c r="C308" t="s">
        <v>144</v>
      </c>
      <c r="D308" t="s">
        <v>305</v>
      </c>
      <c r="E308">
        <f t="shared" si="100"/>
        <v>31</v>
      </c>
      <c r="G308">
        <f t="shared" si="84"/>
        <v>2</v>
      </c>
      <c r="H308" t="str">
        <f t="shared" si="85"/>
        <v/>
      </c>
      <c r="I308" t="str">
        <f t="shared" si="86"/>
        <v/>
      </c>
      <c r="J308" t="str">
        <f t="shared" si="87"/>
        <v/>
      </c>
      <c r="K308" t="str">
        <f t="shared" si="88"/>
        <v/>
      </c>
      <c r="L308" t="str">
        <f t="shared" si="89"/>
        <v/>
      </c>
      <c r="M308" t="str">
        <f t="shared" si="90"/>
        <v/>
      </c>
      <c r="N308" t="str">
        <f t="shared" si="91"/>
        <v/>
      </c>
      <c r="O308" t="str">
        <f t="shared" si="92"/>
        <v/>
      </c>
      <c r="P308" t="str">
        <f t="shared" si="93"/>
        <v/>
      </c>
      <c r="Q308" t="str">
        <f t="shared" si="94"/>
        <v/>
      </c>
      <c r="R308" t="str">
        <f t="shared" si="95"/>
        <v/>
      </c>
      <c r="S308" t="str">
        <f t="shared" si="96"/>
        <v/>
      </c>
      <c r="T308" t="str">
        <f t="shared" si="97"/>
        <v/>
      </c>
      <c r="U308" t="str">
        <f t="shared" si="98"/>
        <v/>
      </c>
      <c r="V308" t="str">
        <f t="shared" si="99"/>
        <v/>
      </c>
      <c r="W308" t="str">
        <f t="shared" si="82"/>
        <v xml:space="preserve">              </v>
      </c>
    </row>
    <row r="309" spans="1:23" customFormat="1" hidden="1">
      <c r="A309" t="b">
        <f t="shared" si="81"/>
        <v>0</v>
      </c>
      <c r="B309">
        <f t="shared" si="83"/>
        <v>308</v>
      </c>
      <c r="C309" t="s">
        <v>144</v>
      </c>
      <c r="D309" t="s">
        <v>306</v>
      </c>
      <c r="E309">
        <f t="shared" si="100"/>
        <v>37</v>
      </c>
      <c r="G309">
        <f t="shared" si="84"/>
        <v>3</v>
      </c>
      <c r="H309" t="str">
        <f t="shared" si="85"/>
        <v/>
      </c>
      <c r="I309" t="str">
        <f t="shared" si="86"/>
        <v/>
      </c>
      <c r="J309" t="str">
        <f t="shared" si="87"/>
        <v/>
      </c>
      <c r="K309" t="str">
        <f t="shared" si="88"/>
        <v/>
      </c>
      <c r="L309" t="str">
        <f t="shared" si="89"/>
        <v/>
      </c>
      <c r="M309" t="str">
        <f t="shared" si="90"/>
        <v/>
      </c>
      <c r="N309" t="str">
        <f t="shared" si="91"/>
        <v/>
      </c>
      <c r="O309" t="str">
        <f t="shared" si="92"/>
        <v/>
      </c>
      <c r="P309" t="str">
        <f t="shared" si="93"/>
        <v/>
      </c>
      <c r="Q309" t="str">
        <f t="shared" si="94"/>
        <v/>
      </c>
      <c r="R309" t="str">
        <f t="shared" si="95"/>
        <v/>
      </c>
      <c r="S309" t="str">
        <f t="shared" si="96"/>
        <v/>
      </c>
      <c r="T309" t="str">
        <f t="shared" si="97"/>
        <v/>
      </c>
      <c r="U309" t="str">
        <f t="shared" si="98"/>
        <v/>
      </c>
      <c r="V309" t="str">
        <f t="shared" si="99"/>
        <v/>
      </c>
      <c r="W309" t="str">
        <f t="shared" si="82"/>
        <v xml:space="preserve">              </v>
      </c>
    </row>
    <row r="310" spans="1:23" customFormat="1" hidden="1">
      <c r="A310" t="b">
        <f t="shared" si="81"/>
        <v>0</v>
      </c>
      <c r="B310">
        <f t="shared" si="83"/>
        <v>309</v>
      </c>
      <c r="C310" t="s">
        <v>144</v>
      </c>
      <c r="D310" t="s">
        <v>307</v>
      </c>
      <c r="E310">
        <f t="shared" si="100"/>
        <v>19</v>
      </c>
      <c r="G310">
        <f t="shared" si="84"/>
        <v>4</v>
      </c>
      <c r="H310" t="str">
        <f t="shared" si="85"/>
        <v/>
      </c>
      <c r="I310" t="str">
        <f t="shared" si="86"/>
        <v/>
      </c>
      <c r="J310" t="str">
        <f t="shared" si="87"/>
        <v/>
      </c>
      <c r="K310" t="str">
        <f t="shared" si="88"/>
        <v/>
      </c>
      <c r="L310" t="str">
        <f t="shared" si="89"/>
        <v/>
      </c>
      <c r="M310" t="str">
        <f t="shared" si="90"/>
        <v/>
      </c>
      <c r="N310" t="str">
        <f t="shared" si="91"/>
        <v/>
      </c>
      <c r="O310" t="str">
        <f t="shared" si="92"/>
        <v/>
      </c>
      <c r="P310" t="str">
        <f t="shared" si="93"/>
        <v/>
      </c>
      <c r="Q310" t="str">
        <f t="shared" si="94"/>
        <v/>
      </c>
      <c r="R310" t="str">
        <f t="shared" si="95"/>
        <v/>
      </c>
      <c r="S310" t="str">
        <f t="shared" si="96"/>
        <v/>
      </c>
      <c r="T310" t="str">
        <f t="shared" si="97"/>
        <v/>
      </c>
      <c r="U310" t="str">
        <f t="shared" si="98"/>
        <v/>
      </c>
      <c r="V310" t="str">
        <f t="shared" si="99"/>
        <v/>
      </c>
      <c r="W310" t="str">
        <f t="shared" si="82"/>
        <v xml:space="preserve">              </v>
      </c>
    </row>
    <row r="311" spans="1:23" hidden="1">
      <c r="A311" s="71" t="b">
        <f t="shared" si="81"/>
        <v>0</v>
      </c>
      <c r="B311" s="71">
        <f t="shared" si="83"/>
        <v>310</v>
      </c>
      <c r="C311" s="71" t="s">
        <v>144</v>
      </c>
      <c r="D311" s="71" t="s">
        <v>308</v>
      </c>
      <c r="E311">
        <f t="shared" si="100"/>
        <v>15</v>
      </c>
      <c r="F311">
        <v>1</v>
      </c>
      <c r="G311">
        <f t="shared" si="84"/>
        <v>1</v>
      </c>
      <c r="H311" t="str">
        <f t="shared" si="85"/>
        <v>Project charter</v>
      </c>
      <c r="I311" t="str">
        <f t="shared" si="86"/>
        <v>This document authorizes the project. It</v>
      </c>
      <c r="J311" t="str">
        <f t="shared" si="87"/>
        <v>defines the initial requirements of the</v>
      </c>
      <c r="K311" t="str">
        <f t="shared" si="88"/>
        <v>project stakeholders. The project charter</v>
      </c>
      <c r="L311" t="str">
        <f t="shared" si="89"/>
        <v>is endorsed by an entity outside of the</v>
      </c>
      <c r="M311" t="str">
        <f t="shared" si="90"/>
        <v>project boundaries.</v>
      </c>
      <c r="N311" t="str">
        <f t="shared" si="91"/>
        <v/>
      </c>
      <c r="O311" t="str">
        <f t="shared" si="92"/>
        <v/>
      </c>
      <c r="P311" t="str">
        <f t="shared" si="93"/>
        <v/>
      </c>
      <c r="Q311" t="str">
        <f t="shared" si="94"/>
        <v/>
      </c>
      <c r="R311" t="str">
        <f t="shared" si="95"/>
        <v/>
      </c>
      <c r="S311" t="str">
        <f t="shared" si="96"/>
        <v/>
      </c>
      <c r="T311" t="str">
        <f t="shared" si="97"/>
        <v/>
      </c>
      <c r="U311" t="str">
        <f t="shared" si="98"/>
        <v/>
      </c>
      <c r="V311" t="str">
        <f t="shared" si="99"/>
        <v/>
      </c>
      <c r="W311" s="71" t="str">
        <f>CONCATENATE(H311," ",I311," ",J311," ",K311," ",L311," ",M311," ",N311," ",O311," ",P311," ",Q311," ",R311," ",S311," ",T311," ",U311," ",V311)</f>
        <v xml:space="preserve">Project charter This document authorizes the project. It defines the initial requirements of the project stakeholders. The project charter is endorsed by an entity outside of the project boundaries.         </v>
      </c>
    </row>
    <row r="312" spans="1:23" customFormat="1" hidden="1">
      <c r="A312" t="b">
        <f t="shared" si="81"/>
        <v>0</v>
      </c>
      <c r="B312">
        <f t="shared" si="83"/>
        <v>311</v>
      </c>
      <c r="C312" t="s">
        <v>144</v>
      </c>
      <c r="D312" t="s">
        <v>309</v>
      </c>
      <c r="E312">
        <f t="shared" si="100"/>
        <v>40</v>
      </c>
      <c r="G312">
        <f t="shared" si="84"/>
        <v>2</v>
      </c>
      <c r="H312" t="str">
        <f t="shared" si="85"/>
        <v/>
      </c>
      <c r="I312" t="str">
        <f t="shared" si="86"/>
        <v/>
      </c>
      <c r="J312" t="str">
        <f t="shared" si="87"/>
        <v/>
      </c>
      <c r="K312" t="str">
        <f t="shared" si="88"/>
        <v/>
      </c>
      <c r="L312" t="str">
        <f t="shared" si="89"/>
        <v/>
      </c>
      <c r="M312" t="str">
        <f t="shared" si="90"/>
        <v/>
      </c>
      <c r="N312" t="str">
        <f t="shared" si="91"/>
        <v/>
      </c>
      <c r="O312" t="str">
        <f t="shared" si="92"/>
        <v/>
      </c>
      <c r="P312" t="str">
        <f t="shared" si="93"/>
        <v/>
      </c>
      <c r="Q312" t="str">
        <f t="shared" si="94"/>
        <v/>
      </c>
      <c r="R312" t="str">
        <f t="shared" si="95"/>
        <v/>
      </c>
      <c r="S312" t="str">
        <f t="shared" si="96"/>
        <v/>
      </c>
      <c r="T312" t="str">
        <f t="shared" si="97"/>
        <v/>
      </c>
      <c r="U312" t="str">
        <f t="shared" si="98"/>
        <v/>
      </c>
      <c r="V312" t="str">
        <f t="shared" si="99"/>
        <v/>
      </c>
      <c r="W312" t="str">
        <f t="shared" si="82"/>
        <v xml:space="preserve">              </v>
      </c>
    </row>
    <row r="313" spans="1:23" customFormat="1" hidden="1">
      <c r="A313" t="b">
        <f t="shared" si="81"/>
        <v>0</v>
      </c>
      <c r="B313">
        <f t="shared" si="83"/>
        <v>312</v>
      </c>
      <c r="C313" t="s">
        <v>144</v>
      </c>
      <c r="D313" t="s">
        <v>310</v>
      </c>
      <c r="E313">
        <f t="shared" si="100"/>
        <v>39</v>
      </c>
      <c r="G313">
        <f t="shared" si="84"/>
        <v>3</v>
      </c>
      <c r="H313" t="str">
        <f t="shared" si="85"/>
        <v/>
      </c>
      <c r="I313" t="str">
        <f t="shared" si="86"/>
        <v/>
      </c>
      <c r="J313" t="str">
        <f t="shared" si="87"/>
        <v/>
      </c>
      <c r="K313" t="str">
        <f t="shared" si="88"/>
        <v/>
      </c>
      <c r="L313" t="str">
        <f t="shared" si="89"/>
        <v/>
      </c>
      <c r="M313" t="str">
        <f t="shared" si="90"/>
        <v/>
      </c>
      <c r="N313" t="str">
        <f t="shared" si="91"/>
        <v/>
      </c>
      <c r="O313" t="str">
        <f t="shared" si="92"/>
        <v/>
      </c>
      <c r="P313" t="str">
        <f t="shared" si="93"/>
        <v/>
      </c>
      <c r="Q313" t="str">
        <f t="shared" si="94"/>
        <v/>
      </c>
      <c r="R313" t="str">
        <f t="shared" si="95"/>
        <v/>
      </c>
      <c r="S313" t="str">
        <f t="shared" si="96"/>
        <v/>
      </c>
      <c r="T313" t="str">
        <f t="shared" si="97"/>
        <v/>
      </c>
      <c r="U313" t="str">
        <f t="shared" si="98"/>
        <v/>
      </c>
      <c r="V313" t="str">
        <f t="shared" si="99"/>
        <v/>
      </c>
      <c r="W313" t="str">
        <f t="shared" si="82"/>
        <v xml:space="preserve">              </v>
      </c>
    </row>
    <row r="314" spans="1:23" customFormat="1" hidden="1">
      <c r="A314" t="b">
        <f t="shared" si="81"/>
        <v>0</v>
      </c>
      <c r="B314">
        <f t="shared" si="83"/>
        <v>313</v>
      </c>
      <c r="C314" t="s">
        <v>144</v>
      </c>
      <c r="D314" t="s">
        <v>311</v>
      </c>
      <c r="E314">
        <f t="shared" si="100"/>
        <v>41</v>
      </c>
      <c r="G314">
        <f t="shared" si="84"/>
        <v>4</v>
      </c>
      <c r="H314" t="str">
        <f t="shared" si="85"/>
        <v/>
      </c>
      <c r="I314" t="str">
        <f t="shared" si="86"/>
        <v/>
      </c>
      <c r="J314" t="str">
        <f t="shared" si="87"/>
        <v/>
      </c>
      <c r="K314" t="str">
        <f t="shared" si="88"/>
        <v/>
      </c>
      <c r="L314" t="str">
        <f t="shared" si="89"/>
        <v/>
      </c>
      <c r="M314" t="str">
        <f t="shared" si="90"/>
        <v/>
      </c>
      <c r="N314" t="str">
        <f t="shared" si="91"/>
        <v/>
      </c>
      <c r="O314" t="str">
        <f t="shared" si="92"/>
        <v/>
      </c>
      <c r="P314" t="str">
        <f t="shared" si="93"/>
        <v/>
      </c>
      <c r="Q314" t="str">
        <f t="shared" si="94"/>
        <v/>
      </c>
      <c r="R314" t="str">
        <f t="shared" si="95"/>
        <v/>
      </c>
      <c r="S314" t="str">
        <f t="shared" si="96"/>
        <v/>
      </c>
      <c r="T314" t="str">
        <f t="shared" si="97"/>
        <v/>
      </c>
      <c r="U314" t="str">
        <f t="shared" si="98"/>
        <v/>
      </c>
      <c r="V314" t="str">
        <f t="shared" si="99"/>
        <v/>
      </c>
      <c r="W314" t="str">
        <f t="shared" si="82"/>
        <v xml:space="preserve">              </v>
      </c>
    </row>
    <row r="315" spans="1:23" customFormat="1" hidden="1">
      <c r="A315" t="b">
        <f t="shared" si="81"/>
        <v>0</v>
      </c>
      <c r="B315">
        <f t="shared" si="83"/>
        <v>314</v>
      </c>
      <c r="C315" t="s">
        <v>144</v>
      </c>
      <c r="D315" t="s">
        <v>312</v>
      </c>
      <c r="E315">
        <f t="shared" si="100"/>
        <v>39</v>
      </c>
      <c r="G315">
        <f t="shared" si="84"/>
        <v>5</v>
      </c>
      <c r="H315" t="str">
        <f t="shared" si="85"/>
        <v/>
      </c>
      <c r="I315" t="str">
        <f t="shared" si="86"/>
        <v/>
      </c>
      <c r="J315" t="str">
        <f t="shared" si="87"/>
        <v/>
      </c>
      <c r="K315" t="str">
        <f t="shared" si="88"/>
        <v/>
      </c>
      <c r="L315" t="str">
        <f t="shared" si="89"/>
        <v/>
      </c>
      <c r="M315" t="str">
        <f t="shared" si="90"/>
        <v/>
      </c>
      <c r="N315" t="str">
        <f t="shared" si="91"/>
        <v/>
      </c>
      <c r="O315" t="str">
        <f t="shared" si="92"/>
        <v/>
      </c>
      <c r="P315" t="str">
        <f t="shared" si="93"/>
        <v/>
      </c>
      <c r="Q315" t="str">
        <f t="shared" si="94"/>
        <v/>
      </c>
      <c r="R315" t="str">
        <f t="shared" si="95"/>
        <v/>
      </c>
      <c r="S315" t="str">
        <f t="shared" si="96"/>
        <v/>
      </c>
      <c r="T315" t="str">
        <f t="shared" si="97"/>
        <v/>
      </c>
      <c r="U315" t="str">
        <f t="shared" si="98"/>
        <v/>
      </c>
      <c r="V315" t="str">
        <f t="shared" si="99"/>
        <v/>
      </c>
      <c r="W315" t="str">
        <f t="shared" si="82"/>
        <v xml:space="preserve">              </v>
      </c>
    </row>
    <row r="316" spans="1:23" customFormat="1" hidden="1">
      <c r="A316" t="b">
        <f t="shared" si="81"/>
        <v>0</v>
      </c>
      <c r="B316">
        <f t="shared" si="83"/>
        <v>315</v>
      </c>
      <c r="C316" t="s">
        <v>144</v>
      </c>
      <c r="D316" t="s">
        <v>313</v>
      </c>
      <c r="E316">
        <f t="shared" si="100"/>
        <v>19</v>
      </c>
      <c r="G316">
        <f t="shared" si="84"/>
        <v>6</v>
      </c>
      <c r="H316" t="str">
        <f t="shared" si="85"/>
        <v/>
      </c>
      <c r="I316" t="str">
        <f t="shared" si="86"/>
        <v/>
      </c>
      <c r="J316" t="str">
        <f t="shared" si="87"/>
        <v/>
      </c>
      <c r="K316" t="str">
        <f t="shared" si="88"/>
        <v/>
      </c>
      <c r="L316" t="str">
        <f t="shared" si="89"/>
        <v/>
      </c>
      <c r="M316" t="str">
        <f t="shared" si="90"/>
        <v/>
      </c>
      <c r="N316" t="str">
        <f t="shared" si="91"/>
        <v/>
      </c>
      <c r="O316" t="str">
        <f t="shared" si="92"/>
        <v/>
      </c>
      <c r="P316" t="str">
        <f t="shared" si="93"/>
        <v/>
      </c>
      <c r="Q316" t="str">
        <f t="shared" si="94"/>
        <v/>
      </c>
      <c r="R316" t="str">
        <f t="shared" si="95"/>
        <v/>
      </c>
      <c r="S316" t="str">
        <f t="shared" si="96"/>
        <v/>
      </c>
      <c r="T316" t="str">
        <f t="shared" si="97"/>
        <v/>
      </c>
      <c r="U316" t="str">
        <f t="shared" si="98"/>
        <v/>
      </c>
      <c r="V316" t="str">
        <f t="shared" si="99"/>
        <v/>
      </c>
      <c r="W316" t="str">
        <f t="shared" si="82"/>
        <v xml:space="preserve">              </v>
      </c>
    </row>
    <row r="317" spans="1:23" hidden="1">
      <c r="A317" s="71" t="b">
        <f t="shared" si="81"/>
        <v>0</v>
      </c>
      <c r="B317" s="71">
        <f t="shared" si="83"/>
        <v>316</v>
      </c>
      <c r="C317" s="71" t="s">
        <v>144</v>
      </c>
      <c r="D317" s="71" t="s">
        <v>314</v>
      </c>
      <c r="E317">
        <f t="shared" si="100"/>
        <v>23</v>
      </c>
      <c r="F317">
        <v>1</v>
      </c>
      <c r="G317">
        <f t="shared" si="84"/>
        <v>1</v>
      </c>
      <c r="H317" t="str">
        <f t="shared" si="85"/>
        <v>Project management plan</v>
      </c>
      <c r="I317" t="str">
        <f t="shared" si="86"/>
        <v>The documented approach of how a</v>
      </c>
      <c r="J317" t="str">
        <f t="shared" si="87"/>
        <v>project will be planned, executed,</v>
      </c>
      <c r="K317" t="str">
        <f t="shared" si="88"/>
        <v>monitored and controlled, and then</v>
      </c>
      <c r="L317" t="str">
        <f t="shared" si="89"/>
        <v>closed. This document is a collection of</v>
      </c>
      <c r="M317" t="str">
        <f t="shared" si="90"/>
        <v>subsidiary management plans and related</v>
      </c>
      <c r="N317" t="str">
        <f t="shared" si="91"/>
        <v>documents.</v>
      </c>
      <c r="O317" t="str">
        <f t="shared" si="92"/>
        <v/>
      </c>
      <c r="P317" t="str">
        <f t="shared" si="93"/>
        <v/>
      </c>
      <c r="Q317" t="str">
        <f t="shared" si="94"/>
        <v/>
      </c>
      <c r="R317" t="str">
        <f t="shared" si="95"/>
        <v/>
      </c>
      <c r="S317" t="str">
        <f t="shared" si="96"/>
        <v/>
      </c>
      <c r="T317" t="str">
        <f t="shared" si="97"/>
        <v/>
      </c>
      <c r="U317" t="str">
        <f t="shared" si="98"/>
        <v/>
      </c>
      <c r="V317" t="str">
        <f t="shared" si="99"/>
        <v/>
      </c>
      <c r="W317" s="71" t="str">
        <f>CONCATENATE(H317," ",I317," ",J317," ",K317," ",L317," ",M317," ",N317," ",O317," ",P317," ",Q317," ",R317," ",S317," ",T317," ",U317," ",V317)</f>
        <v xml:space="preserve">Project management plan The documented approach of how a project will be planned, executed, monitored and controlled, and then closed. This document is a collection of subsidiary management plans and related documents.        </v>
      </c>
    </row>
    <row r="318" spans="1:23" customFormat="1" hidden="1">
      <c r="A318" t="b">
        <f t="shared" si="81"/>
        <v>0</v>
      </c>
      <c r="B318">
        <f t="shared" si="83"/>
        <v>317</v>
      </c>
      <c r="C318" t="s">
        <v>144</v>
      </c>
      <c r="D318" t="s">
        <v>315</v>
      </c>
      <c r="E318">
        <f t="shared" si="100"/>
        <v>32</v>
      </c>
      <c r="G318">
        <f t="shared" si="84"/>
        <v>2</v>
      </c>
      <c r="H318" t="str">
        <f t="shared" si="85"/>
        <v/>
      </c>
      <c r="I318" t="str">
        <f t="shared" si="86"/>
        <v/>
      </c>
      <c r="J318" t="str">
        <f t="shared" si="87"/>
        <v/>
      </c>
      <c r="K318" t="str">
        <f t="shared" si="88"/>
        <v/>
      </c>
      <c r="L318" t="str">
        <f t="shared" si="89"/>
        <v/>
      </c>
      <c r="M318" t="str">
        <f t="shared" si="90"/>
        <v/>
      </c>
      <c r="N318" t="str">
        <f t="shared" si="91"/>
        <v/>
      </c>
      <c r="O318" t="str">
        <f t="shared" si="92"/>
        <v/>
      </c>
      <c r="P318" t="str">
        <f t="shared" si="93"/>
        <v/>
      </c>
      <c r="Q318" t="str">
        <f t="shared" si="94"/>
        <v/>
      </c>
      <c r="R318" t="str">
        <f t="shared" si="95"/>
        <v/>
      </c>
      <c r="S318" t="str">
        <f t="shared" si="96"/>
        <v/>
      </c>
      <c r="T318" t="str">
        <f t="shared" si="97"/>
        <v/>
      </c>
      <c r="U318" t="str">
        <f t="shared" si="98"/>
        <v/>
      </c>
      <c r="V318" t="str">
        <f t="shared" si="99"/>
        <v/>
      </c>
      <c r="W318" t="str">
        <f t="shared" si="82"/>
        <v xml:space="preserve">              </v>
      </c>
    </row>
    <row r="319" spans="1:23" customFormat="1" hidden="1">
      <c r="A319" t="b">
        <f t="shared" si="81"/>
        <v>0</v>
      </c>
      <c r="B319">
        <f t="shared" si="83"/>
        <v>318</v>
      </c>
      <c r="C319" t="s">
        <v>144</v>
      </c>
      <c r="D319" t="s">
        <v>316</v>
      </c>
      <c r="E319">
        <f t="shared" si="100"/>
        <v>34</v>
      </c>
      <c r="G319">
        <f t="shared" si="84"/>
        <v>3</v>
      </c>
      <c r="H319" t="str">
        <f t="shared" si="85"/>
        <v/>
      </c>
      <c r="I319" t="str">
        <f t="shared" si="86"/>
        <v/>
      </c>
      <c r="J319" t="str">
        <f t="shared" si="87"/>
        <v/>
      </c>
      <c r="K319" t="str">
        <f t="shared" si="88"/>
        <v/>
      </c>
      <c r="L319" t="str">
        <f t="shared" si="89"/>
        <v/>
      </c>
      <c r="M319" t="str">
        <f t="shared" si="90"/>
        <v/>
      </c>
      <c r="N319" t="str">
        <f t="shared" si="91"/>
        <v/>
      </c>
      <c r="O319" t="str">
        <f t="shared" si="92"/>
        <v/>
      </c>
      <c r="P319" t="str">
        <f t="shared" si="93"/>
        <v/>
      </c>
      <c r="Q319" t="str">
        <f t="shared" si="94"/>
        <v/>
      </c>
      <c r="R319" t="str">
        <f t="shared" si="95"/>
        <v/>
      </c>
      <c r="S319" t="str">
        <f t="shared" si="96"/>
        <v/>
      </c>
      <c r="T319" t="str">
        <f t="shared" si="97"/>
        <v/>
      </c>
      <c r="U319" t="str">
        <f t="shared" si="98"/>
        <v/>
      </c>
      <c r="V319" t="str">
        <f t="shared" si="99"/>
        <v/>
      </c>
      <c r="W319" t="str">
        <f t="shared" si="82"/>
        <v xml:space="preserve">              </v>
      </c>
    </row>
    <row r="320" spans="1:23" customFormat="1" hidden="1">
      <c r="A320" t="b">
        <f t="shared" si="81"/>
        <v>0</v>
      </c>
      <c r="B320">
        <f t="shared" si="83"/>
        <v>319</v>
      </c>
      <c r="C320" t="s">
        <v>144</v>
      </c>
      <c r="D320" t="s">
        <v>317</v>
      </c>
      <c r="E320">
        <f t="shared" si="100"/>
        <v>34</v>
      </c>
      <c r="G320">
        <f t="shared" si="84"/>
        <v>4</v>
      </c>
      <c r="H320" t="str">
        <f t="shared" si="85"/>
        <v/>
      </c>
      <c r="I320" t="str">
        <f t="shared" si="86"/>
        <v/>
      </c>
      <c r="J320" t="str">
        <f t="shared" si="87"/>
        <v/>
      </c>
      <c r="K320" t="str">
        <f t="shared" si="88"/>
        <v/>
      </c>
      <c r="L320" t="str">
        <f t="shared" si="89"/>
        <v/>
      </c>
      <c r="M320" t="str">
        <f t="shared" si="90"/>
        <v/>
      </c>
      <c r="N320" t="str">
        <f t="shared" si="91"/>
        <v/>
      </c>
      <c r="O320" t="str">
        <f t="shared" si="92"/>
        <v/>
      </c>
      <c r="P320" t="str">
        <f t="shared" si="93"/>
        <v/>
      </c>
      <c r="Q320" t="str">
        <f t="shared" si="94"/>
        <v/>
      </c>
      <c r="R320" t="str">
        <f t="shared" si="95"/>
        <v/>
      </c>
      <c r="S320" t="str">
        <f t="shared" si="96"/>
        <v/>
      </c>
      <c r="T320" t="str">
        <f t="shared" si="97"/>
        <v/>
      </c>
      <c r="U320" t="str">
        <f t="shared" si="98"/>
        <v/>
      </c>
      <c r="V320" t="str">
        <f t="shared" si="99"/>
        <v/>
      </c>
      <c r="W320" t="str">
        <f t="shared" si="82"/>
        <v xml:space="preserve">              </v>
      </c>
    </row>
    <row r="321" spans="1:23" customFormat="1" hidden="1">
      <c r="A321" t="b">
        <f t="shared" si="81"/>
        <v>0</v>
      </c>
      <c r="B321">
        <f t="shared" si="83"/>
        <v>320</v>
      </c>
      <c r="C321" t="s">
        <v>144</v>
      </c>
      <c r="D321" t="s">
        <v>318</v>
      </c>
      <c r="E321">
        <f t="shared" si="100"/>
        <v>40</v>
      </c>
      <c r="G321">
        <f t="shared" si="84"/>
        <v>5</v>
      </c>
      <c r="H321" t="str">
        <f t="shared" si="85"/>
        <v/>
      </c>
      <c r="I321" t="str">
        <f t="shared" si="86"/>
        <v/>
      </c>
      <c r="J321" t="str">
        <f t="shared" si="87"/>
        <v/>
      </c>
      <c r="K321" t="str">
        <f t="shared" si="88"/>
        <v/>
      </c>
      <c r="L321" t="str">
        <f t="shared" si="89"/>
        <v/>
      </c>
      <c r="M321" t="str">
        <f t="shared" si="90"/>
        <v/>
      </c>
      <c r="N321" t="str">
        <f t="shared" si="91"/>
        <v/>
      </c>
      <c r="O321" t="str">
        <f t="shared" si="92"/>
        <v/>
      </c>
      <c r="P321" t="str">
        <f t="shared" si="93"/>
        <v/>
      </c>
      <c r="Q321" t="str">
        <f t="shared" si="94"/>
        <v/>
      </c>
      <c r="R321" t="str">
        <f t="shared" si="95"/>
        <v/>
      </c>
      <c r="S321" t="str">
        <f t="shared" si="96"/>
        <v/>
      </c>
      <c r="T321" t="str">
        <f t="shared" si="97"/>
        <v/>
      </c>
      <c r="U321" t="str">
        <f t="shared" si="98"/>
        <v/>
      </c>
      <c r="V321" t="str">
        <f t="shared" si="99"/>
        <v/>
      </c>
      <c r="W321" t="str">
        <f t="shared" si="82"/>
        <v xml:space="preserve">              </v>
      </c>
    </row>
    <row r="322" spans="1:23" customFormat="1" hidden="1">
      <c r="A322" t="b">
        <f t="shared" ref="A322:A385" si="101">C322=D322</f>
        <v>0</v>
      </c>
      <c r="B322">
        <f t="shared" si="83"/>
        <v>321</v>
      </c>
      <c r="C322" t="s">
        <v>144</v>
      </c>
      <c r="D322" t="s">
        <v>319</v>
      </c>
      <c r="E322">
        <f t="shared" si="100"/>
        <v>39</v>
      </c>
      <c r="G322">
        <f t="shared" si="84"/>
        <v>6</v>
      </c>
      <c r="H322" t="str">
        <f t="shared" si="85"/>
        <v/>
      </c>
      <c r="I322" t="str">
        <f t="shared" si="86"/>
        <v/>
      </c>
      <c r="J322" t="str">
        <f t="shared" si="87"/>
        <v/>
      </c>
      <c r="K322" t="str">
        <f t="shared" si="88"/>
        <v/>
      </c>
      <c r="L322" t="str">
        <f t="shared" si="89"/>
        <v/>
      </c>
      <c r="M322" t="str">
        <f t="shared" si="90"/>
        <v/>
      </c>
      <c r="N322" t="str">
        <f t="shared" si="91"/>
        <v/>
      </c>
      <c r="O322" t="str">
        <f t="shared" si="92"/>
        <v/>
      </c>
      <c r="P322" t="str">
        <f t="shared" si="93"/>
        <v/>
      </c>
      <c r="Q322" t="str">
        <f t="shared" si="94"/>
        <v/>
      </c>
      <c r="R322" t="str">
        <f t="shared" si="95"/>
        <v/>
      </c>
      <c r="S322" t="str">
        <f t="shared" si="96"/>
        <v/>
      </c>
      <c r="T322" t="str">
        <f t="shared" si="97"/>
        <v/>
      </c>
      <c r="U322" t="str">
        <f t="shared" si="98"/>
        <v/>
      </c>
      <c r="V322" t="str">
        <f t="shared" si="99"/>
        <v/>
      </c>
      <c r="W322" t="str">
        <f t="shared" ref="W322:W385" si="102">CONCATENATE(H322," ",I322," ",J322," ",K322," ",L322," ",M322," ",N322," ",O322," ",P322," ",Q322," ",R322," ",S322," ",T322," ",U322," ",V322)</f>
        <v xml:space="preserve">              </v>
      </c>
    </row>
    <row r="323" spans="1:23" customFormat="1" hidden="1">
      <c r="A323" t="b">
        <f t="shared" si="101"/>
        <v>0</v>
      </c>
      <c r="B323">
        <f t="shared" si="83"/>
        <v>322</v>
      </c>
      <c r="C323" t="s">
        <v>144</v>
      </c>
      <c r="D323" t="s">
        <v>320</v>
      </c>
      <c r="E323">
        <f t="shared" si="100"/>
        <v>10</v>
      </c>
      <c r="G323">
        <f t="shared" si="84"/>
        <v>7</v>
      </c>
      <c r="H323" t="str">
        <f t="shared" si="85"/>
        <v/>
      </c>
      <c r="I323" t="str">
        <f t="shared" si="86"/>
        <v/>
      </c>
      <c r="J323" t="str">
        <f t="shared" si="87"/>
        <v/>
      </c>
      <c r="K323" t="str">
        <f t="shared" si="88"/>
        <v/>
      </c>
      <c r="L323" t="str">
        <f t="shared" si="89"/>
        <v/>
      </c>
      <c r="M323" t="str">
        <f t="shared" si="90"/>
        <v/>
      </c>
      <c r="N323" t="str">
        <f t="shared" si="91"/>
        <v/>
      </c>
      <c r="O323" t="str">
        <f t="shared" si="92"/>
        <v/>
      </c>
      <c r="P323" t="str">
        <f t="shared" si="93"/>
        <v/>
      </c>
      <c r="Q323" t="str">
        <f t="shared" si="94"/>
        <v/>
      </c>
      <c r="R323" t="str">
        <f t="shared" si="95"/>
        <v/>
      </c>
      <c r="S323" t="str">
        <f t="shared" si="96"/>
        <v/>
      </c>
      <c r="T323" t="str">
        <f t="shared" si="97"/>
        <v/>
      </c>
      <c r="U323" t="str">
        <f t="shared" si="98"/>
        <v/>
      </c>
      <c r="V323" t="str">
        <f t="shared" si="99"/>
        <v/>
      </c>
      <c r="W323" t="str">
        <f t="shared" si="102"/>
        <v xml:space="preserve">              </v>
      </c>
    </row>
    <row r="324" spans="1:23" hidden="1">
      <c r="A324" s="71" t="b">
        <f t="shared" si="101"/>
        <v>0</v>
      </c>
      <c r="B324" s="71">
        <f t="shared" ref="B324:B387" si="103">B323+1</f>
        <v>323</v>
      </c>
      <c r="C324" s="71" t="s">
        <v>144</v>
      </c>
      <c r="D324" s="71" t="s">
        <v>321</v>
      </c>
      <c r="E324">
        <f t="shared" si="100"/>
        <v>29</v>
      </c>
      <c r="F324">
        <v>1</v>
      </c>
      <c r="G324">
        <f t="shared" ref="G324:G387" si="104">IF(F324=1,1,G323+1)</f>
        <v>1</v>
      </c>
      <c r="H324" t="str">
        <f t="shared" ref="H324:H387" si="105">IF($G324=H$1,$D324,"")</f>
        <v>Project scope management plan</v>
      </c>
      <c r="I324" t="str">
        <f t="shared" ref="I324:I387" si="106">IF($G325=I$1,$D325,"")</f>
        <v>Defines how the project scope will be</v>
      </c>
      <c r="J324" t="str">
        <f t="shared" ref="J324:J387" si="107">IF($G326=J$1,$D326,"")</f>
        <v>planned, managed, and controlled.</v>
      </c>
      <c r="K324" t="str">
        <f t="shared" ref="K324:K387" si="108">IF($G327=K$1,$D327,"")</f>
        <v/>
      </c>
      <c r="L324" t="str">
        <f t="shared" ref="L324:L387" si="109">IF($G328=L$1,$D328,"")</f>
        <v/>
      </c>
      <c r="M324" t="str">
        <f t="shared" ref="M324:M387" si="110">IF($G329=M$1,$D329,"")</f>
        <v/>
      </c>
      <c r="N324" t="str">
        <f t="shared" ref="N324:N387" si="111">IF($G330=N$1,$D330,"")</f>
        <v/>
      </c>
      <c r="O324" t="str">
        <f t="shared" ref="O324:O387" si="112">IF($G331=O$1,$D331,"")</f>
        <v/>
      </c>
      <c r="P324" t="str">
        <f t="shared" ref="P324:P387" si="113">IF($G332=P$1,$D332,"")</f>
        <v/>
      </c>
      <c r="Q324" t="str">
        <f t="shared" ref="Q324:Q387" si="114">IF($G333=Q$1,$D333,"")</f>
        <v/>
      </c>
      <c r="R324" t="str">
        <f t="shared" ref="R324:R387" si="115">IF($G334=R$1,$D334,"")</f>
        <v/>
      </c>
      <c r="S324" t="str">
        <f t="shared" ref="S324:S387" si="116">IF($G335=S$1,$D335,"")</f>
        <v/>
      </c>
      <c r="T324" t="str">
        <f t="shared" ref="T324:T387" si="117">IF($G336=T$1,$D336,"")</f>
        <v/>
      </c>
      <c r="U324" t="str">
        <f t="shared" ref="U324:U387" si="118">IF($G337=U$1,$D337,"")</f>
        <v/>
      </c>
      <c r="V324" t="str">
        <f t="shared" ref="V324:V387" si="119">IF($G338=V$1,$D338,"")</f>
        <v/>
      </c>
      <c r="W324" s="71" t="str">
        <f>CONCATENATE(H324," ",I324," ",J324," ",K324," ",L324," ",M324," ",N324," ",O324," ",P324," ",Q324," ",R324," ",S324," ",T324," ",U324," ",V324)</f>
        <v xml:space="preserve">Project scope management plan Defines how the project scope will be planned, managed, and controlled.            </v>
      </c>
    </row>
    <row r="325" spans="1:23" customFormat="1" hidden="1">
      <c r="A325" t="b">
        <f t="shared" si="101"/>
        <v>0</v>
      </c>
      <c r="B325">
        <f t="shared" si="103"/>
        <v>324</v>
      </c>
      <c r="C325" t="s">
        <v>144</v>
      </c>
      <c r="D325" t="s">
        <v>322</v>
      </c>
      <c r="E325">
        <f t="shared" si="100"/>
        <v>37</v>
      </c>
      <c r="G325">
        <f t="shared" si="104"/>
        <v>2</v>
      </c>
      <c r="H325" t="str">
        <f t="shared" si="105"/>
        <v/>
      </c>
      <c r="I325" t="str">
        <f t="shared" si="106"/>
        <v/>
      </c>
      <c r="J325" t="str">
        <f t="shared" si="107"/>
        <v/>
      </c>
      <c r="K325" t="str">
        <f t="shared" si="108"/>
        <v/>
      </c>
      <c r="L325" t="str">
        <f t="shared" si="109"/>
        <v/>
      </c>
      <c r="M325" t="str">
        <f t="shared" si="110"/>
        <v/>
      </c>
      <c r="N325" t="str">
        <f t="shared" si="111"/>
        <v/>
      </c>
      <c r="O325" t="str">
        <f t="shared" si="112"/>
        <v/>
      </c>
      <c r="P325" t="str">
        <f t="shared" si="113"/>
        <v/>
      </c>
      <c r="Q325" t="str">
        <f t="shared" si="114"/>
        <v/>
      </c>
      <c r="R325" t="str">
        <f t="shared" si="115"/>
        <v/>
      </c>
      <c r="S325" t="str">
        <f t="shared" si="116"/>
        <v/>
      </c>
      <c r="T325" t="str">
        <f t="shared" si="117"/>
        <v/>
      </c>
      <c r="U325" t="str">
        <f t="shared" si="118"/>
        <v/>
      </c>
      <c r="V325" t="str">
        <f t="shared" si="119"/>
        <v/>
      </c>
      <c r="W325" t="str">
        <f t="shared" si="102"/>
        <v xml:space="preserve">              </v>
      </c>
    </row>
    <row r="326" spans="1:23" customFormat="1" hidden="1">
      <c r="A326" t="b">
        <f t="shared" si="101"/>
        <v>0</v>
      </c>
      <c r="B326">
        <f t="shared" si="103"/>
        <v>325</v>
      </c>
      <c r="C326" t="s">
        <v>144</v>
      </c>
      <c r="D326" t="s">
        <v>323</v>
      </c>
      <c r="E326">
        <f t="shared" si="100"/>
        <v>33</v>
      </c>
      <c r="G326">
        <f t="shared" si="104"/>
        <v>3</v>
      </c>
      <c r="H326" t="str">
        <f t="shared" si="105"/>
        <v/>
      </c>
      <c r="I326" t="str">
        <f t="shared" si="106"/>
        <v/>
      </c>
      <c r="J326" t="str">
        <f t="shared" si="107"/>
        <v/>
      </c>
      <c r="K326" t="str">
        <f t="shared" si="108"/>
        <v/>
      </c>
      <c r="L326" t="str">
        <f t="shared" si="109"/>
        <v/>
      </c>
      <c r="M326" t="str">
        <f t="shared" si="110"/>
        <v/>
      </c>
      <c r="N326" t="str">
        <f t="shared" si="111"/>
        <v/>
      </c>
      <c r="O326" t="str">
        <f t="shared" si="112"/>
        <v/>
      </c>
      <c r="P326" t="str">
        <f t="shared" si="113"/>
        <v/>
      </c>
      <c r="Q326" t="str">
        <f t="shared" si="114"/>
        <v/>
      </c>
      <c r="R326" t="str">
        <f t="shared" si="115"/>
        <v/>
      </c>
      <c r="S326" t="str">
        <f t="shared" si="116"/>
        <v/>
      </c>
      <c r="T326" t="str">
        <f t="shared" si="117"/>
        <v/>
      </c>
      <c r="U326" t="str">
        <f t="shared" si="118"/>
        <v/>
      </c>
      <c r="V326" t="str">
        <f t="shared" si="119"/>
        <v/>
      </c>
      <c r="W326" t="str">
        <f t="shared" si="102"/>
        <v xml:space="preserve">              </v>
      </c>
    </row>
    <row r="327" spans="1:23" hidden="1">
      <c r="A327" s="71" t="b">
        <f t="shared" si="101"/>
        <v>0</v>
      </c>
      <c r="B327" s="71">
        <f t="shared" si="103"/>
        <v>326</v>
      </c>
      <c r="C327" s="71" t="s">
        <v>144</v>
      </c>
      <c r="D327" s="71" t="s">
        <v>324</v>
      </c>
      <c r="E327">
        <f t="shared" si="100"/>
        <v>16</v>
      </c>
      <c r="F327">
        <v>1</v>
      </c>
      <c r="G327">
        <f t="shared" si="104"/>
        <v>1</v>
      </c>
      <c r="H327" t="str">
        <f t="shared" si="105"/>
        <v>Quality baseline</v>
      </c>
      <c r="I327" t="str">
        <f t="shared" si="106"/>
        <v>Documents the quality objectives for the</v>
      </c>
      <c r="J327" t="str">
        <f t="shared" si="107"/>
        <v>project, including the metrics for</v>
      </c>
      <c r="K327" t="str">
        <f t="shared" si="108"/>
        <v>stakeholder acceptance of the project</v>
      </c>
      <c r="L327" t="str">
        <f t="shared" si="109"/>
        <v>deliverable.</v>
      </c>
      <c r="M327" t="str">
        <f t="shared" si="110"/>
        <v/>
      </c>
      <c r="N327" t="str">
        <f t="shared" si="111"/>
        <v/>
      </c>
      <c r="O327" t="str">
        <f t="shared" si="112"/>
        <v/>
      </c>
      <c r="P327" t="str">
        <f t="shared" si="113"/>
        <v/>
      </c>
      <c r="Q327" t="str">
        <f t="shared" si="114"/>
        <v/>
      </c>
      <c r="R327" t="str">
        <f t="shared" si="115"/>
        <v/>
      </c>
      <c r="S327" t="str">
        <f t="shared" si="116"/>
        <v/>
      </c>
      <c r="T327" t="str">
        <f t="shared" si="117"/>
        <v/>
      </c>
      <c r="U327" t="str">
        <f t="shared" si="118"/>
        <v/>
      </c>
      <c r="V327" t="str">
        <f t="shared" si="119"/>
        <v/>
      </c>
      <c r="W327" s="71" t="str">
        <f>CONCATENATE(H327," ",I327," ",J327," ",K327," ",L327," ",M327," ",N327," ",O327," ",P327," ",Q327," ",R327," ",S327," ",T327," ",U327," ",V327)</f>
        <v xml:space="preserve">Quality baseline Documents the quality objectives for the project, including the metrics for stakeholder acceptance of the project deliverable.          </v>
      </c>
    </row>
    <row r="328" spans="1:23" customFormat="1" hidden="1">
      <c r="A328" t="b">
        <f t="shared" si="101"/>
        <v>0</v>
      </c>
      <c r="B328">
        <f t="shared" si="103"/>
        <v>327</v>
      </c>
      <c r="C328" t="s">
        <v>144</v>
      </c>
      <c r="D328" t="s">
        <v>325</v>
      </c>
      <c r="E328">
        <f t="shared" si="100"/>
        <v>40</v>
      </c>
      <c r="G328">
        <f t="shared" si="104"/>
        <v>2</v>
      </c>
      <c r="H328" t="str">
        <f t="shared" si="105"/>
        <v/>
      </c>
      <c r="I328" t="str">
        <f t="shared" si="106"/>
        <v/>
      </c>
      <c r="J328" t="str">
        <f t="shared" si="107"/>
        <v/>
      </c>
      <c r="K328" t="str">
        <f t="shared" si="108"/>
        <v/>
      </c>
      <c r="L328" t="str">
        <f t="shared" si="109"/>
        <v/>
      </c>
      <c r="M328" t="str">
        <f t="shared" si="110"/>
        <v/>
      </c>
      <c r="N328" t="str">
        <f t="shared" si="111"/>
        <v/>
      </c>
      <c r="O328" t="str">
        <f t="shared" si="112"/>
        <v/>
      </c>
      <c r="P328" t="str">
        <f t="shared" si="113"/>
        <v/>
      </c>
      <c r="Q328" t="str">
        <f t="shared" si="114"/>
        <v/>
      </c>
      <c r="R328" t="str">
        <f t="shared" si="115"/>
        <v/>
      </c>
      <c r="S328" t="str">
        <f t="shared" si="116"/>
        <v/>
      </c>
      <c r="T328" t="str">
        <f t="shared" si="117"/>
        <v/>
      </c>
      <c r="U328" t="str">
        <f t="shared" si="118"/>
        <v/>
      </c>
      <c r="V328" t="str">
        <f t="shared" si="119"/>
        <v/>
      </c>
      <c r="W328" t="str">
        <f t="shared" si="102"/>
        <v xml:space="preserve">              </v>
      </c>
    </row>
    <row r="329" spans="1:23" customFormat="1" hidden="1">
      <c r="A329" t="b">
        <f t="shared" si="101"/>
        <v>0</v>
      </c>
      <c r="B329">
        <f t="shared" si="103"/>
        <v>328</v>
      </c>
      <c r="C329" t="s">
        <v>144</v>
      </c>
      <c r="D329" t="s">
        <v>326</v>
      </c>
      <c r="E329">
        <f t="shared" si="100"/>
        <v>34</v>
      </c>
      <c r="G329">
        <f t="shared" si="104"/>
        <v>3</v>
      </c>
      <c r="H329" t="str">
        <f t="shared" si="105"/>
        <v/>
      </c>
      <c r="I329" t="str">
        <f t="shared" si="106"/>
        <v/>
      </c>
      <c r="J329" t="str">
        <f t="shared" si="107"/>
        <v/>
      </c>
      <c r="K329" t="str">
        <f t="shared" si="108"/>
        <v/>
      </c>
      <c r="L329" t="str">
        <f t="shared" si="109"/>
        <v/>
      </c>
      <c r="M329" t="str">
        <f t="shared" si="110"/>
        <v/>
      </c>
      <c r="N329" t="str">
        <f t="shared" si="111"/>
        <v/>
      </c>
      <c r="O329" t="str">
        <f t="shared" si="112"/>
        <v/>
      </c>
      <c r="P329" t="str">
        <f t="shared" si="113"/>
        <v/>
      </c>
      <c r="Q329" t="str">
        <f t="shared" si="114"/>
        <v/>
      </c>
      <c r="R329" t="str">
        <f t="shared" si="115"/>
        <v/>
      </c>
      <c r="S329" t="str">
        <f t="shared" si="116"/>
        <v/>
      </c>
      <c r="T329" t="str">
        <f t="shared" si="117"/>
        <v/>
      </c>
      <c r="U329" t="str">
        <f t="shared" si="118"/>
        <v/>
      </c>
      <c r="V329" t="str">
        <f t="shared" si="119"/>
        <v/>
      </c>
      <c r="W329" t="str">
        <f t="shared" si="102"/>
        <v xml:space="preserve">              </v>
      </c>
    </row>
    <row r="330" spans="1:23" customFormat="1" hidden="1">
      <c r="A330" t="b">
        <f t="shared" si="101"/>
        <v>0</v>
      </c>
      <c r="B330">
        <f t="shared" si="103"/>
        <v>329</v>
      </c>
      <c r="C330" t="s">
        <v>144</v>
      </c>
      <c r="D330" t="s">
        <v>327</v>
      </c>
      <c r="E330">
        <f t="shared" si="100"/>
        <v>37</v>
      </c>
      <c r="G330">
        <f t="shared" si="104"/>
        <v>4</v>
      </c>
      <c r="H330" t="str">
        <f t="shared" si="105"/>
        <v/>
      </c>
      <c r="I330" t="str">
        <f t="shared" si="106"/>
        <v/>
      </c>
      <c r="J330" t="str">
        <f t="shared" si="107"/>
        <v/>
      </c>
      <c r="K330" t="str">
        <f t="shared" si="108"/>
        <v/>
      </c>
      <c r="L330" t="str">
        <f t="shared" si="109"/>
        <v/>
      </c>
      <c r="M330" t="str">
        <f t="shared" si="110"/>
        <v/>
      </c>
      <c r="N330" t="str">
        <f t="shared" si="111"/>
        <v/>
      </c>
      <c r="O330" t="str">
        <f t="shared" si="112"/>
        <v/>
      </c>
      <c r="P330" t="str">
        <f t="shared" si="113"/>
        <v/>
      </c>
      <c r="Q330" t="str">
        <f t="shared" si="114"/>
        <v/>
      </c>
      <c r="R330" t="str">
        <f t="shared" si="115"/>
        <v/>
      </c>
      <c r="S330" t="str">
        <f t="shared" si="116"/>
        <v/>
      </c>
      <c r="T330" t="str">
        <f t="shared" si="117"/>
        <v/>
      </c>
      <c r="U330" t="str">
        <f t="shared" si="118"/>
        <v/>
      </c>
      <c r="V330" t="str">
        <f t="shared" si="119"/>
        <v/>
      </c>
      <c r="W330" t="str">
        <f t="shared" si="102"/>
        <v xml:space="preserve">              </v>
      </c>
    </row>
    <row r="331" spans="1:23" customFormat="1" hidden="1">
      <c r="A331" t="b">
        <f t="shared" si="101"/>
        <v>0</v>
      </c>
      <c r="B331">
        <f t="shared" si="103"/>
        <v>330</v>
      </c>
      <c r="C331" t="s">
        <v>144</v>
      </c>
      <c r="D331" t="s">
        <v>328</v>
      </c>
      <c r="E331">
        <f t="shared" si="100"/>
        <v>12</v>
      </c>
      <c r="G331">
        <f t="shared" si="104"/>
        <v>5</v>
      </c>
      <c r="H331" t="str">
        <f t="shared" si="105"/>
        <v/>
      </c>
      <c r="I331" t="str">
        <f t="shared" si="106"/>
        <v/>
      </c>
      <c r="J331" t="str">
        <f t="shared" si="107"/>
        <v/>
      </c>
      <c r="K331" t="str">
        <f t="shared" si="108"/>
        <v/>
      </c>
      <c r="L331" t="str">
        <f t="shared" si="109"/>
        <v/>
      </c>
      <c r="M331" t="str">
        <f t="shared" si="110"/>
        <v/>
      </c>
      <c r="N331" t="str">
        <f t="shared" si="111"/>
        <v/>
      </c>
      <c r="O331" t="str">
        <f t="shared" si="112"/>
        <v/>
      </c>
      <c r="P331" t="str">
        <f t="shared" si="113"/>
        <v/>
      </c>
      <c r="Q331" t="str">
        <f t="shared" si="114"/>
        <v/>
      </c>
      <c r="R331" t="str">
        <f t="shared" si="115"/>
        <v/>
      </c>
      <c r="S331" t="str">
        <f t="shared" si="116"/>
        <v/>
      </c>
      <c r="T331" t="str">
        <f t="shared" si="117"/>
        <v/>
      </c>
      <c r="U331" t="str">
        <f t="shared" si="118"/>
        <v/>
      </c>
      <c r="V331" t="str">
        <f t="shared" si="119"/>
        <v/>
      </c>
      <c r="W331" t="str">
        <f t="shared" si="102"/>
        <v xml:space="preserve">              </v>
      </c>
    </row>
    <row r="332" spans="1:23" hidden="1">
      <c r="A332" s="71" t="b">
        <f t="shared" si="101"/>
        <v>0</v>
      </c>
      <c r="B332" s="71">
        <f t="shared" si="103"/>
        <v>331</v>
      </c>
      <c r="C332" s="71" t="s">
        <v>144</v>
      </c>
      <c r="D332" s="71" t="s">
        <v>329</v>
      </c>
      <c r="E332">
        <f t="shared" si="100"/>
        <v>23</v>
      </c>
      <c r="F332">
        <v>1</v>
      </c>
      <c r="G332">
        <f t="shared" si="104"/>
        <v>1</v>
      </c>
      <c r="H332" t="str">
        <f t="shared" si="105"/>
        <v>Quality management plan</v>
      </c>
      <c r="I332" t="str">
        <f t="shared" si="106"/>
        <v>This plan defines what quality means for</v>
      </c>
      <c r="J332" t="str">
        <f t="shared" si="107"/>
        <v>the project, how the project will achieve</v>
      </c>
      <c r="K332" t="str">
        <f t="shared" si="108"/>
        <v>quality, and how the project will map to</v>
      </c>
      <c r="L332" t="str">
        <f t="shared" si="109"/>
        <v>organizational procedures pertaining to</v>
      </c>
      <c r="M332" t="str">
        <f t="shared" si="110"/>
        <v>quality.</v>
      </c>
      <c r="N332" t="str">
        <f t="shared" si="111"/>
        <v/>
      </c>
      <c r="O332" t="str">
        <f t="shared" si="112"/>
        <v/>
      </c>
      <c r="P332" t="str">
        <f t="shared" si="113"/>
        <v/>
      </c>
      <c r="Q332" t="str">
        <f t="shared" si="114"/>
        <v/>
      </c>
      <c r="R332" t="str">
        <f t="shared" si="115"/>
        <v/>
      </c>
      <c r="S332" t="str">
        <f t="shared" si="116"/>
        <v/>
      </c>
      <c r="T332" t="str">
        <f t="shared" si="117"/>
        <v/>
      </c>
      <c r="U332" t="str">
        <f t="shared" si="118"/>
        <v/>
      </c>
      <c r="V332" t="str">
        <f t="shared" si="119"/>
        <v/>
      </c>
      <c r="W332" s="71" t="str">
        <f>CONCATENATE(H332," ",I332," ",J332," ",K332," ",L332," ",M332," ",N332," ",O332," ",P332," ",Q332," ",R332," ",S332," ",T332," ",U332," ",V332)</f>
        <v xml:space="preserve">Quality management plan This plan defines what quality means for the project, how the project will achieve quality, and how the project will map to organizational procedures pertaining to quality.         </v>
      </c>
    </row>
    <row r="333" spans="1:23" customFormat="1" hidden="1">
      <c r="A333" t="b">
        <f t="shared" si="101"/>
        <v>0</v>
      </c>
      <c r="B333">
        <f t="shared" si="103"/>
        <v>332</v>
      </c>
      <c r="C333" t="s">
        <v>144</v>
      </c>
      <c r="D333" t="s">
        <v>330</v>
      </c>
      <c r="E333">
        <f t="shared" si="100"/>
        <v>40</v>
      </c>
      <c r="G333">
        <f t="shared" si="104"/>
        <v>2</v>
      </c>
      <c r="H333" t="str">
        <f t="shared" si="105"/>
        <v/>
      </c>
      <c r="I333" t="str">
        <f t="shared" si="106"/>
        <v/>
      </c>
      <c r="J333" t="str">
        <f t="shared" si="107"/>
        <v/>
      </c>
      <c r="K333" t="str">
        <f t="shared" si="108"/>
        <v/>
      </c>
      <c r="L333" t="str">
        <f t="shared" si="109"/>
        <v/>
      </c>
      <c r="M333" t="str">
        <f t="shared" si="110"/>
        <v/>
      </c>
      <c r="N333" t="str">
        <f t="shared" si="111"/>
        <v/>
      </c>
      <c r="O333" t="str">
        <f t="shared" si="112"/>
        <v/>
      </c>
      <c r="P333" t="str">
        <f t="shared" si="113"/>
        <v/>
      </c>
      <c r="Q333" t="str">
        <f t="shared" si="114"/>
        <v/>
      </c>
      <c r="R333" t="str">
        <f t="shared" si="115"/>
        <v/>
      </c>
      <c r="S333" t="str">
        <f t="shared" si="116"/>
        <v/>
      </c>
      <c r="T333" t="str">
        <f t="shared" si="117"/>
        <v/>
      </c>
      <c r="U333" t="str">
        <f t="shared" si="118"/>
        <v/>
      </c>
      <c r="V333" t="str">
        <f t="shared" si="119"/>
        <v/>
      </c>
      <c r="W333" t="str">
        <f t="shared" si="102"/>
        <v xml:space="preserve">              </v>
      </c>
    </row>
    <row r="334" spans="1:23" customFormat="1" hidden="1">
      <c r="A334" t="b">
        <f t="shared" si="101"/>
        <v>0</v>
      </c>
      <c r="B334">
        <f t="shared" si="103"/>
        <v>333</v>
      </c>
      <c r="C334" t="s">
        <v>144</v>
      </c>
      <c r="D334" t="s">
        <v>331</v>
      </c>
      <c r="E334">
        <f t="shared" si="100"/>
        <v>41</v>
      </c>
      <c r="G334">
        <f t="shared" si="104"/>
        <v>3</v>
      </c>
      <c r="H334" t="str">
        <f t="shared" si="105"/>
        <v/>
      </c>
      <c r="I334" t="str">
        <f t="shared" si="106"/>
        <v/>
      </c>
      <c r="J334" t="str">
        <f t="shared" si="107"/>
        <v/>
      </c>
      <c r="K334" t="str">
        <f t="shared" si="108"/>
        <v/>
      </c>
      <c r="L334" t="str">
        <f t="shared" si="109"/>
        <v/>
      </c>
      <c r="M334" t="str">
        <f t="shared" si="110"/>
        <v/>
      </c>
      <c r="N334" t="str">
        <f t="shared" si="111"/>
        <v/>
      </c>
      <c r="O334" t="str">
        <f t="shared" si="112"/>
        <v/>
      </c>
      <c r="P334" t="str">
        <f t="shared" si="113"/>
        <v/>
      </c>
      <c r="Q334" t="str">
        <f t="shared" si="114"/>
        <v/>
      </c>
      <c r="R334" t="str">
        <f t="shared" si="115"/>
        <v/>
      </c>
      <c r="S334" t="str">
        <f t="shared" si="116"/>
        <v/>
      </c>
      <c r="T334" t="str">
        <f t="shared" si="117"/>
        <v/>
      </c>
      <c r="U334" t="str">
        <f t="shared" si="118"/>
        <v/>
      </c>
      <c r="V334" t="str">
        <f t="shared" si="119"/>
        <v/>
      </c>
      <c r="W334" t="str">
        <f t="shared" si="102"/>
        <v xml:space="preserve">              </v>
      </c>
    </row>
    <row r="335" spans="1:23" customFormat="1" hidden="1">
      <c r="A335" t="b">
        <f t="shared" si="101"/>
        <v>0</v>
      </c>
      <c r="B335">
        <f t="shared" si="103"/>
        <v>334</v>
      </c>
      <c r="C335" t="s">
        <v>144</v>
      </c>
      <c r="D335" t="s">
        <v>332</v>
      </c>
      <c r="E335">
        <f t="shared" si="100"/>
        <v>40</v>
      </c>
      <c r="G335">
        <f t="shared" si="104"/>
        <v>4</v>
      </c>
      <c r="H335" t="str">
        <f t="shared" si="105"/>
        <v/>
      </c>
      <c r="I335" t="str">
        <f t="shared" si="106"/>
        <v/>
      </c>
      <c r="J335" t="str">
        <f t="shared" si="107"/>
        <v/>
      </c>
      <c r="K335" t="str">
        <f t="shared" si="108"/>
        <v/>
      </c>
      <c r="L335" t="str">
        <f t="shared" si="109"/>
        <v/>
      </c>
      <c r="M335" t="str">
        <f t="shared" si="110"/>
        <v/>
      </c>
      <c r="N335" t="str">
        <f t="shared" si="111"/>
        <v/>
      </c>
      <c r="O335" t="str">
        <f t="shared" si="112"/>
        <v/>
      </c>
      <c r="P335" t="str">
        <f t="shared" si="113"/>
        <v/>
      </c>
      <c r="Q335" t="str">
        <f t="shared" si="114"/>
        <v/>
      </c>
      <c r="R335" t="str">
        <f t="shared" si="115"/>
        <v/>
      </c>
      <c r="S335" t="str">
        <f t="shared" si="116"/>
        <v/>
      </c>
      <c r="T335" t="str">
        <f t="shared" si="117"/>
        <v/>
      </c>
      <c r="U335" t="str">
        <f t="shared" si="118"/>
        <v/>
      </c>
      <c r="V335" t="str">
        <f t="shared" si="119"/>
        <v/>
      </c>
      <c r="W335" t="str">
        <f t="shared" si="102"/>
        <v xml:space="preserve">              </v>
      </c>
    </row>
    <row r="336" spans="1:23" customFormat="1" hidden="1">
      <c r="A336" t="b">
        <f t="shared" si="101"/>
        <v>0</v>
      </c>
      <c r="B336">
        <f t="shared" si="103"/>
        <v>335</v>
      </c>
      <c r="C336" t="s">
        <v>144</v>
      </c>
      <c r="D336" t="s">
        <v>333</v>
      </c>
      <c r="E336">
        <f t="shared" si="100"/>
        <v>39</v>
      </c>
      <c r="G336">
        <f t="shared" si="104"/>
        <v>5</v>
      </c>
      <c r="H336" t="str">
        <f t="shared" si="105"/>
        <v/>
      </c>
      <c r="I336" t="str">
        <f t="shared" si="106"/>
        <v/>
      </c>
      <c r="J336" t="str">
        <f t="shared" si="107"/>
        <v/>
      </c>
      <c r="K336" t="str">
        <f t="shared" si="108"/>
        <v/>
      </c>
      <c r="L336" t="str">
        <f t="shared" si="109"/>
        <v/>
      </c>
      <c r="M336" t="str">
        <f t="shared" si="110"/>
        <v/>
      </c>
      <c r="N336" t="str">
        <f t="shared" si="111"/>
        <v/>
      </c>
      <c r="O336" t="str">
        <f t="shared" si="112"/>
        <v/>
      </c>
      <c r="P336" t="str">
        <f t="shared" si="113"/>
        <v/>
      </c>
      <c r="Q336" t="str">
        <f t="shared" si="114"/>
        <v/>
      </c>
      <c r="R336" t="str">
        <f t="shared" si="115"/>
        <v/>
      </c>
      <c r="S336" t="str">
        <f t="shared" si="116"/>
        <v/>
      </c>
      <c r="T336" t="str">
        <f t="shared" si="117"/>
        <v/>
      </c>
      <c r="U336" t="str">
        <f t="shared" si="118"/>
        <v/>
      </c>
      <c r="V336" t="str">
        <f t="shared" si="119"/>
        <v/>
      </c>
      <c r="W336" t="str">
        <f t="shared" si="102"/>
        <v xml:space="preserve">              </v>
      </c>
    </row>
    <row r="337" spans="1:23" customFormat="1" hidden="1">
      <c r="A337" t="b">
        <f t="shared" si="101"/>
        <v>0</v>
      </c>
      <c r="B337">
        <f t="shared" si="103"/>
        <v>336</v>
      </c>
      <c r="C337" t="s">
        <v>144</v>
      </c>
      <c r="D337" t="s">
        <v>334</v>
      </c>
      <c r="E337">
        <f t="shared" si="100"/>
        <v>8</v>
      </c>
      <c r="G337">
        <f t="shared" si="104"/>
        <v>6</v>
      </c>
      <c r="H337" t="str">
        <f t="shared" si="105"/>
        <v/>
      </c>
      <c r="I337" t="str">
        <f t="shared" si="106"/>
        <v/>
      </c>
      <c r="J337" t="str">
        <f t="shared" si="107"/>
        <v/>
      </c>
      <c r="K337" t="str">
        <f t="shared" si="108"/>
        <v/>
      </c>
      <c r="L337" t="str">
        <f t="shared" si="109"/>
        <v/>
      </c>
      <c r="M337" t="str">
        <f t="shared" si="110"/>
        <v/>
      </c>
      <c r="N337" t="str">
        <f t="shared" si="111"/>
        <v/>
      </c>
      <c r="O337" t="str">
        <f t="shared" si="112"/>
        <v/>
      </c>
      <c r="P337" t="str">
        <f t="shared" si="113"/>
        <v/>
      </c>
      <c r="Q337" t="str">
        <f t="shared" si="114"/>
        <v/>
      </c>
      <c r="R337" t="str">
        <f t="shared" si="115"/>
        <v/>
      </c>
      <c r="S337" t="str">
        <f t="shared" si="116"/>
        <v/>
      </c>
      <c r="T337" t="str">
        <f t="shared" si="117"/>
        <v/>
      </c>
      <c r="U337" t="str">
        <f t="shared" si="118"/>
        <v/>
      </c>
      <c r="V337" t="str">
        <f t="shared" si="119"/>
        <v/>
      </c>
      <c r="W337" t="str">
        <f t="shared" si="102"/>
        <v xml:space="preserve">              </v>
      </c>
    </row>
    <row r="338" spans="1:23" hidden="1">
      <c r="A338" s="71" t="b">
        <f t="shared" si="101"/>
        <v>0</v>
      </c>
      <c r="B338" s="71">
        <f t="shared" si="103"/>
        <v>337</v>
      </c>
      <c r="C338" s="71" t="s">
        <v>144</v>
      </c>
      <c r="D338" s="71" t="s">
        <v>335</v>
      </c>
      <c r="E338">
        <f t="shared" si="100"/>
        <v>19</v>
      </c>
      <c r="F338">
        <v>1</v>
      </c>
      <c r="G338">
        <f t="shared" si="104"/>
        <v>1</v>
      </c>
      <c r="H338" t="str">
        <f t="shared" si="105"/>
        <v>Regression analysis</v>
      </c>
      <c r="I338" t="str">
        <f t="shared" si="106"/>
        <v>A mathematical model to examine the</v>
      </c>
      <c r="J338" t="str">
        <f t="shared" si="107"/>
        <v>relationship among project variables, like</v>
      </c>
      <c r="K338" t="str">
        <f t="shared" si="108"/>
        <v>cost, time, labor, and other project</v>
      </c>
      <c r="L338" t="str">
        <f t="shared" si="109"/>
        <v>metrics.</v>
      </c>
      <c r="M338" t="str">
        <f t="shared" si="110"/>
        <v/>
      </c>
      <c r="N338" t="str">
        <f t="shared" si="111"/>
        <v/>
      </c>
      <c r="O338" t="str">
        <f t="shared" si="112"/>
        <v/>
      </c>
      <c r="P338" t="str">
        <f t="shared" si="113"/>
        <v/>
      </c>
      <c r="Q338" t="str">
        <f t="shared" si="114"/>
        <v/>
      </c>
      <c r="R338" t="str">
        <f t="shared" si="115"/>
        <v/>
      </c>
      <c r="S338" t="str">
        <f t="shared" si="116"/>
        <v/>
      </c>
      <c r="T338" t="str">
        <f t="shared" si="117"/>
        <v/>
      </c>
      <c r="U338" t="str">
        <f t="shared" si="118"/>
        <v/>
      </c>
      <c r="V338" t="str">
        <f t="shared" si="119"/>
        <v/>
      </c>
      <c r="W338" s="71" t="str">
        <f>CONCATENATE(H338," ",I338," ",J338," ",K338," ",L338," ",M338," ",N338," ",O338," ",P338," ",Q338," ",R338," ",S338," ",T338," ",U338," ",V338)</f>
        <v xml:space="preserve">Regression analysis A mathematical model to examine the relationship among project variables, like cost, time, labor, and other project metrics.          </v>
      </c>
    </row>
    <row r="339" spans="1:23" customFormat="1" hidden="1">
      <c r="A339" t="b">
        <f t="shared" si="101"/>
        <v>0</v>
      </c>
      <c r="B339">
        <f t="shared" si="103"/>
        <v>338</v>
      </c>
      <c r="C339" t="s">
        <v>144</v>
      </c>
      <c r="D339" t="s">
        <v>336</v>
      </c>
      <c r="E339">
        <f t="shared" si="100"/>
        <v>35</v>
      </c>
      <c r="G339">
        <f t="shared" si="104"/>
        <v>2</v>
      </c>
      <c r="H339" t="str">
        <f t="shared" si="105"/>
        <v/>
      </c>
      <c r="I339" t="str">
        <f t="shared" si="106"/>
        <v/>
      </c>
      <c r="J339" t="str">
        <f t="shared" si="107"/>
        <v/>
      </c>
      <c r="K339" t="str">
        <f t="shared" si="108"/>
        <v/>
      </c>
      <c r="L339" t="str">
        <f t="shared" si="109"/>
        <v/>
      </c>
      <c r="M339" t="str">
        <f t="shared" si="110"/>
        <v/>
      </c>
      <c r="N339" t="str">
        <f t="shared" si="111"/>
        <v/>
      </c>
      <c r="O339" t="str">
        <f t="shared" si="112"/>
        <v/>
      </c>
      <c r="P339" t="str">
        <f t="shared" si="113"/>
        <v/>
      </c>
      <c r="Q339" t="str">
        <f t="shared" si="114"/>
        <v/>
      </c>
      <c r="R339" t="str">
        <f t="shared" si="115"/>
        <v/>
      </c>
      <c r="S339" t="str">
        <f t="shared" si="116"/>
        <v/>
      </c>
      <c r="T339" t="str">
        <f t="shared" si="117"/>
        <v/>
      </c>
      <c r="U339" t="str">
        <f t="shared" si="118"/>
        <v/>
      </c>
      <c r="V339" t="str">
        <f t="shared" si="119"/>
        <v/>
      </c>
      <c r="W339" t="str">
        <f t="shared" si="102"/>
        <v xml:space="preserve">              </v>
      </c>
    </row>
    <row r="340" spans="1:23" customFormat="1" hidden="1">
      <c r="A340" t="b">
        <f t="shared" si="101"/>
        <v>0</v>
      </c>
      <c r="B340">
        <f t="shared" si="103"/>
        <v>339</v>
      </c>
      <c r="C340" t="s">
        <v>144</v>
      </c>
      <c r="D340" t="s">
        <v>337</v>
      </c>
      <c r="E340">
        <f t="shared" si="100"/>
        <v>42</v>
      </c>
      <c r="G340">
        <f t="shared" si="104"/>
        <v>3</v>
      </c>
      <c r="H340" t="str">
        <f t="shared" si="105"/>
        <v/>
      </c>
      <c r="I340" t="str">
        <f t="shared" si="106"/>
        <v/>
      </c>
      <c r="J340" t="str">
        <f t="shared" si="107"/>
        <v/>
      </c>
      <c r="K340" t="str">
        <f t="shared" si="108"/>
        <v/>
      </c>
      <c r="L340" t="str">
        <f t="shared" si="109"/>
        <v/>
      </c>
      <c r="M340" t="str">
        <f t="shared" si="110"/>
        <v/>
      </c>
      <c r="N340" t="str">
        <f t="shared" si="111"/>
        <v/>
      </c>
      <c r="O340" t="str">
        <f t="shared" si="112"/>
        <v/>
      </c>
      <c r="P340" t="str">
        <f t="shared" si="113"/>
        <v/>
      </c>
      <c r="Q340" t="str">
        <f t="shared" si="114"/>
        <v/>
      </c>
      <c r="R340" t="str">
        <f t="shared" si="115"/>
        <v/>
      </c>
      <c r="S340" t="str">
        <f t="shared" si="116"/>
        <v/>
      </c>
      <c r="T340" t="str">
        <f t="shared" si="117"/>
        <v/>
      </c>
      <c r="U340" t="str">
        <f t="shared" si="118"/>
        <v/>
      </c>
      <c r="V340" t="str">
        <f t="shared" si="119"/>
        <v/>
      </c>
      <c r="W340" t="str">
        <f t="shared" si="102"/>
        <v xml:space="preserve">              </v>
      </c>
    </row>
    <row r="341" spans="1:23" customFormat="1" hidden="1">
      <c r="A341" t="b">
        <f t="shared" si="101"/>
        <v>0</v>
      </c>
      <c r="B341">
        <f t="shared" si="103"/>
        <v>340</v>
      </c>
      <c r="C341" t="s">
        <v>144</v>
      </c>
      <c r="D341" t="s">
        <v>338</v>
      </c>
      <c r="E341">
        <f t="shared" si="100"/>
        <v>36</v>
      </c>
      <c r="G341">
        <f t="shared" si="104"/>
        <v>4</v>
      </c>
      <c r="H341" t="str">
        <f t="shared" si="105"/>
        <v/>
      </c>
      <c r="I341" t="str">
        <f t="shared" si="106"/>
        <v/>
      </c>
      <c r="J341" t="str">
        <f t="shared" si="107"/>
        <v/>
      </c>
      <c r="K341" t="str">
        <f t="shared" si="108"/>
        <v/>
      </c>
      <c r="L341" t="str">
        <f t="shared" si="109"/>
        <v/>
      </c>
      <c r="M341" t="str">
        <f t="shared" si="110"/>
        <v/>
      </c>
      <c r="N341" t="str">
        <f t="shared" si="111"/>
        <v/>
      </c>
      <c r="O341" t="str">
        <f t="shared" si="112"/>
        <v/>
      </c>
      <c r="P341" t="str">
        <f t="shared" si="113"/>
        <v/>
      </c>
      <c r="Q341" t="str">
        <f t="shared" si="114"/>
        <v/>
      </c>
      <c r="R341" t="str">
        <f t="shared" si="115"/>
        <v/>
      </c>
      <c r="S341" t="str">
        <f t="shared" si="116"/>
        <v/>
      </c>
      <c r="T341" t="str">
        <f t="shared" si="117"/>
        <v/>
      </c>
      <c r="U341" t="str">
        <f t="shared" si="118"/>
        <v/>
      </c>
      <c r="V341" t="str">
        <f t="shared" si="119"/>
        <v/>
      </c>
      <c r="W341" t="str">
        <f t="shared" si="102"/>
        <v xml:space="preserve">              </v>
      </c>
    </row>
    <row r="342" spans="1:23" customFormat="1" hidden="1">
      <c r="A342" t="b">
        <f t="shared" si="101"/>
        <v>0</v>
      </c>
      <c r="B342">
        <f t="shared" si="103"/>
        <v>341</v>
      </c>
      <c r="C342" t="s">
        <v>144</v>
      </c>
      <c r="D342" t="s">
        <v>339</v>
      </c>
      <c r="E342">
        <f t="shared" si="100"/>
        <v>8</v>
      </c>
      <c r="G342">
        <f t="shared" si="104"/>
        <v>5</v>
      </c>
      <c r="H342" t="str">
        <f t="shared" si="105"/>
        <v/>
      </c>
      <c r="I342" t="str">
        <f t="shared" si="106"/>
        <v/>
      </c>
      <c r="J342" t="str">
        <f t="shared" si="107"/>
        <v/>
      </c>
      <c r="K342" t="str">
        <f t="shared" si="108"/>
        <v/>
      </c>
      <c r="L342" t="str">
        <f t="shared" si="109"/>
        <v/>
      </c>
      <c r="M342" t="str">
        <f t="shared" si="110"/>
        <v/>
      </c>
      <c r="N342" t="str">
        <f t="shared" si="111"/>
        <v/>
      </c>
      <c r="O342" t="str">
        <f t="shared" si="112"/>
        <v/>
      </c>
      <c r="P342" t="str">
        <f t="shared" si="113"/>
        <v/>
      </c>
      <c r="Q342" t="str">
        <f t="shared" si="114"/>
        <v/>
      </c>
      <c r="R342" t="str">
        <f t="shared" si="115"/>
        <v/>
      </c>
      <c r="S342" t="str">
        <f t="shared" si="116"/>
        <v/>
      </c>
      <c r="T342" t="str">
        <f t="shared" si="117"/>
        <v/>
      </c>
      <c r="U342" t="str">
        <f t="shared" si="118"/>
        <v/>
      </c>
      <c r="V342" t="str">
        <f t="shared" si="119"/>
        <v/>
      </c>
      <c r="W342" t="str">
        <f t="shared" si="102"/>
        <v xml:space="preserve">              </v>
      </c>
    </row>
    <row r="343" spans="1:23" hidden="1">
      <c r="A343" s="71" t="b">
        <f t="shared" si="101"/>
        <v>0</v>
      </c>
      <c r="B343" s="71">
        <f t="shared" si="103"/>
        <v>342</v>
      </c>
      <c r="C343" s="71" t="s">
        <v>144</v>
      </c>
      <c r="D343" s="71" t="s">
        <v>340</v>
      </c>
      <c r="E343">
        <f t="shared" si="100"/>
        <v>20</v>
      </c>
      <c r="F343">
        <v>1</v>
      </c>
      <c r="G343">
        <f t="shared" si="104"/>
        <v>1</v>
      </c>
      <c r="H343" t="str">
        <f t="shared" si="105"/>
        <v>Risk management plan</v>
      </c>
      <c r="I343" t="str">
        <f t="shared" si="106"/>
        <v>Risk is an uncertain event or condition</v>
      </c>
      <c r="J343" t="str">
        <f t="shared" si="107"/>
        <v>that may affect the project outcome. The</v>
      </c>
      <c r="K343" t="str">
        <f t="shared" si="108"/>
        <v>risk management plan defines how the</v>
      </c>
      <c r="L343" t="str">
        <f t="shared" si="109"/>
        <v>project will manage risk.</v>
      </c>
      <c r="M343" t="str">
        <f t="shared" si="110"/>
        <v/>
      </c>
      <c r="N343" t="str">
        <f t="shared" si="111"/>
        <v/>
      </c>
      <c r="O343" t="str">
        <f t="shared" si="112"/>
        <v/>
      </c>
      <c r="P343" t="str">
        <f t="shared" si="113"/>
        <v/>
      </c>
      <c r="Q343" t="str">
        <f t="shared" si="114"/>
        <v/>
      </c>
      <c r="R343" t="str">
        <f t="shared" si="115"/>
        <v/>
      </c>
      <c r="S343" t="str">
        <f t="shared" si="116"/>
        <v/>
      </c>
      <c r="T343" t="str">
        <f t="shared" si="117"/>
        <v/>
      </c>
      <c r="U343" t="str">
        <f t="shared" si="118"/>
        <v/>
      </c>
      <c r="V343" t="str">
        <f t="shared" si="119"/>
        <v/>
      </c>
      <c r="W343" s="71" t="str">
        <f>CONCATENATE(H343," ",I343," ",J343," ",K343," ",L343," ",M343," ",N343," ",O343," ",P343," ",Q343," ",R343," ",S343," ",T343," ",U343," ",V343)</f>
        <v xml:space="preserve">Risk management plan Risk is an uncertain event or condition that may affect the project outcome. The risk management plan defines how the project will manage risk.          </v>
      </c>
    </row>
    <row r="344" spans="1:23" customFormat="1" hidden="1">
      <c r="A344" t="b">
        <f t="shared" si="101"/>
        <v>0</v>
      </c>
      <c r="B344">
        <f t="shared" si="103"/>
        <v>343</v>
      </c>
      <c r="C344" t="s">
        <v>144</v>
      </c>
      <c r="D344" t="s">
        <v>341</v>
      </c>
      <c r="E344">
        <f t="shared" si="100"/>
        <v>39</v>
      </c>
      <c r="G344">
        <f t="shared" si="104"/>
        <v>2</v>
      </c>
      <c r="H344" t="str">
        <f t="shared" si="105"/>
        <v/>
      </c>
      <c r="I344" t="str">
        <f t="shared" si="106"/>
        <v/>
      </c>
      <c r="J344" t="str">
        <f t="shared" si="107"/>
        <v/>
      </c>
      <c r="K344" t="str">
        <f t="shared" si="108"/>
        <v/>
      </c>
      <c r="L344" t="str">
        <f t="shared" si="109"/>
        <v/>
      </c>
      <c r="M344" t="str">
        <f t="shared" si="110"/>
        <v/>
      </c>
      <c r="N344" t="str">
        <f t="shared" si="111"/>
        <v/>
      </c>
      <c r="O344" t="str">
        <f t="shared" si="112"/>
        <v/>
      </c>
      <c r="P344" t="str">
        <f t="shared" si="113"/>
        <v/>
      </c>
      <c r="Q344" t="str">
        <f t="shared" si="114"/>
        <v/>
      </c>
      <c r="R344" t="str">
        <f t="shared" si="115"/>
        <v/>
      </c>
      <c r="S344" t="str">
        <f t="shared" si="116"/>
        <v/>
      </c>
      <c r="T344" t="str">
        <f t="shared" si="117"/>
        <v/>
      </c>
      <c r="U344" t="str">
        <f t="shared" si="118"/>
        <v/>
      </c>
      <c r="V344" t="str">
        <f t="shared" si="119"/>
        <v/>
      </c>
      <c r="W344" t="str">
        <f t="shared" si="102"/>
        <v xml:space="preserve">              </v>
      </c>
    </row>
    <row r="345" spans="1:23" customFormat="1" hidden="1">
      <c r="A345" t="b">
        <f t="shared" si="101"/>
        <v>0</v>
      </c>
      <c r="B345">
        <f t="shared" si="103"/>
        <v>344</v>
      </c>
      <c r="C345" t="s">
        <v>144</v>
      </c>
      <c r="D345" t="s">
        <v>342</v>
      </c>
      <c r="E345">
        <f t="shared" si="100"/>
        <v>40</v>
      </c>
      <c r="G345">
        <f t="shared" si="104"/>
        <v>3</v>
      </c>
      <c r="H345" t="str">
        <f t="shared" si="105"/>
        <v/>
      </c>
      <c r="I345" t="str">
        <f t="shared" si="106"/>
        <v/>
      </c>
      <c r="J345" t="str">
        <f t="shared" si="107"/>
        <v/>
      </c>
      <c r="K345" t="str">
        <f t="shared" si="108"/>
        <v/>
      </c>
      <c r="L345" t="str">
        <f t="shared" si="109"/>
        <v/>
      </c>
      <c r="M345" t="str">
        <f t="shared" si="110"/>
        <v/>
      </c>
      <c r="N345" t="str">
        <f t="shared" si="111"/>
        <v/>
      </c>
      <c r="O345" t="str">
        <f t="shared" si="112"/>
        <v/>
      </c>
      <c r="P345" t="str">
        <f t="shared" si="113"/>
        <v/>
      </c>
      <c r="Q345" t="str">
        <f t="shared" si="114"/>
        <v/>
      </c>
      <c r="R345" t="str">
        <f t="shared" si="115"/>
        <v/>
      </c>
      <c r="S345" t="str">
        <f t="shared" si="116"/>
        <v/>
      </c>
      <c r="T345" t="str">
        <f t="shared" si="117"/>
        <v/>
      </c>
      <c r="U345" t="str">
        <f t="shared" si="118"/>
        <v/>
      </c>
      <c r="V345" t="str">
        <f t="shared" si="119"/>
        <v/>
      </c>
      <c r="W345" t="str">
        <f t="shared" si="102"/>
        <v xml:space="preserve">              </v>
      </c>
    </row>
    <row r="346" spans="1:23" customFormat="1" hidden="1">
      <c r="A346" t="b">
        <f t="shared" si="101"/>
        <v>0</v>
      </c>
      <c r="B346">
        <f t="shared" si="103"/>
        <v>345</v>
      </c>
      <c r="C346" t="s">
        <v>144</v>
      </c>
      <c r="D346" t="s">
        <v>343</v>
      </c>
      <c r="E346">
        <f t="shared" si="100"/>
        <v>36</v>
      </c>
      <c r="G346">
        <f t="shared" si="104"/>
        <v>4</v>
      </c>
      <c r="H346" t="str">
        <f t="shared" si="105"/>
        <v/>
      </c>
      <c r="I346" t="str">
        <f t="shared" si="106"/>
        <v/>
      </c>
      <c r="J346" t="str">
        <f t="shared" si="107"/>
        <v/>
      </c>
      <c r="K346" t="str">
        <f t="shared" si="108"/>
        <v/>
      </c>
      <c r="L346" t="str">
        <f t="shared" si="109"/>
        <v/>
      </c>
      <c r="M346" t="str">
        <f t="shared" si="110"/>
        <v/>
      </c>
      <c r="N346" t="str">
        <f t="shared" si="111"/>
        <v/>
      </c>
      <c r="O346" t="str">
        <f t="shared" si="112"/>
        <v/>
      </c>
      <c r="P346" t="str">
        <f t="shared" si="113"/>
        <v/>
      </c>
      <c r="Q346" t="str">
        <f t="shared" si="114"/>
        <v/>
      </c>
      <c r="R346" t="str">
        <f t="shared" si="115"/>
        <v/>
      </c>
      <c r="S346" t="str">
        <f t="shared" si="116"/>
        <v/>
      </c>
      <c r="T346" t="str">
        <f t="shared" si="117"/>
        <v/>
      </c>
      <c r="U346" t="str">
        <f t="shared" si="118"/>
        <v/>
      </c>
      <c r="V346" t="str">
        <f t="shared" si="119"/>
        <v/>
      </c>
      <c r="W346" t="str">
        <f t="shared" si="102"/>
        <v xml:space="preserve">              </v>
      </c>
    </row>
    <row r="347" spans="1:23" customFormat="1" hidden="1">
      <c r="A347" t="b">
        <f t="shared" si="101"/>
        <v>0</v>
      </c>
      <c r="B347">
        <f t="shared" si="103"/>
        <v>346</v>
      </c>
      <c r="C347" t="s">
        <v>144</v>
      </c>
      <c r="D347" t="s">
        <v>344</v>
      </c>
      <c r="E347">
        <f t="shared" si="100"/>
        <v>25</v>
      </c>
      <c r="G347">
        <f t="shared" si="104"/>
        <v>5</v>
      </c>
      <c r="H347" t="str">
        <f t="shared" si="105"/>
        <v/>
      </c>
      <c r="I347" t="str">
        <f t="shared" si="106"/>
        <v/>
      </c>
      <c r="J347" t="str">
        <f t="shared" si="107"/>
        <v/>
      </c>
      <c r="K347" t="str">
        <f t="shared" si="108"/>
        <v/>
      </c>
      <c r="L347" t="str">
        <f t="shared" si="109"/>
        <v/>
      </c>
      <c r="M347" t="str">
        <f t="shared" si="110"/>
        <v/>
      </c>
      <c r="N347" t="str">
        <f t="shared" si="111"/>
        <v/>
      </c>
      <c r="O347" t="str">
        <f t="shared" si="112"/>
        <v/>
      </c>
      <c r="P347" t="str">
        <f t="shared" si="113"/>
        <v/>
      </c>
      <c r="Q347" t="str">
        <f t="shared" si="114"/>
        <v/>
      </c>
      <c r="R347" t="str">
        <f t="shared" si="115"/>
        <v/>
      </c>
      <c r="S347" t="str">
        <f t="shared" si="116"/>
        <v/>
      </c>
      <c r="T347" t="str">
        <f t="shared" si="117"/>
        <v/>
      </c>
      <c r="U347" t="str">
        <f t="shared" si="118"/>
        <v/>
      </c>
      <c r="V347" t="str">
        <f t="shared" si="119"/>
        <v/>
      </c>
      <c r="W347" t="str">
        <f t="shared" si="102"/>
        <v xml:space="preserve">              </v>
      </c>
    </row>
    <row r="348" spans="1:23" hidden="1">
      <c r="A348" s="71" t="b">
        <f t="shared" si="101"/>
        <v>0</v>
      </c>
      <c r="B348" s="71">
        <f t="shared" si="103"/>
        <v>347</v>
      </c>
      <c r="C348" s="71" t="s">
        <v>144</v>
      </c>
      <c r="D348" s="71" t="s">
        <v>345</v>
      </c>
      <c r="E348">
        <f t="shared" si="100"/>
        <v>13</v>
      </c>
      <c r="F348">
        <v>1</v>
      </c>
      <c r="G348">
        <f t="shared" si="104"/>
        <v>1</v>
      </c>
      <c r="H348" t="str">
        <f t="shared" si="105"/>
        <v>Risk register</v>
      </c>
      <c r="I348" t="str">
        <f t="shared" si="106"/>
        <v>The risk register is a centralized database</v>
      </c>
      <c r="J348" t="str">
        <f t="shared" si="107"/>
        <v>consisting of the outcome of all the other</v>
      </c>
      <c r="K348" t="str">
        <f t="shared" si="108"/>
        <v>risk management processes, such as the</v>
      </c>
      <c r="L348" t="str">
        <f t="shared" si="109"/>
        <v>outcome of risk identification, qualitative</v>
      </c>
      <c r="M348" t="str">
        <f t="shared" si="110"/>
        <v>analysis, and quantitative analysis.</v>
      </c>
      <c r="N348" t="str">
        <f t="shared" si="111"/>
        <v/>
      </c>
      <c r="O348" t="str">
        <f t="shared" si="112"/>
        <v/>
      </c>
      <c r="P348" t="str">
        <f t="shared" si="113"/>
        <v/>
      </c>
      <c r="Q348" t="str">
        <f t="shared" si="114"/>
        <v/>
      </c>
      <c r="R348" t="str">
        <f t="shared" si="115"/>
        <v/>
      </c>
      <c r="S348" t="str">
        <f t="shared" si="116"/>
        <v/>
      </c>
      <c r="T348" t="str">
        <f t="shared" si="117"/>
        <v/>
      </c>
      <c r="U348" t="str">
        <f t="shared" si="118"/>
        <v/>
      </c>
      <c r="V348" t="str">
        <f t="shared" si="119"/>
        <v/>
      </c>
      <c r="W348" s="71" t="str">
        <f>CONCATENATE(H348," ",I348," ",J348," ",K348," ",L348," ",M348," ",N348," ",O348," ",P348," ",Q348," ",R348," ",S348," ",T348," ",U348," ",V348)</f>
        <v xml:space="preserve">Risk register The risk register is a centralized database consisting of the outcome of all the other risk management processes, such as the outcome of risk identification, qualitative analysis, and quantitative analysis.         </v>
      </c>
    </row>
    <row r="349" spans="1:23" customFormat="1" hidden="1">
      <c r="A349" t="b">
        <f t="shared" si="101"/>
        <v>0</v>
      </c>
      <c r="B349">
        <f t="shared" si="103"/>
        <v>348</v>
      </c>
      <c r="C349" t="s">
        <v>144</v>
      </c>
      <c r="D349" t="s">
        <v>346</v>
      </c>
      <c r="E349">
        <f t="shared" si="100"/>
        <v>43</v>
      </c>
      <c r="G349">
        <f t="shared" si="104"/>
        <v>2</v>
      </c>
      <c r="H349" t="str">
        <f t="shared" si="105"/>
        <v/>
      </c>
      <c r="I349" t="str">
        <f t="shared" si="106"/>
        <v/>
      </c>
      <c r="J349" t="str">
        <f t="shared" si="107"/>
        <v/>
      </c>
      <c r="K349" t="str">
        <f t="shared" si="108"/>
        <v/>
      </c>
      <c r="L349" t="str">
        <f t="shared" si="109"/>
        <v/>
      </c>
      <c r="M349" t="str">
        <f t="shared" si="110"/>
        <v/>
      </c>
      <c r="N349" t="str">
        <f t="shared" si="111"/>
        <v/>
      </c>
      <c r="O349" t="str">
        <f t="shared" si="112"/>
        <v/>
      </c>
      <c r="P349" t="str">
        <f t="shared" si="113"/>
        <v/>
      </c>
      <c r="Q349" t="str">
        <f t="shared" si="114"/>
        <v/>
      </c>
      <c r="R349" t="str">
        <f t="shared" si="115"/>
        <v/>
      </c>
      <c r="S349" t="str">
        <f t="shared" si="116"/>
        <v/>
      </c>
      <c r="T349" t="str">
        <f t="shared" si="117"/>
        <v/>
      </c>
      <c r="U349" t="str">
        <f t="shared" si="118"/>
        <v/>
      </c>
      <c r="V349" t="str">
        <f t="shared" si="119"/>
        <v/>
      </c>
      <c r="W349" t="str">
        <f t="shared" si="102"/>
        <v xml:space="preserve">              </v>
      </c>
    </row>
    <row r="350" spans="1:23" customFormat="1" hidden="1">
      <c r="A350" t="b">
        <f t="shared" si="101"/>
        <v>0</v>
      </c>
      <c r="B350">
        <f t="shared" si="103"/>
        <v>349</v>
      </c>
      <c r="C350" t="s">
        <v>144</v>
      </c>
      <c r="D350" t="s">
        <v>347</v>
      </c>
      <c r="E350">
        <f t="shared" si="100"/>
        <v>42</v>
      </c>
      <c r="G350">
        <f t="shared" si="104"/>
        <v>3</v>
      </c>
      <c r="H350" t="str">
        <f t="shared" si="105"/>
        <v/>
      </c>
      <c r="I350" t="str">
        <f t="shared" si="106"/>
        <v/>
      </c>
      <c r="J350" t="str">
        <f t="shared" si="107"/>
        <v/>
      </c>
      <c r="K350" t="str">
        <f t="shared" si="108"/>
        <v/>
      </c>
      <c r="L350" t="str">
        <f t="shared" si="109"/>
        <v/>
      </c>
      <c r="M350" t="str">
        <f t="shared" si="110"/>
        <v/>
      </c>
      <c r="N350" t="str">
        <f t="shared" si="111"/>
        <v/>
      </c>
      <c r="O350" t="str">
        <f t="shared" si="112"/>
        <v/>
      </c>
      <c r="P350" t="str">
        <f t="shared" si="113"/>
        <v/>
      </c>
      <c r="Q350" t="str">
        <f t="shared" si="114"/>
        <v/>
      </c>
      <c r="R350" t="str">
        <f t="shared" si="115"/>
        <v/>
      </c>
      <c r="S350" t="str">
        <f t="shared" si="116"/>
        <v/>
      </c>
      <c r="T350" t="str">
        <f t="shared" si="117"/>
        <v/>
      </c>
      <c r="U350" t="str">
        <f t="shared" si="118"/>
        <v/>
      </c>
      <c r="V350" t="str">
        <f t="shared" si="119"/>
        <v/>
      </c>
      <c r="W350" t="str">
        <f t="shared" si="102"/>
        <v xml:space="preserve">              </v>
      </c>
    </row>
    <row r="351" spans="1:23" customFormat="1" hidden="1">
      <c r="A351" t="b">
        <f t="shared" si="101"/>
        <v>0</v>
      </c>
      <c r="B351">
        <f t="shared" si="103"/>
        <v>350</v>
      </c>
      <c r="C351" t="s">
        <v>144</v>
      </c>
      <c r="D351" t="s">
        <v>348</v>
      </c>
      <c r="E351">
        <f t="shared" si="100"/>
        <v>38</v>
      </c>
      <c r="G351">
        <f t="shared" si="104"/>
        <v>4</v>
      </c>
      <c r="H351" t="str">
        <f t="shared" si="105"/>
        <v/>
      </c>
      <c r="I351" t="str">
        <f t="shared" si="106"/>
        <v/>
      </c>
      <c r="J351" t="str">
        <f t="shared" si="107"/>
        <v/>
      </c>
      <c r="K351" t="str">
        <f t="shared" si="108"/>
        <v/>
      </c>
      <c r="L351" t="str">
        <f t="shared" si="109"/>
        <v/>
      </c>
      <c r="M351" t="str">
        <f t="shared" si="110"/>
        <v/>
      </c>
      <c r="N351" t="str">
        <f t="shared" si="111"/>
        <v/>
      </c>
      <c r="O351" t="str">
        <f t="shared" si="112"/>
        <v/>
      </c>
      <c r="P351" t="str">
        <f t="shared" si="113"/>
        <v/>
      </c>
      <c r="Q351" t="str">
        <f t="shared" si="114"/>
        <v/>
      </c>
      <c r="R351" t="str">
        <f t="shared" si="115"/>
        <v/>
      </c>
      <c r="S351" t="str">
        <f t="shared" si="116"/>
        <v/>
      </c>
      <c r="T351" t="str">
        <f t="shared" si="117"/>
        <v/>
      </c>
      <c r="U351" t="str">
        <f t="shared" si="118"/>
        <v/>
      </c>
      <c r="V351" t="str">
        <f t="shared" si="119"/>
        <v/>
      </c>
      <c r="W351" t="str">
        <f t="shared" si="102"/>
        <v xml:space="preserve">              </v>
      </c>
    </row>
    <row r="352" spans="1:23" customFormat="1" hidden="1">
      <c r="A352" t="b">
        <f t="shared" si="101"/>
        <v>0</v>
      </c>
      <c r="B352">
        <f t="shared" si="103"/>
        <v>351</v>
      </c>
      <c r="C352" t="s">
        <v>144</v>
      </c>
      <c r="D352" t="s">
        <v>349</v>
      </c>
      <c r="E352">
        <f t="shared" si="100"/>
        <v>43</v>
      </c>
      <c r="G352">
        <f t="shared" si="104"/>
        <v>5</v>
      </c>
      <c r="H352" t="str">
        <f t="shared" si="105"/>
        <v/>
      </c>
      <c r="I352" t="str">
        <f t="shared" si="106"/>
        <v/>
      </c>
      <c r="J352" t="str">
        <f t="shared" si="107"/>
        <v/>
      </c>
      <c r="K352" t="str">
        <f t="shared" si="108"/>
        <v/>
      </c>
      <c r="L352" t="str">
        <f t="shared" si="109"/>
        <v/>
      </c>
      <c r="M352" t="str">
        <f t="shared" si="110"/>
        <v/>
      </c>
      <c r="N352" t="str">
        <f t="shared" si="111"/>
        <v/>
      </c>
      <c r="O352" t="str">
        <f t="shared" si="112"/>
        <v/>
      </c>
      <c r="P352" t="str">
        <f t="shared" si="113"/>
        <v/>
      </c>
      <c r="Q352" t="str">
        <f t="shared" si="114"/>
        <v/>
      </c>
      <c r="R352" t="str">
        <f t="shared" si="115"/>
        <v/>
      </c>
      <c r="S352" t="str">
        <f t="shared" si="116"/>
        <v/>
      </c>
      <c r="T352" t="str">
        <f t="shared" si="117"/>
        <v/>
      </c>
      <c r="U352" t="str">
        <f t="shared" si="118"/>
        <v/>
      </c>
      <c r="V352" t="str">
        <f t="shared" si="119"/>
        <v/>
      </c>
      <c r="W352" t="str">
        <f t="shared" si="102"/>
        <v xml:space="preserve">              </v>
      </c>
    </row>
    <row r="353" spans="1:23" customFormat="1" hidden="1">
      <c r="A353" t="b">
        <f t="shared" si="101"/>
        <v>0</v>
      </c>
      <c r="B353">
        <f t="shared" si="103"/>
        <v>352</v>
      </c>
      <c r="C353" t="s">
        <v>144</v>
      </c>
      <c r="D353" t="s">
        <v>350</v>
      </c>
      <c r="E353">
        <f t="shared" si="100"/>
        <v>36</v>
      </c>
      <c r="G353">
        <f t="shared" si="104"/>
        <v>6</v>
      </c>
      <c r="H353" t="str">
        <f t="shared" si="105"/>
        <v/>
      </c>
      <c r="I353" t="str">
        <f t="shared" si="106"/>
        <v/>
      </c>
      <c r="J353" t="str">
        <f t="shared" si="107"/>
        <v/>
      </c>
      <c r="K353" t="str">
        <f t="shared" si="108"/>
        <v/>
      </c>
      <c r="L353" t="str">
        <f t="shared" si="109"/>
        <v/>
      </c>
      <c r="M353" t="str">
        <f t="shared" si="110"/>
        <v/>
      </c>
      <c r="N353" t="str">
        <f t="shared" si="111"/>
        <v/>
      </c>
      <c r="O353" t="str">
        <f t="shared" si="112"/>
        <v/>
      </c>
      <c r="P353" t="str">
        <f t="shared" si="113"/>
        <v/>
      </c>
      <c r="Q353" t="str">
        <f t="shared" si="114"/>
        <v/>
      </c>
      <c r="R353" t="str">
        <f t="shared" si="115"/>
        <v/>
      </c>
      <c r="S353" t="str">
        <f t="shared" si="116"/>
        <v/>
      </c>
      <c r="T353" t="str">
        <f t="shared" si="117"/>
        <v/>
      </c>
      <c r="U353" t="str">
        <f t="shared" si="118"/>
        <v/>
      </c>
      <c r="V353" t="str">
        <f t="shared" si="119"/>
        <v/>
      </c>
      <c r="W353" t="str">
        <f t="shared" si="102"/>
        <v xml:space="preserve">              </v>
      </c>
    </row>
    <row r="354" spans="1:23" hidden="1">
      <c r="A354" s="71" t="b">
        <f t="shared" si="101"/>
        <v>0</v>
      </c>
      <c r="B354" s="71">
        <f t="shared" si="103"/>
        <v>353</v>
      </c>
      <c r="C354" s="71" t="s">
        <v>144</v>
      </c>
      <c r="D354" s="71" t="s">
        <v>351</v>
      </c>
      <c r="E354">
        <f t="shared" si="100"/>
        <v>18</v>
      </c>
      <c r="F354">
        <v>1</v>
      </c>
      <c r="G354">
        <f t="shared" si="104"/>
        <v>1</v>
      </c>
      <c r="H354" t="str">
        <f t="shared" si="105"/>
        <v>Risk response plan</v>
      </c>
      <c r="I354" t="str">
        <f t="shared" si="106"/>
        <v>This subsidiary plan defines the risk</v>
      </c>
      <c r="J354" t="str">
        <f t="shared" si="107"/>
        <v>responses that are to be used in the</v>
      </c>
      <c r="K354" t="str">
        <f t="shared" si="108"/>
        <v>project for both positive and negative</v>
      </c>
      <c r="L354" t="str">
        <f t="shared" si="109"/>
        <v>risks.</v>
      </c>
      <c r="M354" t="str">
        <f t="shared" si="110"/>
        <v/>
      </c>
      <c r="N354" t="str">
        <f t="shared" si="111"/>
        <v/>
      </c>
      <c r="O354" t="str">
        <f t="shared" si="112"/>
        <v/>
      </c>
      <c r="P354" t="str">
        <f t="shared" si="113"/>
        <v/>
      </c>
      <c r="Q354" t="str">
        <f t="shared" si="114"/>
        <v/>
      </c>
      <c r="R354" t="str">
        <f t="shared" si="115"/>
        <v/>
      </c>
      <c r="S354" t="str">
        <f t="shared" si="116"/>
        <v/>
      </c>
      <c r="T354" t="str">
        <f t="shared" si="117"/>
        <v/>
      </c>
      <c r="U354" t="str">
        <f t="shared" si="118"/>
        <v/>
      </c>
      <c r="V354" t="str">
        <f t="shared" si="119"/>
        <v/>
      </c>
      <c r="W354" s="71" t="str">
        <f>CONCATENATE(H354," ",I354," ",J354," ",K354," ",L354," ",M354," ",N354," ",O354," ",P354," ",Q354," ",R354," ",S354," ",T354," ",U354," ",V354)</f>
        <v xml:space="preserve">Risk response plan This subsidiary plan defines the risk responses that are to be used in the project for both positive and negative risks.          </v>
      </c>
    </row>
    <row r="355" spans="1:23" customFormat="1" hidden="1">
      <c r="A355" t="b">
        <f t="shared" si="101"/>
        <v>0</v>
      </c>
      <c r="B355">
        <f t="shared" si="103"/>
        <v>354</v>
      </c>
      <c r="C355" t="s">
        <v>144</v>
      </c>
      <c r="D355" t="s">
        <v>352</v>
      </c>
      <c r="E355">
        <f t="shared" si="100"/>
        <v>37</v>
      </c>
      <c r="G355">
        <f t="shared" si="104"/>
        <v>2</v>
      </c>
      <c r="H355" t="str">
        <f t="shared" si="105"/>
        <v/>
      </c>
      <c r="I355" t="str">
        <f t="shared" si="106"/>
        <v/>
      </c>
      <c r="J355" t="str">
        <f t="shared" si="107"/>
        <v/>
      </c>
      <c r="K355" t="str">
        <f t="shared" si="108"/>
        <v/>
      </c>
      <c r="L355" t="str">
        <f t="shared" si="109"/>
        <v/>
      </c>
      <c r="M355" t="str">
        <f t="shared" si="110"/>
        <v/>
      </c>
      <c r="N355" t="str">
        <f t="shared" si="111"/>
        <v/>
      </c>
      <c r="O355" t="str">
        <f t="shared" si="112"/>
        <v/>
      </c>
      <c r="P355" t="str">
        <f t="shared" si="113"/>
        <v/>
      </c>
      <c r="Q355" t="str">
        <f t="shared" si="114"/>
        <v/>
      </c>
      <c r="R355" t="str">
        <f t="shared" si="115"/>
        <v/>
      </c>
      <c r="S355" t="str">
        <f t="shared" si="116"/>
        <v/>
      </c>
      <c r="T355" t="str">
        <f t="shared" si="117"/>
        <v/>
      </c>
      <c r="U355" t="str">
        <f t="shared" si="118"/>
        <v/>
      </c>
      <c r="V355" t="str">
        <f t="shared" si="119"/>
        <v/>
      </c>
      <c r="W355" t="str">
        <f t="shared" si="102"/>
        <v xml:space="preserve">              </v>
      </c>
    </row>
    <row r="356" spans="1:23" customFormat="1" hidden="1">
      <c r="A356" t="b">
        <f t="shared" si="101"/>
        <v>0</v>
      </c>
      <c r="B356">
        <f t="shared" si="103"/>
        <v>355</v>
      </c>
      <c r="C356" t="s">
        <v>144</v>
      </c>
      <c r="D356" t="s">
        <v>353</v>
      </c>
      <c r="E356">
        <f t="shared" si="100"/>
        <v>36</v>
      </c>
      <c r="G356">
        <f t="shared" si="104"/>
        <v>3</v>
      </c>
      <c r="H356" t="str">
        <f t="shared" si="105"/>
        <v/>
      </c>
      <c r="I356" t="str">
        <f t="shared" si="106"/>
        <v/>
      </c>
      <c r="J356" t="str">
        <f t="shared" si="107"/>
        <v/>
      </c>
      <c r="K356" t="str">
        <f t="shared" si="108"/>
        <v/>
      </c>
      <c r="L356" t="str">
        <f t="shared" si="109"/>
        <v/>
      </c>
      <c r="M356" t="str">
        <f t="shared" si="110"/>
        <v/>
      </c>
      <c r="N356" t="str">
        <f t="shared" si="111"/>
        <v/>
      </c>
      <c r="O356" t="str">
        <f t="shared" si="112"/>
        <v/>
      </c>
      <c r="P356" t="str">
        <f t="shared" si="113"/>
        <v/>
      </c>
      <c r="Q356" t="str">
        <f t="shared" si="114"/>
        <v/>
      </c>
      <c r="R356" t="str">
        <f t="shared" si="115"/>
        <v/>
      </c>
      <c r="S356" t="str">
        <f t="shared" si="116"/>
        <v/>
      </c>
      <c r="T356" t="str">
        <f t="shared" si="117"/>
        <v/>
      </c>
      <c r="U356" t="str">
        <f t="shared" si="118"/>
        <v/>
      </c>
      <c r="V356" t="str">
        <f t="shared" si="119"/>
        <v/>
      </c>
      <c r="W356" t="str">
        <f t="shared" si="102"/>
        <v xml:space="preserve">              </v>
      </c>
    </row>
    <row r="357" spans="1:23" customFormat="1" hidden="1">
      <c r="A357" t="b">
        <f t="shared" si="101"/>
        <v>0</v>
      </c>
      <c r="B357">
        <f t="shared" si="103"/>
        <v>356</v>
      </c>
      <c r="C357" t="s">
        <v>144</v>
      </c>
      <c r="D357" t="s">
        <v>354</v>
      </c>
      <c r="E357">
        <f t="shared" si="100"/>
        <v>38</v>
      </c>
      <c r="G357">
        <f t="shared" si="104"/>
        <v>4</v>
      </c>
      <c r="H357" t="str">
        <f t="shared" si="105"/>
        <v/>
      </c>
      <c r="I357" t="str">
        <f t="shared" si="106"/>
        <v/>
      </c>
      <c r="J357" t="str">
        <f t="shared" si="107"/>
        <v/>
      </c>
      <c r="K357" t="str">
        <f t="shared" si="108"/>
        <v/>
      </c>
      <c r="L357" t="str">
        <f t="shared" si="109"/>
        <v/>
      </c>
      <c r="M357" t="str">
        <f t="shared" si="110"/>
        <v/>
      </c>
      <c r="N357" t="str">
        <f t="shared" si="111"/>
        <v/>
      </c>
      <c r="O357" t="str">
        <f t="shared" si="112"/>
        <v/>
      </c>
      <c r="P357" t="str">
        <f t="shared" si="113"/>
        <v/>
      </c>
      <c r="Q357" t="str">
        <f t="shared" si="114"/>
        <v/>
      </c>
      <c r="R357" t="str">
        <f t="shared" si="115"/>
        <v/>
      </c>
      <c r="S357" t="str">
        <f t="shared" si="116"/>
        <v/>
      </c>
      <c r="T357" t="str">
        <f t="shared" si="117"/>
        <v/>
      </c>
      <c r="U357" t="str">
        <f t="shared" si="118"/>
        <v/>
      </c>
      <c r="V357" t="str">
        <f t="shared" si="119"/>
        <v/>
      </c>
      <c r="W357" t="str">
        <f t="shared" si="102"/>
        <v xml:space="preserve">              </v>
      </c>
    </row>
    <row r="358" spans="1:23" customFormat="1" hidden="1">
      <c r="A358" t="b">
        <f t="shared" si="101"/>
        <v>0</v>
      </c>
      <c r="B358">
        <f t="shared" si="103"/>
        <v>357</v>
      </c>
      <c r="C358" t="s">
        <v>144</v>
      </c>
      <c r="D358" t="s">
        <v>355</v>
      </c>
      <c r="E358">
        <f t="shared" si="100"/>
        <v>6</v>
      </c>
      <c r="G358">
        <f t="shared" si="104"/>
        <v>5</v>
      </c>
      <c r="H358" t="str">
        <f t="shared" si="105"/>
        <v/>
      </c>
      <c r="I358" t="str">
        <f t="shared" si="106"/>
        <v/>
      </c>
      <c r="J358" t="str">
        <f t="shared" si="107"/>
        <v/>
      </c>
      <c r="K358" t="str">
        <f t="shared" si="108"/>
        <v/>
      </c>
      <c r="L358" t="str">
        <f t="shared" si="109"/>
        <v/>
      </c>
      <c r="M358" t="str">
        <f t="shared" si="110"/>
        <v/>
      </c>
      <c r="N358" t="str">
        <f t="shared" si="111"/>
        <v/>
      </c>
      <c r="O358" t="str">
        <f t="shared" si="112"/>
        <v/>
      </c>
      <c r="P358" t="str">
        <f t="shared" si="113"/>
        <v/>
      </c>
      <c r="Q358" t="str">
        <f t="shared" si="114"/>
        <v/>
      </c>
      <c r="R358" t="str">
        <f t="shared" si="115"/>
        <v/>
      </c>
      <c r="S358" t="str">
        <f t="shared" si="116"/>
        <v/>
      </c>
      <c r="T358" t="str">
        <f t="shared" si="117"/>
        <v/>
      </c>
      <c r="U358" t="str">
        <f t="shared" si="118"/>
        <v/>
      </c>
      <c r="V358" t="str">
        <f t="shared" si="119"/>
        <v/>
      </c>
      <c r="W358" t="str">
        <f t="shared" si="102"/>
        <v xml:space="preserve">              </v>
      </c>
    </row>
    <row r="359" spans="1:23" hidden="1">
      <c r="A359" s="71" t="b">
        <f t="shared" si="101"/>
        <v>0</v>
      </c>
      <c r="B359" s="71">
        <f t="shared" si="103"/>
        <v>358</v>
      </c>
      <c r="C359" s="71" t="s">
        <v>144</v>
      </c>
      <c r="D359" s="71" t="s">
        <v>356</v>
      </c>
      <c r="E359">
        <f t="shared" si="100"/>
        <v>17</v>
      </c>
      <c r="F359">
        <v>1</v>
      </c>
      <c r="G359">
        <f t="shared" si="104"/>
        <v>1</v>
      </c>
      <c r="H359" t="str">
        <f t="shared" si="105"/>
        <v>Schedule baseline</v>
      </c>
      <c r="I359" t="str">
        <f t="shared" si="106"/>
        <v>This is the planned start and finish of the</v>
      </c>
      <c r="J359" t="str">
        <f t="shared" si="107"/>
        <v>project. The comparison of what was</v>
      </c>
      <c r="K359" t="str">
        <f t="shared" si="108"/>
        <v>planned and what was experienced is the</v>
      </c>
      <c r="L359" t="str">
        <f t="shared" si="109"/>
        <v>schedule variance.</v>
      </c>
      <c r="M359" t="str">
        <f t="shared" si="110"/>
        <v/>
      </c>
      <c r="N359" t="str">
        <f t="shared" si="111"/>
        <v/>
      </c>
      <c r="O359" t="str">
        <f t="shared" si="112"/>
        <v/>
      </c>
      <c r="P359" t="str">
        <f t="shared" si="113"/>
        <v/>
      </c>
      <c r="Q359" t="str">
        <f t="shared" si="114"/>
        <v/>
      </c>
      <c r="R359" t="str">
        <f t="shared" si="115"/>
        <v/>
      </c>
      <c r="S359" t="str">
        <f t="shared" si="116"/>
        <v/>
      </c>
      <c r="T359" t="str">
        <f t="shared" si="117"/>
        <v/>
      </c>
      <c r="U359" t="str">
        <f t="shared" si="118"/>
        <v/>
      </c>
      <c r="V359" t="str">
        <f t="shared" si="119"/>
        <v/>
      </c>
      <c r="W359" s="71" t="str">
        <f>CONCATENATE(H359," ",I359," ",J359," ",K359," ",L359," ",M359," ",N359," ",O359," ",P359," ",Q359," ",R359," ",S359," ",T359," ",U359," ",V359)</f>
        <v xml:space="preserve">Schedule baseline This is the planned start and finish of the project. The comparison of what was planned and what was experienced is the schedule variance.          </v>
      </c>
    </row>
    <row r="360" spans="1:23" customFormat="1" hidden="1">
      <c r="A360" t="b">
        <f t="shared" si="101"/>
        <v>0</v>
      </c>
      <c r="B360">
        <f t="shared" si="103"/>
        <v>359</v>
      </c>
      <c r="C360" t="s">
        <v>144</v>
      </c>
      <c r="D360" t="s">
        <v>357</v>
      </c>
      <c r="E360">
        <f t="shared" si="100"/>
        <v>43</v>
      </c>
      <c r="G360">
        <f t="shared" si="104"/>
        <v>2</v>
      </c>
      <c r="H360" t="str">
        <f t="shared" si="105"/>
        <v/>
      </c>
      <c r="I360" t="str">
        <f t="shared" si="106"/>
        <v/>
      </c>
      <c r="J360" t="str">
        <f t="shared" si="107"/>
        <v/>
      </c>
      <c r="K360" t="str">
        <f t="shared" si="108"/>
        <v/>
      </c>
      <c r="L360" t="str">
        <f t="shared" si="109"/>
        <v/>
      </c>
      <c r="M360" t="str">
        <f t="shared" si="110"/>
        <v/>
      </c>
      <c r="N360" t="str">
        <f t="shared" si="111"/>
        <v/>
      </c>
      <c r="O360" t="str">
        <f t="shared" si="112"/>
        <v/>
      </c>
      <c r="P360" t="str">
        <f t="shared" si="113"/>
        <v/>
      </c>
      <c r="Q360" t="str">
        <f t="shared" si="114"/>
        <v/>
      </c>
      <c r="R360" t="str">
        <f t="shared" si="115"/>
        <v/>
      </c>
      <c r="S360" t="str">
        <f t="shared" si="116"/>
        <v/>
      </c>
      <c r="T360" t="str">
        <f t="shared" si="117"/>
        <v/>
      </c>
      <c r="U360" t="str">
        <f t="shared" si="118"/>
        <v/>
      </c>
      <c r="V360" t="str">
        <f t="shared" si="119"/>
        <v/>
      </c>
      <c r="W360" t="str">
        <f t="shared" si="102"/>
        <v xml:space="preserve">              </v>
      </c>
    </row>
    <row r="361" spans="1:23" customFormat="1" hidden="1">
      <c r="A361" t="b">
        <f t="shared" si="101"/>
        <v>0</v>
      </c>
      <c r="B361">
        <f t="shared" si="103"/>
        <v>360</v>
      </c>
      <c r="C361" t="s">
        <v>144</v>
      </c>
      <c r="D361" t="s">
        <v>358</v>
      </c>
      <c r="E361">
        <f t="shared" ref="E361:E416" si="120">LEN(D361)</f>
        <v>35</v>
      </c>
      <c r="G361">
        <f t="shared" si="104"/>
        <v>3</v>
      </c>
      <c r="H361" t="str">
        <f t="shared" si="105"/>
        <v/>
      </c>
      <c r="I361" t="str">
        <f t="shared" si="106"/>
        <v/>
      </c>
      <c r="J361" t="str">
        <f t="shared" si="107"/>
        <v/>
      </c>
      <c r="K361" t="str">
        <f t="shared" si="108"/>
        <v/>
      </c>
      <c r="L361" t="str">
        <f t="shared" si="109"/>
        <v/>
      </c>
      <c r="M361" t="str">
        <f t="shared" si="110"/>
        <v/>
      </c>
      <c r="N361" t="str">
        <f t="shared" si="111"/>
        <v/>
      </c>
      <c r="O361" t="str">
        <f t="shared" si="112"/>
        <v/>
      </c>
      <c r="P361" t="str">
        <f t="shared" si="113"/>
        <v/>
      </c>
      <c r="Q361" t="str">
        <f t="shared" si="114"/>
        <v/>
      </c>
      <c r="R361" t="str">
        <f t="shared" si="115"/>
        <v/>
      </c>
      <c r="S361" t="str">
        <f t="shared" si="116"/>
        <v/>
      </c>
      <c r="T361" t="str">
        <f t="shared" si="117"/>
        <v/>
      </c>
      <c r="U361" t="str">
        <f t="shared" si="118"/>
        <v/>
      </c>
      <c r="V361" t="str">
        <f t="shared" si="119"/>
        <v/>
      </c>
      <c r="W361" t="str">
        <f t="shared" si="102"/>
        <v xml:space="preserve">              </v>
      </c>
    </row>
    <row r="362" spans="1:23" customFormat="1" hidden="1">
      <c r="A362" t="b">
        <f t="shared" si="101"/>
        <v>0</v>
      </c>
      <c r="B362">
        <f t="shared" si="103"/>
        <v>361</v>
      </c>
      <c r="C362" t="s">
        <v>144</v>
      </c>
      <c r="D362" t="s">
        <v>359</v>
      </c>
      <c r="E362">
        <f t="shared" si="120"/>
        <v>39</v>
      </c>
      <c r="G362">
        <f t="shared" si="104"/>
        <v>4</v>
      </c>
      <c r="H362" t="str">
        <f t="shared" si="105"/>
        <v/>
      </c>
      <c r="I362" t="str">
        <f t="shared" si="106"/>
        <v/>
      </c>
      <c r="J362" t="str">
        <f t="shared" si="107"/>
        <v/>
      </c>
      <c r="K362" t="str">
        <f t="shared" si="108"/>
        <v/>
      </c>
      <c r="L362" t="str">
        <f t="shared" si="109"/>
        <v/>
      </c>
      <c r="M362" t="str">
        <f t="shared" si="110"/>
        <v/>
      </c>
      <c r="N362" t="str">
        <f t="shared" si="111"/>
        <v/>
      </c>
      <c r="O362" t="str">
        <f t="shared" si="112"/>
        <v/>
      </c>
      <c r="P362" t="str">
        <f t="shared" si="113"/>
        <v/>
      </c>
      <c r="Q362" t="str">
        <f t="shared" si="114"/>
        <v/>
      </c>
      <c r="R362" t="str">
        <f t="shared" si="115"/>
        <v/>
      </c>
      <c r="S362" t="str">
        <f t="shared" si="116"/>
        <v/>
      </c>
      <c r="T362" t="str">
        <f t="shared" si="117"/>
        <v/>
      </c>
      <c r="U362" t="str">
        <f t="shared" si="118"/>
        <v/>
      </c>
      <c r="V362" t="str">
        <f t="shared" si="119"/>
        <v/>
      </c>
      <c r="W362" t="str">
        <f t="shared" si="102"/>
        <v xml:space="preserve">              </v>
      </c>
    </row>
    <row r="363" spans="1:23" customFormat="1" hidden="1">
      <c r="A363" t="b">
        <f t="shared" si="101"/>
        <v>0</v>
      </c>
      <c r="B363">
        <f t="shared" si="103"/>
        <v>362</v>
      </c>
      <c r="C363" t="s">
        <v>144</v>
      </c>
      <c r="D363" t="s">
        <v>360</v>
      </c>
      <c r="E363">
        <f t="shared" si="120"/>
        <v>18</v>
      </c>
      <c r="G363">
        <f t="shared" si="104"/>
        <v>5</v>
      </c>
      <c r="H363" t="str">
        <f t="shared" si="105"/>
        <v/>
      </c>
      <c r="I363" t="str">
        <f t="shared" si="106"/>
        <v/>
      </c>
      <c r="J363" t="str">
        <f t="shared" si="107"/>
        <v/>
      </c>
      <c r="K363" t="str">
        <f t="shared" si="108"/>
        <v/>
      </c>
      <c r="L363" t="str">
        <f t="shared" si="109"/>
        <v/>
      </c>
      <c r="M363" t="str">
        <f t="shared" si="110"/>
        <v/>
      </c>
      <c r="N363" t="str">
        <f t="shared" si="111"/>
        <v/>
      </c>
      <c r="O363" t="str">
        <f t="shared" si="112"/>
        <v/>
      </c>
      <c r="P363" t="str">
        <f t="shared" si="113"/>
        <v/>
      </c>
      <c r="Q363" t="str">
        <f t="shared" si="114"/>
        <v/>
      </c>
      <c r="R363" t="str">
        <f t="shared" si="115"/>
        <v/>
      </c>
      <c r="S363" t="str">
        <f t="shared" si="116"/>
        <v/>
      </c>
      <c r="T363" t="str">
        <f t="shared" si="117"/>
        <v/>
      </c>
      <c r="U363" t="str">
        <f t="shared" si="118"/>
        <v/>
      </c>
      <c r="V363" t="str">
        <f t="shared" si="119"/>
        <v/>
      </c>
      <c r="W363" t="str">
        <f t="shared" si="102"/>
        <v xml:space="preserve">              </v>
      </c>
    </row>
    <row r="364" spans="1:23" hidden="1">
      <c r="A364" s="71" t="b">
        <f t="shared" si="101"/>
        <v>0</v>
      </c>
      <c r="B364" s="71">
        <f t="shared" si="103"/>
        <v>363</v>
      </c>
      <c r="C364" s="71" t="s">
        <v>144</v>
      </c>
      <c r="D364" s="71" t="s">
        <v>361</v>
      </c>
      <c r="E364">
        <f t="shared" si="120"/>
        <v>24</v>
      </c>
      <c r="F364">
        <v>1</v>
      </c>
      <c r="G364">
        <f t="shared" si="104"/>
        <v>1</v>
      </c>
      <c r="H364" t="str">
        <f t="shared" si="105"/>
        <v>Schedule management plan</v>
      </c>
      <c r="I364" t="str">
        <f t="shared" si="106"/>
        <v>Defines how the project schedule will be</v>
      </c>
      <c r="J364" t="str">
        <f t="shared" si="107"/>
        <v>created and managed.</v>
      </c>
      <c r="K364" t="str">
        <f t="shared" si="108"/>
        <v/>
      </c>
      <c r="L364" t="str">
        <f t="shared" si="109"/>
        <v/>
      </c>
      <c r="M364" t="str">
        <f t="shared" si="110"/>
        <v/>
      </c>
      <c r="N364" t="str">
        <f t="shared" si="111"/>
        <v/>
      </c>
      <c r="O364" t="str">
        <f t="shared" si="112"/>
        <v/>
      </c>
      <c r="P364" t="str">
        <f t="shared" si="113"/>
        <v/>
      </c>
      <c r="Q364" t="str">
        <f t="shared" si="114"/>
        <v/>
      </c>
      <c r="R364" t="str">
        <f t="shared" si="115"/>
        <v/>
      </c>
      <c r="S364" t="str">
        <f t="shared" si="116"/>
        <v/>
      </c>
      <c r="T364" t="str">
        <f t="shared" si="117"/>
        <v/>
      </c>
      <c r="U364" t="str">
        <f t="shared" si="118"/>
        <v/>
      </c>
      <c r="V364" t="str">
        <f t="shared" si="119"/>
        <v/>
      </c>
      <c r="W364" s="71" t="str">
        <f>CONCATENATE(H364," ",I364," ",J364," ",K364," ",L364," ",M364," ",N364," ",O364," ",P364," ",Q364," ",R364," ",S364," ",T364," ",U364," ",V364)</f>
        <v xml:space="preserve">Schedule management plan Defines how the project schedule will be created and managed.            </v>
      </c>
    </row>
    <row r="365" spans="1:23" customFormat="1" hidden="1">
      <c r="A365" t="b">
        <f t="shared" si="101"/>
        <v>0</v>
      </c>
      <c r="B365">
        <f t="shared" si="103"/>
        <v>364</v>
      </c>
      <c r="C365" t="s">
        <v>144</v>
      </c>
      <c r="D365" t="s">
        <v>362</v>
      </c>
      <c r="E365">
        <f t="shared" si="120"/>
        <v>40</v>
      </c>
      <c r="G365">
        <f t="shared" si="104"/>
        <v>2</v>
      </c>
      <c r="H365" t="str">
        <f t="shared" si="105"/>
        <v/>
      </c>
      <c r="I365" t="str">
        <f t="shared" si="106"/>
        <v/>
      </c>
      <c r="J365" t="str">
        <f t="shared" si="107"/>
        <v/>
      </c>
      <c r="K365" t="str">
        <f t="shared" si="108"/>
        <v/>
      </c>
      <c r="L365" t="str">
        <f t="shared" si="109"/>
        <v/>
      </c>
      <c r="M365" t="str">
        <f t="shared" si="110"/>
        <v/>
      </c>
      <c r="N365" t="str">
        <f t="shared" si="111"/>
        <v/>
      </c>
      <c r="O365" t="str">
        <f t="shared" si="112"/>
        <v/>
      </c>
      <c r="P365" t="str">
        <f t="shared" si="113"/>
        <v/>
      </c>
      <c r="Q365" t="str">
        <f t="shared" si="114"/>
        <v/>
      </c>
      <c r="R365" t="str">
        <f t="shared" si="115"/>
        <v/>
      </c>
      <c r="S365" t="str">
        <f t="shared" si="116"/>
        <v/>
      </c>
      <c r="T365" t="str">
        <f t="shared" si="117"/>
        <v/>
      </c>
      <c r="U365" t="str">
        <f t="shared" si="118"/>
        <v/>
      </c>
      <c r="V365" t="str">
        <f t="shared" si="119"/>
        <v/>
      </c>
      <c r="W365" t="str">
        <f t="shared" si="102"/>
        <v xml:space="preserve">              </v>
      </c>
    </row>
    <row r="366" spans="1:23" customFormat="1" hidden="1">
      <c r="A366" t="b">
        <f t="shared" si="101"/>
        <v>0</v>
      </c>
      <c r="B366">
        <f t="shared" si="103"/>
        <v>365</v>
      </c>
      <c r="C366" t="s">
        <v>144</v>
      </c>
      <c r="D366" t="s">
        <v>363</v>
      </c>
      <c r="E366">
        <f t="shared" si="120"/>
        <v>20</v>
      </c>
      <c r="G366">
        <f t="shared" si="104"/>
        <v>3</v>
      </c>
      <c r="H366" t="str">
        <f t="shared" si="105"/>
        <v/>
      </c>
      <c r="I366" t="str">
        <f t="shared" si="106"/>
        <v/>
      </c>
      <c r="J366" t="str">
        <f t="shared" si="107"/>
        <v/>
      </c>
      <c r="K366" t="str">
        <f t="shared" si="108"/>
        <v/>
      </c>
      <c r="L366" t="str">
        <f t="shared" si="109"/>
        <v/>
      </c>
      <c r="M366" t="str">
        <f t="shared" si="110"/>
        <v/>
      </c>
      <c r="N366" t="str">
        <f t="shared" si="111"/>
        <v/>
      </c>
      <c r="O366" t="str">
        <f t="shared" si="112"/>
        <v/>
      </c>
      <c r="P366" t="str">
        <f t="shared" si="113"/>
        <v/>
      </c>
      <c r="Q366" t="str">
        <f t="shared" si="114"/>
        <v/>
      </c>
      <c r="R366" t="str">
        <f t="shared" si="115"/>
        <v/>
      </c>
      <c r="S366" t="str">
        <f t="shared" si="116"/>
        <v/>
      </c>
      <c r="T366" t="str">
        <f t="shared" si="117"/>
        <v/>
      </c>
      <c r="U366" t="str">
        <f t="shared" si="118"/>
        <v/>
      </c>
      <c r="V366" t="str">
        <f t="shared" si="119"/>
        <v/>
      </c>
      <c r="W366" t="str">
        <f t="shared" si="102"/>
        <v xml:space="preserve">              </v>
      </c>
    </row>
    <row r="367" spans="1:23" hidden="1">
      <c r="A367" s="71" t="b">
        <f t="shared" si="101"/>
        <v>0</v>
      </c>
      <c r="B367" s="71">
        <f t="shared" si="103"/>
        <v>366</v>
      </c>
      <c r="C367" s="71" t="s">
        <v>144</v>
      </c>
      <c r="D367" s="71" t="s">
        <v>364</v>
      </c>
      <c r="E367">
        <f t="shared" si="120"/>
        <v>14</v>
      </c>
      <c r="F367">
        <v>1</v>
      </c>
      <c r="G367">
        <f t="shared" si="104"/>
        <v>1</v>
      </c>
      <c r="H367" t="str">
        <f t="shared" si="105"/>
        <v>Scope baseline</v>
      </c>
      <c r="I367" t="str">
        <f t="shared" si="106"/>
        <v>The scope baseline is a combination of</v>
      </c>
      <c r="J367" t="str">
        <f t="shared" si="107"/>
        <v>three project documents: the project</v>
      </c>
      <c r="K367" t="str">
        <f t="shared" si="108"/>
        <v>scope statement, the work breakdown</v>
      </c>
      <c r="L367" t="str">
        <f t="shared" si="109"/>
        <v>structure, and the WBS dictionary. The</v>
      </c>
      <c r="M367" t="str">
        <f t="shared" si="110"/>
        <v>creation of the project deliverable will be</v>
      </c>
      <c r="N367" t="str">
        <f t="shared" si="111"/>
        <v>measured against the scope baseline to</v>
      </c>
      <c r="O367" t="str">
        <f t="shared" si="112"/>
        <v>show any variances from what was</v>
      </c>
      <c r="P367" t="str">
        <f t="shared" si="113"/>
        <v>expected and what the project team has</v>
      </c>
      <c r="Q367" t="str">
        <f t="shared" si="114"/>
        <v>created.</v>
      </c>
      <c r="R367" t="str">
        <f t="shared" si="115"/>
        <v/>
      </c>
      <c r="S367" t="str">
        <f t="shared" si="116"/>
        <v/>
      </c>
      <c r="T367" t="str">
        <f t="shared" si="117"/>
        <v/>
      </c>
      <c r="U367" t="str">
        <f t="shared" si="118"/>
        <v/>
      </c>
      <c r="V367" t="str">
        <f t="shared" si="119"/>
        <v/>
      </c>
      <c r="W367" s="71" t="str">
        <f>CONCATENATE(H367," ",I367," ",J367," ",K367," ",L367," ",M367," ",N367," ",O367," ",P367," ",Q367," ",R367," ",S367," ",T367," ",U367," ",V367)</f>
        <v xml:space="preserve">Scope baseline The scope baseline is a combination of three project documents: the project scope statement, the work breakdown structure, and the WBS dictionary. The creation of the project deliverable will be measured against the scope baseline to show any variances from what was expected and what the project team has created.     </v>
      </c>
    </row>
    <row r="368" spans="1:23" customFormat="1" hidden="1">
      <c r="A368" t="b">
        <f t="shared" si="101"/>
        <v>0</v>
      </c>
      <c r="B368">
        <f t="shared" si="103"/>
        <v>367</v>
      </c>
      <c r="C368" t="s">
        <v>144</v>
      </c>
      <c r="D368" t="s">
        <v>365</v>
      </c>
      <c r="E368">
        <f t="shared" si="120"/>
        <v>38</v>
      </c>
      <c r="G368">
        <f t="shared" si="104"/>
        <v>2</v>
      </c>
      <c r="H368" t="str">
        <f t="shared" si="105"/>
        <v/>
      </c>
      <c r="I368" t="str">
        <f t="shared" si="106"/>
        <v/>
      </c>
      <c r="J368" t="str">
        <f t="shared" si="107"/>
        <v/>
      </c>
      <c r="K368" t="str">
        <f t="shared" si="108"/>
        <v/>
      </c>
      <c r="L368" t="str">
        <f t="shared" si="109"/>
        <v/>
      </c>
      <c r="M368" t="str">
        <f t="shared" si="110"/>
        <v/>
      </c>
      <c r="N368" t="str">
        <f t="shared" si="111"/>
        <v/>
      </c>
      <c r="O368" t="str">
        <f t="shared" si="112"/>
        <v/>
      </c>
      <c r="P368" t="str">
        <f t="shared" si="113"/>
        <v/>
      </c>
      <c r="Q368" t="str">
        <f t="shared" si="114"/>
        <v/>
      </c>
      <c r="R368" t="str">
        <f t="shared" si="115"/>
        <v/>
      </c>
      <c r="S368" t="str">
        <f t="shared" si="116"/>
        <v/>
      </c>
      <c r="T368" t="str">
        <f t="shared" si="117"/>
        <v/>
      </c>
      <c r="U368" t="str">
        <f t="shared" si="118"/>
        <v/>
      </c>
      <c r="V368" t="str">
        <f t="shared" si="119"/>
        <v/>
      </c>
      <c r="W368" t="str">
        <f t="shared" si="102"/>
        <v xml:space="preserve">              </v>
      </c>
    </row>
    <row r="369" spans="1:23" customFormat="1" hidden="1">
      <c r="A369" t="b">
        <f t="shared" si="101"/>
        <v>0</v>
      </c>
      <c r="B369">
        <f t="shared" si="103"/>
        <v>368</v>
      </c>
      <c r="C369" t="s">
        <v>144</v>
      </c>
      <c r="D369" t="s">
        <v>366</v>
      </c>
      <c r="E369">
        <f t="shared" si="120"/>
        <v>36</v>
      </c>
      <c r="G369">
        <f t="shared" si="104"/>
        <v>3</v>
      </c>
      <c r="H369" t="str">
        <f t="shared" si="105"/>
        <v/>
      </c>
      <c r="I369" t="str">
        <f t="shared" si="106"/>
        <v/>
      </c>
      <c r="J369" t="str">
        <f t="shared" si="107"/>
        <v/>
      </c>
      <c r="K369" t="str">
        <f t="shared" si="108"/>
        <v/>
      </c>
      <c r="L369" t="str">
        <f t="shared" si="109"/>
        <v/>
      </c>
      <c r="M369" t="str">
        <f t="shared" si="110"/>
        <v/>
      </c>
      <c r="N369" t="str">
        <f t="shared" si="111"/>
        <v/>
      </c>
      <c r="O369" t="str">
        <f t="shared" si="112"/>
        <v/>
      </c>
      <c r="P369" t="str">
        <f t="shared" si="113"/>
        <v/>
      </c>
      <c r="Q369" t="str">
        <f t="shared" si="114"/>
        <v/>
      </c>
      <c r="R369" t="str">
        <f t="shared" si="115"/>
        <v/>
      </c>
      <c r="S369" t="str">
        <f t="shared" si="116"/>
        <v/>
      </c>
      <c r="T369" t="str">
        <f t="shared" si="117"/>
        <v/>
      </c>
      <c r="U369" t="str">
        <f t="shared" si="118"/>
        <v/>
      </c>
      <c r="V369" t="str">
        <f t="shared" si="119"/>
        <v/>
      </c>
      <c r="W369" t="str">
        <f t="shared" si="102"/>
        <v xml:space="preserve">              </v>
      </c>
    </row>
    <row r="370" spans="1:23" customFormat="1" hidden="1">
      <c r="A370" t="b">
        <f t="shared" si="101"/>
        <v>0</v>
      </c>
      <c r="B370">
        <f t="shared" si="103"/>
        <v>369</v>
      </c>
      <c r="C370" t="s">
        <v>144</v>
      </c>
      <c r="D370" t="s">
        <v>367</v>
      </c>
      <c r="E370">
        <f t="shared" si="120"/>
        <v>35</v>
      </c>
      <c r="G370">
        <f t="shared" si="104"/>
        <v>4</v>
      </c>
      <c r="H370" t="str">
        <f t="shared" si="105"/>
        <v/>
      </c>
      <c r="I370" t="str">
        <f t="shared" si="106"/>
        <v/>
      </c>
      <c r="J370" t="str">
        <f t="shared" si="107"/>
        <v/>
      </c>
      <c r="K370" t="str">
        <f t="shared" si="108"/>
        <v/>
      </c>
      <c r="L370" t="str">
        <f t="shared" si="109"/>
        <v/>
      </c>
      <c r="M370" t="str">
        <f t="shared" si="110"/>
        <v/>
      </c>
      <c r="N370" t="str">
        <f t="shared" si="111"/>
        <v/>
      </c>
      <c r="O370" t="str">
        <f t="shared" si="112"/>
        <v/>
      </c>
      <c r="P370" t="str">
        <f t="shared" si="113"/>
        <v/>
      </c>
      <c r="Q370" t="str">
        <f t="shared" si="114"/>
        <v/>
      </c>
      <c r="R370" t="str">
        <f t="shared" si="115"/>
        <v/>
      </c>
      <c r="S370" t="str">
        <f t="shared" si="116"/>
        <v/>
      </c>
      <c r="T370" t="str">
        <f t="shared" si="117"/>
        <v/>
      </c>
      <c r="U370" t="str">
        <f t="shared" si="118"/>
        <v/>
      </c>
      <c r="V370" t="str">
        <f t="shared" si="119"/>
        <v/>
      </c>
      <c r="W370" t="str">
        <f t="shared" si="102"/>
        <v xml:space="preserve">              </v>
      </c>
    </row>
    <row r="371" spans="1:23" customFormat="1" hidden="1">
      <c r="A371" t="b">
        <f t="shared" si="101"/>
        <v>0</v>
      </c>
      <c r="B371">
        <f t="shared" si="103"/>
        <v>370</v>
      </c>
      <c r="C371" t="s">
        <v>144</v>
      </c>
      <c r="D371" t="s">
        <v>368</v>
      </c>
      <c r="E371">
        <f t="shared" si="120"/>
        <v>38</v>
      </c>
      <c r="G371">
        <f t="shared" si="104"/>
        <v>5</v>
      </c>
      <c r="H371" t="str">
        <f t="shared" si="105"/>
        <v/>
      </c>
      <c r="I371" t="str">
        <f t="shared" si="106"/>
        <v/>
      </c>
      <c r="J371" t="str">
        <f t="shared" si="107"/>
        <v/>
      </c>
      <c r="K371" t="str">
        <f t="shared" si="108"/>
        <v/>
      </c>
      <c r="L371" t="str">
        <f t="shared" si="109"/>
        <v/>
      </c>
      <c r="M371" t="str">
        <f t="shared" si="110"/>
        <v/>
      </c>
      <c r="N371" t="str">
        <f t="shared" si="111"/>
        <v/>
      </c>
      <c r="O371" t="str">
        <f t="shared" si="112"/>
        <v/>
      </c>
      <c r="P371" t="str">
        <f t="shared" si="113"/>
        <v/>
      </c>
      <c r="Q371" t="str">
        <f t="shared" si="114"/>
        <v/>
      </c>
      <c r="R371" t="str">
        <f t="shared" si="115"/>
        <v/>
      </c>
      <c r="S371" t="str">
        <f t="shared" si="116"/>
        <v/>
      </c>
      <c r="T371" t="str">
        <f t="shared" si="117"/>
        <v/>
      </c>
      <c r="U371" t="str">
        <f t="shared" si="118"/>
        <v/>
      </c>
      <c r="V371" t="str">
        <f t="shared" si="119"/>
        <v/>
      </c>
      <c r="W371" t="str">
        <f t="shared" si="102"/>
        <v xml:space="preserve">              </v>
      </c>
    </row>
    <row r="372" spans="1:23" customFormat="1" hidden="1">
      <c r="A372" t="b">
        <f t="shared" si="101"/>
        <v>0</v>
      </c>
      <c r="B372">
        <f t="shared" si="103"/>
        <v>371</v>
      </c>
      <c r="C372" t="s">
        <v>144</v>
      </c>
      <c r="D372" t="s">
        <v>369</v>
      </c>
      <c r="E372">
        <f t="shared" si="120"/>
        <v>43</v>
      </c>
      <c r="G372">
        <f t="shared" si="104"/>
        <v>6</v>
      </c>
      <c r="H372" t="str">
        <f t="shared" si="105"/>
        <v/>
      </c>
      <c r="I372" t="str">
        <f t="shared" si="106"/>
        <v/>
      </c>
      <c r="J372" t="str">
        <f t="shared" si="107"/>
        <v/>
      </c>
      <c r="K372" t="str">
        <f t="shared" si="108"/>
        <v/>
      </c>
      <c r="L372" t="str">
        <f t="shared" si="109"/>
        <v/>
      </c>
      <c r="M372" t="str">
        <f t="shared" si="110"/>
        <v/>
      </c>
      <c r="N372" t="str">
        <f t="shared" si="111"/>
        <v/>
      </c>
      <c r="O372" t="str">
        <f t="shared" si="112"/>
        <v/>
      </c>
      <c r="P372" t="str">
        <f t="shared" si="113"/>
        <v/>
      </c>
      <c r="Q372" t="str">
        <f t="shared" si="114"/>
        <v/>
      </c>
      <c r="R372" t="str">
        <f t="shared" si="115"/>
        <v/>
      </c>
      <c r="S372" t="str">
        <f t="shared" si="116"/>
        <v/>
      </c>
      <c r="T372" t="str">
        <f t="shared" si="117"/>
        <v/>
      </c>
      <c r="U372" t="str">
        <f t="shared" si="118"/>
        <v/>
      </c>
      <c r="V372" t="str">
        <f t="shared" si="119"/>
        <v/>
      </c>
      <c r="W372" t="str">
        <f t="shared" si="102"/>
        <v xml:space="preserve">              </v>
      </c>
    </row>
    <row r="373" spans="1:23" customFormat="1" hidden="1">
      <c r="A373" t="b">
        <f t="shared" si="101"/>
        <v>0</v>
      </c>
      <c r="B373">
        <f t="shared" si="103"/>
        <v>372</v>
      </c>
      <c r="C373" t="s">
        <v>144</v>
      </c>
      <c r="D373" t="s">
        <v>370</v>
      </c>
      <c r="E373">
        <f t="shared" si="120"/>
        <v>38</v>
      </c>
      <c r="G373">
        <f t="shared" si="104"/>
        <v>7</v>
      </c>
      <c r="H373" t="str">
        <f t="shared" si="105"/>
        <v/>
      </c>
      <c r="I373" t="str">
        <f t="shared" si="106"/>
        <v/>
      </c>
      <c r="J373" t="str">
        <f t="shared" si="107"/>
        <v/>
      </c>
      <c r="K373" t="str">
        <f t="shared" si="108"/>
        <v/>
      </c>
      <c r="L373" t="str">
        <f t="shared" si="109"/>
        <v/>
      </c>
      <c r="M373" t="str">
        <f t="shared" si="110"/>
        <v/>
      </c>
      <c r="N373" t="str">
        <f t="shared" si="111"/>
        <v/>
      </c>
      <c r="O373" t="str">
        <f t="shared" si="112"/>
        <v/>
      </c>
      <c r="P373" t="str">
        <f t="shared" si="113"/>
        <v/>
      </c>
      <c r="Q373" t="str">
        <f t="shared" si="114"/>
        <v/>
      </c>
      <c r="R373" t="str">
        <f t="shared" si="115"/>
        <v/>
      </c>
      <c r="S373" t="str">
        <f t="shared" si="116"/>
        <v/>
      </c>
      <c r="T373" t="str">
        <f t="shared" si="117"/>
        <v/>
      </c>
      <c r="U373" t="str">
        <f t="shared" si="118"/>
        <v/>
      </c>
      <c r="V373" t="str">
        <f t="shared" si="119"/>
        <v/>
      </c>
      <c r="W373" t="str">
        <f t="shared" si="102"/>
        <v xml:space="preserve">              </v>
      </c>
    </row>
    <row r="374" spans="1:23" customFormat="1" hidden="1">
      <c r="A374" t="b">
        <f t="shared" si="101"/>
        <v>0</v>
      </c>
      <c r="B374">
        <f t="shared" si="103"/>
        <v>373</v>
      </c>
      <c r="C374" t="s">
        <v>144</v>
      </c>
      <c r="D374" t="s">
        <v>371</v>
      </c>
      <c r="E374">
        <f t="shared" si="120"/>
        <v>32</v>
      </c>
      <c r="G374">
        <f t="shared" si="104"/>
        <v>8</v>
      </c>
      <c r="H374" t="str">
        <f t="shared" si="105"/>
        <v/>
      </c>
      <c r="I374" t="str">
        <f t="shared" si="106"/>
        <v/>
      </c>
      <c r="J374" t="str">
        <f t="shared" si="107"/>
        <v/>
      </c>
      <c r="K374" t="str">
        <f t="shared" si="108"/>
        <v/>
      </c>
      <c r="L374" t="str">
        <f t="shared" si="109"/>
        <v/>
      </c>
      <c r="M374" t="str">
        <f t="shared" si="110"/>
        <v/>
      </c>
      <c r="N374" t="str">
        <f t="shared" si="111"/>
        <v/>
      </c>
      <c r="O374" t="str">
        <f t="shared" si="112"/>
        <v/>
      </c>
      <c r="P374" t="str">
        <f t="shared" si="113"/>
        <v/>
      </c>
      <c r="Q374" t="str">
        <f t="shared" si="114"/>
        <v/>
      </c>
      <c r="R374" t="str">
        <f t="shared" si="115"/>
        <v/>
      </c>
      <c r="S374" t="str">
        <f t="shared" si="116"/>
        <v/>
      </c>
      <c r="T374" t="str">
        <f t="shared" si="117"/>
        <v/>
      </c>
      <c r="U374" t="str">
        <f t="shared" si="118"/>
        <v/>
      </c>
      <c r="V374" t="str">
        <f t="shared" si="119"/>
        <v/>
      </c>
      <c r="W374" t="str">
        <f t="shared" si="102"/>
        <v xml:space="preserve">              </v>
      </c>
    </row>
    <row r="375" spans="1:23" customFormat="1" hidden="1">
      <c r="A375" t="b">
        <f t="shared" si="101"/>
        <v>0</v>
      </c>
      <c r="B375">
        <f t="shared" si="103"/>
        <v>374</v>
      </c>
      <c r="C375" t="s">
        <v>144</v>
      </c>
      <c r="D375" t="s">
        <v>372</v>
      </c>
      <c r="E375">
        <f t="shared" si="120"/>
        <v>38</v>
      </c>
      <c r="G375">
        <f t="shared" si="104"/>
        <v>9</v>
      </c>
      <c r="H375" t="str">
        <f t="shared" si="105"/>
        <v/>
      </c>
      <c r="I375" t="str">
        <f t="shared" si="106"/>
        <v/>
      </c>
      <c r="J375" t="str">
        <f t="shared" si="107"/>
        <v/>
      </c>
      <c r="K375" t="str">
        <f t="shared" si="108"/>
        <v/>
      </c>
      <c r="L375" t="str">
        <f t="shared" si="109"/>
        <v/>
      </c>
      <c r="M375" t="str">
        <f t="shared" si="110"/>
        <v/>
      </c>
      <c r="N375" t="str">
        <f t="shared" si="111"/>
        <v/>
      </c>
      <c r="O375" t="str">
        <f t="shared" si="112"/>
        <v/>
      </c>
      <c r="P375" t="str">
        <f t="shared" si="113"/>
        <v/>
      </c>
      <c r="Q375" t="str">
        <f t="shared" si="114"/>
        <v/>
      </c>
      <c r="R375" t="str">
        <f t="shared" si="115"/>
        <v/>
      </c>
      <c r="S375" t="str">
        <f t="shared" si="116"/>
        <v/>
      </c>
      <c r="T375" t="str">
        <f t="shared" si="117"/>
        <v/>
      </c>
      <c r="U375" t="str">
        <f t="shared" si="118"/>
        <v/>
      </c>
      <c r="V375" t="str">
        <f t="shared" si="119"/>
        <v/>
      </c>
      <c r="W375" t="str">
        <f t="shared" si="102"/>
        <v xml:space="preserve">              </v>
      </c>
    </row>
    <row r="376" spans="1:23" customFormat="1" hidden="1">
      <c r="A376" t="b">
        <f t="shared" si="101"/>
        <v>0</v>
      </c>
      <c r="B376">
        <f t="shared" si="103"/>
        <v>375</v>
      </c>
      <c r="C376" t="s">
        <v>144</v>
      </c>
      <c r="D376" t="s">
        <v>373</v>
      </c>
      <c r="E376">
        <f t="shared" si="120"/>
        <v>8</v>
      </c>
      <c r="G376">
        <f t="shared" si="104"/>
        <v>10</v>
      </c>
      <c r="H376" t="str">
        <f t="shared" si="105"/>
        <v/>
      </c>
      <c r="I376" t="str">
        <f t="shared" si="106"/>
        <v/>
      </c>
      <c r="J376" t="str">
        <f t="shared" si="107"/>
        <v/>
      </c>
      <c r="K376" t="str">
        <f t="shared" si="108"/>
        <v/>
      </c>
      <c r="L376" t="str">
        <f t="shared" si="109"/>
        <v/>
      </c>
      <c r="M376" t="str">
        <f t="shared" si="110"/>
        <v/>
      </c>
      <c r="N376" t="str">
        <f t="shared" si="111"/>
        <v/>
      </c>
      <c r="O376" t="str">
        <f t="shared" si="112"/>
        <v/>
      </c>
      <c r="P376" t="str">
        <f t="shared" si="113"/>
        <v/>
      </c>
      <c r="Q376" t="str">
        <f t="shared" si="114"/>
        <v/>
      </c>
      <c r="R376" t="str">
        <f t="shared" si="115"/>
        <v/>
      </c>
      <c r="S376" t="str">
        <f t="shared" si="116"/>
        <v/>
      </c>
      <c r="T376" t="str">
        <f t="shared" si="117"/>
        <v/>
      </c>
      <c r="U376" t="str">
        <f t="shared" si="118"/>
        <v/>
      </c>
      <c r="V376" t="str">
        <f t="shared" si="119"/>
        <v/>
      </c>
      <c r="W376" t="str">
        <f t="shared" si="102"/>
        <v xml:space="preserve">              </v>
      </c>
    </row>
    <row r="377" spans="1:23" hidden="1">
      <c r="A377" s="71" t="b">
        <f t="shared" si="101"/>
        <v>0</v>
      </c>
      <c r="B377" s="71">
        <f t="shared" si="103"/>
        <v>376</v>
      </c>
      <c r="C377" s="71" t="s">
        <v>144</v>
      </c>
      <c r="D377" s="71" t="s">
        <v>374</v>
      </c>
      <c r="E377">
        <f t="shared" si="120"/>
        <v>14</v>
      </c>
      <c r="F377">
        <v>1</v>
      </c>
      <c r="G377">
        <f t="shared" si="104"/>
        <v>1</v>
      </c>
      <c r="H377" t="str">
        <f t="shared" si="105"/>
        <v>Scoring models</v>
      </c>
      <c r="I377" t="str">
        <f t="shared" si="106"/>
        <v>These models use a common set of</v>
      </c>
      <c r="J377" t="str">
        <f t="shared" si="107"/>
        <v>values for all of the projects up for</v>
      </c>
      <c r="K377" t="str">
        <f t="shared" si="108"/>
        <v>selection. For example, values can be</v>
      </c>
      <c r="L377" t="str">
        <f t="shared" si="109"/>
        <v>profitability, complexity, customer</v>
      </c>
      <c r="M377" t="str">
        <f t="shared" si="110"/>
        <v>demand, and so on.</v>
      </c>
      <c r="N377" t="str">
        <f t="shared" si="111"/>
        <v>tacit knowledge</v>
      </c>
      <c r="O377" t="str">
        <f t="shared" si="112"/>
        <v>Knowledge that’s more difficult to express</v>
      </c>
      <c r="P377" t="str">
        <f t="shared" si="113"/>
        <v>because it’s personal beliefs, values,</v>
      </c>
      <c r="Q377" t="str">
        <f t="shared" si="114"/>
        <v>knowledge gain from experience, and</v>
      </c>
      <c r="R377" t="str">
        <f t="shared" si="115"/>
        <v>“know-how” when doing a task.</v>
      </c>
      <c r="S377" t="str">
        <f t="shared" si="116"/>
        <v/>
      </c>
      <c r="T377" t="str">
        <f t="shared" si="117"/>
        <v/>
      </c>
      <c r="U377" t="str">
        <f t="shared" si="118"/>
        <v/>
      </c>
      <c r="V377" t="str">
        <f t="shared" si="119"/>
        <v/>
      </c>
      <c r="W377" s="71" t="str">
        <f>CONCATENATE(H377," ",I377," ",J377," ",K377," ",L377," ",M377," ",N377," ",O377," ",P377," ",Q377," ",R377," ",S377," ",T377," ",U377," ",V377)</f>
        <v xml:space="preserve">Scoring models These models use a common set of values for all of the projects up for selection. For example, values can be profitability, complexity, customer demand, and so on. tacit knowledge Knowledge that’s more difficult to express because it’s personal beliefs, values, knowledge gain from experience, and “know-how” when doing a task.    </v>
      </c>
    </row>
    <row r="378" spans="1:23" customFormat="1" hidden="1">
      <c r="A378" t="b">
        <f t="shared" si="101"/>
        <v>0</v>
      </c>
      <c r="B378">
        <f t="shared" si="103"/>
        <v>377</v>
      </c>
      <c r="C378" t="s">
        <v>144</v>
      </c>
      <c r="D378" t="s">
        <v>375</v>
      </c>
      <c r="E378">
        <f t="shared" si="120"/>
        <v>32</v>
      </c>
      <c r="G378">
        <f t="shared" si="104"/>
        <v>2</v>
      </c>
      <c r="H378" t="str">
        <f t="shared" si="105"/>
        <v/>
      </c>
      <c r="I378" t="str">
        <f t="shared" si="106"/>
        <v/>
      </c>
      <c r="J378" t="str">
        <f t="shared" si="107"/>
        <v/>
      </c>
      <c r="K378" t="str">
        <f t="shared" si="108"/>
        <v/>
      </c>
      <c r="L378" t="str">
        <f t="shared" si="109"/>
        <v/>
      </c>
      <c r="M378" t="str">
        <f t="shared" si="110"/>
        <v/>
      </c>
      <c r="N378" t="str">
        <f t="shared" si="111"/>
        <v/>
      </c>
      <c r="O378" t="str">
        <f t="shared" si="112"/>
        <v/>
      </c>
      <c r="P378" t="str">
        <f t="shared" si="113"/>
        <v/>
      </c>
      <c r="Q378" t="str">
        <f t="shared" si="114"/>
        <v/>
      </c>
      <c r="R378" t="str">
        <f t="shared" si="115"/>
        <v/>
      </c>
      <c r="S378" t="str">
        <f t="shared" si="116"/>
        <v/>
      </c>
      <c r="T378" t="str">
        <f t="shared" si="117"/>
        <v/>
      </c>
      <c r="U378" t="str">
        <f t="shared" si="118"/>
        <v/>
      </c>
      <c r="V378" t="str">
        <f t="shared" si="119"/>
        <v/>
      </c>
      <c r="W378" t="str">
        <f t="shared" si="102"/>
        <v xml:space="preserve">              </v>
      </c>
    </row>
    <row r="379" spans="1:23" customFormat="1" hidden="1">
      <c r="A379" t="b">
        <f t="shared" si="101"/>
        <v>0</v>
      </c>
      <c r="B379">
        <f t="shared" si="103"/>
        <v>378</v>
      </c>
      <c r="C379" t="s">
        <v>144</v>
      </c>
      <c r="D379" t="s">
        <v>376</v>
      </c>
      <c r="E379">
        <f t="shared" si="120"/>
        <v>37</v>
      </c>
      <c r="G379">
        <f t="shared" si="104"/>
        <v>3</v>
      </c>
      <c r="H379" t="str">
        <f t="shared" si="105"/>
        <v/>
      </c>
      <c r="I379" t="str">
        <f t="shared" si="106"/>
        <v/>
      </c>
      <c r="J379" t="str">
        <f t="shared" si="107"/>
        <v/>
      </c>
      <c r="K379" t="str">
        <f t="shared" si="108"/>
        <v/>
      </c>
      <c r="L379" t="str">
        <f t="shared" si="109"/>
        <v/>
      </c>
      <c r="M379" t="str">
        <f t="shared" si="110"/>
        <v/>
      </c>
      <c r="N379" t="str">
        <f t="shared" si="111"/>
        <v/>
      </c>
      <c r="O379" t="str">
        <f t="shared" si="112"/>
        <v/>
      </c>
      <c r="P379" t="str">
        <f t="shared" si="113"/>
        <v/>
      </c>
      <c r="Q379" t="str">
        <f t="shared" si="114"/>
        <v/>
      </c>
      <c r="R379" t="str">
        <f t="shared" si="115"/>
        <v/>
      </c>
      <c r="S379" t="str">
        <f t="shared" si="116"/>
        <v/>
      </c>
      <c r="T379" t="str">
        <f t="shared" si="117"/>
        <v/>
      </c>
      <c r="U379" t="str">
        <f t="shared" si="118"/>
        <v/>
      </c>
      <c r="V379" t="str">
        <f t="shared" si="119"/>
        <v/>
      </c>
      <c r="W379" t="str">
        <f t="shared" si="102"/>
        <v xml:space="preserve">              </v>
      </c>
    </row>
    <row r="380" spans="1:23" customFormat="1" hidden="1">
      <c r="A380" t="b">
        <f t="shared" si="101"/>
        <v>0</v>
      </c>
      <c r="B380">
        <f t="shared" si="103"/>
        <v>379</v>
      </c>
      <c r="C380" t="s">
        <v>144</v>
      </c>
      <c r="D380" t="s">
        <v>377</v>
      </c>
      <c r="E380">
        <f t="shared" si="120"/>
        <v>37</v>
      </c>
      <c r="G380">
        <f t="shared" si="104"/>
        <v>4</v>
      </c>
      <c r="H380" t="str">
        <f t="shared" si="105"/>
        <v/>
      </c>
      <c r="I380" t="str">
        <f t="shared" si="106"/>
        <v/>
      </c>
      <c r="J380" t="str">
        <f t="shared" si="107"/>
        <v/>
      </c>
      <c r="K380" t="str">
        <f t="shared" si="108"/>
        <v/>
      </c>
      <c r="L380" t="str">
        <f t="shared" si="109"/>
        <v/>
      </c>
      <c r="M380" t="str">
        <f t="shared" si="110"/>
        <v/>
      </c>
      <c r="N380" t="str">
        <f t="shared" si="111"/>
        <v/>
      </c>
      <c r="O380" t="str">
        <f t="shared" si="112"/>
        <v/>
      </c>
      <c r="P380" t="str">
        <f t="shared" si="113"/>
        <v/>
      </c>
      <c r="Q380" t="str">
        <f t="shared" si="114"/>
        <v/>
      </c>
      <c r="R380" t="str">
        <f t="shared" si="115"/>
        <v/>
      </c>
      <c r="S380" t="str">
        <f t="shared" si="116"/>
        <v/>
      </c>
      <c r="T380" t="str">
        <f t="shared" si="117"/>
        <v/>
      </c>
      <c r="U380" t="str">
        <f t="shared" si="118"/>
        <v/>
      </c>
      <c r="V380" t="str">
        <f t="shared" si="119"/>
        <v/>
      </c>
      <c r="W380" t="str">
        <f t="shared" si="102"/>
        <v xml:space="preserve">              </v>
      </c>
    </row>
    <row r="381" spans="1:23" customFormat="1" hidden="1">
      <c r="A381" t="b">
        <f t="shared" si="101"/>
        <v>0</v>
      </c>
      <c r="B381">
        <f t="shared" si="103"/>
        <v>380</v>
      </c>
      <c r="C381" t="s">
        <v>144</v>
      </c>
      <c r="D381" t="s">
        <v>378</v>
      </c>
      <c r="E381">
        <f t="shared" si="120"/>
        <v>35</v>
      </c>
      <c r="G381">
        <f t="shared" si="104"/>
        <v>5</v>
      </c>
      <c r="H381" t="str">
        <f t="shared" si="105"/>
        <v/>
      </c>
      <c r="I381" t="str">
        <f t="shared" si="106"/>
        <v/>
      </c>
      <c r="J381" t="str">
        <f t="shared" si="107"/>
        <v/>
      </c>
      <c r="K381" t="str">
        <f t="shared" si="108"/>
        <v/>
      </c>
      <c r="L381" t="str">
        <f t="shared" si="109"/>
        <v/>
      </c>
      <c r="M381" t="str">
        <f t="shared" si="110"/>
        <v/>
      </c>
      <c r="N381" t="str">
        <f t="shared" si="111"/>
        <v/>
      </c>
      <c r="O381" t="str">
        <f t="shared" si="112"/>
        <v/>
      </c>
      <c r="P381" t="str">
        <f t="shared" si="113"/>
        <v/>
      </c>
      <c r="Q381" t="str">
        <f t="shared" si="114"/>
        <v/>
      </c>
      <c r="R381" t="str">
        <f t="shared" si="115"/>
        <v/>
      </c>
      <c r="S381" t="str">
        <f t="shared" si="116"/>
        <v/>
      </c>
      <c r="T381" t="str">
        <f t="shared" si="117"/>
        <v/>
      </c>
      <c r="U381" t="str">
        <f t="shared" si="118"/>
        <v/>
      </c>
      <c r="V381" t="str">
        <f t="shared" si="119"/>
        <v/>
      </c>
      <c r="W381" t="str">
        <f t="shared" si="102"/>
        <v xml:space="preserve">              </v>
      </c>
    </row>
    <row r="382" spans="1:23" customFormat="1" hidden="1">
      <c r="A382" t="b">
        <f t="shared" si="101"/>
        <v>0</v>
      </c>
      <c r="B382">
        <f t="shared" si="103"/>
        <v>381</v>
      </c>
      <c r="C382" t="s">
        <v>144</v>
      </c>
      <c r="D382" t="s">
        <v>379</v>
      </c>
      <c r="E382">
        <f t="shared" si="120"/>
        <v>18</v>
      </c>
      <c r="G382">
        <f t="shared" si="104"/>
        <v>6</v>
      </c>
      <c r="H382" t="str">
        <f t="shared" si="105"/>
        <v/>
      </c>
      <c r="I382" t="str">
        <f t="shared" si="106"/>
        <v/>
      </c>
      <c r="J382" t="str">
        <f t="shared" si="107"/>
        <v/>
      </c>
      <c r="K382" t="str">
        <f t="shared" si="108"/>
        <v/>
      </c>
      <c r="L382" t="str">
        <f t="shared" si="109"/>
        <v/>
      </c>
      <c r="M382" t="str">
        <f t="shared" si="110"/>
        <v/>
      </c>
      <c r="N382" t="str">
        <f t="shared" si="111"/>
        <v/>
      </c>
      <c r="O382" t="str">
        <f t="shared" si="112"/>
        <v/>
      </c>
      <c r="P382" t="str">
        <f t="shared" si="113"/>
        <v/>
      </c>
      <c r="Q382" t="str">
        <f t="shared" si="114"/>
        <v/>
      </c>
      <c r="R382" t="str">
        <f t="shared" si="115"/>
        <v/>
      </c>
      <c r="S382" t="str">
        <f t="shared" si="116"/>
        <v/>
      </c>
      <c r="T382" t="str">
        <f t="shared" si="117"/>
        <v/>
      </c>
      <c r="U382" t="str">
        <f t="shared" si="118"/>
        <v/>
      </c>
      <c r="V382" t="str">
        <f t="shared" si="119"/>
        <v/>
      </c>
      <c r="W382" t="str">
        <f t="shared" si="102"/>
        <v xml:space="preserve">              </v>
      </c>
    </row>
    <row r="383" spans="1:23" customFormat="1" hidden="1">
      <c r="A383" t="b">
        <f t="shared" si="101"/>
        <v>0</v>
      </c>
      <c r="B383">
        <f t="shared" si="103"/>
        <v>382</v>
      </c>
      <c r="C383" t="s">
        <v>144</v>
      </c>
      <c r="D383" t="s">
        <v>380</v>
      </c>
      <c r="E383">
        <f t="shared" si="120"/>
        <v>15</v>
      </c>
      <c r="G383">
        <f t="shared" si="104"/>
        <v>7</v>
      </c>
      <c r="H383" t="str">
        <f t="shared" si="105"/>
        <v/>
      </c>
      <c r="I383" t="str">
        <f t="shared" si="106"/>
        <v/>
      </c>
      <c r="J383" t="str">
        <f t="shared" si="107"/>
        <v/>
      </c>
      <c r="K383" t="str">
        <f t="shared" si="108"/>
        <v/>
      </c>
      <c r="L383" t="str">
        <f t="shared" si="109"/>
        <v/>
      </c>
      <c r="M383" t="str">
        <f t="shared" si="110"/>
        <v/>
      </c>
      <c r="N383" t="str">
        <f t="shared" si="111"/>
        <v/>
      </c>
      <c r="O383" t="str">
        <f t="shared" si="112"/>
        <v/>
      </c>
      <c r="P383" t="str">
        <f t="shared" si="113"/>
        <v/>
      </c>
      <c r="Q383" t="str">
        <f t="shared" si="114"/>
        <v/>
      </c>
      <c r="R383" t="str">
        <f t="shared" si="115"/>
        <v/>
      </c>
      <c r="S383" t="str">
        <f t="shared" si="116"/>
        <v/>
      </c>
      <c r="T383" t="str">
        <f t="shared" si="117"/>
        <v/>
      </c>
      <c r="U383" t="str">
        <f t="shared" si="118"/>
        <v/>
      </c>
      <c r="V383" t="str">
        <f t="shared" si="119"/>
        <v/>
      </c>
      <c r="W383" t="str">
        <f t="shared" si="102"/>
        <v xml:space="preserve">              </v>
      </c>
    </row>
    <row r="384" spans="1:23" customFormat="1" hidden="1">
      <c r="A384" t="b">
        <f t="shared" si="101"/>
        <v>0</v>
      </c>
      <c r="B384">
        <f t="shared" si="103"/>
        <v>383</v>
      </c>
      <c r="C384" t="s">
        <v>144</v>
      </c>
      <c r="D384" t="s">
        <v>381</v>
      </c>
      <c r="E384">
        <f t="shared" si="120"/>
        <v>42</v>
      </c>
      <c r="G384">
        <f t="shared" si="104"/>
        <v>8</v>
      </c>
      <c r="H384" t="str">
        <f t="shared" si="105"/>
        <v/>
      </c>
      <c r="I384" t="str">
        <f t="shared" si="106"/>
        <v/>
      </c>
      <c r="J384" t="str">
        <f t="shared" si="107"/>
        <v/>
      </c>
      <c r="K384" t="str">
        <f t="shared" si="108"/>
        <v/>
      </c>
      <c r="L384" t="str">
        <f t="shared" si="109"/>
        <v/>
      </c>
      <c r="M384" t="str">
        <f t="shared" si="110"/>
        <v/>
      </c>
      <c r="N384" t="str">
        <f t="shared" si="111"/>
        <v/>
      </c>
      <c r="O384" t="str">
        <f t="shared" si="112"/>
        <v/>
      </c>
      <c r="P384" t="str">
        <f t="shared" si="113"/>
        <v/>
      </c>
      <c r="Q384" t="str">
        <f t="shared" si="114"/>
        <v/>
      </c>
      <c r="R384" t="str">
        <f t="shared" si="115"/>
        <v/>
      </c>
      <c r="S384" t="str">
        <f t="shared" si="116"/>
        <v/>
      </c>
      <c r="T384" t="str">
        <f t="shared" si="117"/>
        <v/>
      </c>
      <c r="U384" t="str">
        <f t="shared" si="118"/>
        <v/>
      </c>
      <c r="V384" t="str">
        <f t="shared" si="119"/>
        <v/>
      </c>
      <c r="W384" t="str">
        <f t="shared" si="102"/>
        <v xml:space="preserve">              </v>
      </c>
    </row>
    <row r="385" spans="1:23" customFormat="1" hidden="1">
      <c r="A385" t="b">
        <f t="shared" si="101"/>
        <v>0</v>
      </c>
      <c r="B385">
        <f t="shared" si="103"/>
        <v>384</v>
      </c>
      <c r="C385" t="s">
        <v>144</v>
      </c>
      <c r="D385" t="s">
        <v>382</v>
      </c>
      <c r="E385">
        <f t="shared" si="120"/>
        <v>38</v>
      </c>
      <c r="G385">
        <f t="shared" si="104"/>
        <v>9</v>
      </c>
      <c r="H385" t="str">
        <f t="shared" si="105"/>
        <v/>
      </c>
      <c r="I385" t="str">
        <f t="shared" si="106"/>
        <v/>
      </c>
      <c r="J385" t="str">
        <f t="shared" si="107"/>
        <v/>
      </c>
      <c r="K385" t="str">
        <f t="shared" si="108"/>
        <v/>
      </c>
      <c r="L385" t="str">
        <f t="shared" si="109"/>
        <v/>
      </c>
      <c r="M385" t="str">
        <f t="shared" si="110"/>
        <v/>
      </c>
      <c r="N385" t="str">
        <f t="shared" si="111"/>
        <v/>
      </c>
      <c r="O385" t="str">
        <f t="shared" si="112"/>
        <v/>
      </c>
      <c r="P385" t="str">
        <f t="shared" si="113"/>
        <v/>
      </c>
      <c r="Q385" t="str">
        <f t="shared" si="114"/>
        <v/>
      </c>
      <c r="R385" t="str">
        <f t="shared" si="115"/>
        <v/>
      </c>
      <c r="S385" t="str">
        <f t="shared" si="116"/>
        <v/>
      </c>
      <c r="T385" t="str">
        <f t="shared" si="117"/>
        <v/>
      </c>
      <c r="U385" t="str">
        <f t="shared" si="118"/>
        <v/>
      </c>
      <c r="V385" t="str">
        <f t="shared" si="119"/>
        <v/>
      </c>
      <c r="W385" t="str">
        <f t="shared" si="102"/>
        <v xml:space="preserve">              </v>
      </c>
    </row>
    <row r="386" spans="1:23" customFormat="1" hidden="1">
      <c r="A386" t="b">
        <f t="shared" ref="A386:A448" si="121">C386=D386</f>
        <v>0</v>
      </c>
      <c r="B386">
        <f t="shared" si="103"/>
        <v>385</v>
      </c>
      <c r="C386" t="s">
        <v>144</v>
      </c>
      <c r="D386" t="s">
        <v>383</v>
      </c>
      <c r="E386">
        <f t="shared" si="120"/>
        <v>35</v>
      </c>
      <c r="G386">
        <f t="shared" si="104"/>
        <v>10</v>
      </c>
      <c r="H386" t="str">
        <f t="shared" si="105"/>
        <v/>
      </c>
      <c r="I386" t="str">
        <f t="shared" si="106"/>
        <v/>
      </c>
      <c r="J386" t="str">
        <f t="shared" si="107"/>
        <v/>
      </c>
      <c r="K386" t="str">
        <f t="shared" si="108"/>
        <v/>
      </c>
      <c r="L386" t="str">
        <f t="shared" si="109"/>
        <v/>
      </c>
      <c r="M386" t="str">
        <f t="shared" si="110"/>
        <v/>
      </c>
      <c r="N386" t="str">
        <f t="shared" si="111"/>
        <v/>
      </c>
      <c r="O386" t="str">
        <f t="shared" si="112"/>
        <v/>
      </c>
      <c r="P386" t="str">
        <f t="shared" si="113"/>
        <v/>
      </c>
      <c r="Q386" t="str">
        <f t="shared" si="114"/>
        <v/>
      </c>
      <c r="R386" t="str">
        <f t="shared" si="115"/>
        <v/>
      </c>
      <c r="S386" t="str">
        <f t="shared" si="116"/>
        <v/>
      </c>
      <c r="T386" t="str">
        <f t="shared" si="117"/>
        <v/>
      </c>
      <c r="U386" t="str">
        <f t="shared" si="118"/>
        <v/>
      </c>
      <c r="V386" t="str">
        <f t="shared" si="119"/>
        <v/>
      </c>
      <c r="W386" t="str">
        <f t="shared" ref="W386:W447" si="122">CONCATENATE(H386," ",I386," ",J386," ",K386," ",L386," ",M386," ",N386," ",O386," ",P386," ",Q386," ",R386," ",S386," ",T386," ",U386," ",V386)</f>
        <v xml:space="preserve">              </v>
      </c>
    </row>
    <row r="387" spans="1:23" customFormat="1" hidden="1">
      <c r="A387" t="b">
        <f t="shared" si="121"/>
        <v>0</v>
      </c>
      <c r="B387">
        <f t="shared" si="103"/>
        <v>386</v>
      </c>
      <c r="C387" t="s">
        <v>144</v>
      </c>
      <c r="D387" t="s">
        <v>384</v>
      </c>
      <c r="E387">
        <f t="shared" si="120"/>
        <v>29</v>
      </c>
      <c r="G387">
        <f t="shared" si="104"/>
        <v>11</v>
      </c>
      <c r="H387" t="str">
        <f t="shared" si="105"/>
        <v/>
      </c>
      <c r="I387" t="str">
        <f t="shared" si="106"/>
        <v/>
      </c>
      <c r="J387" t="str">
        <f t="shared" si="107"/>
        <v/>
      </c>
      <c r="K387" t="str">
        <f t="shared" si="108"/>
        <v/>
      </c>
      <c r="L387" t="str">
        <f t="shared" si="109"/>
        <v/>
      </c>
      <c r="M387" t="str">
        <f t="shared" si="110"/>
        <v/>
      </c>
      <c r="N387" t="str">
        <f t="shared" si="111"/>
        <v/>
      </c>
      <c r="O387" t="str">
        <f t="shared" si="112"/>
        <v/>
      </c>
      <c r="P387" t="str">
        <f t="shared" si="113"/>
        <v/>
      </c>
      <c r="Q387" t="str">
        <f t="shared" si="114"/>
        <v/>
      </c>
      <c r="R387" t="str">
        <f t="shared" si="115"/>
        <v/>
      </c>
      <c r="S387" t="str">
        <f t="shared" si="116"/>
        <v/>
      </c>
      <c r="T387" t="str">
        <f t="shared" si="117"/>
        <v/>
      </c>
      <c r="U387" t="str">
        <f t="shared" si="118"/>
        <v/>
      </c>
      <c r="V387" t="str">
        <f t="shared" si="119"/>
        <v/>
      </c>
      <c r="W387" t="str">
        <f t="shared" si="122"/>
        <v xml:space="preserve">              </v>
      </c>
    </row>
    <row r="388" spans="1:23" hidden="1">
      <c r="A388" s="71" t="b">
        <f t="shared" si="121"/>
        <v>0</v>
      </c>
      <c r="B388" s="71">
        <f t="shared" ref="B388:B451" si="123">B387+1</f>
        <v>387</v>
      </c>
      <c r="C388" s="71" t="s">
        <v>385</v>
      </c>
      <c r="D388" s="71" t="s">
        <v>386</v>
      </c>
      <c r="E388">
        <f t="shared" si="120"/>
        <v>9</v>
      </c>
      <c r="F388">
        <v>1</v>
      </c>
      <c r="G388">
        <f t="shared" ref="G388:G451" si="124">IF(F388=1,1,G387+1)</f>
        <v>1</v>
      </c>
      <c r="H388" t="str">
        <f t="shared" ref="H388:H451" si="125">IF($G388=H$1,$D388,"")</f>
        <v>8/80 Rule</v>
      </c>
      <c r="I388" t="str">
        <f t="shared" ref="I388:I451" si="126">IF($G389=I$1,$D389,"")</f>
        <v>A planning heuristic for creating the</v>
      </c>
      <c r="J388" t="str">
        <f t="shared" ref="J388:J451" si="127">IF($G390=J$1,$D390,"")</f>
        <v>WBS. This rule states that the work</v>
      </c>
      <c r="K388" t="str">
        <f t="shared" ref="K388:K451" si="128">IF($G391=K$1,$D391,"")</f>
        <v>package in a WBS must take no more</v>
      </c>
      <c r="L388" t="str">
        <f t="shared" ref="L388:L451" si="129">IF($G392=L$1,$D392,"")</f>
        <v>than 80 hours of labor to create and no</v>
      </c>
      <c r="M388" t="str">
        <f t="shared" ref="M388:M451" si="130">IF($G393=M$1,$D393,"")</f>
        <v>fewer than 8 hours of labor to create.</v>
      </c>
      <c r="N388" t="str">
        <f t="shared" ref="N388:N451" si="131">IF($G394=N$1,$D394,"")</f>
        <v/>
      </c>
      <c r="O388" t="str">
        <f t="shared" ref="O388:O451" si="132">IF($G395=O$1,$D395,"")</f>
        <v/>
      </c>
      <c r="P388" t="str">
        <f t="shared" ref="P388:P451" si="133">IF($G396=P$1,$D396,"")</f>
        <v/>
      </c>
      <c r="Q388" t="str">
        <f t="shared" ref="Q388:Q451" si="134">IF($G397=Q$1,$D397,"")</f>
        <v/>
      </c>
      <c r="R388" t="str">
        <f t="shared" ref="R388:R451" si="135">IF($G398=R$1,$D398,"")</f>
        <v/>
      </c>
      <c r="S388" t="str">
        <f t="shared" ref="S388:S451" si="136">IF($G399=S$1,$D399,"")</f>
        <v/>
      </c>
      <c r="T388" t="str">
        <f t="shared" ref="T388:T451" si="137">IF($G400=T$1,$D400,"")</f>
        <v/>
      </c>
      <c r="U388" t="str">
        <f t="shared" ref="U388:U451" si="138">IF($G401=U$1,$D401,"")</f>
        <v/>
      </c>
      <c r="V388" t="str">
        <f t="shared" ref="V388:V451" si="139">IF($G402=V$1,$D402,"")</f>
        <v/>
      </c>
      <c r="W388" s="71" t="str">
        <f>CONCATENATE(H388," ",I388," ",J388," ",K388," ",L388," ",M388," ",N388," ",O388," ",P388," ",Q388," ",R388," ",S388," ",T388," ",U388," ",V388)</f>
        <v xml:space="preserve">8/80 Rule A planning heuristic for creating the WBS. This rule states that the work package in a WBS must take no more than 80 hours of labor to create and no fewer than 8 hours of labor to create.         </v>
      </c>
    </row>
    <row r="389" spans="1:23" customFormat="1" hidden="1">
      <c r="A389" t="b">
        <f t="shared" si="121"/>
        <v>0</v>
      </c>
      <c r="B389">
        <f t="shared" si="123"/>
        <v>388</v>
      </c>
      <c r="C389" t="s">
        <v>385</v>
      </c>
      <c r="D389" t="s">
        <v>387</v>
      </c>
      <c r="E389">
        <f t="shared" si="120"/>
        <v>37</v>
      </c>
      <c r="G389">
        <f t="shared" si="124"/>
        <v>2</v>
      </c>
      <c r="H389" t="str">
        <f t="shared" si="125"/>
        <v/>
      </c>
      <c r="I389" t="str">
        <f t="shared" si="126"/>
        <v/>
      </c>
      <c r="J389" t="str">
        <f t="shared" si="127"/>
        <v/>
      </c>
      <c r="K389" t="str">
        <f t="shared" si="128"/>
        <v/>
      </c>
      <c r="L389" t="str">
        <f t="shared" si="129"/>
        <v/>
      </c>
      <c r="M389" t="str">
        <f t="shared" si="130"/>
        <v/>
      </c>
      <c r="N389" t="str">
        <f t="shared" si="131"/>
        <v/>
      </c>
      <c r="O389" t="str">
        <f t="shared" si="132"/>
        <v/>
      </c>
      <c r="P389" t="str">
        <f t="shared" si="133"/>
        <v/>
      </c>
      <c r="Q389" t="str">
        <f t="shared" si="134"/>
        <v/>
      </c>
      <c r="R389" t="str">
        <f t="shared" si="135"/>
        <v/>
      </c>
      <c r="S389" t="str">
        <f t="shared" si="136"/>
        <v/>
      </c>
      <c r="T389" t="str">
        <f t="shared" si="137"/>
        <v/>
      </c>
      <c r="U389" t="str">
        <f t="shared" si="138"/>
        <v/>
      </c>
      <c r="V389" t="str">
        <f t="shared" si="139"/>
        <v/>
      </c>
      <c r="W389" t="str">
        <f t="shared" si="122"/>
        <v xml:space="preserve">              </v>
      </c>
    </row>
    <row r="390" spans="1:23" customFormat="1" hidden="1">
      <c r="A390" t="b">
        <f t="shared" si="121"/>
        <v>0</v>
      </c>
      <c r="B390">
        <f t="shared" si="123"/>
        <v>389</v>
      </c>
      <c r="C390" t="s">
        <v>385</v>
      </c>
      <c r="D390" t="s">
        <v>388</v>
      </c>
      <c r="E390">
        <f t="shared" si="120"/>
        <v>35</v>
      </c>
      <c r="G390">
        <f t="shared" si="124"/>
        <v>3</v>
      </c>
      <c r="H390" t="str">
        <f t="shared" si="125"/>
        <v/>
      </c>
      <c r="I390" t="str">
        <f t="shared" si="126"/>
        <v/>
      </c>
      <c r="J390" t="str">
        <f t="shared" si="127"/>
        <v/>
      </c>
      <c r="K390" t="str">
        <f t="shared" si="128"/>
        <v/>
      </c>
      <c r="L390" t="str">
        <f t="shared" si="129"/>
        <v/>
      </c>
      <c r="M390" t="str">
        <f t="shared" si="130"/>
        <v/>
      </c>
      <c r="N390" t="str">
        <f t="shared" si="131"/>
        <v/>
      </c>
      <c r="O390" t="str">
        <f t="shared" si="132"/>
        <v/>
      </c>
      <c r="P390" t="str">
        <f t="shared" si="133"/>
        <v/>
      </c>
      <c r="Q390" t="str">
        <f t="shared" si="134"/>
        <v/>
      </c>
      <c r="R390" t="str">
        <f t="shared" si="135"/>
        <v/>
      </c>
      <c r="S390" t="str">
        <f t="shared" si="136"/>
        <v/>
      </c>
      <c r="T390" t="str">
        <f t="shared" si="137"/>
        <v/>
      </c>
      <c r="U390" t="str">
        <f t="shared" si="138"/>
        <v/>
      </c>
      <c r="V390" t="str">
        <f t="shared" si="139"/>
        <v/>
      </c>
      <c r="W390" t="str">
        <f t="shared" si="122"/>
        <v xml:space="preserve">              </v>
      </c>
    </row>
    <row r="391" spans="1:23" customFormat="1" hidden="1">
      <c r="A391" t="b">
        <f t="shared" si="121"/>
        <v>0</v>
      </c>
      <c r="B391">
        <f t="shared" si="123"/>
        <v>390</v>
      </c>
      <c r="C391" t="s">
        <v>385</v>
      </c>
      <c r="D391" t="s">
        <v>389</v>
      </c>
      <c r="E391">
        <f t="shared" si="120"/>
        <v>34</v>
      </c>
      <c r="G391">
        <f t="shared" si="124"/>
        <v>4</v>
      </c>
      <c r="H391" t="str">
        <f t="shared" si="125"/>
        <v/>
      </c>
      <c r="I391" t="str">
        <f t="shared" si="126"/>
        <v/>
      </c>
      <c r="J391" t="str">
        <f t="shared" si="127"/>
        <v/>
      </c>
      <c r="K391" t="str">
        <f t="shared" si="128"/>
        <v/>
      </c>
      <c r="L391" t="str">
        <f t="shared" si="129"/>
        <v/>
      </c>
      <c r="M391" t="str">
        <f t="shared" si="130"/>
        <v/>
      </c>
      <c r="N391" t="str">
        <f t="shared" si="131"/>
        <v/>
      </c>
      <c r="O391" t="str">
        <f t="shared" si="132"/>
        <v/>
      </c>
      <c r="P391" t="str">
        <f t="shared" si="133"/>
        <v/>
      </c>
      <c r="Q391" t="str">
        <f t="shared" si="134"/>
        <v/>
      </c>
      <c r="R391" t="str">
        <f t="shared" si="135"/>
        <v/>
      </c>
      <c r="S391" t="str">
        <f t="shared" si="136"/>
        <v/>
      </c>
      <c r="T391" t="str">
        <f t="shared" si="137"/>
        <v/>
      </c>
      <c r="U391" t="str">
        <f t="shared" si="138"/>
        <v/>
      </c>
      <c r="V391" t="str">
        <f t="shared" si="139"/>
        <v/>
      </c>
      <c r="W391" t="str">
        <f t="shared" si="122"/>
        <v xml:space="preserve">              </v>
      </c>
    </row>
    <row r="392" spans="1:23" customFormat="1" hidden="1">
      <c r="A392" t="b">
        <f t="shared" si="121"/>
        <v>0</v>
      </c>
      <c r="B392">
        <f t="shared" si="123"/>
        <v>391</v>
      </c>
      <c r="C392" t="s">
        <v>385</v>
      </c>
      <c r="D392" t="s">
        <v>390</v>
      </c>
      <c r="E392">
        <f t="shared" si="120"/>
        <v>39</v>
      </c>
      <c r="G392">
        <f t="shared" si="124"/>
        <v>5</v>
      </c>
      <c r="H392" t="str">
        <f t="shared" si="125"/>
        <v/>
      </c>
      <c r="I392" t="str">
        <f t="shared" si="126"/>
        <v/>
      </c>
      <c r="J392" t="str">
        <f t="shared" si="127"/>
        <v/>
      </c>
      <c r="K392" t="str">
        <f t="shared" si="128"/>
        <v/>
      </c>
      <c r="L392" t="str">
        <f t="shared" si="129"/>
        <v/>
      </c>
      <c r="M392" t="str">
        <f t="shared" si="130"/>
        <v/>
      </c>
      <c r="N392" t="str">
        <f t="shared" si="131"/>
        <v/>
      </c>
      <c r="O392" t="str">
        <f t="shared" si="132"/>
        <v/>
      </c>
      <c r="P392" t="str">
        <f t="shared" si="133"/>
        <v/>
      </c>
      <c r="Q392" t="str">
        <f t="shared" si="134"/>
        <v/>
      </c>
      <c r="R392" t="str">
        <f t="shared" si="135"/>
        <v/>
      </c>
      <c r="S392" t="str">
        <f t="shared" si="136"/>
        <v/>
      </c>
      <c r="T392" t="str">
        <f t="shared" si="137"/>
        <v/>
      </c>
      <c r="U392" t="str">
        <f t="shared" si="138"/>
        <v/>
      </c>
      <c r="V392" t="str">
        <f t="shared" si="139"/>
        <v/>
      </c>
      <c r="W392" t="str">
        <f t="shared" si="122"/>
        <v xml:space="preserve">              </v>
      </c>
    </row>
    <row r="393" spans="1:23" customFormat="1" hidden="1">
      <c r="A393" t="b">
        <f t="shared" si="121"/>
        <v>0</v>
      </c>
      <c r="B393">
        <f t="shared" si="123"/>
        <v>392</v>
      </c>
      <c r="C393" t="s">
        <v>385</v>
      </c>
      <c r="D393" t="s">
        <v>391</v>
      </c>
      <c r="E393">
        <f t="shared" si="120"/>
        <v>38</v>
      </c>
      <c r="G393">
        <f t="shared" si="124"/>
        <v>6</v>
      </c>
      <c r="H393" t="str">
        <f t="shared" si="125"/>
        <v/>
      </c>
      <c r="I393" t="str">
        <f t="shared" si="126"/>
        <v/>
      </c>
      <c r="J393" t="str">
        <f t="shared" si="127"/>
        <v/>
      </c>
      <c r="K393" t="str">
        <f t="shared" si="128"/>
        <v/>
      </c>
      <c r="L393" t="str">
        <f t="shared" si="129"/>
        <v/>
      </c>
      <c r="M393" t="str">
        <f t="shared" si="130"/>
        <v/>
      </c>
      <c r="N393" t="str">
        <f t="shared" si="131"/>
        <v/>
      </c>
      <c r="O393" t="str">
        <f t="shared" si="132"/>
        <v/>
      </c>
      <c r="P393" t="str">
        <f t="shared" si="133"/>
        <v/>
      </c>
      <c r="Q393" t="str">
        <f t="shared" si="134"/>
        <v/>
      </c>
      <c r="R393" t="str">
        <f t="shared" si="135"/>
        <v/>
      </c>
      <c r="S393" t="str">
        <f t="shared" si="136"/>
        <v/>
      </c>
      <c r="T393" t="str">
        <f t="shared" si="137"/>
        <v/>
      </c>
      <c r="U393" t="str">
        <f t="shared" si="138"/>
        <v/>
      </c>
      <c r="V393" t="str">
        <f t="shared" si="139"/>
        <v/>
      </c>
      <c r="W393" t="str">
        <f t="shared" si="122"/>
        <v xml:space="preserve">              </v>
      </c>
    </row>
    <row r="394" spans="1:23" hidden="1">
      <c r="A394" s="71" t="b">
        <f t="shared" si="121"/>
        <v>0</v>
      </c>
      <c r="B394" s="71">
        <f t="shared" si="123"/>
        <v>393</v>
      </c>
      <c r="C394" s="71" t="s">
        <v>385</v>
      </c>
      <c r="D394" s="71" t="s">
        <v>392</v>
      </c>
      <c r="E394">
        <f t="shared" si="120"/>
        <v>18</v>
      </c>
      <c r="F394">
        <v>1</v>
      </c>
      <c r="G394">
        <f t="shared" si="124"/>
        <v>1</v>
      </c>
      <c r="H394" t="str">
        <f t="shared" si="125"/>
        <v>Active observation</v>
      </c>
      <c r="I394" t="str">
        <f t="shared" si="126"/>
        <v>The observer interacts with the worker to</v>
      </c>
      <c r="J394" t="str">
        <f t="shared" si="127"/>
        <v>ask questions and understand each step</v>
      </c>
      <c r="K394" t="str">
        <f t="shared" si="128"/>
        <v>of the work being completed. In some</v>
      </c>
      <c r="L394" t="str">
        <f t="shared" si="129"/>
        <v>instances, the observer could serve as an</v>
      </c>
      <c r="M394" t="str">
        <f t="shared" si="130"/>
        <v>assistant in doing the work.</v>
      </c>
      <c r="N394" t="str">
        <f t="shared" si="131"/>
        <v/>
      </c>
      <c r="O394" t="str">
        <f t="shared" si="132"/>
        <v/>
      </c>
      <c r="P394" t="str">
        <f t="shared" si="133"/>
        <v/>
      </c>
      <c r="Q394" t="str">
        <f t="shared" si="134"/>
        <v/>
      </c>
      <c r="R394" t="str">
        <f t="shared" si="135"/>
        <v/>
      </c>
      <c r="S394" t="str">
        <f t="shared" si="136"/>
        <v/>
      </c>
      <c r="T394" t="str">
        <f t="shared" si="137"/>
        <v/>
      </c>
      <c r="U394" t="str">
        <f t="shared" si="138"/>
        <v/>
      </c>
      <c r="V394" t="str">
        <f t="shared" si="139"/>
        <v/>
      </c>
      <c r="W394" s="71" t="str">
        <f>CONCATENATE(H394," ",I394," ",J394," ",K394," ",L394," ",M394," ",N394," ",O394," ",P394," ",Q394," ",R394," ",S394," ",T394," ",U394," ",V394)</f>
        <v xml:space="preserve">Active observation The observer interacts with the worker to ask questions and understand each step of the work being completed. In some instances, the observer could serve as an assistant in doing the work.         </v>
      </c>
    </row>
    <row r="395" spans="1:23" customFormat="1" hidden="1">
      <c r="A395" t="b">
        <f t="shared" si="121"/>
        <v>0</v>
      </c>
      <c r="B395">
        <f t="shared" si="123"/>
        <v>394</v>
      </c>
      <c r="C395" t="s">
        <v>385</v>
      </c>
      <c r="D395" t="s">
        <v>393</v>
      </c>
      <c r="E395">
        <f t="shared" si="120"/>
        <v>41</v>
      </c>
      <c r="G395">
        <f t="shared" si="124"/>
        <v>2</v>
      </c>
      <c r="H395" t="str">
        <f t="shared" si="125"/>
        <v/>
      </c>
      <c r="I395" t="str">
        <f t="shared" si="126"/>
        <v/>
      </c>
      <c r="J395" t="str">
        <f t="shared" si="127"/>
        <v/>
      </c>
      <c r="K395" t="str">
        <f t="shared" si="128"/>
        <v/>
      </c>
      <c r="L395" t="str">
        <f t="shared" si="129"/>
        <v/>
      </c>
      <c r="M395" t="str">
        <f t="shared" si="130"/>
        <v/>
      </c>
      <c r="N395" t="str">
        <f t="shared" si="131"/>
        <v/>
      </c>
      <c r="O395" t="str">
        <f t="shared" si="132"/>
        <v/>
      </c>
      <c r="P395" t="str">
        <f t="shared" si="133"/>
        <v/>
      </c>
      <c r="Q395" t="str">
        <f t="shared" si="134"/>
        <v/>
      </c>
      <c r="R395" t="str">
        <f t="shared" si="135"/>
        <v/>
      </c>
      <c r="S395" t="str">
        <f t="shared" si="136"/>
        <v/>
      </c>
      <c r="T395" t="str">
        <f t="shared" si="137"/>
        <v/>
      </c>
      <c r="U395" t="str">
        <f t="shared" si="138"/>
        <v/>
      </c>
      <c r="V395" t="str">
        <f t="shared" si="139"/>
        <v/>
      </c>
      <c r="W395" t="str">
        <f t="shared" si="122"/>
        <v xml:space="preserve">              </v>
      </c>
    </row>
    <row r="396" spans="1:23" customFormat="1" hidden="1">
      <c r="A396" t="b">
        <f t="shared" si="121"/>
        <v>0</v>
      </c>
      <c r="B396">
        <f t="shared" si="123"/>
        <v>395</v>
      </c>
      <c r="C396" t="s">
        <v>385</v>
      </c>
      <c r="D396" t="s">
        <v>394</v>
      </c>
      <c r="E396">
        <f t="shared" si="120"/>
        <v>38</v>
      </c>
      <c r="G396">
        <f t="shared" si="124"/>
        <v>3</v>
      </c>
      <c r="H396" t="str">
        <f t="shared" si="125"/>
        <v/>
      </c>
      <c r="I396" t="str">
        <f t="shared" si="126"/>
        <v/>
      </c>
      <c r="J396" t="str">
        <f t="shared" si="127"/>
        <v/>
      </c>
      <c r="K396" t="str">
        <f t="shared" si="128"/>
        <v/>
      </c>
      <c r="L396" t="str">
        <f t="shared" si="129"/>
        <v/>
      </c>
      <c r="M396" t="str">
        <f t="shared" si="130"/>
        <v/>
      </c>
      <c r="N396" t="str">
        <f t="shared" si="131"/>
        <v/>
      </c>
      <c r="O396" t="str">
        <f t="shared" si="132"/>
        <v/>
      </c>
      <c r="P396" t="str">
        <f t="shared" si="133"/>
        <v/>
      </c>
      <c r="Q396" t="str">
        <f t="shared" si="134"/>
        <v/>
      </c>
      <c r="R396" t="str">
        <f t="shared" si="135"/>
        <v/>
      </c>
      <c r="S396" t="str">
        <f t="shared" si="136"/>
        <v/>
      </c>
      <c r="T396" t="str">
        <f t="shared" si="137"/>
        <v/>
      </c>
      <c r="U396" t="str">
        <f t="shared" si="138"/>
        <v/>
      </c>
      <c r="V396" t="str">
        <f t="shared" si="139"/>
        <v/>
      </c>
      <c r="W396" t="str">
        <f t="shared" si="122"/>
        <v xml:space="preserve">              </v>
      </c>
    </row>
    <row r="397" spans="1:23" customFormat="1" hidden="1">
      <c r="A397" t="b">
        <f t="shared" si="121"/>
        <v>0</v>
      </c>
      <c r="B397">
        <f t="shared" si="123"/>
        <v>396</v>
      </c>
      <c r="C397" t="s">
        <v>385</v>
      </c>
      <c r="D397" t="s">
        <v>395</v>
      </c>
      <c r="E397">
        <f t="shared" si="120"/>
        <v>36</v>
      </c>
      <c r="G397">
        <f t="shared" si="124"/>
        <v>4</v>
      </c>
      <c r="H397" t="str">
        <f t="shared" si="125"/>
        <v/>
      </c>
      <c r="I397" t="str">
        <f t="shared" si="126"/>
        <v/>
      </c>
      <c r="J397" t="str">
        <f t="shared" si="127"/>
        <v/>
      </c>
      <c r="K397" t="str">
        <f t="shared" si="128"/>
        <v/>
      </c>
      <c r="L397" t="str">
        <f t="shared" si="129"/>
        <v/>
      </c>
      <c r="M397" t="str">
        <f t="shared" si="130"/>
        <v/>
      </c>
      <c r="N397" t="str">
        <f t="shared" si="131"/>
        <v/>
      </c>
      <c r="O397" t="str">
        <f t="shared" si="132"/>
        <v/>
      </c>
      <c r="P397" t="str">
        <f t="shared" si="133"/>
        <v/>
      </c>
      <c r="Q397" t="str">
        <f t="shared" si="134"/>
        <v/>
      </c>
      <c r="R397" t="str">
        <f t="shared" si="135"/>
        <v/>
      </c>
      <c r="S397" t="str">
        <f t="shared" si="136"/>
        <v/>
      </c>
      <c r="T397" t="str">
        <f t="shared" si="137"/>
        <v/>
      </c>
      <c r="U397" t="str">
        <f t="shared" si="138"/>
        <v/>
      </c>
      <c r="V397" t="str">
        <f t="shared" si="139"/>
        <v/>
      </c>
      <c r="W397" t="str">
        <f t="shared" si="122"/>
        <v xml:space="preserve">              </v>
      </c>
    </row>
    <row r="398" spans="1:23" customFormat="1" hidden="1">
      <c r="A398" t="b">
        <f t="shared" si="121"/>
        <v>0</v>
      </c>
      <c r="B398">
        <f t="shared" si="123"/>
        <v>397</v>
      </c>
      <c r="C398" t="s">
        <v>385</v>
      </c>
      <c r="D398" t="s">
        <v>396</v>
      </c>
      <c r="E398">
        <f t="shared" si="120"/>
        <v>41</v>
      </c>
      <c r="G398">
        <f t="shared" si="124"/>
        <v>5</v>
      </c>
      <c r="H398" t="str">
        <f t="shared" si="125"/>
        <v/>
      </c>
      <c r="I398" t="str">
        <f t="shared" si="126"/>
        <v/>
      </c>
      <c r="J398" t="str">
        <f t="shared" si="127"/>
        <v/>
      </c>
      <c r="K398" t="str">
        <f t="shared" si="128"/>
        <v/>
      </c>
      <c r="L398" t="str">
        <f t="shared" si="129"/>
        <v/>
      </c>
      <c r="M398" t="str">
        <f t="shared" si="130"/>
        <v/>
      </c>
      <c r="N398" t="str">
        <f t="shared" si="131"/>
        <v/>
      </c>
      <c r="O398" t="str">
        <f t="shared" si="132"/>
        <v/>
      </c>
      <c r="P398" t="str">
        <f t="shared" si="133"/>
        <v/>
      </c>
      <c r="Q398" t="str">
        <f t="shared" si="134"/>
        <v/>
      </c>
      <c r="R398" t="str">
        <f t="shared" si="135"/>
        <v/>
      </c>
      <c r="S398" t="str">
        <f t="shared" si="136"/>
        <v/>
      </c>
      <c r="T398" t="str">
        <f t="shared" si="137"/>
        <v/>
      </c>
      <c r="U398" t="str">
        <f t="shared" si="138"/>
        <v/>
      </c>
      <c r="V398" t="str">
        <f t="shared" si="139"/>
        <v/>
      </c>
      <c r="W398" t="str">
        <f t="shared" si="122"/>
        <v xml:space="preserve">              </v>
      </c>
    </row>
    <row r="399" spans="1:23" customFormat="1" hidden="1">
      <c r="A399" t="b">
        <f t="shared" si="121"/>
        <v>0</v>
      </c>
      <c r="B399">
        <f t="shared" si="123"/>
        <v>398</v>
      </c>
      <c r="C399" t="s">
        <v>385</v>
      </c>
      <c r="D399" t="s">
        <v>397</v>
      </c>
      <c r="E399">
        <f t="shared" si="120"/>
        <v>28</v>
      </c>
      <c r="G399">
        <f t="shared" si="124"/>
        <v>6</v>
      </c>
      <c r="H399" t="str">
        <f t="shared" si="125"/>
        <v/>
      </c>
      <c r="I399" t="str">
        <f t="shared" si="126"/>
        <v/>
      </c>
      <c r="J399" t="str">
        <f t="shared" si="127"/>
        <v/>
      </c>
      <c r="K399" t="str">
        <f t="shared" si="128"/>
        <v/>
      </c>
      <c r="L399" t="str">
        <f t="shared" si="129"/>
        <v/>
      </c>
      <c r="M399" t="str">
        <f t="shared" si="130"/>
        <v/>
      </c>
      <c r="N399" t="str">
        <f t="shared" si="131"/>
        <v/>
      </c>
      <c r="O399" t="str">
        <f t="shared" si="132"/>
        <v/>
      </c>
      <c r="P399" t="str">
        <f t="shared" si="133"/>
        <v/>
      </c>
      <c r="Q399" t="str">
        <f t="shared" si="134"/>
        <v/>
      </c>
      <c r="R399" t="str">
        <f t="shared" si="135"/>
        <v/>
      </c>
      <c r="S399" t="str">
        <f t="shared" si="136"/>
        <v/>
      </c>
      <c r="T399" t="str">
        <f t="shared" si="137"/>
        <v/>
      </c>
      <c r="U399" t="str">
        <f t="shared" si="138"/>
        <v/>
      </c>
      <c r="V399" t="str">
        <f t="shared" si="139"/>
        <v/>
      </c>
      <c r="W399" t="str">
        <f t="shared" si="122"/>
        <v xml:space="preserve">              </v>
      </c>
    </row>
    <row r="400" spans="1:23" hidden="1">
      <c r="A400" s="71" t="b">
        <f t="shared" si="121"/>
        <v>0</v>
      </c>
      <c r="B400" s="71">
        <f t="shared" si="123"/>
        <v>399</v>
      </c>
      <c r="C400" s="71" t="s">
        <v>385</v>
      </c>
      <c r="D400" s="71" t="s">
        <v>398</v>
      </c>
      <c r="E400">
        <f t="shared" si="120"/>
        <v>17</v>
      </c>
      <c r="F400">
        <v>1</v>
      </c>
      <c r="G400">
        <f t="shared" si="124"/>
        <v>1</v>
      </c>
      <c r="H400" t="str">
        <f t="shared" si="125"/>
        <v>Affinity diagrams</v>
      </c>
      <c r="I400" t="str">
        <f t="shared" si="126"/>
        <v>When stakeholders create a large</v>
      </c>
      <c r="J400" t="str">
        <f t="shared" si="127"/>
        <v>number of ideas, you can use an affinity</v>
      </c>
      <c r="K400" t="str">
        <f t="shared" si="128"/>
        <v>diagram to cluster similar ideas together</v>
      </c>
      <c r="L400" t="str">
        <f t="shared" si="129"/>
        <v>for further analysis.</v>
      </c>
      <c r="M400" t="str">
        <f t="shared" si="130"/>
        <v/>
      </c>
      <c r="N400" t="str">
        <f t="shared" si="131"/>
        <v/>
      </c>
      <c r="O400" t="str">
        <f t="shared" si="132"/>
        <v/>
      </c>
      <c r="P400" t="str">
        <f t="shared" si="133"/>
        <v/>
      </c>
      <c r="Q400" t="str">
        <f t="shared" si="134"/>
        <v/>
      </c>
      <c r="R400" t="str">
        <f t="shared" si="135"/>
        <v/>
      </c>
      <c r="S400" t="str">
        <f t="shared" si="136"/>
        <v/>
      </c>
      <c r="T400" t="str">
        <f t="shared" si="137"/>
        <v/>
      </c>
      <c r="U400" t="str">
        <f t="shared" si="138"/>
        <v/>
      </c>
      <c r="V400" t="str">
        <f t="shared" si="139"/>
        <v/>
      </c>
      <c r="W400" s="71" t="str">
        <f>CONCATENATE(H400," ",I400," ",J400," ",K400," ",L400," ",M400," ",N400," ",O400," ",P400," ",Q400," ",R400," ",S400," ",T400," ",U400," ",V400)</f>
        <v xml:space="preserve">Affinity diagrams When stakeholders create a large number of ideas, you can use an affinity diagram to cluster similar ideas together for further analysis.          </v>
      </c>
    </row>
    <row r="401" spans="1:23" customFormat="1" hidden="1">
      <c r="A401" t="b">
        <f t="shared" si="121"/>
        <v>0</v>
      </c>
      <c r="B401">
        <f t="shared" si="123"/>
        <v>400</v>
      </c>
      <c r="C401" t="s">
        <v>385</v>
      </c>
      <c r="D401" t="s">
        <v>399</v>
      </c>
      <c r="E401">
        <f t="shared" si="120"/>
        <v>32</v>
      </c>
      <c r="G401">
        <f t="shared" si="124"/>
        <v>2</v>
      </c>
      <c r="H401" t="str">
        <f t="shared" si="125"/>
        <v/>
      </c>
      <c r="I401" t="str">
        <f t="shared" si="126"/>
        <v/>
      </c>
      <c r="J401" t="str">
        <f t="shared" si="127"/>
        <v/>
      </c>
      <c r="K401" t="str">
        <f t="shared" si="128"/>
        <v/>
      </c>
      <c r="L401" t="str">
        <f t="shared" si="129"/>
        <v/>
      </c>
      <c r="M401" t="str">
        <f t="shared" si="130"/>
        <v/>
      </c>
      <c r="N401" t="str">
        <f t="shared" si="131"/>
        <v/>
      </c>
      <c r="O401" t="str">
        <f t="shared" si="132"/>
        <v/>
      </c>
      <c r="P401" t="str">
        <f t="shared" si="133"/>
        <v/>
      </c>
      <c r="Q401" t="str">
        <f t="shared" si="134"/>
        <v/>
      </c>
      <c r="R401" t="str">
        <f t="shared" si="135"/>
        <v/>
      </c>
      <c r="S401" t="str">
        <f t="shared" si="136"/>
        <v/>
      </c>
      <c r="T401" t="str">
        <f t="shared" si="137"/>
        <v/>
      </c>
      <c r="U401" t="str">
        <f t="shared" si="138"/>
        <v/>
      </c>
      <c r="V401" t="str">
        <f t="shared" si="139"/>
        <v/>
      </c>
      <c r="W401" t="str">
        <f t="shared" si="122"/>
        <v xml:space="preserve">              </v>
      </c>
    </row>
    <row r="402" spans="1:23" customFormat="1" hidden="1">
      <c r="A402" t="b">
        <f t="shared" si="121"/>
        <v>0</v>
      </c>
      <c r="B402">
        <f t="shared" si="123"/>
        <v>401</v>
      </c>
      <c r="C402" t="s">
        <v>385</v>
      </c>
      <c r="D402" t="s">
        <v>400</v>
      </c>
      <c r="E402">
        <f t="shared" si="120"/>
        <v>40</v>
      </c>
      <c r="G402">
        <f t="shared" si="124"/>
        <v>3</v>
      </c>
      <c r="H402" t="str">
        <f t="shared" si="125"/>
        <v/>
      </c>
      <c r="I402" t="str">
        <f t="shared" si="126"/>
        <v/>
      </c>
      <c r="J402" t="str">
        <f t="shared" si="127"/>
        <v/>
      </c>
      <c r="K402" t="str">
        <f t="shared" si="128"/>
        <v/>
      </c>
      <c r="L402" t="str">
        <f t="shared" si="129"/>
        <v/>
      </c>
      <c r="M402" t="str">
        <f t="shared" si="130"/>
        <v/>
      </c>
      <c r="N402" t="str">
        <f t="shared" si="131"/>
        <v/>
      </c>
      <c r="O402" t="str">
        <f t="shared" si="132"/>
        <v/>
      </c>
      <c r="P402" t="str">
        <f t="shared" si="133"/>
        <v/>
      </c>
      <c r="Q402" t="str">
        <f t="shared" si="134"/>
        <v/>
      </c>
      <c r="R402" t="str">
        <f t="shared" si="135"/>
        <v/>
      </c>
      <c r="S402" t="str">
        <f t="shared" si="136"/>
        <v/>
      </c>
      <c r="T402" t="str">
        <f t="shared" si="137"/>
        <v/>
      </c>
      <c r="U402" t="str">
        <f t="shared" si="138"/>
        <v/>
      </c>
      <c r="V402" t="str">
        <f t="shared" si="139"/>
        <v/>
      </c>
      <c r="W402" t="str">
        <f t="shared" si="122"/>
        <v xml:space="preserve">              </v>
      </c>
    </row>
    <row r="403" spans="1:23" customFormat="1" hidden="1">
      <c r="A403" t="b">
        <f t="shared" si="121"/>
        <v>0</v>
      </c>
      <c r="B403">
        <f t="shared" si="123"/>
        <v>402</v>
      </c>
      <c r="C403" t="s">
        <v>385</v>
      </c>
      <c r="D403" t="s">
        <v>401</v>
      </c>
      <c r="E403">
        <f t="shared" si="120"/>
        <v>41</v>
      </c>
      <c r="G403">
        <f t="shared" si="124"/>
        <v>4</v>
      </c>
      <c r="H403" t="str">
        <f t="shared" si="125"/>
        <v/>
      </c>
      <c r="I403" t="str">
        <f t="shared" si="126"/>
        <v/>
      </c>
      <c r="J403" t="str">
        <f t="shared" si="127"/>
        <v/>
      </c>
      <c r="K403" t="str">
        <f t="shared" si="128"/>
        <v/>
      </c>
      <c r="L403" t="str">
        <f t="shared" si="129"/>
        <v/>
      </c>
      <c r="M403" t="str">
        <f t="shared" si="130"/>
        <v/>
      </c>
      <c r="N403" t="str">
        <f t="shared" si="131"/>
        <v/>
      </c>
      <c r="O403" t="str">
        <f t="shared" si="132"/>
        <v/>
      </c>
      <c r="P403" t="str">
        <f t="shared" si="133"/>
        <v/>
      </c>
      <c r="Q403" t="str">
        <f t="shared" si="134"/>
        <v/>
      </c>
      <c r="R403" t="str">
        <f t="shared" si="135"/>
        <v/>
      </c>
      <c r="S403" t="str">
        <f t="shared" si="136"/>
        <v/>
      </c>
      <c r="T403" t="str">
        <f t="shared" si="137"/>
        <v/>
      </c>
      <c r="U403" t="str">
        <f t="shared" si="138"/>
        <v/>
      </c>
      <c r="V403" t="str">
        <f t="shared" si="139"/>
        <v/>
      </c>
      <c r="W403" t="str">
        <f t="shared" si="122"/>
        <v xml:space="preserve">              </v>
      </c>
    </row>
    <row r="404" spans="1:23" customFormat="1" hidden="1">
      <c r="A404" t="b">
        <f t="shared" si="121"/>
        <v>0</v>
      </c>
      <c r="B404">
        <f t="shared" si="123"/>
        <v>403</v>
      </c>
      <c r="C404" t="s">
        <v>385</v>
      </c>
      <c r="D404" t="s">
        <v>402</v>
      </c>
      <c r="E404">
        <f t="shared" si="120"/>
        <v>21</v>
      </c>
      <c r="G404">
        <f t="shared" si="124"/>
        <v>5</v>
      </c>
      <c r="H404" t="str">
        <f t="shared" si="125"/>
        <v/>
      </c>
      <c r="I404" t="str">
        <f t="shared" si="126"/>
        <v/>
      </c>
      <c r="J404" t="str">
        <f t="shared" si="127"/>
        <v/>
      </c>
      <c r="K404" t="str">
        <f t="shared" si="128"/>
        <v/>
      </c>
      <c r="L404" t="str">
        <f t="shared" si="129"/>
        <v/>
      </c>
      <c r="M404" t="str">
        <f t="shared" si="130"/>
        <v/>
      </c>
      <c r="N404" t="str">
        <f t="shared" si="131"/>
        <v/>
      </c>
      <c r="O404" t="str">
        <f t="shared" si="132"/>
        <v/>
      </c>
      <c r="P404" t="str">
        <f t="shared" si="133"/>
        <v/>
      </c>
      <c r="Q404" t="str">
        <f t="shared" si="134"/>
        <v/>
      </c>
      <c r="R404" t="str">
        <f t="shared" si="135"/>
        <v/>
      </c>
      <c r="S404" t="str">
        <f t="shared" si="136"/>
        <v/>
      </c>
      <c r="T404" t="str">
        <f t="shared" si="137"/>
        <v/>
      </c>
      <c r="U404" t="str">
        <f t="shared" si="138"/>
        <v/>
      </c>
      <c r="V404" t="str">
        <f t="shared" si="139"/>
        <v/>
      </c>
      <c r="W404" t="str">
        <f t="shared" si="122"/>
        <v xml:space="preserve">              </v>
      </c>
    </row>
    <row r="405" spans="1:23" hidden="1">
      <c r="A405" s="71" t="b">
        <f t="shared" si="121"/>
        <v>0</v>
      </c>
      <c r="B405" s="71">
        <f t="shared" si="123"/>
        <v>404</v>
      </c>
      <c r="C405" s="71" t="s">
        <v>385</v>
      </c>
      <c r="D405" s="71" t="s">
        <v>403</v>
      </c>
      <c r="E405">
        <f t="shared" si="120"/>
        <v>23</v>
      </c>
      <c r="F405">
        <v>1</v>
      </c>
      <c r="G405">
        <f t="shared" si="124"/>
        <v>1</v>
      </c>
      <c r="H405" t="str">
        <f t="shared" si="125"/>
        <v>Alternatives generation</v>
      </c>
      <c r="I405" t="str">
        <f t="shared" si="126"/>
        <v>A scope definition process of finding</v>
      </c>
      <c r="J405" t="str">
        <f t="shared" si="127"/>
        <v>alternative solutions for the project</v>
      </c>
      <c r="K405" t="str">
        <f t="shared" si="128"/>
        <v>customer while considering the</v>
      </c>
      <c r="L405" t="str">
        <f t="shared" si="129"/>
        <v>customer’s satisfaction, the cost of the</v>
      </c>
      <c r="M405" t="str">
        <f t="shared" si="130"/>
        <v>solution, and how the customer may use</v>
      </c>
      <c r="N405" t="str">
        <f t="shared" si="131"/>
        <v>the product in operations.</v>
      </c>
      <c r="O405" t="str">
        <f t="shared" si="132"/>
        <v/>
      </c>
      <c r="P405" t="str">
        <f t="shared" si="133"/>
        <v/>
      </c>
      <c r="Q405" t="str">
        <f t="shared" si="134"/>
        <v/>
      </c>
      <c r="R405" t="str">
        <f t="shared" si="135"/>
        <v/>
      </c>
      <c r="S405" t="str">
        <f t="shared" si="136"/>
        <v/>
      </c>
      <c r="T405" t="str">
        <f t="shared" si="137"/>
        <v/>
      </c>
      <c r="U405" t="str">
        <f t="shared" si="138"/>
        <v/>
      </c>
      <c r="V405" t="str">
        <f t="shared" si="139"/>
        <v/>
      </c>
      <c r="W405" s="71" t="str">
        <f>CONCATENATE(H405," ",I405," ",J405," ",K405," ",L405," ",M405," ",N405," ",O405," ",P405," ",Q405," ",R405," ",S405," ",T405," ",U405," ",V405)</f>
        <v xml:space="preserve">Alternatives generation A scope definition process of finding alternative solutions for the project customer while considering the customer’s satisfaction, the cost of the solution, and how the customer may use the product in operations.        </v>
      </c>
    </row>
    <row r="406" spans="1:23" customFormat="1" hidden="1">
      <c r="A406" t="b">
        <f t="shared" si="121"/>
        <v>0</v>
      </c>
      <c r="B406">
        <f t="shared" si="123"/>
        <v>405</v>
      </c>
      <c r="C406" t="s">
        <v>385</v>
      </c>
      <c r="D406" t="s">
        <v>404</v>
      </c>
      <c r="E406">
        <f t="shared" si="120"/>
        <v>37</v>
      </c>
      <c r="G406">
        <f t="shared" si="124"/>
        <v>2</v>
      </c>
      <c r="H406" t="str">
        <f t="shared" si="125"/>
        <v/>
      </c>
      <c r="I406" t="str">
        <f t="shared" si="126"/>
        <v/>
      </c>
      <c r="J406" t="str">
        <f t="shared" si="127"/>
        <v/>
      </c>
      <c r="K406" t="str">
        <f t="shared" si="128"/>
        <v/>
      </c>
      <c r="L406" t="str">
        <f t="shared" si="129"/>
        <v/>
      </c>
      <c r="M406" t="str">
        <f t="shared" si="130"/>
        <v/>
      </c>
      <c r="N406" t="str">
        <f t="shared" si="131"/>
        <v/>
      </c>
      <c r="O406" t="str">
        <f t="shared" si="132"/>
        <v/>
      </c>
      <c r="P406" t="str">
        <f t="shared" si="133"/>
        <v/>
      </c>
      <c r="Q406" t="str">
        <f t="shared" si="134"/>
        <v/>
      </c>
      <c r="R406" t="str">
        <f t="shared" si="135"/>
        <v/>
      </c>
      <c r="S406" t="str">
        <f t="shared" si="136"/>
        <v/>
      </c>
      <c r="T406" t="str">
        <f t="shared" si="137"/>
        <v/>
      </c>
      <c r="U406" t="str">
        <f t="shared" si="138"/>
        <v/>
      </c>
      <c r="V406" t="str">
        <f t="shared" si="139"/>
        <v/>
      </c>
      <c r="W406" t="str">
        <f t="shared" si="122"/>
        <v xml:space="preserve">              </v>
      </c>
    </row>
    <row r="407" spans="1:23" customFormat="1" hidden="1">
      <c r="A407" t="b">
        <f t="shared" si="121"/>
        <v>0</v>
      </c>
      <c r="B407">
        <f t="shared" si="123"/>
        <v>406</v>
      </c>
      <c r="C407" t="s">
        <v>385</v>
      </c>
      <c r="D407" t="s">
        <v>405</v>
      </c>
      <c r="E407">
        <f t="shared" si="120"/>
        <v>37</v>
      </c>
      <c r="G407">
        <f t="shared" si="124"/>
        <v>3</v>
      </c>
      <c r="H407" t="str">
        <f t="shared" si="125"/>
        <v/>
      </c>
      <c r="I407" t="str">
        <f t="shared" si="126"/>
        <v/>
      </c>
      <c r="J407" t="str">
        <f t="shared" si="127"/>
        <v/>
      </c>
      <c r="K407" t="str">
        <f t="shared" si="128"/>
        <v/>
      </c>
      <c r="L407" t="str">
        <f t="shared" si="129"/>
        <v/>
      </c>
      <c r="M407" t="str">
        <f t="shared" si="130"/>
        <v/>
      </c>
      <c r="N407" t="str">
        <f t="shared" si="131"/>
        <v/>
      </c>
      <c r="O407" t="str">
        <f t="shared" si="132"/>
        <v/>
      </c>
      <c r="P407" t="str">
        <f t="shared" si="133"/>
        <v/>
      </c>
      <c r="Q407" t="str">
        <f t="shared" si="134"/>
        <v/>
      </c>
      <c r="R407" t="str">
        <f t="shared" si="135"/>
        <v/>
      </c>
      <c r="S407" t="str">
        <f t="shared" si="136"/>
        <v/>
      </c>
      <c r="T407" t="str">
        <f t="shared" si="137"/>
        <v/>
      </c>
      <c r="U407" t="str">
        <f t="shared" si="138"/>
        <v/>
      </c>
      <c r="V407" t="str">
        <f t="shared" si="139"/>
        <v/>
      </c>
      <c r="W407" t="str">
        <f t="shared" si="122"/>
        <v xml:space="preserve">              </v>
      </c>
    </row>
    <row r="408" spans="1:23" customFormat="1" hidden="1">
      <c r="A408" t="b">
        <f t="shared" si="121"/>
        <v>0</v>
      </c>
      <c r="B408">
        <f t="shared" si="123"/>
        <v>407</v>
      </c>
      <c r="C408" t="s">
        <v>385</v>
      </c>
      <c r="D408" t="s">
        <v>406</v>
      </c>
      <c r="E408">
        <f t="shared" si="120"/>
        <v>30</v>
      </c>
      <c r="G408">
        <f t="shared" si="124"/>
        <v>4</v>
      </c>
      <c r="H408" t="str">
        <f t="shared" si="125"/>
        <v/>
      </c>
      <c r="I408" t="str">
        <f t="shared" si="126"/>
        <v/>
      </c>
      <c r="J408" t="str">
        <f t="shared" si="127"/>
        <v/>
      </c>
      <c r="K408" t="str">
        <f t="shared" si="128"/>
        <v/>
      </c>
      <c r="L408" t="str">
        <f t="shared" si="129"/>
        <v/>
      </c>
      <c r="M408" t="str">
        <f t="shared" si="130"/>
        <v/>
      </c>
      <c r="N408" t="str">
        <f t="shared" si="131"/>
        <v/>
      </c>
      <c r="O408" t="str">
        <f t="shared" si="132"/>
        <v/>
      </c>
      <c r="P408" t="str">
        <f t="shared" si="133"/>
        <v/>
      </c>
      <c r="Q408" t="str">
        <f t="shared" si="134"/>
        <v/>
      </c>
      <c r="R408" t="str">
        <f t="shared" si="135"/>
        <v/>
      </c>
      <c r="S408" t="str">
        <f t="shared" si="136"/>
        <v/>
      </c>
      <c r="T408" t="str">
        <f t="shared" si="137"/>
        <v/>
      </c>
      <c r="U408" t="str">
        <f t="shared" si="138"/>
        <v/>
      </c>
      <c r="V408" t="str">
        <f t="shared" si="139"/>
        <v/>
      </c>
      <c r="W408" t="str">
        <f t="shared" si="122"/>
        <v xml:space="preserve">              </v>
      </c>
    </row>
    <row r="409" spans="1:23" customFormat="1" hidden="1">
      <c r="A409" t="b">
        <f t="shared" si="121"/>
        <v>0</v>
      </c>
      <c r="B409">
        <f t="shared" si="123"/>
        <v>408</v>
      </c>
      <c r="C409" t="s">
        <v>385</v>
      </c>
      <c r="D409" t="s">
        <v>407</v>
      </c>
      <c r="E409">
        <f t="shared" si="120"/>
        <v>40</v>
      </c>
      <c r="G409">
        <f t="shared" si="124"/>
        <v>5</v>
      </c>
      <c r="H409" t="str">
        <f t="shared" si="125"/>
        <v/>
      </c>
      <c r="I409" t="str">
        <f t="shared" si="126"/>
        <v/>
      </c>
      <c r="J409" t="str">
        <f t="shared" si="127"/>
        <v/>
      </c>
      <c r="K409" t="str">
        <f t="shared" si="128"/>
        <v/>
      </c>
      <c r="L409" t="str">
        <f t="shared" si="129"/>
        <v/>
      </c>
      <c r="M409" t="str">
        <f t="shared" si="130"/>
        <v/>
      </c>
      <c r="N409" t="str">
        <f t="shared" si="131"/>
        <v/>
      </c>
      <c r="O409" t="str">
        <f t="shared" si="132"/>
        <v/>
      </c>
      <c r="P409" t="str">
        <f t="shared" si="133"/>
        <v/>
      </c>
      <c r="Q409" t="str">
        <f t="shared" si="134"/>
        <v/>
      </c>
      <c r="R409" t="str">
        <f t="shared" si="135"/>
        <v/>
      </c>
      <c r="S409" t="str">
        <f t="shared" si="136"/>
        <v/>
      </c>
      <c r="T409" t="str">
        <f t="shared" si="137"/>
        <v/>
      </c>
      <c r="U409" t="str">
        <f t="shared" si="138"/>
        <v/>
      </c>
      <c r="V409" t="str">
        <f t="shared" si="139"/>
        <v/>
      </c>
      <c r="W409" t="str">
        <f t="shared" si="122"/>
        <v xml:space="preserve">              </v>
      </c>
    </row>
    <row r="410" spans="1:23" customFormat="1" hidden="1">
      <c r="A410" t="b">
        <f t="shared" si="121"/>
        <v>0</v>
      </c>
      <c r="B410">
        <f t="shared" si="123"/>
        <v>409</v>
      </c>
      <c r="C410" t="s">
        <v>385</v>
      </c>
      <c r="D410" t="s">
        <v>408</v>
      </c>
      <c r="E410">
        <f t="shared" si="120"/>
        <v>38</v>
      </c>
      <c r="G410">
        <f t="shared" si="124"/>
        <v>6</v>
      </c>
      <c r="H410" t="str">
        <f t="shared" si="125"/>
        <v/>
      </c>
      <c r="I410" t="str">
        <f t="shared" si="126"/>
        <v/>
      </c>
      <c r="J410" t="str">
        <f t="shared" si="127"/>
        <v/>
      </c>
      <c r="K410" t="str">
        <f t="shared" si="128"/>
        <v/>
      </c>
      <c r="L410" t="str">
        <f t="shared" si="129"/>
        <v/>
      </c>
      <c r="M410" t="str">
        <f t="shared" si="130"/>
        <v/>
      </c>
      <c r="N410" t="str">
        <f t="shared" si="131"/>
        <v/>
      </c>
      <c r="O410" t="str">
        <f t="shared" si="132"/>
        <v/>
      </c>
      <c r="P410" t="str">
        <f t="shared" si="133"/>
        <v/>
      </c>
      <c r="Q410" t="str">
        <f t="shared" si="134"/>
        <v/>
      </c>
      <c r="R410" t="str">
        <f t="shared" si="135"/>
        <v/>
      </c>
      <c r="S410" t="str">
        <f t="shared" si="136"/>
        <v/>
      </c>
      <c r="T410" t="str">
        <f t="shared" si="137"/>
        <v/>
      </c>
      <c r="U410" t="str">
        <f t="shared" si="138"/>
        <v/>
      </c>
      <c r="V410" t="str">
        <f t="shared" si="139"/>
        <v/>
      </c>
      <c r="W410" t="str">
        <f t="shared" si="122"/>
        <v xml:space="preserve">              </v>
      </c>
    </row>
    <row r="411" spans="1:23" customFormat="1" hidden="1">
      <c r="A411" t="b">
        <f t="shared" si="121"/>
        <v>0</v>
      </c>
      <c r="B411">
        <f t="shared" si="123"/>
        <v>410</v>
      </c>
      <c r="C411" t="s">
        <v>385</v>
      </c>
      <c r="D411" t="s">
        <v>409</v>
      </c>
      <c r="E411">
        <f t="shared" si="120"/>
        <v>26</v>
      </c>
      <c r="G411">
        <f t="shared" si="124"/>
        <v>7</v>
      </c>
      <c r="H411" t="str">
        <f t="shared" si="125"/>
        <v/>
      </c>
      <c r="I411" t="str">
        <f t="shared" si="126"/>
        <v/>
      </c>
      <c r="J411" t="str">
        <f t="shared" si="127"/>
        <v/>
      </c>
      <c r="K411" t="str">
        <f t="shared" si="128"/>
        <v/>
      </c>
      <c r="L411" t="str">
        <f t="shared" si="129"/>
        <v/>
      </c>
      <c r="M411" t="str">
        <f t="shared" si="130"/>
        <v/>
      </c>
      <c r="N411" t="str">
        <f t="shared" si="131"/>
        <v/>
      </c>
      <c r="O411" t="str">
        <f t="shared" si="132"/>
        <v/>
      </c>
      <c r="P411" t="str">
        <f t="shared" si="133"/>
        <v/>
      </c>
      <c r="Q411" t="str">
        <f t="shared" si="134"/>
        <v/>
      </c>
      <c r="R411" t="str">
        <f t="shared" si="135"/>
        <v/>
      </c>
      <c r="S411" t="str">
        <f t="shared" si="136"/>
        <v/>
      </c>
      <c r="T411" t="str">
        <f t="shared" si="137"/>
        <v/>
      </c>
      <c r="U411" t="str">
        <f t="shared" si="138"/>
        <v/>
      </c>
      <c r="V411" t="str">
        <f t="shared" si="139"/>
        <v/>
      </c>
      <c r="W411" t="str">
        <f t="shared" si="122"/>
        <v xml:space="preserve">              </v>
      </c>
    </row>
    <row r="412" spans="1:23" hidden="1">
      <c r="A412" s="71" t="b">
        <f t="shared" si="121"/>
        <v>0</v>
      </c>
      <c r="B412" s="71">
        <f t="shared" si="123"/>
        <v>411</v>
      </c>
      <c r="C412" s="71" t="s">
        <v>385</v>
      </c>
      <c r="D412" s="71" t="s">
        <v>410</v>
      </c>
      <c r="E412">
        <f t="shared" si="120"/>
        <v>10</v>
      </c>
      <c r="F412">
        <v>1</v>
      </c>
      <c r="G412">
        <f t="shared" si="124"/>
        <v>1</v>
      </c>
      <c r="H412" t="str">
        <f t="shared" si="125"/>
        <v>Autocratic</v>
      </c>
      <c r="I412" t="str">
        <f t="shared" si="126"/>
        <v>A decision method where only one</v>
      </c>
      <c r="J412" t="str">
        <f t="shared" si="127"/>
        <v>individual makes the decision for the</v>
      </c>
      <c r="K412" t="str">
        <f t="shared" si="128"/>
        <v>group.</v>
      </c>
      <c r="L412" t="str">
        <f t="shared" si="129"/>
        <v/>
      </c>
      <c r="M412" t="str">
        <f t="shared" si="130"/>
        <v/>
      </c>
      <c r="N412" t="str">
        <f t="shared" si="131"/>
        <v/>
      </c>
      <c r="O412" t="str">
        <f t="shared" si="132"/>
        <v/>
      </c>
      <c r="P412" t="str">
        <f t="shared" si="133"/>
        <v/>
      </c>
      <c r="Q412" t="str">
        <f t="shared" si="134"/>
        <v/>
      </c>
      <c r="R412" t="str">
        <f t="shared" si="135"/>
        <v/>
      </c>
      <c r="S412" t="str">
        <f t="shared" si="136"/>
        <v/>
      </c>
      <c r="T412" t="str">
        <f t="shared" si="137"/>
        <v/>
      </c>
      <c r="U412" t="str">
        <f t="shared" si="138"/>
        <v/>
      </c>
      <c r="V412" t="str">
        <f t="shared" si="139"/>
        <v/>
      </c>
      <c r="W412" s="71" t="str">
        <f>CONCATENATE(H412," ",I412," ",J412," ",K412," ",L412," ",M412," ",N412," ",O412," ",P412," ",Q412," ",R412," ",S412," ",T412," ",U412," ",V412)</f>
        <v xml:space="preserve">Autocratic A decision method where only one individual makes the decision for the group.           </v>
      </c>
    </row>
    <row r="413" spans="1:23" customFormat="1" hidden="1">
      <c r="A413" t="b">
        <f t="shared" si="121"/>
        <v>0</v>
      </c>
      <c r="B413">
        <f t="shared" si="123"/>
        <v>412</v>
      </c>
      <c r="C413" t="s">
        <v>385</v>
      </c>
      <c r="D413" t="s">
        <v>411</v>
      </c>
      <c r="E413">
        <f t="shared" si="120"/>
        <v>32</v>
      </c>
      <c r="G413">
        <f t="shared" si="124"/>
        <v>2</v>
      </c>
      <c r="H413" t="str">
        <f t="shared" si="125"/>
        <v/>
      </c>
      <c r="I413" t="str">
        <f t="shared" si="126"/>
        <v/>
      </c>
      <c r="J413" t="str">
        <f t="shared" si="127"/>
        <v/>
      </c>
      <c r="K413" t="str">
        <f t="shared" si="128"/>
        <v/>
      </c>
      <c r="L413" t="str">
        <f t="shared" si="129"/>
        <v/>
      </c>
      <c r="M413" t="str">
        <f t="shared" si="130"/>
        <v/>
      </c>
      <c r="N413" t="str">
        <f t="shared" si="131"/>
        <v/>
      </c>
      <c r="O413" t="str">
        <f t="shared" si="132"/>
        <v/>
      </c>
      <c r="P413" t="str">
        <f t="shared" si="133"/>
        <v/>
      </c>
      <c r="Q413" t="str">
        <f t="shared" si="134"/>
        <v/>
      </c>
      <c r="R413" t="str">
        <f t="shared" si="135"/>
        <v/>
      </c>
      <c r="S413" t="str">
        <f t="shared" si="136"/>
        <v/>
      </c>
      <c r="T413" t="str">
        <f t="shared" si="137"/>
        <v/>
      </c>
      <c r="U413" t="str">
        <f t="shared" si="138"/>
        <v/>
      </c>
      <c r="V413" t="str">
        <f t="shared" si="139"/>
        <v/>
      </c>
      <c r="W413" t="str">
        <f t="shared" si="122"/>
        <v xml:space="preserve">              </v>
      </c>
    </row>
    <row r="414" spans="1:23" customFormat="1" hidden="1">
      <c r="A414" t="b">
        <f t="shared" si="121"/>
        <v>0</v>
      </c>
      <c r="B414">
        <f t="shared" si="123"/>
        <v>413</v>
      </c>
      <c r="C414" t="s">
        <v>385</v>
      </c>
      <c r="D414" t="s">
        <v>412</v>
      </c>
      <c r="E414">
        <f t="shared" si="120"/>
        <v>37</v>
      </c>
      <c r="G414">
        <f t="shared" si="124"/>
        <v>3</v>
      </c>
      <c r="H414" t="str">
        <f t="shared" si="125"/>
        <v/>
      </c>
      <c r="I414" t="str">
        <f t="shared" si="126"/>
        <v/>
      </c>
      <c r="J414" t="str">
        <f t="shared" si="127"/>
        <v/>
      </c>
      <c r="K414" t="str">
        <f t="shared" si="128"/>
        <v/>
      </c>
      <c r="L414" t="str">
        <f t="shared" si="129"/>
        <v/>
      </c>
      <c r="M414" t="str">
        <f t="shared" si="130"/>
        <v/>
      </c>
      <c r="N414" t="str">
        <f t="shared" si="131"/>
        <v/>
      </c>
      <c r="O414" t="str">
        <f t="shared" si="132"/>
        <v/>
      </c>
      <c r="P414" t="str">
        <f t="shared" si="133"/>
        <v/>
      </c>
      <c r="Q414" t="str">
        <f t="shared" si="134"/>
        <v/>
      </c>
      <c r="R414" t="str">
        <f t="shared" si="135"/>
        <v/>
      </c>
      <c r="S414" t="str">
        <f t="shared" si="136"/>
        <v/>
      </c>
      <c r="T414" t="str">
        <f t="shared" si="137"/>
        <v/>
      </c>
      <c r="U414" t="str">
        <f t="shared" si="138"/>
        <v/>
      </c>
      <c r="V414" t="str">
        <f t="shared" si="139"/>
        <v/>
      </c>
      <c r="W414" t="str">
        <f t="shared" si="122"/>
        <v xml:space="preserve">              </v>
      </c>
    </row>
    <row r="415" spans="1:23" customFormat="1" hidden="1">
      <c r="A415" t="b">
        <f t="shared" si="121"/>
        <v>0</v>
      </c>
      <c r="B415">
        <f t="shared" si="123"/>
        <v>414</v>
      </c>
      <c r="C415" t="s">
        <v>385</v>
      </c>
      <c r="D415" t="s">
        <v>413</v>
      </c>
      <c r="E415">
        <f t="shared" si="120"/>
        <v>6</v>
      </c>
      <c r="G415">
        <f t="shared" si="124"/>
        <v>4</v>
      </c>
      <c r="H415" t="str">
        <f t="shared" si="125"/>
        <v/>
      </c>
      <c r="I415" t="str">
        <f t="shared" si="126"/>
        <v/>
      </c>
      <c r="J415" t="str">
        <f t="shared" si="127"/>
        <v/>
      </c>
      <c r="K415" t="str">
        <f t="shared" si="128"/>
        <v/>
      </c>
      <c r="L415" t="str">
        <f t="shared" si="129"/>
        <v/>
      </c>
      <c r="M415" t="str">
        <f t="shared" si="130"/>
        <v/>
      </c>
      <c r="N415" t="str">
        <f t="shared" si="131"/>
        <v/>
      </c>
      <c r="O415" t="str">
        <f t="shared" si="132"/>
        <v/>
      </c>
      <c r="P415" t="str">
        <f t="shared" si="133"/>
        <v/>
      </c>
      <c r="Q415" t="str">
        <f t="shared" si="134"/>
        <v/>
      </c>
      <c r="R415" t="str">
        <f t="shared" si="135"/>
        <v/>
      </c>
      <c r="S415" t="str">
        <f t="shared" si="136"/>
        <v/>
      </c>
      <c r="T415" t="str">
        <f t="shared" si="137"/>
        <v/>
      </c>
      <c r="U415" t="str">
        <f t="shared" si="138"/>
        <v/>
      </c>
      <c r="V415" t="str">
        <f t="shared" si="139"/>
        <v/>
      </c>
      <c r="W415" t="str">
        <f t="shared" si="122"/>
        <v xml:space="preserve">              </v>
      </c>
    </row>
    <row r="416" spans="1:23" hidden="1">
      <c r="A416" s="71" t="b">
        <f t="shared" si="121"/>
        <v>0</v>
      </c>
      <c r="B416" s="71">
        <f t="shared" si="123"/>
        <v>415</v>
      </c>
      <c r="C416" s="71" t="s">
        <v>385</v>
      </c>
      <c r="D416" s="71" t="s">
        <v>414</v>
      </c>
      <c r="E416">
        <f t="shared" si="120"/>
        <v>13</v>
      </c>
      <c r="F416">
        <v>1</v>
      </c>
      <c r="G416">
        <f t="shared" si="124"/>
        <v>1</v>
      </c>
      <c r="H416" t="str">
        <f t="shared" si="125"/>
        <v>Brainstorming</v>
      </c>
      <c r="I416" t="str">
        <f t="shared" si="126"/>
        <v>This approach encourages participants to</v>
      </c>
      <c r="J416" t="str">
        <f t="shared" si="127"/>
        <v>generate as many ideas as possible</v>
      </c>
      <c r="K416" t="str">
        <f t="shared" si="128"/>
        <v>about the project requirements. No idea</v>
      </c>
      <c r="L416" t="str">
        <f t="shared" si="129"/>
        <v>is judged or dismissed during the</v>
      </c>
      <c r="M416" t="str">
        <f t="shared" si="130"/>
        <v>brainstorming session.</v>
      </c>
      <c r="N416" t="str">
        <f t="shared" si="131"/>
        <v/>
      </c>
      <c r="O416" t="str">
        <f t="shared" si="132"/>
        <v/>
      </c>
      <c r="P416" t="str">
        <f t="shared" si="133"/>
        <v/>
      </c>
      <c r="Q416" t="str">
        <f t="shared" si="134"/>
        <v/>
      </c>
      <c r="R416" t="str">
        <f t="shared" si="135"/>
        <v/>
      </c>
      <c r="S416" t="str">
        <f t="shared" si="136"/>
        <v/>
      </c>
      <c r="T416" t="str">
        <f t="shared" si="137"/>
        <v/>
      </c>
      <c r="U416" t="str">
        <f t="shared" si="138"/>
        <v/>
      </c>
      <c r="V416" t="str">
        <f t="shared" si="139"/>
        <v/>
      </c>
      <c r="W416" s="71" t="str">
        <f>CONCATENATE(H416," ",I416," ",J416," ",K416," ",L416," ",M416," ",N416," ",O416," ",P416," ",Q416," ",R416," ",S416," ",T416," ",U416," ",V416)</f>
        <v xml:space="preserve">Brainstorming This approach encourages participants to generate as many ideas as possible about the project requirements. No idea is judged or dismissed during the brainstorming session.         </v>
      </c>
    </row>
    <row r="417" spans="1:23" customFormat="1" hidden="1">
      <c r="A417" t="b">
        <f t="shared" si="121"/>
        <v>0</v>
      </c>
      <c r="B417">
        <f t="shared" si="123"/>
        <v>416</v>
      </c>
      <c r="C417" t="s">
        <v>385</v>
      </c>
      <c r="D417" t="s">
        <v>415</v>
      </c>
      <c r="E417">
        <f t="shared" ref="E417:E476" si="140">LEN(D417)</f>
        <v>40</v>
      </c>
      <c r="G417">
        <f t="shared" si="124"/>
        <v>2</v>
      </c>
      <c r="H417" t="str">
        <f t="shared" si="125"/>
        <v/>
      </c>
      <c r="I417" t="str">
        <f t="shared" si="126"/>
        <v/>
      </c>
      <c r="J417" t="str">
        <f t="shared" si="127"/>
        <v/>
      </c>
      <c r="K417" t="str">
        <f t="shared" si="128"/>
        <v/>
      </c>
      <c r="L417" t="str">
        <f t="shared" si="129"/>
        <v/>
      </c>
      <c r="M417" t="str">
        <f t="shared" si="130"/>
        <v/>
      </c>
      <c r="N417" t="str">
        <f t="shared" si="131"/>
        <v/>
      </c>
      <c r="O417" t="str">
        <f t="shared" si="132"/>
        <v/>
      </c>
      <c r="P417" t="str">
        <f t="shared" si="133"/>
        <v/>
      </c>
      <c r="Q417" t="str">
        <f t="shared" si="134"/>
        <v/>
      </c>
      <c r="R417" t="str">
        <f t="shared" si="135"/>
        <v/>
      </c>
      <c r="S417" t="str">
        <f t="shared" si="136"/>
        <v/>
      </c>
      <c r="T417" t="str">
        <f t="shared" si="137"/>
        <v/>
      </c>
      <c r="U417" t="str">
        <f t="shared" si="138"/>
        <v/>
      </c>
      <c r="V417" t="str">
        <f t="shared" si="139"/>
        <v/>
      </c>
      <c r="W417" t="str">
        <f t="shared" si="122"/>
        <v xml:space="preserve">              </v>
      </c>
    </row>
    <row r="418" spans="1:23" customFormat="1" hidden="1">
      <c r="A418" t="b">
        <f t="shared" si="121"/>
        <v>0</v>
      </c>
      <c r="B418">
        <f t="shared" si="123"/>
        <v>417</v>
      </c>
      <c r="C418" t="s">
        <v>385</v>
      </c>
      <c r="D418" t="s">
        <v>416</v>
      </c>
      <c r="E418">
        <f t="shared" si="140"/>
        <v>34</v>
      </c>
      <c r="G418">
        <f t="shared" si="124"/>
        <v>3</v>
      </c>
      <c r="H418" t="str">
        <f t="shared" si="125"/>
        <v/>
      </c>
      <c r="I418" t="str">
        <f t="shared" si="126"/>
        <v/>
      </c>
      <c r="J418" t="str">
        <f t="shared" si="127"/>
        <v/>
      </c>
      <c r="K418" t="str">
        <f t="shared" si="128"/>
        <v/>
      </c>
      <c r="L418" t="str">
        <f t="shared" si="129"/>
        <v/>
      </c>
      <c r="M418" t="str">
        <f t="shared" si="130"/>
        <v/>
      </c>
      <c r="N418" t="str">
        <f t="shared" si="131"/>
        <v/>
      </c>
      <c r="O418" t="str">
        <f t="shared" si="132"/>
        <v/>
      </c>
      <c r="P418" t="str">
        <f t="shared" si="133"/>
        <v/>
      </c>
      <c r="Q418" t="str">
        <f t="shared" si="134"/>
        <v/>
      </c>
      <c r="R418" t="str">
        <f t="shared" si="135"/>
        <v/>
      </c>
      <c r="S418" t="str">
        <f t="shared" si="136"/>
        <v/>
      </c>
      <c r="T418" t="str">
        <f t="shared" si="137"/>
        <v/>
      </c>
      <c r="U418" t="str">
        <f t="shared" si="138"/>
        <v/>
      </c>
      <c r="V418" t="str">
        <f t="shared" si="139"/>
        <v/>
      </c>
      <c r="W418" t="str">
        <f t="shared" si="122"/>
        <v xml:space="preserve">              </v>
      </c>
    </row>
    <row r="419" spans="1:23" customFormat="1" hidden="1">
      <c r="A419" t="b">
        <f t="shared" si="121"/>
        <v>0</v>
      </c>
      <c r="B419">
        <f t="shared" si="123"/>
        <v>418</v>
      </c>
      <c r="C419" t="s">
        <v>385</v>
      </c>
      <c r="D419" t="s">
        <v>417</v>
      </c>
      <c r="E419">
        <f t="shared" si="140"/>
        <v>39</v>
      </c>
      <c r="G419">
        <f t="shared" si="124"/>
        <v>4</v>
      </c>
      <c r="H419" t="str">
        <f t="shared" si="125"/>
        <v/>
      </c>
      <c r="I419" t="str">
        <f t="shared" si="126"/>
        <v/>
      </c>
      <c r="J419" t="str">
        <f t="shared" si="127"/>
        <v/>
      </c>
      <c r="K419" t="str">
        <f t="shared" si="128"/>
        <v/>
      </c>
      <c r="L419" t="str">
        <f t="shared" si="129"/>
        <v/>
      </c>
      <c r="M419" t="str">
        <f t="shared" si="130"/>
        <v/>
      </c>
      <c r="N419" t="str">
        <f t="shared" si="131"/>
        <v/>
      </c>
      <c r="O419" t="str">
        <f t="shared" si="132"/>
        <v/>
      </c>
      <c r="P419" t="str">
        <f t="shared" si="133"/>
        <v/>
      </c>
      <c r="Q419" t="str">
        <f t="shared" si="134"/>
        <v/>
      </c>
      <c r="R419" t="str">
        <f t="shared" si="135"/>
        <v/>
      </c>
      <c r="S419" t="str">
        <f t="shared" si="136"/>
        <v/>
      </c>
      <c r="T419" t="str">
        <f t="shared" si="137"/>
        <v/>
      </c>
      <c r="U419" t="str">
        <f t="shared" si="138"/>
        <v/>
      </c>
      <c r="V419" t="str">
        <f t="shared" si="139"/>
        <v/>
      </c>
      <c r="W419" t="str">
        <f t="shared" si="122"/>
        <v xml:space="preserve">              </v>
      </c>
    </row>
    <row r="420" spans="1:23" customFormat="1" hidden="1">
      <c r="A420" t="b">
        <f t="shared" si="121"/>
        <v>0</v>
      </c>
      <c r="B420">
        <f t="shared" si="123"/>
        <v>419</v>
      </c>
      <c r="C420" t="s">
        <v>385</v>
      </c>
      <c r="D420" t="s">
        <v>418</v>
      </c>
      <c r="E420">
        <f t="shared" si="140"/>
        <v>33</v>
      </c>
      <c r="G420">
        <f t="shared" si="124"/>
        <v>5</v>
      </c>
      <c r="H420" t="str">
        <f t="shared" si="125"/>
        <v/>
      </c>
      <c r="I420" t="str">
        <f t="shared" si="126"/>
        <v/>
      </c>
      <c r="J420" t="str">
        <f t="shared" si="127"/>
        <v/>
      </c>
      <c r="K420" t="str">
        <f t="shared" si="128"/>
        <v/>
      </c>
      <c r="L420" t="str">
        <f t="shared" si="129"/>
        <v/>
      </c>
      <c r="M420" t="str">
        <f t="shared" si="130"/>
        <v/>
      </c>
      <c r="N420" t="str">
        <f t="shared" si="131"/>
        <v/>
      </c>
      <c r="O420" t="str">
        <f t="shared" si="132"/>
        <v/>
      </c>
      <c r="P420" t="str">
        <f t="shared" si="133"/>
        <v/>
      </c>
      <c r="Q420" t="str">
        <f t="shared" si="134"/>
        <v/>
      </c>
      <c r="R420" t="str">
        <f t="shared" si="135"/>
        <v/>
      </c>
      <c r="S420" t="str">
        <f t="shared" si="136"/>
        <v/>
      </c>
      <c r="T420" t="str">
        <f t="shared" si="137"/>
        <v/>
      </c>
      <c r="U420" t="str">
        <f t="shared" si="138"/>
        <v/>
      </c>
      <c r="V420" t="str">
        <f t="shared" si="139"/>
        <v/>
      </c>
      <c r="W420" t="str">
        <f t="shared" si="122"/>
        <v xml:space="preserve">              </v>
      </c>
    </row>
    <row r="421" spans="1:23" customFormat="1" hidden="1">
      <c r="A421" t="b">
        <f t="shared" si="121"/>
        <v>0</v>
      </c>
      <c r="B421">
        <f t="shared" si="123"/>
        <v>420</v>
      </c>
      <c r="C421" t="s">
        <v>385</v>
      </c>
      <c r="D421" t="s">
        <v>419</v>
      </c>
      <c r="E421">
        <f t="shared" si="140"/>
        <v>22</v>
      </c>
      <c r="G421">
        <f t="shared" si="124"/>
        <v>6</v>
      </c>
      <c r="H421" t="str">
        <f t="shared" si="125"/>
        <v/>
      </c>
      <c r="I421" t="str">
        <f t="shared" si="126"/>
        <v/>
      </c>
      <c r="J421" t="str">
        <f t="shared" si="127"/>
        <v/>
      </c>
      <c r="K421" t="str">
        <f t="shared" si="128"/>
        <v/>
      </c>
      <c r="L421" t="str">
        <f t="shared" si="129"/>
        <v/>
      </c>
      <c r="M421" t="str">
        <f t="shared" si="130"/>
        <v/>
      </c>
      <c r="N421" t="str">
        <f t="shared" si="131"/>
        <v/>
      </c>
      <c r="O421" t="str">
        <f t="shared" si="132"/>
        <v/>
      </c>
      <c r="P421" t="str">
        <f t="shared" si="133"/>
        <v/>
      </c>
      <c r="Q421" t="str">
        <f t="shared" si="134"/>
        <v/>
      </c>
      <c r="R421" t="str">
        <f t="shared" si="135"/>
        <v/>
      </c>
      <c r="S421" t="str">
        <f t="shared" si="136"/>
        <v/>
      </c>
      <c r="T421" t="str">
        <f t="shared" si="137"/>
        <v/>
      </c>
      <c r="U421" t="str">
        <f t="shared" si="138"/>
        <v/>
      </c>
      <c r="V421" t="str">
        <f t="shared" si="139"/>
        <v/>
      </c>
      <c r="W421" t="str">
        <f t="shared" si="122"/>
        <v xml:space="preserve">              </v>
      </c>
    </row>
    <row r="422" spans="1:23" hidden="1">
      <c r="A422" s="71" t="b">
        <f t="shared" si="121"/>
        <v>0</v>
      </c>
      <c r="B422" s="71">
        <f t="shared" si="123"/>
        <v>421</v>
      </c>
      <c r="C422" s="71" t="s">
        <v>385</v>
      </c>
      <c r="D422" s="71" t="s">
        <v>165</v>
      </c>
      <c r="E422">
        <f t="shared" si="140"/>
        <v>27</v>
      </c>
      <c r="F422">
        <v>1</v>
      </c>
      <c r="G422">
        <f t="shared" si="124"/>
        <v>1</v>
      </c>
      <c r="H422" t="str">
        <f t="shared" si="125"/>
        <v>Change control system (CCS)</v>
      </c>
      <c r="I422" t="str">
        <f t="shared" si="126"/>
        <v>Documented in the scope management</v>
      </c>
      <c r="J422" t="str">
        <f t="shared" si="127"/>
        <v>plan, this system defines how changes to</v>
      </c>
      <c r="K422" t="str">
        <f t="shared" si="128"/>
        <v>the project scope are managed and</v>
      </c>
      <c r="L422" t="str">
        <f t="shared" si="129"/>
        <v>controlled.</v>
      </c>
      <c r="M422" t="str">
        <f t="shared" si="130"/>
        <v>Change management plan This subsidiary plan defines how changes will be allowed and managed within the project. Code of accounts A numbering system for each item in the WBS. The PMBOK is a good example of a code of accounts, as each chapter and its subheadings follow a logical numbering scheme. For example, PMBOK 5.3.3.2 identifies an exact paragraph in the PMBOK. Configuration management plan This subsidiary plan defines how changes to the features and functions of the project deliverables will be monitored and controlled within the project. Context diagram These diagrams show the relationship between elements of an environment. For example, a context diagram would illustrate the networks, servers, workstations, and people that interact with the elements of the environment. Focus groups A moderator-led requirements collection method to elicit requirements from stakeholders. Functional analysis This is the study of the functions within a system, project, or, what’s more likely in the project scope statement, the product the project will be creating. Functional analysis studies the goals of the product, how the product will be used, and the expectations the customer has of the product once it leaves the project and moves into operations. Functional analysis may also consider the cost of the product in operations, which is known as life-cycle costing. Funding limit Most projects have a determined budget in relation to the project scope. There may be a qualifier on this budget, such as plus or minus 10 percent based on the type of cost estimate created.</v>
      </c>
      <c r="N422" t="str">
        <f t="shared" si="131"/>
        <v/>
      </c>
      <c r="O422" t="str">
        <f t="shared" si="132"/>
        <v/>
      </c>
      <c r="P422" t="str">
        <f t="shared" si="133"/>
        <v/>
      </c>
      <c r="Q422" t="str">
        <f t="shared" si="134"/>
        <v/>
      </c>
      <c r="R422" t="str">
        <f t="shared" si="135"/>
        <v/>
      </c>
      <c r="S422" t="str">
        <f t="shared" si="136"/>
        <v/>
      </c>
      <c r="T422" t="str">
        <f t="shared" si="137"/>
        <v/>
      </c>
      <c r="U422" t="str">
        <f t="shared" si="138"/>
        <v/>
      </c>
      <c r="V422" t="str">
        <f t="shared" si="139"/>
        <v/>
      </c>
      <c r="W422" s="71" t="str">
        <f>CONCATENATE(H422," ",I422," ",J422," ",K422," ",L422," ",M422," ",N422," ",O422," ",P422," ",Q422," ",R422," ",S422," ",T422," ",U422," ",V422)</f>
        <v xml:space="preserve">Change control system (CCS) Documented in the scope management plan, this system defines how changes to the project scope are managed and controlled. Change management plan This subsidiary plan defines how changes will be allowed and managed within the project. Code of accounts A numbering system for each item in the WBS. The PMBOK is a good example of a code of accounts, as each chapter and its subheadings follow a logical numbering scheme. For example, PMBOK 5.3.3.2 identifies an exact paragraph in the PMBOK. Configuration management plan This subsidiary plan defines how changes to the features and functions of the project deliverables will be monitored and controlled within the project. Context diagram These diagrams show the relationship between elements of an environment. For example, a context diagram would illustrate the networks, servers, workstations, and people that interact with the elements of the environment. Focus groups A moderator-led requirements collection method to elicit requirements from stakeholders. Functional analysis This is the study of the functions within a system, project, or, what’s more likely in the project scope statement, the product the project will be creating. Functional analysis studies the goals of the product, how the product will be used, and the expectations the customer has of the product once it leaves the project and moves into operations. Functional analysis may also consider the cost of the product in operations, which is known as life-cycle costing. Funding limit Most projects have a determined budget in relation to the project scope. There may be a qualifier on this budget, such as plus or minus 10 percent based on the type of cost estimate created.         </v>
      </c>
    </row>
    <row r="423" spans="1:23" customFormat="1" hidden="1">
      <c r="A423" t="b">
        <f t="shared" si="121"/>
        <v>0</v>
      </c>
      <c r="B423">
        <f t="shared" si="123"/>
        <v>422</v>
      </c>
      <c r="C423" t="s">
        <v>385</v>
      </c>
      <c r="D423" t="s">
        <v>420</v>
      </c>
      <c r="E423">
        <f t="shared" si="140"/>
        <v>34</v>
      </c>
      <c r="G423">
        <f t="shared" si="124"/>
        <v>2</v>
      </c>
      <c r="H423" t="str">
        <f t="shared" si="125"/>
        <v/>
      </c>
      <c r="I423" t="str">
        <f t="shared" si="126"/>
        <v/>
      </c>
      <c r="J423" t="str">
        <f t="shared" si="127"/>
        <v/>
      </c>
      <c r="K423" t="str">
        <f t="shared" si="128"/>
        <v/>
      </c>
      <c r="L423" t="str">
        <f t="shared" si="129"/>
        <v/>
      </c>
      <c r="M423" t="str">
        <f t="shared" si="130"/>
        <v/>
      </c>
      <c r="N423" t="str">
        <f t="shared" si="131"/>
        <v/>
      </c>
      <c r="O423" t="str">
        <f t="shared" si="132"/>
        <v/>
      </c>
      <c r="P423" t="str">
        <f t="shared" si="133"/>
        <v/>
      </c>
      <c r="Q423" t="str">
        <f t="shared" si="134"/>
        <v/>
      </c>
      <c r="R423" t="str">
        <f t="shared" si="135"/>
        <v/>
      </c>
      <c r="S423" t="str">
        <f t="shared" si="136"/>
        <v/>
      </c>
      <c r="T423" t="str">
        <f t="shared" si="137"/>
        <v/>
      </c>
      <c r="U423" t="str">
        <f t="shared" si="138"/>
        <v/>
      </c>
      <c r="V423" t="str">
        <f t="shared" si="139"/>
        <v/>
      </c>
      <c r="W423" t="str">
        <f t="shared" si="122"/>
        <v xml:space="preserve">              </v>
      </c>
    </row>
    <row r="424" spans="1:23" customFormat="1" hidden="1">
      <c r="A424" t="b">
        <f t="shared" si="121"/>
        <v>0</v>
      </c>
      <c r="B424">
        <f t="shared" si="123"/>
        <v>423</v>
      </c>
      <c r="C424" t="s">
        <v>385</v>
      </c>
      <c r="D424" t="s">
        <v>421</v>
      </c>
      <c r="E424">
        <f t="shared" si="140"/>
        <v>40</v>
      </c>
      <c r="G424">
        <f t="shared" si="124"/>
        <v>3</v>
      </c>
      <c r="H424" t="str">
        <f t="shared" si="125"/>
        <v/>
      </c>
      <c r="I424" t="str">
        <f t="shared" si="126"/>
        <v/>
      </c>
      <c r="J424" t="str">
        <f t="shared" si="127"/>
        <v/>
      </c>
      <c r="K424" t="str">
        <f t="shared" si="128"/>
        <v/>
      </c>
      <c r="L424" t="str">
        <f t="shared" si="129"/>
        <v/>
      </c>
      <c r="M424" t="str">
        <f t="shared" si="130"/>
        <v/>
      </c>
      <c r="N424" t="str">
        <f t="shared" si="131"/>
        <v/>
      </c>
      <c r="O424" t="str">
        <f t="shared" si="132"/>
        <v/>
      </c>
      <c r="P424" t="str">
        <f t="shared" si="133"/>
        <v/>
      </c>
      <c r="Q424" t="str">
        <f t="shared" si="134"/>
        <v/>
      </c>
      <c r="R424" t="str">
        <f t="shared" si="135"/>
        <v/>
      </c>
      <c r="S424" t="str">
        <f t="shared" si="136"/>
        <v/>
      </c>
      <c r="T424" t="str">
        <f t="shared" si="137"/>
        <v/>
      </c>
      <c r="U424" t="str">
        <f t="shared" si="138"/>
        <v/>
      </c>
      <c r="V424" t="str">
        <f t="shared" si="139"/>
        <v/>
      </c>
      <c r="W424" t="str">
        <f t="shared" si="122"/>
        <v xml:space="preserve">              </v>
      </c>
    </row>
    <row r="425" spans="1:23" customFormat="1" hidden="1">
      <c r="A425" t="b">
        <f t="shared" si="121"/>
        <v>0</v>
      </c>
      <c r="B425">
        <f t="shared" si="123"/>
        <v>424</v>
      </c>
      <c r="C425" t="s">
        <v>385</v>
      </c>
      <c r="D425" t="s">
        <v>422</v>
      </c>
      <c r="E425">
        <f t="shared" si="140"/>
        <v>33</v>
      </c>
      <c r="G425">
        <f t="shared" si="124"/>
        <v>4</v>
      </c>
      <c r="H425" t="str">
        <f t="shared" si="125"/>
        <v/>
      </c>
      <c r="I425" t="str">
        <f t="shared" si="126"/>
        <v/>
      </c>
      <c r="J425" t="str">
        <f t="shared" si="127"/>
        <v/>
      </c>
      <c r="K425" t="str">
        <f t="shared" si="128"/>
        <v/>
      </c>
      <c r="L425" t="str">
        <f t="shared" si="129"/>
        <v/>
      </c>
      <c r="M425" t="str">
        <f t="shared" si="130"/>
        <v/>
      </c>
      <c r="N425" t="str">
        <f t="shared" si="131"/>
        <v/>
      </c>
      <c r="O425" t="str">
        <f t="shared" si="132"/>
        <v/>
      </c>
      <c r="P425" t="str">
        <f t="shared" si="133"/>
        <v/>
      </c>
      <c r="Q425" t="str">
        <f t="shared" si="134"/>
        <v/>
      </c>
      <c r="R425" t="str">
        <f t="shared" si="135"/>
        <v/>
      </c>
      <c r="S425" t="str">
        <f t="shared" si="136"/>
        <v/>
      </c>
      <c r="T425" t="str">
        <f t="shared" si="137"/>
        <v/>
      </c>
      <c r="U425" t="str">
        <f t="shared" si="138"/>
        <v/>
      </c>
      <c r="V425" t="str">
        <f t="shared" si="139"/>
        <v/>
      </c>
      <c r="W425" t="str">
        <f t="shared" si="122"/>
        <v xml:space="preserve">              </v>
      </c>
    </row>
    <row r="426" spans="1:23" customFormat="1" hidden="1">
      <c r="A426" t="b">
        <f t="shared" si="121"/>
        <v>0</v>
      </c>
      <c r="B426">
        <f t="shared" si="123"/>
        <v>425</v>
      </c>
      <c r="C426" t="s">
        <v>385</v>
      </c>
      <c r="D426" t="s">
        <v>423</v>
      </c>
      <c r="E426">
        <f t="shared" si="140"/>
        <v>11</v>
      </c>
      <c r="G426">
        <f t="shared" si="124"/>
        <v>5</v>
      </c>
      <c r="H426" t="str">
        <f t="shared" si="125"/>
        <v/>
      </c>
      <c r="I426" t="str">
        <f t="shared" si="126"/>
        <v/>
      </c>
      <c r="J426" t="str">
        <f t="shared" si="127"/>
        <v/>
      </c>
      <c r="K426" t="str">
        <f t="shared" si="128"/>
        <v/>
      </c>
      <c r="L426" t="str">
        <f t="shared" si="129"/>
        <v/>
      </c>
      <c r="M426" t="str">
        <f t="shared" si="130"/>
        <v/>
      </c>
      <c r="N426" t="str">
        <f t="shared" si="131"/>
        <v/>
      </c>
      <c r="O426" t="str">
        <f t="shared" si="132"/>
        <v/>
      </c>
      <c r="P426" t="str">
        <f t="shared" si="133"/>
        <v/>
      </c>
      <c r="Q426" t="str">
        <f t="shared" si="134"/>
        <v/>
      </c>
      <c r="R426" t="str">
        <f t="shared" si="135"/>
        <v/>
      </c>
      <c r="S426" t="str">
        <f t="shared" si="136"/>
        <v/>
      </c>
      <c r="T426" t="str">
        <f t="shared" si="137"/>
        <v/>
      </c>
      <c r="U426" t="str">
        <f t="shared" si="138"/>
        <v/>
      </c>
      <c r="V426" t="str">
        <f t="shared" si="139"/>
        <v/>
      </c>
      <c r="W426" t="str">
        <f t="shared" si="122"/>
        <v xml:space="preserve">              </v>
      </c>
    </row>
    <row r="427" spans="1:23" customFormat="1">
      <c r="A427" t="b">
        <f t="shared" si="121"/>
        <v>0</v>
      </c>
      <c r="B427">
        <f t="shared" si="123"/>
        <v>426</v>
      </c>
      <c r="C427" t="s">
        <v>385</v>
      </c>
      <c r="D427" t="s">
        <v>424</v>
      </c>
      <c r="E427">
        <f t="shared" si="140"/>
        <v>1576</v>
      </c>
      <c r="G427">
        <f t="shared" si="124"/>
        <v>6</v>
      </c>
      <c r="H427" t="str">
        <f t="shared" si="125"/>
        <v/>
      </c>
      <c r="I427" t="str">
        <f t="shared" si="126"/>
        <v/>
      </c>
      <c r="J427" t="str">
        <f t="shared" si="127"/>
        <v/>
      </c>
      <c r="K427" t="str">
        <f t="shared" si="128"/>
        <v/>
      </c>
      <c r="L427" t="str">
        <f t="shared" si="129"/>
        <v/>
      </c>
      <c r="M427" t="str">
        <f t="shared" si="130"/>
        <v/>
      </c>
      <c r="N427" t="str">
        <f t="shared" si="131"/>
        <v/>
      </c>
      <c r="O427" t="str">
        <f t="shared" si="132"/>
        <v/>
      </c>
      <c r="P427" t="str">
        <f t="shared" si="133"/>
        <v/>
      </c>
      <c r="Q427" t="str">
        <f t="shared" si="134"/>
        <v/>
      </c>
      <c r="R427" t="str">
        <f t="shared" si="135"/>
        <v/>
      </c>
      <c r="S427" t="str">
        <f t="shared" si="136"/>
        <v/>
      </c>
      <c r="T427" t="str">
        <f t="shared" si="137"/>
        <v/>
      </c>
      <c r="U427" t="str">
        <f t="shared" si="138"/>
        <v/>
      </c>
      <c r="V427" t="str">
        <f t="shared" si="139"/>
        <v/>
      </c>
      <c r="W427" t="str">
        <f t="shared" si="122"/>
        <v xml:space="preserve">              </v>
      </c>
    </row>
    <row r="428" spans="1:23" hidden="1">
      <c r="A428" s="71" t="b">
        <f t="shared" si="121"/>
        <v>0</v>
      </c>
      <c r="B428" s="71">
        <f t="shared" si="123"/>
        <v>427</v>
      </c>
      <c r="C428" s="71" t="s">
        <v>385</v>
      </c>
      <c r="D428" s="71" t="s">
        <v>425</v>
      </c>
      <c r="E428">
        <f t="shared" si="140"/>
        <v>10</v>
      </c>
      <c r="F428">
        <v>1</v>
      </c>
      <c r="G428">
        <f t="shared" si="124"/>
        <v>1</v>
      </c>
      <c r="H428" t="str">
        <f t="shared" si="125"/>
        <v>Interviews</v>
      </c>
      <c r="I428" t="str">
        <f t="shared" si="126"/>
        <v>A requirements collection method used to</v>
      </c>
      <c r="J428" t="str">
        <f t="shared" si="127"/>
        <v>elicit requirements from stakeholders in a</v>
      </c>
      <c r="K428" t="str">
        <f t="shared" si="128"/>
        <v>one-on-one conversation.</v>
      </c>
      <c r="L428" t="str">
        <f t="shared" si="129"/>
        <v/>
      </c>
      <c r="M428" t="str">
        <f t="shared" si="130"/>
        <v/>
      </c>
      <c r="N428" t="str">
        <f t="shared" si="131"/>
        <v/>
      </c>
      <c r="O428" t="str">
        <f t="shared" si="132"/>
        <v/>
      </c>
      <c r="P428" t="str">
        <f t="shared" si="133"/>
        <v/>
      </c>
      <c r="Q428" t="str">
        <f t="shared" si="134"/>
        <v/>
      </c>
      <c r="R428" t="str">
        <f t="shared" si="135"/>
        <v/>
      </c>
      <c r="S428" t="str">
        <f t="shared" si="136"/>
        <v/>
      </c>
      <c r="T428" t="str">
        <f t="shared" si="137"/>
        <v/>
      </c>
      <c r="U428" t="str">
        <f t="shared" si="138"/>
        <v/>
      </c>
      <c r="V428" t="str">
        <f t="shared" si="139"/>
        <v/>
      </c>
      <c r="W428" s="71" t="str">
        <f>CONCATENATE(H428," ",I428," ",J428," ",K428," ",L428," ",M428," ",N428," ",O428," ",P428," ",Q428," ",R428," ",S428," ",T428," ",U428," ",V428)</f>
        <v xml:space="preserve">Interviews A requirements collection method used to elicit requirements from stakeholders in a one-on-one conversation.           </v>
      </c>
    </row>
    <row r="429" spans="1:23" customFormat="1" hidden="1">
      <c r="A429" t="b">
        <f t="shared" si="121"/>
        <v>0</v>
      </c>
      <c r="B429">
        <f t="shared" si="123"/>
        <v>428</v>
      </c>
      <c r="C429" t="s">
        <v>385</v>
      </c>
      <c r="D429" t="s">
        <v>426</v>
      </c>
      <c r="E429">
        <f t="shared" si="140"/>
        <v>40</v>
      </c>
      <c r="G429">
        <f t="shared" si="124"/>
        <v>2</v>
      </c>
      <c r="H429" t="str">
        <f t="shared" si="125"/>
        <v/>
      </c>
      <c r="I429" t="str">
        <f t="shared" si="126"/>
        <v/>
      </c>
      <c r="J429" t="str">
        <f t="shared" si="127"/>
        <v/>
      </c>
      <c r="K429" t="str">
        <f t="shared" si="128"/>
        <v/>
      </c>
      <c r="L429" t="str">
        <f t="shared" si="129"/>
        <v/>
      </c>
      <c r="M429" t="str">
        <f t="shared" si="130"/>
        <v/>
      </c>
      <c r="N429" t="str">
        <f t="shared" si="131"/>
        <v/>
      </c>
      <c r="O429" t="str">
        <f t="shared" si="132"/>
        <v/>
      </c>
      <c r="P429" t="str">
        <f t="shared" si="133"/>
        <v/>
      </c>
      <c r="Q429" t="str">
        <f t="shared" si="134"/>
        <v/>
      </c>
      <c r="R429" t="str">
        <f t="shared" si="135"/>
        <v/>
      </c>
      <c r="S429" t="str">
        <f t="shared" si="136"/>
        <v/>
      </c>
      <c r="T429" t="str">
        <f t="shared" si="137"/>
        <v/>
      </c>
      <c r="U429" t="str">
        <f t="shared" si="138"/>
        <v/>
      </c>
      <c r="V429" t="str">
        <f t="shared" si="139"/>
        <v/>
      </c>
      <c r="W429" t="str">
        <f t="shared" si="122"/>
        <v xml:space="preserve">              </v>
      </c>
    </row>
    <row r="430" spans="1:23" customFormat="1" hidden="1">
      <c r="A430" t="b">
        <f t="shared" si="121"/>
        <v>0</v>
      </c>
      <c r="B430">
        <f t="shared" si="123"/>
        <v>429</v>
      </c>
      <c r="C430" t="s">
        <v>385</v>
      </c>
      <c r="D430" t="s">
        <v>427</v>
      </c>
      <c r="E430">
        <f t="shared" si="140"/>
        <v>42</v>
      </c>
      <c r="G430">
        <f t="shared" si="124"/>
        <v>3</v>
      </c>
      <c r="H430" t="str">
        <f t="shared" si="125"/>
        <v/>
      </c>
      <c r="I430" t="str">
        <f t="shared" si="126"/>
        <v/>
      </c>
      <c r="J430" t="str">
        <f t="shared" si="127"/>
        <v/>
      </c>
      <c r="K430" t="str">
        <f t="shared" si="128"/>
        <v/>
      </c>
      <c r="L430" t="str">
        <f t="shared" si="129"/>
        <v/>
      </c>
      <c r="M430" t="str">
        <f t="shared" si="130"/>
        <v/>
      </c>
      <c r="N430" t="str">
        <f t="shared" si="131"/>
        <v/>
      </c>
      <c r="O430" t="str">
        <f t="shared" si="132"/>
        <v/>
      </c>
      <c r="P430" t="str">
        <f t="shared" si="133"/>
        <v/>
      </c>
      <c r="Q430" t="str">
        <f t="shared" si="134"/>
        <v/>
      </c>
      <c r="R430" t="str">
        <f t="shared" si="135"/>
        <v/>
      </c>
      <c r="S430" t="str">
        <f t="shared" si="136"/>
        <v/>
      </c>
      <c r="T430" t="str">
        <f t="shared" si="137"/>
        <v/>
      </c>
      <c r="U430" t="str">
        <f t="shared" si="138"/>
        <v/>
      </c>
      <c r="V430" t="str">
        <f t="shared" si="139"/>
        <v/>
      </c>
      <c r="W430" t="str">
        <f t="shared" si="122"/>
        <v xml:space="preserve">              </v>
      </c>
    </row>
    <row r="431" spans="1:23" customFormat="1" hidden="1">
      <c r="A431" t="b">
        <f t="shared" si="121"/>
        <v>0</v>
      </c>
      <c r="B431">
        <f t="shared" si="123"/>
        <v>430</v>
      </c>
      <c r="C431" t="s">
        <v>385</v>
      </c>
      <c r="D431" t="s">
        <v>428</v>
      </c>
      <c r="E431">
        <f t="shared" si="140"/>
        <v>24</v>
      </c>
      <c r="G431">
        <f t="shared" si="124"/>
        <v>4</v>
      </c>
      <c r="H431" t="str">
        <f t="shared" si="125"/>
        <v/>
      </c>
      <c r="I431" t="str">
        <f t="shared" si="126"/>
        <v/>
      </c>
      <c r="J431" t="str">
        <f t="shared" si="127"/>
        <v/>
      </c>
      <c r="K431" t="str">
        <f t="shared" si="128"/>
        <v/>
      </c>
      <c r="L431" t="str">
        <f t="shared" si="129"/>
        <v/>
      </c>
      <c r="M431" t="str">
        <f t="shared" si="130"/>
        <v/>
      </c>
      <c r="N431" t="str">
        <f t="shared" si="131"/>
        <v/>
      </c>
      <c r="O431" t="str">
        <f t="shared" si="132"/>
        <v/>
      </c>
      <c r="P431" t="str">
        <f t="shared" si="133"/>
        <v/>
      </c>
      <c r="Q431" t="str">
        <f t="shared" si="134"/>
        <v/>
      </c>
      <c r="R431" t="str">
        <f t="shared" si="135"/>
        <v/>
      </c>
      <c r="S431" t="str">
        <f t="shared" si="136"/>
        <v/>
      </c>
      <c r="T431" t="str">
        <f t="shared" si="137"/>
        <v/>
      </c>
      <c r="U431" t="str">
        <f t="shared" si="138"/>
        <v/>
      </c>
      <c r="V431" t="str">
        <f t="shared" si="139"/>
        <v/>
      </c>
      <c r="W431" t="str">
        <f t="shared" si="122"/>
        <v xml:space="preserve">              </v>
      </c>
    </row>
    <row r="432" spans="1:23" hidden="1">
      <c r="A432" s="71" t="b">
        <f t="shared" si="121"/>
        <v>0</v>
      </c>
      <c r="B432" s="71">
        <f t="shared" si="123"/>
        <v>431</v>
      </c>
      <c r="C432" s="71" t="s">
        <v>385</v>
      </c>
      <c r="D432" s="71" t="s">
        <v>429</v>
      </c>
      <c r="E432">
        <f t="shared" si="140"/>
        <v>8</v>
      </c>
      <c r="F432">
        <v>1</v>
      </c>
      <c r="G432">
        <f t="shared" si="124"/>
        <v>1</v>
      </c>
      <c r="H432" t="str">
        <f t="shared" si="125"/>
        <v>Majority</v>
      </c>
      <c r="I432" t="str">
        <f t="shared" si="126"/>
        <v>A group decision method where more</v>
      </c>
      <c r="J432" t="str">
        <f t="shared" si="127"/>
        <v>than 50 percent of the group must be in</v>
      </c>
      <c r="K432" t="str">
        <f t="shared" si="128"/>
        <v>agreement.</v>
      </c>
      <c r="L432" t="str">
        <f t="shared" si="129"/>
        <v/>
      </c>
      <c r="M432" t="str">
        <f t="shared" si="130"/>
        <v/>
      </c>
      <c r="N432" t="str">
        <f t="shared" si="131"/>
        <v/>
      </c>
      <c r="O432" t="str">
        <f t="shared" si="132"/>
        <v/>
      </c>
      <c r="P432" t="str">
        <f t="shared" si="133"/>
        <v/>
      </c>
      <c r="Q432" t="str">
        <f t="shared" si="134"/>
        <v/>
      </c>
      <c r="R432" t="str">
        <f t="shared" si="135"/>
        <v/>
      </c>
      <c r="S432" t="str">
        <f t="shared" si="136"/>
        <v/>
      </c>
      <c r="T432" t="str">
        <f t="shared" si="137"/>
        <v/>
      </c>
      <c r="U432" t="str">
        <f t="shared" si="138"/>
        <v/>
      </c>
      <c r="V432" t="str">
        <f t="shared" si="139"/>
        <v/>
      </c>
      <c r="W432" s="71" t="str">
        <f>CONCATENATE(H432," ",I432," ",J432," ",K432," ",L432," ",M432," ",N432," ",O432," ",P432," ",Q432," ",R432," ",S432," ",T432," ",U432," ",V432)</f>
        <v xml:space="preserve">Majority A group decision method where more than 50 percent of the group must be in agreement.           </v>
      </c>
    </row>
    <row r="433" spans="1:23" customFormat="1" hidden="1">
      <c r="A433" t="b">
        <f t="shared" si="121"/>
        <v>0</v>
      </c>
      <c r="B433">
        <f t="shared" si="123"/>
        <v>432</v>
      </c>
      <c r="C433" t="s">
        <v>385</v>
      </c>
      <c r="D433" t="s">
        <v>430</v>
      </c>
      <c r="E433">
        <f t="shared" si="140"/>
        <v>34</v>
      </c>
      <c r="G433">
        <f t="shared" si="124"/>
        <v>2</v>
      </c>
      <c r="H433" t="str">
        <f t="shared" si="125"/>
        <v/>
      </c>
      <c r="I433" t="str">
        <f t="shared" si="126"/>
        <v/>
      </c>
      <c r="J433" t="str">
        <f t="shared" si="127"/>
        <v/>
      </c>
      <c r="K433" t="str">
        <f t="shared" si="128"/>
        <v/>
      </c>
      <c r="L433" t="str">
        <f t="shared" si="129"/>
        <v/>
      </c>
      <c r="M433" t="str">
        <f t="shared" si="130"/>
        <v/>
      </c>
      <c r="N433" t="str">
        <f t="shared" si="131"/>
        <v/>
      </c>
      <c r="O433" t="str">
        <f t="shared" si="132"/>
        <v/>
      </c>
      <c r="P433" t="str">
        <f t="shared" si="133"/>
        <v/>
      </c>
      <c r="Q433" t="str">
        <f t="shared" si="134"/>
        <v/>
      </c>
      <c r="R433" t="str">
        <f t="shared" si="135"/>
        <v/>
      </c>
      <c r="S433" t="str">
        <f t="shared" si="136"/>
        <v/>
      </c>
      <c r="T433" t="str">
        <f t="shared" si="137"/>
        <v/>
      </c>
      <c r="U433" t="str">
        <f t="shared" si="138"/>
        <v/>
      </c>
      <c r="V433" t="str">
        <f t="shared" si="139"/>
        <v/>
      </c>
      <c r="W433" t="str">
        <f t="shared" si="122"/>
        <v xml:space="preserve">              </v>
      </c>
    </row>
    <row r="434" spans="1:23" customFormat="1" hidden="1">
      <c r="A434" t="b">
        <f t="shared" si="121"/>
        <v>0</v>
      </c>
      <c r="B434">
        <f t="shared" si="123"/>
        <v>433</v>
      </c>
      <c r="C434" t="s">
        <v>385</v>
      </c>
      <c r="D434" t="s">
        <v>431</v>
      </c>
      <c r="E434">
        <f t="shared" si="140"/>
        <v>39</v>
      </c>
      <c r="G434">
        <f t="shared" si="124"/>
        <v>3</v>
      </c>
      <c r="H434" t="str">
        <f t="shared" si="125"/>
        <v/>
      </c>
      <c r="I434" t="str">
        <f t="shared" si="126"/>
        <v/>
      </c>
      <c r="J434" t="str">
        <f t="shared" si="127"/>
        <v/>
      </c>
      <c r="K434" t="str">
        <f t="shared" si="128"/>
        <v/>
      </c>
      <c r="L434" t="str">
        <f t="shared" si="129"/>
        <v/>
      </c>
      <c r="M434" t="str">
        <f t="shared" si="130"/>
        <v/>
      </c>
      <c r="N434" t="str">
        <f t="shared" si="131"/>
        <v/>
      </c>
      <c r="O434" t="str">
        <f t="shared" si="132"/>
        <v/>
      </c>
      <c r="P434" t="str">
        <f t="shared" si="133"/>
        <v/>
      </c>
      <c r="Q434" t="str">
        <f t="shared" si="134"/>
        <v/>
      </c>
      <c r="R434" t="str">
        <f t="shared" si="135"/>
        <v/>
      </c>
      <c r="S434" t="str">
        <f t="shared" si="136"/>
        <v/>
      </c>
      <c r="T434" t="str">
        <f t="shared" si="137"/>
        <v/>
      </c>
      <c r="U434" t="str">
        <f t="shared" si="138"/>
        <v/>
      </c>
      <c r="V434" t="str">
        <f t="shared" si="139"/>
        <v/>
      </c>
      <c r="W434" t="str">
        <f t="shared" si="122"/>
        <v xml:space="preserve">              </v>
      </c>
    </row>
    <row r="435" spans="1:23" customFormat="1" hidden="1">
      <c r="A435" t="b">
        <f t="shared" si="121"/>
        <v>0</v>
      </c>
      <c r="B435">
        <f t="shared" si="123"/>
        <v>434</v>
      </c>
      <c r="C435" t="s">
        <v>385</v>
      </c>
      <c r="D435" t="s">
        <v>432</v>
      </c>
      <c r="E435">
        <f t="shared" si="140"/>
        <v>10</v>
      </c>
      <c r="G435">
        <f t="shared" si="124"/>
        <v>4</v>
      </c>
      <c r="H435" t="str">
        <f t="shared" si="125"/>
        <v/>
      </c>
      <c r="I435" t="str">
        <f t="shared" si="126"/>
        <v/>
      </c>
      <c r="J435" t="str">
        <f t="shared" si="127"/>
        <v/>
      </c>
      <c r="K435" t="str">
        <f t="shared" si="128"/>
        <v/>
      </c>
      <c r="L435" t="str">
        <f t="shared" si="129"/>
        <v/>
      </c>
      <c r="M435" t="str">
        <f t="shared" si="130"/>
        <v/>
      </c>
      <c r="N435" t="str">
        <f t="shared" si="131"/>
        <v/>
      </c>
      <c r="O435" t="str">
        <f t="shared" si="132"/>
        <v/>
      </c>
      <c r="P435" t="str">
        <f t="shared" si="133"/>
        <v/>
      </c>
      <c r="Q435" t="str">
        <f t="shared" si="134"/>
        <v/>
      </c>
      <c r="R435" t="str">
        <f t="shared" si="135"/>
        <v/>
      </c>
      <c r="S435" t="str">
        <f t="shared" si="136"/>
        <v/>
      </c>
      <c r="T435" t="str">
        <f t="shared" si="137"/>
        <v/>
      </c>
      <c r="U435" t="str">
        <f t="shared" si="138"/>
        <v/>
      </c>
      <c r="V435" t="str">
        <f t="shared" si="139"/>
        <v/>
      </c>
      <c r="W435" t="str">
        <f t="shared" si="122"/>
        <v xml:space="preserve">              </v>
      </c>
    </row>
    <row r="436" spans="1:23" hidden="1">
      <c r="A436" s="71" t="b">
        <f t="shared" si="121"/>
        <v>0</v>
      </c>
      <c r="B436" s="71">
        <f t="shared" si="123"/>
        <v>435</v>
      </c>
      <c r="C436" s="71" t="s">
        <v>385</v>
      </c>
      <c r="D436" s="71" t="s">
        <v>433</v>
      </c>
      <c r="E436">
        <f t="shared" si="140"/>
        <v>12</v>
      </c>
      <c r="F436">
        <v>1</v>
      </c>
      <c r="G436">
        <f t="shared" si="124"/>
        <v>1</v>
      </c>
      <c r="H436" t="str">
        <f t="shared" si="125"/>
        <v>Mind mapping</v>
      </c>
      <c r="I436" t="str">
        <f t="shared" si="126"/>
        <v>This approach maps ideas to show the</v>
      </c>
      <c r="J436" t="str">
        <f t="shared" si="127"/>
        <v>relationship among requirements and the</v>
      </c>
      <c r="K436" t="str">
        <f t="shared" si="128"/>
        <v>differences between requirements. The</v>
      </c>
      <c r="L436" t="str">
        <f t="shared" si="129"/>
        <v>map can be reviewed to identify new</v>
      </c>
      <c r="M436" t="str">
        <f t="shared" si="130"/>
        <v>solutions or to rank the identified</v>
      </c>
      <c r="N436" t="str">
        <f t="shared" si="131"/>
        <v>requirements.</v>
      </c>
      <c r="O436" t="str">
        <f t="shared" si="132"/>
        <v/>
      </c>
      <c r="P436" t="str">
        <f t="shared" si="133"/>
        <v/>
      </c>
      <c r="Q436" t="str">
        <f t="shared" si="134"/>
        <v/>
      </c>
      <c r="R436" t="str">
        <f t="shared" si="135"/>
        <v/>
      </c>
      <c r="S436" t="str">
        <f t="shared" si="136"/>
        <v/>
      </c>
      <c r="T436" t="str">
        <f t="shared" si="137"/>
        <v/>
      </c>
      <c r="U436" t="str">
        <f t="shared" si="138"/>
        <v/>
      </c>
      <c r="V436" t="str">
        <f t="shared" si="139"/>
        <v/>
      </c>
      <c r="W436" s="71" t="str">
        <f>CONCATENATE(H436," ",I436," ",J436," ",K436," ",L436," ",M436," ",N436," ",O436," ",P436," ",Q436," ",R436," ",S436," ",T436," ",U436," ",V436)</f>
        <v xml:space="preserve">Mind mapping This approach maps ideas to show the relationship among requirements and the differences between requirements. The map can be reviewed to identify new solutions or to rank the identified requirements.        </v>
      </c>
    </row>
    <row r="437" spans="1:23" customFormat="1" hidden="1">
      <c r="A437" t="b">
        <f t="shared" si="121"/>
        <v>0</v>
      </c>
      <c r="B437">
        <f t="shared" si="123"/>
        <v>436</v>
      </c>
      <c r="C437" t="s">
        <v>385</v>
      </c>
      <c r="D437" t="s">
        <v>434</v>
      </c>
      <c r="E437">
        <f t="shared" si="140"/>
        <v>36</v>
      </c>
      <c r="G437">
        <f t="shared" si="124"/>
        <v>2</v>
      </c>
      <c r="H437" t="str">
        <f t="shared" si="125"/>
        <v/>
      </c>
      <c r="I437" t="str">
        <f t="shared" si="126"/>
        <v/>
      </c>
      <c r="J437" t="str">
        <f t="shared" si="127"/>
        <v/>
      </c>
      <c r="K437" t="str">
        <f t="shared" si="128"/>
        <v/>
      </c>
      <c r="L437" t="str">
        <f t="shared" si="129"/>
        <v/>
      </c>
      <c r="M437" t="str">
        <f t="shared" si="130"/>
        <v/>
      </c>
      <c r="N437" t="str">
        <f t="shared" si="131"/>
        <v/>
      </c>
      <c r="O437" t="str">
        <f t="shared" si="132"/>
        <v/>
      </c>
      <c r="P437" t="str">
        <f t="shared" si="133"/>
        <v/>
      </c>
      <c r="Q437" t="str">
        <f t="shared" si="134"/>
        <v/>
      </c>
      <c r="R437" t="str">
        <f t="shared" si="135"/>
        <v/>
      </c>
      <c r="S437" t="str">
        <f t="shared" si="136"/>
        <v/>
      </c>
      <c r="T437" t="str">
        <f t="shared" si="137"/>
        <v/>
      </c>
      <c r="U437" t="str">
        <f t="shared" si="138"/>
        <v/>
      </c>
      <c r="V437" t="str">
        <f t="shared" si="139"/>
        <v/>
      </c>
      <c r="W437" t="str">
        <f t="shared" si="122"/>
        <v xml:space="preserve">              </v>
      </c>
    </row>
    <row r="438" spans="1:23" customFormat="1" hidden="1">
      <c r="A438" t="b">
        <f t="shared" si="121"/>
        <v>0</v>
      </c>
      <c r="B438">
        <f t="shared" si="123"/>
        <v>437</v>
      </c>
      <c r="C438" t="s">
        <v>385</v>
      </c>
      <c r="D438" t="s">
        <v>435</v>
      </c>
      <c r="E438">
        <f t="shared" si="140"/>
        <v>39</v>
      </c>
      <c r="G438">
        <f t="shared" si="124"/>
        <v>3</v>
      </c>
      <c r="H438" t="str">
        <f t="shared" si="125"/>
        <v/>
      </c>
      <c r="I438" t="str">
        <f t="shared" si="126"/>
        <v/>
      </c>
      <c r="J438" t="str">
        <f t="shared" si="127"/>
        <v/>
      </c>
      <c r="K438" t="str">
        <f t="shared" si="128"/>
        <v/>
      </c>
      <c r="L438" t="str">
        <f t="shared" si="129"/>
        <v/>
      </c>
      <c r="M438" t="str">
        <f t="shared" si="130"/>
        <v/>
      </c>
      <c r="N438" t="str">
        <f t="shared" si="131"/>
        <v/>
      </c>
      <c r="O438" t="str">
        <f t="shared" si="132"/>
        <v/>
      </c>
      <c r="P438" t="str">
        <f t="shared" si="133"/>
        <v/>
      </c>
      <c r="Q438" t="str">
        <f t="shared" si="134"/>
        <v/>
      </c>
      <c r="R438" t="str">
        <f t="shared" si="135"/>
        <v/>
      </c>
      <c r="S438" t="str">
        <f t="shared" si="136"/>
        <v/>
      </c>
      <c r="T438" t="str">
        <f t="shared" si="137"/>
        <v/>
      </c>
      <c r="U438" t="str">
        <f t="shared" si="138"/>
        <v/>
      </c>
      <c r="V438" t="str">
        <f t="shared" si="139"/>
        <v/>
      </c>
      <c r="W438" t="str">
        <f t="shared" si="122"/>
        <v xml:space="preserve">              </v>
      </c>
    </row>
    <row r="439" spans="1:23" customFormat="1" hidden="1">
      <c r="A439" t="b">
        <f t="shared" si="121"/>
        <v>0</v>
      </c>
      <c r="B439">
        <f t="shared" si="123"/>
        <v>438</v>
      </c>
      <c r="C439" t="s">
        <v>385</v>
      </c>
      <c r="D439" t="s">
        <v>436</v>
      </c>
      <c r="E439">
        <f t="shared" si="140"/>
        <v>37</v>
      </c>
      <c r="G439">
        <f t="shared" si="124"/>
        <v>4</v>
      </c>
      <c r="H439" t="str">
        <f t="shared" si="125"/>
        <v/>
      </c>
      <c r="I439" t="str">
        <f t="shared" si="126"/>
        <v/>
      </c>
      <c r="J439" t="str">
        <f t="shared" si="127"/>
        <v/>
      </c>
      <c r="K439" t="str">
        <f t="shared" si="128"/>
        <v/>
      </c>
      <c r="L439" t="str">
        <f t="shared" si="129"/>
        <v/>
      </c>
      <c r="M439" t="str">
        <f t="shared" si="130"/>
        <v/>
      </c>
      <c r="N439" t="str">
        <f t="shared" si="131"/>
        <v/>
      </c>
      <c r="O439" t="str">
        <f t="shared" si="132"/>
        <v/>
      </c>
      <c r="P439" t="str">
        <f t="shared" si="133"/>
        <v/>
      </c>
      <c r="Q439" t="str">
        <f t="shared" si="134"/>
        <v/>
      </c>
      <c r="R439" t="str">
        <f t="shared" si="135"/>
        <v/>
      </c>
      <c r="S439" t="str">
        <f t="shared" si="136"/>
        <v/>
      </c>
      <c r="T439" t="str">
        <f t="shared" si="137"/>
        <v/>
      </c>
      <c r="U439" t="str">
        <f t="shared" si="138"/>
        <v/>
      </c>
      <c r="V439" t="str">
        <f t="shared" si="139"/>
        <v/>
      </c>
      <c r="W439" t="str">
        <f t="shared" si="122"/>
        <v xml:space="preserve">              </v>
      </c>
    </row>
    <row r="440" spans="1:23" customFormat="1" hidden="1">
      <c r="A440" t="b">
        <f t="shared" si="121"/>
        <v>0</v>
      </c>
      <c r="B440">
        <f t="shared" si="123"/>
        <v>439</v>
      </c>
      <c r="C440" t="s">
        <v>385</v>
      </c>
      <c r="D440" t="s">
        <v>437</v>
      </c>
      <c r="E440">
        <f t="shared" si="140"/>
        <v>35</v>
      </c>
      <c r="G440">
        <f t="shared" si="124"/>
        <v>5</v>
      </c>
      <c r="H440" t="str">
        <f t="shared" si="125"/>
        <v/>
      </c>
      <c r="I440" t="str">
        <f t="shared" si="126"/>
        <v/>
      </c>
      <c r="J440" t="str">
        <f t="shared" si="127"/>
        <v/>
      </c>
      <c r="K440" t="str">
        <f t="shared" si="128"/>
        <v/>
      </c>
      <c r="L440" t="str">
        <f t="shared" si="129"/>
        <v/>
      </c>
      <c r="M440" t="str">
        <f t="shared" si="130"/>
        <v/>
      </c>
      <c r="N440" t="str">
        <f t="shared" si="131"/>
        <v/>
      </c>
      <c r="O440" t="str">
        <f t="shared" si="132"/>
        <v/>
      </c>
      <c r="P440" t="str">
        <f t="shared" si="133"/>
        <v/>
      </c>
      <c r="Q440" t="str">
        <f t="shared" si="134"/>
        <v/>
      </c>
      <c r="R440" t="str">
        <f t="shared" si="135"/>
        <v/>
      </c>
      <c r="S440" t="str">
        <f t="shared" si="136"/>
        <v/>
      </c>
      <c r="T440" t="str">
        <f t="shared" si="137"/>
        <v/>
      </c>
      <c r="U440" t="str">
        <f t="shared" si="138"/>
        <v/>
      </c>
      <c r="V440" t="str">
        <f t="shared" si="139"/>
        <v/>
      </c>
      <c r="W440" t="str">
        <f t="shared" si="122"/>
        <v xml:space="preserve">              </v>
      </c>
    </row>
    <row r="441" spans="1:23" customFormat="1" hidden="1">
      <c r="A441" t="b">
        <f t="shared" si="121"/>
        <v>0</v>
      </c>
      <c r="B441">
        <f t="shared" si="123"/>
        <v>440</v>
      </c>
      <c r="C441" t="s">
        <v>385</v>
      </c>
      <c r="D441" t="s">
        <v>438</v>
      </c>
      <c r="E441">
        <f t="shared" si="140"/>
        <v>35</v>
      </c>
      <c r="G441">
        <f t="shared" si="124"/>
        <v>6</v>
      </c>
      <c r="H441" t="str">
        <f t="shared" si="125"/>
        <v/>
      </c>
      <c r="I441" t="str">
        <f t="shared" si="126"/>
        <v/>
      </c>
      <c r="J441" t="str">
        <f t="shared" si="127"/>
        <v/>
      </c>
      <c r="K441" t="str">
        <f t="shared" si="128"/>
        <v/>
      </c>
      <c r="L441" t="str">
        <f t="shared" si="129"/>
        <v/>
      </c>
      <c r="M441" t="str">
        <f t="shared" si="130"/>
        <v/>
      </c>
      <c r="N441" t="str">
        <f t="shared" si="131"/>
        <v/>
      </c>
      <c r="O441" t="str">
        <f t="shared" si="132"/>
        <v/>
      </c>
      <c r="P441" t="str">
        <f t="shared" si="133"/>
        <v/>
      </c>
      <c r="Q441" t="str">
        <f t="shared" si="134"/>
        <v/>
      </c>
      <c r="R441" t="str">
        <f t="shared" si="135"/>
        <v/>
      </c>
      <c r="S441" t="str">
        <f t="shared" si="136"/>
        <v/>
      </c>
      <c r="T441" t="str">
        <f t="shared" si="137"/>
        <v/>
      </c>
      <c r="U441" t="str">
        <f t="shared" si="138"/>
        <v/>
      </c>
      <c r="V441" t="str">
        <f t="shared" si="139"/>
        <v/>
      </c>
      <c r="W441" t="str">
        <f t="shared" si="122"/>
        <v xml:space="preserve">              </v>
      </c>
    </row>
    <row r="442" spans="1:23" customFormat="1" hidden="1">
      <c r="A442" t="b">
        <f t="shared" si="121"/>
        <v>0</v>
      </c>
      <c r="B442">
        <f t="shared" si="123"/>
        <v>441</v>
      </c>
      <c r="C442" t="s">
        <v>385</v>
      </c>
      <c r="D442" t="s">
        <v>439</v>
      </c>
      <c r="E442">
        <f t="shared" si="140"/>
        <v>13</v>
      </c>
      <c r="G442">
        <f t="shared" si="124"/>
        <v>7</v>
      </c>
      <c r="H442" t="str">
        <f t="shared" si="125"/>
        <v/>
      </c>
      <c r="I442" t="str">
        <f t="shared" si="126"/>
        <v/>
      </c>
      <c r="J442" t="str">
        <f t="shared" si="127"/>
        <v/>
      </c>
      <c r="K442" t="str">
        <f t="shared" si="128"/>
        <v/>
      </c>
      <c r="L442" t="str">
        <f t="shared" si="129"/>
        <v/>
      </c>
      <c r="M442" t="str">
        <f t="shared" si="130"/>
        <v/>
      </c>
      <c r="N442" t="str">
        <f t="shared" si="131"/>
        <v/>
      </c>
      <c r="O442" t="str">
        <f t="shared" si="132"/>
        <v/>
      </c>
      <c r="P442" t="str">
        <f t="shared" si="133"/>
        <v/>
      </c>
      <c r="Q442" t="str">
        <f t="shared" si="134"/>
        <v/>
      </c>
      <c r="R442" t="str">
        <f t="shared" si="135"/>
        <v/>
      </c>
      <c r="S442" t="str">
        <f t="shared" si="136"/>
        <v/>
      </c>
      <c r="T442" t="str">
        <f t="shared" si="137"/>
        <v/>
      </c>
      <c r="U442" t="str">
        <f t="shared" si="138"/>
        <v/>
      </c>
      <c r="V442" t="str">
        <f t="shared" si="139"/>
        <v/>
      </c>
      <c r="W442" t="str">
        <f t="shared" si="122"/>
        <v xml:space="preserve">              </v>
      </c>
    </row>
    <row r="443" spans="1:23" hidden="1">
      <c r="A443" s="71" t="b">
        <f t="shared" si="121"/>
        <v>0</v>
      </c>
      <c r="B443" s="71">
        <f t="shared" si="123"/>
        <v>442</v>
      </c>
      <c r="C443" s="71" t="s">
        <v>385</v>
      </c>
      <c r="D443" s="71" t="s">
        <v>440</v>
      </c>
      <c r="E443">
        <f t="shared" si="140"/>
        <v>23</v>
      </c>
      <c r="F443">
        <v>1</v>
      </c>
      <c r="G443">
        <f t="shared" si="124"/>
        <v>1</v>
      </c>
      <c r="H443" t="str">
        <f t="shared" si="125"/>
        <v>Nominal group technique</v>
      </c>
      <c r="I443" t="str">
        <f t="shared" si="126"/>
        <v>As with brainstorming, participants are</v>
      </c>
      <c r="J443" t="str">
        <f t="shared" si="127"/>
        <v>encouraged to generate as many ideas</v>
      </c>
      <c r="K443" t="str">
        <f t="shared" si="128"/>
        <v>as possible, but the suggested ideas are</v>
      </c>
      <c r="L443" t="str">
        <f t="shared" si="129"/>
        <v>ranked by a voting process.</v>
      </c>
      <c r="M443" t="str">
        <f t="shared" si="130"/>
        <v/>
      </c>
      <c r="N443" t="str">
        <f t="shared" si="131"/>
        <v/>
      </c>
      <c r="O443" t="str">
        <f t="shared" si="132"/>
        <v/>
      </c>
      <c r="P443" t="str">
        <f t="shared" si="133"/>
        <v/>
      </c>
      <c r="Q443" t="str">
        <f t="shared" si="134"/>
        <v/>
      </c>
      <c r="R443" t="str">
        <f t="shared" si="135"/>
        <v/>
      </c>
      <c r="S443" t="str">
        <f t="shared" si="136"/>
        <v/>
      </c>
      <c r="T443" t="str">
        <f t="shared" si="137"/>
        <v/>
      </c>
      <c r="U443" t="str">
        <f t="shared" si="138"/>
        <v/>
      </c>
      <c r="V443" t="str">
        <f t="shared" si="139"/>
        <v/>
      </c>
      <c r="W443" s="71" t="str">
        <f>CONCATENATE(H443," ",I443," ",J443," ",K443," ",L443," ",M443," ",N443," ",O443," ",P443," ",Q443," ",R443," ",S443," ",T443," ",U443," ",V443)</f>
        <v xml:space="preserve">Nominal group technique As with brainstorming, participants are encouraged to generate as many ideas as possible, but the suggested ideas are ranked by a voting process.          </v>
      </c>
    </row>
    <row r="444" spans="1:23" customFormat="1" hidden="1">
      <c r="A444" t="b">
        <f t="shared" si="121"/>
        <v>0</v>
      </c>
      <c r="B444">
        <f t="shared" si="123"/>
        <v>443</v>
      </c>
      <c r="C444" t="s">
        <v>385</v>
      </c>
      <c r="D444" t="s">
        <v>441</v>
      </c>
      <c r="E444">
        <f t="shared" si="140"/>
        <v>39</v>
      </c>
      <c r="G444">
        <f t="shared" si="124"/>
        <v>2</v>
      </c>
      <c r="H444" t="str">
        <f t="shared" si="125"/>
        <v/>
      </c>
      <c r="I444" t="str">
        <f t="shared" si="126"/>
        <v/>
      </c>
      <c r="J444" t="str">
        <f t="shared" si="127"/>
        <v/>
      </c>
      <c r="K444" t="str">
        <f t="shared" si="128"/>
        <v/>
      </c>
      <c r="L444" t="str">
        <f t="shared" si="129"/>
        <v/>
      </c>
      <c r="M444" t="str">
        <f t="shared" si="130"/>
        <v/>
      </c>
      <c r="N444" t="str">
        <f t="shared" si="131"/>
        <v/>
      </c>
      <c r="O444" t="str">
        <f t="shared" si="132"/>
        <v/>
      </c>
      <c r="P444" t="str">
        <f t="shared" si="133"/>
        <v/>
      </c>
      <c r="Q444" t="str">
        <f t="shared" si="134"/>
        <v/>
      </c>
      <c r="R444" t="str">
        <f t="shared" si="135"/>
        <v/>
      </c>
      <c r="S444" t="str">
        <f t="shared" si="136"/>
        <v/>
      </c>
      <c r="T444" t="str">
        <f t="shared" si="137"/>
        <v/>
      </c>
      <c r="U444" t="str">
        <f t="shared" si="138"/>
        <v/>
      </c>
      <c r="V444" t="str">
        <f t="shared" si="139"/>
        <v/>
      </c>
      <c r="W444" t="str">
        <f t="shared" si="122"/>
        <v xml:space="preserve">              </v>
      </c>
    </row>
    <row r="445" spans="1:23" customFormat="1" hidden="1">
      <c r="A445" t="b">
        <f t="shared" si="121"/>
        <v>0</v>
      </c>
      <c r="B445">
        <f t="shared" si="123"/>
        <v>444</v>
      </c>
      <c r="C445" t="s">
        <v>385</v>
      </c>
      <c r="D445" t="s">
        <v>442</v>
      </c>
      <c r="E445">
        <f t="shared" si="140"/>
        <v>36</v>
      </c>
      <c r="G445">
        <f t="shared" si="124"/>
        <v>3</v>
      </c>
      <c r="H445" t="str">
        <f t="shared" si="125"/>
        <v/>
      </c>
      <c r="I445" t="str">
        <f t="shared" si="126"/>
        <v/>
      </c>
      <c r="J445" t="str">
        <f t="shared" si="127"/>
        <v/>
      </c>
      <c r="K445" t="str">
        <f t="shared" si="128"/>
        <v/>
      </c>
      <c r="L445" t="str">
        <f t="shared" si="129"/>
        <v/>
      </c>
      <c r="M445" t="str">
        <f t="shared" si="130"/>
        <v/>
      </c>
      <c r="N445" t="str">
        <f t="shared" si="131"/>
        <v/>
      </c>
      <c r="O445" t="str">
        <f t="shared" si="132"/>
        <v/>
      </c>
      <c r="P445" t="str">
        <f t="shared" si="133"/>
        <v/>
      </c>
      <c r="Q445" t="str">
        <f t="shared" si="134"/>
        <v/>
      </c>
      <c r="R445" t="str">
        <f t="shared" si="135"/>
        <v/>
      </c>
      <c r="S445" t="str">
        <f t="shared" si="136"/>
        <v/>
      </c>
      <c r="T445" t="str">
        <f t="shared" si="137"/>
        <v/>
      </c>
      <c r="U445" t="str">
        <f t="shared" si="138"/>
        <v/>
      </c>
      <c r="V445" t="str">
        <f t="shared" si="139"/>
        <v/>
      </c>
      <c r="W445" t="str">
        <f t="shared" si="122"/>
        <v xml:space="preserve">              </v>
      </c>
    </row>
    <row r="446" spans="1:23" customFormat="1" hidden="1">
      <c r="A446" t="b">
        <f t="shared" si="121"/>
        <v>0</v>
      </c>
      <c r="B446">
        <f t="shared" si="123"/>
        <v>445</v>
      </c>
      <c r="C446" t="s">
        <v>385</v>
      </c>
      <c r="D446" t="s">
        <v>443</v>
      </c>
      <c r="E446">
        <f t="shared" si="140"/>
        <v>40</v>
      </c>
      <c r="G446">
        <f t="shared" si="124"/>
        <v>4</v>
      </c>
      <c r="H446" t="str">
        <f t="shared" si="125"/>
        <v/>
      </c>
      <c r="I446" t="str">
        <f t="shared" si="126"/>
        <v/>
      </c>
      <c r="J446" t="str">
        <f t="shared" si="127"/>
        <v/>
      </c>
      <c r="K446" t="str">
        <f t="shared" si="128"/>
        <v/>
      </c>
      <c r="L446" t="str">
        <f t="shared" si="129"/>
        <v/>
      </c>
      <c r="M446" t="str">
        <f t="shared" si="130"/>
        <v/>
      </c>
      <c r="N446" t="str">
        <f t="shared" si="131"/>
        <v/>
      </c>
      <c r="O446" t="str">
        <f t="shared" si="132"/>
        <v/>
      </c>
      <c r="P446" t="str">
        <f t="shared" si="133"/>
        <v/>
      </c>
      <c r="Q446" t="str">
        <f t="shared" si="134"/>
        <v/>
      </c>
      <c r="R446" t="str">
        <f t="shared" si="135"/>
        <v/>
      </c>
      <c r="S446" t="str">
        <f t="shared" si="136"/>
        <v/>
      </c>
      <c r="T446" t="str">
        <f t="shared" si="137"/>
        <v/>
      </c>
      <c r="U446" t="str">
        <f t="shared" si="138"/>
        <v/>
      </c>
      <c r="V446" t="str">
        <f t="shared" si="139"/>
        <v/>
      </c>
      <c r="W446" t="str">
        <f t="shared" si="122"/>
        <v xml:space="preserve">              </v>
      </c>
    </row>
    <row r="447" spans="1:23" customFormat="1" hidden="1">
      <c r="A447" t="b">
        <f t="shared" si="121"/>
        <v>0</v>
      </c>
      <c r="B447">
        <f t="shared" si="123"/>
        <v>446</v>
      </c>
      <c r="C447" t="s">
        <v>385</v>
      </c>
      <c r="D447" t="s">
        <v>444</v>
      </c>
      <c r="E447">
        <f t="shared" si="140"/>
        <v>27</v>
      </c>
      <c r="G447">
        <f t="shared" si="124"/>
        <v>5</v>
      </c>
      <c r="H447" t="str">
        <f t="shared" si="125"/>
        <v/>
      </c>
      <c r="I447" t="str">
        <f t="shared" si="126"/>
        <v/>
      </c>
      <c r="J447" t="str">
        <f t="shared" si="127"/>
        <v/>
      </c>
      <c r="K447" t="str">
        <f t="shared" si="128"/>
        <v/>
      </c>
      <c r="L447" t="str">
        <f t="shared" si="129"/>
        <v/>
      </c>
      <c r="M447" t="str">
        <f t="shared" si="130"/>
        <v/>
      </c>
      <c r="N447" t="str">
        <f t="shared" si="131"/>
        <v/>
      </c>
      <c r="O447" t="str">
        <f t="shared" si="132"/>
        <v/>
      </c>
      <c r="P447" t="str">
        <f t="shared" si="133"/>
        <v/>
      </c>
      <c r="Q447" t="str">
        <f t="shared" si="134"/>
        <v/>
      </c>
      <c r="R447" t="str">
        <f t="shared" si="135"/>
        <v/>
      </c>
      <c r="S447" t="str">
        <f t="shared" si="136"/>
        <v/>
      </c>
      <c r="T447" t="str">
        <f t="shared" si="137"/>
        <v/>
      </c>
      <c r="U447" t="str">
        <f t="shared" si="138"/>
        <v/>
      </c>
      <c r="V447" t="str">
        <f t="shared" si="139"/>
        <v/>
      </c>
      <c r="W447" t="str">
        <f t="shared" si="122"/>
        <v xml:space="preserve">              </v>
      </c>
    </row>
    <row r="448" spans="1:23" hidden="1">
      <c r="A448" s="71" t="b">
        <f t="shared" si="121"/>
        <v>0</v>
      </c>
      <c r="B448" s="71">
        <f t="shared" si="123"/>
        <v>447</v>
      </c>
      <c r="C448" s="71" t="s">
        <v>385</v>
      </c>
      <c r="D448" s="71" t="s">
        <v>445</v>
      </c>
      <c r="E448">
        <f t="shared" si="140"/>
        <v>19</v>
      </c>
      <c r="F448">
        <v>1</v>
      </c>
      <c r="G448">
        <f t="shared" si="124"/>
        <v>1</v>
      </c>
      <c r="H448" t="str">
        <f t="shared" si="125"/>
        <v>Passive observation</v>
      </c>
      <c r="I448" t="str">
        <f t="shared" si="126"/>
        <v>The observer records information about</v>
      </c>
      <c r="J448" t="str">
        <f t="shared" si="127"/>
        <v>the work being completed without</v>
      </c>
      <c r="K448" t="str">
        <f t="shared" si="128"/>
        <v>interrupting the process; sometimes</v>
      </c>
      <c r="L448" t="str">
        <f t="shared" si="129"/>
        <v>called the invisible observer.</v>
      </c>
      <c r="M448" t="str">
        <f t="shared" si="130"/>
        <v/>
      </c>
      <c r="N448" t="str">
        <f t="shared" si="131"/>
        <v/>
      </c>
      <c r="O448" t="str">
        <f t="shared" si="132"/>
        <v/>
      </c>
      <c r="P448" t="str">
        <f t="shared" si="133"/>
        <v/>
      </c>
      <c r="Q448" t="str">
        <f t="shared" si="134"/>
        <v/>
      </c>
      <c r="R448" t="str">
        <f t="shared" si="135"/>
        <v/>
      </c>
      <c r="S448" t="str">
        <f t="shared" si="136"/>
        <v/>
      </c>
      <c r="T448" t="str">
        <f t="shared" si="137"/>
        <v/>
      </c>
      <c r="U448" t="str">
        <f t="shared" si="138"/>
        <v/>
      </c>
      <c r="V448" t="str">
        <f t="shared" si="139"/>
        <v/>
      </c>
      <c r="W448" s="71" t="str">
        <f>CONCATENATE(H448," ",I448," ",J448," ",K448," ",L448," ",M448," ",N448," ",O448," ",P448," ",Q448," ",R448," ",S448," ",T448," ",U448," ",V448)</f>
        <v xml:space="preserve">Passive observation The observer records information about the work being completed without interrupting the process; sometimes called the invisible observer.          </v>
      </c>
    </row>
    <row r="449" spans="1:23" customFormat="1" hidden="1">
      <c r="A449" t="b">
        <f t="shared" ref="A449:A512" si="141">C449=D449</f>
        <v>0</v>
      </c>
      <c r="B449">
        <f t="shared" si="123"/>
        <v>448</v>
      </c>
      <c r="C449" t="s">
        <v>385</v>
      </c>
      <c r="D449" t="s">
        <v>446</v>
      </c>
      <c r="E449">
        <f t="shared" si="140"/>
        <v>38</v>
      </c>
      <c r="G449">
        <f t="shared" si="124"/>
        <v>2</v>
      </c>
      <c r="H449" t="str">
        <f t="shared" si="125"/>
        <v/>
      </c>
      <c r="I449" t="str">
        <f t="shared" si="126"/>
        <v/>
      </c>
      <c r="J449" t="str">
        <f t="shared" si="127"/>
        <v/>
      </c>
      <c r="K449" t="str">
        <f t="shared" si="128"/>
        <v/>
      </c>
      <c r="L449" t="str">
        <f t="shared" si="129"/>
        <v/>
      </c>
      <c r="M449" t="str">
        <f t="shared" si="130"/>
        <v/>
      </c>
      <c r="N449" t="str">
        <f t="shared" si="131"/>
        <v/>
      </c>
      <c r="O449" t="str">
        <f t="shared" si="132"/>
        <v/>
      </c>
      <c r="P449" t="str">
        <f t="shared" si="133"/>
        <v/>
      </c>
      <c r="Q449" t="str">
        <f t="shared" si="134"/>
        <v/>
      </c>
      <c r="R449" t="str">
        <f t="shared" si="135"/>
        <v/>
      </c>
      <c r="S449" t="str">
        <f t="shared" si="136"/>
        <v/>
      </c>
      <c r="T449" t="str">
        <f t="shared" si="137"/>
        <v/>
      </c>
      <c r="U449" t="str">
        <f t="shared" si="138"/>
        <v/>
      </c>
      <c r="V449" t="str">
        <f t="shared" si="139"/>
        <v/>
      </c>
      <c r="W449" t="str">
        <f t="shared" ref="W449:W512" si="142">CONCATENATE(H449," ",I449," ",J449," ",K449," ",L449," ",M449," ",N449," ",O449," ",P449," ",Q449," ",R449," ",S449," ",T449," ",U449," ",V449)</f>
        <v xml:space="preserve">              </v>
      </c>
    </row>
    <row r="450" spans="1:23" customFormat="1" hidden="1">
      <c r="A450" t="b">
        <f t="shared" si="141"/>
        <v>0</v>
      </c>
      <c r="B450">
        <f t="shared" si="123"/>
        <v>449</v>
      </c>
      <c r="C450" t="s">
        <v>385</v>
      </c>
      <c r="D450" t="s">
        <v>447</v>
      </c>
      <c r="E450">
        <f t="shared" si="140"/>
        <v>32</v>
      </c>
      <c r="G450">
        <f t="shared" si="124"/>
        <v>3</v>
      </c>
      <c r="H450" t="str">
        <f t="shared" si="125"/>
        <v/>
      </c>
      <c r="I450" t="str">
        <f t="shared" si="126"/>
        <v/>
      </c>
      <c r="J450" t="str">
        <f t="shared" si="127"/>
        <v/>
      </c>
      <c r="K450" t="str">
        <f t="shared" si="128"/>
        <v/>
      </c>
      <c r="L450" t="str">
        <f t="shared" si="129"/>
        <v/>
      </c>
      <c r="M450" t="str">
        <f t="shared" si="130"/>
        <v/>
      </c>
      <c r="N450" t="str">
        <f t="shared" si="131"/>
        <v/>
      </c>
      <c r="O450" t="str">
        <f t="shared" si="132"/>
        <v/>
      </c>
      <c r="P450" t="str">
        <f t="shared" si="133"/>
        <v/>
      </c>
      <c r="Q450" t="str">
        <f t="shared" si="134"/>
        <v/>
      </c>
      <c r="R450" t="str">
        <f t="shared" si="135"/>
        <v/>
      </c>
      <c r="S450" t="str">
        <f t="shared" si="136"/>
        <v/>
      </c>
      <c r="T450" t="str">
        <f t="shared" si="137"/>
        <v/>
      </c>
      <c r="U450" t="str">
        <f t="shared" si="138"/>
        <v/>
      </c>
      <c r="V450" t="str">
        <f t="shared" si="139"/>
        <v/>
      </c>
      <c r="W450" t="str">
        <f t="shared" si="142"/>
        <v xml:space="preserve">              </v>
      </c>
    </row>
    <row r="451" spans="1:23" customFormat="1" hidden="1">
      <c r="A451" t="b">
        <f t="shared" si="141"/>
        <v>0</v>
      </c>
      <c r="B451">
        <f t="shared" si="123"/>
        <v>450</v>
      </c>
      <c r="C451" t="s">
        <v>385</v>
      </c>
      <c r="D451" t="s">
        <v>448</v>
      </c>
      <c r="E451">
        <f t="shared" si="140"/>
        <v>35</v>
      </c>
      <c r="G451">
        <f t="shared" si="124"/>
        <v>4</v>
      </c>
      <c r="H451" t="str">
        <f t="shared" si="125"/>
        <v/>
      </c>
      <c r="I451" t="str">
        <f t="shared" si="126"/>
        <v/>
      </c>
      <c r="J451" t="str">
        <f t="shared" si="127"/>
        <v/>
      </c>
      <c r="K451" t="str">
        <f t="shared" si="128"/>
        <v/>
      </c>
      <c r="L451" t="str">
        <f t="shared" si="129"/>
        <v/>
      </c>
      <c r="M451" t="str">
        <f t="shared" si="130"/>
        <v/>
      </c>
      <c r="N451" t="str">
        <f t="shared" si="131"/>
        <v/>
      </c>
      <c r="O451" t="str">
        <f t="shared" si="132"/>
        <v/>
      </c>
      <c r="P451" t="str">
        <f t="shared" si="133"/>
        <v/>
      </c>
      <c r="Q451" t="str">
        <f t="shared" si="134"/>
        <v/>
      </c>
      <c r="R451" t="str">
        <f t="shared" si="135"/>
        <v/>
      </c>
      <c r="S451" t="str">
        <f t="shared" si="136"/>
        <v/>
      </c>
      <c r="T451" t="str">
        <f t="shared" si="137"/>
        <v/>
      </c>
      <c r="U451" t="str">
        <f t="shared" si="138"/>
        <v/>
      </c>
      <c r="V451" t="str">
        <f t="shared" si="139"/>
        <v/>
      </c>
      <c r="W451" t="str">
        <f t="shared" si="142"/>
        <v xml:space="preserve">              </v>
      </c>
    </row>
    <row r="452" spans="1:23" customFormat="1" hidden="1">
      <c r="A452" t="b">
        <f t="shared" si="141"/>
        <v>0</v>
      </c>
      <c r="B452">
        <f t="shared" ref="B452:B515" si="143">B451+1</f>
        <v>451</v>
      </c>
      <c r="C452" t="s">
        <v>385</v>
      </c>
      <c r="D452" t="s">
        <v>449</v>
      </c>
      <c r="E452">
        <f t="shared" si="140"/>
        <v>30</v>
      </c>
      <c r="G452">
        <f t="shared" ref="G452:G515" si="144">IF(F452=1,1,G451+1)</f>
        <v>5</v>
      </c>
      <c r="H452" t="str">
        <f t="shared" ref="H452:H515" si="145">IF($G452=H$1,$D452,"")</f>
        <v/>
      </c>
      <c r="I452" t="str">
        <f t="shared" ref="I452:I515" si="146">IF($G453=I$1,$D453,"")</f>
        <v/>
      </c>
      <c r="J452" t="str">
        <f t="shared" ref="J452:J515" si="147">IF($G454=J$1,$D454,"")</f>
        <v/>
      </c>
      <c r="K452" t="str">
        <f t="shared" ref="K452:K515" si="148">IF($G455=K$1,$D455,"")</f>
        <v/>
      </c>
      <c r="L452" t="str">
        <f t="shared" ref="L452:L515" si="149">IF($G456=L$1,$D456,"")</f>
        <v/>
      </c>
      <c r="M452" t="str">
        <f t="shared" ref="M452:M515" si="150">IF($G457=M$1,$D457,"")</f>
        <v/>
      </c>
      <c r="N452" t="str">
        <f t="shared" ref="N452:N515" si="151">IF($G458=N$1,$D458,"")</f>
        <v/>
      </c>
      <c r="O452" t="str">
        <f t="shared" ref="O452:O515" si="152">IF($G459=O$1,$D459,"")</f>
        <v/>
      </c>
      <c r="P452" t="str">
        <f t="shared" ref="P452:P515" si="153">IF($G460=P$1,$D460,"")</f>
        <v/>
      </c>
      <c r="Q452" t="str">
        <f t="shared" ref="Q452:Q515" si="154">IF($G461=Q$1,$D461,"")</f>
        <v/>
      </c>
      <c r="R452" t="str">
        <f t="shared" ref="R452:R515" si="155">IF($G462=R$1,$D462,"")</f>
        <v/>
      </c>
      <c r="S452" t="str">
        <f t="shared" ref="S452:S515" si="156">IF($G463=S$1,$D463,"")</f>
        <v/>
      </c>
      <c r="T452" t="str">
        <f t="shared" ref="T452:T515" si="157">IF($G464=T$1,$D464,"")</f>
        <v/>
      </c>
      <c r="U452" t="str">
        <f t="shared" ref="U452:U515" si="158">IF($G465=U$1,$D465,"")</f>
        <v/>
      </c>
      <c r="V452" t="str">
        <f t="shared" ref="V452:V515" si="159">IF($G466=V$1,$D466,"")</f>
        <v/>
      </c>
      <c r="W452" t="str">
        <f t="shared" si="142"/>
        <v xml:space="preserve">              </v>
      </c>
    </row>
    <row r="453" spans="1:23" hidden="1">
      <c r="A453" s="71" t="b">
        <f t="shared" si="141"/>
        <v>0</v>
      </c>
      <c r="B453" s="71">
        <f t="shared" si="143"/>
        <v>452</v>
      </c>
      <c r="C453" s="71" t="s">
        <v>385</v>
      </c>
      <c r="D453" s="71" t="s">
        <v>450</v>
      </c>
      <c r="E453">
        <f t="shared" si="140"/>
        <v>9</v>
      </c>
      <c r="F453">
        <v>1</v>
      </c>
      <c r="G453">
        <f t="shared" si="144"/>
        <v>1</v>
      </c>
      <c r="H453" t="str">
        <f t="shared" si="145"/>
        <v>Plurality</v>
      </c>
      <c r="I453" t="str">
        <f t="shared" si="146"/>
        <v>A group-decision method where the</v>
      </c>
      <c r="J453" t="str">
        <f t="shared" si="147"/>
        <v>largest part of the group makes the</v>
      </c>
      <c r="K453" t="str">
        <f t="shared" si="148"/>
        <v>decision when it’s less than 50 percent of</v>
      </c>
      <c r="L453" t="str">
        <f t="shared" si="149"/>
        <v>the total. (Consider three or four factions</v>
      </c>
      <c r="M453" t="str">
        <f t="shared" si="150"/>
        <v>within the stakeholders.)</v>
      </c>
      <c r="N453" t="str">
        <f t="shared" si="151"/>
        <v/>
      </c>
      <c r="O453" t="str">
        <f t="shared" si="152"/>
        <v/>
      </c>
      <c r="P453" t="str">
        <f t="shared" si="153"/>
        <v/>
      </c>
      <c r="Q453" t="str">
        <f t="shared" si="154"/>
        <v/>
      </c>
      <c r="R453" t="str">
        <f t="shared" si="155"/>
        <v/>
      </c>
      <c r="S453" t="str">
        <f t="shared" si="156"/>
        <v/>
      </c>
      <c r="T453" t="str">
        <f t="shared" si="157"/>
        <v/>
      </c>
      <c r="U453" t="str">
        <f t="shared" si="158"/>
        <v/>
      </c>
      <c r="V453" t="str">
        <f t="shared" si="159"/>
        <v/>
      </c>
      <c r="W453" s="71" t="str">
        <f>CONCATENATE(H453," ",I453," ",J453," ",K453," ",L453," ",M453," ",N453," ",O453," ",P453," ",Q453," ",R453," ",S453," ",T453," ",U453," ",V453)</f>
        <v xml:space="preserve">Plurality A group-decision method where the largest part of the group makes the decision when it’s less than 50 percent of the total. (Consider three or four factions within the stakeholders.)         </v>
      </c>
    </row>
    <row r="454" spans="1:23" customFormat="1" hidden="1">
      <c r="A454" t="b">
        <f t="shared" si="141"/>
        <v>0</v>
      </c>
      <c r="B454">
        <f t="shared" si="143"/>
        <v>453</v>
      </c>
      <c r="C454" t="s">
        <v>385</v>
      </c>
      <c r="D454" t="s">
        <v>451</v>
      </c>
      <c r="E454">
        <f t="shared" si="140"/>
        <v>33</v>
      </c>
      <c r="G454">
        <f t="shared" si="144"/>
        <v>2</v>
      </c>
      <c r="H454" t="str">
        <f t="shared" si="145"/>
        <v/>
      </c>
      <c r="I454" t="str">
        <f t="shared" si="146"/>
        <v/>
      </c>
      <c r="J454" t="str">
        <f t="shared" si="147"/>
        <v/>
      </c>
      <c r="K454" t="str">
        <f t="shared" si="148"/>
        <v/>
      </c>
      <c r="L454" t="str">
        <f t="shared" si="149"/>
        <v/>
      </c>
      <c r="M454" t="str">
        <f t="shared" si="150"/>
        <v/>
      </c>
      <c r="N454" t="str">
        <f t="shared" si="151"/>
        <v/>
      </c>
      <c r="O454" t="str">
        <f t="shared" si="152"/>
        <v/>
      </c>
      <c r="P454" t="str">
        <f t="shared" si="153"/>
        <v/>
      </c>
      <c r="Q454" t="str">
        <f t="shared" si="154"/>
        <v/>
      </c>
      <c r="R454" t="str">
        <f t="shared" si="155"/>
        <v/>
      </c>
      <c r="S454" t="str">
        <f t="shared" si="156"/>
        <v/>
      </c>
      <c r="T454" t="str">
        <f t="shared" si="157"/>
        <v/>
      </c>
      <c r="U454" t="str">
        <f t="shared" si="158"/>
        <v/>
      </c>
      <c r="V454" t="str">
        <f t="shared" si="159"/>
        <v/>
      </c>
      <c r="W454" t="str">
        <f t="shared" si="142"/>
        <v xml:space="preserve">              </v>
      </c>
    </row>
    <row r="455" spans="1:23" customFormat="1" hidden="1">
      <c r="A455" t="b">
        <f t="shared" si="141"/>
        <v>0</v>
      </c>
      <c r="B455">
        <f t="shared" si="143"/>
        <v>454</v>
      </c>
      <c r="C455" t="s">
        <v>385</v>
      </c>
      <c r="D455" t="s">
        <v>452</v>
      </c>
      <c r="E455">
        <f t="shared" si="140"/>
        <v>35</v>
      </c>
      <c r="G455">
        <f t="shared" si="144"/>
        <v>3</v>
      </c>
      <c r="H455" t="str">
        <f t="shared" si="145"/>
        <v/>
      </c>
      <c r="I455" t="str">
        <f t="shared" si="146"/>
        <v/>
      </c>
      <c r="J455" t="str">
        <f t="shared" si="147"/>
        <v/>
      </c>
      <c r="K455" t="str">
        <f t="shared" si="148"/>
        <v/>
      </c>
      <c r="L455" t="str">
        <f t="shared" si="149"/>
        <v/>
      </c>
      <c r="M455" t="str">
        <f t="shared" si="150"/>
        <v/>
      </c>
      <c r="N455" t="str">
        <f t="shared" si="151"/>
        <v/>
      </c>
      <c r="O455" t="str">
        <f t="shared" si="152"/>
        <v/>
      </c>
      <c r="P455" t="str">
        <f t="shared" si="153"/>
        <v/>
      </c>
      <c r="Q455" t="str">
        <f t="shared" si="154"/>
        <v/>
      </c>
      <c r="R455" t="str">
        <f t="shared" si="155"/>
        <v/>
      </c>
      <c r="S455" t="str">
        <f t="shared" si="156"/>
        <v/>
      </c>
      <c r="T455" t="str">
        <f t="shared" si="157"/>
        <v/>
      </c>
      <c r="U455" t="str">
        <f t="shared" si="158"/>
        <v/>
      </c>
      <c r="V455" t="str">
        <f t="shared" si="159"/>
        <v/>
      </c>
      <c r="W455" t="str">
        <f t="shared" si="142"/>
        <v xml:space="preserve">              </v>
      </c>
    </row>
    <row r="456" spans="1:23" customFormat="1" hidden="1">
      <c r="A456" t="b">
        <f t="shared" si="141"/>
        <v>0</v>
      </c>
      <c r="B456">
        <f t="shared" si="143"/>
        <v>455</v>
      </c>
      <c r="C456" t="s">
        <v>385</v>
      </c>
      <c r="D456" t="s">
        <v>453</v>
      </c>
      <c r="E456">
        <f t="shared" si="140"/>
        <v>42</v>
      </c>
      <c r="G456">
        <f t="shared" si="144"/>
        <v>4</v>
      </c>
      <c r="H456" t="str">
        <f t="shared" si="145"/>
        <v/>
      </c>
      <c r="I456" t="str">
        <f t="shared" si="146"/>
        <v/>
      </c>
      <c r="J456" t="str">
        <f t="shared" si="147"/>
        <v/>
      </c>
      <c r="K456" t="str">
        <f t="shared" si="148"/>
        <v/>
      </c>
      <c r="L456" t="str">
        <f t="shared" si="149"/>
        <v/>
      </c>
      <c r="M456" t="str">
        <f t="shared" si="150"/>
        <v/>
      </c>
      <c r="N456" t="str">
        <f t="shared" si="151"/>
        <v/>
      </c>
      <c r="O456" t="str">
        <f t="shared" si="152"/>
        <v/>
      </c>
      <c r="P456" t="str">
        <f t="shared" si="153"/>
        <v/>
      </c>
      <c r="Q456" t="str">
        <f t="shared" si="154"/>
        <v/>
      </c>
      <c r="R456" t="str">
        <f t="shared" si="155"/>
        <v/>
      </c>
      <c r="S456" t="str">
        <f t="shared" si="156"/>
        <v/>
      </c>
      <c r="T456" t="str">
        <f t="shared" si="157"/>
        <v/>
      </c>
      <c r="U456" t="str">
        <f t="shared" si="158"/>
        <v/>
      </c>
      <c r="V456" t="str">
        <f t="shared" si="159"/>
        <v/>
      </c>
      <c r="W456" t="str">
        <f t="shared" si="142"/>
        <v xml:space="preserve">              </v>
      </c>
    </row>
    <row r="457" spans="1:23" customFormat="1" hidden="1">
      <c r="A457" t="b">
        <f t="shared" si="141"/>
        <v>0</v>
      </c>
      <c r="B457">
        <f t="shared" si="143"/>
        <v>456</v>
      </c>
      <c r="C457" t="s">
        <v>385</v>
      </c>
      <c r="D457" t="s">
        <v>454</v>
      </c>
      <c r="E457">
        <f t="shared" si="140"/>
        <v>43</v>
      </c>
      <c r="G457">
        <f t="shared" si="144"/>
        <v>5</v>
      </c>
      <c r="H457" t="str">
        <f t="shared" si="145"/>
        <v/>
      </c>
      <c r="I457" t="str">
        <f t="shared" si="146"/>
        <v/>
      </c>
      <c r="J457" t="str">
        <f t="shared" si="147"/>
        <v/>
      </c>
      <c r="K457" t="str">
        <f t="shared" si="148"/>
        <v/>
      </c>
      <c r="L457" t="str">
        <f t="shared" si="149"/>
        <v/>
      </c>
      <c r="M457" t="str">
        <f t="shared" si="150"/>
        <v/>
      </c>
      <c r="N457" t="str">
        <f t="shared" si="151"/>
        <v/>
      </c>
      <c r="O457" t="str">
        <f t="shared" si="152"/>
        <v/>
      </c>
      <c r="P457" t="str">
        <f t="shared" si="153"/>
        <v/>
      </c>
      <c r="Q457" t="str">
        <f t="shared" si="154"/>
        <v/>
      </c>
      <c r="R457" t="str">
        <f t="shared" si="155"/>
        <v/>
      </c>
      <c r="S457" t="str">
        <f t="shared" si="156"/>
        <v/>
      </c>
      <c r="T457" t="str">
        <f t="shared" si="157"/>
        <v/>
      </c>
      <c r="U457" t="str">
        <f t="shared" si="158"/>
        <v/>
      </c>
      <c r="V457" t="str">
        <f t="shared" si="159"/>
        <v/>
      </c>
      <c r="W457" t="str">
        <f t="shared" si="142"/>
        <v xml:space="preserve">              </v>
      </c>
    </row>
    <row r="458" spans="1:23" customFormat="1" hidden="1">
      <c r="A458" t="b">
        <f t="shared" si="141"/>
        <v>0</v>
      </c>
      <c r="B458">
        <f t="shared" si="143"/>
        <v>457</v>
      </c>
      <c r="C458" t="s">
        <v>385</v>
      </c>
      <c r="D458" t="s">
        <v>455</v>
      </c>
      <c r="E458">
        <f t="shared" si="140"/>
        <v>25</v>
      </c>
      <c r="G458">
        <f t="shared" si="144"/>
        <v>6</v>
      </c>
      <c r="H458" t="str">
        <f t="shared" si="145"/>
        <v/>
      </c>
      <c r="I458" t="str">
        <f t="shared" si="146"/>
        <v/>
      </c>
      <c r="J458" t="str">
        <f t="shared" si="147"/>
        <v/>
      </c>
      <c r="K458" t="str">
        <f t="shared" si="148"/>
        <v/>
      </c>
      <c r="L458" t="str">
        <f t="shared" si="149"/>
        <v/>
      </c>
      <c r="M458" t="str">
        <f t="shared" si="150"/>
        <v/>
      </c>
      <c r="N458" t="str">
        <f t="shared" si="151"/>
        <v/>
      </c>
      <c r="O458" t="str">
        <f t="shared" si="152"/>
        <v/>
      </c>
      <c r="P458" t="str">
        <f t="shared" si="153"/>
        <v/>
      </c>
      <c r="Q458" t="str">
        <f t="shared" si="154"/>
        <v/>
      </c>
      <c r="R458" t="str">
        <f t="shared" si="155"/>
        <v/>
      </c>
      <c r="S458" t="str">
        <f t="shared" si="156"/>
        <v/>
      </c>
      <c r="T458" t="str">
        <f t="shared" si="157"/>
        <v/>
      </c>
      <c r="U458" t="str">
        <f t="shared" si="158"/>
        <v/>
      </c>
      <c r="V458" t="str">
        <f t="shared" si="159"/>
        <v/>
      </c>
      <c r="W458" t="str">
        <f t="shared" si="142"/>
        <v xml:space="preserve">              </v>
      </c>
    </row>
    <row r="459" spans="1:23" hidden="1">
      <c r="A459" s="71" t="b">
        <f t="shared" si="141"/>
        <v>0</v>
      </c>
      <c r="B459" s="71">
        <f t="shared" si="143"/>
        <v>458</v>
      </c>
      <c r="C459" s="71" t="s">
        <v>385</v>
      </c>
      <c r="D459" s="71" t="s">
        <v>456</v>
      </c>
      <c r="E459">
        <f t="shared" si="140"/>
        <v>27</v>
      </c>
      <c r="F459">
        <v>1</v>
      </c>
      <c r="G459">
        <f t="shared" si="144"/>
        <v>1</v>
      </c>
      <c r="H459" t="str">
        <f t="shared" si="145"/>
        <v>Product acceptance criteria</v>
      </c>
      <c r="I459" t="str">
        <f t="shared" si="146"/>
        <v>This project scope statement component</v>
      </c>
      <c r="J459" t="str">
        <f t="shared" si="147"/>
        <v>works with the project requirements, but</v>
      </c>
      <c r="K459" t="str">
        <f t="shared" si="148"/>
        <v>focuses specifically on the product and</v>
      </c>
      <c r="L459" t="str">
        <f t="shared" si="149"/>
        <v>what the conditions and processes are</v>
      </c>
      <c r="M459" t="str">
        <f t="shared" si="150"/>
        <v>for formal acceptance of the product.</v>
      </c>
      <c r="N459" t="str">
        <f t="shared" si="151"/>
        <v/>
      </c>
      <c r="O459" t="str">
        <f t="shared" si="152"/>
        <v/>
      </c>
      <c r="P459" t="str">
        <f t="shared" si="153"/>
        <v/>
      </c>
      <c r="Q459" t="str">
        <f t="shared" si="154"/>
        <v/>
      </c>
      <c r="R459" t="str">
        <f t="shared" si="155"/>
        <v/>
      </c>
      <c r="S459" t="str">
        <f t="shared" si="156"/>
        <v/>
      </c>
      <c r="T459" t="str">
        <f t="shared" si="157"/>
        <v/>
      </c>
      <c r="U459" t="str">
        <f t="shared" si="158"/>
        <v/>
      </c>
      <c r="V459" t="str">
        <f t="shared" si="159"/>
        <v/>
      </c>
      <c r="W459" s="71" t="str">
        <f>CONCATENATE(H459," ",I459," ",J459," ",K459," ",L459," ",M459," ",N459," ",O459," ",P459," ",Q459," ",R459," ",S459," ",T459," ",U459," ",V459)</f>
        <v xml:space="preserve">Product acceptance criteria This project scope statement component works with the project requirements, but focuses specifically on the product and what the conditions and processes are for formal acceptance of the product.         </v>
      </c>
    </row>
    <row r="460" spans="1:23" customFormat="1" hidden="1">
      <c r="A460" t="b">
        <f t="shared" si="141"/>
        <v>0</v>
      </c>
      <c r="B460">
        <f t="shared" si="143"/>
        <v>459</v>
      </c>
      <c r="C460" t="s">
        <v>385</v>
      </c>
      <c r="D460" t="s">
        <v>457</v>
      </c>
      <c r="E460">
        <f t="shared" si="140"/>
        <v>38</v>
      </c>
      <c r="G460">
        <f t="shared" si="144"/>
        <v>2</v>
      </c>
      <c r="H460" t="str">
        <f t="shared" si="145"/>
        <v/>
      </c>
      <c r="I460" t="str">
        <f t="shared" si="146"/>
        <v/>
      </c>
      <c r="J460" t="str">
        <f t="shared" si="147"/>
        <v/>
      </c>
      <c r="K460" t="str">
        <f t="shared" si="148"/>
        <v/>
      </c>
      <c r="L460" t="str">
        <f t="shared" si="149"/>
        <v/>
      </c>
      <c r="M460" t="str">
        <f t="shared" si="150"/>
        <v/>
      </c>
      <c r="N460" t="str">
        <f t="shared" si="151"/>
        <v/>
      </c>
      <c r="O460" t="str">
        <f t="shared" si="152"/>
        <v/>
      </c>
      <c r="P460" t="str">
        <f t="shared" si="153"/>
        <v/>
      </c>
      <c r="Q460" t="str">
        <f t="shared" si="154"/>
        <v/>
      </c>
      <c r="R460" t="str">
        <f t="shared" si="155"/>
        <v/>
      </c>
      <c r="S460" t="str">
        <f t="shared" si="156"/>
        <v/>
      </c>
      <c r="T460" t="str">
        <f t="shared" si="157"/>
        <v/>
      </c>
      <c r="U460" t="str">
        <f t="shared" si="158"/>
        <v/>
      </c>
      <c r="V460" t="str">
        <f t="shared" si="159"/>
        <v/>
      </c>
      <c r="W460" t="str">
        <f t="shared" si="142"/>
        <v xml:space="preserve">              </v>
      </c>
    </row>
    <row r="461" spans="1:23" customFormat="1" hidden="1">
      <c r="A461" t="b">
        <f t="shared" si="141"/>
        <v>0</v>
      </c>
      <c r="B461">
        <f t="shared" si="143"/>
        <v>460</v>
      </c>
      <c r="C461" t="s">
        <v>385</v>
      </c>
      <c r="D461" t="s">
        <v>458</v>
      </c>
      <c r="E461">
        <f t="shared" si="140"/>
        <v>40</v>
      </c>
      <c r="G461">
        <f t="shared" si="144"/>
        <v>3</v>
      </c>
      <c r="H461" t="str">
        <f t="shared" si="145"/>
        <v/>
      </c>
      <c r="I461" t="str">
        <f t="shared" si="146"/>
        <v/>
      </c>
      <c r="J461" t="str">
        <f t="shared" si="147"/>
        <v/>
      </c>
      <c r="K461" t="str">
        <f t="shared" si="148"/>
        <v/>
      </c>
      <c r="L461" t="str">
        <f t="shared" si="149"/>
        <v/>
      </c>
      <c r="M461" t="str">
        <f t="shared" si="150"/>
        <v/>
      </c>
      <c r="N461" t="str">
        <f t="shared" si="151"/>
        <v/>
      </c>
      <c r="O461" t="str">
        <f t="shared" si="152"/>
        <v/>
      </c>
      <c r="P461" t="str">
        <f t="shared" si="153"/>
        <v/>
      </c>
      <c r="Q461" t="str">
        <f t="shared" si="154"/>
        <v/>
      </c>
      <c r="R461" t="str">
        <f t="shared" si="155"/>
        <v/>
      </c>
      <c r="S461" t="str">
        <f t="shared" si="156"/>
        <v/>
      </c>
      <c r="T461" t="str">
        <f t="shared" si="157"/>
        <v/>
      </c>
      <c r="U461" t="str">
        <f t="shared" si="158"/>
        <v/>
      </c>
      <c r="V461" t="str">
        <f t="shared" si="159"/>
        <v/>
      </c>
      <c r="W461" t="str">
        <f t="shared" si="142"/>
        <v xml:space="preserve">              </v>
      </c>
    </row>
    <row r="462" spans="1:23" customFormat="1" hidden="1">
      <c r="A462" t="b">
        <f t="shared" si="141"/>
        <v>0</v>
      </c>
      <c r="B462">
        <f t="shared" si="143"/>
        <v>461</v>
      </c>
      <c r="C462" t="s">
        <v>385</v>
      </c>
      <c r="D462" t="s">
        <v>459</v>
      </c>
      <c r="E462">
        <f t="shared" si="140"/>
        <v>39</v>
      </c>
      <c r="G462">
        <f t="shared" si="144"/>
        <v>4</v>
      </c>
      <c r="H462" t="str">
        <f t="shared" si="145"/>
        <v/>
      </c>
      <c r="I462" t="str">
        <f t="shared" si="146"/>
        <v/>
      </c>
      <c r="J462" t="str">
        <f t="shared" si="147"/>
        <v/>
      </c>
      <c r="K462" t="str">
        <f t="shared" si="148"/>
        <v/>
      </c>
      <c r="L462" t="str">
        <f t="shared" si="149"/>
        <v/>
      </c>
      <c r="M462" t="str">
        <f t="shared" si="150"/>
        <v/>
      </c>
      <c r="N462" t="str">
        <f t="shared" si="151"/>
        <v/>
      </c>
      <c r="O462" t="str">
        <f t="shared" si="152"/>
        <v/>
      </c>
      <c r="P462" t="str">
        <f t="shared" si="153"/>
        <v/>
      </c>
      <c r="Q462" t="str">
        <f t="shared" si="154"/>
        <v/>
      </c>
      <c r="R462" t="str">
        <f t="shared" si="155"/>
        <v/>
      </c>
      <c r="S462" t="str">
        <f t="shared" si="156"/>
        <v/>
      </c>
      <c r="T462" t="str">
        <f t="shared" si="157"/>
        <v/>
      </c>
      <c r="U462" t="str">
        <f t="shared" si="158"/>
        <v/>
      </c>
      <c r="V462" t="str">
        <f t="shared" si="159"/>
        <v/>
      </c>
      <c r="W462" t="str">
        <f t="shared" si="142"/>
        <v xml:space="preserve">              </v>
      </c>
    </row>
    <row r="463" spans="1:23" customFormat="1" hidden="1">
      <c r="A463" t="b">
        <f t="shared" si="141"/>
        <v>0</v>
      </c>
      <c r="B463">
        <f t="shared" si="143"/>
        <v>462</v>
      </c>
      <c r="C463" t="s">
        <v>385</v>
      </c>
      <c r="D463" t="s">
        <v>460</v>
      </c>
      <c r="E463">
        <f t="shared" si="140"/>
        <v>37</v>
      </c>
      <c r="G463">
        <f t="shared" si="144"/>
        <v>5</v>
      </c>
      <c r="H463" t="str">
        <f t="shared" si="145"/>
        <v/>
      </c>
      <c r="I463" t="str">
        <f t="shared" si="146"/>
        <v/>
      </c>
      <c r="J463" t="str">
        <f t="shared" si="147"/>
        <v/>
      </c>
      <c r="K463" t="str">
        <f t="shared" si="148"/>
        <v/>
      </c>
      <c r="L463" t="str">
        <f t="shared" si="149"/>
        <v/>
      </c>
      <c r="M463" t="str">
        <f t="shared" si="150"/>
        <v/>
      </c>
      <c r="N463" t="str">
        <f t="shared" si="151"/>
        <v/>
      </c>
      <c r="O463" t="str">
        <f t="shared" si="152"/>
        <v/>
      </c>
      <c r="P463" t="str">
        <f t="shared" si="153"/>
        <v/>
      </c>
      <c r="Q463" t="str">
        <f t="shared" si="154"/>
        <v/>
      </c>
      <c r="R463" t="str">
        <f t="shared" si="155"/>
        <v/>
      </c>
      <c r="S463" t="str">
        <f t="shared" si="156"/>
        <v/>
      </c>
      <c r="T463" t="str">
        <f t="shared" si="157"/>
        <v/>
      </c>
      <c r="U463" t="str">
        <f t="shared" si="158"/>
        <v/>
      </c>
      <c r="V463" t="str">
        <f t="shared" si="159"/>
        <v/>
      </c>
      <c r="W463" t="str">
        <f t="shared" si="142"/>
        <v xml:space="preserve">              </v>
      </c>
    </row>
    <row r="464" spans="1:23" customFormat="1" hidden="1">
      <c r="A464" t="b">
        <f t="shared" si="141"/>
        <v>0</v>
      </c>
      <c r="B464">
        <f t="shared" si="143"/>
        <v>463</v>
      </c>
      <c r="C464" t="s">
        <v>385</v>
      </c>
      <c r="D464" t="s">
        <v>461</v>
      </c>
      <c r="E464">
        <f t="shared" si="140"/>
        <v>37</v>
      </c>
      <c r="G464">
        <f t="shared" si="144"/>
        <v>6</v>
      </c>
      <c r="H464" t="str">
        <f t="shared" si="145"/>
        <v/>
      </c>
      <c r="I464" t="str">
        <f t="shared" si="146"/>
        <v/>
      </c>
      <c r="J464" t="str">
        <f t="shared" si="147"/>
        <v/>
      </c>
      <c r="K464" t="str">
        <f t="shared" si="148"/>
        <v/>
      </c>
      <c r="L464" t="str">
        <f t="shared" si="149"/>
        <v/>
      </c>
      <c r="M464" t="str">
        <f t="shared" si="150"/>
        <v/>
      </c>
      <c r="N464" t="str">
        <f t="shared" si="151"/>
        <v/>
      </c>
      <c r="O464" t="str">
        <f t="shared" si="152"/>
        <v/>
      </c>
      <c r="P464" t="str">
        <f t="shared" si="153"/>
        <v/>
      </c>
      <c r="Q464" t="str">
        <f t="shared" si="154"/>
        <v/>
      </c>
      <c r="R464" t="str">
        <f t="shared" si="155"/>
        <v/>
      </c>
      <c r="S464" t="str">
        <f t="shared" si="156"/>
        <v/>
      </c>
      <c r="T464" t="str">
        <f t="shared" si="157"/>
        <v/>
      </c>
      <c r="U464" t="str">
        <f t="shared" si="158"/>
        <v/>
      </c>
      <c r="V464" t="str">
        <f t="shared" si="159"/>
        <v/>
      </c>
      <c r="W464" t="str">
        <f t="shared" si="142"/>
        <v xml:space="preserve">              </v>
      </c>
    </row>
    <row r="465" spans="1:23" hidden="1">
      <c r="A465" s="71" t="b">
        <f t="shared" si="141"/>
        <v>0</v>
      </c>
      <c r="B465" s="71">
        <f t="shared" si="143"/>
        <v>464</v>
      </c>
      <c r="C465" s="71" t="s">
        <v>385</v>
      </c>
      <c r="D465" s="71" t="s">
        <v>462</v>
      </c>
      <c r="E465">
        <f t="shared" si="140"/>
        <v>17</v>
      </c>
      <c r="F465">
        <v>1</v>
      </c>
      <c r="G465">
        <f t="shared" si="144"/>
        <v>1</v>
      </c>
      <c r="H465" t="str">
        <f t="shared" si="145"/>
        <v>Product breakdown</v>
      </c>
      <c r="I465" t="str">
        <f t="shared" si="146"/>
        <v>A scope definition technique that breaks</v>
      </c>
      <c r="J465" t="str">
        <f t="shared" si="147"/>
        <v>down a product into a hierarchical</v>
      </c>
      <c r="K465" t="str">
        <f t="shared" si="148"/>
        <v>structure, much like a WBS breaks down</v>
      </c>
      <c r="L465" t="str">
        <f t="shared" si="149"/>
        <v>a project scope.</v>
      </c>
      <c r="M465" t="str">
        <f t="shared" si="150"/>
        <v/>
      </c>
      <c r="N465" t="str">
        <f t="shared" si="151"/>
        <v/>
      </c>
      <c r="O465" t="str">
        <f t="shared" si="152"/>
        <v/>
      </c>
      <c r="P465" t="str">
        <f t="shared" si="153"/>
        <v/>
      </c>
      <c r="Q465" t="str">
        <f t="shared" si="154"/>
        <v/>
      </c>
      <c r="R465" t="str">
        <f t="shared" si="155"/>
        <v/>
      </c>
      <c r="S465" t="str">
        <f t="shared" si="156"/>
        <v/>
      </c>
      <c r="T465" t="str">
        <f t="shared" si="157"/>
        <v/>
      </c>
      <c r="U465" t="str">
        <f t="shared" si="158"/>
        <v/>
      </c>
      <c r="V465" t="str">
        <f t="shared" si="159"/>
        <v/>
      </c>
      <c r="W465" s="71" t="str">
        <f>CONCATENATE(H465," ",I465," ",J465," ",K465," ",L465," ",M465," ",N465," ",O465," ",P465," ",Q465," ",R465," ",S465," ",T465," ",U465," ",V465)</f>
        <v xml:space="preserve">Product breakdown A scope definition technique that breaks down a product into a hierarchical structure, much like a WBS breaks down a project scope.          </v>
      </c>
    </row>
    <row r="466" spans="1:23" customFormat="1" hidden="1">
      <c r="A466" t="b">
        <f t="shared" si="141"/>
        <v>0</v>
      </c>
      <c r="B466">
        <f t="shared" si="143"/>
        <v>465</v>
      </c>
      <c r="C466" t="s">
        <v>385</v>
      </c>
      <c r="D466" t="s">
        <v>463</v>
      </c>
      <c r="E466">
        <f t="shared" si="140"/>
        <v>40</v>
      </c>
      <c r="G466">
        <f t="shared" si="144"/>
        <v>2</v>
      </c>
      <c r="H466" t="str">
        <f t="shared" si="145"/>
        <v/>
      </c>
      <c r="I466" t="str">
        <f t="shared" si="146"/>
        <v/>
      </c>
      <c r="J466" t="str">
        <f t="shared" si="147"/>
        <v/>
      </c>
      <c r="K466" t="str">
        <f t="shared" si="148"/>
        <v/>
      </c>
      <c r="L466" t="str">
        <f t="shared" si="149"/>
        <v/>
      </c>
      <c r="M466" t="str">
        <f t="shared" si="150"/>
        <v/>
      </c>
      <c r="N466" t="str">
        <f t="shared" si="151"/>
        <v/>
      </c>
      <c r="O466" t="str">
        <f t="shared" si="152"/>
        <v/>
      </c>
      <c r="P466" t="str">
        <f t="shared" si="153"/>
        <v/>
      </c>
      <c r="Q466" t="str">
        <f t="shared" si="154"/>
        <v/>
      </c>
      <c r="R466" t="str">
        <f t="shared" si="155"/>
        <v/>
      </c>
      <c r="S466" t="str">
        <f t="shared" si="156"/>
        <v/>
      </c>
      <c r="T466" t="str">
        <f t="shared" si="157"/>
        <v/>
      </c>
      <c r="U466" t="str">
        <f t="shared" si="158"/>
        <v/>
      </c>
      <c r="V466" t="str">
        <f t="shared" si="159"/>
        <v/>
      </c>
      <c r="W466" t="str">
        <f t="shared" si="142"/>
        <v xml:space="preserve">              </v>
      </c>
    </row>
    <row r="467" spans="1:23" customFormat="1" hidden="1">
      <c r="A467" t="b">
        <f t="shared" si="141"/>
        <v>0</v>
      </c>
      <c r="B467">
        <f t="shared" si="143"/>
        <v>466</v>
      </c>
      <c r="C467" t="s">
        <v>385</v>
      </c>
      <c r="D467" t="s">
        <v>464</v>
      </c>
      <c r="E467">
        <f t="shared" si="140"/>
        <v>34</v>
      </c>
      <c r="G467">
        <f t="shared" si="144"/>
        <v>3</v>
      </c>
      <c r="H467" t="str">
        <f t="shared" si="145"/>
        <v/>
      </c>
      <c r="I467" t="str">
        <f t="shared" si="146"/>
        <v/>
      </c>
      <c r="J467" t="str">
        <f t="shared" si="147"/>
        <v/>
      </c>
      <c r="K467" t="str">
        <f t="shared" si="148"/>
        <v/>
      </c>
      <c r="L467" t="str">
        <f t="shared" si="149"/>
        <v/>
      </c>
      <c r="M467" t="str">
        <f t="shared" si="150"/>
        <v/>
      </c>
      <c r="N467" t="str">
        <f t="shared" si="151"/>
        <v/>
      </c>
      <c r="O467" t="str">
        <f t="shared" si="152"/>
        <v/>
      </c>
      <c r="P467" t="str">
        <f t="shared" si="153"/>
        <v/>
      </c>
      <c r="Q467" t="str">
        <f t="shared" si="154"/>
        <v/>
      </c>
      <c r="R467" t="str">
        <f t="shared" si="155"/>
        <v/>
      </c>
      <c r="S467" t="str">
        <f t="shared" si="156"/>
        <v/>
      </c>
      <c r="T467" t="str">
        <f t="shared" si="157"/>
        <v/>
      </c>
      <c r="U467" t="str">
        <f t="shared" si="158"/>
        <v/>
      </c>
      <c r="V467" t="str">
        <f t="shared" si="159"/>
        <v/>
      </c>
      <c r="W467" t="str">
        <f t="shared" si="142"/>
        <v xml:space="preserve">              </v>
      </c>
    </row>
    <row r="468" spans="1:23" customFormat="1" hidden="1">
      <c r="A468" t="b">
        <f t="shared" si="141"/>
        <v>0</v>
      </c>
      <c r="B468">
        <f t="shared" si="143"/>
        <v>467</v>
      </c>
      <c r="C468" t="s">
        <v>385</v>
      </c>
      <c r="D468" t="s">
        <v>465</v>
      </c>
      <c r="E468">
        <f t="shared" si="140"/>
        <v>38</v>
      </c>
      <c r="G468">
        <f t="shared" si="144"/>
        <v>4</v>
      </c>
      <c r="H468" t="str">
        <f t="shared" si="145"/>
        <v/>
      </c>
      <c r="I468" t="str">
        <f t="shared" si="146"/>
        <v/>
      </c>
      <c r="J468" t="str">
        <f t="shared" si="147"/>
        <v/>
      </c>
      <c r="K468" t="str">
        <f t="shared" si="148"/>
        <v/>
      </c>
      <c r="L468" t="str">
        <f t="shared" si="149"/>
        <v/>
      </c>
      <c r="M468" t="str">
        <f t="shared" si="150"/>
        <v/>
      </c>
      <c r="N468" t="str">
        <f t="shared" si="151"/>
        <v/>
      </c>
      <c r="O468" t="str">
        <f t="shared" si="152"/>
        <v/>
      </c>
      <c r="P468" t="str">
        <f t="shared" si="153"/>
        <v/>
      </c>
      <c r="Q468" t="str">
        <f t="shared" si="154"/>
        <v/>
      </c>
      <c r="R468" t="str">
        <f t="shared" si="155"/>
        <v/>
      </c>
      <c r="S468" t="str">
        <f t="shared" si="156"/>
        <v/>
      </c>
      <c r="T468" t="str">
        <f t="shared" si="157"/>
        <v/>
      </c>
      <c r="U468" t="str">
        <f t="shared" si="158"/>
        <v/>
      </c>
      <c r="V468" t="str">
        <f t="shared" si="159"/>
        <v/>
      </c>
      <c r="W468" t="str">
        <f t="shared" si="142"/>
        <v xml:space="preserve">              </v>
      </c>
    </row>
    <row r="469" spans="1:23" customFormat="1" hidden="1">
      <c r="A469" t="b">
        <f t="shared" si="141"/>
        <v>0</v>
      </c>
      <c r="B469">
        <f t="shared" si="143"/>
        <v>468</v>
      </c>
      <c r="C469" t="s">
        <v>385</v>
      </c>
      <c r="D469" t="s">
        <v>466</v>
      </c>
      <c r="E469">
        <f t="shared" si="140"/>
        <v>16</v>
      </c>
      <c r="G469">
        <f t="shared" si="144"/>
        <v>5</v>
      </c>
      <c r="H469" t="str">
        <f t="shared" si="145"/>
        <v/>
      </c>
      <c r="I469" t="str">
        <f t="shared" si="146"/>
        <v/>
      </c>
      <c r="J469" t="str">
        <f t="shared" si="147"/>
        <v/>
      </c>
      <c r="K469" t="str">
        <f t="shared" si="148"/>
        <v/>
      </c>
      <c r="L469" t="str">
        <f t="shared" si="149"/>
        <v/>
      </c>
      <c r="M469" t="str">
        <f t="shared" si="150"/>
        <v/>
      </c>
      <c r="N469" t="str">
        <f t="shared" si="151"/>
        <v/>
      </c>
      <c r="O469" t="str">
        <f t="shared" si="152"/>
        <v/>
      </c>
      <c r="P469" t="str">
        <f t="shared" si="153"/>
        <v/>
      </c>
      <c r="Q469" t="str">
        <f t="shared" si="154"/>
        <v/>
      </c>
      <c r="R469" t="str">
        <f t="shared" si="155"/>
        <v/>
      </c>
      <c r="S469" t="str">
        <f t="shared" si="156"/>
        <v/>
      </c>
      <c r="T469" t="str">
        <f t="shared" si="157"/>
        <v/>
      </c>
      <c r="U469" t="str">
        <f t="shared" si="158"/>
        <v/>
      </c>
      <c r="V469" t="str">
        <f t="shared" si="159"/>
        <v/>
      </c>
      <c r="W469" t="str">
        <f t="shared" si="142"/>
        <v xml:space="preserve">              </v>
      </c>
    </row>
    <row r="470" spans="1:23" hidden="1">
      <c r="A470" s="71" t="b">
        <f t="shared" si="141"/>
        <v>0</v>
      </c>
      <c r="B470" s="71">
        <f t="shared" si="143"/>
        <v>469</v>
      </c>
      <c r="C470" s="71" t="s">
        <v>385</v>
      </c>
      <c r="D470" s="71" t="s">
        <v>467</v>
      </c>
      <c r="E470">
        <f t="shared" si="140"/>
        <v>25</v>
      </c>
      <c r="F470">
        <v>1</v>
      </c>
      <c r="G470">
        <f t="shared" si="144"/>
        <v>1</v>
      </c>
      <c r="H470" t="str">
        <f t="shared" si="145"/>
        <v>Product scope description</v>
      </c>
      <c r="I470" t="str">
        <f t="shared" si="146"/>
        <v>This is a narrative description of what the</v>
      </c>
      <c r="J470" t="str">
        <f t="shared" si="147"/>
        <v>project is creating as a deliverable for the</v>
      </c>
      <c r="K470" t="str">
        <f t="shared" si="148"/>
        <v>project customer.</v>
      </c>
      <c r="L470" t="str">
        <f t="shared" si="149"/>
        <v>Product scope Defines the product or service that will come about as a result of completing the project. It defines the features and functions that characterize the product. Project assumptions A project assumption is a factor in the planning process that is held to be true but not proven to be true. Project boundaries A project boundary clearly states what is included with the project and what’s excluded from the project. This helps to eliminate assumptions between the project management team and the project customer. Project constraints A constraint is anything that limits the project manager’s options. Consider a predetermined budget, deadline, resources, or materials the project manager must use within the project—these are all examples of project constraints. Project objectives These are the measurable goals that determine a project’s acceptability to the project customer and the overall success of the project. Objectives often include the cost, schedule, technical requirements, and quality demands. Project requirements These are the demands set by the customer, regulations, or the performing organization that must exist for the project deliverables to be acceptable. Requirements are often prioritized in a number of ways, from “must have” to “should have” to “would like to have.” Project scope This defines all of the work, and only the required work, to complete the project objectives.</v>
      </c>
      <c r="M470" t="str">
        <f t="shared" si="150"/>
        <v/>
      </c>
      <c r="N470" t="str">
        <f t="shared" si="151"/>
        <v/>
      </c>
      <c r="O470" t="str">
        <f t="shared" si="152"/>
        <v/>
      </c>
      <c r="P470" t="str">
        <f t="shared" si="153"/>
        <v/>
      </c>
      <c r="Q470" t="str">
        <f t="shared" si="154"/>
        <v/>
      </c>
      <c r="R470" t="str">
        <f t="shared" si="155"/>
        <v/>
      </c>
      <c r="S470" t="str">
        <f t="shared" si="156"/>
        <v/>
      </c>
      <c r="T470" t="str">
        <f t="shared" si="157"/>
        <v/>
      </c>
      <c r="U470" t="str">
        <f t="shared" si="158"/>
        <v/>
      </c>
      <c r="V470" t="str">
        <f t="shared" si="159"/>
        <v/>
      </c>
      <c r="W470" s="71" t="str">
        <f>CONCATENATE(H470," ",I470," ",J470," ",K470," ",L470," ",M470," ",N470," ",O470," ",P470," ",Q470," ",R470," ",S470," ",T470," ",U470," ",V470)</f>
        <v xml:space="preserve">Product scope description This is a narrative description of what the project is creating as a deliverable for the project customer. Product scope Defines the product or service that will come about as a result of completing the project. It defines the features and functions that characterize the product. Project assumptions A project assumption is a factor in the planning process that is held to be true but not proven to be true. Project boundaries A project boundary clearly states what is included with the project and what’s excluded from the project. This helps to eliminate assumptions between the project management team and the project customer. Project constraints A constraint is anything that limits the project manager’s options. Consider a predetermined budget, deadline, resources, or materials the project manager must use within the project—these are all examples of project constraints. Project objectives These are the measurable goals that determine a project’s acceptability to the project customer and the overall success of the project. Objectives often include the cost, schedule, technical requirements, and quality demands. Project requirements These are the demands set by the customer, regulations, or the performing organization that must exist for the project deliverables to be acceptable. Requirements are often prioritized in a number of ways, from “must have” to “should have” to “would like to have.” Project scope This defines all of the work, and only the required work, to complete the project objectives.          </v>
      </c>
    </row>
    <row r="471" spans="1:23" customFormat="1" hidden="1">
      <c r="A471" t="b">
        <f t="shared" si="141"/>
        <v>0</v>
      </c>
      <c r="B471">
        <f t="shared" si="143"/>
        <v>470</v>
      </c>
      <c r="C471" t="s">
        <v>385</v>
      </c>
      <c r="D471" t="s">
        <v>468</v>
      </c>
      <c r="E471">
        <f t="shared" si="140"/>
        <v>43</v>
      </c>
      <c r="G471">
        <f t="shared" si="144"/>
        <v>2</v>
      </c>
      <c r="H471" t="str">
        <f t="shared" si="145"/>
        <v/>
      </c>
      <c r="I471" t="str">
        <f t="shared" si="146"/>
        <v/>
      </c>
      <c r="J471" t="str">
        <f t="shared" si="147"/>
        <v/>
      </c>
      <c r="K471" t="str">
        <f t="shared" si="148"/>
        <v/>
      </c>
      <c r="L471" t="str">
        <f t="shared" si="149"/>
        <v/>
      </c>
      <c r="M471" t="str">
        <f t="shared" si="150"/>
        <v/>
      </c>
      <c r="N471" t="str">
        <f t="shared" si="151"/>
        <v/>
      </c>
      <c r="O471" t="str">
        <f t="shared" si="152"/>
        <v/>
      </c>
      <c r="P471" t="str">
        <f t="shared" si="153"/>
        <v/>
      </c>
      <c r="Q471" t="str">
        <f t="shared" si="154"/>
        <v/>
      </c>
      <c r="R471" t="str">
        <f t="shared" si="155"/>
        <v/>
      </c>
      <c r="S471" t="str">
        <f t="shared" si="156"/>
        <v/>
      </c>
      <c r="T471" t="str">
        <f t="shared" si="157"/>
        <v/>
      </c>
      <c r="U471" t="str">
        <f t="shared" si="158"/>
        <v/>
      </c>
      <c r="V471" t="str">
        <f t="shared" si="159"/>
        <v/>
      </c>
      <c r="W471" t="str">
        <f t="shared" si="142"/>
        <v xml:space="preserve">              </v>
      </c>
    </row>
    <row r="472" spans="1:23" customFormat="1" hidden="1">
      <c r="A472" t="b">
        <f t="shared" si="141"/>
        <v>0</v>
      </c>
      <c r="B472">
        <f t="shared" si="143"/>
        <v>471</v>
      </c>
      <c r="C472" t="s">
        <v>385</v>
      </c>
      <c r="D472" t="s">
        <v>469</v>
      </c>
      <c r="E472">
        <f t="shared" si="140"/>
        <v>44</v>
      </c>
      <c r="G472">
        <f t="shared" si="144"/>
        <v>3</v>
      </c>
      <c r="H472" t="str">
        <f t="shared" si="145"/>
        <v/>
      </c>
      <c r="I472" t="str">
        <f t="shared" si="146"/>
        <v/>
      </c>
      <c r="J472" t="str">
        <f t="shared" si="147"/>
        <v/>
      </c>
      <c r="K472" t="str">
        <f t="shared" si="148"/>
        <v/>
      </c>
      <c r="L472" t="str">
        <f t="shared" si="149"/>
        <v/>
      </c>
      <c r="M472" t="str">
        <f t="shared" si="150"/>
        <v/>
      </c>
      <c r="N472" t="str">
        <f t="shared" si="151"/>
        <v/>
      </c>
      <c r="O472" t="str">
        <f t="shared" si="152"/>
        <v/>
      </c>
      <c r="P472" t="str">
        <f t="shared" si="153"/>
        <v/>
      </c>
      <c r="Q472" t="str">
        <f t="shared" si="154"/>
        <v/>
      </c>
      <c r="R472" t="str">
        <f t="shared" si="155"/>
        <v/>
      </c>
      <c r="S472" t="str">
        <f t="shared" si="156"/>
        <v/>
      </c>
      <c r="T472" t="str">
        <f t="shared" si="157"/>
        <v/>
      </c>
      <c r="U472" t="str">
        <f t="shared" si="158"/>
        <v/>
      </c>
      <c r="V472" t="str">
        <f t="shared" si="159"/>
        <v/>
      </c>
      <c r="W472" t="str">
        <f t="shared" si="142"/>
        <v xml:space="preserve">              </v>
      </c>
    </row>
    <row r="473" spans="1:23" customFormat="1" hidden="1">
      <c r="A473" t="b">
        <f t="shared" si="141"/>
        <v>0</v>
      </c>
      <c r="B473">
        <f t="shared" si="143"/>
        <v>472</v>
      </c>
      <c r="C473" t="s">
        <v>385</v>
      </c>
      <c r="D473" t="s">
        <v>470</v>
      </c>
      <c r="E473">
        <f t="shared" si="140"/>
        <v>17</v>
      </c>
      <c r="G473">
        <f t="shared" si="144"/>
        <v>4</v>
      </c>
      <c r="H473" t="str">
        <f t="shared" si="145"/>
        <v/>
      </c>
      <c r="I473" t="str">
        <f t="shared" si="146"/>
        <v/>
      </c>
      <c r="J473" t="str">
        <f t="shared" si="147"/>
        <v/>
      </c>
      <c r="K473" t="str">
        <f t="shared" si="148"/>
        <v/>
      </c>
      <c r="L473" t="str">
        <f t="shared" si="149"/>
        <v/>
      </c>
      <c r="M473" t="str">
        <f t="shared" si="150"/>
        <v/>
      </c>
      <c r="N473" t="str">
        <f t="shared" si="151"/>
        <v/>
      </c>
      <c r="O473" t="str">
        <f t="shared" si="152"/>
        <v/>
      </c>
      <c r="P473" t="str">
        <f t="shared" si="153"/>
        <v/>
      </c>
      <c r="Q473" t="str">
        <f t="shared" si="154"/>
        <v/>
      </c>
      <c r="R473" t="str">
        <f t="shared" si="155"/>
        <v/>
      </c>
      <c r="S473" t="str">
        <f t="shared" si="156"/>
        <v/>
      </c>
      <c r="T473" t="str">
        <f t="shared" si="157"/>
        <v/>
      </c>
      <c r="U473" t="str">
        <f t="shared" si="158"/>
        <v/>
      </c>
      <c r="V473" t="str">
        <f t="shared" si="159"/>
        <v/>
      </c>
      <c r="W473" t="str">
        <f t="shared" si="142"/>
        <v xml:space="preserve">              </v>
      </c>
    </row>
    <row r="474" spans="1:23" customFormat="1">
      <c r="A474" t="b">
        <f t="shared" si="141"/>
        <v>0</v>
      </c>
      <c r="B474">
        <f t="shared" si="143"/>
        <v>473</v>
      </c>
      <c r="C474" t="s">
        <v>385</v>
      </c>
      <c r="D474" t="s">
        <v>471</v>
      </c>
      <c r="E474">
        <f t="shared" si="140"/>
        <v>1413</v>
      </c>
      <c r="G474">
        <f t="shared" si="144"/>
        <v>5</v>
      </c>
      <c r="H474" t="str">
        <f t="shared" si="145"/>
        <v/>
      </c>
      <c r="I474" t="str">
        <f t="shared" si="146"/>
        <v/>
      </c>
      <c r="J474" t="str">
        <f t="shared" si="147"/>
        <v/>
      </c>
      <c r="K474" t="str">
        <f t="shared" si="148"/>
        <v/>
      </c>
      <c r="L474" t="str">
        <f t="shared" si="149"/>
        <v/>
      </c>
      <c r="M474" t="str">
        <f t="shared" si="150"/>
        <v/>
      </c>
      <c r="N474" t="str">
        <f t="shared" si="151"/>
        <v/>
      </c>
      <c r="O474" t="str">
        <f t="shared" si="152"/>
        <v/>
      </c>
      <c r="P474" t="str">
        <f t="shared" si="153"/>
        <v/>
      </c>
      <c r="Q474" t="str">
        <f t="shared" si="154"/>
        <v/>
      </c>
      <c r="R474" t="str">
        <f t="shared" si="155"/>
        <v/>
      </c>
      <c r="S474" t="str">
        <f t="shared" si="156"/>
        <v/>
      </c>
      <c r="T474" t="str">
        <f t="shared" si="157"/>
        <v/>
      </c>
      <c r="U474" t="str">
        <f t="shared" si="158"/>
        <v/>
      </c>
      <c r="V474" t="str">
        <f t="shared" si="159"/>
        <v/>
      </c>
      <c r="W474" t="str">
        <f t="shared" si="142"/>
        <v xml:space="preserve">              </v>
      </c>
    </row>
    <row r="475" spans="1:23" hidden="1">
      <c r="A475" s="71" t="b">
        <f t="shared" si="141"/>
        <v>0</v>
      </c>
      <c r="B475" s="71">
        <f t="shared" si="143"/>
        <v>474</v>
      </c>
      <c r="C475" s="71" t="s">
        <v>385</v>
      </c>
      <c r="D475" s="71" t="s">
        <v>321</v>
      </c>
      <c r="E475">
        <f t="shared" si="140"/>
        <v>29</v>
      </c>
      <c r="F475">
        <v>1</v>
      </c>
      <c r="G475">
        <f t="shared" si="144"/>
        <v>1</v>
      </c>
      <c r="H475" t="str">
        <f t="shared" si="145"/>
        <v>Project scope management plan</v>
      </c>
      <c r="I475" t="str">
        <f t="shared" si="146"/>
        <v>This project management subsidiary plan</v>
      </c>
      <c r="J475" t="str">
        <f t="shared" si="147"/>
        <v>controls how the scope will be defined,</v>
      </c>
      <c r="K475" t="str">
        <f t="shared" si="148"/>
        <v>how the project scope statement will be</v>
      </c>
      <c r="L475" t="str">
        <f t="shared" si="149"/>
        <v>created, how the WBS will be created,</v>
      </c>
      <c r="M475" t="str">
        <f t="shared" si="150"/>
        <v>how scope validation will proceed, and</v>
      </c>
      <c r="N475" t="str">
        <f t="shared" si="151"/>
        <v>how the project scope will be controlled</v>
      </c>
      <c r="O475" t="str">
        <f t="shared" si="152"/>
        <v>throughout the project.</v>
      </c>
      <c r="P475" t="str">
        <f t="shared" si="153"/>
        <v/>
      </c>
      <c r="Q475" t="str">
        <f t="shared" si="154"/>
        <v/>
      </c>
      <c r="R475" t="str">
        <f t="shared" si="155"/>
        <v/>
      </c>
      <c r="S475" t="str">
        <f t="shared" si="156"/>
        <v/>
      </c>
      <c r="T475" t="str">
        <f t="shared" si="157"/>
        <v/>
      </c>
      <c r="U475" t="str">
        <f t="shared" si="158"/>
        <v/>
      </c>
      <c r="V475" t="str">
        <f t="shared" si="159"/>
        <v/>
      </c>
      <c r="W475" s="71" t="str">
        <f>CONCATENATE(H475," ",I475," ",J475," ",K475," ",L475," ",M475," ",N475," ",O475," ",P475," ",Q475," ",R475," ",S475," ",T475," ",U475," ",V475)</f>
        <v xml:space="preserve">Project scope management plan This project management subsidiary plan controls how the scope will be defined, how the project scope statement will be created, how the WBS will be created, how scope validation will proceed, and how the project scope will be controlled throughout the project.       </v>
      </c>
    </row>
    <row r="476" spans="1:23" customFormat="1" hidden="1">
      <c r="A476" t="b">
        <f t="shared" si="141"/>
        <v>0</v>
      </c>
      <c r="B476">
        <f t="shared" si="143"/>
        <v>475</v>
      </c>
      <c r="C476" t="s">
        <v>385</v>
      </c>
      <c r="D476" t="s">
        <v>472</v>
      </c>
      <c r="E476">
        <f t="shared" si="140"/>
        <v>39</v>
      </c>
      <c r="G476">
        <f t="shared" si="144"/>
        <v>2</v>
      </c>
      <c r="H476" t="str">
        <f t="shared" si="145"/>
        <v/>
      </c>
      <c r="I476" t="str">
        <f t="shared" si="146"/>
        <v/>
      </c>
      <c r="J476" t="str">
        <f t="shared" si="147"/>
        <v/>
      </c>
      <c r="K476" t="str">
        <f t="shared" si="148"/>
        <v/>
      </c>
      <c r="L476" t="str">
        <f t="shared" si="149"/>
        <v/>
      </c>
      <c r="M476" t="str">
        <f t="shared" si="150"/>
        <v/>
      </c>
      <c r="N476" t="str">
        <f t="shared" si="151"/>
        <v/>
      </c>
      <c r="O476" t="str">
        <f t="shared" si="152"/>
        <v/>
      </c>
      <c r="P476" t="str">
        <f t="shared" si="153"/>
        <v/>
      </c>
      <c r="Q476" t="str">
        <f t="shared" si="154"/>
        <v/>
      </c>
      <c r="R476" t="str">
        <f t="shared" si="155"/>
        <v/>
      </c>
      <c r="S476" t="str">
        <f t="shared" si="156"/>
        <v/>
      </c>
      <c r="T476" t="str">
        <f t="shared" si="157"/>
        <v/>
      </c>
      <c r="U476" t="str">
        <f t="shared" si="158"/>
        <v/>
      </c>
      <c r="V476" t="str">
        <f t="shared" si="159"/>
        <v/>
      </c>
      <c r="W476" t="str">
        <f t="shared" si="142"/>
        <v xml:space="preserve">              </v>
      </c>
    </row>
    <row r="477" spans="1:23" customFormat="1" hidden="1">
      <c r="A477" t="b">
        <f t="shared" si="141"/>
        <v>0</v>
      </c>
      <c r="B477">
        <f t="shared" si="143"/>
        <v>476</v>
      </c>
      <c r="C477" t="s">
        <v>385</v>
      </c>
      <c r="D477" t="s">
        <v>473</v>
      </c>
      <c r="E477">
        <f t="shared" ref="E477:E539" si="160">LEN(D477)</f>
        <v>39</v>
      </c>
      <c r="G477">
        <f t="shared" si="144"/>
        <v>3</v>
      </c>
      <c r="H477" t="str">
        <f t="shared" si="145"/>
        <v/>
      </c>
      <c r="I477" t="str">
        <f t="shared" si="146"/>
        <v/>
      </c>
      <c r="J477" t="str">
        <f t="shared" si="147"/>
        <v/>
      </c>
      <c r="K477" t="str">
        <f t="shared" si="148"/>
        <v/>
      </c>
      <c r="L477" t="str">
        <f t="shared" si="149"/>
        <v/>
      </c>
      <c r="M477" t="str">
        <f t="shared" si="150"/>
        <v/>
      </c>
      <c r="N477" t="str">
        <f t="shared" si="151"/>
        <v/>
      </c>
      <c r="O477" t="str">
        <f t="shared" si="152"/>
        <v/>
      </c>
      <c r="P477" t="str">
        <f t="shared" si="153"/>
        <v/>
      </c>
      <c r="Q477" t="str">
        <f t="shared" si="154"/>
        <v/>
      </c>
      <c r="R477" t="str">
        <f t="shared" si="155"/>
        <v/>
      </c>
      <c r="S477" t="str">
        <f t="shared" si="156"/>
        <v/>
      </c>
      <c r="T477" t="str">
        <f t="shared" si="157"/>
        <v/>
      </c>
      <c r="U477" t="str">
        <f t="shared" si="158"/>
        <v/>
      </c>
      <c r="V477" t="str">
        <f t="shared" si="159"/>
        <v/>
      </c>
      <c r="W477" t="str">
        <f t="shared" si="142"/>
        <v xml:space="preserve">              </v>
      </c>
    </row>
    <row r="478" spans="1:23" customFormat="1" hidden="1">
      <c r="A478" t="b">
        <f t="shared" si="141"/>
        <v>0</v>
      </c>
      <c r="B478">
        <f t="shared" si="143"/>
        <v>477</v>
      </c>
      <c r="C478" t="s">
        <v>385</v>
      </c>
      <c r="D478" t="s">
        <v>474</v>
      </c>
      <c r="E478">
        <f t="shared" si="160"/>
        <v>39</v>
      </c>
      <c r="G478">
        <f t="shared" si="144"/>
        <v>4</v>
      </c>
      <c r="H478" t="str">
        <f t="shared" si="145"/>
        <v/>
      </c>
      <c r="I478" t="str">
        <f t="shared" si="146"/>
        <v/>
      </c>
      <c r="J478" t="str">
        <f t="shared" si="147"/>
        <v/>
      </c>
      <c r="K478" t="str">
        <f t="shared" si="148"/>
        <v/>
      </c>
      <c r="L478" t="str">
        <f t="shared" si="149"/>
        <v/>
      </c>
      <c r="M478" t="str">
        <f t="shared" si="150"/>
        <v/>
      </c>
      <c r="N478" t="str">
        <f t="shared" si="151"/>
        <v/>
      </c>
      <c r="O478" t="str">
        <f t="shared" si="152"/>
        <v/>
      </c>
      <c r="P478" t="str">
        <f t="shared" si="153"/>
        <v/>
      </c>
      <c r="Q478" t="str">
        <f t="shared" si="154"/>
        <v/>
      </c>
      <c r="R478" t="str">
        <f t="shared" si="155"/>
        <v/>
      </c>
      <c r="S478" t="str">
        <f t="shared" si="156"/>
        <v/>
      </c>
      <c r="T478" t="str">
        <f t="shared" si="157"/>
        <v/>
      </c>
      <c r="U478" t="str">
        <f t="shared" si="158"/>
        <v/>
      </c>
      <c r="V478" t="str">
        <f t="shared" si="159"/>
        <v/>
      </c>
      <c r="W478" t="str">
        <f t="shared" si="142"/>
        <v xml:space="preserve">              </v>
      </c>
    </row>
    <row r="479" spans="1:23" customFormat="1" hidden="1">
      <c r="A479" t="b">
        <f t="shared" si="141"/>
        <v>0</v>
      </c>
      <c r="B479">
        <f t="shared" si="143"/>
        <v>478</v>
      </c>
      <c r="C479" t="s">
        <v>385</v>
      </c>
      <c r="D479" t="s">
        <v>475</v>
      </c>
      <c r="E479">
        <f t="shared" si="160"/>
        <v>37</v>
      </c>
      <c r="G479">
        <f t="shared" si="144"/>
        <v>5</v>
      </c>
      <c r="H479" t="str">
        <f t="shared" si="145"/>
        <v/>
      </c>
      <c r="I479" t="str">
        <f t="shared" si="146"/>
        <v/>
      </c>
      <c r="J479" t="str">
        <f t="shared" si="147"/>
        <v/>
      </c>
      <c r="K479" t="str">
        <f t="shared" si="148"/>
        <v/>
      </c>
      <c r="L479" t="str">
        <f t="shared" si="149"/>
        <v/>
      </c>
      <c r="M479" t="str">
        <f t="shared" si="150"/>
        <v/>
      </c>
      <c r="N479" t="str">
        <f t="shared" si="151"/>
        <v/>
      </c>
      <c r="O479" t="str">
        <f t="shared" si="152"/>
        <v/>
      </c>
      <c r="P479" t="str">
        <f t="shared" si="153"/>
        <v/>
      </c>
      <c r="Q479" t="str">
        <f t="shared" si="154"/>
        <v/>
      </c>
      <c r="R479" t="str">
        <f t="shared" si="155"/>
        <v/>
      </c>
      <c r="S479" t="str">
        <f t="shared" si="156"/>
        <v/>
      </c>
      <c r="T479" t="str">
        <f t="shared" si="157"/>
        <v/>
      </c>
      <c r="U479" t="str">
        <f t="shared" si="158"/>
        <v/>
      </c>
      <c r="V479" t="str">
        <f t="shared" si="159"/>
        <v/>
      </c>
      <c r="W479" t="str">
        <f t="shared" si="142"/>
        <v xml:space="preserve">              </v>
      </c>
    </row>
    <row r="480" spans="1:23" customFormat="1" hidden="1">
      <c r="A480" t="b">
        <f t="shared" si="141"/>
        <v>0</v>
      </c>
      <c r="B480">
        <f t="shared" si="143"/>
        <v>479</v>
      </c>
      <c r="C480" t="s">
        <v>385</v>
      </c>
      <c r="D480" t="s">
        <v>476</v>
      </c>
      <c r="E480">
        <f t="shared" si="160"/>
        <v>38</v>
      </c>
      <c r="G480">
        <f t="shared" si="144"/>
        <v>6</v>
      </c>
      <c r="H480" t="str">
        <f t="shared" si="145"/>
        <v/>
      </c>
      <c r="I480" t="str">
        <f t="shared" si="146"/>
        <v/>
      </c>
      <c r="J480" t="str">
        <f t="shared" si="147"/>
        <v/>
      </c>
      <c r="K480" t="str">
        <f t="shared" si="148"/>
        <v/>
      </c>
      <c r="L480" t="str">
        <f t="shared" si="149"/>
        <v/>
      </c>
      <c r="M480" t="str">
        <f t="shared" si="150"/>
        <v/>
      </c>
      <c r="N480" t="str">
        <f t="shared" si="151"/>
        <v/>
      </c>
      <c r="O480" t="str">
        <f t="shared" si="152"/>
        <v/>
      </c>
      <c r="P480" t="str">
        <f t="shared" si="153"/>
        <v/>
      </c>
      <c r="Q480" t="str">
        <f t="shared" si="154"/>
        <v/>
      </c>
      <c r="R480" t="str">
        <f t="shared" si="155"/>
        <v/>
      </c>
      <c r="S480" t="str">
        <f t="shared" si="156"/>
        <v/>
      </c>
      <c r="T480" t="str">
        <f t="shared" si="157"/>
        <v/>
      </c>
      <c r="U480" t="str">
        <f t="shared" si="158"/>
        <v/>
      </c>
      <c r="V480" t="str">
        <f t="shared" si="159"/>
        <v/>
      </c>
      <c r="W480" t="str">
        <f t="shared" si="142"/>
        <v xml:space="preserve">              </v>
      </c>
    </row>
    <row r="481" spans="1:23" customFormat="1" hidden="1">
      <c r="A481" t="b">
        <f t="shared" si="141"/>
        <v>0</v>
      </c>
      <c r="B481">
        <f t="shared" si="143"/>
        <v>480</v>
      </c>
      <c r="C481" t="s">
        <v>385</v>
      </c>
      <c r="D481" t="s">
        <v>477</v>
      </c>
      <c r="E481">
        <f t="shared" si="160"/>
        <v>40</v>
      </c>
      <c r="G481">
        <f t="shared" si="144"/>
        <v>7</v>
      </c>
      <c r="H481" t="str">
        <f t="shared" si="145"/>
        <v/>
      </c>
      <c r="I481" t="str">
        <f t="shared" si="146"/>
        <v/>
      </c>
      <c r="J481" t="str">
        <f t="shared" si="147"/>
        <v/>
      </c>
      <c r="K481" t="str">
        <f t="shared" si="148"/>
        <v/>
      </c>
      <c r="L481" t="str">
        <f t="shared" si="149"/>
        <v/>
      </c>
      <c r="M481" t="str">
        <f t="shared" si="150"/>
        <v/>
      </c>
      <c r="N481" t="str">
        <f t="shared" si="151"/>
        <v/>
      </c>
      <c r="O481" t="str">
        <f t="shared" si="152"/>
        <v/>
      </c>
      <c r="P481" t="str">
        <f t="shared" si="153"/>
        <v/>
      </c>
      <c r="Q481" t="str">
        <f t="shared" si="154"/>
        <v/>
      </c>
      <c r="R481" t="str">
        <f t="shared" si="155"/>
        <v/>
      </c>
      <c r="S481" t="str">
        <f t="shared" si="156"/>
        <v/>
      </c>
      <c r="T481" t="str">
        <f t="shared" si="157"/>
        <v/>
      </c>
      <c r="U481" t="str">
        <f t="shared" si="158"/>
        <v/>
      </c>
      <c r="V481" t="str">
        <f t="shared" si="159"/>
        <v/>
      </c>
      <c r="W481" t="str">
        <f t="shared" si="142"/>
        <v xml:space="preserve">              </v>
      </c>
    </row>
    <row r="482" spans="1:23" customFormat="1" hidden="1">
      <c r="A482" t="b">
        <f t="shared" si="141"/>
        <v>0</v>
      </c>
      <c r="B482">
        <f t="shared" si="143"/>
        <v>481</v>
      </c>
      <c r="C482" t="s">
        <v>385</v>
      </c>
      <c r="D482" t="s">
        <v>478</v>
      </c>
      <c r="E482">
        <f t="shared" si="160"/>
        <v>23</v>
      </c>
      <c r="G482">
        <f t="shared" si="144"/>
        <v>8</v>
      </c>
      <c r="H482" t="str">
        <f t="shared" si="145"/>
        <v/>
      </c>
      <c r="I482" t="str">
        <f t="shared" si="146"/>
        <v/>
      </c>
      <c r="J482" t="str">
        <f t="shared" si="147"/>
        <v/>
      </c>
      <c r="K482" t="str">
        <f t="shared" si="148"/>
        <v/>
      </c>
      <c r="L482" t="str">
        <f t="shared" si="149"/>
        <v/>
      </c>
      <c r="M482" t="str">
        <f t="shared" si="150"/>
        <v/>
      </c>
      <c r="N482" t="str">
        <f t="shared" si="151"/>
        <v/>
      </c>
      <c r="O482" t="str">
        <f t="shared" si="152"/>
        <v/>
      </c>
      <c r="P482" t="str">
        <f t="shared" si="153"/>
        <v/>
      </c>
      <c r="Q482" t="str">
        <f t="shared" si="154"/>
        <v/>
      </c>
      <c r="R482" t="str">
        <f t="shared" si="155"/>
        <v/>
      </c>
      <c r="S482" t="str">
        <f t="shared" si="156"/>
        <v/>
      </c>
      <c r="T482" t="str">
        <f t="shared" si="157"/>
        <v/>
      </c>
      <c r="U482" t="str">
        <f t="shared" si="158"/>
        <v/>
      </c>
      <c r="V482" t="str">
        <f t="shared" si="159"/>
        <v/>
      </c>
      <c r="W482" t="str">
        <f t="shared" si="142"/>
        <v xml:space="preserve">              </v>
      </c>
    </row>
    <row r="483" spans="1:23" hidden="1">
      <c r="A483" s="71" t="b">
        <f t="shared" si="141"/>
        <v>0</v>
      </c>
      <c r="B483" s="71">
        <f t="shared" si="143"/>
        <v>482</v>
      </c>
      <c r="C483" s="71" t="s">
        <v>385</v>
      </c>
      <c r="D483" s="71" t="s">
        <v>479</v>
      </c>
      <c r="E483">
        <f t="shared" si="160"/>
        <v>26</v>
      </c>
      <c r="F483">
        <v>1</v>
      </c>
      <c r="G483">
        <f t="shared" si="144"/>
        <v>1</v>
      </c>
      <c r="H483" t="str">
        <f t="shared" si="145"/>
        <v>Requirements documentation</v>
      </c>
      <c r="I483" t="str">
        <f t="shared" si="146"/>
        <v>This documentation of what the</v>
      </c>
      <c r="J483" t="str">
        <f t="shared" si="147"/>
        <v>stakeholders expected in the project</v>
      </c>
      <c r="K483" t="str">
        <f t="shared" si="148"/>
        <v>defines all of the requirements that must</v>
      </c>
      <c r="L483" t="str">
        <f t="shared" si="149"/>
        <v>be present for the work to be accepted by</v>
      </c>
      <c r="M483" t="str">
        <f t="shared" si="150"/>
        <v>the stakeholders.</v>
      </c>
      <c r="N483" t="str">
        <f t="shared" si="151"/>
        <v/>
      </c>
      <c r="O483" t="str">
        <f t="shared" si="152"/>
        <v/>
      </c>
      <c r="P483" t="str">
        <f t="shared" si="153"/>
        <v/>
      </c>
      <c r="Q483" t="str">
        <f t="shared" si="154"/>
        <v/>
      </c>
      <c r="R483" t="str">
        <f t="shared" si="155"/>
        <v/>
      </c>
      <c r="S483" t="str">
        <f t="shared" si="156"/>
        <v/>
      </c>
      <c r="T483" t="str">
        <f t="shared" si="157"/>
        <v/>
      </c>
      <c r="U483" t="str">
        <f t="shared" si="158"/>
        <v/>
      </c>
      <c r="V483" t="str">
        <f t="shared" si="159"/>
        <v/>
      </c>
      <c r="W483" s="71" t="str">
        <f>CONCATENATE(H483," ",I483," ",J483," ",K483," ",L483," ",M483," ",N483," ",O483," ",P483," ",Q483," ",R483," ",S483," ",T483," ",U483," ",V483)</f>
        <v xml:space="preserve">Requirements documentation This documentation of what the stakeholders expected in the project defines all of the requirements that must be present for the work to be accepted by the stakeholders.         </v>
      </c>
    </row>
    <row r="484" spans="1:23" customFormat="1" hidden="1">
      <c r="A484" t="b">
        <f t="shared" si="141"/>
        <v>0</v>
      </c>
      <c r="B484">
        <f t="shared" si="143"/>
        <v>483</v>
      </c>
      <c r="C484" t="s">
        <v>385</v>
      </c>
      <c r="D484" t="s">
        <v>480</v>
      </c>
      <c r="E484">
        <f t="shared" si="160"/>
        <v>30</v>
      </c>
      <c r="G484">
        <f t="shared" si="144"/>
        <v>2</v>
      </c>
      <c r="H484" t="str">
        <f t="shared" si="145"/>
        <v/>
      </c>
      <c r="I484" t="str">
        <f t="shared" si="146"/>
        <v/>
      </c>
      <c r="J484" t="str">
        <f t="shared" si="147"/>
        <v/>
      </c>
      <c r="K484" t="str">
        <f t="shared" si="148"/>
        <v/>
      </c>
      <c r="L484" t="str">
        <f t="shared" si="149"/>
        <v/>
      </c>
      <c r="M484" t="str">
        <f t="shared" si="150"/>
        <v/>
      </c>
      <c r="N484" t="str">
        <f t="shared" si="151"/>
        <v/>
      </c>
      <c r="O484" t="str">
        <f t="shared" si="152"/>
        <v/>
      </c>
      <c r="P484" t="str">
        <f t="shared" si="153"/>
        <v/>
      </c>
      <c r="Q484" t="str">
        <f t="shared" si="154"/>
        <v/>
      </c>
      <c r="R484" t="str">
        <f t="shared" si="155"/>
        <v/>
      </c>
      <c r="S484" t="str">
        <f t="shared" si="156"/>
        <v/>
      </c>
      <c r="T484" t="str">
        <f t="shared" si="157"/>
        <v/>
      </c>
      <c r="U484" t="str">
        <f t="shared" si="158"/>
        <v/>
      </c>
      <c r="V484" t="str">
        <f t="shared" si="159"/>
        <v/>
      </c>
      <c r="W484" t="str">
        <f t="shared" si="142"/>
        <v xml:space="preserve">              </v>
      </c>
    </row>
    <row r="485" spans="1:23" customFormat="1" hidden="1">
      <c r="A485" t="b">
        <f t="shared" si="141"/>
        <v>0</v>
      </c>
      <c r="B485">
        <f t="shared" si="143"/>
        <v>484</v>
      </c>
      <c r="C485" t="s">
        <v>385</v>
      </c>
      <c r="D485" t="s">
        <v>481</v>
      </c>
      <c r="E485">
        <f t="shared" si="160"/>
        <v>36</v>
      </c>
      <c r="G485">
        <f t="shared" si="144"/>
        <v>3</v>
      </c>
      <c r="H485" t="str">
        <f t="shared" si="145"/>
        <v/>
      </c>
      <c r="I485" t="str">
        <f t="shared" si="146"/>
        <v/>
      </c>
      <c r="J485" t="str">
        <f t="shared" si="147"/>
        <v/>
      </c>
      <c r="K485" t="str">
        <f t="shared" si="148"/>
        <v/>
      </c>
      <c r="L485" t="str">
        <f t="shared" si="149"/>
        <v/>
      </c>
      <c r="M485" t="str">
        <f t="shared" si="150"/>
        <v/>
      </c>
      <c r="N485" t="str">
        <f t="shared" si="151"/>
        <v/>
      </c>
      <c r="O485" t="str">
        <f t="shared" si="152"/>
        <v/>
      </c>
      <c r="P485" t="str">
        <f t="shared" si="153"/>
        <v/>
      </c>
      <c r="Q485" t="str">
        <f t="shared" si="154"/>
        <v/>
      </c>
      <c r="R485" t="str">
        <f t="shared" si="155"/>
        <v/>
      </c>
      <c r="S485" t="str">
        <f t="shared" si="156"/>
        <v/>
      </c>
      <c r="T485" t="str">
        <f t="shared" si="157"/>
        <v/>
      </c>
      <c r="U485" t="str">
        <f t="shared" si="158"/>
        <v/>
      </c>
      <c r="V485" t="str">
        <f t="shared" si="159"/>
        <v/>
      </c>
      <c r="W485" t="str">
        <f t="shared" si="142"/>
        <v xml:space="preserve">              </v>
      </c>
    </row>
    <row r="486" spans="1:23" customFormat="1" hidden="1">
      <c r="A486" t="b">
        <f t="shared" si="141"/>
        <v>0</v>
      </c>
      <c r="B486">
        <f t="shared" si="143"/>
        <v>485</v>
      </c>
      <c r="C486" t="s">
        <v>385</v>
      </c>
      <c r="D486" t="s">
        <v>482</v>
      </c>
      <c r="E486">
        <f t="shared" si="160"/>
        <v>41</v>
      </c>
      <c r="G486">
        <f t="shared" si="144"/>
        <v>4</v>
      </c>
      <c r="H486" t="str">
        <f t="shared" si="145"/>
        <v/>
      </c>
      <c r="I486" t="str">
        <f t="shared" si="146"/>
        <v/>
      </c>
      <c r="J486" t="str">
        <f t="shared" si="147"/>
        <v/>
      </c>
      <c r="K486" t="str">
        <f t="shared" si="148"/>
        <v/>
      </c>
      <c r="L486" t="str">
        <f t="shared" si="149"/>
        <v/>
      </c>
      <c r="M486" t="str">
        <f t="shared" si="150"/>
        <v/>
      </c>
      <c r="N486" t="str">
        <f t="shared" si="151"/>
        <v/>
      </c>
      <c r="O486" t="str">
        <f t="shared" si="152"/>
        <v/>
      </c>
      <c r="P486" t="str">
        <f t="shared" si="153"/>
        <v/>
      </c>
      <c r="Q486" t="str">
        <f t="shared" si="154"/>
        <v/>
      </c>
      <c r="R486" t="str">
        <f t="shared" si="155"/>
        <v/>
      </c>
      <c r="S486" t="str">
        <f t="shared" si="156"/>
        <v/>
      </c>
      <c r="T486" t="str">
        <f t="shared" si="157"/>
        <v/>
      </c>
      <c r="U486" t="str">
        <f t="shared" si="158"/>
        <v/>
      </c>
      <c r="V486" t="str">
        <f t="shared" si="159"/>
        <v/>
      </c>
      <c r="W486" t="str">
        <f t="shared" si="142"/>
        <v xml:space="preserve">              </v>
      </c>
    </row>
    <row r="487" spans="1:23" customFormat="1" hidden="1">
      <c r="A487" t="b">
        <f t="shared" si="141"/>
        <v>0</v>
      </c>
      <c r="B487">
        <f t="shared" si="143"/>
        <v>486</v>
      </c>
      <c r="C487" t="s">
        <v>385</v>
      </c>
      <c r="D487" t="s">
        <v>483</v>
      </c>
      <c r="E487">
        <f t="shared" si="160"/>
        <v>41</v>
      </c>
      <c r="G487">
        <f t="shared" si="144"/>
        <v>5</v>
      </c>
      <c r="H487" t="str">
        <f t="shared" si="145"/>
        <v/>
      </c>
      <c r="I487" t="str">
        <f t="shared" si="146"/>
        <v/>
      </c>
      <c r="J487" t="str">
        <f t="shared" si="147"/>
        <v/>
      </c>
      <c r="K487" t="str">
        <f t="shared" si="148"/>
        <v/>
      </c>
      <c r="L487" t="str">
        <f t="shared" si="149"/>
        <v/>
      </c>
      <c r="M487" t="str">
        <f t="shared" si="150"/>
        <v/>
      </c>
      <c r="N487" t="str">
        <f t="shared" si="151"/>
        <v/>
      </c>
      <c r="O487" t="str">
        <f t="shared" si="152"/>
        <v/>
      </c>
      <c r="P487" t="str">
        <f t="shared" si="153"/>
        <v/>
      </c>
      <c r="Q487" t="str">
        <f t="shared" si="154"/>
        <v/>
      </c>
      <c r="R487" t="str">
        <f t="shared" si="155"/>
        <v/>
      </c>
      <c r="S487" t="str">
        <f t="shared" si="156"/>
        <v/>
      </c>
      <c r="T487" t="str">
        <f t="shared" si="157"/>
        <v/>
      </c>
      <c r="U487" t="str">
        <f t="shared" si="158"/>
        <v/>
      </c>
      <c r="V487" t="str">
        <f t="shared" si="159"/>
        <v/>
      </c>
      <c r="W487" t="str">
        <f t="shared" si="142"/>
        <v xml:space="preserve">              </v>
      </c>
    </row>
    <row r="488" spans="1:23" customFormat="1" hidden="1">
      <c r="A488" t="b">
        <f t="shared" si="141"/>
        <v>0</v>
      </c>
      <c r="B488">
        <f t="shared" si="143"/>
        <v>487</v>
      </c>
      <c r="C488" t="s">
        <v>385</v>
      </c>
      <c r="D488" t="s">
        <v>484</v>
      </c>
      <c r="E488">
        <f t="shared" si="160"/>
        <v>17</v>
      </c>
      <c r="G488">
        <f t="shared" si="144"/>
        <v>6</v>
      </c>
      <c r="H488" t="str">
        <f t="shared" si="145"/>
        <v/>
      </c>
      <c r="I488" t="str">
        <f t="shared" si="146"/>
        <v/>
      </c>
      <c r="J488" t="str">
        <f t="shared" si="147"/>
        <v/>
      </c>
      <c r="K488" t="str">
        <f t="shared" si="148"/>
        <v/>
      </c>
      <c r="L488" t="str">
        <f t="shared" si="149"/>
        <v/>
      </c>
      <c r="M488" t="str">
        <f t="shared" si="150"/>
        <v/>
      </c>
      <c r="N488" t="str">
        <f t="shared" si="151"/>
        <v/>
      </c>
      <c r="O488" t="str">
        <f t="shared" si="152"/>
        <v/>
      </c>
      <c r="P488" t="str">
        <f t="shared" si="153"/>
        <v/>
      </c>
      <c r="Q488" t="str">
        <f t="shared" si="154"/>
        <v/>
      </c>
      <c r="R488" t="str">
        <f t="shared" si="155"/>
        <v/>
      </c>
      <c r="S488" t="str">
        <f t="shared" si="156"/>
        <v/>
      </c>
      <c r="T488" t="str">
        <f t="shared" si="157"/>
        <v/>
      </c>
      <c r="U488" t="str">
        <f t="shared" si="158"/>
        <v/>
      </c>
      <c r="V488" t="str">
        <f t="shared" si="159"/>
        <v/>
      </c>
      <c r="W488" t="str">
        <f t="shared" si="142"/>
        <v xml:space="preserve">              </v>
      </c>
    </row>
    <row r="489" spans="1:23" hidden="1">
      <c r="A489" s="71" t="b">
        <f t="shared" si="141"/>
        <v>0</v>
      </c>
      <c r="B489" s="71">
        <f t="shared" si="143"/>
        <v>488</v>
      </c>
      <c r="C489" s="71" t="s">
        <v>385</v>
      </c>
      <c r="D489" s="71" t="s">
        <v>485</v>
      </c>
      <c r="E489">
        <f t="shared" si="160"/>
        <v>28</v>
      </c>
      <c r="F489">
        <v>1</v>
      </c>
      <c r="G489">
        <f t="shared" si="144"/>
        <v>1</v>
      </c>
      <c r="H489" t="str">
        <f t="shared" si="145"/>
        <v>Requirements management plan</v>
      </c>
      <c r="I489" t="str">
        <f t="shared" si="146"/>
        <v>This subsidiary plan defines how</v>
      </c>
      <c r="J489" t="str">
        <f t="shared" si="147"/>
        <v>changes to the project requirements will</v>
      </c>
      <c r="K489" t="str">
        <f t="shared" si="148"/>
        <v>be permitted, how requirements will be</v>
      </c>
      <c r="L489" t="str">
        <f t="shared" si="149"/>
        <v>tracked, and how changes to the</v>
      </c>
      <c r="M489" t="str">
        <f t="shared" si="150"/>
        <v>requirements will be approved.</v>
      </c>
      <c r="N489" t="str">
        <f t="shared" si="151"/>
        <v/>
      </c>
      <c r="O489" t="str">
        <f t="shared" si="152"/>
        <v/>
      </c>
      <c r="P489" t="str">
        <f t="shared" si="153"/>
        <v/>
      </c>
      <c r="Q489" t="str">
        <f t="shared" si="154"/>
        <v/>
      </c>
      <c r="R489" t="str">
        <f t="shared" si="155"/>
        <v/>
      </c>
      <c r="S489" t="str">
        <f t="shared" si="156"/>
        <v/>
      </c>
      <c r="T489" t="str">
        <f t="shared" si="157"/>
        <v/>
      </c>
      <c r="U489" t="str">
        <f t="shared" si="158"/>
        <v/>
      </c>
      <c r="V489" t="str">
        <f t="shared" si="159"/>
        <v/>
      </c>
      <c r="W489" s="71" t="str">
        <f>CONCATENATE(H489," ",I489," ",J489," ",K489," ",L489," ",M489," ",N489," ",O489," ",P489," ",Q489," ",R489," ",S489," ",T489," ",U489," ",V489)</f>
        <v xml:space="preserve">Requirements management plan This subsidiary plan defines how changes to the project requirements will be permitted, how requirements will be tracked, and how changes to the requirements will be approved.         </v>
      </c>
    </row>
    <row r="490" spans="1:23" customFormat="1" hidden="1">
      <c r="A490" t="b">
        <f t="shared" si="141"/>
        <v>0</v>
      </c>
      <c r="B490">
        <f t="shared" si="143"/>
        <v>489</v>
      </c>
      <c r="C490" t="s">
        <v>385</v>
      </c>
      <c r="D490" t="s">
        <v>486</v>
      </c>
      <c r="E490">
        <f t="shared" si="160"/>
        <v>32</v>
      </c>
      <c r="G490">
        <f t="shared" si="144"/>
        <v>2</v>
      </c>
      <c r="H490" t="str">
        <f t="shared" si="145"/>
        <v/>
      </c>
      <c r="I490" t="str">
        <f t="shared" si="146"/>
        <v/>
      </c>
      <c r="J490" t="str">
        <f t="shared" si="147"/>
        <v/>
      </c>
      <c r="K490" t="str">
        <f t="shared" si="148"/>
        <v/>
      </c>
      <c r="L490" t="str">
        <f t="shared" si="149"/>
        <v/>
      </c>
      <c r="M490" t="str">
        <f t="shared" si="150"/>
        <v/>
      </c>
      <c r="N490" t="str">
        <f t="shared" si="151"/>
        <v/>
      </c>
      <c r="O490" t="str">
        <f t="shared" si="152"/>
        <v/>
      </c>
      <c r="P490" t="str">
        <f t="shared" si="153"/>
        <v/>
      </c>
      <c r="Q490" t="str">
        <f t="shared" si="154"/>
        <v/>
      </c>
      <c r="R490" t="str">
        <f t="shared" si="155"/>
        <v/>
      </c>
      <c r="S490" t="str">
        <f t="shared" si="156"/>
        <v/>
      </c>
      <c r="T490" t="str">
        <f t="shared" si="157"/>
        <v/>
      </c>
      <c r="U490" t="str">
        <f t="shared" si="158"/>
        <v/>
      </c>
      <c r="V490" t="str">
        <f t="shared" si="159"/>
        <v/>
      </c>
      <c r="W490" t="str">
        <f t="shared" si="142"/>
        <v xml:space="preserve">              </v>
      </c>
    </row>
    <row r="491" spans="1:23" customFormat="1" hidden="1">
      <c r="A491" t="b">
        <f t="shared" si="141"/>
        <v>0</v>
      </c>
      <c r="B491">
        <f t="shared" si="143"/>
        <v>490</v>
      </c>
      <c r="C491" t="s">
        <v>385</v>
      </c>
      <c r="D491" t="s">
        <v>487</v>
      </c>
      <c r="E491">
        <f t="shared" si="160"/>
        <v>40</v>
      </c>
      <c r="G491">
        <f t="shared" si="144"/>
        <v>3</v>
      </c>
      <c r="H491" t="str">
        <f t="shared" si="145"/>
        <v/>
      </c>
      <c r="I491" t="str">
        <f t="shared" si="146"/>
        <v/>
      </c>
      <c r="J491" t="str">
        <f t="shared" si="147"/>
        <v/>
      </c>
      <c r="K491" t="str">
        <f t="shared" si="148"/>
        <v/>
      </c>
      <c r="L491" t="str">
        <f t="shared" si="149"/>
        <v/>
      </c>
      <c r="M491" t="str">
        <f t="shared" si="150"/>
        <v/>
      </c>
      <c r="N491" t="str">
        <f t="shared" si="151"/>
        <v/>
      </c>
      <c r="O491" t="str">
        <f t="shared" si="152"/>
        <v/>
      </c>
      <c r="P491" t="str">
        <f t="shared" si="153"/>
        <v/>
      </c>
      <c r="Q491" t="str">
        <f t="shared" si="154"/>
        <v/>
      </c>
      <c r="R491" t="str">
        <f t="shared" si="155"/>
        <v/>
      </c>
      <c r="S491" t="str">
        <f t="shared" si="156"/>
        <v/>
      </c>
      <c r="T491" t="str">
        <f t="shared" si="157"/>
        <v/>
      </c>
      <c r="U491" t="str">
        <f t="shared" si="158"/>
        <v/>
      </c>
      <c r="V491" t="str">
        <f t="shared" si="159"/>
        <v/>
      </c>
      <c r="W491" t="str">
        <f t="shared" si="142"/>
        <v xml:space="preserve">              </v>
      </c>
    </row>
    <row r="492" spans="1:23" customFormat="1" hidden="1">
      <c r="A492" t="b">
        <f t="shared" si="141"/>
        <v>0</v>
      </c>
      <c r="B492">
        <f t="shared" si="143"/>
        <v>491</v>
      </c>
      <c r="C492" t="s">
        <v>385</v>
      </c>
      <c r="D492" t="s">
        <v>488</v>
      </c>
      <c r="E492">
        <f t="shared" si="160"/>
        <v>38</v>
      </c>
      <c r="G492">
        <f t="shared" si="144"/>
        <v>4</v>
      </c>
      <c r="H492" t="str">
        <f t="shared" si="145"/>
        <v/>
      </c>
      <c r="I492" t="str">
        <f t="shared" si="146"/>
        <v/>
      </c>
      <c r="J492" t="str">
        <f t="shared" si="147"/>
        <v/>
      </c>
      <c r="K492" t="str">
        <f t="shared" si="148"/>
        <v/>
      </c>
      <c r="L492" t="str">
        <f t="shared" si="149"/>
        <v/>
      </c>
      <c r="M492" t="str">
        <f t="shared" si="150"/>
        <v/>
      </c>
      <c r="N492" t="str">
        <f t="shared" si="151"/>
        <v/>
      </c>
      <c r="O492" t="str">
        <f t="shared" si="152"/>
        <v/>
      </c>
      <c r="P492" t="str">
        <f t="shared" si="153"/>
        <v/>
      </c>
      <c r="Q492" t="str">
        <f t="shared" si="154"/>
        <v/>
      </c>
      <c r="R492" t="str">
        <f t="shared" si="155"/>
        <v/>
      </c>
      <c r="S492" t="str">
        <f t="shared" si="156"/>
        <v/>
      </c>
      <c r="T492" t="str">
        <f t="shared" si="157"/>
        <v/>
      </c>
      <c r="U492" t="str">
        <f t="shared" si="158"/>
        <v/>
      </c>
      <c r="V492" t="str">
        <f t="shared" si="159"/>
        <v/>
      </c>
      <c r="W492" t="str">
        <f t="shared" si="142"/>
        <v xml:space="preserve">              </v>
      </c>
    </row>
    <row r="493" spans="1:23" customFormat="1" hidden="1">
      <c r="A493" t="b">
        <f t="shared" si="141"/>
        <v>0</v>
      </c>
      <c r="B493">
        <f t="shared" si="143"/>
        <v>492</v>
      </c>
      <c r="C493" t="s">
        <v>385</v>
      </c>
      <c r="D493" t="s">
        <v>489</v>
      </c>
      <c r="E493">
        <f t="shared" si="160"/>
        <v>31</v>
      </c>
      <c r="G493">
        <f t="shared" si="144"/>
        <v>5</v>
      </c>
      <c r="H493" t="str">
        <f t="shared" si="145"/>
        <v/>
      </c>
      <c r="I493" t="str">
        <f t="shared" si="146"/>
        <v/>
      </c>
      <c r="J493" t="str">
        <f t="shared" si="147"/>
        <v/>
      </c>
      <c r="K493" t="str">
        <f t="shared" si="148"/>
        <v/>
      </c>
      <c r="L493" t="str">
        <f t="shared" si="149"/>
        <v/>
      </c>
      <c r="M493" t="str">
        <f t="shared" si="150"/>
        <v/>
      </c>
      <c r="N493" t="str">
        <f t="shared" si="151"/>
        <v/>
      </c>
      <c r="O493" t="str">
        <f t="shared" si="152"/>
        <v/>
      </c>
      <c r="P493" t="str">
        <f t="shared" si="153"/>
        <v/>
      </c>
      <c r="Q493" t="str">
        <f t="shared" si="154"/>
        <v/>
      </c>
      <c r="R493" t="str">
        <f t="shared" si="155"/>
        <v/>
      </c>
      <c r="S493" t="str">
        <f t="shared" si="156"/>
        <v/>
      </c>
      <c r="T493" t="str">
        <f t="shared" si="157"/>
        <v/>
      </c>
      <c r="U493" t="str">
        <f t="shared" si="158"/>
        <v/>
      </c>
      <c r="V493" t="str">
        <f t="shared" si="159"/>
        <v/>
      </c>
      <c r="W493" t="str">
        <f t="shared" si="142"/>
        <v xml:space="preserve">              </v>
      </c>
    </row>
    <row r="494" spans="1:23" customFormat="1" hidden="1">
      <c r="A494" t="b">
        <f t="shared" si="141"/>
        <v>0</v>
      </c>
      <c r="B494">
        <f t="shared" si="143"/>
        <v>493</v>
      </c>
      <c r="C494" t="s">
        <v>385</v>
      </c>
      <c r="D494" t="s">
        <v>490</v>
      </c>
      <c r="E494">
        <f t="shared" si="160"/>
        <v>30</v>
      </c>
      <c r="G494">
        <f t="shared" si="144"/>
        <v>6</v>
      </c>
      <c r="H494" t="str">
        <f t="shared" si="145"/>
        <v/>
      </c>
      <c r="I494" t="str">
        <f t="shared" si="146"/>
        <v/>
      </c>
      <c r="J494" t="str">
        <f t="shared" si="147"/>
        <v/>
      </c>
      <c r="K494" t="str">
        <f t="shared" si="148"/>
        <v/>
      </c>
      <c r="L494" t="str">
        <f t="shared" si="149"/>
        <v/>
      </c>
      <c r="M494" t="str">
        <f t="shared" si="150"/>
        <v/>
      </c>
      <c r="N494" t="str">
        <f t="shared" si="151"/>
        <v/>
      </c>
      <c r="O494" t="str">
        <f t="shared" si="152"/>
        <v/>
      </c>
      <c r="P494" t="str">
        <f t="shared" si="153"/>
        <v/>
      </c>
      <c r="Q494" t="str">
        <f t="shared" si="154"/>
        <v/>
      </c>
      <c r="R494" t="str">
        <f t="shared" si="155"/>
        <v/>
      </c>
      <c r="S494" t="str">
        <f t="shared" si="156"/>
        <v/>
      </c>
      <c r="T494" t="str">
        <f t="shared" si="157"/>
        <v/>
      </c>
      <c r="U494" t="str">
        <f t="shared" si="158"/>
        <v/>
      </c>
      <c r="V494" t="str">
        <f t="shared" si="159"/>
        <v/>
      </c>
      <c r="W494" t="str">
        <f t="shared" si="142"/>
        <v xml:space="preserve">              </v>
      </c>
    </row>
    <row r="495" spans="1:23" hidden="1">
      <c r="A495" s="71" t="b">
        <f t="shared" si="141"/>
        <v>0</v>
      </c>
      <c r="B495" s="71">
        <f t="shared" si="143"/>
        <v>494</v>
      </c>
      <c r="C495" s="71" t="s">
        <v>385</v>
      </c>
      <c r="D495" s="71" t="s">
        <v>491</v>
      </c>
      <c r="E495">
        <f t="shared" si="160"/>
        <v>38</v>
      </c>
      <c r="F495">
        <v>1</v>
      </c>
      <c r="G495">
        <f t="shared" si="144"/>
        <v>1</v>
      </c>
      <c r="H495" t="str">
        <f t="shared" si="145"/>
        <v>Requirements traceability matrix (RTM)</v>
      </c>
      <c r="I495" t="str">
        <f t="shared" si="146"/>
        <v>This is a table that maps the</v>
      </c>
      <c r="J495" t="str">
        <f t="shared" si="147"/>
        <v>requirements throughout the project all</v>
      </c>
      <c r="K495" t="str">
        <f t="shared" si="148"/>
        <v>the way to their completion.</v>
      </c>
      <c r="L495" t="str">
        <f t="shared" si="149"/>
        <v/>
      </c>
      <c r="M495" t="str">
        <f t="shared" si="150"/>
        <v/>
      </c>
      <c r="N495" t="str">
        <f t="shared" si="151"/>
        <v/>
      </c>
      <c r="O495" t="str">
        <f t="shared" si="152"/>
        <v/>
      </c>
      <c r="P495" t="str">
        <f t="shared" si="153"/>
        <v/>
      </c>
      <c r="Q495" t="str">
        <f t="shared" si="154"/>
        <v/>
      </c>
      <c r="R495" t="str">
        <f t="shared" si="155"/>
        <v/>
      </c>
      <c r="S495" t="str">
        <f t="shared" si="156"/>
        <v/>
      </c>
      <c r="T495" t="str">
        <f t="shared" si="157"/>
        <v/>
      </c>
      <c r="U495" t="str">
        <f t="shared" si="158"/>
        <v/>
      </c>
      <c r="V495" t="str">
        <f t="shared" si="159"/>
        <v/>
      </c>
      <c r="W495" s="71" t="str">
        <f>CONCATENATE(H495," ",I495," ",J495," ",K495," ",L495," ",M495," ",N495," ",O495," ",P495," ",Q495," ",R495," ",S495," ",T495," ",U495," ",V495)</f>
        <v xml:space="preserve">Requirements traceability matrix (RTM) This is a table that maps the requirements throughout the project all the way to their completion.           </v>
      </c>
    </row>
    <row r="496" spans="1:23" customFormat="1" hidden="1">
      <c r="A496" t="b">
        <f t="shared" si="141"/>
        <v>0</v>
      </c>
      <c r="B496">
        <f t="shared" si="143"/>
        <v>495</v>
      </c>
      <c r="C496" t="s">
        <v>385</v>
      </c>
      <c r="D496" t="s">
        <v>492</v>
      </c>
      <c r="E496">
        <f t="shared" si="160"/>
        <v>29</v>
      </c>
      <c r="G496">
        <f t="shared" si="144"/>
        <v>2</v>
      </c>
      <c r="H496" t="str">
        <f t="shared" si="145"/>
        <v/>
      </c>
      <c r="I496" t="str">
        <f t="shared" si="146"/>
        <v/>
      </c>
      <c r="J496" t="str">
        <f t="shared" si="147"/>
        <v/>
      </c>
      <c r="K496" t="str">
        <f t="shared" si="148"/>
        <v/>
      </c>
      <c r="L496" t="str">
        <f t="shared" si="149"/>
        <v/>
      </c>
      <c r="M496" t="str">
        <f t="shared" si="150"/>
        <v/>
      </c>
      <c r="N496" t="str">
        <f t="shared" si="151"/>
        <v/>
      </c>
      <c r="O496" t="str">
        <f t="shared" si="152"/>
        <v/>
      </c>
      <c r="P496" t="str">
        <f t="shared" si="153"/>
        <v/>
      </c>
      <c r="Q496" t="str">
        <f t="shared" si="154"/>
        <v/>
      </c>
      <c r="R496" t="str">
        <f t="shared" si="155"/>
        <v/>
      </c>
      <c r="S496" t="str">
        <f t="shared" si="156"/>
        <v/>
      </c>
      <c r="T496" t="str">
        <f t="shared" si="157"/>
        <v/>
      </c>
      <c r="U496" t="str">
        <f t="shared" si="158"/>
        <v/>
      </c>
      <c r="V496" t="str">
        <f t="shared" si="159"/>
        <v/>
      </c>
      <c r="W496" t="str">
        <f t="shared" si="142"/>
        <v xml:space="preserve">              </v>
      </c>
    </row>
    <row r="497" spans="1:23" customFormat="1" hidden="1">
      <c r="A497" t="b">
        <f t="shared" si="141"/>
        <v>0</v>
      </c>
      <c r="B497">
        <f t="shared" si="143"/>
        <v>496</v>
      </c>
      <c r="C497" t="s">
        <v>385</v>
      </c>
      <c r="D497" t="s">
        <v>493</v>
      </c>
      <c r="E497">
        <f t="shared" si="160"/>
        <v>39</v>
      </c>
      <c r="G497">
        <f t="shared" si="144"/>
        <v>3</v>
      </c>
      <c r="H497" t="str">
        <f t="shared" si="145"/>
        <v/>
      </c>
      <c r="I497" t="str">
        <f t="shared" si="146"/>
        <v/>
      </c>
      <c r="J497" t="str">
        <f t="shared" si="147"/>
        <v/>
      </c>
      <c r="K497" t="str">
        <f t="shared" si="148"/>
        <v/>
      </c>
      <c r="L497" t="str">
        <f t="shared" si="149"/>
        <v/>
      </c>
      <c r="M497" t="str">
        <f t="shared" si="150"/>
        <v/>
      </c>
      <c r="N497" t="str">
        <f t="shared" si="151"/>
        <v/>
      </c>
      <c r="O497" t="str">
        <f t="shared" si="152"/>
        <v/>
      </c>
      <c r="P497" t="str">
        <f t="shared" si="153"/>
        <v/>
      </c>
      <c r="Q497" t="str">
        <f t="shared" si="154"/>
        <v/>
      </c>
      <c r="R497" t="str">
        <f t="shared" si="155"/>
        <v/>
      </c>
      <c r="S497" t="str">
        <f t="shared" si="156"/>
        <v/>
      </c>
      <c r="T497" t="str">
        <f t="shared" si="157"/>
        <v/>
      </c>
      <c r="U497" t="str">
        <f t="shared" si="158"/>
        <v/>
      </c>
      <c r="V497" t="str">
        <f t="shared" si="159"/>
        <v/>
      </c>
      <c r="W497" t="str">
        <f t="shared" si="142"/>
        <v xml:space="preserve">              </v>
      </c>
    </row>
    <row r="498" spans="1:23" customFormat="1" hidden="1">
      <c r="A498" t="b">
        <f t="shared" si="141"/>
        <v>0</v>
      </c>
      <c r="B498">
        <f t="shared" si="143"/>
        <v>497</v>
      </c>
      <c r="C498" t="s">
        <v>385</v>
      </c>
      <c r="D498" t="s">
        <v>494</v>
      </c>
      <c r="E498">
        <f t="shared" si="160"/>
        <v>28</v>
      </c>
      <c r="G498">
        <f t="shared" si="144"/>
        <v>4</v>
      </c>
      <c r="H498" t="str">
        <f t="shared" si="145"/>
        <v/>
      </c>
      <c r="I498" t="str">
        <f t="shared" si="146"/>
        <v/>
      </c>
      <c r="J498" t="str">
        <f t="shared" si="147"/>
        <v/>
      </c>
      <c r="K498" t="str">
        <f t="shared" si="148"/>
        <v/>
      </c>
      <c r="L498" t="str">
        <f t="shared" si="149"/>
        <v/>
      </c>
      <c r="M498" t="str">
        <f t="shared" si="150"/>
        <v/>
      </c>
      <c r="N498" t="str">
        <f t="shared" si="151"/>
        <v/>
      </c>
      <c r="O498" t="str">
        <f t="shared" si="152"/>
        <v/>
      </c>
      <c r="P498" t="str">
        <f t="shared" si="153"/>
        <v/>
      </c>
      <c r="Q498" t="str">
        <f t="shared" si="154"/>
        <v/>
      </c>
      <c r="R498" t="str">
        <f t="shared" si="155"/>
        <v/>
      </c>
      <c r="S498" t="str">
        <f t="shared" si="156"/>
        <v/>
      </c>
      <c r="T498" t="str">
        <f t="shared" si="157"/>
        <v/>
      </c>
      <c r="U498" t="str">
        <f t="shared" si="158"/>
        <v/>
      </c>
      <c r="V498" t="str">
        <f t="shared" si="159"/>
        <v/>
      </c>
      <c r="W498" t="str">
        <f t="shared" si="142"/>
        <v xml:space="preserve">              </v>
      </c>
    </row>
    <row r="499" spans="1:23" hidden="1">
      <c r="A499" s="71" t="b">
        <f t="shared" si="141"/>
        <v>0</v>
      </c>
      <c r="B499" s="71">
        <f t="shared" si="143"/>
        <v>498</v>
      </c>
      <c r="C499" s="71" t="s">
        <v>385</v>
      </c>
      <c r="D499" s="71" t="s">
        <v>495</v>
      </c>
      <c r="E499">
        <f t="shared" si="160"/>
        <v>19</v>
      </c>
      <c r="F499">
        <v>1</v>
      </c>
      <c r="G499">
        <f t="shared" si="144"/>
        <v>1</v>
      </c>
      <c r="H499" t="str">
        <f t="shared" si="145"/>
        <v>Schedule milestones</v>
      </c>
      <c r="I499" t="str">
        <f t="shared" si="146"/>
        <v>The project customer may have specific</v>
      </c>
      <c r="J499" t="str">
        <f t="shared" si="147"/>
        <v>dates when phases of the project should</v>
      </c>
      <c r="K499" t="str">
        <f t="shared" si="148"/>
        <v>be completed. These milestones are</v>
      </c>
      <c r="L499" t="str">
        <f t="shared" si="149"/>
        <v>often treated as project constraints.</v>
      </c>
      <c r="M499" t="str">
        <f t="shared" si="150"/>
        <v/>
      </c>
      <c r="N499" t="str">
        <f t="shared" si="151"/>
        <v/>
      </c>
      <c r="O499" t="str">
        <f t="shared" si="152"/>
        <v/>
      </c>
      <c r="P499" t="str">
        <f t="shared" si="153"/>
        <v/>
      </c>
      <c r="Q499" t="str">
        <f t="shared" si="154"/>
        <v/>
      </c>
      <c r="R499" t="str">
        <f t="shared" si="155"/>
        <v/>
      </c>
      <c r="S499" t="str">
        <f t="shared" si="156"/>
        <v/>
      </c>
      <c r="T499" t="str">
        <f t="shared" si="157"/>
        <v/>
      </c>
      <c r="U499" t="str">
        <f t="shared" si="158"/>
        <v/>
      </c>
      <c r="V499" t="str">
        <f t="shared" si="159"/>
        <v/>
      </c>
      <c r="W499" s="71" t="str">
        <f>CONCATENATE(H499," ",I499," ",J499," ",K499," ",L499," ",M499," ",N499," ",O499," ",P499," ",Q499," ",R499," ",S499," ",T499," ",U499," ",V499)</f>
        <v xml:space="preserve">Schedule milestones The project customer may have specific dates when phases of the project should be completed. These milestones are often treated as project constraints.          </v>
      </c>
    </row>
    <row r="500" spans="1:23" customFormat="1" hidden="1">
      <c r="A500" t="b">
        <f t="shared" si="141"/>
        <v>0</v>
      </c>
      <c r="B500">
        <f t="shared" si="143"/>
        <v>499</v>
      </c>
      <c r="C500" t="s">
        <v>385</v>
      </c>
      <c r="D500" t="s">
        <v>496</v>
      </c>
      <c r="E500">
        <f t="shared" si="160"/>
        <v>38</v>
      </c>
      <c r="G500">
        <f t="shared" si="144"/>
        <v>2</v>
      </c>
      <c r="H500" t="str">
        <f t="shared" si="145"/>
        <v/>
      </c>
      <c r="I500" t="str">
        <f t="shared" si="146"/>
        <v/>
      </c>
      <c r="J500" t="str">
        <f t="shared" si="147"/>
        <v/>
      </c>
      <c r="K500" t="str">
        <f t="shared" si="148"/>
        <v/>
      </c>
      <c r="L500" t="str">
        <f t="shared" si="149"/>
        <v/>
      </c>
      <c r="M500" t="str">
        <f t="shared" si="150"/>
        <v/>
      </c>
      <c r="N500" t="str">
        <f t="shared" si="151"/>
        <v/>
      </c>
      <c r="O500" t="str">
        <f t="shared" si="152"/>
        <v/>
      </c>
      <c r="P500" t="str">
        <f t="shared" si="153"/>
        <v/>
      </c>
      <c r="Q500" t="str">
        <f t="shared" si="154"/>
        <v/>
      </c>
      <c r="R500" t="str">
        <f t="shared" si="155"/>
        <v/>
      </c>
      <c r="S500" t="str">
        <f t="shared" si="156"/>
        <v/>
      </c>
      <c r="T500" t="str">
        <f t="shared" si="157"/>
        <v/>
      </c>
      <c r="U500" t="str">
        <f t="shared" si="158"/>
        <v/>
      </c>
      <c r="V500" t="str">
        <f t="shared" si="159"/>
        <v/>
      </c>
      <c r="W500" t="str">
        <f t="shared" si="142"/>
        <v xml:space="preserve">              </v>
      </c>
    </row>
    <row r="501" spans="1:23" customFormat="1" hidden="1">
      <c r="A501" t="b">
        <f t="shared" si="141"/>
        <v>0</v>
      </c>
      <c r="B501">
        <f t="shared" si="143"/>
        <v>500</v>
      </c>
      <c r="C501" t="s">
        <v>385</v>
      </c>
      <c r="D501" t="s">
        <v>497</v>
      </c>
      <c r="E501">
        <f t="shared" si="160"/>
        <v>39</v>
      </c>
      <c r="G501">
        <f t="shared" si="144"/>
        <v>3</v>
      </c>
      <c r="H501" t="str">
        <f t="shared" si="145"/>
        <v/>
      </c>
      <c r="I501" t="str">
        <f t="shared" si="146"/>
        <v/>
      </c>
      <c r="J501" t="str">
        <f t="shared" si="147"/>
        <v/>
      </c>
      <c r="K501" t="str">
        <f t="shared" si="148"/>
        <v/>
      </c>
      <c r="L501" t="str">
        <f t="shared" si="149"/>
        <v/>
      </c>
      <c r="M501" t="str">
        <f t="shared" si="150"/>
        <v/>
      </c>
      <c r="N501" t="str">
        <f t="shared" si="151"/>
        <v/>
      </c>
      <c r="O501" t="str">
        <f t="shared" si="152"/>
        <v/>
      </c>
      <c r="P501" t="str">
        <f t="shared" si="153"/>
        <v/>
      </c>
      <c r="Q501" t="str">
        <f t="shared" si="154"/>
        <v/>
      </c>
      <c r="R501" t="str">
        <f t="shared" si="155"/>
        <v/>
      </c>
      <c r="S501" t="str">
        <f t="shared" si="156"/>
        <v/>
      </c>
      <c r="T501" t="str">
        <f t="shared" si="157"/>
        <v/>
      </c>
      <c r="U501" t="str">
        <f t="shared" si="158"/>
        <v/>
      </c>
      <c r="V501" t="str">
        <f t="shared" si="159"/>
        <v/>
      </c>
      <c r="W501" t="str">
        <f t="shared" si="142"/>
        <v xml:space="preserve">              </v>
      </c>
    </row>
    <row r="502" spans="1:23" customFormat="1" hidden="1">
      <c r="A502" t="b">
        <f t="shared" si="141"/>
        <v>0</v>
      </c>
      <c r="B502">
        <f t="shared" si="143"/>
        <v>501</v>
      </c>
      <c r="C502" t="s">
        <v>385</v>
      </c>
      <c r="D502" t="s">
        <v>498</v>
      </c>
      <c r="E502">
        <f t="shared" si="160"/>
        <v>34</v>
      </c>
      <c r="G502">
        <f t="shared" si="144"/>
        <v>4</v>
      </c>
      <c r="H502" t="str">
        <f t="shared" si="145"/>
        <v/>
      </c>
      <c r="I502" t="str">
        <f t="shared" si="146"/>
        <v/>
      </c>
      <c r="J502" t="str">
        <f t="shared" si="147"/>
        <v/>
      </c>
      <c r="K502" t="str">
        <f t="shared" si="148"/>
        <v/>
      </c>
      <c r="L502" t="str">
        <f t="shared" si="149"/>
        <v/>
      </c>
      <c r="M502" t="str">
        <f t="shared" si="150"/>
        <v/>
      </c>
      <c r="N502" t="str">
        <f t="shared" si="151"/>
        <v/>
      </c>
      <c r="O502" t="str">
        <f t="shared" si="152"/>
        <v/>
      </c>
      <c r="P502" t="str">
        <f t="shared" si="153"/>
        <v/>
      </c>
      <c r="Q502" t="str">
        <f t="shared" si="154"/>
        <v/>
      </c>
      <c r="R502" t="str">
        <f t="shared" si="155"/>
        <v/>
      </c>
      <c r="S502" t="str">
        <f t="shared" si="156"/>
        <v/>
      </c>
      <c r="T502" t="str">
        <f t="shared" si="157"/>
        <v/>
      </c>
      <c r="U502" t="str">
        <f t="shared" si="158"/>
        <v/>
      </c>
      <c r="V502" t="str">
        <f t="shared" si="159"/>
        <v/>
      </c>
      <c r="W502" t="str">
        <f t="shared" si="142"/>
        <v xml:space="preserve">              </v>
      </c>
    </row>
    <row r="503" spans="1:23" customFormat="1" hidden="1">
      <c r="A503" t="b">
        <f t="shared" si="141"/>
        <v>0</v>
      </c>
      <c r="B503">
        <f t="shared" si="143"/>
        <v>502</v>
      </c>
      <c r="C503" t="s">
        <v>385</v>
      </c>
      <c r="D503" t="s">
        <v>499</v>
      </c>
      <c r="E503">
        <f t="shared" si="160"/>
        <v>37</v>
      </c>
      <c r="G503">
        <f t="shared" si="144"/>
        <v>5</v>
      </c>
      <c r="H503" t="str">
        <f t="shared" si="145"/>
        <v/>
      </c>
      <c r="I503" t="str">
        <f t="shared" si="146"/>
        <v/>
      </c>
      <c r="J503" t="str">
        <f t="shared" si="147"/>
        <v/>
      </c>
      <c r="K503" t="str">
        <f t="shared" si="148"/>
        <v/>
      </c>
      <c r="L503" t="str">
        <f t="shared" si="149"/>
        <v/>
      </c>
      <c r="M503" t="str">
        <f t="shared" si="150"/>
        <v/>
      </c>
      <c r="N503" t="str">
        <f t="shared" si="151"/>
        <v/>
      </c>
      <c r="O503" t="str">
        <f t="shared" si="152"/>
        <v/>
      </c>
      <c r="P503" t="str">
        <f t="shared" si="153"/>
        <v/>
      </c>
      <c r="Q503" t="str">
        <f t="shared" si="154"/>
        <v/>
      </c>
      <c r="R503" t="str">
        <f t="shared" si="155"/>
        <v/>
      </c>
      <c r="S503" t="str">
        <f t="shared" si="156"/>
        <v/>
      </c>
      <c r="T503" t="str">
        <f t="shared" si="157"/>
        <v/>
      </c>
      <c r="U503" t="str">
        <f t="shared" si="158"/>
        <v/>
      </c>
      <c r="V503" t="str">
        <f t="shared" si="159"/>
        <v/>
      </c>
      <c r="W503" t="str">
        <f t="shared" si="142"/>
        <v xml:space="preserve">              </v>
      </c>
    </row>
    <row r="504" spans="1:23" hidden="1">
      <c r="A504" s="71" t="b">
        <f t="shared" si="141"/>
        <v>0</v>
      </c>
      <c r="B504" s="71">
        <f t="shared" si="143"/>
        <v>503</v>
      </c>
      <c r="C504" s="71" t="s">
        <v>385</v>
      </c>
      <c r="D504" s="71" t="s">
        <v>500</v>
      </c>
      <c r="E504">
        <f t="shared" si="160"/>
        <v>11</v>
      </c>
      <c r="F504">
        <v>1</v>
      </c>
      <c r="G504">
        <f t="shared" si="144"/>
        <v>1</v>
      </c>
      <c r="H504" t="str">
        <f t="shared" si="145"/>
        <v>Scope creep</v>
      </c>
      <c r="I504" t="str">
        <f t="shared" si="146"/>
        <v>Undocumented, unapproved changes to</v>
      </c>
      <c r="J504" t="str">
        <f t="shared" si="147"/>
        <v>the project scope.</v>
      </c>
      <c r="K504" t="str">
        <f t="shared" si="148"/>
        <v/>
      </c>
      <c r="L504" t="str">
        <f t="shared" si="149"/>
        <v/>
      </c>
      <c r="M504" t="str">
        <f t="shared" si="150"/>
        <v/>
      </c>
      <c r="N504" t="str">
        <f t="shared" si="151"/>
        <v/>
      </c>
      <c r="O504" t="str">
        <f t="shared" si="152"/>
        <v/>
      </c>
      <c r="P504" t="str">
        <f t="shared" si="153"/>
        <v/>
      </c>
      <c r="Q504" t="str">
        <f t="shared" si="154"/>
        <v/>
      </c>
      <c r="R504" t="str">
        <f t="shared" si="155"/>
        <v/>
      </c>
      <c r="S504" t="str">
        <f t="shared" si="156"/>
        <v/>
      </c>
      <c r="T504" t="str">
        <f t="shared" si="157"/>
        <v/>
      </c>
      <c r="U504" t="str">
        <f t="shared" si="158"/>
        <v/>
      </c>
      <c r="V504" t="str">
        <f t="shared" si="159"/>
        <v/>
      </c>
      <c r="W504" s="71" t="str">
        <f>CONCATENATE(H504," ",I504," ",J504," ",K504," ",L504," ",M504," ",N504," ",O504," ",P504," ",Q504," ",R504," ",S504," ",T504," ",U504," ",V504)</f>
        <v xml:space="preserve">Scope creep Undocumented, unapproved changes to the project scope.            </v>
      </c>
    </row>
    <row r="505" spans="1:23" customFormat="1" hidden="1">
      <c r="A505" t="b">
        <f t="shared" si="141"/>
        <v>0</v>
      </c>
      <c r="B505">
        <f t="shared" si="143"/>
        <v>504</v>
      </c>
      <c r="C505" t="s">
        <v>385</v>
      </c>
      <c r="D505" t="s">
        <v>501</v>
      </c>
      <c r="E505">
        <f t="shared" si="160"/>
        <v>35</v>
      </c>
      <c r="G505">
        <f t="shared" si="144"/>
        <v>2</v>
      </c>
      <c r="H505" t="str">
        <f t="shared" si="145"/>
        <v/>
      </c>
      <c r="I505" t="str">
        <f t="shared" si="146"/>
        <v/>
      </c>
      <c r="J505" t="str">
        <f t="shared" si="147"/>
        <v/>
      </c>
      <c r="K505" t="str">
        <f t="shared" si="148"/>
        <v/>
      </c>
      <c r="L505" t="str">
        <f t="shared" si="149"/>
        <v/>
      </c>
      <c r="M505" t="str">
        <f t="shared" si="150"/>
        <v/>
      </c>
      <c r="N505" t="str">
        <f t="shared" si="151"/>
        <v/>
      </c>
      <c r="O505" t="str">
        <f t="shared" si="152"/>
        <v/>
      </c>
      <c r="P505" t="str">
        <f t="shared" si="153"/>
        <v/>
      </c>
      <c r="Q505" t="str">
        <f t="shared" si="154"/>
        <v/>
      </c>
      <c r="R505" t="str">
        <f t="shared" si="155"/>
        <v/>
      </c>
      <c r="S505" t="str">
        <f t="shared" si="156"/>
        <v/>
      </c>
      <c r="T505" t="str">
        <f t="shared" si="157"/>
        <v/>
      </c>
      <c r="U505" t="str">
        <f t="shared" si="158"/>
        <v/>
      </c>
      <c r="V505" t="str">
        <f t="shared" si="159"/>
        <v/>
      </c>
      <c r="W505" t="str">
        <f t="shared" si="142"/>
        <v xml:space="preserve">              </v>
      </c>
    </row>
    <row r="506" spans="1:23" customFormat="1" hidden="1">
      <c r="A506" t="b">
        <f t="shared" si="141"/>
        <v>0</v>
      </c>
      <c r="B506">
        <f t="shared" si="143"/>
        <v>505</v>
      </c>
      <c r="C506" t="s">
        <v>385</v>
      </c>
      <c r="D506" t="s">
        <v>502</v>
      </c>
      <c r="E506">
        <f t="shared" si="160"/>
        <v>18</v>
      </c>
      <c r="G506">
        <f t="shared" si="144"/>
        <v>3</v>
      </c>
      <c r="H506" t="str">
        <f t="shared" si="145"/>
        <v/>
      </c>
      <c r="I506" t="str">
        <f t="shared" si="146"/>
        <v/>
      </c>
      <c r="J506" t="str">
        <f t="shared" si="147"/>
        <v/>
      </c>
      <c r="K506" t="str">
        <f t="shared" si="148"/>
        <v/>
      </c>
      <c r="L506" t="str">
        <f t="shared" si="149"/>
        <v/>
      </c>
      <c r="M506" t="str">
        <f t="shared" si="150"/>
        <v/>
      </c>
      <c r="N506" t="str">
        <f t="shared" si="151"/>
        <v/>
      </c>
      <c r="O506" t="str">
        <f t="shared" si="152"/>
        <v/>
      </c>
      <c r="P506" t="str">
        <f t="shared" si="153"/>
        <v/>
      </c>
      <c r="Q506" t="str">
        <f t="shared" si="154"/>
        <v/>
      </c>
      <c r="R506" t="str">
        <f t="shared" si="155"/>
        <v/>
      </c>
      <c r="S506" t="str">
        <f t="shared" si="156"/>
        <v/>
      </c>
      <c r="T506" t="str">
        <f t="shared" si="157"/>
        <v/>
      </c>
      <c r="U506" t="str">
        <f t="shared" si="158"/>
        <v/>
      </c>
      <c r="V506" t="str">
        <f t="shared" si="159"/>
        <v/>
      </c>
      <c r="W506" t="str">
        <f t="shared" si="142"/>
        <v xml:space="preserve">              </v>
      </c>
    </row>
    <row r="507" spans="1:23" hidden="1">
      <c r="A507" s="71" t="b">
        <f t="shared" si="141"/>
        <v>0</v>
      </c>
      <c r="B507" s="71">
        <f t="shared" si="143"/>
        <v>506</v>
      </c>
      <c r="C507" s="71" t="s">
        <v>385</v>
      </c>
      <c r="D507" s="71" t="s">
        <v>503</v>
      </c>
      <c r="E507">
        <f t="shared" si="160"/>
        <v>16</v>
      </c>
      <c r="F507">
        <v>1</v>
      </c>
      <c r="G507">
        <f t="shared" si="144"/>
        <v>1</v>
      </c>
      <c r="H507" t="str">
        <f t="shared" si="145"/>
        <v>Scope validation</v>
      </c>
      <c r="I507" t="str">
        <f t="shared" si="146"/>
        <v>The formal inspection of the project</v>
      </c>
      <c r="J507" t="str">
        <f t="shared" si="147"/>
        <v>deliverables, which leads to project</v>
      </c>
      <c r="K507" t="str">
        <f t="shared" si="148"/>
        <v>acceptance.</v>
      </c>
      <c r="L507" t="str">
        <f t="shared" si="149"/>
        <v/>
      </c>
      <c r="M507" t="str">
        <f t="shared" si="150"/>
        <v/>
      </c>
      <c r="N507" t="str">
        <f t="shared" si="151"/>
        <v/>
      </c>
      <c r="O507" t="str">
        <f t="shared" si="152"/>
        <v/>
      </c>
      <c r="P507" t="str">
        <f t="shared" si="153"/>
        <v/>
      </c>
      <c r="Q507" t="str">
        <f t="shared" si="154"/>
        <v/>
      </c>
      <c r="R507" t="str">
        <f t="shared" si="155"/>
        <v/>
      </c>
      <c r="S507" t="str">
        <f t="shared" si="156"/>
        <v/>
      </c>
      <c r="T507" t="str">
        <f t="shared" si="157"/>
        <v/>
      </c>
      <c r="U507" t="str">
        <f t="shared" si="158"/>
        <v/>
      </c>
      <c r="V507" t="str">
        <f t="shared" si="159"/>
        <v/>
      </c>
      <c r="W507" s="71" t="str">
        <f>CONCATENATE(H507," ",I507," ",J507," ",K507," ",L507," ",M507," ",N507," ",O507," ",P507," ",Q507," ",R507," ",S507," ",T507," ",U507," ",V507)</f>
        <v xml:space="preserve">Scope validation The formal inspection of the project deliverables, which leads to project acceptance.           </v>
      </c>
    </row>
    <row r="508" spans="1:23" customFormat="1" hidden="1">
      <c r="A508" t="b">
        <f t="shared" si="141"/>
        <v>0</v>
      </c>
      <c r="B508">
        <f t="shared" si="143"/>
        <v>507</v>
      </c>
      <c r="C508" t="s">
        <v>385</v>
      </c>
      <c r="D508" t="s">
        <v>504</v>
      </c>
      <c r="E508">
        <f t="shared" si="160"/>
        <v>36</v>
      </c>
      <c r="G508">
        <f t="shared" si="144"/>
        <v>2</v>
      </c>
      <c r="H508" t="str">
        <f t="shared" si="145"/>
        <v/>
      </c>
      <c r="I508" t="str">
        <f t="shared" si="146"/>
        <v/>
      </c>
      <c r="J508" t="str">
        <f t="shared" si="147"/>
        <v/>
      </c>
      <c r="K508" t="str">
        <f t="shared" si="148"/>
        <v/>
      </c>
      <c r="L508" t="str">
        <f t="shared" si="149"/>
        <v/>
      </c>
      <c r="M508" t="str">
        <f t="shared" si="150"/>
        <v/>
      </c>
      <c r="N508" t="str">
        <f t="shared" si="151"/>
        <v/>
      </c>
      <c r="O508" t="str">
        <f t="shared" si="152"/>
        <v/>
      </c>
      <c r="P508" t="str">
        <f t="shared" si="153"/>
        <v/>
      </c>
      <c r="Q508" t="str">
        <f t="shared" si="154"/>
        <v/>
      </c>
      <c r="R508" t="str">
        <f t="shared" si="155"/>
        <v/>
      </c>
      <c r="S508" t="str">
        <f t="shared" si="156"/>
        <v/>
      </c>
      <c r="T508" t="str">
        <f t="shared" si="157"/>
        <v/>
      </c>
      <c r="U508" t="str">
        <f t="shared" si="158"/>
        <v/>
      </c>
      <c r="V508" t="str">
        <f t="shared" si="159"/>
        <v/>
      </c>
      <c r="W508" t="str">
        <f t="shared" si="142"/>
        <v xml:space="preserve">              </v>
      </c>
    </row>
    <row r="509" spans="1:23" customFormat="1" hidden="1">
      <c r="A509" t="b">
        <f t="shared" si="141"/>
        <v>0</v>
      </c>
      <c r="B509">
        <f t="shared" si="143"/>
        <v>508</v>
      </c>
      <c r="C509" t="s">
        <v>385</v>
      </c>
      <c r="D509" t="s">
        <v>505</v>
      </c>
      <c r="E509">
        <f t="shared" si="160"/>
        <v>36</v>
      </c>
      <c r="G509">
        <f t="shared" si="144"/>
        <v>3</v>
      </c>
      <c r="H509" t="str">
        <f t="shared" si="145"/>
        <v/>
      </c>
      <c r="I509" t="str">
        <f t="shared" si="146"/>
        <v/>
      </c>
      <c r="J509" t="str">
        <f t="shared" si="147"/>
        <v/>
      </c>
      <c r="K509" t="str">
        <f t="shared" si="148"/>
        <v/>
      </c>
      <c r="L509" t="str">
        <f t="shared" si="149"/>
        <v/>
      </c>
      <c r="M509" t="str">
        <f t="shared" si="150"/>
        <v/>
      </c>
      <c r="N509" t="str">
        <f t="shared" si="151"/>
        <v/>
      </c>
      <c r="O509" t="str">
        <f t="shared" si="152"/>
        <v/>
      </c>
      <c r="P509" t="str">
        <f t="shared" si="153"/>
        <v/>
      </c>
      <c r="Q509" t="str">
        <f t="shared" si="154"/>
        <v/>
      </c>
      <c r="R509" t="str">
        <f t="shared" si="155"/>
        <v/>
      </c>
      <c r="S509" t="str">
        <f t="shared" si="156"/>
        <v/>
      </c>
      <c r="T509" t="str">
        <f t="shared" si="157"/>
        <v/>
      </c>
      <c r="U509" t="str">
        <f t="shared" si="158"/>
        <v/>
      </c>
      <c r="V509" t="str">
        <f t="shared" si="159"/>
        <v/>
      </c>
      <c r="W509" t="str">
        <f t="shared" si="142"/>
        <v xml:space="preserve">              </v>
      </c>
    </row>
    <row r="510" spans="1:23" customFormat="1" hidden="1">
      <c r="A510" t="b">
        <f t="shared" si="141"/>
        <v>0</v>
      </c>
      <c r="B510">
        <f t="shared" si="143"/>
        <v>509</v>
      </c>
      <c r="C510" t="s">
        <v>385</v>
      </c>
      <c r="D510" t="s">
        <v>506</v>
      </c>
      <c r="E510">
        <f t="shared" si="160"/>
        <v>11</v>
      </c>
      <c r="G510">
        <f t="shared" si="144"/>
        <v>4</v>
      </c>
      <c r="H510" t="str">
        <f t="shared" si="145"/>
        <v/>
      </c>
      <c r="I510" t="str">
        <f t="shared" si="146"/>
        <v/>
      </c>
      <c r="J510" t="str">
        <f t="shared" si="147"/>
        <v/>
      </c>
      <c r="K510" t="str">
        <f t="shared" si="148"/>
        <v/>
      </c>
      <c r="L510" t="str">
        <f t="shared" si="149"/>
        <v/>
      </c>
      <c r="M510" t="str">
        <f t="shared" si="150"/>
        <v/>
      </c>
      <c r="N510" t="str">
        <f t="shared" si="151"/>
        <v/>
      </c>
      <c r="O510" t="str">
        <f t="shared" si="152"/>
        <v/>
      </c>
      <c r="P510" t="str">
        <f t="shared" si="153"/>
        <v/>
      </c>
      <c r="Q510" t="str">
        <f t="shared" si="154"/>
        <v/>
      </c>
      <c r="R510" t="str">
        <f t="shared" si="155"/>
        <v/>
      </c>
      <c r="S510" t="str">
        <f t="shared" si="156"/>
        <v/>
      </c>
      <c r="T510" t="str">
        <f t="shared" si="157"/>
        <v/>
      </c>
      <c r="U510" t="str">
        <f t="shared" si="158"/>
        <v/>
      </c>
      <c r="V510" t="str">
        <f t="shared" si="159"/>
        <v/>
      </c>
      <c r="W510" t="str">
        <f t="shared" si="142"/>
        <v xml:space="preserve">              </v>
      </c>
    </row>
    <row r="511" spans="1:23" hidden="1">
      <c r="A511" s="71" t="b">
        <f t="shared" si="141"/>
        <v>0</v>
      </c>
      <c r="B511" s="71">
        <f t="shared" si="143"/>
        <v>510</v>
      </c>
      <c r="C511" s="71" t="s">
        <v>385</v>
      </c>
      <c r="D511" s="71" t="s">
        <v>507</v>
      </c>
      <c r="E511">
        <f t="shared" si="160"/>
        <v>20</v>
      </c>
      <c r="F511">
        <v>1</v>
      </c>
      <c r="G511">
        <f t="shared" si="144"/>
        <v>1</v>
      </c>
      <c r="H511" t="str">
        <f t="shared" si="145"/>
        <v>Stakeholder analysis</v>
      </c>
      <c r="I511" t="str">
        <f t="shared" si="146"/>
        <v>A scope definition process where the</v>
      </c>
      <c r="J511" t="str">
        <f t="shared" si="147"/>
        <v>project management team interviews the</v>
      </c>
      <c r="K511" t="str">
        <f t="shared" si="148"/>
        <v>stakeholders and categorizes, prioritizes,</v>
      </c>
      <c r="L511" t="str">
        <f t="shared" si="149"/>
        <v>and documents what the project</v>
      </c>
      <c r="M511" t="str">
        <f t="shared" si="150"/>
        <v>customer wants and needs. The analysis</v>
      </c>
      <c r="N511" t="str">
        <f t="shared" si="151"/>
        <v>is to determine, quantify, and prioritize</v>
      </c>
      <c r="O511" t="str">
        <f t="shared" si="152"/>
        <v>the interests of the stakeholders.</v>
      </c>
      <c r="P511" t="str">
        <f t="shared" si="153"/>
        <v/>
      </c>
      <c r="Q511" t="str">
        <f t="shared" si="154"/>
        <v/>
      </c>
      <c r="R511" t="str">
        <f t="shared" si="155"/>
        <v/>
      </c>
      <c r="S511" t="str">
        <f t="shared" si="156"/>
        <v/>
      </c>
      <c r="T511" t="str">
        <f t="shared" si="157"/>
        <v/>
      </c>
      <c r="U511" t="str">
        <f t="shared" si="158"/>
        <v/>
      </c>
      <c r="V511" t="str">
        <f t="shared" si="159"/>
        <v/>
      </c>
      <c r="W511" s="71" t="str">
        <f>CONCATENATE(H511," ",I511," ",J511," ",K511," ",L511," ",M511," ",N511," ",O511," ",P511," ",Q511," ",R511," ",S511," ",T511," ",U511," ",V511)</f>
        <v xml:space="preserve">Stakeholder analysis A scope definition process where the project management team interviews the stakeholders and categorizes, prioritizes, and documents what the project customer wants and needs. The analysis is to determine, quantify, and prioritize the interests of the stakeholders.       </v>
      </c>
    </row>
    <row r="512" spans="1:23" customFormat="1" hidden="1">
      <c r="A512" t="b">
        <f t="shared" si="141"/>
        <v>0</v>
      </c>
      <c r="B512">
        <f t="shared" si="143"/>
        <v>511</v>
      </c>
      <c r="C512" t="s">
        <v>385</v>
      </c>
      <c r="D512" t="s">
        <v>508</v>
      </c>
      <c r="E512">
        <f t="shared" si="160"/>
        <v>36</v>
      </c>
      <c r="G512">
        <f t="shared" si="144"/>
        <v>2</v>
      </c>
      <c r="H512" t="str">
        <f t="shared" si="145"/>
        <v/>
      </c>
      <c r="I512" t="str">
        <f t="shared" si="146"/>
        <v/>
      </c>
      <c r="J512" t="str">
        <f t="shared" si="147"/>
        <v/>
      </c>
      <c r="K512" t="str">
        <f t="shared" si="148"/>
        <v/>
      </c>
      <c r="L512" t="str">
        <f t="shared" si="149"/>
        <v/>
      </c>
      <c r="M512" t="str">
        <f t="shared" si="150"/>
        <v/>
      </c>
      <c r="N512" t="str">
        <f t="shared" si="151"/>
        <v/>
      </c>
      <c r="O512" t="str">
        <f t="shared" si="152"/>
        <v/>
      </c>
      <c r="P512" t="str">
        <f t="shared" si="153"/>
        <v/>
      </c>
      <c r="Q512" t="str">
        <f t="shared" si="154"/>
        <v/>
      </c>
      <c r="R512" t="str">
        <f t="shared" si="155"/>
        <v/>
      </c>
      <c r="S512" t="str">
        <f t="shared" si="156"/>
        <v/>
      </c>
      <c r="T512" t="str">
        <f t="shared" si="157"/>
        <v/>
      </c>
      <c r="U512" t="str">
        <f t="shared" si="158"/>
        <v/>
      </c>
      <c r="V512" t="str">
        <f t="shared" si="159"/>
        <v/>
      </c>
      <c r="W512" t="str">
        <f t="shared" si="142"/>
        <v xml:space="preserve">              </v>
      </c>
    </row>
    <row r="513" spans="1:23" customFormat="1" hidden="1">
      <c r="A513" t="b">
        <f t="shared" ref="A513:A576" si="161">C513=D513</f>
        <v>0</v>
      </c>
      <c r="B513">
        <f t="shared" si="143"/>
        <v>512</v>
      </c>
      <c r="C513" t="s">
        <v>385</v>
      </c>
      <c r="D513" t="s">
        <v>509</v>
      </c>
      <c r="E513">
        <f t="shared" si="160"/>
        <v>38</v>
      </c>
      <c r="G513">
        <f t="shared" si="144"/>
        <v>3</v>
      </c>
      <c r="H513" t="str">
        <f t="shared" si="145"/>
        <v/>
      </c>
      <c r="I513" t="str">
        <f t="shared" si="146"/>
        <v/>
      </c>
      <c r="J513" t="str">
        <f t="shared" si="147"/>
        <v/>
      </c>
      <c r="K513" t="str">
        <f t="shared" si="148"/>
        <v/>
      </c>
      <c r="L513" t="str">
        <f t="shared" si="149"/>
        <v/>
      </c>
      <c r="M513" t="str">
        <f t="shared" si="150"/>
        <v/>
      </c>
      <c r="N513" t="str">
        <f t="shared" si="151"/>
        <v/>
      </c>
      <c r="O513" t="str">
        <f t="shared" si="152"/>
        <v/>
      </c>
      <c r="P513" t="str">
        <f t="shared" si="153"/>
        <v/>
      </c>
      <c r="Q513" t="str">
        <f t="shared" si="154"/>
        <v/>
      </c>
      <c r="R513" t="str">
        <f t="shared" si="155"/>
        <v/>
      </c>
      <c r="S513" t="str">
        <f t="shared" si="156"/>
        <v/>
      </c>
      <c r="T513" t="str">
        <f t="shared" si="157"/>
        <v/>
      </c>
      <c r="U513" t="str">
        <f t="shared" si="158"/>
        <v/>
      </c>
      <c r="V513" t="str">
        <f t="shared" si="159"/>
        <v/>
      </c>
      <c r="W513" t="str">
        <f t="shared" ref="W513:W576" si="162">CONCATENATE(H513," ",I513," ",J513," ",K513," ",L513," ",M513," ",N513," ",O513," ",P513," ",Q513," ",R513," ",S513," ",T513," ",U513," ",V513)</f>
        <v xml:space="preserve">              </v>
      </c>
    </row>
    <row r="514" spans="1:23" customFormat="1" hidden="1">
      <c r="A514" t="b">
        <f t="shared" si="161"/>
        <v>0</v>
      </c>
      <c r="B514">
        <f t="shared" si="143"/>
        <v>513</v>
      </c>
      <c r="C514" t="s">
        <v>385</v>
      </c>
      <c r="D514" t="s">
        <v>510</v>
      </c>
      <c r="E514">
        <f t="shared" si="160"/>
        <v>42</v>
      </c>
      <c r="G514">
        <f t="shared" si="144"/>
        <v>4</v>
      </c>
      <c r="H514" t="str">
        <f t="shared" si="145"/>
        <v/>
      </c>
      <c r="I514" t="str">
        <f t="shared" si="146"/>
        <v/>
      </c>
      <c r="J514" t="str">
        <f t="shared" si="147"/>
        <v/>
      </c>
      <c r="K514" t="str">
        <f t="shared" si="148"/>
        <v/>
      </c>
      <c r="L514" t="str">
        <f t="shared" si="149"/>
        <v/>
      </c>
      <c r="M514" t="str">
        <f t="shared" si="150"/>
        <v/>
      </c>
      <c r="N514" t="str">
        <f t="shared" si="151"/>
        <v/>
      </c>
      <c r="O514" t="str">
        <f t="shared" si="152"/>
        <v/>
      </c>
      <c r="P514" t="str">
        <f t="shared" si="153"/>
        <v/>
      </c>
      <c r="Q514" t="str">
        <f t="shared" si="154"/>
        <v/>
      </c>
      <c r="R514" t="str">
        <f t="shared" si="155"/>
        <v/>
      </c>
      <c r="S514" t="str">
        <f t="shared" si="156"/>
        <v/>
      </c>
      <c r="T514" t="str">
        <f t="shared" si="157"/>
        <v/>
      </c>
      <c r="U514" t="str">
        <f t="shared" si="158"/>
        <v/>
      </c>
      <c r="V514" t="str">
        <f t="shared" si="159"/>
        <v/>
      </c>
      <c r="W514" t="str">
        <f t="shared" si="162"/>
        <v xml:space="preserve">              </v>
      </c>
    </row>
    <row r="515" spans="1:23" customFormat="1" hidden="1">
      <c r="A515" t="b">
        <f t="shared" si="161"/>
        <v>0</v>
      </c>
      <c r="B515">
        <f t="shared" si="143"/>
        <v>514</v>
      </c>
      <c r="C515" t="s">
        <v>385</v>
      </c>
      <c r="D515" t="s">
        <v>511</v>
      </c>
      <c r="E515">
        <f t="shared" si="160"/>
        <v>30</v>
      </c>
      <c r="G515">
        <f t="shared" si="144"/>
        <v>5</v>
      </c>
      <c r="H515" t="str">
        <f t="shared" si="145"/>
        <v/>
      </c>
      <c r="I515" t="str">
        <f t="shared" si="146"/>
        <v/>
      </c>
      <c r="J515" t="str">
        <f t="shared" si="147"/>
        <v/>
      </c>
      <c r="K515" t="str">
        <f t="shared" si="148"/>
        <v/>
      </c>
      <c r="L515" t="str">
        <f t="shared" si="149"/>
        <v/>
      </c>
      <c r="M515" t="str">
        <f t="shared" si="150"/>
        <v/>
      </c>
      <c r="N515" t="str">
        <f t="shared" si="151"/>
        <v/>
      </c>
      <c r="O515" t="str">
        <f t="shared" si="152"/>
        <v/>
      </c>
      <c r="P515" t="str">
        <f t="shared" si="153"/>
        <v/>
      </c>
      <c r="Q515" t="str">
        <f t="shared" si="154"/>
        <v/>
      </c>
      <c r="R515" t="str">
        <f t="shared" si="155"/>
        <v/>
      </c>
      <c r="S515" t="str">
        <f t="shared" si="156"/>
        <v/>
      </c>
      <c r="T515" t="str">
        <f t="shared" si="157"/>
        <v/>
      </c>
      <c r="U515" t="str">
        <f t="shared" si="158"/>
        <v/>
      </c>
      <c r="V515" t="str">
        <f t="shared" si="159"/>
        <v/>
      </c>
      <c r="W515" t="str">
        <f t="shared" si="162"/>
        <v xml:space="preserve">              </v>
      </c>
    </row>
    <row r="516" spans="1:23" customFormat="1" hidden="1">
      <c r="A516" t="b">
        <f t="shared" si="161"/>
        <v>0</v>
      </c>
      <c r="B516">
        <f t="shared" ref="B516:B579" si="163">B515+1</f>
        <v>515</v>
      </c>
      <c r="C516" t="s">
        <v>385</v>
      </c>
      <c r="D516" t="s">
        <v>512</v>
      </c>
      <c r="E516">
        <f t="shared" si="160"/>
        <v>38</v>
      </c>
      <c r="G516">
        <f t="shared" ref="G516:G579" si="164">IF(F516=1,1,G515+1)</f>
        <v>6</v>
      </c>
      <c r="H516" t="str">
        <f t="shared" ref="H516:H579" si="165">IF($G516=H$1,$D516,"")</f>
        <v/>
      </c>
      <c r="I516" t="str">
        <f t="shared" ref="I516:I579" si="166">IF($G517=I$1,$D517,"")</f>
        <v/>
      </c>
      <c r="J516" t="str">
        <f t="shared" ref="J516:J579" si="167">IF($G518=J$1,$D518,"")</f>
        <v/>
      </c>
      <c r="K516" t="str">
        <f t="shared" ref="K516:K579" si="168">IF($G519=K$1,$D519,"")</f>
        <v/>
      </c>
      <c r="L516" t="str">
        <f t="shared" ref="L516:L579" si="169">IF($G520=L$1,$D520,"")</f>
        <v/>
      </c>
      <c r="M516" t="str">
        <f t="shared" ref="M516:M579" si="170">IF($G521=M$1,$D521,"")</f>
        <v/>
      </c>
      <c r="N516" t="str">
        <f t="shared" ref="N516:N579" si="171">IF($G522=N$1,$D522,"")</f>
        <v/>
      </c>
      <c r="O516" t="str">
        <f t="shared" ref="O516:O579" si="172">IF($G523=O$1,$D523,"")</f>
        <v/>
      </c>
      <c r="P516" t="str">
        <f t="shared" ref="P516:P579" si="173">IF($G524=P$1,$D524,"")</f>
        <v/>
      </c>
      <c r="Q516" t="str">
        <f t="shared" ref="Q516:Q579" si="174">IF($G525=Q$1,$D525,"")</f>
        <v/>
      </c>
      <c r="R516" t="str">
        <f t="shared" ref="R516:R579" si="175">IF($G526=R$1,$D526,"")</f>
        <v/>
      </c>
      <c r="S516" t="str">
        <f t="shared" ref="S516:S579" si="176">IF($G527=S$1,$D527,"")</f>
        <v/>
      </c>
      <c r="T516" t="str">
        <f t="shared" ref="T516:T579" si="177">IF($G528=T$1,$D528,"")</f>
        <v/>
      </c>
      <c r="U516" t="str">
        <f t="shared" ref="U516:U579" si="178">IF($G529=U$1,$D529,"")</f>
        <v/>
      </c>
      <c r="V516" t="str">
        <f t="shared" ref="V516:V579" si="179">IF($G530=V$1,$D530,"")</f>
        <v/>
      </c>
      <c r="W516" t="str">
        <f t="shared" si="162"/>
        <v xml:space="preserve">              </v>
      </c>
    </row>
    <row r="517" spans="1:23" customFormat="1" hidden="1">
      <c r="A517" t="b">
        <f t="shared" si="161"/>
        <v>0</v>
      </c>
      <c r="B517">
        <f t="shared" si="163"/>
        <v>516</v>
      </c>
      <c r="C517" t="s">
        <v>385</v>
      </c>
      <c r="D517" t="s">
        <v>513</v>
      </c>
      <c r="E517">
        <f t="shared" si="160"/>
        <v>41</v>
      </c>
      <c r="G517">
        <f t="shared" si="164"/>
        <v>7</v>
      </c>
      <c r="H517" t="str">
        <f t="shared" si="165"/>
        <v/>
      </c>
      <c r="I517" t="str">
        <f t="shared" si="166"/>
        <v/>
      </c>
      <c r="J517" t="str">
        <f t="shared" si="167"/>
        <v/>
      </c>
      <c r="K517" t="str">
        <f t="shared" si="168"/>
        <v/>
      </c>
      <c r="L517" t="str">
        <f t="shared" si="169"/>
        <v/>
      </c>
      <c r="M517" t="str">
        <f t="shared" si="170"/>
        <v/>
      </c>
      <c r="N517" t="str">
        <f t="shared" si="171"/>
        <v/>
      </c>
      <c r="O517" t="str">
        <f t="shared" si="172"/>
        <v/>
      </c>
      <c r="P517" t="str">
        <f t="shared" si="173"/>
        <v/>
      </c>
      <c r="Q517" t="str">
        <f t="shared" si="174"/>
        <v/>
      </c>
      <c r="R517" t="str">
        <f t="shared" si="175"/>
        <v/>
      </c>
      <c r="S517" t="str">
        <f t="shared" si="176"/>
        <v/>
      </c>
      <c r="T517" t="str">
        <f t="shared" si="177"/>
        <v/>
      </c>
      <c r="U517" t="str">
        <f t="shared" si="178"/>
        <v/>
      </c>
      <c r="V517" t="str">
        <f t="shared" si="179"/>
        <v/>
      </c>
      <c r="W517" t="str">
        <f t="shared" si="162"/>
        <v xml:space="preserve">              </v>
      </c>
    </row>
    <row r="518" spans="1:23" customFormat="1" hidden="1">
      <c r="A518" t="b">
        <f t="shared" si="161"/>
        <v>0</v>
      </c>
      <c r="B518">
        <f t="shared" si="163"/>
        <v>517</v>
      </c>
      <c r="C518" t="s">
        <v>385</v>
      </c>
      <c r="D518" t="s">
        <v>514</v>
      </c>
      <c r="E518">
        <f t="shared" si="160"/>
        <v>34</v>
      </c>
      <c r="G518">
        <f t="shared" si="164"/>
        <v>8</v>
      </c>
      <c r="H518" t="str">
        <f t="shared" si="165"/>
        <v/>
      </c>
      <c r="I518" t="str">
        <f t="shared" si="166"/>
        <v/>
      </c>
      <c r="J518" t="str">
        <f t="shared" si="167"/>
        <v/>
      </c>
      <c r="K518" t="str">
        <f t="shared" si="168"/>
        <v/>
      </c>
      <c r="L518" t="str">
        <f t="shared" si="169"/>
        <v/>
      </c>
      <c r="M518" t="str">
        <f t="shared" si="170"/>
        <v/>
      </c>
      <c r="N518" t="str">
        <f t="shared" si="171"/>
        <v/>
      </c>
      <c r="O518" t="str">
        <f t="shared" si="172"/>
        <v/>
      </c>
      <c r="P518" t="str">
        <f t="shared" si="173"/>
        <v/>
      </c>
      <c r="Q518" t="str">
        <f t="shared" si="174"/>
        <v/>
      </c>
      <c r="R518" t="str">
        <f t="shared" si="175"/>
        <v/>
      </c>
      <c r="S518" t="str">
        <f t="shared" si="176"/>
        <v/>
      </c>
      <c r="T518" t="str">
        <f t="shared" si="177"/>
        <v/>
      </c>
      <c r="U518" t="str">
        <f t="shared" si="178"/>
        <v/>
      </c>
      <c r="V518" t="str">
        <f t="shared" si="179"/>
        <v/>
      </c>
      <c r="W518" t="str">
        <f t="shared" si="162"/>
        <v xml:space="preserve">              </v>
      </c>
    </row>
    <row r="519" spans="1:23" hidden="1">
      <c r="A519" s="71" t="b">
        <f t="shared" si="161"/>
        <v>0</v>
      </c>
      <c r="B519" s="71">
        <f t="shared" si="163"/>
        <v>518</v>
      </c>
      <c r="C519" s="71" t="s">
        <v>385</v>
      </c>
      <c r="D519" s="71" t="s">
        <v>515</v>
      </c>
      <c r="E519">
        <f t="shared" si="160"/>
        <v>28</v>
      </c>
      <c r="F519">
        <v>1</v>
      </c>
      <c r="G519">
        <f t="shared" si="164"/>
        <v>1</v>
      </c>
      <c r="H519" t="str">
        <f t="shared" si="165"/>
        <v>Stakeholder analysis demands</v>
      </c>
      <c r="I519" t="str">
        <f t="shared" si="166"/>
        <v>quantification of stakeholder objectives;</v>
      </c>
      <c r="J519" t="str">
        <f t="shared" si="167"/>
        <v>goals such as “good,” “satisfaction,” and</v>
      </c>
      <c r="K519" t="str">
        <f t="shared" si="168"/>
        <v>“speedy” aren’t quantifiable.</v>
      </c>
      <c r="L519" t="str">
        <f t="shared" si="169"/>
        <v/>
      </c>
      <c r="M519" t="str">
        <f t="shared" si="170"/>
        <v/>
      </c>
      <c r="N519" t="str">
        <f t="shared" si="171"/>
        <v/>
      </c>
      <c r="O519" t="str">
        <f t="shared" si="172"/>
        <v/>
      </c>
      <c r="P519" t="str">
        <f t="shared" si="173"/>
        <v/>
      </c>
      <c r="Q519" t="str">
        <f t="shared" si="174"/>
        <v/>
      </c>
      <c r="R519" t="str">
        <f t="shared" si="175"/>
        <v/>
      </c>
      <c r="S519" t="str">
        <f t="shared" si="176"/>
        <v/>
      </c>
      <c r="T519" t="str">
        <f t="shared" si="177"/>
        <v/>
      </c>
      <c r="U519" t="str">
        <f t="shared" si="178"/>
        <v/>
      </c>
      <c r="V519" t="str">
        <f t="shared" si="179"/>
        <v/>
      </c>
      <c r="W519" s="71" t="str">
        <f>CONCATENATE(H519," ",I519," ",J519," ",K519," ",L519," ",M519," ",N519," ",O519," ",P519," ",Q519," ",R519," ",S519," ",T519," ",U519," ",V519)</f>
        <v xml:space="preserve">Stakeholder analysis demands quantification of stakeholder objectives; goals such as “good,” “satisfaction,” and “speedy” aren’t quantifiable.           </v>
      </c>
    </row>
    <row r="520" spans="1:23" customFormat="1" hidden="1">
      <c r="A520" t="b">
        <f t="shared" si="161"/>
        <v>0</v>
      </c>
      <c r="B520">
        <f t="shared" si="163"/>
        <v>519</v>
      </c>
      <c r="C520" t="s">
        <v>385</v>
      </c>
      <c r="D520" t="s">
        <v>516</v>
      </c>
      <c r="E520">
        <f t="shared" si="160"/>
        <v>41</v>
      </c>
      <c r="G520">
        <f t="shared" si="164"/>
        <v>2</v>
      </c>
      <c r="H520" t="str">
        <f t="shared" si="165"/>
        <v/>
      </c>
      <c r="I520" t="str">
        <f t="shared" si="166"/>
        <v/>
      </c>
      <c r="J520" t="str">
        <f t="shared" si="167"/>
        <v/>
      </c>
      <c r="K520" t="str">
        <f t="shared" si="168"/>
        <v/>
      </c>
      <c r="L520" t="str">
        <f t="shared" si="169"/>
        <v/>
      </c>
      <c r="M520" t="str">
        <f t="shared" si="170"/>
        <v/>
      </c>
      <c r="N520" t="str">
        <f t="shared" si="171"/>
        <v/>
      </c>
      <c r="O520" t="str">
        <f t="shared" si="172"/>
        <v/>
      </c>
      <c r="P520" t="str">
        <f t="shared" si="173"/>
        <v/>
      </c>
      <c r="Q520" t="str">
        <f t="shared" si="174"/>
        <v/>
      </c>
      <c r="R520" t="str">
        <f t="shared" si="175"/>
        <v/>
      </c>
      <c r="S520" t="str">
        <f t="shared" si="176"/>
        <v/>
      </c>
      <c r="T520" t="str">
        <f t="shared" si="177"/>
        <v/>
      </c>
      <c r="U520" t="str">
        <f t="shared" si="178"/>
        <v/>
      </c>
      <c r="V520" t="str">
        <f t="shared" si="179"/>
        <v/>
      </c>
      <c r="W520" t="str">
        <f t="shared" si="162"/>
        <v xml:space="preserve">              </v>
      </c>
    </row>
    <row r="521" spans="1:23" customFormat="1" hidden="1">
      <c r="A521" t="b">
        <f t="shared" si="161"/>
        <v>0</v>
      </c>
      <c r="B521">
        <f t="shared" si="163"/>
        <v>520</v>
      </c>
      <c r="C521" t="s">
        <v>385</v>
      </c>
      <c r="D521" t="s">
        <v>517</v>
      </c>
      <c r="E521">
        <f t="shared" si="160"/>
        <v>41</v>
      </c>
      <c r="G521">
        <f t="shared" si="164"/>
        <v>3</v>
      </c>
      <c r="H521" t="str">
        <f t="shared" si="165"/>
        <v/>
      </c>
      <c r="I521" t="str">
        <f t="shared" si="166"/>
        <v/>
      </c>
      <c r="J521" t="str">
        <f t="shared" si="167"/>
        <v/>
      </c>
      <c r="K521" t="str">
        <f t="shared" si="168"/>
        <v/>
      </c>
      <c r="L521" t="str">
        <f t="shared" si="169"/>
        <v/>
      </c>
      <c r="M521" t="str">
        <f t="shared" si="170"/>
        <v/>
      </c>
      <c r="N521" t="str">
        <f t="shared" si="171"/>
        <v/>
      </c>
      <c r="O521" t="str">
        <f t="shared" si="172"/>
        <v/>
      </c>
      <c r="P521" t="str">
        <f t="shared" si="173"/>
        <v/>
      </c>
      <c r="Q521" t="str">
        <f t="shared" si="174"/>
        <v/>
      </c>
      <c r="R521" t="str">
        <f t="shared" si="175"/>
        <v/>
      </c>
      <c r="S521" t="str">
        <f t="shared" si="176"/>
        <v/>
      </c>
      <c r="T521" t="str">
        <f t="shared" si="177"/>
        <v/>
      </c>
      <c r="U521" t="str">
        <f t="shared" si="178"/>
        <v/>
      </c>
      <c r="V521" t="str">
        <f t="shared" si="179"/>
        <v/>
      </c>
      <c r="W521" t="str">
        <f t="shared" si="162"/>
        <v xml:space="preserve">              </v>
      </c>
    </row>
    <row r="522" spans="1:23" customFormat="1" hidden="1">
      <c r="A522" t="b">
        <f t="shared" si="161"/>
        <v>0</v>
      </c>
      <c r="B522">
        <f t="shared" si="163"/>
        <v>521</v>
      </c>
      <c r="C522" t="s">
        <v>385</v>
      </c>
      <c r="D522" t="s">
        <v>518</v>
      </c>
      <c r="E522">
        <f t="shared" si="160"/>
        <v>29</v>
      </c>
      <c r="G522">
        <f t="shared" si="164"/>
        <v>4</v>
      </c>
      <c r="H522" t="str">
        <f t="shared" si="165"/>
        <v/>
      </c>
      <c r="I522" t="str">
        <f t="shared" si="166"/>
        <v/>
      </c>
      <c r="J522" t="str">
        <f t="shared" si="167"/>
        <v/>
      </c>
      <c r="K522" t="str">
        <f t="shared" si="168"/>
        <v/>
      </c>
      <c r="L522" t="str">
        <f t="shared" si="169"/>
        <v/>
      </c>
      <c r="M522" t="str">
        <f t="shared" si="170"/>
        <v/>
      </c>
      <c r="N522" t="str">
        <f t="shared" si="171"/>
        <v/>
      </c>
      <c r="O522" t="str">
        <f t="shared" si="172"/>
        <v/>
      </c>
      <c r="P522" t="str">
        <f t="shared" si="173"/>
        <v/>
      </c>
      <c r="Q522" t="str">
        <f t="shared" si="174"/>
        <v/>
      </c>
      <c r="R522" t="str">
        <f t="shared" si="175"/>
        <v/>
      </c>
      <c r="S522" t="str">
        <f t="shared" si="176"/>
        <v/>
      </c>
      <c r="T522" t="str">
        <f t="shared" si="177"/>
        <v/>
      </c>
      <c r="U522" t="str">
        <f t="shared" si="178"/>
        <v/>
      </c>
      <c r="V522" t="str">
        <f t="shared" si="179"/>
        <v/>
      </c>
      <c r="W522" t="str">
        <f t="shared" si="162"/>
        <v xml:space="preserve">              </v>
      </c>
    </row>
    <row r="523" spans="1:23" hidden="1">
      <c r="A523" s="71" t="b">
        <f t="shared" si="161"/>
        <v>0</v>
      </c>
      <c r="B523" s="71">
        <f t="shared" si="163"/>
        <v>522</v>
      </c>
      <c r="C523" s="71" t="s">
        <v>385</v>
      </c>
      <c r="D523" s="71" t="s">
        <v>519</v>
      </c>
      <c r="E523">
        <f t="shared" si="160"/>
        <v>16</v>
      </c>
      <c r="F523">
        <v>1</v>
      </c>
      <c r="G523">
        <f t="shared" si="164"/>
        <v>1</v>
      </c>
      <c r="H523" t="str">
        <f t="shared" si="165"/>
        <v>Systems analysis</v>
      </c>
      <c r="I523" t="str">
        <f t="shared" si="166"/>
        <v>A scope definition approach that studies</v>
      </c>
      <c r="J523" t="str">
        <f t="shared" si="167"/>
        <v>and analyzes a system, its components,</v>
      </c>
      <c r="K523" t="str">
        <f t="shared" si="168"/>
        <v>and the relationship of the components</v>
      </c>
      <c r="L523" t="str">
        <f t="shared" si="169"/>
        <v>within the system.</v>
      </c>
      <c r="M523" t="str">
        <f t="shared" si="170"/>
        <v/>
      </c>
      <c r="N523" t="str">
        <f t="shared" si="171"/>
        <v/>
      </c>
      <c r="O523" t="str">
        <f t="shared" si="172"/>
        <v/>
      </c>
      <c r="P523" t="str">
        <f t="shared" si="173"/>
        <v/>
      </c>
      <c r="Q523" t="str">
        <f t="shared" si="174"/>
        <v/>
      </c>
      <c r="R523" t="str">
        <f t="shared" si="175"/>
        <v/>
      </c>
      <c r="S523" t="str">
        <f t="shared" si="176"/>
        <v/>
      </c>
      <c r="T523" t="str">
        <f t="shared" si="177"/>
        <v/>
      </c>
      <c r="U523" t="str">
        <f t="shared" si="178"/>
        <v/>
      </c>
      <c r="V523" t="str">
        <f t="shared" si="179"/>
        <v/>
      </c>
      <c r="W523" s="71" t="str">
        <f>CONCATENATE(H523," ",I523," ",J523," ",K523," ",L523," ",M523," ",N523," ",O523," ",P523," ",Q523," ",R523," ",S523," ",T523," ",U523," ",V523)</f>
        <v xml:space="preserve">Systems analysis A scope definition approach that studies and analyzes a system, its components, and the relationship of the components within the system.          </v>
      </c>
    </row>
    <row r="524" spans="1:23" customFormat="1" hidden="1">
      <c r="A524" t="b">
        <f t="shared" si="161"/>
        <v>0</v>
      </c>
      <c r="B524">
        <f t="shared" si="163"/>
        <v>523</v>
      </c>
      <c r="C524" t="s">
        <v>385</v>
      </c>
      <c r="D524" t="s">
        <v>520</v>
      </c>
      <c r="E524">
        <f t="shared" si="160"/>
        <v>40</v>
      </c>
      <c r="G524">
        <f t="shared" si="164"/>
        <v>2</v>
      </c>
      <c r="H524" t="str">
        <f t="shared" si="165"/>
        <v/>
      </c>
      <c r="I524" t="str">
        <f t="shared" si="166"/>
        <v/>
      </c>
      <c r="J524" t="str">
        <f t="shared" si="167"/>
        <v/>
      </c>
      <c r="K524" t="str">
        <f t="shared" si="168"/>
        <v/>
      </c>
      <c r="L524" t="str">
        <f t="shared" si="169"/>
        <v/>
      </c>
      <c r="M524" t="str">
        <f t="shared" si="170"/>
        <v/>
      </c>
      <c r="N524" t="str">
        <f t="shared" si="171"/>
        <v/>
      </c>
      <c r="O524" t="str">
        <f t="shared" si="172"/>
        <v/>
      </c>
      <c r="P524" t="str">
        <f t="shared" si="173"/>
        <v/>
      </c>
      <c r="Q524" t="str">
        <f t="shared" si="174"/>
        <v/>
      </c>
      <c r="R524" t="str">
        <f t="shared" si="175"/>
        <v/>
      </c>
      <c r="S524" t="str">
        <f t="shared" si="176"/>
        <v/>
      </c>
      <c r="T524" t="str">
        <f t="shared" si="177"/>
        <v/>
      </c>
      <c r="U524" t="str">
        <f t="shared" si="178"/>
        <v/>
      </c>
      <c r="V524" t="str">
        <f t="shared" si="179"/>
        <v/>
      </c>
      <c r="W524" t="str">
        <f t="shared" si="162"/>
        <v xml:space="preserve">              </v>
      </c>
    </row>
    <row r="525" spans="1:23" customFormat="1" hidden="1">
      <c r="A525" t="b">
        <f t="shared" si="161"/>
        <v>0</v>
      </c>
      <c r="B525">
        <f t="shared" si="163"/>
        <v>524</v>
      </c>
      <c r="C525" t="s">
        <v>385</v>
      </c>
      <c r="D525" t="s">
        <v>521</v>
      </c>
      <c r="E525">
        <f t="shared" si="160"/>
        <v>38</v>
      </c>
      <c r="G525">
        <f t="shared" si="164"/>
        <v>3</v>
      </c>
      <c r="H525" t="str">
        <f t="shared" si="165"/>
        <v/>
      </c>
      <c r="I525" t="str">
        <f t="shared" si="166"/>
        <v/>
      </c>
      <c r="J525" t="str">
        <f t="shared" si="167"/>
        <v/>
      </c>
      <c r="K525" t="str">
        <f t="shared" si="168"/>
        <v/>
      </c>
      <c r="L525" t="str">
        <f t="shared" si="169"/>
        <v/>
      </c>
      <c r="M525" t="str">
        <f t="shared" si="170"/>
        <v/>
      </c>
      <c r="N525" t="str">
        <f t="shared" si="171"/>
        <v/>
      </c>
      <c r="O525" t="str">
        <f t="shared" si="172"/>
        <v/>
      </c>
      <c r="P525" t="str">
        <f t="shared" si="173"/>
        <v/>
      </c>
      <c r="Q525" t="str">
        <f t="shared" si="174"/>
        <v/>
      </c>
      <c r="R525" t="str">
        <f t="shared" si="175"/>
        <v/>
      </c>
      <c r="S525" t="str">
        <f t="shared" si="176"/>
        <v/>
      </c>
      <c r="T525" t="str">
        <f t="shared" si="177"/>
        <v/>
      </c>
      <c r="U525" t="str">
        <f t="shared" si="178"/>
        <v/>
      </c>
      <c r="V525" t="str">
        <f t="shared" si="179"/>
        <v/>
      </c>
      <c r="W525" t="str">
        <f t="shared" si="162"/>
        <v xml:space="preserve">              </v>
      </c>
    </row>
    <row r="526" spans="1:23" customFormat="1" hidden="1">
      <c r="A526" t="b">
        <f t="shared" si="161"/>
        <v>0</v>
      </c>
      <c r="B526">
        <f t="shared" si="163"/>
        <v>525</v>
      </c>
      <c r="C526" t="s">
        <v>385</v>
      </c>
      <c r="D526" t="s">
        <v>522</v>
      </c>
      <c r="E526">
        <f t="shared" si="160"/>
        <v>38</v>
      </c>
      <c r="G526">
        <f t="shared" si="164"/>
        <v>4</v>
      </c>
      <c r="H526" t="str">
        <f t="shared" si="165"/>
        <v/>
      </c>
      <c r="I526" t="str">
        <f t="shared" si="166"/>
        <v/>
      </c>
      <c r="J526" t="str">
        <f t="shared" si="167"/>
        <v/>
      </c>
      <c r="K526" t="str">
        <f t="shared" si="168"/>
        <v/>
      </c>
      <c r="L526" t="str">
        <f t="shared" si="169"/>
        <v/>
      </c>
      <c r="M526" t="str">
        <f t="shared" si="170"/>
        <v/>
      </c>
      <c r="N526" t="str">
        <f t="shared" si="171"/>
        <v/>
      </c>
      <c r="O526" t="str">
        <f t="shared" si="172"/>
        <v/>
      </c>
      <c r="P526" t="str">
        <f t="shared" si="173"/>
        <v/>
      </c>
      <c r="Q526" t="str">
        <f t="shared" si="174"/>
        <v/>
      </c>
      <c r="R526" t="str">
        <f t="shared" si="175"/>
        <v/>
      </c>
      <c r="S526" t="str">
        <f t="shared" si="176"/>
        <v/>
      </c>
      <c r="T526" t="str">
        <f t="shared" si="177"/>
        <v/>
      </c>
      <c r="U526" t="str">
        <f t="shared" si="178"/>
        <v/>
      </c>
      <c r="V526" t="str">
        <f t="shared" si="179"/>
        <v/>
      </c>
      <c r="W526" t="str">
        <f t="shared" si="162"/>
        <v xml:space="preserve">              </v>
      </c>
    </row>
    <row r="527" spans="1:23" customFormat="1" hidden="1">
      <c r="A527" t="b">
        <f t="shared" si="161"/>
        <v>0</v>
      </c>
      <c r="B527">
        <f t="shared" si="163"/>
        <v>526</v>
      </c>
      <c r="C527" t="s">
        <v>385</v>
      </c>
      <c r="D527" t="s">
        <v>523</v>
      </c>
      <c r="E527">
        <f t="shared" si="160"/>
        <v>18</v>
      </c>
      <c r="G527">
        <f t="shared" si="164"/>
        <v>5</v>
      </c>
      <c r="H527" t="str">
        <f t="shared" si="165"/>
        <v/>
      </c>
      <c r="I527" t="str">
        <f t="shared" si="166"/>
        <v/>
      </c>
      <c r="J527" t="str">
        <f t="shared" si="167"/>
        <v/>
      </c>
      <c r="K527" t="str">
        <f t="shared" si="168"/>
        <v/>
      </c>
      <c r="L527" t="str">
        <f t="shared" si="169"/>
        <v/>
      </c>
      <c r="M527" t="str">
        <f t="shared" si="170"/>
        <v/>
      </c>
      <c r="N527" t="str">
        <f t="shared" si="171"/>
        <v/>
      </c>
      <c r="O527" t="str">
        <f t="shared" si="172"/>
        <v/>
      </c>
      <c r="P527" t="str">
        <f t="shared" si="173"/>
        <v/>
      </c>
      <c r="Q527" t="str">
        <f t="shared" si="174"/>
        <v/>
      </c>
      <c r="R527" t="str">
        <f t="shared" si="175"/>
        <v/>
      </c>
      <c r="S527" t="str">
        <f t="shared" si="176"/>
        <v/>
      </c>
      <c r="T527" t="str">
        <f t="shared" si="177"/>
        <v/>
      </c>
      <c r="U527" t="str">
        <f t="shared" si="178"/>
        <v/>
      </c>
      <c r="V527" t="str">
        <f t="shared" si="179"/>
        <v/>
      </c>
      <c r="W527" t="str">
        <f t="shared" si="162"/>
        <v xml:space="preserve">              </v>
      </c>
    </row>
    <row r="528" spans="1:23" hidden="1">
      <c r="A528" s="71" t="b">
        <f t="shared" si="161"/>
        <v>0</v>
      </c>
      <c r="B528" s="71">
        <f t="shared" si="163"/>
        <v>527</v>
      </c>
      <c r="C528" s="71" t="s">
        <v>385</v>
      </c>
      <c r="D528" s="71" t="s">
        <v>524</v>
      </c>
      <c r="E528">
        <f t="shared" si="160"/>
        <v>19</v>
      </c>
      <c r="F528">
        <v>1</v>
      </c>
      <c r="G528">
        <f t="shared" si="164"/>
        <v>1</v>
      </c>
      <c r="H528" t="str">
        <f t="shared" si="165"/>
        <v>Systems engineering</v>
      </c>
      <c r="I528" t="str">
        <f t="shared" si="166"/>
        <v>This project scope statement creation</v>
      </c>
      <c r="J528" t="str">
        <f t="shared" si="167"/>
        <v>process studies how a system should</v>
      </c>
      <c r="K528" t="str">
        <f t="shared" si="168"/>
        <v>work, designs and creates a system</v>
      </c>
      <c r="L528" t="str">
        <f t="shared" si="169"/>
        <v>model, and then enacts the working</v>
      </c>
      <c r="M528" t="str">
        <f t="shared" si="170"/>
        <v>system based on the project’s goals and</v>
      </c>
      <c r="N528" t="str">
        <f t="shared" si="171"/>
        <v>the customer’s expectations. Systems</v>
      </c>
      <c r="O528" t="str">
        <f t="shared" si="172"/>
        <v>engineering aims to balance the time and</v>
      </c>
      <c r="P528" t="str">
        <f t="shared" si="173"/>
        <v>cost of the project in relation to the scope</v>
      </c>
      <c r="Q528" t="str">
        <f t="shared" si="174"/>
        <v>of the project.</v>
      </c>
      <c r="R528" t="str">
        <f t="shared" si="175"/>
        <v/>
      </c>
      <c r="S528" t="str">
        <f t="shared" si="176"/>
        <v/>
      </c>
      <c r="T528" t="str">
        <f t="shared" si="177"/>
        <v/>
      </c>
      <c r="U528" t="str">
        <f t="shared" si="178"/>
        <v/>
      </c>
      <c r="V528" t="str">
        <f t="shared" si="179"/>
        <v/>
      </c>
      <c r="W528" s="71" t="str">
        <f>CONCATENATE(H528," ",I528," ",J528," ",K528," ",L528," ",M528," ",N528," ",O528," ",P528," ",Q528," ",R528," ",S528," ",T528," ",U528," ",V528)</f>
        <v xml:space="preserve">Systems engineering This project scope statement creation process studies how a system should work, designs and creates a system model, and then enacts the working system based on the project’s goals and the customer’s expectations. Systems engineering aims to balance the time and cost of the project in relation to the scope of the project.     </v>
      </c>
    </row>
    <row r="529" spans="1:23" customFormat="1" hidden="1">
      <c r="A529" t="b">
        <f t="shared" si="161"/>
        <v>0</v>
      </c>
      <c r="B529">
        <f t="shared" si="163"/>
        <v>528</v>
      </c>
      <c r="C529" t="s">
        <v>385</v>
      </c>
      <c r="D529" t="s">
        <v>525</v>
      </c>
      <c r="E529">
        <f t="shared" si="160"/>
        <v>37</v>
      </c>
      <c r="G529">
        <f t="shared" si="164"/>
        <v>2</v>
      </c>
      <c r="H529" t="str">
        <f t="shared" si="165"/>
        <v/>
      </c>
      <c r="I529" t="str">
        <f t="shared" si="166"/>
        <v/>
      </c>
      <c r="J529" t="str">
        <f t="shared" si="167"/>
        <v/>
      </c>
      <c r="K529" t="str">
        <f t="shared" si="168"/>
        <v/>
      </c>
      <c r="L529" t="str">
        <f t="shared" si="169"/>
        <v/>
      </c>
      <c r="M529" t="str">
        <f t="shared" si="170"/>
        <v/>
      </c>
      <c r="N529" t="str">
        <f t="shared" si="171"/>
        <v/>
      </c>
      <c r="O529" t="str">
        <f t="shared" si="172"/>
        <v/>
      </c>
      <c r="P529" t="str">
        <f t="shared" si="173"/>
        <v/>
      </c>
      <c r="Q529" t="str">
        <f t="shared" si="174"/>
        <v/>
      </c>
      <c r="R529" t="str">
        <f t="shared" si="175"/>
        <v/>
      </c>
      <c r="S529" t="str">
        <f t="shared" si="176"/>
        <v/>
      </c>
      <c r="T529" t="str">
        <f t="shared" si="177"/>
        <v/>
      </c>
      <c r="U529" t="str">
        <f t="shared" si="178"/>
        <v/>
      </c>
      <c r="V529" t="str">
        <f t="shared" si="179"/>
        <v/>
      </c>
      <c r="W529" t="str">
        <f t="shared" si="162"/>
        <v xml:space="preserve">              </v>
      </c>
    </row>
    <row r="530" spans="1:23" customFormat="1" hidden="1">
      <c r="A530" t="b">
        <f t="shared" si="161"/>
        <v>0</v>
      </c>
      <c r="B530">
        <f t="shared" si="163"/>
        <v>529</v>
      </c>
      <c r="C530" t="s">
        <v>385</v>
      </c>
      <c r="D530" t="s">
        <v>526</v>
      </c>
      <c r="E530">
        <f t="shared" si="160"/>
        <v>35</v>
      </c>
      <c r="G530">
        <f t="shared" si="164"/>
        <v>3</v>
      </c>
      <c r="H530" t="str">
        <f t="shared" si="165"/>
        <v/>
      </c>
      <c r="I530" t="str">
        <f t="shared" si="166"/>
        <v/>
      </c>
      <c r="J530" t="str">
        <f t="shared" si="167"/>
        <v/>
      </c>
      <c r="K530" t="str">
        <f t="shared" si="168"/>
        <v/>
      </c>
      <c r="L530" t="str">
        <f t="shared" si="169"/>
        <v/>
      </c>
      <c r="M530" t="str">
        <f t="shared" si="170"/>
        <v/>
      </c>
      <c r="N530" t="str">
        <f t="shared" si="171"/>
        <v/>
      </c>
      <c r="O530" t="str">
        <f t="shared" si="172"/>
        <v/>
      </c>
      <c r="P530" t="str">
        <f t="shared" si="173"/>
        <v/>
      </c>
      <c r="Q530" t="str">
        <f t="shared" si="174"/>
        <v/>
      </c>
      <c r="R530" t="str">
        <f t="shared" si="175"/>
        <v/>
      </c>
      <c r="S530" t="str">
        <f t="shared" si="176"/>
        <v/>
      </c>
      <c r="T530" t="str">
        <f t="shared" si="177"/>
        <v/>
      </c>
      <c r="U530" t="str">
        <f t="shared" si="178"/>
        <v/>
      </c>
      <c r="V530" t="str">
        <f t="shared" si="179"/>
        <v/>
      </c>
      <c r="W530" t="str">
        <f t="shared" si="162"/>
        <v xml:space="preserve">              </v>
      </c>
    </row>
    <row r="531" spans="1:23" customFormat="1" hidden="1">
      <c r="A531" t="b">
        <f t="shared" si="161"/>
        <v>0</v>
      </c>
      <c r="B531">
        <f t="shared" si="163"/>
        <v>530</v>
      </c>
      <c r="C531" t="s">
        <v>385</v>
      </c>
      <c r="D531" t="s">
        <v>527</v>
      </c>
      <c r="E531">
        <f t="shared" si="160"/>
        <v>34</v>
      </c>
      <c r="G531">
        <f t="shared" si="164"/>
        <v>4</v>
      </c>
      <c r="H531" t="str">
        <f t="shared" si="165"/>
        <v/>
      </c>
      <c r="I531" t="str">
        <f t="shared" si="166"/>
        <v/>
      </c>
      <c r="J531" t="str">
        <f t="shared" si="167"/>
        <v/>
      </c>
      <c r="K531" t="str">
        <f t="shared" si="168"/>
        <v/>
      </c>
      <c r="L531" t="str">
        <f t="shared" si="169"/>
        <v/>
      </c>
      <c r="M531" t="str">
        <f t="shared" si="170"/>
        <v/>
      </c>
      <c r="N531" t="str">
        <f t="shared" si="171"/>
        <v/>
      </c>
      <c r="O531" t="str">
        <f t="shared" si="172"/>
        <v/>
      </c>
      <c r="P531" t="str">
        <f t="shared" si="173"/>
        <v/>
      </c>
      <c r="Q531" t="str">
        <f t="shared" si="174"/>
        <v/>
      </c>
      <c r="R531" t="str">
        <f t="shared" si="175"/>
        <v/>
      </c>
      <c r="S531" t="str">
        <f t="shared" si="176"/>
        <v/>
      </c>
      <c r="T531" t="str">
        <f t="shared" si="177"/>
        <v/>
      </c>
      <c r="U531" t="str">
        <f t="shared" si="178"/>
        <v/>
      </c>
      <c r="V531" t="str">
        <f t="shared" si="179"/>
        <v/>
      </c>
      <c r="W531" t="str">
        <f t="shared" si="162"/>
        <v xml:space="preserve">              </v>
      </c>
    </row>
    <row r="532" spans="1:23" customFormat="1" hidden="1">
      <c r="A532" t="b">
        <f t="shared" si="161"/>
        <v>0</v>
      </c>
      <c r="B532">
        <f t="shared" si="163"/>
        <v>531</v>
      </c>
      <c r="C532" t="s">
        <v>385</v>
      </c>
      <c r="D532" t="s">
        <v>528</v>
      </c>
      <c r="E532">
        <f t="shared" si="160"/>
        <v>34</v>
      </c>
      <c r="G532">
        <f t="shared" si="164"/>
        <v>5</v>
      </c>
      <c r="H532" t="str">
        <f t="shared" si="165"/>
        <v/>
      </c>
      <c r="I532" t="str">
        <f t="shared" si="166"/>
        <v/>
      </c>
      <c r="J532" t="str">
        <f t="shared" si="167"/>
        <v/>
      </c>
      <c r="K532" t="str">
        <f t="shared" si="168"/>
        <v/>
      </c>
      <c r="L532" t="str">
        <f t="shared" si="169"/>
        <v/>
      </c>
      <c r="M532" t="str">
        <f t="shared" si="170"/>
        <v/>
      </c>
      <c r="N532" t="str">
        <f t="shared" si="171"/>
        <v/>
      </c>
      <c r="O532" t="str">
        <f t="shared" si="172"/>
        <v/>
      </c>
      <c r="P532" t="str">
        <f t="shared" si="173"/>
        <v/>
      </c>
      <c r="Q532" t="str">
        <f t="shared" si="174"/>
        <v/>
      </c>
      <c r="R532" t="str">
        <f t="shared" si="175"/>
        <v/>
      </c>
      <c r="S532" t="str">
        <f t="shared" si="176"/>
        <v/>
      </c>
      <c r="T532" t="str">
        <f t="shared" si="177"/>
        <v/>
      </c>
      <c r="U532" t="str">
        <f t="shared" si="178"/>
        <v/>
      </c>
      <c r="V532" t="str">
        <f t="shared" si="179"/>
        <v/>
      </c>
      <c r="W532" t="str">
        <f t="shared" si="162"/>
        <v xml:space="preserve">              </v>
      </c>
    </row>
    <row r="533" spans="1:23" customFormat="1" hidden="1">
      <c r="A533" t="b">
        <f t="shared" si="161"/>
        <v>0</v>
      </c>
      <c r="B533">
        <f t="shared" si="163"/>
        <v>532</v>
      </c>
      <c r="C533" t="s">
        <v>385</v>
      </c>
      <c r="D533" t="s">
        <v>529</v>
      </c>
      <c r="E533">
        <f t="shared" si="160"/>
        <v>39</v>
      </c>
      <c r="G533">
        <f t="shared" si="164"/>
        <v>6</v>
      </c>
      <c r="H533" t="str">
        <f t="shared" si="165"/>
        <v/>
      </c>
      <c r="I533" t="str">
        <f t="shared" si="166"/>
        <v/>
      </c>
      <c r="J533" t="str">
        <f t="shared" si="167"/>
        <v/>
      </c>
      <c r="K533" t="str">
        <f t="shared" si="168"/>
        <v/>
      </c>
      <c r="L533" t="str">
        <f t="shared" si="169"/>
        <v/>
      </c>
      <c r="M533" t="str">
        <f t="shared" si="170"/>
        <v/>
      </c>
      <c r="N533" t="str">
        <f t="shared" si="171"/>
        <v/>
      </c>
      <c r="O533" t="str">
        <f t="shared" si="172"/>
        <v/>
      </c>
      <c r="P533" t="str">
        <f t="shared" si="173"/>
        <v/>
      </c>
      <c r="Q533" t="str">
        <f t="shared" si="174"/>
        <v/>
      </c>
      <c r="R533" t="str">
        <f t="shared" si="175"/>
        <v/>
      </c>
      <c r="S533" t="str">
        <f t="shared" si="176"/>
        <v/>
      </c>
      <c r="T533" t="str">
        <f t="shared" si="177"/>
        <v/>
      </c>
      <c r="U533" t="str">
        <f t="shared" si="178"/>
        <v/>
      </c>
      <c r="V533" t="str">
        <f t="shared" si="179"/>
        <v/>
      </c>
      <c r="W533" t="str">
        <f t="shared" si="162"/>
        <v xml:space="preserve">              </v>
      </c>
    </row>
    <row r="534" spans="1:23" customFormat="1" hidden="1">
      <c r="A534" t="b">
        <f t="shared" si="161"/>
        <v>0</v>
      </c>
      <c r="B534">
        <f t="shared" si="163"/>
        <v>533</v>
      </c>
      <c r="C534" t="s">
        <v>385</v>
      </c>
      <c r="D534" t="s">
        <v>530</v>
      </c>
      <c r="E534">
        <f t="shared" si="160"/>
        <v>36</v>
      </c>
      <c r="G534">
        <f t="shared" si="164"/>
        <v>7</v>
      </c>
      <c r="H534" t="str">
        <f t="shared" si="165"/>
        <v/>
      </c>
      <c r="I534" t="str">
        <f t="shared" si="166"/>
        <v/>
      </c>
      <c r="J534" t="str">
        <f t="shared" si="167"/>
        <v/>
      </c>
      <c r="K534" t="str">
        <f t="shared" si="168"/>
        <v/>
      </c>
      <c r="L534" t="str">
        <f t="shared" si="169"/>
        <v/>
      </c>
      <c r="M534" t="str">
        <f t="shared" si="170"/>
        <v/>
      </c>
      <c r="N534" t="str">
        <f t="shared" si="171"/>
        <v/>
      </c>
      <c r="O534" t="str">
        <f t="shared" si="172"/>
        <v/>
      </c>
      <c r="P534" t="str">
        <f t="shared" si="173"/>
        <v/>
      </c>
      <c r="Q534" t="str">
        <f t="shared" si="174"/>
        <v/>
      </c>
      <c r="R534" t="str">
        <f t="shared" si="175"/>
        <v/>
      </c>
      <c r="S534" t="str">
        <f t="shared" si="176"/>
        <v/>
      </c>
      <c r="T534" t="str">
        <f t="shared" si="177"/>
        <v/>
      </c>
      <c r="U534" t="str">
        <f t="shared" si="178"/>
        <v/>
      </c>
      <c r="V534" t="str">
        <f t="shared" si="179"/>
        <v/>
      </c>
      <c r="W534" t="str">
        <f t="shared" si="162"/>
        <v xml:space="preserve">              </v>
      </c>
    </row>
    <row r="535" spans="1:23" customFormat="1" hidden="1">
      <c r="A535" t="b">
        <f t="shared" si="161"/>
        <v>0</v>
      </c>
      <c r="B535">
        <f t="shared" si="163"/>
        <v>534</v>
      </c>
      <c r="C535" t="s">
        <v>385</v>
      </c>
      <c r="D535" t="s">
        <v>531</v>
      </c>
      <c r="E535">
        <f t="shared" si="160"/>
        <v>40</v>
      </c>
      <c r="G535">
        <f t="shared" si="164"/>
        <v>8</v>
      </c>
      <c r="H535" t="str">
        <f t="shared" si="165"/>
        <v/>
      </c>
      <c r="I535" t="str">
        <f t="shared" si="166"/>
        <v/>
      </c>
      <c r="J535" t="str">
        <f t="shared" si="167"/>
        <v/>
      </c>
      <c r="K535" t="str">
        <f t="shared" si="168"/>
        <v/>
      </c>
      <c r="L535" t="str">
        <f t="shared" si="169"/>
        <v/>
      </c>
      <c r="M535" t="str">
        <f t="shared" si="170"/>
        <v/>
      </c>
      <c r="N535" t="str">
        <f t="shared" si="171"/>
        <v/>
      </c>
      <c r="O535" t="str">
        <f t="shared" si="172"/>
        <v/>
      </c>
      <c r="P535" t="str">
        <f t="shared" si="173"/>
        <v/>
      </c>
      <c r="Q535" t="str">
        <f t="shared" si="174"/>
        <v/>
      </c>
      <c r="R535" t="str">
        <f t="shared" si="175"/>
        <v/>
      </c>
      <c r="S535" t="str">
        <f t="shared" si="176"/>
        <v/>
      </c>
      <c r="T535" t="str">
        <f t="shared" si="177"/>
        <v/>
      </c>
      <c r="U535" t="str">
        <f t="shared" si="178"/>
        <v/>
      </c>
      <c r="V535" t="str">
        <f t="shared" si="179"/>
        <v/>
      </c>
      <c r="W535" t="str">
        <f t="shared" si="162"/>
        <v xml:space="preserve">              </v>
      </c>
    </row>
    <row r="536" spans="1:23" customFormat="1" hidden="1">
      <c r="A536" t="b">
        <f t="shared" si="161"/>
        <v>0</v>
      </c>
      <c r="B536">
        <f t="shared" si="163"/>
        <v>535</v>
      </c>
      <c r="C536" t="s">
        <v>385</v>
      </c>
      <c r="D536" t="s">
        <v>532</v>
      </c>
      <c r="E536">
        <f t="shared" si="160"/>
        <v>44</v>
      </c>
      <c r="G536">
        <f t="shared" si="164"/>
        <v>9</v>
      </c>
      <c r="H536" t="str">
        <f t="shared" si="165"/>
        <v/>
      </c>
      <c r="I536" t="str">
        <f t="shared" si="166"/>
        <v/>
      </c>
      <c r="J536" t="str">
        <f t="shared" si="167"/>
        <v/>
      </c>
      <c r="K536" t="str">
        <f t="shared" si="168"/>
        <v/>
      </c>
      <c r="L536" t="str">
        <f t="shared" si="169"/>
        <v/>
      </c>
      <c r="M536" t="str">
        <f t="shared" si="170"/>
        <v/>
      </c>
      <c r="N536" t="str">
        <f t="shared" si="171"/>
        <v/>
      </c>
      <c r="O536" t="str">
        <f t="shared" si="172"/>
        <v/>
      </c>
      <c r="P536" t="str">
        <f t="shared" si="173"/>
        <v/>
      </c>
      <c r="Q536" t="str">
        <f t="shared" si="174"/>
        <v/>
      </c>
      <c r="R536" t="str">
        <f t="shared" si="175"/>
        <v/>
      </c>
      <c r="S536" t="str">
        <f t="shared" si="176"/>
        <v/>
      </c>
      <c r="T536" t="str">
        <f t="shared" si="177"/>
        <v/>
      </c>
      <c r="U536" t="str">
        <f t="shared" si="178"/>
        <v/>
      </c>
      <c r="V536" t="str">
        <f t="shared" si="179"/>
        <v/>
      </c>
      <c r="W536" t="str">
        <f t="shared" si="162"/>
        <v xml:space="preserve">              </v>
      </c>
    </row>
    <row r="537" spans="1:23" customFormat="1" hidden="1">
      <c r="A537" t="b">
        <f t="shared" si="161"/>
        <v>0</v>
      </c>
      <c r="B537">
        <f t="shared" si="163"/>
        <v>536</v>
      </c>
      <c r="C537" t="s">
        <v>385</v>
      </c>
      <c r="D537" t="s">
        <v>533</v>
      </c>
      <c r="E537">
        <f t="shared" si="160"/>
        <v>15</v>
      </c>
      <c r="G537">
        <f t="shared" si="164"/>
        <v>10</v>
      </c>
      <c r="H537" t="str">
        <f t="shared" si="165"/>
        <v/>
      </c>
      <c r="I537" t="str">
        <f t="shared" si="166"/>
        <v/>
      </c>
      <c r="J537" t="str">
        <f t="shared" si="167"/>
        <v/>
      </c>
      <c r="K537" t="str">
        <f t="shared" si="168"/>
        <v/>
      </c>
      <c r="L537" t="str">
        <f t="shared" si="169"/>
        <v/>
      </c>
      <c r="M537" t="str">
        <f t="shared" si="170"/>
        <v/>
      </c>
      <c r="N537" t="str">
        <f t="shared" si="171"/>
        <v/>
      </c>
      <c r="O537" t="str">
        <f t="shared" si="172"/>
        <v/>
      </c>
      <c r="P537" t="str">
        <f t="shared" si="173"/>
        <v/>
      </c>
      <c r="Q537" t="str">
        <f t="shared" si="174"/>
        <v/>
      </c>
      <c r="R537" t="str">
        <f t="shared" si="175"/>
        <v/>
      </c>
      <c r="S537" t="str">
        <f t="shared" si="176"/>
        <v/>
      </c>
      <c r="T537" t="str">
        <f t="shared" si="177"/>
        <v/>
      </c>
      <c r="U537" t="str">
        <f t="shared" si="178"/>
        <v/>
      </c>
      <c r="V537" t="str">
        <f t="shared" si="179"/>
        <v/>
      </c>
      <c r="W537" t="str">
        <f t="shared" si="162"/>
        <v xml:space="preserve">              </v>
      </c>
    </row>
    <row r="538" spans="1:23" hidden="1">
      <c r="A538" s="71" t="b">
        <f t="shared" si="161"/>
        <v>0</v>
      </c>
      <c r="B538" s="71">
        <f t="shared" si="163"/>
        <v>537</v>
      </c>
      <c r="C538" s="71" t="s">
        <v>385</v>
      </c>
      <c r="D538" s="71" t="s">
        <v>534</v>
      </c>
      <c r="E538">
        <f t="shared" si="160"/>
        <v>9</v>
      </c>
      <c r="F538">
        <v>1</v>
      </c>
      <c r="G538">
        <f t="shared" si="164"/>
        <v>1</v>
      </c>
      <c r="H538" t="str">
        <f t="shared" si="165"/>
        <v>Unanimity</v>
      </c>
      <c r="I538" t="str">
        <f t="shared" si="166"/>
        <v>A group decision method where everyone</v>
      </c>
      <c r="J538" t="str">
        <f t="shared" si="167"/>
        <v>must be in agreement.</v>
      </c>
      <c r="K538" t="str">
        <f t="shared" si="168"/>
        <v/>
      </c>
      <c r="L538" t="str">
        <f t="shared" si="169"/>
        <v/>
      </c>
      <c r="M538" t="str">
        <f t="shared" si="170"/>
        <v/>
      </c>
      <c r="N538" t="str">
        <f t="shared" si="171"/>
        <v/>
      </c>
      <c r="O538" t="str">
        <f t="shared" si="172"/>
        <v/>
      </c>
      <c r="P538" t="str">
        <f t="shared" si="173"/>
        <v/>
      </c>
      <c r="Q538" t="str">
        <f t="shared" si="174"/>
        <v/>
      </c>
      <c r="R538" t="str">
        <f t="shared" si="175"/>
        <v/>
      </c>
      <c r="S538" t="str">
        <f t="shared" si="176"/>
        <v/>
      </c>
      <c r="T538" t="str">
        <f t="shared" si="177"/>
        <v/>
      </c>
      <c r="U538" t="str">
        <f t="shared" si="178"/>
        <v/>
      </c>
      <c r="V538" t="str">
        <f t="shared" si="179"/>
        <v/>
      </c>
      <c r="W538" s="71" t="str">
        <f>CONCATENATE(H538," ",I538," ",J538," ",K538," ",L538," ",M538," ",N538," ",O538," ",P538," ",Q538," ",R538," ",S538," ",T538," ",U538," ",V538)</f>
        <v xml:space="preserve">Unanimity A group decision method where everyone must be in agreement.            </v>
      </c>
    </row>
    <row r="539" spans="1:23" customFormat="1" hidden="1">
      <c r="A539" t="b">
        <f t="shared" si="161"/>
        <v>0</v>
      </c>
      <c r="B539">
        <f t="shared" si="163"/>
        <v>538</v>
      </c>
      <c r="C539" t="s">
        <v>385</v>
      </c>
      <c r="D539" t="s">
        <v>535</v>
      </c>
      <c r="E539">
        <f t="shared" si="160"/>
        <v>38</v>
      </c>
      <c r="G539">
        <f t="shared" si="164"/>
        <v>2</v>
      </c>
      <c r="H539" t="str">
        <f t="shared" si="165"/>
        <v/>
      </c>
      <c r="I539" t="str">
        <f t="shared" si="166"/>
        <v/>
      </c>
      <c r="J539" t="str">
        <f t="shared" si="167"/>
        <v/>
      </c>
      <c r="K539" t="str">
        <f t="shared" si="168"/>
        <v/>
      </c>
      <c r="L539" t="str">
        <f t="shared" si="169"/>
        <v/>
      </c>
      <c r="M539" t="str">
        <f t="shared" si="170"/>
        <v/>
      </c>
      <c r="N539" t="str">
        <f t="shared" si="171"/>
        <v/>
      </c>
      <c r="O539" t="str">
        <f t="shared" si="172"/>
        <v/>
      </c>
      <c r="P539" t="str">
        <f t="shared" si="173"/>
        <v/>
      </c>
      <c r="Q539" t="str">
        <f t="shared" si="174"/>
        <v/>
      </c>
      <c r="R539" t="str">
        <f t="shared" si="175"/>
        <v/>
      </c>
      <c r="S539" t="str">
        <f t="shared" si="176"/>
        <v/>
      </c>
      <c r="T539" t="str">
        <f t="shared" si="177"/>
        <v/>
      </c>
      <c r="U539" t="str">
        <f t="shared" si="178"/>
        <v/>
      </c>
      <c r="V539" t="str">
        <f t="shared" si="179"/>
        <v/>
      </c>
      <c r="W539" t="str">
        <f t="shared" si="162"/>
        <v xml:space="preserve">              </v>
      </c>
    </row>
    <row r="540" spans="1:23" customFormat="1" hidden="1">
      <c r="A540" t="b">
        <f t="shared" si="161"/>
        <v>0</v>
      </c>
      <c r="B540">
        <f t="shared" si="163"/>
        <v>539</v>
      </c>
      <c r="C540" t="s">
        <v>385</v>
      </c>
      <c r="D540" t="s">
        <v>536</v>
      </c>
      <c r="E540">
        <f t="shared" ref="E540:E596" si="180">LEN(D540)</f>
        <v>21</v>
      </c>
      <c r="G540">
        <f t="shared" si="164"/>
        <v>3</v>
      </c>
      <c r="H540" t="str">
        <f t="shared" si="165"/>
        <v/>
      </c>
      <c r="I540" t="str">
        <f t="shared" si="166"/>
        <v/>
      </c>
      <c r="J540" t="str">
        <f t="shared" si="167"/>
        <v/>
      </c>
      <c r="K540" t="str">
        <f t="shared" si="168"/>
        <v/>
      </c>
      <c r="L540" t="str">
        <f t="shared" si="169"/>
        <v/>
      </c>
      <c r="M540" t="str">
        <f t="shared" si="170"/>
        <v/>
      </c>
      <c r="N540" t="str">
        <f t="shared" si="171"/>
        <v/>
      </c>
      <c r="O540" t="str">
        <f t="shared" si="172"/>
        <v/>
      </c>
      <c r="P540" t="str">
        <f t="shared" si="173"/>
        <v/>
      </c>
      <c r="Q540" t="str">
        <f t="shared" si="174"/>
        <v/>
      </c>
      <c r="R540" t="str">
        <f t="shared" si="175"/>
        <v/>
      </c>
      <c r="S540" t="str">
        <f t="shared" si="176"/>
        <v/>
      </c>
      <c r="T540" t="str">
        <f t="shared" si="177"/>
        <v/>
      </c>
      <c r="U540" t="str">
        <f t="shared" si="178"/>
        <v/>
      </c>
      <c r="V540" t="str">
        <f t="shared" si="179"/>
        <v/>
      </c>
      <c r="W540" t="str">
        <f t="shared" si="162"/>
        <v xml:space="preserve">              </v>
      </c>
    </row>
    <row r="541" spans="1:23" hidden="1">
      <c r="A541" s="71" t="b">
        <f t="shared" si="161"/>
        <v>0</v>
      </c>
      <c r="B541" s="71">
        <f t="shared" si="163"/>
        <v>540</v>
      </c>
      <c r="C541" s="71" t="s">
        <v>385</v>
      </c>
      <c r="D541" s="71" t="s">
        <v>537</v>
      </c>
      <c r="E541">
        <f t="shared" si="180"/>
        <v>14</v>
      </c>
      <c r="F541">
        <v>1</v>
      </c>
      <c r="G541">
        <f t="shared" si="164"/>
        <v>1</v>
      </c>
      <c r="H541" t="str">
        <f t="shared" si="165"/>
        <v>Value analysis</v>
      </c>
      <c r="I541" t="str">
        <f t="shared" si="166"/>
        <v>As with value engineering, this approach</v>
      </c>
      <c r="J541" t="str">
        <f t="shared" si="167"/>
        <v>examines the functions of the project’s</v>
      </c>
      <c r="K541" t="str">
        <f t="shared" si="168"/>
        <v>product in relation to the cost of the</v>
      </c>
      <c r="L541" t="str">
        <f t="shared" si="169"/>
        <v>features and functions. This is where, to</v>
      </c>
      <c r="M541" t="str">
        <f t="shared" si="170"/>
        <v>some extent, the grade of the product is</v>
      </c>
      <c r="N541" t="str">
        <f t="shared" si="171"/>
        <v>in relationship to the cost of the product.</v>
      </c>
      <c r="O541" t="str">
        <f t="shared" si="172"/>
        <v/>
      </c>
      <c r="P541" t="str">
        <f t="shared" si="173"/>
        <v/>
      </c>
      <c r="Q541" t="str">
        <f t="shared" si="174"/>
        <v/>
      </c>
      <c r="R541" t="str">
        <f t="shared" si="175"/>
        <v/>
      </c>
      <c r="S541" t="str">
        <f t="shared" si="176"/>
        <v/>
      </c>
      <c r="T541" t="str">
        <f t="shared" si="177"/>
        <v/>
      </c>
      <c r="U541" t="str">
        <f t="shared" si="178"/>
        <v/>
      </c>
      <c r="V541" t="str">
        <f t="shared" si="179"/>
        <v/>
      </c>
      <c r="W541" s="71" t="str">
        <f>CONCATENATE(H541," ",I541," ",J541," ",K541," ",L541," ",M541," ",N541," ",O541," ",P541," ",Q541," ",R541," ",S541," ",T541," ",U541," ",V541)</f>
        <v xml:space="preserve">Value analysis As with value engineering, this approach examines the functions of the project’s product in relation to the cost of the features and functions. This is where, to some extent, the grade of the product is in relationship to the cost of the product.        </v>
      </c>
    </row>
    <row r="542" spans="1:23" customFormat="1" hidden="1">
      <c r="A542" t="b">
        <f t="shared" si="161"/>
        <v>0</v>
      </c>
      <c r="B542">
        <f t="shared" si="163"/>
        <v>541</v>
      </c>
      <c r="C542" t="s">
        <v>385</v>
      </c>
      <c r="D542" t="s">
        <v>538</v>
      </c>
      <c r="E542">
        <f t="shared" si="180"/>
        <v>40</v>
      </c>
      <c r="G542">
        <f t="shared" si="164"/>
        <v>2</v>
      </c>
      <c r="H542" t="str">
        <f t="shared" si="165"/>
        <v/>
      </c>
      <c r="I542" t="str">
        <f t="shared" si="166"/>
        <v/>
      </c>
      <c r="J542" t="str">
        <f t="shared" si="167"/>
        <v/>
      </c>
      <c r="K542" t="str">
        <f t="shared" si="168"/>
        <v/>
      </c>
      <c r="L542" t="str">
        <f t="shared" si="169"/>
        <v/>
      </c>
      <c r="M542" t="str">
        <f t="shared" si="170"/>
        <v/>
      </c>
      <c r="N542" t="str">
        <f t="shared" si="171"/>
        <v/>
      </c>
      <c r="O542" t="str">
        <f t="shared" si="172"/>
        <v/>
      </c>
      <c r="P542" t="str">
        <f t="shared" si="173"/>
        <v/>
      </c>
      <c r="Q542" t="str">
        <f t="shared" si="174"/>
        <v/>
      </c>
      <c r="R542" t="str">
        <f t="shared" si="175"/>
        <v/>
      </c>
      <c r="S542" t="str">
        <f t="shared" si="176"/>
        <v/>
      </c>
      <c r="T542" t="str">
        <f t="shared" si="177"/>
        <v/>
      </c>
      <c r="U542" t="str">
        <f t="shared" si="178"/>
        <v/>
      </c>
      <c r="V542" t="str">
        <f t="shared" si="179"/>
        <v/>
      </c>
      <c r="W542" t="str">
        <f t="shared" si="162"/>
        <v xml:space="preserve">              </v>
      </c>
    </row>
    <row r="543" spans="1:23" customFormat="1" hidden="1">
      <c r="A543" t="b">
        <f t="shared" si="161"/>
        <v>0</v>
      </c>
      <c r="B543">
        <f t="shared" si="163"/>
        <v>542</v>
      </c>
      <c r="C543" t="s">
        <v>385</v>
      </c>
      <c r="D543" t="s">
        <v>539</v>
      </c>
      <c r="E543">
        <f t="shared" si="180"/>
        <v>39</v>
      </c>
      <c r="G543">
        <f t="shared" si="164"/>
        <v>3</v>
      </c>
      <c r="H543" t="str">
        <f t="shared" si="165"/>
        <v/>
      </c>
      <c r="I543" t="str">
        <f t="shared" si="166"/>
        <v/>
      </c>
      <c r="J543" t="str">
        <f t="shared" si="167"/>
        <v/>
      </c>
      <c r="K543" t="str">
        <f t="shared" si="168"/>
        <v/>
      </c>
      <c r="L543" t="str">
        <f t="shared" si="169"/>
        <v/>
      </c>
      <c r="M543" t="str">
        <f t="shared" si="170"/>
        <v/>
      </c>
      <c r="N543" t="str">
        <f t="shared" si="171"/>
        <v/>
      </c>
      <c r="O543" t="str">
        <f t="shared" si="172"/>
        <v/>
      </c>
      <c r="P543" t="str">
        <f t="shared" si="173"/>
        <v/>
      </c>
      <c r="Q543" t="str">
        <f t="shared" si="174"/>
        <v/>
      </c>
      <c r="R543" t="str">
        <f t="shared" si="175"/>
        <v/>
      </c>
      <c r="S543" t="str">
        <f t="shared" si="176"/>
        <v/>
      </c>
      <c r="T543" t="str">
        <f t="shared" si="177"/>
        <v/>
      </c>
      <c r="U543" t="str">
        <f t="shared" si="178"/>
        <v/>
      </c>
      <c r="V543" t="str">
        <f t="shared" si="179"/>
        <v/>
      </c>
      <c r="W543" t="str">
        <f t="shared" si="162"/>
        <v xml:space="preserve">              </v>
      </c>
    </row>
    <row r="544" spans="1:23" customFormat="1" hidden="1">
      <c r="A544" t="b">
        <f t="shared" si="161"/>
        <v>0</v>
      </c>
      <c r="B544">
        <f t="shared" si="163"/>
        <v>543</v>
      </c>
      <c r="C544" t="s">
        <v>385</v>
      </c>
      <c r="D544" t="s">
        <v>540</v>
      </c>
      <c r="E544">
        <f t="shared" si="180"/>
        <v>38</v>
      </c>
      <c r="G544">
        <f t="shared" si="164"/>
        <v>4</v>
      </c>
      <c r="H544" t="str">
        <f t="shared" si="165"/>
        <v/>
      </c>
      <c r="I544" t="str">
        <f t="shared" si="166"/>
        <v/>
      </c>
      <c r="J544" t="str">
        <f t="shared" si="167"/>
        <v/>
      </c>
      <c r="K544" t="str">
        <f t="shared" si="168"/>
        <v/>
      </c>
      <c r="L544" t="str">
        <f t="shared" si="169"/>
        <v/>
      </c>
      <c r="M544" t="str">
        <f t="shared" si="170"/>
        <v/>
      </c>
      <c r="N544" t="str">
        <f t="shared" si="171"/>
        <v/>
      </c>
      <c r="O544" t="str">
        <f t="shared" si="172"/>
        <v/>
      </c>
      <c r="P544" t="str">
        <f t="shared" si="173"/>
        <v/>
      </c>
      <c r="Q544" t="str">
        <f t="shared" si="174"/>
        <v/>
      </c>
      <c r="R544" t="str">
        <f t="shared" si="175"/>
        <v/>
      </c>
      <c r="S544" t="str">
        <f t="shared" si="176"/>
        <v/>
      </c>
      <c r="T544" t="str">
        <f t="shared" si="177"/>
        <v/>
      </c>
      <c r="U544" t="str">
        <f t="shared" si="178"/>
        <v/>
      </c>
      <c r="V544" t="str">
        <f t="shared" si="179"/>
        <v/>
      </c>
      <c r="W544" t="str">
        <f t="shared" si="162"/>
        <v xml:space="preserve">              </v>
      </c>
    </row>
    <row r="545" spans="1:23" customFormat="1" hidden="1">
      <c r="A545" t="b">
        <f t="shared" si="161"/>
        <v>0</v>
      </c>
      <c r="B545">
        <f t="shared" si="163"/>
        <v>544</v>
      </c>
      <c r="C545" t="s">
        <v>385</v>
      </c>
      <c r="D545" t="s">
        <v>541</v>
      </c>
      <c r="E545">
        <f t="shared" si="180"/>
        <v>41</v>
      </c>
      <c r="G545">
        <f t="shared" si="164"/>
        <v>5</v>
      </c>
      <c r="H545" t="str">
        <f t="shared" si="165"/>
        <v/>
      </c>
      <c r="I545" t="str">
        <f t="shared" si="166"/>
        <v/>
      </c>
      <c r="J545" t="str">
        <f t="shared" si="167"/>
        <v/>
      </c>
      <c r="K545" t="str">
        <f t="shared" si="168"/>
        <v/>
      </c>
      <c r="L545" t="str">
        <f t="shared" si="169"/>
        <v/>
      </c>
      <c r="M545" t="str">
        <f t="shared" si="170"/>
        <v/>
      </c>
      <c r="N545" t="str">
        <f t="shared" si="171"/>
        <v/>
      </c>
      <c r="O545" t="str">
        <f t="shared" si="172"/>
        <v/>
      </c>
      <c r="P545" t="str">
        <f t="shared" si="173"/>
        <v/>
      </c>
      <c r="Q545" t="str">
        <f t="shared" si="174"/>
        <v/>
      </c>
      <c r="R545" t="str">
        <f t="shared" si="175"/>
        <v/>
      </c>
      <c r="S545" t="str">
        <f t="shared" si="176"/>
        <v/>
      </c>
      <c r="T545" t="str">
        <f t="shared" si="177"/>
        <v/>
      </c>
      <c r="U545" t="str">
        <f t="shared" si="178"/>
        <v/>
      </c>
      <c r="V545" t="str">
        <f t="shared" si="179"/>
        <v/>
      </c>
      <c r="W545" t="str">
        <f t="shared" si="162"/>
        <v xml:space="preserve">              </v>
      </c>
    </row>
    <row r="546" spans="1:23" customFormat="1" hidden="1">
      <c r="A546" t="b">
        <f t="shared" si="161"/>
        <v>0</v>
      </c>
      <c r="B546">
        <f t="shared" si="163"/>
        <v>545</v>
      </c>
      <c r="C546" t="s">
        <v>385</v>
      </c>
      <c r="D546" t="s">
        <v>542</v>
      </c>
      <c r="E546">
        <f t="shared" si="180"/>
        <v>40</v>
      </c>
      <c r="G546">
        <f t="shared" si="164"/>
        <v>6</v>
      </c>
      <c r="H546" t="str">
        <f t="shared" si="165"/>
        <v/>
      </c>
      <c r="I546" t="str">
        <f t="shared" si="166"/>
        <v/>
      </c>
      <c r="J546" t="str">
        <f t="shared" si="167"/>
        <v/>
      </c>
      <c r="K546" t="str">
        <f t="shared" si="168"/>
        <v/>
      </c>
      <c r="L546" t="str">
        <f t="shared" si="169"/>
        <v/>
      </c>
      <c r="M546" t="str">
        <f t="shared" si="170"/>
        <v/>
      </c>
      <c r="N546" t="str">
        <f t="shared" si="171"/>
        <v/>
      </c>
      <c r="O546" t="str">
        <f t="shared" si="172"/>
        <v/>
      </c>
      <c r="P546" t="str">
        <f t="shared" si="173"/>
        <v/>
      </c>
      <c r="Q546" t="str">
        <f t="shared" si="174"/>
        <v/>
      </c>
      <c r="R546" t="str">
        <f t="shared" si="175"/>
        <v/>
      </c>
      <c r="S546" t="str">
        <f t="shared" si="176"/>
        <v/>
      </c>
      <c r="T546" t="str">
        <f t="shared" si="177"/>
        <v/>
      </c>
      <c r="U546" t="str">
        <f t="shared" si="178"/>
        <v/>
      </c>
      <c r="V546" t="str">
        <f t="shared" si="179"/>
        <v/>
      </c>
      <c r="W546" t="str">
        <f t="shared" si="162"/>
        <v xml:space="preserve">              </v>
      </c>
    </row>
    <row r="547" spans="1:23" customFormat="1" hidden="1">
      <c r="A547" t="b">
        <f t="shared" si="161"/>
        <v>0</v>
      </c>
      <c r="B547">
        <f t="shared" si="163"/>
        <v>546</v>
      </c>
      <c r="C547" t="s">
        <v>385</v>
      </c>
      <c r="D547" t="s">
        <v>543</v>
      </c>
      <c r="E547">
        <f t="shared" si="180"/>
        <v>43</v>
      </c>
      <c r="G547">
        <f t="shared" si="164"/>
        <v>7</v>
      </c>
      <c r="H547" t="str">
        <f t="shared" si="165"/>
        <v/>
      </c>
      <c r="I547" t="str">
        <f t="shared" si="166"/>
        <v/>
      </c>
      <c r="J547" t="str">
        <f t="shared" si="167"/>
        <v/>
      </c>
      <c r="K547" t="str">
        <f t="shared" si="168"/>
        <v/>
      </c>
      <c r="L547" t="str">
        <f t="shared" si="169"/>
        <v/>
      </c>
      <c r="M547" t="str">
        <f t="shared" si="170"/>
        <v/>
      </c>
      <c r="N547" t="str">
        <f t="shared" si="171"/>
        <v/>
      </c>
      <c r="O547" t="str">
        <f t="shared" si="172"/>
        <v/>
      </c>
      <c r="P547" t="str">
        <f t="shared" si="173"/>
        <v/>
      </c>
      <c r="Q547" t="str">
        <f t="shared" si="174"/>
        <v/>
      </c>
      <c r="R547" t="str">
        <f t="shared" si="175"/>
        <v/>
      </c>
      <c r="S547" t="str">
        <f t="shared" si="176"/>
        <v/>
      </c>
      <c r="T547" t="str">
        <f t="shared" si="177"/>
        <v/>
      </c>
      <c r="U547" t="str">
        <f t="shared" si="178"/>
        <v/>
      </c>
      <c r="V547" t="str">
        <f t="shared" si="179"/>
        <v/>
      </c>
      <c r="W547" t="str">
        <f t="shared" si="162"/>
        <v xml:space="preserve">              </v>
      </c>
    </row>
    <row r="548" spans="1:23" hidden="1">
      <c r="A548" s="71" t="b">
        <f t="shared" si="161"/>
        <v>0</v>
      </c>
      <c r="B548" s="71">
        <f t="shared" si="163"/>
        <v>547</v>
      </c>
      <c r="C548" s="71" t="s">
        <v>385</v>
      </c>
      <c r="D548" s="71" t="s">
        <v>544</v>
      </c>
      <c r="E548">
        <f t="shared" si="180"/>
        <v>17</v>
      </c>
      <c r="F548">
        <v>1</v>
      </c>
      <c r="G548">
        <f t="shared" si="164"/>
        <v>1</v>
      </c>
      <c r="H548" t="str">
        <f t="shared" si="165"/>
        <v>Value engineering</v>
      </c>
      <c r="I548" t="str">
        <f t="shared" si="166"/>
        <v>This approach to project scope statement</v>
      </c>
      <c r="J548" t="str">
        <f t="shared" si="167"/>
        <v>creation attempts to find the correct level</v>
      </c>
      <c r="K548" t="str">
        <f t="shared" si="168"/>
        <v>of quality in relation to a reasonable</v>
      </c>
      <c r="L548" t="str">
        <f t="shared" si="169"/>
        <v>budget for the project deliverable while</v>
      </c>
      <c r="M548" t="str">
        <f t="shared" si="170"/>
        <v>still achieving an acceptable level of</v>
      </c>
      <c r="N548" t="str">
        <f t="shared" si="171"/>
        <v>performance of the product.</v>
      </c>
      <c r="O548" t="str">
        <f t="shared" si="172"/>
        <v/>
      </c>
      <c r="P548" t="str">
        <f t="shared" si="173"/>
        <v/>
      </c>
      <c r="Q548" t="str">
        <f t="shared" si="174"/>
        <v/>
      </c>
      <c r="R548" t="str">
        <f t="shared" si="175"/>
        <v/>
      </c>
      <c r="S548" t="str">
        <f t="shared" si="176"/>
        <v/>
      </c>
      <c r="T548" t="str">
        <f t="shared" si="177"/>
        <v/>
      </c>
      <c r="U548" t="str">
        <f t="shared" si="178"/>
        <v/>
      </c>
      <c r="V548" t="str">
        <f t="shared" si="179"/>
        <v/>
      </c>
      <c r="W548" s="71" t="str">
        <f>CONCATENATE(H548," ",I548," ",J548," ",K548," ",L548," ",M548," ",N548," ",O548," ",P548," ",Q548," ",R548," ",S548," ",T548," ",U548," ",V548)</f>
        <v xml:space="preserve">Value engineering This approach to project scope statement creation attempts to find the correct level of quality in relation to a reasonable budget for the project deliverable while still achieving an acceptable level of performance of the product.        </v>
      </c>
    </row>
    <row r="549" spans="1:23" customFormat="1" hidden="1">
      <c r="A549" t="b">
        <f t="shared" si="161"/>
        <v>0</v>
      </c>
      <c r="B549">
        <f t="shared" si="163"/>
        <v>548</v>
      </c>
      <c r="C549" t="s">
        <v>385</v>
      </c>
      <c r="D549" t="s">
        <v>545</v>
      </c>
      <c r="E549">
        <f t="shared" si="180"/>
        <v>40</v>
      </c>
      <c r="G549">
        <f t="shared" si="164"/>
        <v>2</v>
      </c>
      <c r="H549" t="str">
        <f t="shared" si="165"/>
        <v/>
      </c>
      <c r="I549" t="str">
        <f t="shared" si="166"/>
        <v/>
      </c>
      <c r="J549" t="str">
        <f t="shared" si="167"/>
        <v/>
      </c>
      <c r="K549" t="str">
        <f t="shared" si="168"/>
        <v/>
      </c>
      <c r="L549" t="str">
        <f t="shared" si="169"/>
        <v/>
      </c>
      <c r="M549" t="str">
        <f t="shared" si="170"/>
        <v/>
      </c>
      <c r="N549" t="str">
        <f t="shared" si="171"/>
        <v/>
      </c>
      <c r="O549" t="str">
        <f t="shared" si="172"/>
        <v/>
      </c>
      <c r="P549" t="str">
        <f t="shared" si="173"/>
        <v/>
      </c>
      <c r="Q549" t="str">
        <f t="shared" si="174"/>
        <v/>
      </c>
      <c r="R549" t="str">
        <f t="shared" si="175"/>
        <v/>
      </c>
      <c r="S549" t="str">
        <f t="shared" si="176"/>
        <v/>
      </c>
      <c r="T549" t="str">
        <f t="shared" si="177"/>
        <v/>
      </c>
      <c r="U549" t="str">
        <f t="shared" si="178"/>
        <v/>
      </c>
      <c r="V549" t="str">
        <f t="shared" si="179"/>
        <v/>
      </c>
      <c r="W549" t="str">
        <f t="shared" si="162"/>
        <v xml:space="preserve">              </v>
      </c>
    </row>
    <row r="550" spans="1:23" customFormat="1" hidden="1">
      <c r="A550" t="b">
        <f t="shared" si="161"/>
        <v>0</v>
      </c>
      <c r="B550">
        <f t="shared" si="163"/>
        <v>549</v>
      </c>
      <c r="C550" t="s">
        <v>385</v>
      </c>
      <c r="D550" t="s">
        <v>546</v>
      </c>
      <c r="E550">
        <f t="shared" si="180"/>
        <v>43</v>
      </c>
      <c r="G550">
        <f t="shared" si="164"/>
        <v>3</v>
      </c>
      <c r="H550" t="str">
        <f t="shared" si="165"/>
        <v/>
      </c>
      <c r="I550" t="str">
        <f t="shared" si="166"/>
        <v/>
      </c>
      <c r="J550" t="str">
        <f t="shared" si="167"/>
        <v/>
      </c>
      <c r="K550" t="str">
        <f t="shared" si="168"/>
        <v/>
      </c>
      <c r="L550" t="str">
        <f t="shared" si="169"/>
        <v/>
      </c>
      <c r="M550" t="str">
        <f t="shared" si="170"/>
        <v/>
      </c>
      <c r="N550" t="str">
        <f t="shared" si="171"/>
        <v/>
      </c>
      <c r="O550" t="str">
        <f t="shared" si="172"/>
        <v/>
      </c>
      <c r="P550" t="str">
        <f t="shared" si="173"/>
        <v/>
      </c>
      <c r="Q550" t="str">
        <f t="shared" si="174"/>
        <v/>
      </c>
      <c r="R550" t="str">
        <f t="shared" si="175"/>
        <v/>
      </c>
      <c r="S550" t="str">
        <f t="shared" si="176"/>
        <v/>
      </c>
      <c r="T550" t="str">
        <f t="shared" si="177"/>
        <v/>
      </c>
      <c r="U550" t="str">
        <f t="shared" si="178"/>
        <v/>
      </c>
      <c r="V550" t="str">
        <f t="shared" si="179"/>
        <v/>
      </c>
      <c r="W550" t="str">
        <f t="shared" si="162"/>
        <v xml:space="preserve">              </v>
      </c>
    </row>
    <row r="551" spans="1:23" customFormat="1" hidden="1">
      <c r="A551" t="b">
        <f t="shared" si="161"/>
        <v>0</v>
      </c>
      <c r="B551">
        <f t="shared" si="163"/>
        <v>550</v>
      </c>
      <c r="C551" t="s">
        <v>385</v>
      </c>
      <c r="D551" t="s">
        <v>547</v>
      </c>
      <c r="E551">
        <f t="shared" si="180"/>
        <v>38</v>
      </c>
      <c r="G551">
        <f t="shared" si="164"/>
        <v>4</v>
      </c>
      <c r="H551" t="str">
        <f t="shared" si="165"/>
        <v/>
      </c>
      <c r="I551" t="str">
        <f t="shared" si="166"/>
        <v/>
      </c>
      <c r="J551" t="str">
        <f t="shared" si="167"/>
        <v/>
      </c>
      <c r="K551" t="str">
        <f t="shared" si="168"/>
        <v/>
      </c>
      <c r="L551" t="str">
        <f t="shared" si="169"/>
        <v/>
      </c>
      <c r="M551" t="str">
        <f t="shared" si="170"/>
        <v/>
      </c>
      <c r="N551" t="str">
        <f t="shared" si="171"/>
        <v/>
      </c>
      <c r="O551" t="str">
        <f t="shared" si="172"/>
        <v/>
      </c>
      <c r="P551" t="str">
        <f t="shared" si="173"/>
        <v/>
      </c>
      <c r="Q551" t="str">
        <f t="shared" si="174"/>
        <v/>
      </c>
      <c r="R551" t="str">
        <f t="shared" si="175"/>
        <v/>
      </c>
      <c r="S551" t="str">
        <f t="shared" si="176"/>
        <v/>
      </c>
      <c r="T551" t="str">
        <f t="shared" si="177"/>
        <v/>
      </c>
      <c r="U551" t="str">
        <f t="shared" si="178"/>
        <v/>
      </c>
      <c r="V551" t="str">
        <f t="shared" si="179"/>
        <v/>
      </c>
      <c r="W551" t="str">
        <f t="shared" si="162"/>
        <v xml:space="preserve">              </v>
      </c>
    </row>
    <row r="552" spans="1:23" customFormat="1" hidden="1">
      <c r="A552" t="b">
        <f t="shared" si="161"/>
        <v>0</v>
      </c>
      <c r="B552">
        <f t="shared" si="163"/>
        <v>551</v>
      </c>
      <c r="C552" t="s">
        <v>385</v>
      </c>
      <c r="D552" t="s">
        <v>548</v>
      </c>
      <c r="E552">
        <f t="shared" si="180"/>
        <v>40</v>
      </c>
      <c r="G552">
        <f t="shared" si="164"/>
        <v>5</v>
      </c>
      <c r="H552" t="str">
        <f t="shared" si="165"/>
        <v/>
      </c>
      <c r="I552" t="str">
        <f t="shared" si="166"/>
        <v/>
      </c>
      <c r="J552" t="str">
        <f t="shared" si="167"/>
        <v/>
      </c>
      <c r="K552" t="str">
        <f t="shared" si="168"/>
        <v/>
      </c>
      <c r="L552" t="str">
        <f t="shared" si="169"/>
        <v/>
      </c>
      <c r="M552" t="str">
        <f t="shared" si="170"/>
        <v/>
      </c>
      <c r="N552" t="str">
        <f t="shared" si="171"/>
        <v/>
      </c>
      <c r="O552" t="str">
        <f t="shared" si="172"/>
        <v/>
      </c>
      <c r="P552" t="str">
        <f t="shared" si="173"/>
        <v/>
      </c>
      <c r="Q552" t="str">
        <f t="shared" si="174"/>
        <v/>
      </c>
      <c r="R552" t="str">
        <f t="shared" si="175"/>
        <v/>
      </c>
      <c r="S552" t="str">
        <f t="shared" si="176"/>
        <v/>
      </c>
      <c r="T552" t="str">
        <f t="shared" si="177"/>
        <v/>
      </c>
      <c r="U552" t="str">
        <f t="shared" si="178"/>
        <v/>
      </c>
      <c r="V552" t="str">
        <f t="shared" si="179"/>
        <v/>
      </c>
      <c r="W552" t="str">
        <f t="shared" si="162"/>
        <v xml:space="preserve">              </v>
      </c>
    </row>
    <row r="553" spans="1:23" customFormat="1" hidden="1">
      <c r="A553" t="b">
        <f t="shared" si="161"/>
        <v>0</v>
      </c>
      <c r="B553">
        <f t="shared" si="163"/>
        <v>552</v>
      </c>
      <c r="C553" t="s">
        <v>385</v>
      </c>
      <c r="D553" t="s">
        <v>549</v>
      </c>
      <c r="E553">
        <f t="shared" si="180"/>
        <v>38</v>
      </c>
      <c r="G553">
        <f t="shared" si="164"/>
        <v>6</v>
      </c>
      <c r="H553" t="str">
        <f t="shared" si="165"/>
        <v/>
      </c>
      <c r="I553" t="str">
        <f t="shared" si="166"/>
        <v/>
      </c>
      <c r="J553" t="str">
        <f t="shared" si="167"/>
        <v/>
      </c>
      <c r="K553" t="str">
        <f t="shared" si="168"/>
        <v/>
      </c>
      <c r="L553" t="str">
        <f t="shared" si="169"/>
        <v/>
      </c>
      <c r="M553" t="str">
        <f t="shared" si="170"/>
        <v/>
      </c>
      <c r="N553" t="str">
        <f t="shared" si="171"/>
        <v/>
      </c>
      <c r="O553" t="str">
        <f t="shared" si="172"/>
        <v/>
      </c>
      <c r="P553" t="str">
        <f t="shared" si="173"/>
        <v/>
      </c>
      <c r="Q553" t="str">
        <f t="shared" si="174"/>
        <v/>
      </c>
      <c r="R553" t="str">
        <f t="shared" si="175"/>
        <v/>
      </c>
      <c r="S553" t="str">
        <f t="shared" si="176"/>
        <v/>
      </c>
      <c r="T553" t="str">
        <f t="shared" si="177"/>
        <v/>
      </c>
      <c r="U553" t="str">
        <f t="shared" si="178"/>
        <v/>
      </c>
      <c r="V553" t="str">
        <f t="shared" si="179"/>
        <v/>
      </c>
      <c r="W553" t="str">
        <f t="shared" si="162"/>
        <v xml:space="preserve">              </v>
      </c>
    </row>
    <row r="554" spans="1:23" customFormat="1" hidden="1">
      <c r="A554" t="b">
        <f t="shared" si="161"/>
        <v>0</v>
      </c>
      <c r="B554">
        <f t="shared" si="163"/>
        <v>553</v>
      </c>
      <c r="C554" t="s">
        <v>385</v>
      </c>
      <c r="D554" t="s">
        <v>550</v>
      </c>
      <c r="E554">
        <f t="shared" si="180"/>
        <v>27</v>
      </c>
      <c r="G554">
        <f t="shared" si="164"/>
        <v>7</v>
      </c>
      <c r="H554" t="str">
        <f t="shared" si="165"/>
        <v/>
      </c>
      <c r="I554" t="str">
        <f t="shared" si="166"/>
        <v/>
      </c>
      <c r="J554" t="str">
        <f t="shared" si="167"/>
        <v/>
      </c>
      <c r="K554" t="str">
        <f t="shared" si="168"/>
        <v/>
      </c>
      <c r="L554" t="str">
        <f t="shared" si="169"/>
        <v/>
      </c>
      <c r="M554" t="str">
        <f t="shared" si="170"/>
        <v/>
      </c>
      <c r="N554" t="str">
        <f t="shared" si="171"/>
        <v/>
      </c>
      <c r="O554" t="str">
        <f t="shared" si="172"/>
        <v/>
      </c>
      <c r="P554" t="str">
        <f t="shared" si="173"/>
        <v/>
      </c>
      <c r="Q554" t="str">
        <f t="shared" si="174"/>
        <v/>
      </c>
      <c r="R554" t="str">
        <f t="shared" si="175"/>
        <v/>
      </c>
      <c r="S554" t="str">
        <f t="shared" si="176"/>
        <v/>
      </c>
      <c r="T554" t="str">
        <f t="shared" si="177"/>
        <v/>
      </c>
      <c r="U554" t="str">
        <f t="shared" si="178"/>
        <v/>
      </c>
      <c r="V554" t="str">
        <f t="shared" si="179"/>
        <v/>
      </c>
      <c r="W554" t="str">
        <f t="shared" si="162"/>
        <v xml:space="preserve">              </v>
      </c>
    </row>
    <row r="555" spans="1:23" hidden="1">
      <c r="A555" s="71" t="b">
        <f t="shared" si="161"/>
        <v>0</v>
      </c>
      <c r="B555" s="71">
        <f t="shared" si="163"/>
        <v>554</v>
      </c>
      <c r="C555" s="71" t="s">
        <v>385</v>
      </c>
      <c r="D555" s="71" t="s">
        <v>551</v>
      </c>
      <c r="E555">
        <f t="shared" si="180"/>
        <v>14</v>
      </c>
      <c r="F555">
        <v>1</v>
      </c>
      <c r="G555">
        <f t="shared" si="164"/>
        <v>1</v>
      </c>
      <c r="H555" t="str">
        <f t="shared" si="165"/>
        <v>WBS dictionary</v>
      </c>
      <c r="I555" t="str">
        <f t="shared" si="166"/>
        <v>A WBS companion document that</v>
      </c>
      <c r="J555" t="str">
        <f t="shared" si="167"/>
        <v>defines all of the characteristics of each</v>
      </c>
      <c r="K555" t="str">
        <f t="shared" si="168"/>
        <v>element within the WBS.</v>
      </c>
      <c r="L555" t="str">
        <f t="shared" si="169"/>
        <v/>
      </c>
      <c r="M555" t="str">
        <f t="shared" si="170"/>
        <v/>
      </c>
      <c r="N555" t="str">
        <f t="shared" si="171"/>
        <v/>
      </c>
      <c r="O555" t="str">
        <f t="shared" si="172"/>
        <v/>
      </c>
      <c r="P555" t="str">
        <f t="shared" si="173"/>
        <v/>
      </c>
      <c r="Q555" t="str">
        <f t="shared" si="174"/>
        <v/>
      </c>
      <c r="R555" t="str">
        <f t="shared" si="175"/>
        <v/>
      </c>
      <c r="S555" t="str">
        <f t="shared" si="176"/>
        <v/>
      </c>
      <c r="T555" t="str">
        <f t="shared" si="177"/>
        <v/>
      </c>
      <c r="U555" t="str">
        <f t="shared" si="178"/>
        <v/>
      </c>
      <c r="V555" t="str">
        <f t="shared" si="179"/>
        <v/>
      </c>
      <c r="W555" s="71" t="str">
        <f>CONCATENATE(H555," ",I555," ",J555," ",K555," ",L555," ",M555," ",N555," ",O555," ",P555," ",Q555," ",R555," ",S555," ",T555," ",U555," ",V555)</f>
        <v xml:space="preserve">WBS dictionary A WBS companion document that defines all of the characteristics of each element within the WBS.           </v>
      </c>
    </row>
    <row r="556" spans="1:23" customFormat="1" hidden="1">
      <c r="A556" t="b">
        <f t="shared" si="161"/>
        <v>0</v>
      </c>
      <c r="B556">
        <f t="shared" si="163"/>
        <v>555</v>
      </c>
      <c r="C556" t="s">
        <v>385</v>
      </c>
      <c r="D556" t="s">
        <v>552</v>
      </c>
      <c r="E556">
        <f t="shared" si="180"/>
        <v>29</v>
      </c>
      <c r="G556">
        <f t="shared" si="164"/>
        <v>2</v>
      </c>
      <c r="H556" t="str">
        <f t="shared" si="165"/>
        <v/>
      </c>
      <c r="I556" t="str">
        <f t="shared" si="166"/>
        <v/>
      </c>
      <c r="J556" t="str">
        <f t="shared" si="167"/>
        <v/>
      </c>
      <c r="K556" t="str">
        <f t="shared" si="168"/>
        <v/>
      </c>
      <c r="L556" t="str">
        <f t="shared" si="169"/>
        <v/>
      </c>
      <c r="M556" t="str">
        <f t="shared" si="170"/>
        <v/>
      </c>
      <c r="N556" t="str">
        <f t="shared" si="171"/>
        <v/>
      </c>
      <c r="O556" t="str">
        <f t="shared" si="172"/>
        <v/>
      </c>
      <c r="P556" t="str">
        <f t="shared" si="173"/>
        <v/>
      </c>
      <c r="Q556" t="str">
        <f t="shared" si="174"/>
        <v/>
      </c>
      <c r="R556" t="str">
        <f t="shared" si="175"/>
        <v/>
      </c>
      <c r="S556" t="str">
        <f t="shared" si="176"/>
        <v/>
      </c>
      <c r="T556" t="str">
        <f t="shared" si="177"/>
        <v/>
      </c>
      <c r="U556" t="str">
        <f t="shared" si="178"/>
        <v/>
      </c>
      <c r="V556" t="str">
        <f t="shared" si="179"/>
        <v/>
      </c>
      <c r="W556" t="str">
        <f t="shared" si="162"/>
        <v xml:space="preserve">              </v>
      </c>
    </row>
    <row r="557" spans="1:23" customFormat="1" hidden="1">
      <c r="A557" t="b">
        <f t="shared" si="161"/>
        <v>0</v>
      </c>
      <c r="B557">
        <f t="shared" si="163"/>
        <v>556</v>
      </c>
      <c r="C557" t="s">
        <v>385</v>
      </c>
      <c r="D557" t="s">
        <v>553</v>
      </c>
      <c r="E557">
        <f t="shared" si="180"/>
        <v>42</v>
      </c>
      <c r="G557">
        <f t="shared" si="164"/>
        <v>3</v>
      </c>
      <c r="H557" t="str">
        <f t="shared" si="165"/>
        <v/>
      </c>
      <c r="I557" t="str">
        <f t="shared" si="166"/>
        <v/>
      </c>
      <c r="J557" t="str">
        <f t="shared" si="167"/>
        <v/>
      </c>
      <c r="K557" t="str">
        <f t="shared" si="168"/>
        <v/>
      </c>
      <c r="L557" t="str">
        <f t="shared" si="169"/>
        <v/>
      </c>
      <c r="M557" t="str">
        <f t="shared" si="170"/>
        <v/>
      </c>
      <c r="N557" t="str">
        <f t="shared" si="171"/>
        <v/>
      </c>
      <c r="O557" t="str">
        <f t="shared" si="172"/>
        <v/>
      </c>
      <c r="P557" t="str">
        <f t="shared" si="173"/>
        <v/>
      </c>
      <c r="Q557" t="str">
        <f t="shared" si="174"/>
        <v/>
      </c>
      <c r="R557" t="str">
        <f t="shared" si="175"/>
        <v/>
      </c>
      <c r="S557" t="str">
        <f t="shared" si="176"/>
        <v/>
      </c>
      <c r="T557" t="str">
        <f t="shared" si="177"/>
        <v/>
      </c>
      <c r="U557" t="str">
        <f t="shared" si="178"/>
        <v/>
      </c>
      <c r="V557" t="str">
        <f t="shared" si="179"/>
        <v/>
      </c>
      <c r="W557" t="str">
        <f t="shared" si="162"/>
        <v xml:space="preserve">              </v>
      </c>
    </row>
    <row r="558" spans="1:23" customFormat="1" hidden="1">
      <c r="A558" t="b">
        <f t="shared" si="161"/>
        <v>0</v>
      </c>
      <c r="B558">
        <f t="shared" si="163"/>
        <v>557</v>
      </c>
      <c r="C558" t="s">
        <v>385</v>
      </c>
      <c r="D558" t="s">
        <v>554</v>
      </c>
      <c r="E558">
        <f t="shared" si="180"/>
        <v>23</v>
      </c>
      <c r="G558">
        <f t="shared" si="164"/>
        <v>4</v>
      </c>
      <c r="H558" t="str">
        <f t="shared" si="165"/>
        <v/>
      </c>
      <c r="I558" t="str">
        <f t="shared" si="166"/>
        <v/>
      </c>
      <c r="J558" t="str">
        <f t="shared" si="167"/>
        <v/>
      </c>
      <c r="K558" t="str">
        <f t="shared" si="168"/>
        <v/>
      </c>
      <c r="L558" t="str">
        <f t="shared" si="169"/>
        <v/>
      </c>
      <c r="M558" t="str">
        <f t="shared" si="170"/>
        <v/>
      </c>
      <c r="N558" t="str">
        <f t="shared" si="171"/>
        <v/>
      </c>
      <c r="O558" t="str">
        <f t="shared" si="172"/>
        <v/>
      </c>
      <c r="P558" t="str">
        <f t="shared" si="173"/>
        <v/>
      </c>
      <c r="Q558" t="str">
        <f t="shared" si="174"/>
        <v/>
      </c>
      <c r="R558" t="str">
        <f t="shared" si="175"/>
        <v/>
      </c>
      <c r="S558" t="str">
        <f t="shared" si="176"/>
        <v/>
      </c>
      <c r="T558" t="str">
        <f t="shared" si="177"/>
        <v/>
      </c>
      <c r="U558" t="str">
        <f t="shared" si="178"/>
        <v/>
      </c>
      <c r="V558" t="str">
        <f t="shared" si="179"/>
        <v/>
      </c>
      <c r="W558" t="str">
        <f t="shared" si="162"/>
        <v xml:space="preserve">              </v>
      </c>
    </row>
    <row r="559" spans="1:23" hidden="1">
      <c r="A559" s="71" t="b">
        <f t="shared" si="161"/>
        <v>0</v>
      </c>
      <c r="B559" s="71">
        <f t="shared" si="163"/>
        <v>558</v>
      </c>
      <c r="C559" s="71" t="s">
        <v>385</v>
      </c>
      <c r="D559" s="71" t="s">
        <v>555</v>
      </c>
      <c r="E559">
        <f t="shared" si="180"/>
        <v>12</v>
      </c>
      <c r="F559">
        <v>1</v>
      </c>
      <c r="G559">
        <f t="shared" si="164"/>
        <v>1</v>
      </c>
      <c r="H559" t="str">
        <f t="shared" si="165"/>
        <v>WBS template</v>
      </c>
      <c r="I559" t="str">
        <f t="shared" si="166"/>
        <v>A prepopulated WBS for repetitive</v>
      </c>
      <c r="J559" t="str">
        <f t="shared" si="167"/>
        <v>projects. Previous projects’ WBSs are</v>
      </c>
      <c r="K559" t="str">
        <f t="shared" si="168"/>
        <v>often used as templates for current</v>
      </c>
      <c r="L559" t="str">
        <f t="shared" si="169"/>
        <v>similar projects.</v>
      </c>
      <c r="M559" t="str">
        <f t="shared" si="170"/>
        <v/>
      </c>
      <c r="N559" t="str">
        <f t="shared" si="171"/>
        <v/>
      </c>
      <c r="O559" t="str">
        <f t="shared" si="172"/>
        <v/>
      </c>
      <c r="P559" t="str">
        <f t="shared" si="173"/>
        <v/>
      </c>
      <c r="Q559" t="str">
        <f t="shared" si="174"/>
        <v/>
      </c>
      <c r="R559" t="str">
        <f t="shared" si="175"/>
        <v/>
      </c>
      <c r="S559" t="str">
        <f t="shared" si="176"/>
        <v/>
      </c>
      <c r="T559" t="str">
        <f t="shared" si="177"/>
        <v/>
      </c>
      <c r="U559" t="str">
        <f t="shared" si="178"/>
        <v/>
      </c>
      <c r="V559" t="str">
        <f t="shared" si="179"/>
        <v/>
      </c>
      <c r="W559" s="71" t="str">
        <f>CONCATENATE(H559," ",I559," ",J559," ",K559," ",L559," ",M559," ",N559," ",O559," ",P559," ",Q559," ",R559," ",S559," ",T559," ",U559," ",V559)</f>
        <v xml:space="preserve">WBS template A prepopulated WBS for repetitive projects. Previous projects’ WBSs are often used as templates for current similar projects.          </v>
      </c>
    </row>
    <row r="560" spans="1:23" customFormat="1" hidden="1">
      <c r="A560" t="b">
        <f t="shared" si="161"/>
        <v>0</v>
      </c>
      <c r="B560">
        <f t="shared" si="163"/>
        <v>559</v>
      </c>
      <c r="C560" t="s">
        <v>385</v>
      </c>
      <c r="D560" t="s">
        <v>556</v>
      </c>
      <c r="E560">
        <f t="shared" si="180"/>
        <v>33</v>
      </c>
      <c r="G560">
        <f t="shared" si="164"/>
        <v>2</v>
      </c>
      <c r="H560" t="str">
        <f t="shared" si="165"/>
        <v/>
      </c>
      <c r="I560" t="str">
        <f t="shared" si="166"/>
        <v/>
      </c>
      <c r="J560" t="str">
        <f t="shared" si="167"/>
        <v/>
      </c>
      <c r="K560" t="str">
        <f t="shared" si="168"/>
        <v/>
      </c>
      <c r="L560" t="str">
        <f t="shared" si="169"/>
        <v/>
      </c>
      <c r="M560" t="str">
        <f t="shared" si="170"/>
        <v/>
      </c>
      <c r="N560" t="str">
        <f t="shared" si="171"/>
        <v/>
      </c>
      <c r="O560" t="str">
        <f t="shared" si="172"/>
        <v/>
      </c>
      <c r="P560" t="str">
        <f t="shared" si="173"/>
        <v/>
      </c>
      <c r="Q560" t="str">
        <f t="shared" si="174"/>
        <v/>
      </c>
      <c r="R560" t="str">
        <f t="shared" si="175"/>
        <v/>
      </c>
      <c r="S560" t="str">
        <f t="shared" si="176"/>
        <v/>
      </c>
      <c r="T560" t="str">
        <f t="shared" si="177"/>
        <v/>
      </c>
      <c r="U560" t="str">
        <f t="shared" si="178"/>
        <v/>
      </c>
      <c r="V560" t="str">
        <f t="shared" si="179"/>
        <v/>
      </c>
      <c r="W560" t="str">
        <f t="shared" si="162"/>
        <v xml:space="preserve">              </v>
      </c>
    </row>
    <row r="561" spans="1:23" customFormat="1" hidden="1">
      <c r="A561" t="b">
        <f t="shared" si="161"/>
        <v>0</v>
      </c>
      <c r="B561">
        <f t="shared" si="163"/>
        <v>560</v>
      </c>
      <c r="C561" t="s">
        <v>385</v>
      </c>
      <c r="D561" t="s">
        <v>557</v>
      </c>
      <c r="E561">
        <f t="shared" si="180"/>
        <v>37</v>
      </c>
      <c r="G561">
        <f t="shared" si="164"/>
        <v>3</v>
      </c>
      <c r="H561" t="str">
        <f t="shared" si="165"/>
        <v/>
      </c>
      <c r="I561" t="str">
        <f t="shared" si="166"/>
        <v/>
      </c>
      <c r="J561" t="str">
        <f t="shared" si="167"/>
        <v/>
      </c>
      <c r="K561" t="str">
        <f t="shared" si="168"/>
        <v/>
      </c>
      <c r="L561" t="str">
        <f t="shared" si="169"/>
        <v/>
      </c>
      <c r="M561" t="str">
        <f t="shared" si="170"/>
        <v/>
      </c>
      <c r="N561" t="str">
        <f t="shared" si="171"/>
        <v/>
      </c>
      <c r="O561" t="str">
        <f t="shared" si="172"/>
        <v/>
      </c>
      <c r="P561" t="str">
        <f t="shared" si="173"/>
        <v/>
      </c>
      <c r="Q561" t="str">
        <f t="shared" si="174"/>
        <v/>
      </c>
      <c r="R561" t="str">
        <f t="shared" si="175"/>
        <v/>
      </c>
      <c r="S561" t="str">
        <f t="shared" si="176"/>
        <v/>
      </c>
      <c r="T561" t="str">
        <f t="shared" si="177"/>
        <v/>
      </c>
      <c r="U561" t="str">
        <f t="shared" si="178"/>
        <v/>
      </c>
      <c r="V561" t="str">
        <f t="shared" si="179"/>
        <v/>
      </c>
      <c r="W561" t="str">
        <f t="shared" si="162"/>
        <v xml:space="preserve">              </v>
      </c>
    </row>
    <row r="562" spans="1:23" customFormat="1" hidden="1">
      <c r="A562" t="b">
        <f t="shared" si="161"/>
        <v>0</v>
      </c>
      <c r="B562">
        <f t="shared" si="163"/>
        <v>561</v>
      </c>
      <c r="C562" t="s">
        <v>385</v>
      </c>
      <c r="D562" t="s">
        <v>558</v>
      </c>
      <c r="E562">
        <f t="shared" si="180"/>
        <v>35</v>
      </c>
      <c r="G562">
        <f t="shared" si="164"/>
        <v>4</v>
      </c>
      <c r="H562" t="str">
        <f t="shared" si="165"/>
        <v/>
      </c>
      <c r="I562" t="str">
        <f t="shared" si="166"/>
        <v/>
      </c>
      <c r="J562" t="str">
        <f t="shared" si="167"/>
        <v/>
      </c>
      <c r="K562" t="str">
        <f t="shared" si="168"/>
        <v/>
      </c>
      <c r="L562" t="str">
        <f t="shared" si="169"/>
        <v/>
      </c>
      <c r="M562" t="str">
        <f t="shared" si="170"/>
        <v/>
      </c>
      <c r="N562" t="str">
        <f t="shared" si="171"/>
        <v/>
      </c>
      <c r="O562" t="str">
        <f t="shared" si="172"/>
        <v/>
      </c>
      <c r="P562" t="str">
        <f t="shared" si="173"/>
        <v/>
      </c>
      <c r="Q562" t="str">
        <f t="shared" si="174"/>
        <v/>
      </c>
      <c r="R562" t="str">
        <f t="shared" si="175"/>
        <v/>
      </c>
      <c r="S562" t="str">
        <f t="shared" si="176"/>
        <v/>
      </c>
      <c r="T562" t="str">
        <f t="shared" si="177"/>
        <v/>
      </c>
      <c r="U562" t="str">
        <f t="shared" si="178"/>
        <v/>
      </c>
      <c r="V562" t="str">
        <f t="shared" si="179"/>
        <v/>
      </c>
      <c r="W562" t="str">
        <f t="shared" si="162"/>
        <v xml:space="preserve">              </v>
      </c>
    </row>
    <row r="563" spans="1:23" customFormat="1" hidden="1">
      <c r="A563" t="b">
        <f t="shared" si="161"/>
        <v>0</v>
      </c>
      <c r="B563">
        <f t="shared" si="163"/>
        <v>562</v>
      </c>
      <c r="C563" t="s">
        <v>385</v>
      </c>
      <c r="D563" t="s">
        <v>559</v>
      </c>
      <c r="E563">
        <f t="shared" si="180"/>
        <v>17</v>
      </c>
      <c r="G563">
        <f t="shared" si="164"/>
        <v>5</v>
      </c>
      <c r="H563" t="str">
        <f t="shared" si="165"/>
        <v/>
      </c>
      <c r="I563" t="str">
        <f t="shared" si="166"/>
        <v/>
      </c>
      <c r="J563" t="str">
        <f t="shared" si="167"/>
        <v/>
      </c>
      <c r="K563" t="str">
        <f t="shared" si="168"/>
        <v/>
      </c>
      <c r="L563" t="str">
        <f t="shared" si="169"/>
        <v/>
      </c>
      <c r="M563" t="str">
        <f t="shared" si="170"/>
        <v/>
      </c>
      <c r="N563" t="str">
        <f t="shared" si="171"/>
        <v/>
      </c>
      <c r="O563" t="str">
        <f t="shared" si="172"/>
        <v/>
      </c>
      <c r="P563" t="str">
        <f t="shared" si="173"/>
        <v/>
      </c>
      <c r="Q563" t="str">
        <f t="shared" si="174"/>
        <v/>
      </c>
      <c r="R563" t="str">
        <f t="shared" si="175"/>
        <v/>
      </c>
      <c r="S563" t="str">
        <f t="shared" si="176"/>
        <v/>
      </c>
      <c r="T563" t="str">
        <f t="shared" si="177"/>
        <v/>
      </c>
      <c r="U563" t="str">
        <f t="shared" si="178"/>
        <v/>
      </c>
      <c r="V563" t="str">
        <f t="shared" si="179"/>
        <v/>
      </c>
      <c r="W563" t="str">
        <f t="shared" si="162"/>
        <v xml:space="preserve">              </v>
      </c>
    </row>
    <row r="564" spans="1:23" hidden="1">
      <c r="A564" s="71" t="b">
        <f t="shared" si="161"/>
        <v>0</v>
      </c>
      <c r="B564" s="71">
        <f t="shared" si="163"/>
        <v>563</v>
      </c>
      <c r="C564" s="71" t="s">
        <v>385</v>
      </c>
      <c r="D564" s="71" t="s">
        <v>560</v>
      </c>
      <c r="E564">
        <f t="shared" si="180"/>
        <v>30</v>
      </c>
      <c r="F564">
        <v>1</v>
      </c>
      <c r="G564">
        <f t="shared" si="164"/>
        <v>1</v>
      </c>
      <c r="H564" t="str">
        <f t="shared" si="165"/>
        <v>Work breakdown structure (WBS)</v>
      </c>
      <c r="I564" t="str">
        <f t="shared" si="166"/>
        <v>A deliverables-oriented breakdown of the</v>
      </c>
      <c r="J564" t="str">
        <f t="shared" si="167"/>
        <v>project scope.</v>
      </c>
      <c r="K564" t="str">
        <f t="shared" si="168"/>
        <v>Work package The smallest item in the WBS.</v>
      </c>
      <c r="L564" t="str">
        <f t="shared" si="169"/>
        <v/>
      </c>
      <c r="M564" t="str">
        <f t="shared" si="170"/>
        <v/>
      </c>
      <c r="N564" t="str">
        <f t="shared" si="171"/>
        <v/>
      </c>
      <c r="O564" t="str">
        <f t="shared" si="172"/>
        <v/>
      </c>
      <c r="P564" t="str">
        <f t="shared" si="173"/>
        <v/>
      </c>
      <c r="Q564" t="str">
        <f t="shared" si="174"/>
        <v/>
      </c>
      <c r="R564" t="str">
        <f t="shared" si="175"/>
        <v/>
      </c>
      <c r="S564" t="str">
        <f t="shared" si="176"/>
        <v/>
      </c>
      <c r="T564" t="str">
        <f t="shared" si="177"/>
        <v/>
      </c>
      <c r="U564" t="str">
        <f t="shared" si="178"/>
        <v/>
      </c>
      <c r="V564" t="str">
        <f t="shared" si="179"/>
        <v/>
      </c>
      <c r="W564" s="71" t="str">
        <f>CONCATENATE(H564," ",I564," ",J564," ",K564," ",L564," ",M564," ",N564," ",O564," ",P564," ",Q564," ",R564," ",S564," ",T564," ",U564," ",V564)</f>
        <v xml:space="preserve">Work breakdown structure (WBS) A deliverables-oriented breakdown of the project scope. Work package The smallest item in the WBS.           </v>
      </c>
    </row>
    <row r="565" spans="1:23" customFormat="1" hidden="1">
      <c r="A565" t="b">
        <f t="shared" si="161"/>
        <v>0</v>
      </c>
      <c r="B565">
        <f t="shared" si="163"/>
        <v>564</v>
      </c>
      <c r="C565" t="s">
        <v>385</v>
      </c>
      <c r="D565" t="s">
        <v>561</v>
      </c>
      <c r="E565">
        <f t="shared" si="180"/>
        <v>40</v>
      </c>
      <c r="G565">
        <f t="shared" si="164"/>
        <v>2</v>
      </c>
      <c r="H565" t="str">
        <f t="shared" si="165"/>
        <v/>
      </c>
      <c r="I565" t="str">
        <f t="shared" si="166"/>
        <v/>
      </c>
      <c r="J565" t="str">
        <f t="shared" si="167"/>
        <v/>
      </c>
      <c r="K565" t="str">
        <f t="shared" si="168"/>
        <v/>
      </c>
      <c r="L565" t="str">
        <f t="shared" si="169"/>
        <v/>
      </c>
      <c r="M565" t="str">
        <f t="shared" si="170"/>
        <v/>
      </c>
      <c r="N565" t="str">
        <f t="shared" si="171"/>
        <v/>
      </c>
      <c r="O565" t="str">
        <f t="shared" si="172"/>
        <v/>
      </c>
      <c r="P565" t="str">
        <f t="shared" si="173"/>
        <v/>
      </c>
      <c r="Q565" t="str">
        <f t="shared" si="174"/>
        <v/>
      </c>
      <c r="R565" t="str">
        <f t="shared" si="175"/>
        <v/>
      </c>
      <c r="S565" t="str">
        <f t="shared" si="176"/>
        <v/>
      </c>
      <c r="T565" t="str">
        <f t="shared" si="177"/>
        <v/>
      </c>
      <c r="U565" t="str">
        <f t="shared" si="178"/>
        <v/>
      </c>
      <c r="V565" t="str">
        <f t="shared" si="179"/>
        <v/>
      </c>
      <c r="W565" t="str">
        <f t="shared" si="162"/>
        <v xml:space="preserve">              </v>
      </c>
    </row>
    <row r="566" spans="1:23" customFormat="1" hidden="1">
      <c r="A566" t="b">
        <f t="shared" si="161"/>
        <v>0</v>
      </c>
      <c r="B566">
        <f t="shared" si="163"/>
        <v>565</v>
      </c>
      <c r="C566" t="s">
        <v>385</v>
      </c>
      <c r="D566" t="s">
        <v>562</v>
      </c>
      <c r="E566">
        <f t="shared" si="180"/>
        <v>14</v>
      </c>
      <c r="G566">
        <f t="shared" si="164"/>
        <v>3</v>
      </c>
      <c r="H566" t="str">
        <f t="shared" si="165"/>
        <v/>
      </c>
      <c r="I566" t="str">
        <f t="shared" si="166"/>
        <v/>
      </c>
      <c r="J566" t="str">
        <f t="shared" si="167"/>
        <v/>
      </c>
      <c r="K566" t="str">
        <f t="shared" si="168"/>
        <v/>
      </c>
      <c r="L566" t="str">
        <f t="shared" si="169"/>
        <v/>
      </c>
      <c r="M566" t="str">
        <f t="shared" si="170"/>
        <v/>
      </c>
      <c r="N566" t="str">
        <f t="shared" si="171"/>
        <v/>
      </c>
      <c r="O566" t="str">
        <f t="shared" si="172"/>
        <v/>
      </c>
      <c r="P566" t="str">
        <f t="shared" si="173"/>
        <v/>
      </c>
      <c r="Q566" t="str">
        <f t="shared" si="174"/>
        <v/>
      </c>
      <c r="R566" t="str">
        <f t="shared" si="175"/>
        <v/>
      </c>
      <c r="S566" t="str">
        <f t="shared" si="176"/>
        <v/>
      </c>
      <c r="T566" t="str">
        <f t="shared" si="177"/>
        <v/>
      </c>
      <c r="U566" t="str">
        <f t="shared" si="178"/>
        <v/>
      </c>
      <c r="V566" t="str">
        <f t="shared" si="179"/>
        <v/>
      </c>
      <c r="W566" t="str">
        <f t="shared" si="162"/>
        <v xml:space="preserve">              </v>
      </c>
    </row>
    <row r="567" spans="1:23" customFormat="1" hidden="1">
      <c r="A567" t="b">
        <f t="shared" si="161"/>
        <v>0</v>
      </c>
      <c r="B567">
        <f t="shared" si="163"/>
        <v>566</v>
      </c>
      <c r="C567" t="s">
        <v>385</v>
      </c>
      <c r="D567" t="s">
        <v>563</v>
      </c>
      <c r="E567">
        <f t="shared" si="180"/>
        <v>42</v>
      </c>
      <c r="G567">
        <f t="shared" si="164"/>
        <v>4</v>
      </c>
      <c r="H567" t="str">
        <f t="shared" si="165"/>
        <v/>
      </c>
      <c r="I567" t="str">
        <f t="shared" si="166"/>
        <v/>
      </c>
      <c r="J567" t="str">
        <f t="shared" si="167"/>
        <v/>
      </c>
      <c r="K567" t="str">
        <f t="shared" si="168"/>
        <v/>
      </c>
      <c r="L567" t="str">
        <f t="shared" si="169"/>
        <v/>
      </c>
      <c r="M567" t="str">
        <f t="shared" si="170"/>
        <v/>
      </c>
      <c r="N567" t="str">
        <f t="shared" si="171"/>
        <v/>
      </c>
      <c r="O567" t="str">
        <f t="shared" si="172"/>
        <v/>
      </c>
      <c r="P567" t="str">
        <f t="shared" si="173"/>
        <v/>
      </c>
      <c r="Q567" t="str">
        <f t="shared" si="174"/>
        <v/>
      </c>
      <c r="R567" t="str">
        <f t="shared" si="175"/>
        <v/>
      </c>
      <c r="S567" t="str">
        <f t="shared" si="176"/>
        <v/>
      </c>
      <c r="T567" t="str">
        <f t="shared" si="177"/>
        <v/>
      </c>
      <c r="U567" t="str">
        <f t="shared" si="178"/>
        <v/>
      </c>
      <c r="V567" t="str">
        <f t="shared" si="179"/>
        <v/>
      </c>
      <c r="W567" t="str">
        <f t="shared" si="162"/>
        <v xml:space="preserve">              </v>
      </c>
    </row>
    <row r="568" spans="1:23" hidden="1">
      <c r="A568" s="71" t="b">
        <f t="shared" si="161"/>
        <v>0</v>
      </c>
      <c r="B568" s="71">
        <f t="shared" si="163"/>
        <v>567</v>
      </c>
      <c r="C568" s="71" t="s">
        <v>385</v>
      </c>
      <c r="D568" s="71" t="s">
        <v>53</v>
      </c>
      <c r="E568">
        <f t="shared" si="180"/>
        <v>28</v>
      </c>
      <c r="F568">
        <v>1</v>
      </c>
      <c r="G568">
        <f t="shared" si="164"/>
        <v>1</v>
      </c>
      <c r="H568" t="str">
        <f t="shared" si="165"/>
        <v>Work performance information</v>
      </c>
      <c r="I568" t="str">
        <f t="shared" si="166"/>
        <v>Status of the deliverables: the work that’s</v>
      </c>
      <c r="J568" t="str">
        <f t="shared" si="167"/>
        <v>been started, finished, or has yet to</v>
      </c>
      <c r="K568" t="str">
        <f t="shared" si="168"/>
        <v>begin.</v>
      </c>
      <c r="L568" t="str">
        <f t="shared" si="169"/>
        <v>Control threshold A predetermined range of acceptable variances, such as +/–10 percent off schedule. Should the variance exceed the threshold, then project control processes and corrected actions will be enacted. Crashing A schedule compression approach that adds more resources to activities on the critical path to complete the project earlier. When crashing a project, costs are added because the associated labor and sometimes resources (such as faster equipment) cause costs to increase. Critical path The path in the project network diagram that cannot be delayed, otherwise the project completion date will be late. There can be more than one critical path. Activities in the critical path have no float. Discretionary dependencies These dependencies are the preferred order of activities. Project managers should use these relationships at their discretion and should document the logic behind the decision. Discretionary dependencies allow activities to happen in a preferred order because of best practices, conditions unique to the project work, or external events. Also known as preferential or soft logic. Early finish The earliest a project activity can finish. Used in the forward pass procedure to discover the critical path and the project float. Early start The earliest a project activity can begin. Used in the forward pass procedure to discover the critical path and the project float.</v>
      </c>
      <c r="M568" t="str">
        <f t="shared" si="170"/>
        <v>External dependencies As the name implies, these are dependencies outside of the project’s control. Examples include the delivery of equipment from a vendor, the deliverable of another project, or the decision of a committee, lawsuit, or expected new law. Fast tracking A schedule compression method that changes the relationship of activities. With fast tracking, activities that would normally be done in sequence are allowed to be done in parallel or with some overlap. Fast tracking can be accomplished by changing the relation of activities from FS to SS or even FF or by adding lead time to downstream activities. However, fast tracking does add risk to the project. Finish-to-finish An activity relationship type that requires the current activity to be finished before its successor can finish. Finish-to-start An activity relationship type that requires the current activity to be finished before its successor can start. Fragnet A representation of a project network diagram that is often used for outsourced portions of a project, repetitive work within a project, or a subproject. Also called a subnet. Free float This is the total time a single activity can be delayed without affecting the early start of its immediately following successor activities. Hard logic Logic that describes activities that must happen in a particular order. For example, the dirt must be excavated before the foundation can be built. The foundation must be in place before the framing can begin. Also known as a mandatory dependency.</v>
      </c>
      <c r="N568" t="str">
        <f t="shared" si="171"/>
        <v>Internal dependencies Internal relationships to the project or the organization. For example, the project team must create the software as part of the project’s deliverable before the software can be tested for quality control. Lag time Positive time that moves two or more activities further apart. Late finish The latest a project activity can finish. Used in the backward pass procedure to discover the critical path and the project float. Late start The latest a project activity can begin. Used in the backward pass procedure to discover the critical path and the project float. Lead time Negative time that allows two or more activities to overlap where ordinarily these activities would be sequential. Management reserve A percentage of the project duration to combat Parkinson’s Law. When project activities become late, their lateness is subtracted from the management reserve. Mandatory dependencies These dependencies are the natural order of activities. For example, you can’t begin building your house until your foundation is in place. These relationships are called hard logic.</v>
      </c>
      <c r="O568" t="str">
        <f t="shared" si="172"/>
        <v/>
      </c>
      <c r="P568" t="str">
        <f t="shared" si="173"/>
        <v/>
      </c>
      <c r="Q568" t="str">
        <f t="shared" si="174"/>
        <v/>
      </c>
      <c r="R568" t="str">
        <f t="shared" si="175"/>
        <v/>
      </c>
      <c r="S568" t="str">
        <f t="shared" si="176"/>
        <v/>
      </c>
      <c r="T568" t="str">
        <f t="shared" si="177"/>
        <v/>
      </c>
      <c r="U568" t="str">
        <f t="shared" si="178"/>
        <v/>
      </c>
      <c r="V568" t="str">
        <f t="shared" si="179"/>
        <v/>
      </c>
      <c r="W568" s="71" t="str">
        <f>CONCATENATE(H568," ",I568," ",J568," ",K568," ",L568," ",M568," ",N568," ",O568," ",P568," ",Q568," ",R568," ",S568," ",T568," ",U568," ",V568)</f>
        <v xml:space="preserve">Work performance information Status of the deliverables: the work that’s been started, finished, or has yet to begin. Control threshold A predetermined range of acceptable variances, such as +/–10 percent off schedule. Should the variance exceed the threshold, then project control processes and corrected actions will be enacted. Crashing A schedule compression approach that adds more resources to activities on the critical path to complete the project earlier. When crashing a project, costs are added because the associated labor and sometimes resources (such as faster equipment) cause costs to increase. Critical path The path in the project network diagram that cannot be delayed, otherwise the project completion date will be late. There can be more than one critical path. Activities in the critical path have no float. Discretionary dependencies These dependencies are the preferred order of activities. Project managers should use these relationships at their discretion and should document the logic behind the decision. Discretionary dependencies allow activities to happen in a preferred order because of best practices, conditions unique to the project work, or external events. Also known as preferential or soft logic. Early finish The earliest a project activity can finish. Used in the forward pass procedure to discover the critical path and the project float. Early start The earliest a project activity can begin. Used in the forward pass procedure to discover the critical path and the project float. External dependencies As the name implies, these are dependencies outside of the project’s control. Examples include the delivery of equipment from a vendor, the deliverable of another project, or the decision of a committee, lawsuit, or expected new law. Fast tracking A schedule compression method that changes the relationship of activities. With fast tracking, activities that would normally be done in sequence are allowed to be done in parallel or with some overlap. Fast tracking can be accomplished by changing the relation of activities from FS to SS or even FF or by adding lead time to downstream activities. However, fast tracking does add risk to the project. Finish-to-finish An activity relationship type that requires the current activity to be finished before its successor can finish. Finish-to-start An activity relationship type that requires the current activity to be finished before its successor can start. Fragnet A representation of a project network diagram that is often used for outsourced portions of a project, repetitive work within a project, or a subproject. Also called a subnet. Free float This is the total time a single activity can be delayed without affecting the early start of its immediately following successor activities. Hard logic Logic that describes activities that must happen in a particular order. For example, the dirt must be excavated before the foundation can be built. The foundation must be in place before the framing can begin. Also known as a mandatory dependency. Internal dependencies Internal relationships to the project or the organization. For example, the project team must create the software as part of the project’s deliverable before the software can be tested for quality control. Lag time Positive time that moves two or more activities further apart. Late finish The latest a project activity can finish. Used in the backward pass procedure to discover the critical path and the project float. Late start The latest a project activity can begin. Used in the backward pass procedure to discover the critical path and the project float. Lead time Negative time that allows two or more activities to overlap where ordinarily these activities would be sequential. Management reserve A percentage of the project duration to combat Parkinson’s Law. When project activities become late, their lateness is subtracted from the management reserve. Mandatory dependencies These dependencies are the natural order of activities. For example, you can’t begin building your house until your foundation is in place. These relationships are called hard logic.        </v>
      </c>
    </row>
    <row r="569" spans="1:23" customFormat="1" hidden="1">
      <c r="A569" t="b">
        <f t="shared" si="161"/>
        <v>0</v>
      </c>
      <c r="B569">
        <f t="shared" si="163"/>
        <v>568</v>
      </c>
      <c r="C569" t="s">
        <v>385</v>
      </c>
      <c r="D569" t="s">
        <v>564</v>
      </c>
      <c r="E569">
        <f t="shared" si="180"/>
        <v>43</v>
      </c>
      <c r="G569">
        <f t="shared" si="164"/>
        <v>2</v>
      </c>
      <c r="H569" t="str">
        <f t="shared" si="165"/>
        <v/>
      </c>
      <c r="I569" t="str">
        <f t="shared" si="166"/>
        <v/>
      </c>
      <c r="J569" t="str">
        <f t="shared" si="167"/>
        <v/>
      </c>
      <c r="K569" t="str">
        <f t="shared" si="168"/>
        <v/>
      </c>
      <c r="L569" t="str">
        <f t="shared" si="169"/>
        <v/>
      </c>
      <c r="M569" t="str">
        <f t="shared" si="170"/>
        <v/>
      </c>
      <c r="N569" t="str">
        <f t="shared" si="171"/>
        <v/>
      </c>
      <c r="O569" t="str">
        <f t="shared" si="172"/>
        <v/>
      </c>
      <c r="P569" t="str">
        <f t="shared" si="173"/>
        <v/>
      </c>
      <c r="Q569" t="str">
        <f t="shared" si="174"/>
        <v/>
      </c>
      <c r="R569" t="str">
        <f t="shared" si="175"/>
        <v/>
      </c>
      <c r="S569" t="str">
        <f t="shared" si="176"/>
        <v/>
      </c>
      <c r="T569" t="str">
        <f t="shared" si="177"/>
        <v/>
      </c>
      <c r="U569" t="str">
        <f t="shared" si="178"/>
        <v/>
      </c>
      <c r="V569" t="str">
        <f t="shared" si="179"/>
        <v/>
      </c>
      <c r="W569" t="str">
        <f t="shared" si="162"/>
        <v xml:space="preserve">              </v>
      </c>
    </row>
    <row r="570" spans="1:23" customFormat="1" hidden="1">
      <c r="A570" t="b">
        <f t="shared" si="161"/>
        <v>0</v>
      </c>
      <c r="B570">
        <f t="shared" si="163"/>
        <v>569</v>
      </c>
      <c r="C570" t="s">
        <v>385</v>
      </c>
      <c r="D570" t="s">
        <v>565</v>
      </c>
      <c r="E570">
        <f t="shared" si="180"/>
        <v>37</v>
      </c>
      <c r="G570">
        <f t="shared" si="164"/>
        <v>3</v>
      </c>
      <c r="H570" t="str">
        <f t="shared" si="165"/>
        <v/>
      </c>
      <c r="I570" t="str">
        <f t="shared" si="166"/>
        <v/>
      </c>
      <c r="J570" t="str">
        <f t="shared" si="167"/>
        <v/>
      </c>
      <c r="K570" t="str">
        <f t="shared" si="168"/>
        <v/>
      </c>
      <c r="L570" t="str">
        <f t="shared" si="169"/>
        <v/>
      </c>
      <c r="M570" t="str">
        <f t="shared" si="170"/>
        <v/>
      </c>
      <c r="N570" t="str">
        <f t="shared" si="171"/>
        <v/>
      </c>
      <c r="O570" t="str">
        <f t="shared" si="172"/>
        <v/>
      </c>
      <c r="P570" t="str">
        <f t="shared" si="173"/>
        <v/>
      </c>
      <c r="Q570" t="str">
        <f t="shared" si="174"/>
        <v/>
      </c>
      <c r="R570" t="str">
        <f t="shared" si="175"/>
        <v/>
      </c>
      <c r="S570" t="str">
        <f t="shared" si="176"/>
        <v/>
      </c>
      <c r="T570" t="str">
        <f t="shared" si="177"/>
        <v/>
      </c>
      <c r="U570" t="str">
        <f t="shared" si="178"/>
        <v/>
      </c>
      <c r="V570" t="str">
        <f t="shared" si="179"/>
        <v/>
      </c>
      <c r="W570" t="str">
        <f t="shared" si="162"/>
        <v xml:space="preserve">              </v>
      </c>
    </row>
    <row r="571" spans="1:23" customFormat="1" hidden="1">
      <c r="A571" t="b">
        <f t="shared" si="161"/>
        <v>0</v>
      </c>
      <c r="B571">
        <f t="shared" si="163"/>
        <v>570</v>
      </c>
      <c r="C571" t="s">
        <v>385</v>
      </c>
      <c r="D571" t="s">
        <v>566</v>
      </c>
      <c r="E571">
        <f t="shared" si="180"/>
        <v>6</v>
      </c>
      <c r="G571">
        <f t="shared" si="164"/>
        <v>4</v>
      </c>
      <c r="H571" t="str">
        <f t="shared" si="165"/>
        <v/>
      </c>
      <c r="I571" t="str">
        <f t="shared" si="166"/>
        <v/>
      </c>
      <c r="J571" t="str">
        <f t="shared" si="167"/>
        <v/>
      </c>
      <c r="K571" t="str">
        <f t="shared" si="168"/>
        <v/>
      </c>
      <c r="L571" t="str">
        <f t="shared" si="169"/>
        <v/>
      </c>
      <c r="M571" t="str">
        <f t="shared" si="170"/>
        <v/>
      </c>
      <c r="N571" t="str">
        <f t="shared" si="171"/>
        <v/>
      </c>
      <c r="O571" t="str">
        <f t="shared" si="172"/>
        <v/>
      </c>
      <c r="P571" t="str">
        <f t="shared" si="173"/>
        <v/>
      </c>
      <c r="Q571" t="str">
        <f t="shared" si="174"/>
        <v/>
      </c>
      <c r="R571" t="str">
        <f t="shared" si="175"/>
        <v/>
      </c>
      <c r="S571" t="str">
        <f t="shared" si="176"/>
        <v/>
      </c>
      <c r="T571" t="str">
        <f t="shared" si="177"/>
        <v/>
      </c>
      <c r="U571" t="str">
        <f t="shared" si="178"/>
        <v/>
      </c>
      <c r="V571" t="str">
        <f t="shared" si="179"/>
        <v/>
      </c>
      <c r="W571" t="str">
        <f t="shared" si="162"/>
        <v xml:space="preserve">              </v>
      </c>
    </row>
    <row r="572" spans="1:23" customFormat="1">
      <c r="A572" t="b">
        <f t="shared" si="161"/>
        <v>0</v>
      </c>
      <c r="B572">
        <f t="shared" si="163"/>
        <v>571</v>
      </c>
      <c r="C572" t="s">
        <v>385</v>
      </c>
      <c r="D572" t="s">
        <v>567</v>
      </c>
      <c r="E572">
        <f t="shared" si="180"/>
        <v>1406</v>
      </c>
      <c r="G572">
        <f t="shared" si="164"/>
        <v>5</v>
      </c>
      <c r="H572" t="str">
        <f t="shared" si="165"/>
        <v/>
      </c>
      <c r="I572" t="str">
        <f t="shared" si="166"/>
        <v/>
      </c>
      <c r="J572" t="str">
        <f t="shared" si="167"/>
        <v/>
      </c>
      <c r="K572" t="str">
        <f t="shared" si="168"/>
        <v/>
      </c>
      <c r="L572" t="str">
        <f t="shared" si="169"/>
        <v/>
      </c>
      <c r="M572" t="str">
        <f t="shared" si="170"/>
        <v/>
      </c>
      <c r="N572" t="str">
        <f t="shared" si="171"/>
        <v/>
      </c>
      <c r="O572" t="str">
        <f t="shared" si="172"/>
        <v/>
      </c>
      <c r="P572" t="str">
        <f t="shared" si="173"/>
        <v/>
      </c>
      <c r="Q572" t="str">
        <f t="shared" si="174"/>
        <v/>
      </c>
      <c r="R572" t="str">
        <f t="shared" si="175"/>
        <v/>
      </c>
      <c r="S572" t="str">
        <f t="shared" si="176"/>
        <v/>
      </c>
      <c r="T572" t="str">
        <f t="shared" si="177"/>
        <v/>
      </c>
      <c r="U572" t="str">
        <f t="shared" si="178"/>
        <v/>
      </c>
      <c r="V572" t="str">
        <f t="shared" si="179"/>
        <v/>
      </c>
      <c r="W572" t="str">
        <f t="shared" si="162"/>
        <v xml:space="preserve">              </v>
      </c>
    </row>
    <row r="573" spans="1:23" customFormat="1">
      <c r="A573" t="b">
        <f t="shared" si="161"/>
        <v>0</v>
      </c>
      <c r="B573">
        <f t="shared" si="163"/>
        <v>572</v>
      </c>
      <c r="C573" t="s">
        <v>385</v>
      </c>
      <c r="D573" t="s">
        <v>568</v>
      </c>
      <c r="E573">
        <f t="shared" si="180"/>
        <v>1525</v>
      </c>
      <c r="G573">
        <f t="shared" si="164"/>
        <v>6</v>
      </c>
      <c r="H573" t="str">
        <f t="shared" si="165"/>
        <v/>
      </c>
      <c r="I573" t="str">
        <f t="shared" si="166"/>
        <v/>
      </c>
      <c r="J573" t="str">
        <f t="shared" si="167"/>
        <v/>
      </c>
      <c r="K573" t="str">
        <f t="shared" si="168"/>
        <v/>
      </c>
      <c r="L573" t="str">
        <f t="shared" si="169"/>
        <v/>
      </c>
      <c r="M573" t="str">
        <f t="shared" si="170"/>
        <v/>
      </c>
      <c r="N573" t="str">
        <f t="shared" si="171"/>
        <v/>
      </c>
      <c r="O573" t="str">
        <f t="shared" si="172"/>
        <v/>
      </c>
      <c r="P573" t="str">
        <f t="shared" si="173"/>
        <v/>
      </c>
      <c r="Q573" t="str">
        <f t="shared" si="174"/>
        <v/>
      </c>
      <c r="R573" t="str">
        <f t="shared" si="175"/>
        <v/>
      </c>
      <c r="S573" t="str">
        <f t="shared" si="176"/>
        <v/>
      </c>
      <c r="T573" t="str">
        <f t="shared" si="177"/>
        <v/>
      </c>
      <c r="U573" t="str">
        <f t="shared" si="178"/>
        <v/>
      </c>
      <c r="V573" t="str">
        <f t="shared" si="179"/>
        <v/>
      </c>
      <c r="W573" t="str">
        <f t="shared" si="162"/>
        <v xml:space="preserve">              </v>
      </c>
    </row>
    <row r="574" spans="1:23" customFormat="1">
      <c r="A574" t="b">
        <f t="shared" si="161"/>
        <v>0</v>
      </c>
      <c r="B574">
        <f t="shared" si="163"/>
        <v>573</v>
      </c>
      <c r="C574" t="s">
        <v>385</v>
      </c>
      <c r="D574" t="s">
        <v>569</v>
      </c>
      <c r="E574">
        <f t="shared" si="180"/>
        <v>1092</v>
      </c>
      <c r="G574">
        <f t="shared" si="164"/>
        <v>7</v>
      </c>
      <c r="H574" t="str">
        <f t="shared" si="165"/>
        <v/>
      </c>
      <c r="I574" t="str">
        <f t="shared" si="166"/>
        <v/>
      </c>
      <c r="J574" t="str">
        <f t="shared" si="167"/>
        <v/>
      </c>
      <c r="K574" t="str">
        <f t="shared" si="168"/>
        <v/>
      </c>
      <c r="L574" t="str">
        <f t="shared" si="169"/>
        <v/>
      </c>
      <c r="M574" t="str">
        <f t="shared" si="170"/>
        <v/>
      </c>
      <c r="N574" t="str">
        <f t="shared" si="171"/>
        <v/>
      </c>
      <c r="O574" t="str">
        <f t="shared" si="172"/>
        <v/>
      </c>
      <c r="P574" t="str">
        <f t="shared" si="173"/>
        <v/>
      </c>
      <c r="Q574" t="str">
        <f t="shared" si="174"/>
        <v/>
      </c>
      <c r="R574" t="str">
        <f t="shared" si="175"/>
        <v/>
      </c>
      <c r="S574" t="str">
        <f t="shared" si="176"/>
        <v/>
      </c>
      <c r="T574" t="str">
        <f t="shared" si="177"/>
        <v/>
      </c>
      <c r="U574" t="str">
        <f t="shared" si="178"/>
        <v/>
      </c>
      <c r="V574" t="str">
        <f t="shared" si="179"/>
        <v/>
      </c>
      <c r="W574" t="str">
        <f t="shared" si="162"/>
        <v xml:space="preserve">              </v>
      </c>
    </row>
    <row r="575" spans="1:23" s="72" customFormat="1" hidden="1">
      <c r="A575" s="71" t="b">
        <f t="shared" si="161"/>
        <v>0</v>
      </c>
      <c r="B575" s="71">
        <f t="shared" si="163"/>
        <v>574</v>
      </c>
      <c r="C575" s="72" t="s">
        <v>385</v>
      </c>
      <c r="D575" s="72" t="s">
        <v>570</v>
      </c>
      <c r="E575" s="73">
        <f t="shared" si="180"/>
        <v>20</v>
      </c>
      <c r="F575" s="73">
        <v>1</v>
      </c>
      <c r="G575">
        <f t="shared" si="164"/>
        <v>1</v>
      </c>
      <c r="H575" t="str">
        <f t="shared" si="165"/>
        <v>Monte Carlo analysis</v>
      </c>
      <c r="I575" t="str">
        <f t="shared" si="166"/>
        <v>A project simulation approach named</v>
      </c>
      <c r="J575" t="str">
        <f t="shared" si="167"/>
        <v>after the world-famous gambling district in</v>
      </c>
      <c r="K575" t="str">
        <f t="shared" si="168"/>
        <v>Monaco. This predicts how scenarios</v>
      </c>
      <c r="L575" t="str">
        <f t="shared" si="169"/>
        <v>may work out, given any number of</v>
      </c>
      <c r="M575" t="str">
        <f t="shared" si="170"/>
        <v>variables. The process doesn’t actually</v>
      </c>
      <c r="N575" t="str">
        <f t="shared" si="171"/>
        <v>churn out a specific answer, but a range</v>
      </c>
      <c r="O575" t="str">
        <f t="shared" si="172"/>
        <v>of possible answers. When Monte Carlo</v>
      </c>
      <c r="P575" t="str">
        <f t="shared" si="173"/>
        <v>analysis is applied to a schedule, it can</v>
      </c>
      <c r="Q575" t="str">
        <f t="shared" si="174"/>
        <v>examine, for example, the optimistic</v>
      </c>
      <c r="R575" t="str">
        <f t="shared" si="175"/>
        <v>completion date, the pessimistic</v>
      </c>
      <c r="S575" t="str">
        <f t="shared" si="176"/>
        <v>completion date, and the most likely</v>
      </c>
      <c r="T575" t="str">
        <f t="shared" si="177"/>
        <v>completion date for each activity in the</v>
      </c>
      <c r="U575" t="str">
        <f t="shared" si="178"/>
        <v>project and then predict a mean for the</v>
      </c>
      <c r="V575" t="str">
        <f t="shared" si="179"/>
        <v>project schedule.</v>
      </c>
      <c r="W575" s="71" t="str">
        <f>CONCATENATE(H575," ",I575," ",J575," ",K575," ",L575," ",M575," ",N575," ",O575," ",P575," ",Q575," ",R575," ",S575," ",T575," ",U575," ",V575)</f>
        <v>Monte Carlo analysis A project simulation approach named after the world-famous gambling district in Monaco. This predicts how scenarios may work out, given any number of variables. The process doesn’t actually churn out a specific answer, but a range of possible answers. When Monte Carlo analysis is applied to a schedule, it can examine, for example, the optimistic completion date, the pessimistic completion date, and the most likely completion date for each activity in the project and then predict a mean for the project schedule.</v>
      </c>
    </row>
    <row r="576" spans="1:23" customFormat="1" hidden="1">
      <c r="A576" t="b">
        <f t="shared" si="161"/>
        <v>0</v>
      </c>
      <c r="B576">
        <f t="shared" si="163"/>
        <v>575</v>
      </c>
      <c r="C576" t="s">
        <v>385</v>
      </c>
      <c r="D576" t="s">
        <v>571</v>
      </c>
      <c r="E576">
        <f t="shared" si="180"/>
        <v>35</v>
      </c>
      <c r="G576">
        <f t="shared" si="164"/>
        <v>2</v>
      </c>
      <c r="H576" t="str">
        <f t="shared" si="165"/>
        <v/>
      </c>
      <c r="I576" t="str">
        <f t="shared" si="166"/>
        <v/>
      </c>
      <c r="J576" t="str">
        <f t="shared" si="167"/>
        <v/>
      </c>
      <c r="K576" t="str">
        <f t="shared" si="168"/>
        <v/>
      </c>
      <c r="L576" t="str">
        <f t="shared" si="169"/>
        <v/>
      </c>
      <c r="M576" t="str">
        <f t="shared" si="170"/>
        <v/>
      </c>
      <c r="N576" t="str">
        <f t="shared" si="171"/>
        <v/>
      </c>
      <c r="O576" t="str">
        <f t="shared" si="172"/>
        <v/>
      </c>
      <c r="P576" t="str">
        <f t="shared" si="173"/>
        <v/>
      </c>
      <c r="Q576" t="str">
        <f t="shared" si="174"/>
        <v/>
      </c>
      <c r="R576" t="str">
        <f t="shared" si="175"/>
        <v/>
      </c>
      <c r="S576" t="str">
        <f t="shared" si="176"/>
        <v/>
      </c>
      <c r="T576" t="str">
        <f t="shared" si="177"/>
        <v/>
      </c>
      <c r="U576" t="str">
        <f t="shared" si="178"/>
        <v/>
      </c>
      <c r="V576" t="str">
        <f t="shared" si="179"/>
        <v/>
      </c>
      <c r="W576" t="str">
        <f t="shared" si="162"/>
        <v xml:space="preserve">              </v>
      </c>
    </row>
    <row r="577" spans="1:23" customFormat="1" hidden="1">
      <c r="A577" t="b">
        <f t="shared" ref="A577:A640" si="181">C577=D577</f>
        <v>0</v>
      </c>
      <c r="B577">
        <f t="shared" si="163"/>
        <v>576</v>
      </c>
      <c r="C577" t="s">
        <v>385</v>
      </c>
      <c r="D577" t="s">
        <v>572</v>
      </c>
      <c r="E577">
        <f t="shared" si="180"/>
        <v>43</v>
      </c>
      <c r="G577">
        <f t="shared" si="164"/>
        <v>3</v>
      </c>
      <c r="H577" t="str">
        <f t="shared" si="165"/>
        <v/>
      </c>
      <c r="I577" t="str">
        <f t="shared" si="166"/>
        <v/>
      </c>
      <c r="J577" t="str">
        <f t="shared" si="167"/>
        <v/>
      </c>
      <c r="K577" t="str">
        <f t="shared" si="168"/>
        <v/>
      </c>
      <c r="L577" t="str">
        <f t="shared" si="169"/>
        <v/>
      </c>
      <c r="M577" t="str">
        <f t="shared" si="170"/>
        <v/>
      </c>
      <c r="N577" t="str">
        <f t="shared" si="171"/>
        <v/>
      </c>
      <c r="O577" t="str">
        <f t="shared" si="172"/>
        <v/>
      </c>
      <c r="P577" t="str">
        <f t="shared" si="173"/>
        <v/>
      </c>
      <c r="Q577" t="str">
        <f t="shared" si="174"/>
        <v/>
      </c>
      <c r="R577" t="str">
        <f t="shared" si="175"/>
        <v/>
      </c>
      <c r="S577" t="str">
        <f t="shared" si="176"/>
        <v/>
      </c>
      <c r="T577" t="str">
        <f t="shared" si="177"/>
        <v/>
      </c>
      <c r="U577" t="str">
        <f t="shared" si="178"/>
        <v/>
      </c>
      <c r="V577" t="str">
        <f t="shared" si="179"/>
        <v/>
      </c>
      <c r="W577" t="str">
        <f t="shared" ref="W577:W640" si="182">CONCATENATE(H577," ",I577," ",J577," ",K577," ",L577," ",M577," ",N577," ",O577," ",P577," ",Q577," ",R577," ",S577," ",T577," ",U577," ",V577)</f>
        <v xml:space="preserve">              </v>
      </c>
    </row>
    <row r="578" spans="1:23" customFormat="1" hidden="1">
      <c r="A578" t="b">
        <f t="shared" si="181"/>
        <v>0</v>
      </c>
      <c r="B578">
        <f t="shared" si="163"/>
        <v>577</v>
      </c>
      <c r="C578" t="s">
        <v>385</v>
      </c>
      <c r="D578" t="s">
        <v>573</v>
      </c>
      <c r="E578">
        <f t="shared" si="180"/>
        <v>35</v>
      </c>
      <c r="G578">
        <f t="shared" si="164"/>
        <v>4</v>
      </c>
      <c r="H578" t="str">
        <f t="shared" si="165"/>
        <v/>
      </c>
      <c r="I578" t="str">
        <f t="shared" si="166"/>
        <v/>
      </c>
      <c r="J578" t="str">
        <f t="shared" si="167"/>
        <v/>
      </c>
      <c r="K578" t="str">
        <f t="shared" si="168"/>
        <v/>
      </c>
      <c r="L578" t="str">
        <f t="shared" si="169"/>
        <v/>
      </c>
      <c r="M578" t="str">
        <f t="shared" si="170"/>
        <v/>
      </c>
      <c r="N578" t="str">
        <f t="shared" si="171"/>
        <v/>
      </c>
      <c r="O578" t="str">
        <f t="shared" si="172"/>
        <v/>
      </c>
      <c r="P578" t="str">
        <f t="shared" si="173"/>
        <v/>
      </c>
      <c r="Q578" t="str">
        <f t="shared" si="174"/>
        <v/>
      </c>
      <c r="R578" t="str">
        <f t="shared" si="175"/>
        <v/>
      </c>
      <c r="S578" t="str">
        <f t="shared" si="176"/>
        <v/>
      </c>
      <c r="T578" t="str">
        <f t="shared" si="177"/>
        <v/>
      </c>
      <c r="U578" t="str">
        <f t="shared" si="178"/>
        <v/>
      </c>
      <c r="V578" t="str">
        <f t="shared" si="179"/>
        <v/>
      </c>
      <c r="W578" t="str">
        <f t="shared" si="182"/>
        <v xml:space="preserve">              </v>
      </c>
    </row>
    <row r="579" spans="1:23" customFormat="1" hidden="1">
      <c r="A579" t="b">
        <f t="shared" si="181"/>
        <v>0</v>
      </c>
      <c r="B579">
        <f t="shared" si="163"/>
        <v>578</v>
      </c>
      <c r="C579" t="s">
        <v>385</v>
      </c>
      <c r="D579" t="s">
        <v>574</v>
      </c>
      <c r="E579">
        <f t="shared" si="180"/>
        <v>33</v>
      </c>
      <c r="G579">
        <f t="shared" si="164"/>
        <v>5</v>
      </c>
      <c r="H579" t="str">
        <f t="shared" si="165"/>
        <v/>
      </c>
      <c r="I579" t="str">
        <f t="shared" si="166"/>
        <v/>
      </c>
      <c r="J579" t="str">
        <f t="shared" si="167"/>
        <v/>
      </c>
      <c r="K579" t="str">
        <f t="shared" si="168"/>
        <v/>
      </c>
      <c r="L579" t="str">
        <f t="shared" si="169"/>
        <v/>
      </c>
      <c r="M579" t="str">
        <f t="shared" si="170"/>
        <v/>
      </c>
      <c r="N579" t="str">
        <f t="shared" si="171"/>
        <v/>
      </c>
      <c r="O579" t="str">
        <f t="shared" si="172"/>
        <v/>
      </c>
      <c r="P579" t="str">
        <f t="shared" si="173"/>
        <v/>
      </c>
      <c r="Q579" t="str">
        <f t="shared" si="174"/>
        <v/>
      </c>
      <c r="R579" t="str">
        <f t="shared" si="175"/>
        <v/>
      </c>
      <c r="S579" t="str">
        <f t="shared" si="176"/>
        <v/>
      </c>
      <c r="T579" t="str">
        <f t="shared" si="177"/>
        <v/>
      </c>
      <c r="U579" t="str">
        <f t="shared" si="178"/>
        <v/>
      </c>
      <c r="V579" t="str">
        <f t="shared" si="179"/>
        <v/>
      </c>
      <c r="W579" t="str">
        <f t="shared" si="182"/>
        <v xml:space="preserve">              </v>
      </c>
    </row>
    <row r="580" spans="1:23" customFormat="1" hidden="1">
      <c r="A580" t="b">
        <f t="shared" si="181"/>
        <v>0</v>
      </c>
      <c r="B580">
        <f t="shared" ref="B580:B643" si="183">B579+1</f>
        <v>579</v>
      </c>
      <c r="C580" t="s">
        <v>385</v>
      </c>
      <c r="D580" t="s">
        <v>575</v>
      </c>
      <c r="E580">
        <f t="shared" si="180"/>
        <v>39</v>
      </c>
      <c r="G580">
        <f t="shared" ref="G580:G643" si="184">IF(F580=1,1,G579+1)</f>
        <v>6</v>
      </c>
      <c r="H580" t="str">
        <f t="shared" ref="H580:H643" si="185">IF($G580=H$1,$D580,"")</f>
        <v/>
      </c>
      <c r="I580" t="str">
        <f t="shared" ref="I580:I643" si="186">IF($G581=I$1,$D581,"")</f>
        <v/>
      </c>
      <c r="J580" t="str">
        <f t="shared" ref="J580:J643" si="187">IF($G582=J$1,$D582,"")</f>
        <v/>
      </c>
      <c r="K580" t="str">
        <f t="shared" ref="K580:K643" si="188">IF($G583=K$1,$D583,"")</f>
        <v/>
      </c>
      <c r="L580" t="str">
        <f t="shared" ref="L580:L643" si="189">IF($G584=L$1,$D584,"")</f>
        <v/>
      </c>
      <c r="M580" t="str">
        <f t="shared" ref="M580:M643" si="190">IF($G585=M$1,$D585,"")</f>
        <v/>
      </c>
      <c r="N580" t="str">
        <f t="shared" ref="N580:N643" si="191">IF($G586=N$1,$D586,"")</f>
        <v/>
      </c>
      <c r="O580" t="str">
        <f t="shared" ref="O580:O643" si="192">IF($G587=O$1,$D587,"")</f>
        <v/>
      </c>
      <c r="P580" t="str">
        <f t="shared" ref="P580:P643" si="193">IF($G588=P$1,$D588,"")</f>
        <v/>
      </c>
      <c r="Q580" t="str">
        <f t="shared" ref="Q580:Q643" si="194">IF($G589=Q$1,$D589,"")</f>
        <v/>
      </c>
      <c r="R580" t="str">
        <f t="shared" ref="R580:R643" si="195">IF($G590=R$1,$D590,"")</f>
        <v/>
      </c>
      <c r="S580" t="str">
        <f t="shared" ref="S580:S643" si="196">IF($G591=S$1,$D591,"")</f>
        <v/>
      </c>
      <c r="T580" t="str">
        <f t="shared" ref="T580:T643" si="197">IF($G592=T$1,$D592,"")</f>
        <v/>
      </c>
      <c r="U580" t="str">
        <f t="shared" ref="U580:U643" si="198">IF($G593=U$1,$D593,"")</f>
        <v/>
      </c>
      <c r="V580" t="str">
        <f t="shared" ref="V580:V643" si="199">IF($G594=V$1,$D594,"")</f>
        <v/>
      </c>
      <c r="W580" t="str">
        <f t="shared" si="182"/>
        <v xml:space="preserve">              </v>
      </c>
    </row>
    <row r="581" spans="1:23" customFormat="1" hidden="1">
      <c r="A581" t="b">
        <f t="shared" si="181"/>
        <v>0</v>
      </c>
      <c r="B581">
        <f t="shared" si="183"/>
        <v>580</v>
      </c>
      <c r="C581" t="s">
        <v>385</v>
      </c>
      <c r="D581" t="s">
        <v>576</v>
      </c>
      <c r="E581">
        <f t="shared" si="180"/>
        <v>40</v>
      </c>
      <c r="G581">
        <f t="shared" si="184"/>
        <v>7</v>
      </c>
      <c r="H581" t="str">
        <f t="shared" si="185"/>
        <v/>
      </c>
      <c r="I581" t="str">
        <f t="shared" si="186"/>
        <v/>
      </c>
      <c r="J581" t="str">
        <f t="shared" si="187"/>
        <v/>
      </c>
      <c r="K581" t="str">
        <f t="shared" si="188"/>
        <v/>
      </c>
      <c r="L581" t="str">
        <f t="shared" si="189"/>
        <v/>
      </c>
      <c r="M581" t="str">
        <f t="shared" si="190"/>
        <v/>
      </c>
      <c r="N581" t="str">
        <f t="shared" si="191"/>
        <v/>
      </c>
      <c r="O581" t="str">
        <f t="shared" si="192"/>
        <v/>
      </c>
      <c r="P581" t="str">
        <f t="shared" si="193"/>
        <v/>
      </c>
      <c r="Q581" t="str">
        <f t="shared" si="194"/>
        <v/>
      </c>
      <c r="R581" t="str">
        <f t="shared" si="195"/>
        <v/>
      </c>
      <c r="S581" t="str">
        <f t="shared" si="196"/>
        <v/>
      </c>
      <c r="T581" t="str">
        <f t="shared" si="197"/>
        <v/>
      </c>
      <c r="U581" t="str">
        <f t="shared" si="198"/>
        <v/>
      </c>
      <c r="V581" t="str">
        <f t="shared" si="199"/>
        <v/>
      </c>
      <c r="W581" t="str">
        <f t="shared" si="182"/>
        <v xml:space="preserve">              </v>
      </c>
    </row>
    <row r="582" spans="1:23" customFormat="1" hidden="1">
      <c r="A582" t="b">
        <f t="shared" si="181"/>
        <v>0</v>
      </c>
      <c r="B582">
        <f t="shared" si="183"/>
        <v>581</v>
      </c>
      <c r="C582" t="s">
        <v>385</v>
      </c>
      <c r="D582" t="s">
        <v>577</v>
      </c>
      <c r="E582">
        <f t="shared" si="180"/>
        <v>37</v>
      </c>
      <c r="G582">
        <f t="shared" si="184"/>
        <v>8</v>
      </c>
      <c r="H582" t="str">
        <f t="shared" si="185"/>
        <v/>
      </c>
      <c r="I582" t="str">
        <f t="shared" si="186"/>
        <v/>
      </c>
      <c r="J582" t="str">
        <f t="shared" si="187"/>
        <v/>
      </c>
      <c r="K582" t="str">
        <f t="shared" si="188"/>
        <v/>
      </c>
      <c r="L582" t="str">
        <f t="shared" si="189"/>
        <v/>
      </c>
      <c r="M582" t="str">
        <f t="shared" si="190"/>
        <v/>
      </c>
      <c r="N582" t="str">
        <f t="shared" si="191"/>
        <v/>
      </c>
      <c r="O582" t="str">
        <f t="shared" si="192"/>
        <v/>
      </c>
      <c r="P582" t="str">
        <f t="shared" si="193"/>
        <v/>
      </c>
      <c r="Q582" t="str">
        <f t="shared" si="194"/>
        <v/>
      </c>
      <c r="R582" t="str">
        <f t="shared" si="195"/>
        <v/>
      </c>
      <c r="S582" t="str">
        <f t="shared" si="196"/>
        <v/>
      </c>
      <c r="T582" t="str">
        <f t="shared" si="197"/>
        <v/>
      </c>
      <c r="U582" t="str">
        <f t="shared" si="198"/>
        <v/>
      </c>
      <c r="V582" t="str">
        <f t="shared" si="199"/>
        <v/>
      </c>
      <c r="W582" t="str">
        <f t="shared" si="182"/>
        <v xml:space="preserve">              </v>
      </c>
    </row>
    <row r="583" spans="1:23" customFormat="1" hidden="1">
      <c r="A583" t="b">
        <f t="shared" si="181"/>
        <v>0</v>
      </c>
      <c r="B583">
        <f t="shared" si="183"/>
        <v>582</v>
      </c>
      <c r="C583" t="s">
        <v>385</v>
      </c>
      <c r="D583" t="s">
        <v>578</v>
      </c>
      <c r="E583">
        <f t="shared" si="180"/>
        <v>41</v>
      </c>
      <c r="G583">
        <f t="shared" si="184"/>
        <v>9</v>
      </c>
      <c r="H583" t="str">
        <f t="shared" si="185"/>
        <v/>
      </c>
      <c r="I583" t="str">
        <f t="shared" si="186"/>
        <v/>
      </c>
      <c r="J583" t="str">
        <f t="shared" si="187"/>
        <v/>
      </c>
      <c r="K583" t="str">
        <f t="shared" si="188"/>
        <v/>
      </c>
      <c r="L583" t="str">
        <f t="shared" si="189"/>
        <v/>
      </c>
      <c r="M583" t="str">
        <f t="shared" si="190"/>
        <v/>
      </c>
      <c r="N583" t="str">
        <f t="shared" si="191"/>
        <v/>
      </c>
      <c r="O583" t="str">
        <f t="shared" si="192"/>
        <v/>
      </c>
      <c r="P583" t="str">
        <f t="shared" si="193"/>
        <v/>
      </c>
      <c r="Q583" t="str">
        <f t="shared" si="194"/>
        <v/>
      </c>
      <c r="R583" t="str">
        <f t="shared" si="195"/>
        <v/>
      </c>
      <c r="S583" t="str">
        <f t="shared" si="196"/>
        <v/>
      </c>
      <c r="T583" t="str">
        <f t="shared" si="197"/>
        <v/>
      </c>
      <c r="U583" t="str">
        <f t="shared" si="198"/>
        <v/>
      </c>
      <c r="V583" t="str">
        <f t="shared" si="199"/>
        <v/>
      </c>
      <c r="W583" t="str">
        <f t="shared" si="182"/>
        <v xml:space="preserve">              </v>
      </c>
    </row>
    <row r="584" spans="1:23" customFormat="1" hidden="1">
      <c r="A584" t="b">
        <f t="shared" si="181"/>
        <v>0</v>
      </c>
      <c r="B584">
        <f t="shared" si="183"/>
        <v>583</v>
      </c>
      <c r="C584" t="s">
        <v>385</v>
      </c>
      <c r="D584" t="s">
        <v>579</v>
      </c>
      <c r="E584">
        <f t="shared" si="180"/>
        <v>36</v>
      </c>
      <c r="G584">
        <f t="shared" si="184"/>
        <v>10</v>
      </c>
      <c r="H584" t="str">
        <f t="shared" si="185"/>
        <v/>
      </c>
      <c r="I584" t="str">
        <f t="shared" si="186"/>
        <v/>
      </c>
      <c r="J584" t="str">
        <f t="shared" si="187"/>
        <v/>
      </c>
      <c r="K584" t="str">
        <f t="shared" si="188"/>
        <v/>
      </c>
      <c r="L584" t="str">
        <f t="shared" si="189"/>
        <v/>
      </c>
      <c r="M584" t="str">
        <f t="shared" si="190"/>
        <v/>
      </c>
      <c r="N584" t="str">
        <f t="shared" si="191"/>
        <v/>
      </c>
      <c r="O584" t="str">
        <f t="shared" si="192"/>
        <v/>
      </c>
      <c r="P584" t="str">
        <f t="shared" si="193"/>
        <v/>
      </c>
      <c r="Q584" t="str">
        <f t="shared" si="194"/>
        <v/>
      </c>
      <c r="R584" t="str">
        <f t="shared" si="195"/>
        <v/>
      </c>
      <c r="S584" t="str">
        <f t="shared" si="196"/>
        <v/>
      </c>
      <c r="T584" t="str">
        <f t="shared" si="197"/>
        <v/>
      </c>
      <c r="U584" t="str">
        <f t="shared" si="198"/>
        <v/>
      </c>
      <c r="V584" t="str">
        <f t="shared" si="199"/>
        <v/>
      </c>
      <c r="W584" t="str">
        <f t="shared" si="182"/>
        <v xml:space="preserve">              </v>
      </c>
    </row>
    <row r="585" spans="1:23" customFormat="1" hidden="1">
      <c r="A585" t="b">
        <f t="shared" si="181"/>
        <v>0</v>
      </c>
      <c r="B585">
        <f t="shared" si="183"/>
        <v>584</v>
      </c>
      <c r="C585" t="s">
        <v>385</v>
      </c>
      <c r="D585" t="s">
        <v>580</v>
      </c>
      <c r="E585">
        <f t="shared" si="180"/>
        <v>32</v>
      </c>
      <c r="G585">
        <f t="shared" si="184"/>
        <v>11</v>
      </c>
      <c r="H585" t="str">
        <f t="shared" si="185"/>
        <v/>
      </c>
      <c r="I585" t="str">
        <f t="shared" si="186"/>
        <v/>
      </c>
      <c r="J585" t="str">
        <f t="shared" si="187"/>
        <v/>
      </c>
      <c r="K585" t="str">
        <f t="shared" si="188"/>
        <v/>
      </c>
      <c r="L585" t="str">
        <f t="shared" si="189"/>
        <v/>
      </c>
      <c r="M585" t="str">
        <f t="shared" si="190"/>
        <v/>
      </c>
      <c r="N585" t="str">
        <f t="shared" si="191"/>
        <v/>
      </c>
      <c r="O585" t="str">
        <f t="shared" si="192"/>
        <v/>
      </c>
      <c r="P585" t="str">
        <f t="shared" si="193"/>
        <v/>
      </c>
      <c r="Q585" t="str">
        <f t="shared" si="194"/>
        <v/>
      </c>
      <c r="R585" t="str">
        <f t="shared" si="195"/>
        <v/>
      </c>
      <c r="S585" t="str">
        <f t="shared" si="196"/>
        <v/>
      </c>
      <c r="T585" t="str">
        <f t="shared" si="197"/>
        <v/>
      </c>
      <c r="U585" t="str">
        <f t="shared" si="198"/>
        <v/>
      </c>
      <c r="V585" t="str">
        <f t="shared" si="199"/>
        <v/>
      </c>
      <c r="W585" t="str">
        <f t="shared" si="182"/>
        <v xml:space="preserve">              </v>
      </c>
    </row>
    <row r="586" spans="1:23" customFormat="1" hidden="1">
      <c r="A586" t="b">
        <f t="shared" si="181"/>
        <v>0</v>
      </c>
      <c r="B586">
        <f t="shared" si="183"/>
        <v>585</v>
      </c>
      <c r="C586" t="s">
        <v>385</v>
      </c>
      <c r="D586" t="s">
        <v>581</v>
      </c>
      <c r="E586">
        <f t="shared" si="180"/>
        <v>36</v>
      </c>
      <c r="G586">
        <f t="shared" si="184"/>
        <v>12</v>
      </c>
      <c r="H586" t="str">
        <f t="shared" si="185"/>
        <v/>
      </c>
      <c r="I586" t="str">
        <f t="shared" si="186"/>
        <v/>
      </c>
      <c r="J586" t="str">
        <f t="shared" si="187"/>
        <v/>
      </c>
      <c r="K586" t="str">
        <f t="shared" si="188"/>
        <v/>
      </c>
      <c r="L586" t="str">
        <f t="shared" si="189"/>
        <v/>
      </c>
      <c r="M586" t="str">
        <f t="shared" si="190"/>
        <v/>
      </c>
      <c r="N586" t="str">
        <f t="shared" si="191"/>
        <v/>
      </c>
      <c r="O586" t="str">
        <f t="shared" si="192"/>
        <v/>
      </c>
      <c r="P586" t="str">
        <f t="shared" si="193"/>
        <v/>
      </c>
      <c r="Q586" t="str">
        <f t="shared" si="194"/>
        <v/>
      </c>
      <c r="R586" t="str">
        <f t="shared" si="195"/>
        <v/>
      </c>
      <c r="S586" t="str">
        <f t="shared" si="196"/>
        <v/>
      </c>
      <c r="T586" t="str">
        <f t="shared" si="197"/>
        <v/>
      </c>
      <c r="U586" t="str">
        <f t="shared" si="198"/>
        <v/>
      </c>
      <c r="V586" t="str">
        <f t="shared" si="199"/>
        <v/>
      </c>
      <c r="W586" t="str">
        <f t="shared" si="182"/>
        <v xml:space="preserve">              </v>
      </c>
    </row>
    <row r="587" spans="1:23" customFormat="1" hidden="1">
      <c r="A587" t="b">
        <f t="shared" si="181"/>
        <v>0</v>
      </c>
      <c r="B587">
        <f t="shared" si="183"/>
        <v>586</v>
      </c>
      <c r="C587" t="s">
        <v>385</v>
      </c>
      <c r="D587" t="s">
        <v>582</v>
      </c>
      <c r="E587">
        <f t="shared" si="180"/>
        <v>40</v>
      </c>
      <c r="G587">
        <f t="shared" si="184"/>
        <v>13</v>
      </c>
      <c r="H587" t="str">
        <f t="shared" si="185"/>
        <v/>
      </c>
      <c r="I587" t="str">
        <f t="shared" si="186"/>
        <v/>
      </c>
      <c r="J587" t="str">
        <f t="shared" si="187"/>
        <v/>
      </c>
      <c r="K587" t="str">
        <f t="shared" si="188"/>
        <v/>
      </c>
      <c r="L587" t="str">
        <f t="shared" si="189"/>
        <v/>
      </c>
      <c r="M587" t="str">
        <f t="shared" si="190"/>
        <v/>
      </c>
      <c r="N587" t="str">
        <f t="shared" si="191"/>
        <v/>
      </c>
      <c r="O587" t="str">
        <f t="shared" si="192"/>
        <v/>
      </c>
      <c r="P587" t="str">
        <f t="shared" si="193"/>
        <v/>
      </c>
      <c r="Q587" t="str">
        <f t="shared" si="194"/>
        <v/>
      </c>
      <c r="R587" t="str">
        <f t="shared" si="195"/>
        <v/>
      </c>
      <c r="S587" t="str">
        <f t="shared" si="196"/>
        <v/>
      </c>
      <c r="T587" t="str">
        <f t="shared" si="197"/>
        <v/>
      </c>
      <c r="U587" t="str">
        <f t="shared" si="198"/>
        <v/>
      </c>
      <c r="V587" t="str">
        <f t="shared" si="199"/>
        <v/>
      </c>
      <c r="W587" t="str">
        <f t="shared" si="182"/>
        <v xml:space="preserve">              </v>
      </c>
    </row>
    <row r="588" spans="1:23" customFormat="1" hidden="1">
      <c r="A588" t="b">
        <f t="shared" si="181"/>
        <v>0</v>
      </c>
      <c r="B588">
        <f t="shared" si="183"/>
        <v>587</v>
      </c>
      <c r="C588" t="s">
        <v>385</v>
      </c>
      <c r="D588" t="s">
        <v>583</v>
      </c>
      <c r="E588">
        <f t="shared" si="180"/>
        <v>39</v>
      </c>
      <c r="G588">
        <f t="shared" si="184"/>
        <v>14</v>
      </c>
      <c r="H588" t="str">
        <f t="shared" si="185"/>
        <v/>
      </c>
      <c r="I588" t="str">
        <f t="shared" si="186"/>
        <v/>
      </c>
      <c r="J588" t="str">
        <f t="shared" si="187"/>
        <v/>
      </c>
      <c r="K588" t="str">
        <f t="shared" si="188"/>
        <v/>
      </c>
      <c r="L588" t="str">
        <f t="shared" si="189"/>
        <v/>
      </c>
      <c r="M588" t="str">
        <f t="shared" si="190"/>
        <v/>
      </c>
      <c r="N588" t="str">
        <f t="shared" si="191"/>
        <v/>
      </c>
      <c r="O588" t="str">
        <f t="shared" si="192"/>
        <v/>
      </c>
      <c r="P588" t="str">
        <f t="shared" si="193"/>
        <v/>
      </c>
      <c r="Q588" t="str">
        <f t="shared" si="194"/>
        <v/>
      </c>
      <c r="R588" t="str">
        <f t="shared" si="195"/>
        <v/>
      </c>
      <c r="S588" t="str">
        <f t="shared" si="196"/>
        <v/>
      </c>
      <c r="T588" t="str">
        <f t="shared" si="197"/>
        <v/>
      </c>
      <c r="U588" t="str">
        <f t="shared" si="198"/>
        <v/>
      </c>
      <c r="V588" t="str">
        <f t="shared" si="199"/>
        <v/>
      </c>
      <c r="W588" t="str">
        <f t="shared" si="182"/>
        <v xml:space="preserve">              </v>
      </c>
    </row>
    <row r="589" spans="1:23" customFormat="1" hidden="1">
      <c r="A589" t="b">
        <f t="shared" si="181"/>
        <v>0</v>
      </c>
      <c r="B589">
        <f t="shared" si="183"/>
        <v>588</v>
      </c>
      <c r="C589" t="s">
        <v>385</v>
      </c>
      <c r="D589" t="s">
        <v>584</v>
      </c>
      <c r="E589">
        <f t="shared" si="180"/>
        <v>17</v>
      </c>
      <c r="G589">
        <f t="shared" si="184"/>
        <v>15</v>
      </c>
      <c r="H589" t="str">
        <f t="shared" si="185"/>
        <v/>
      </c>
      <c r="I589" t="str">
        <f t="shared" si="186"/>
        <v/>
      </c>
      <c r="J589" t="str">
        <f t="shared" si="187"/>
        <v/>
      </c>
      <c r="K589" t="str">
        <f t="shared" si="188"/>
        <v/>
      </c>
      <c r="L589" t="str">
        <f t="shared" si="189"/>
        <v/>
      </c>
      <c r="M589" t="str">
        <f t="shared" si="190"/>
        <v/>
      </c>
      <c r="N589" t="str">
        <f t="shared" si="191"/>
        <v/>
      </c>
      <c r="O589" t="str">
        <f t="shared" si="192"/>
        <v/>
      </c>
      <c r="P589" t="str">
        <f t="shared" si="193"/>
        <v/>
      </c>
      <c r="Q589" t="str">
        <f t="shared" si="194"/>
        <v/>
      </c>
      <c r="R589" t="str">
        <f t="shared" si="195"/>
        <v/>
      </c>
      <c r="S589" t="str">
        <f t="shared" si="196"/>
        <v/>
      </c>
      <c r="T589" t="str">
        <f t="shared" si="197"/>
        <v/>
      </c>
      <c r="U589" t="str">
        <f t="shared" si="198"/>
        <v/>
      </c>
      <c r="V589" t="str">
        <f t="shared" si="199"/>
        <v/>
      </c>
      <c r="W589" t="str">
        <f t="shared" si="182"/>
        <v xml:space="preserve">              </v>
      </c>
    </row>
    <row r="590" spans="1:23" hidden="1">
      <c r="A590" s="71" t="b">
        <f t="shared" si="181"/>
        <v>0</v>
      </c>
      <c r="B590" s="71">
        <f t="shared" si="183"/>
        <v>589</v>
      </c>
      <c r="C590" s="71" t="s">
        <v>1689</v>
      </c>
      <c r="D590" s="71" t="s">
        <v>585</v>
      </c>
      <c r="E590">
        <f t="shared" si="180"/>
        <v>19</v>
      </c>
      <c r="F590">
        <v>1</v>
      </c>
      <c r="G590">
        <f t="shared" si="184"/>
        <v>1</v>
      </c>
      <c r="H590" t="str">
        <f t="shared" si="185"/>
        <v>Parametric estimate</v>
      </c>
      <c r="I590" t="str">
        <f t="shared" si="186"/>
        <v>A quantitatively based duration estimate</v>
      </c>
      <c r="J590" t="str">
        <f t="shared" si="187"/>
        <v>that uses mathematical formulas to</v>
      </c>
      <c r="K590" t="str">
        <f t="shared" si="188"/>
        <v>predict how long an activity will take</v>
      </c>
      <c r="L590" t="str">
        <f t="shared" si="189"/>
        <v>based on the quantities of work to be</v>
      </c>
      <c r="M590" t="str">
        <f t="shared" si="190"/>
        <v>completed.</v>
      </c>
      <c r="N590" t="str">
        <f t="shared" si="191"/>
        <v/>
      </c>
      <c r="O590" t="str">
        <f t="shared" si="192"/>
        <v/>
      </c>
      <c r="P590" t="str">
        <f t="shared" si="193"/>
        <v/>
      </c>
      <c r="Q590" t="str">
        <f t="shared" si="194"/>
        <v/>
      </c>
      <c r="R590" t="str">
        <f t="shared" si="195"/>
        <v/>
      </c>
      <c r="S590" t="str">
        <f t="shared" si="196"/>
        <v/>
      </c>
      <c r="T590" t="str">
        <f t="shared" si="197"/>
        <v/>
      </c>
      <c r="U590" t="str">
        <f t="shared" si="198"/>
        <v/>
      </c>
      <c r="V590" t="str">
        <f t="shared" si="199"/>
        <v/>
      </c>
      <c r="W590" s="71" t="str">
        <f>CONCATENATE(H590," ",I590," ",J590," ",K590," ",L590," ",M590," ",N590," ",O590," ",P590," ",Q590," ",R590," ",S590," ",T590," ",U590," ",V590)</f>
        <v xml:space="preserve">Parametric estimate A quantitatively based duration estimate that uses mathematical formulas to predict how long an activity will take based on the quantities of work to be completed.         </v>
      </c>
    </row>
    <row r="591" spans="1:23" customFormat="1" hidden="1">
      <c r="A591" t="b">
        <f t="shared" si="181"/>
        <v>0</v>
      </c>
      <c r="B591">
        <f t="shared" si="183"/>
        <v>590</v>
      </c>
      <c r="C591" t="s">
        <v>1689</v>
      </c>
      <c r="D591" t="s">
        <v>586</v>
      </c>
      <c r="E591">
        <f t="shared" si="180"/>
        <v>40</v>
      </c>
      <c r="G591">
        <f t="shared" si="184"/>
        <v>2</v>
      </c>
      <c r="H591" t="str">
        <f t="shared" si="185"/>
        <v/>
      </c>
      <c r="I591" t="str">
        <f t="shared" si="186"/>
        <v/>
      </c>
      <c r="J591" t="str">
        <f t="shared" si="187"/>
        <v/>
      </c>
      <c r="K591" t="str">
        <f t="shared" si="188"/>
        <v/>
      </c>
      <c r="L591" t="str">
        <f t="shared" si="189"/>
        <v/>
      </c>
      <c r="M591" t="str">
        <f t="shared" si="190"/>
        <v/>
      </c>
      <c r="N591" t="str">
        <f t="shared" si="191"/>
        <v/>
      </c>
      <c r="O591" t="str">
        <f t="shared" si="192"/>
        <v/>
      </c>
      <c r="P591" t="str">
        <f t="shared" si="193"/>
        <v/>
      </c>
      <c r="Q591" t="str">
        <f t="shared" si="194"/>
        <v/>
      </c>
      <c r="R591" t="str">
        <f t="shared" si="195"/>
        <v/>
      </c>
      <c r="S591" t="str">
        <f t="shared" si="196"/>
        <v/>
      </c>
      <c r="T591" t="str">
        <f t="shared" si="197"/>
        <v/>
      </c>
      <c r="U591" t="str">
        <f t="shared" si="198"/>
        <v/>
      </c>
      <c r="V591" t="str">
        <f t="shared" si="199"/>
        <v/>
      </c>
      <c r="W591" t="str">
        <f t="shared" si="182"/>
        <v xml:space="preserve">              </v>
      </c>
    </row>
    <row r="592" spans="1:23" customFormat="1" hidden="1">
      <c r="A592" t="b">
        <f t="shared" si="181"/>
        <v>0</v>
      </c>
      <c r="B592">
        <f t="shared" si="183"/>
        <v>591</v>
      </c>
      <c r="C592" t="s">
        <v>1689</v>
      </c>
      <c r="D592" t="s">
        <v>587</v>
      </c>
      <c r="E592">
        <f t="shared" si="180"/>
        <v>34</v>
      </c>
      <c r="G592">
        <f t="shared" si="184"/>
        <v>3</v>
      </c>
      <c r="H592" t="str">
        <f t="shared" si="185"/>
        <v/>
      </c>
      <c r="I592" t="str">
        <f t="shared" si="186"/>
        <v/>
      </c>
      <c r="J592" t="str">
        <f t="shared" si="187"/>
        <v/>
      </c>
      <c r="K592" t="str">
        <f t="shared" si="188"/>
        <v/>
      </c>
      <c r="L592" t="str">
        <f t="shared" si="189"/>
        <v/>
      </c>
      <c r="M592" t="str">
        <f t="shared" si="190"/>
        <v/>
      </c>
      <c r="N592" t="str">
        <f t="shared" si="191"/>
        <v/>
      </c>
      <c r="O592" t="str">
        <f t="shared" si="192"/>
        <v/>
      </c>
      <c r="P592" t="str">
        <f t="shared" si="193"/>
        <v/>
      </c>
      <c r="Q592" t="str">
        <f t="shared" si="194"/>
        <v/>
      </c>
      <c r="R592" t="str">
        <f t="shared" si="195"/>
        <v/>
      </c>
      <c r="S592" t="str">
        <f t="shared" si="196"/>
        <v/>
      </c>
      <c r="T592" t="str">
        <f t="shared" si="197"/>
        <v/>
      </c>
      <c r="U592" t="str">
        <f t="shared" si="198"/>
        <v/>
      </c>
      <c r="V592" t="str">
        <f t="shared" si="199"/>
        <v/>
      </c>
      <c r="W592" t="str">
        <f t="shared" si="182"/>
        <v xml:space="preserve">              </v>
      </c>
    </row>
    <row r="593" spans="1:23" customFormat="1" hidden="1">
      <c r="A593" t="b">
        <f t="shared" si="181"/>
        <v>0</v>
      </c>
      <c r="B593">
        <f t="shared" si="183"/>
        <v>592</v>
      </c>
      <c r="C593" t="s">
        <v>1689</v>
      </c>
      <c r="D593" t="s">
        <v>588</v>
      </c>
      <c r="E593">
        <f t="shared" si="180"/>
        <v>38</v>
      </c>
      <c r="G593">
        <f t="shared" si="184"/>
        <v>4</v>
      </c>
      <c r="H593" t="str">
        <f t="shared" si="185"/>
        <v/>
      </c>
      <c r="I593" t="str">
        <f t="shared" si="186"/>
        <v/>
      </c>
      <c r="J593" t="str">
        <f t="shared" si="187"/>
        <v/>
      </c>
      <c r="K593" t="str">
        <f t="shared" si="188"/>
        <v/>
      </c>
      <c r="L593" t="str">
        <f t="shared" si="189"/>
        <v/>
      </c>
      <c r="M593" t="str">
        <f t="shared" si="190"/>
        <v/>
      </c>
      <c r="N593" t="str">
        <f t="shared" si="191"/>
        <v/>
      </c>
      <c r="O593" t="str">
        <f t="shared" si="192"/>
        <v/>
      </c>
      <c r="P593" t="str">
        <f t="shared" si="193"/>
        <v/>
      </c>
      <c r="Q593" t="str">
        <f t="shared" si="194"/>
        <v/>
      </c>
      <c r="R593" t="str">
        <f t="shared" si="195"/>
        <v/>
      </c>
      <c r="S593" t="str">
        <f t="shared" si="196"/>
        <v/>
      </c>
      <c r="T593" t="str">
        <f t="shared" si="197"/>
        <v/>
      </c>
      <c r="U593" t="str">
        <f t="shared" si="198"/>
        <v/>
      </c>
      <c r="V593" t="str">
        <f t="shared" si="199"/>
        <v/>
      </c>
      <c r="W593" t="str">
        <f t="shared" si="182"/>
        <v xml:space="preserve">              </v>
      </c>
    </row>
    <row r="594" spans="1:23" customFormat="1" hidden="1">
      <c r="A594" t="b">
        <f t="shared" si="181"/>
        <v>0</v>
      </c>
      <c r="B594">
        <f t="shared" si="183"/>
        <v>593</v>
      </c>
      <c r="C594" t="s">
        <v>1689</v>
      </c>
      <c r="D594" t="s">
        <v>589</v>
      </c>
      <c r="E594">
        <f t="shared" si="180"/>
        <v>37</v>
      </c>
      <c r="G594">
        <f t="shared" si="184"/>
        <v>5</v>
      </c>
      <c r="H594" t="str">
        <f t="shared" si="185"/>
        <v/>
      </c>
      <c r="I594" t="str">
        <f t="shared" si="186"/>
        <v/>
      </c>
      <c r="J594" t="str">
        <f t="shared" si="187"/>
        <v/>
      </c>
      <c r="K594" t="str">
        <f t="shared" si="188"/>
        <v/>
      </c>
      <c r="L594" t="str">
        <f t="shared" si="189"/>
        <v/>
      </c>
      <c r="M594" t="str">
        <f t="shared" si="190"/>
        <v/>
      </c>
      <c r="N594" t="str">
        <f t="shared" si="191"/>
        <v/>
      </c>
      <c r="O594" t="str">
        <f t="shared" si="192"/>
        <v/>
      </c>
      <c r="P594" t="str">
        <f t="shared" si="193"/>
        <v/>
      </c>
      <c r="Q594" t="str">
        <f t="shared" si="194"/>
        <v/>
      </c>
      <c r="R594" t="str">
        <f t="shared" si="195"/>
        <v/>
      </c>
      <c r="S594" t="str">
        <f t="shared" si="196"/>
        <v/>
      </c>
      <c r="T594" t="str">
        <f t="shared" si="197"/>
        <v/>
      </c>
      <c r="U594" t="str">
        <f t="shared" si="198"/>
        <v/>
      </c>
      <c r="V594" t="str">
        <f t="shared" si="199"/>
        <v/>
      </c>
      <c r="W594" t="str">
        <f t="shared" si="182"/>
        <v xml:space="preserve">              </v>
      </c>
    </row>
    <row r="595" spans="1:23" customFormat="1" hidden="1">
      <c r="A595" t="b">
        <f t="shared" si="181"/>
        <v>0</v>
      </c>
      <c r="B595">
        <f t="shared" si="183"/>
        <v>594</v>
      </c>
      <c r="C595" t="s">
        <v>1689</v>
      </c>
      <c r="D595" t="s">
        <v>590</v>
      </c>
      <c r="E595">
        <f t="shared" si="180"/>
        <v>10</v>
      </c>
      <c r="G595">
        <f t="shared" si="184"/>
        <v>6</v>
      </c>
      <c r="H595" t="str">
        <f t="shared" si="185"/>
        <v/>
      </c>
      <c r="I595" t="str">
        <f t="shared" si="186"/>
        <v/>
      </c>
      <c r="J595" t="str">
        <f t="shared" si="187"/>
        <v/>
      </c>
      <c r="K595" t="str">
        <f t="shared" si="188"/>
        <v/>
      </c>
      <c r="L595" t="str">
        <f t="shared" si="189"/>
        <v/>
      </c>
      <c r="M595" t="str">
        <f t="shared" si="190"/>
        <v/>
      </c>
      <c r="N595" t="str">
        <f t="shared" si="191"/>
        <v/>
      </c>
      <c r="O595" t="str">
        <f t="shared" si="192"/>
        <v/>
      </c>
      <c r="P595" t="str">
        <f t="shared" si="193"/>
        <v/>
      </c>
      <c r="Q595" t="str">
        <f t="shared" si="194"/>
        <v/>
      </c>
      <c r="R595" t="str">
        <f t="shared" si="195"/>
        <v/>
      </c>
      <c r="S595" t="str">
        <f t="shared" si="196"/>
        <v/>
      </c>
      <c r="T595" t="str">
        <f t="shared" si="197"/>
        <v/>
      </c>
      <c r="U595" t="str">
        <f t="shared" si="198"/>
        <v/>
      </c>
      <c r="V595" t="str">
        <f t="shared" si="199"/>
        <v/>
      </c>
      <c r="W595" t="str">
        <f t="shared" si="182"/>
        <v xml:space="preserve">              </v>
      </c>
    </row>
    <row r="596" spans="1:23" hidden="1">
      <c r="A596" s="71" t="b">
        <f t="shared" si="181"/>
        <v>0</v>
      </c>
      <c r="B596" s="71">
        <f t="shared" si="183"/>
        <v>595</v>
      </c>
      <c r="C596" s="71" t="s">
        <v>1689</v>
      </c>
      <c r="D596" s="71" t="s">
        <v>591</v>
      </c>
      <c r="E596">
        <f t="shared" si="180"/>
        <v>15</v>
      </c>
      <c r="F596">
        <v>1</v>
      </c>
      <c r="G596">
        <f t="shared" si="184"/>
        <v>1</v>
      </c>
      <c r="H596" t="str">
        <f t="shared" si="185"/>
        <v>Parkinson’s Law</v>
      </c>
      <c r="I596" t="str">
        <f t="shared" si="186"/>
        <v>A theory that states: “Work expands so</v>
      </c>
      <c r="J596" t="str">
        <f t="shared" si="187"/>
        <v>as to fill the time available for its</v>
      </c>
      <c r="K596" t="str">
        <f t="shared" si="188"/>
        <v>completion.” It is considered with time</v>
      </c>
      <c r="L596" t="str">
        <f t="shared" si="189"/>
        <v>estimating, because bloated or padded</v>
      </c>
      <c r="M596" t="str">
        <f t="shared" si="190"/>
        <v>activity estimates will fill the amount of</v>
      </c>
      <c r="N596" t="str">
        <f t="shared" si="191"/>
        <v>time allotted to the activity.</v>
      </c>
      <c r="O596" t="str">
        <f t="shared" si="192"/>
        <v/>
      </c>
      <c r="P596" t="str">
        <f t="shared" si="193"/>
        <v/>
      </c>
      <c r="Q596" t="str">
        <f t="shared" si="194"/>
        <v/>
      </c>
      <c r="R596" t="str">
        <f t="shared" si="195"/>
        <v/>
      </c>
      <c r="S596" t="str">
        <f t="shared" si="196"/>
        <v/>
      </c>
      <c r="T596" t="str">
        <f t="shared" si="197"/>
        <v/>
      </c>
      <c r="U596" t="str">
        <f t="shared" si="198"/>
        <v/>
      </c>
      <c r="V596" t="str">
        <f t="shared" si="199"/>
        <v/>
      </c>
      <c r="W596" s="71" t="str">
        <f>CONCATENATE(H596," ",I596," ",J596," ",K596," ",L596," ",M596," ",N596," ",O596," ",P596," ",Q596," ",R596," ",S596," ",T596," ",U596," ",V596)</f>
        <v xml:space="preserve">Parkinson’s Law A theory that states: “Work expands so as to fill the time available for its completion.” It is considered with time estimating, because bloated or padded activity estimates will fill the amount of time allotted to the activity.        </v>
      </c>
    </row>
    <row r="597" spans="1:23" customFormat="1" hidden="1">
      <c r="A597" t="b">
        <f t="shared" si="181"/>
        <v>0</v>
      </c>
      <c r="B597">
        <f t="shared" si="183"/>
        <v>596</v>
      </c>
      <c r="C597" t="s">
        <v>1689</v>
      </c>
      <c r="D597" t="s">
        <v>592</v>
      </c>
      <c r="E597">
        <f t="shared" ref="E597:E659" si="200">LEN(D597)</f>
        <v>38</v>
      </c>
      <c r="G597">
        <f t="shared" si="184"/>
        <v>2</v>
      </c>
      <c r="H597" t="str">
        <f t="shared" si="185"/>
        <v/>
      </c>
      <c r="I597" t="str">
        <f t="shared" si="186"/>
        <v/>
      </c>
      <c r="J597" t="str">
        <f t="shared" si="187"/>
        <v/>
      </c>
      <c r="K597" t="str">
        <f t="shared" si="188"/>
        <v/>
      </c>
      <c r="L597" t="str">
        <f t="shared" si="189"/>
        <v/>
      </c>
      <c r="M597" t="str">
        <f t="shared" si="190"/>
        <v/>
      </c>
      <c r="N597" t="str">
        <f t="shared" si="191"/>
        <v/>
      </c>
      <c r="O597" t="str">
        <f t="shared" si="192"/>
        <v/>
      </c>
      <c r="P597" t="str">
        <f t="shared" si="193"/>
        <v/>
      </c>
      <c r="Q597" t="str">
        <f t="shared" si="194"/>
        <v/>
      </c>
      <c r="R597" t="str">
        <f t="shared" si="195"/>
        <v/>
      </c>
      <c r="S597" t="str">
        <f t="shared" si="196"/>
        <v/>
      </c>
      <c r="T597" t="str">
        <f t="shared" si="197"/>
        <v/>
      </c>
      <c r="U597" t="str">
        <f t="shared" si="198"/>
        <v/>
      </c>
      <c r="V597" t="str">
        <f t="shared" si="199"/>
        <v/>
      </c>
      <c r="W597" t="str">
        <f t="shared" si="182"/>
        <v xml:space="preserve">              </v>
      </c>
    </row>
    <row r="598" spans="1:23" customFormat="1" hidden="1">
      <c r="A598" t="b">
        <f t="shared" si="181"/>
        <v>0</v>
      </c>
      <c r="B598">
        <f t="shared" si="183"/>
        <v>597</v>
      </c>
      <c r="C598" t="s">
        <v>1689</v>
      </c>
      <c r="D598" t="s">
        <v>593</v>
      </c>
      <c r="E598">
        <f t="shared" si="200"/>
        <v>37</v>
      </c>
      <c r="G598">
        <f t="shared" si="184"/>
        <v>3</v>
      </c>
      <c r="H598" t="str">
        <f t="shared" si="185"/>
        <v/>
      </c>
      <c r="I598" t="str">
        <f t="shared" si="186"/>
        <v/>
      </c>
      <c r="J598" t="str">
        <f t="shared" si="187"/>
        <v/>
      </c>
      <c r="K598" t="str">
        <f t="shared" si="188"/>
        <v/>
      </c>
      <c r="L598" t="str">
        <f t="shared" si="189"/>
        <v/>
      </c>
      <c r="M598" t="str">
        <f t="shared" si="190"/>
        <v/>
      </c>
      <c r="N598" t="str">
        <f t="shared" si="191"/>
        <v/>
      </c>
      <c r="O598" t="str">
        <f t="shared" si="192"/>
        <v/>
      </c>
      <c r="P598" t="str">
        <f t="shared" si="193"/>
        <v/>
      </c>
      <c r="Q598" t="str">
        <f t="shared" si="194"/>
        <v/>
      </c>
      <c r="R598" t="str">
        <f t="shared" si="195"/>
        <v/>
      </c>
      <c r="S598" t="str">
        <f t="shared" si="196"/>
        <v/>
      </c>
      <c r="T598" t="str">
        <f t="shared" si="197"/>
        <v/>
      </c>
      <c r="U598" t="str">
        <f t="shared" si="198"/>
        <v/>
      </c>
      <c r="V598" t="str">
        <f t="shared" si="199"/>
        <v/>
      </c>
      <c r="W598" t="str">
        <f t="shared" si="182"/>
        <v xml:space="preserve">              </v>
      </c>
    </row>
    <row r="599" spans="1:23" customFormat="1" hidden="1">
      <c r="A599" t="b">
        <f t="shared" si="181"/>
        <v>0</v>
      </c>
      <c r="B599">
        <f t="shared" si="183"/>
        <v>598</v>
      </c>
      <c r="C599" t="s">
        <v>1689</v>
      </c>
      <c r="D599" t="s">
        <v>594</v>
      </c>
      <c r="E599">
        <f t="shared" si="200"/>
        <v>39</v>
      </c>
      <c r="G599">
        <f t="shared" si="184"/>
        <v>4</v>
      </c>
      <c r="H599" t="str">
        <f t="shared" si="185"/>
        <v/>
      </c>
      <c r="I599" t="str">
        <f t="shared" si="186"/>
        <v/>
      </c>
      <c r="J599" t="str">
        <f t="shared" si="187"/>
        <v/>
      </c>
      <c r="K599" t="str">
        <f t="shared" si="188"/>
        <v/>
      </c>
      <c r="L599" t="str">
        <f t="shared" si="189"/>
        <v/>
      </c>
      <c r="M599" t="str">
        <f t="shared" si="190"/>
        <v/>
      </c>
      <c r="N599" t="str">
        <f t="shared" si="191"/>
        <v/>
      </c>
      <c r="O599" t="str">
        <f t="shared" si="192"/>
        <v/>
      </c>
      <c r="P599" t="str">
        <f t="shared" si="193"/>
        <v/>
      </c>
      <c r="Q599" t="str">
        <f t="shared" si="194"/>
        <v/>
      </c>
      <c r="R599" t="str">
        <f t="shared" si="195"/>
        <v/>
      </c>
      <c r="S599" t="str">
        <f t="shared" si="196"/>
        <v/>
      </c>
      <c r="T599" t="str">
        <f t="shared" si="197"/>
        <v/>
      </c>
      <c r="U599" t="str">
        <f t="shared" si="198"/>
        <v/>
      </c>
      <c r="V599" t="str">
        <f t="shared" si="199"/>
        <v/>
      </c>
      <c r="W599" t="str">
        <f t="shared" si="182"/>
        <v xml:space="preserve">              </v>
      </c>
    </row>
    <row r="600" spans="1:23" customFormat="1" hidden="1">
      <c r="A600" t="b">
        <f t="shared" si="181"/>
        <v>0</v>
      </c>
      <c r="B600">
        <f t="shared" si="183"/>
        <v>599</v>
      </c>
      <c r="C600" t="s">
        <v>1689</v>
      </c>
      <c r="D600" t="s">
        <v>595</v>
      </c>
      <c r="E600">
        <f t="shared" si="200"/>
        <v>37</v>
      </c>
      <c r="G600">
        <f t="shared" si="184"/>
        <v>5</v>
      </c>
      <c r="H600" t="str">
        <f t="shared" si="185"/>
        <v/>
      </c>
      <c r="I600" t="str">
        <f t="shared" si="186"/>
        <v/>
      </c>
      <c r="J600" t="str">
        <f t="shared" si="187"/>
        <v/>
      </c>
      <c r="K600" t="str">
        <f t="shared" si="188"/>
        <v/>
      </c>
      <c r="L600" t="str">
        <f t="shared" si="189"/>
        <v/>
      </c>
      <c r="M600" t="str">
        <f t="shared" si="190"/>
        <v/>
      </c>
      <c r="N600" t="str">
        <f t="shared" si="191"/>
        <v/>
      </c>
      <c r="O600" t="str">
        <f t="shared" si="192"/>
        <v/>
      </c>
      <c r="P600" t="str">
        <f t="shared" si="193"/>
        <v/>
      </c>
      <c r="Q600" t="str">
        <f t="shared" si="194"/>
        <v/>
      </c>
      <c r="R600" t="str">
        <f t="shared" si="195"/>
        <v/>
      </c>
      <c r="S600" t="str">
        <f t="shared" si="196"/>
        <v/>
      </c>
      <c r="T600" t="str">
        <f t="shared" si="197"/>
        <v/>
      </c>
      <c r="U600" t="str">
        <f t="shared" si="198"/>
        <v/>
      </c>
      <c r="V600" t="str">
        <f t="shared" si="199"/>
        <v/>
      </c>
      <c r="W600" t="str">
        <f t="shared" si="182"/>
        <v xml:space="preserve">              </v>
      </c>
    </row>
    <row r="601" spans="1:23" customFormat="1" hidden="1">
      <c r="A601" t="b">
        <f t="shared" si="181"/>
        <v>0</v>
      </c>
      <c r="B601">
        <f t="shared" si="183"/>
        <v>600</v>
      </c>
      <c r="C601" t="s">
        <v>1689</v>
      </c>
      <c r="D601" t="s">
        <v>596</v>
      </c>
      <c r="E601">
        <f t="shared" si="200"/>
        <v>42</v>
      </c>
      <c r="G601">
        <f t="shared" si="184"/>
        <v>6</v>
      </c>
      <c r="H601" t="str">
        <f t="shared" si="185"/>
        <v/>
      </c>
      <c r="I601" t="str">
        <f t="shared" si="186"/>
        <v/>
      </c>
      <c r="J601" t="str">
        <f t="shared" si="187"/>
        <v/>
      </c>
      <c r="K601" t="str">
        <f t="shared" si="188"/>
        <v/>
      </c>
      <c r="L601" t="str">
        <f t="shared" si="189"/>
        <v/>
      </c>
      <c r="M601" t="str">
        <f t="shared" si="190"/>
        <v/>
      </c>
      <c r="N601" t="str">
        <f t="shared" si="191"/>
        <v/>
      </c>
      <c r="O601" t="str">
        <f t="shared" si="192"/>
        <v/>
      </c>
      <c r="P601" t="str">
        <f t="shared" si="193"/>
        <v/>
      </c>
      <c r="Q601" t="str">
        <f t="shared" si="194"/>
        <v/>
      </c>
      <c r="R601" t="str">
        <f t="shared" si="195"/>
        <v/>
      </c>
      <c r="S601" t="str">
        <f t="shared" si="196"/>
        <v/>
      </c>
      <c r="T601" t="str">
        <f t="shared" si="197"/>
        <v/>
      </c>
      <c r="U601" t="str">
        <f t="shared" si="198"/>
        <v/>
      </c>
      <c r="V601" t="str">
        <f t="shared" si="199"/>
        <v/>
      </c>
      <c r="W601" t="str">
        <f t="shared" si="182"/>
        <v xml:space="preserve">              </v>
      </c>
    </row>
    <row r="602" spans="1:23" customFormat="1" hidden="1">
      <c r="A602" t="b">
        <f t="shared" si="181"/>
        <v>0</v>
      </c>
      <c r="B602">
        <f t="shared" si="183"/>
        <v>601</v>
      </c>
      <c r="C602" t="s">
        <v>1689</v>
      </c>
      <c r="D602" t="s">
        <v>597</v>
      </c>
      <c r="E602">
        <f t="shared" si="200"/>
        <v>30</v>
      </c>
      <c r="G602">
        <f t="shared" si="184"/>
        <v>7</v>
      </c>
      <c r="H602" t="str">
        <f t="shared" si="185"/>
        <v/>
      </c>
      <c r="I602" t="str">
        <f t="shared" si="186"/>
        <v/>
      </c>
      <c r="J602" t="str">
        <f t="shared" si="187"/>
        <v/>
      </c>
      <c r="K602" t="str">
        <f t="shared" si="188"/>
        <v/>
      </c>
      <c r="L602" t="str">
        <f t="shared" si="189"/>
        <v/>
      </c>
      <c r="M602" t="str">
        <f t="shared" si="190"/>
        <v/>
      </c>
      <c r="N602" t="str">
        <f t="shared" si="191"/>
        <v/>
      </c>
      <c r="O602" t="str">
        <f t="shared" si="192"/>
        <v/>
      </c>
      <c r="P602" t="str">
        <f t="shared" si="193"/>
        <v/>
      </c>
      <c r="Q602" t="str">
        <f t="shared" si="194"/>
        <v/>
      </c>
      <c r="R602" t="str">
        <f t="shared" si="195"/>
        <v/>
      </c>
      <c r="S602" t="str">
        <f t="shared" si="196"/>
        <v/>
      </c>
      <c r="T602" t="str">
        <f t="shared" si="197"/>
        <v/>
      </c>
      <c r="U602" t="str">
        <f t="shared" si="198"/>
        <v/>
      </c>
      <c r="V602" t="str">
        <f t="shared" si="199"/>
        <v/>
      </c>
      <c r="W602" t="str">
        <f t="shared" si="182"/>
        <v xml:space="preserve">              </v>
      </c>
    </row>
    <row r="603" spans="1:23" hidden="1">
      <c r="A603" s="71" t="b">
        <f t="shared" si="181"/>
        <v>0</v>
      </c>
      <c r="B603" s="71">
        <f t="shared" si="183"/>
        <v>602</v>
      </c>
      <c r="C603" s="71" t="s">
        <v>1689</v>
      </c>
      <c r="D603" s="71" t="s">
        <v>598</v>
      </c>
      <c r="E603">
        <f t="shared" si="200"/>
        <v>16</v>
      </c>
      <c r="F603">
        <v>1</v>
      </c>
      <c r="G603">
        <f t="shared" si="184"/>
        <v>1</v>
      </c>
      <c r="H603" t="str">
        <f t="shared" si="185"/>
        <v>Planning package</v>
      </c>
      <c r="I603" t="str">
        <f t="shared" si="186"/>
        <v>A WBS entry located below a control</v>
      </c>
      <c r="J603" t="str">
        <f t="shared" si="187"/>
        <v>account and above the work packages. A</v>
      </c>
      <c r="K603" t="str">
        <f t="shared" si="188"/>
        <v>planning package signifies that there is</v>
      </c>
      <c r="L603" t="str">
        <f t="shared" si="189"/>
        <v>more planning that needs to be</v>
      </c>
      <c r="M603" t="str">
        <f t="shared" si="190"/>
        <v>completed for this specific deliverable.</v>
      </c>
      <c r="N603" t="str">
        <f t="shared" si="191"/>
        <v/>
      </c>
      <c r="O603" t="str">
        <f t="shared" si="192"/>
        <v/>
      </c>
      <c r="P603" t="str">
        <f t="shared" si="193"/>
        <v/>
      </c>
      <c r="Q603" t="str">
        <f t="shared" si="194"/>
        <v/>
      </c>
      <c r="R603" t="str">
        <f t="shared" si="195"/>
        <v/>
      </c>
      <c r="S603" t="str">
        <f t="shared" si="196"/>
        <v/>
      </c>
      <c r="T603" t="str">
        <f t="shared" si="197"/>
        <v/>
      </c>
      <c r="U603" t="str">
        <f t="shared" si="198"/>
        <v/>
      </c>
      <c r="V603" t="str">
        <f t="shared" si="199"/>
        <v/>
      </c>
      <c r="W603" s="71" t="str">
        <f>CONCATENATE(H603," ",I603," ",J603," ",K603," ",L603," ",M603," ",N603," ",O603," ",P603," ",Q603," ",R603," ",S603," ",T603," ",U603," ",V603)</f>
        <v xml:space="preserve">Planning package A WBS entry located below a control account and above the work packages. A planning package signifies that there is more planning that needs to be completed for this specific deliverable.         </v>
      </c>
    </row>
    <row r="604" spans="1:23" customFormat="1" hidden="1">
      <c r="A604" t="b">
        <f t="shared" si="181"/>
        <v>0</v>
      </c>
      <c r="B604">
        <f t="shared" si="183"/>
        <v>603</v>
      </c>
      <c r="C604" t="s">
        <v>1689</v>
      </c>
      <c r="D604" t="s">
        <v>599</v>
      </c>
      <c r="E604">
        <f t="shared" si="200"/>
        <v>35</v>
      </c>
      <c r="G604">
        <f t="shared" si="184"/>
        <v>2</v>
      </c>
      <c r="H604" t="str">
        <f t="shared" si="185"/>
        <v/>
      </c>
      <c r="I604" t="str">
        <f t="shared" si="186"/>
        <v/>
      </c>
      <c r="J604" t="str">
        <f t="shared" si="187"/>
        <v/>
      </c>
      <c r="K604" t="str">
        <f t="shared" si="188"/>
        <v/>
      </c>
      <c r="L604" t="str">
        <f t="shared" si="189"/>
        <v/>
      </c>
      <c r="M604" t="str">
        <f t="shared" si="190"/>
        <v/>
      </c>
      <c r="N604" t="str">
        <f t="shared" si="191"/>
        <v/>
      </c>
      <c r="O604" t="str">
        <f t="shared" si="192"/>
        <v/>
      </c>
      <c r="P604" t="str">
        <f t="shared" si="193"/>
        <v/>
      </c>
      <c r="Q604" t="str">
        <f t="shared" si="194"/>
        <v/>
      </c>
      <c r="R604" t="str">
        <f t="shared" si="195"/>
        <v/>
      </c>
      <c r="S604" t="str">
        <f t="shared" si="196"/>
        <v/>
      </c>
      <c r="T604" t="str">
        <f t="shared" si="197"/>
        <v/>
      </c>
      <c r="U604" t="str">
        <f t="shared" si="198"/>
        <v/>
      </c>
      <c r="V604" t="str">
        <f t="shared" si="199"/>
        <v/>
      </c>
      <c r="W604" t="str">
        <f t="shared" si="182"/>
        <v xml:space="preserve">              </v>
      </c>
    </row>
    <row r="605" spans="1:23" customFormat="1" hidden="1">
      <c r="A605" t="b">
        <f t="shared" si="181"/>
        <v>0</v>
      </c>
      <c r="B605">
        <f t="shared" si="183"/>
        <v>604</v>
      </c>
      <c r="C605" t="s">
        <v>1689</v>
      </c>
      <c r="D605" t="s">
        <v>600</v>
      </c>
      <c r="E605">
        <f t="shared" si="200"/>
        <v>38</v>
      </c>
      <c r="G605">
        <f t="shared" si="184"/>
        <v>3</v>
      </c>
      <c r="H605" t="str">
        <f t="shared" si="185"/>
        <v/>
      </c>
      <c r="I605" t="str">
        <f t="shared" si="186"/>
        <v/>
      </c>
      <c r="J605" t="str">
        <f t="shared" si="187"/>
        <v/>
      </c>
      <c r="K605" t="str">
        <f t="shared" si="188"/>
        <v/>
      </c>
      <c r="L605" t="str">
        <f t="shared" si="189"/>
        <v/>
      </c>
      <c r="M605" t="str">
        <f t="shared" si="190"/>
        <v/>
      </c>
      <c r="N605" t="str">
        <f t="shared" si="191"/>
        <v/>
      </c>
      <c r="O605" t="str">
        <f t="shared" si="192"/>
        <v/>
      </c>
      <c r="P605" t="str">
        <f t="shared" si="193"/>
        <v/>
      </c>
      <c r="Q605" t="str">
        <f t="shared" si="194"/>
        <v/>
      </c>
      <c r="R605" t="str">
        <f t="shared" si="195"/>
        <v/>
      </c>
      <c r="S605" t="str">
        <f t="shared" si="196"/>
        <v/>
      </c>
      <c r="T605" t="str">
        <f t="shared" si="197"/>
        <v/>
      </c>
      <c r="U605" t="str">
        <f t="shared" si="198"/>
        <v/>
      </c>
      <c r="V605" t="str">
        <f t="shared" si="199"/>
        <v/>
      </c>
      <c r="W605" t="str">
        <f t="shared" si="182"/>
        <v xml:space="preserve">              </v>
      </c>
    </row>
    <row r="606" spans="1:23" customFormat="1" hidden="1">
      <c r="A606" t="b">
        <f t="shared" si="181"/>
        <v>0</v>
      </c>
      <c r="B606">
        <f t="shared" si="183"/>
        <v>605</v>
      </c>
      <c r="C606" t="s">
        <v>1689</v>
      </c>
      <c r="D606" t="s">
        <v>601</v>
      </c>
      <c r="E606">
        <f t="shared" si="200"/>
        <v>40</v>
      </c>
      <c r="G606">
        <f t="shared" si="184"/>
        <v>4</v>
      </c>
      <c r="H606" t="str">
        <f t="shared" si="185"/>
        <v/>
      </c>
      <c r="I606" t="str">
        <f t="shared" si="186"/>
        <v/>
      </c>
      <c r="J606" t="str">
        <f t="shared" si="187"/>
        <v/>
      </c>
      <c r="K606" t="str">
        <f t="shared" si="188"/>
        <v/>
      </c>
      <c r="L606" t="str">
        <f t="shared" si="189"/>
        <v/>
      </c>
      <c r="M606" t="str">
        <f t="shared" si="190"/>
        <v/>
      </c>
      <c r="N606" t="str">
        <f t="shared" si="191"/>
        <v/>
      </c>
      <c r="O606" t="str">
        <f t="shared" si="192"/>
        <v/>
      </c>
      <c r="P606" t="str">
        <f t="shared" si="193"/>
        <v/>
      </c>
      <c r="Q606" t="str">
        <f t="shared" si="194"/>
        <v/>
      </c>
      <c r="R606" t="str">
        <f t="shared" si="195"/>
        <v/>
      </c>
      <c r="S606" t="str">
        <f t="shared" si="196"/>
        <v/>
      </c>
      <c r="T606" t="str">
        <f t="shared" si="197"/>
        <v/>
      </c>
      <c r="U606" t="str">
        <f t="shared" si="198"/>
        <v/>
      </c>
      <c r="V606" t="str">
        <f t="shared" si="199"/>
        <v/>
      </c>
      <c r="W606" t="str">
        <f t="shared" si="182"/>
        <v xml:space="preserve">              </v>
      </c>
    </row>
    <row r="607" spans="1:23" customFormat="1" hidden="1">
      <c r="A607" t="b">
        <f t="shared" si="181"/>
        <v>0</v>
      </c>
      <c r="B607">
        <f t="shared" si="183"/>
        <v>606</v>
      </c>
      <c r="C607" t="s">
        <v>1689</v>
      </c>
      <c r="D607" t="s">
        <v>602</v>
      </c>
      <c r="E607">
        <f t="shared" si="200"/>
        <v>30</v>
      </c>
      <c r="G607">
        <f t="shared" si="184"/>
        <v>5</v>
      </c>
      <c r="H607" t="str">
        <f t="shared" si="185"/>
        <v/>
      </c>
      <c r="I607" t="str">
        <f t="shared" si="186"/>
        <v/>
      </c>
      <c r="J607" t="str">
        <f t="shared" si="187"/>
        <v/>
      </c>
      <c r="K607" t="str">
        <f t="shared" si="188"/>
        <v/>
      </c>
      <c r="L607" t="str">
        <f t="shared" si="189"/>
        <v/>
      </c>
      <c r="M607" t="str">
        <f t="shared" si="190"/>
        <v/>
      </c>
      <c r="N607" t="str">
        <f t="shared" si="191"/>
        <v/>
      </c>
      <c r="O607" t="str">
        <f t="shared" si="192"/>
        <v/>
      </c>
      <c r="P607" t="str">
        <f t="shared" si="193"/>
        <v/>
      </c>
      <c r="Q607" t="str">
        <f t="shared" si="194"/>
        <v/>
      </c>
      <c r="R607" t="str">
        <f t="shared" si="195"/>
        <v/>
      </c>
      <c r="S607" t="str">
        <f t="shared" si="196"/>
        <v/>
      </c>
      <c r="T607" t="str">
        <f t="shared" si="197"/>
        <v/>
      </c>
      <c r="U607" t="str">
        <f t="shared" si="198"/>
        <v/>
      </c>
      <c r="V607" t="str">
        <f t="shared" si="199"/>
        <v/>
      </c>
      <c r="W607" t="str">
        <f t="shared" si="182"/>
        <v xml:space="preserve">              </v>
      </c>
    </row>
    <row r="608" spans="1:23" customFormat="1" hidden="1">
      <c r="A608" t="b">
        <f t="shared" si="181"/>
        <v>0</v>
      </c>
      <c r="B608">
        <f t="shared" si="183"/>
        <v>607</v>
      </c>
      <c r="C608" t="s">
        <v>1689</v>
      </c>
      <c r="D608" t="s">
        <v>603</v>
      </c>
      <c r="E608">
        <f t="shared" si="200"/>
        <v>40</v>
      </c>
      <c r="G608">
        <f t="shared" si="184"/>
        <v>6</v>
      </c>
      <c r="H608" t="str">
        <f t="shared" si="185"/>
        <v/>
      </c>
      <c r="I608" t="str">
        <f t="shared" si="186"/>
        <v/>
      </c>
      <c r="J608" t="str">
        <f t="shared" si="187"/>
        <v/>
      </c>
      <c r="K608" t="str">
        <f t="shared" si="188"/>
        <v/>
      </c>
      <c r="L608" t="str">
        <f t="shared" si="189"/>
        <v/>
      </c>
      <c r="M608" t="str">
        <f t="shared" si="190"/>
        <v/>
      </c>
      <c r="N608" t="str">
        <f t="shared" si="191"/>
        <v/>
      </c>
      <c r="O608" t="str">
        <f t="shared" si="192"/>
        <v/>
      </c>
      <c r="P608" t="str">
        <f t="shared" si="193"/>
        <v/>
      </c>
      <c r="Q608" t="str">
        <f t="shared" si="194"/>
        <v/>
      </c>
      <c r="R608" t="str">
        <f t="shared" si="195"/>
        <v/>
      </c>
      <c r="S608" t="str">
        <f t="shared" si="196"/>
        <v/>
      </c>
      <c r="T608" t="str">
        <f t="shared" si="197"/>
        <v/>
      </c>
      <c r="U608" t="str">
        <f t="shared" si="198"/>
        <v/>
      </c>
      <c r="V608" t="str">
        <f t="shared" si="199"/>
        <v/>
      </c>
      <c r="W608" t="str">
        <f t="shared" si="182"/>
        <v xml:space="preserve">              </v>
      </c>
    </row>
    <row r="609" spans="1:23" hidden="1">
      <c r="A609" s="71" t="b">
        <f t="shared" si="181"/>
        <v>0</v>
      </c>
      <c r="B609" s="71">
        <f t="shared" si="183"/>
        <v>608</v>
      </c>
      <c r="C609" s="71" t="s">
        <v>1689</v>
      </c>
      <c r="D609" s="71" t="s">
        <v>604</v>
      </c>
      <c r="E609">
        <f t="shared" si="200"/>
        <v>29</v>
      </c>
      <c r="F609">
        <v>1</v>
      </c>
      <c r="G609">
        <f t="shared" si="184"/>
        <v>1</v>
      </c>
      <c r="H609" t="str">
        <f t="shared" si="185"/>
        <v>Precedence diagramming method</v>
      </c>
      <c r="I609" t="str">
        <f t="shared" si="186"/>
        <v>A network diagram that shows activities</v>
      </c>
      <c r="J609" t="str">
        <f t="shared" si="187"/>
        <v>in nodes and the relationship between</v>
      </c>
      <c r="K609" t="str">
        <f t="shared" si="188"/>
        <v>each activity. Predecessors come before</v>
      </c>
      <c r="L609" t="str">
        <f t="shared" si="189"/>
        <v>the current activity, and successors come</v>
      </c>
      <c r="M609" t="str">
        <f t="shared" si="190"/>
        <v>after the current activity.</v>
      </c>
      <c r="N609" t="str">
        <f t="shared" si="191"/>
        <v/>
      </c>
      <c r="O609" t="str">
        <f t="shared" si="192"/>
        <v/>
      </c>
      <c r="P609" t="str">
        <f t="shared" si="193"/>
        <v/>
      </c>
      <c r="Q609" t="str">
        <f t="shared" si="194"/>
        <v/>
      </c>
      <c r="R609" t="str">
        <f t="shared" si="195"/>
        <v/>
      </c>
      <c r="S609" t="str">
        <f t="shared" si="196"/>
        <v/>
      </c>
      <c r="T609" t="str">
        <f t="shared" si="197"/>
        <v/>
      </c>
      <c r="U609" t="str">
        <f t="shared" si="198"/>
        <v/>
      </c>
      <c r="V609" t="str">
        <f t="shared" si="199"/>
        <v/>
      </c>
      <c r="W609" s="71" t="str">
        <f>CONCATENATE(H609," ",I609," ",J609," ",K609," ",L609," ",M609," ",N609," ",O609," ",P609," ",Q609," ",R609," ",S609," ",T609," ",U609," ",V609)</f>
        <v xml:space="preserve">Precedence diagramming method A network diagram that shows activities in nodes and the relationship between each activity. Predecessors come before the current activity, and successors come after the current activity.         </v>
      </c>
    </row>
    <row r="610" spans="1:23" customFormat="1" hidden="1">
      <c r="A610" t="b">
        <f t="shared" si="181"/>
        <v>0</v>
      </c>
      <c r="B610">
        <f t="shared" si="183"/>
        <v>609</v>
      </c>
      <c r="C610" t="s">
        <v>1689</v>
      </c>
      <c r="D610" t="s">
        <v>605</v>
      </c>
      <c r="E610">
        <f t="shared" si="200"/>
        <v>39</v>
      </c>
      <c r="G610">
        <f t="shared" si="184"/>
        <v>2</v>
      </c>
      <c r="H610" t="str">
        <f t="shared" si="185"/>
        <v/>
      </c>
      <c r="I610" t="str">
        <f t="shared" si="186"/>
        <v/>
      </c>
      <c r="J610" t="str">
        <f t="shared" si="187"/>
        <v/>
      </c>
      <c r="K610" t="str">
        <f t="shared" si="188"/>
        <v/>
      </c>
      <c r="L610" t="str">
        <f t="shared" si="189"/>
        <v/>
      </c>
      <c r="M610" t="str">
        <f t="shared" si="190"/>
        <v/>
      </c>
      <c r="N610" t="str">
        <f t="shared" si="191"/>
        <v/>
      </c>
      <c r="O610" t="str">
        <f t="shared" si="192"/>
        <v/>
      </c>
      <c r="P610" t="str">
        <f t="shared" si="193"/>
        <v/>
      </c>
      <c r="Q610" t="str">
        <f t="shared" si="194"/>
        <v/>
      </c>
      <c r="R610" t="str">
        <f t="shared" si="195"/>
        <v/>
      </c>
      <c r="S610" t="str">
        <f t="shared" si="196"/>
        <v/>
      </c>
      <c r="T610" t="str">
        <f t="shared" si="197"/>
        <v/>
      </c>
      <c r="U610" t="str">
        <f t="shared" si="198"/>
        <v/>
      </c>
      <c r="V610" t="str">
        <f t="shared" si="199"/>
        <v/>
      </c>
      <c r="W610" t="str">
        <f t="shared" si="182"/>
        <v xml:space="preserve">              </v>
      </c>
    </row>
    <row r="611" spans="1:23" customFormat="1" hidden="1">
      <c r="A611" t="b">
        <f t="shared" si="181"/>
        <v>0</v>
      </c>
      <c r="B611">
        <f t="shared" si="183"/>
        <v>610</v>
      </c>
      <c r="C611" t="s">
        <v>1689</v>
      </c>
      <c r="D611" t="s">
        <v>606</v>
      </c>
      <c r="E611">
        <f t="shared" si="200"/>
        <v>37</v>
      </c>
      <c r="G611">
        <f t="shared" si="184"/>
        <v>3</v>
      </c>
      <c r="H611" t="str">
        <f t="shared" si="185"/>
        <v/>
      </c>
      <c r="I611" t="str">
        <f t="shared" si="186"/>
        <v/>
      </c>
      <c r="J611" t="str">
        <f t="shared" si="187"/>
        <v/>
      </c>
      <c r="K611" t="str">
        <f t="shared" si="188"/>
        <v/>
      </c>
      <c r="L611" t="str">
        <f t="shared" si="189"/>
        <v/>
      </c>
      <c r="M611" t="str">
        <f t="shared" si="190"/>
        <v/>
      </c>
      <c r="N611" t="str">
        <f t="shared" si="191"/>
        <v/>
      </c>
      <c r="O611" t="str">
        <f t="shared" si="192"/>
        <v/>
      </c>
      <c r="P611" t="str">
        <f t="shared" si="193"/>
        <v/>
      </c>
      <c r="Q611" t="str">
        <f t="shared" si="194"/>
        <v/>
      </c>
      <c r="R611" t="str">
        <f t="shared" si="195"/>
        <v/>
      </c>
      <c r="S611" t="str">
        <f t="shared" si="196"/>
        <v/>
      </c>
      <c r="T611" t="str">
        <f t="shared" si="197"/>
        <v/>
      </c>
      <c r="U611" t="str">
        <f t="shared" si="198"/>
        <v/>
      </c>
      <c r="V611" t="str">
        <f t="shared" si="199"/>
        <v/>
      </c>
      <c r="W611" t="str">
        <f t="shared" si="182"/>
        <v xml:space="preserve">              </v>
      </c>
    </row>
    <row r="612" spans="1:23" customFormat="1" hidden="1">
      <c r="A612" t="b">
        <f t="shared" si="181"/>
        <v>0</v>
      </c>
      <c r="B612">
        <f t="shared" si="183"/>
        <v>611</v>
      </c>
      <c r="C612" t="s">
        <v>1689</v>
      </c>
      <c r="D612" t="s">
        <v>607</v>
      </c>
      <c r="E612">
        <f t="shared" si="200"/>
        <v>39</v>
      </c>
      <c r="G612">
        <f t="shared" si="184"/>
        <v>4</v>
      </c>
      <c r="H612" t="str">
        <f t="shared" si="185"/>
        <v/>
      </c>
      <c r="I612" t="str">
        <f t="shared" si="186"/>
        <v/>
      </c>
      <c r="J612" t="str">
        <f t="shared" si="187"/>
        <v/>
      </c>
      <c r="K612" t="str">
        <f t="shared" si="188"/>
        <v/>
      </c>
      <c r="L612" t="str">
        <f t="shared" si="189"/>
        <v/>
      </c>
      <c r="M612" t="str">
        <f t="shared" si="190"/>
        <v/>
      </c>
      <c r="N612" t="str">
        <f t="shared" si="191"/>
        <v/>
      </c>
      <c r="O612" t="str">
        <f t="shared" si="192"/>
        <v/>
      </c>
      <c r="P612" t="str">
        <f t="shared" si="193"/>
        <v/>
      </c>
      <c r="Q612" t="str">
        <f t="shared" si="194"/>
        <v/>
      </c>
      <c r="R612" t="str">
        <f t="shared" si="195"/>
        <v/>
      </c>
      <c r="S612" t="str">
        <f t="shared" si="196"/>
        <v/>
      </c>
      <c r="T612" t="str">
        <f t="shared" si="197"/>
        <v/>
      </c>
      <c r="U612" t="str">
        <f t="shared" si="198"/>
        <v/>
      </c>
      <c r="V612" t="str">
        <f t="shared" si="199"/>
        <v/>
      </c>
      <c r="W612" t="str">
        <f t="shared" si="182"/>
        <v xml:space="preserve">              </v>
      </c>
    </row>
    <row r="613" spans="1:23" customFormat="1" hidden="1">
      <c r="A613" t="b">
        <f t="shared" si="181"/>
        <v>0</v>
      </c>
      <c r="B613">
        <f t="shared" si="183"/>
        <v>612</v>
      </c>
      <c r="C613" t="s">
        <v>1689</v>
      </c>
      <c r="D613" t="s">
        <v>608</v>
      </c>
      <c r="E613">
        <f t="shared" si="200"/>
        <v>41</v>
      </c>
      <c r="G613">
        <f t="shared" si="184"/>
        <v>5</v>
      </c>
      <c r="H613" t="str">
        <f t="shared" si="185"/>
        <v/>
      </c>
      <c r="I613" t="str">
        <f t="shared" si="186"/>
        <v/>
      </c>
      <c r="J613" t="str">
        <f t="shared" si="187"/>
        <v/>
      </c>
      <c r="K613" t="str">
        <f t="shared" si="188"/>
        <v/>
      </c>
      <c r="L613" t="str">
        <f t="shared" si="189"/>
        <v/>
      </c>
      <c r="M613" t="str">
        <f t="shared" si="190"/>
        <v/>
      </c>
      <c r="N613" t="str">
        <f t="shared" si="191"/>
        <v/>
      </c>
      <c r="O613" t="str">
        <f t="shared" si="192"/>
        <v/>
      </c>
      <c r="P613" t="str">
        <f t="shared" si="193"/>
        <v/>
      </c>
      <c r="Q613" t="str">
        <f t="shared" si="194"/>
        <v/>
      </c>
      <c r="R613" t="str">
        <f t="shared" si="195"/>
        <v/>
      </c>
      <c r="S613" t="str">
        <f t="shared" si="196"/>
        <v/>
      </c>
      <c r="T613" t="str">
        <f t="shared" si="197"/>
        <v/>
      </c>
      <c r="U613" t="str">
        <f t="shared" si="198"/>
        <v/>
      </c>
      <c r="V613" t="str">
        <f t="shared" si="199"/>
        <v/>
      </c>
      <c r="W613" t="str">
        <f t="shared" si="182"/>
        <v xml:space="preserve">              </v>
      </c>
    </row>
    <row r="614" spans="1:23" customFormat="1" hidden="1">
      <c r="A614" t="b">
        <f t="shared" si="181"/>
        <v>0</v>
      </c>
      <c r="B614">
        <f t="shared" si="183"/>
        <v>613</v>
      </c>
      <c r="C614" t="s">
        <v>1689</v>
      </c>
      <c r="D614" t="s">
        <v>609</v>
      </c>
      <c r="E614">
        <f t="shared" si="200"/>
        <v>27</v>
      </c>
      <c r="G614">
        <f t="shared" si="184"/>
        <v>6</v>
      </c>
      <c r="H614" t="str">
        <f t="shared" si="185"/>
        <v/>
      </c>
      <c r="I614" t="str">
        <f t="shared" si="186"/>
        <v/>
      </c>
      <c r="J614" t="str">
        <f t="shared" si="187"/>
        <v/>
      </c>
      <c r="K614" t="str">
        <f t="shared" si="188"/>
        <v/>
      </c>
      <c r="L614" t="str">
        <f t="shared" si="189"/>
        <v/>
      </c>
      <c r="M614" t="str">
        <f t="shared" si="190"/>
        <v/>
      </c>
      <c r="N614" t="str">
        <f t="shared" si="191"/>
        <v/>
      </c>
      <c r="O614" t="str">
        <f t="shared" si="192"/>
        <v/>
      </c>
      <c r="P614" t="str">
        <f t="shared" si="193"/>
        <v/>
      </c>
      <c r="Q614" t="str">
        <f t="shared" si="194"/>
        <v/>
      </c>
      <c r="R614" t="str">
        <f t="shared" si="195"/>
        <v/>
      </c>
      <c r="S614" t="str">
        <f t="shared" si="196"/>
        <v/>
      </c>
      <c r="T614" t="str">
        <f t="shared" si="197"/>
        <v/>
      </c>
      <c r="U614" t="str">
        <f t="shared" si="198"/>
        <v/>
      </c>
      <c r="V614" t="str">
        <f t="shared" si="199"/>
        <v/>
      </c>
      <c r="W614" t="str">
        <f t="shared" si="182"/>
        <v xml:space="preserve">              </v>
      </c>
    </row>
    <row r="615" spans="1:23" hidden="1">
      <c r="A615" s="71" t="b">
        <f t="shared" si="181"/>
        <v>0</v>
      </c>
      <c r="B615" s="71">
        <f t="shared" si="183"/>
        <v>614</v>
      </c>
      <c r="C615" s="71" t="s">
        <v>1689</v>
      </c>
      <c r="D615" s="71" t="s">
        <v>610</v>
      </c>
      <c r="E615">
        <f t="shared" si="200"/>
        <v>17</v>
      </c>
      <c r="F615">
        <v>1</v>
      </c>
      <c r="G615">
        <f t="shared" si="184"/>
        <v>1</v>
      </c>
      <c r="H615" t="str">
        <f t="shared" si="185"/>
        <v>Project calendars</v>
      </c>
      <c r="I615" t="str">
        <f t="shared" si="186"/>
        <v>Calendars that identify when the project</v>
      </c>
      <c r="J615" t="str">
        <f t="shared" si="187"/>
        <v>work will occur.</v>
      </c>
      <c r="K615" t="str">
        <f t="shared" si="188"/>
        <v/>
      </c>
      <c r="L615" t="str">
        <f t="shared" si="189"/>
        <v/>
      </c>
      <c r="M615" t="str">
        <f t="shared" si="190"/>
        <v/>
      </c>
      <c r="N615" t="str">
        <f t="shared" si="191"/>
        <v/>
      </c>
      <c r="O615" t="str">
        <f t="shared" si="192"/>
        <v/>
      </c>
      <c r="P615" t="str">
        <f t="shared" si="193"/>
        <v/>
      </c>
      <c r="Q615" t="str">
        <f t="shared" si="194"/>
        <v/>
      </c>
      <c r="R615" t="str">
        <f t="shared" si="195"/>
        <v/>
      </c>
      <c r="S615" t="str">
        <f t="shared" si="196"/>
        <v/>
      </c>
      <c r="T615" t="str">
        <f t="shared" si="197"/>
        <v/>
      </c>
      <c r="U615" t="str">
        <f t="shared" si="198"/>
        <v/>
      </c>
      <c r="V615" t="str">
        <f t="shared" si="199"/>
        <v/>
      </c>
      <c r="W615" s="71" t="str">
        <f>CONCATENATE(H615," ",I615," ",J615," ",K615," ",L615," ",M615," ",N615," ",O615," ",P615," ",Q615," ",R615," ",S615," ",T615," ",U615," ",V615)</f>
        <v xml:space="preserve">Project calendars Calendars that identify when the project work will occur.            </v>
      </c>
    </row>
    <row r="616" spans="1:23" customFormat="1" hidden="1">
      <c r="A616" t="b">
        <f t="shared" si="181"/>
        <v>0</v>
      </c>
      <c r="B616">
        <f t="shared" si="183"/>
        <v>615</v>
      </c>
      <c r="C616" t="s">
        <v>1689</v>
      </c>
      <c r="D616" t="s">
        <v>611</v>
      </c>
      <c r="E616">
        <f t="shared" si="200"/>
        <v>40</v>
      </c>
      <c r="G616">
        <f t="shared" si="184"/>
        <v>2</v>
      </c>
      <c r="H616" t="str">
        <f t="shared" si="185"/>
        <v/>
      </c>
      <c r="I616" t="str">
        <f t="shared" si="186"/>
        <v/>
      </c>
      <c r="J616" t="str">
        <f t="shared" si="187"/>
        <v/>
      </c>
      <c r="K616" t="str">
        <f t="shared" si="188"/>
        <v/>
      </c>
      <c r="L616" t="str">
        <f t="shared" si="189"/>
        <v/>
      </c>
      <c r="M616" t="str">
        <f t="shared" si="190"/>
        <v/>
      </c>
      <c r="N616" t="str">
        <f t="shared" si="191"/>
        <v/>
      </c>
      <c r="O616" t="str">
        <f t="shared" si="192"/>
        <v/>
      </c>
      <c r="P616" t="str">
        <f t="shared" si="193"/>
        <v/>
      </c>
      <c r="Q616" t="str">
        <f t="shared" si="194"/>
        <v/>
      </c>
      <c r="R616" t="str">
        <f t="shared" si="195"/>
        <v/>
      </c>
      <c r="S616" t="str">
        <f t="shared" si="196"/>
        <v/>
      </c>
      <c r="T616" t="str">
        <f t="shared" si="197"/>
        <v/>
      </c>
      <c r="U616" t="str">
        <f t="shared" si="198"/>
        <v/>
      </c>
      <c r="V616" t="str">
        <f t="shared" si="199"/>
        <v/>
      </c>
      <c r="W616" t="str">
        <f t="shared" si="182"/>
        <v xml:space="preserve">              </v>
      </c>
    </row>
    <row r="617" spans="1:23" customFormat="1" hidden="1">
      <c r="A617" t="b">
        <f t="shared" si="181"/>
        <v>0</v>
      </c>
      <c r="B617">
        <f t="shared" si="183"/>
        <v>616</v>
      </c>
      <c r="C617" t="s">
        <v>1689</v>
      </c>
      <c r="D617" t="s">
        <v>612</v>
      </c>
      <c r="E617">
        <f t="shared" si="200"/>
        <v>16</v>
      </c>
      <c r="G617">
        <f t="shared" si="184"/>
        <v>3</v>
      </c>
      <c r="H617" t="str">
        <f t="shared" si="185"/>
        <v/>
      </c>
      <c r="I617" t="str">
        <f t="shared" si="186"/>
        <v/>
      </c>
      <c r="J617" t="str">
        <f t="shared" si="187"/>
        <v/>
      </c>
      <c r="K617" t="str">
        <f t="shared" si="188"/>
        <v/>
      </c>
      <c r="L617" t="str">
        <f t="shared" si="189"/>
        <v/>
      </c>
      <c r="M617" t="str">
        <f t="shared" si="190"/>
        <v/>
      </c>
      <c r="N617" t="str">
        <f t="shared" si="191"/>
        <v/>
      </c>
      <c r="O617" t="str">
        <f t="shared" si="192"/>
        <v/>
      </c>
      <c r="P617" t="str">
        <f t="shared" si="193"/>
        <v/>
      </c>
      <c r="Q617" t="str">
        <f t="shared" si="194"/>
        <v/>
      </c>
      <c r="R617" t="str">
        <f t="shared" si="195"/>
        <v/>
      </c>
      <c r="S617" t="str">
        <f t="shared" si="196"/>
        <v/>
      </c>
      <c r="T617" t="str">
        <f t="shared" si="197"/>
        <v/>
      </c>
      <c r="U617" t="str">
        <f t="shared" si="198"/>
        <v/>
      </c>
      <c r="V617" t="str">
        <f t="shared" si="199"/>
        <v/>
      </c>
      <c r="W617" t="str">
        <f t="shared" si="182"/>
        <v xml:space="preserve">              </v>
      </c>
    </row>
    <row r="618" spans="1:23" hidden="1">
      <c r="A618" s="71" t="b">
        <f t="shared" si="181"/>
        <v>0</v>
      </c>
      <c r="B618" s="71">
        <f t="shared" si="183"/>
        <v>617</v>
      </c>
      <c r="C618" s="71" t="s">
        <v>1689</v>
      </c>
      <c r="D618" s="71" t="s">
        <v>613</v>
      </c>
      <c r="E618">
        <f t="shared" si="200"/>
        <v>13</v>
      </c>
      <c r="F618">
        <v>1</v>
      </c>
      <c r="G618">
        <f t="shared" si="184"/>
        <v>1</v>
      </c>
      <c r="H618" t="str">
        <f t="shared" si="185"/>
        <v>Project float</v>
      </c>
      <c r="I618" t="str">
        <f t="shared" si="186"/>
        <v>This is the total time the project can be</v>
      </c>
      <c r="J618" t="str">
        <f t="shared" si="187"/>
        <v>delayed without passing the customerexpected</v>
      </c>
      <c r="K618" t="str">
        <f t="shared" si="188"/>
        <v>completion date.</v>
      </c>
      <c r="L618" t="str">
        <f t="shared" si="189"/>
        <v/>
      </c>
      <c r="M618" t="str">
        <f t="shared" si="190"/>
        <v/>
      </c>
      <c r="N618" t="str">
        <f t="shared" si="191"/>
        <v/>
      </c>
      <c r="O618" t="str">
        <f t="shared" si="192"/>
        <v/>
      </c>
      <c r="P618" t="str">
        <f t="shared" si="193"/>
        <v/>
      </c>
      <c r="Q618" t="str">
        <f t="shared" si="194"/>
        <v/>
      </c>
      <c r="R618" t="str">
        <f t="shared" si="195"/>
        <v/>
      </c>
      <c r="S618" t="str">
        <f t="shared" si="196"/>
        <v/>
      </c>
      <c r="T618" t="str">
        <f t="shared" si="197"/>
        <v/>
      </c>
      <c r="U618" t="str">
        <f t="shared" si="198"/>
        <v/>
      </c>
      <c r="V618" t="str">
        <f t="shared" si="199"/>
        <v/>
      </c>
      <c r="W618" s="71" t="str">
        <f>CONCATENATE(H618," ",I618," ",J618," ",K618," ",L618," ",M618," ",N618," ",O618," ",P618," ",Q618," ",R618," ",S618," ",T618," ",U618," ",V618)</f>
        <v xml:space="preserve">Project float This is the total time the project can be delayed without passing the customerexpected completion date.           </v>
      </c>
    </row>
    <row r="619" spans="1:23" customFormat="1" hidden="1">
      <c r="A619" t="b">
        <f t="shared" si="181"/>
        <v>0</v>
      </c>
      <c r="B619">
        <f t="shared" si="183"/>
        <v>618</v>
      </c>
      <c r="C619" t="s">
        <v>1689</v>
      </c>
      <c r="D619" t="s">
        <v>614</v>
      </c>
      <c r="E619">
        <f t="shared" si="200"/>
        <v>41</v>
      </c>
      <c r="G619">
        <f t="shared" si="184"/>
        <v>2</v>
      </c>
      <c r="H619" t="str">
        <f t="shared" si="185"/>
        <v/>
      </c>
      <c r="I619" t="str">
        <f t="shared" si="186"/>
        <v/>
      </c>
      <c r="J619" t="str">
        <f t="shared" si="187"/>
        <v/>
      </c>
      <c r="K619" t="str">
        <f t="shared" si="188"/>
        <v/>
      </c>
      <c r="L619" t="str">
        <f t="shared" si="189"/>
        <v/>
      </c>
      <c r="M619" t="str">
        <f t="shared" si="190"/>
        <v/>
      </c>
      <c r="N619" t="str">
        <f t="shared" si="191"/>
        <v/>
      </c>
      <c r="O619" t="str">
        <f t="shared" si="192"/>
        <v/>
      </c>
      <c r="P619" t="str">
        <f t="shared" si="193"/>
        <v/>
      </c>
      <c r="Q619" t="str">
        <f t="shared" si="194"/>
        <v/>
      </c>
      <c r="R619" t="str">
        <f t="shared" si="195"/>
        <v/>
      </c>
      <c r="S619" t="str">
        <f t="shared" si="196"/>
        <v/>
      </c>
      <c r="T619" t="str">
        <f t="shared" si="197"/>
        <v/>
      </c>
      <c r="U619" t="str">
        <f t="shared" si="198"/>
        <v/>
      </c>
      <c r="V619" t="str">
        <f t="shared" si="199"/>
        <v/>
      </c>
      <c r="W619" t="str">
        <f t="shared" si="182"/>
        <v xml:space="preserve">              </v>
      </c>
    </row>
    <row r="620" spans="1:23" customFormat="1" hidden="1">
      <c r="A620" t="b">
        <f t="shared" si="181"/>
        <v>0</v>
      </c>
      <c r="B620">
        <f t="shared" si="183"/>
        <v>619</v>
      </c>
      <c r="C620" t="s">
        <v>1689</v>
      </c>
      <c r="D620" t="s">
        <v>615</v>
      </c>
      <c r="E620">
        <f t="shared" si="200"/>
        <v>44</v>
      </c>
      <c r="G620">
        <f t="shared" si="184"/>
        <v>3</v>
      </c>
      <c r="H620" t="str">
        <f t="shared" si="185"/>
        <v/>
      </c>
      <c r="I620" t="str">
        <f t="shared" si="186"/>
        <v/>
      </c>
      <c r="J620" t="str">
        <f t="shared" si="187"/>
        <v/>
      </c>
      <c r="K620" t="str">
        <f t="shared" si="188"/>
        <v/>
      </c>
      <c r="L620" t="str">
        <f t="shared" si="189"/>
        <v/>
      </c>
      <c r="M620" t="str">
        <f t="shared" si="190"/>
        <v/>
      </c>
      <c r="N620" t="str">
        <f t="shared" si="191"/>
        <v/>
      </c>
      <c r="O620" t="str">
        <f t="shared" si="192"/>
        <v/>
      </c>
      <c r="P620" t="str">
        <f t="shared" si="193"/>
        <v/>
      </c>
      <c r="Q620" t="str">
        <f t="shared" si="194"/>
        <v/>
      </c>
      <c r="R620" t="str">
        <f t="shared" si="195"/>
        <v/>
      </c>
      <c r="S620" t="str">
        <f t="shared" si="196"/>
        <v/>
      </c>
      <c r="T620" t="str">
        <f t="shared" si="197"/>
        <v/>
      </c>
      <c r="U620" t="str">
        <f t="shared" si="198"/>
        <v/>
      </c>
      <c r="V620" t="str">
        <f t="shared" si="199"/>
        <v/>
      </c>
      <c r="W620" t="str">
        <f t="shared" si="182"/>
        <v xml:space="preserve">              </v>
      </c>
    </row>
    <row r="621" spans="1:23" customFormat="1" hidden="1">
      <c r="A621" t="b">
        <f t="shared" si="181"/>
        <v>0</v>
      </c>
      <c r="B621">
        <f t="shared" si="183"/>
        <v>620</v>
      </c>
      <c r="C621" t="s">
        <v>1689</v>
      </c>
      <c r="D621" t="s">
        <v>616</v>
      </c>
      <c r="E621">
        <f t="shared" si="200"/>
        <v>16</v>
      </c>
      <c r="G621">
        <f t="shared" si="184"/>
        <v>4</v>
      </c>
      <c r="H621" t="str">
        <f t="shared" si="185"/>
        <v/>
      </c>
      <c r="I621" t="str">
        <f t="shared" si="186"/>
        <v/>
      </c>
      <c r="J621" t="str">
        <f t="shared" si="187"/>
        <v/>
      </c>
      <c r="K621" t="str">
        <f t="shared" si="188"/>
        <v/>
      </c>
      <c r="L621" t="str">
        <f t="shared" si="189"/>
        <v/>
      </c>
      <c r="M621" t="str">
        <f t="shared" si="190"/>
        <v/>
      </c>
      <c r="N621" t="str">
        <f t="shared" si="191"/>
        <v/>
      </c>
      <c r="O621" t="str">
        <f t="shared" si="192"/>
        <v/>
      </c>
      <c r="P621" t="str">
        <f t="shared" si="193"/>
        <v/>
      </c>
      <c r="Q621" t="str">
        <f t="shared" si="194"/>
        <v/>
      </c>
      <c r="R621" t="str">
        <f t="shared" si="195"/>
        <v/>
      </c>
      <c r="S621" t="str">
        <f t="shared" si="196"/>
        <v/>
      </c>
      <c r="T621" t="str">
        <f t="shared" si="197"/>
        <v/>
      </c>
      <c r="U621" t="str">
        <f t="shared" si="198"/>
        <v/>
      </c>
      <c r="V621" t="str">
        <f t="shared" si="199"/>
        <v/>
      </c>
      <c r="W621" t="str">
        <f t="shared" si="182"/>
        <v xml:space="preserve">              </v>
      </c>
    </row>
    <row r="622" spans="1:23" hidden="1">
      <c r="A622" s="71" t="b">
        <f t="shared" si="181"/>
        <v>0</v>
      </c>
      <c r="B622" s="71">
        <f t="shared" si="183"/>
        <v>621</v>
      </c>
      <c r="C622" s="71" t="s">
        <v>1689</v>
      </c>
      <c r="D622" s="71" t="s">
        <v>617</v>
      </c>
      <c r="E622">
        <f t="shared" si="200"/>
        <v>23</v>
      </c>
      <c r="F622">
        <v>1</v>
      </c>
      <c r="G622">
        <f t="shared" si="184"/>
        <v>1</v>
      </c>
      <c r="H622" t="str">
        <f t="shared" si="185"/>
        <v>Project network diagram</v>
      </c>
      <c r="I622" t="str">
        <f t="shared" si="186"/>
        <v>A diagram that visualizes the flow of the</v>
      </c>
      <c r="J622" t="str">
        <f t="shared" si="187"/>
        <v>project activities and their relationships to</v>
      </c>
      <c r="K622" t="str">
        <f t="shared" si="188"/>
        <v>other project activities.</v>
      </c>
      <c r="L622" t="str">
        <f t="shared" si="189"/>
        <v/>
      </c>
      <c r="M622" t="str">
        <f t="shared" si="190"/>
        <v/>
      </c>
      <c r="N622" t="str">
        <f t="shared" si="191"/>
        <v/>
      </c>
      <c r="O622" t="str">
        <f t="shared" si="192"/>
        <v/>
      </c>
      <c r="P622" t="str">
        <f t="shared" si="193"/>
        <v/>
      </c>
      <c r="Q622" t="str">
        <f t="shared" si="194"/>
        <v/>
      </c>
      <c r="R622" t="str">
        <f t="shared" si="195"/>
        <v/>
      </c>
      <c r="S622" t="str">
        <f t="shared" si="196"/>
        <v/>
      </c>
      <c r="T622" t="str">
        <f t="shared" si="197"/>
        <v/>
      </c>
      <c r="U622" t="str">
        <f t="shared" si="198"/>
        <v/>
      </c>
      <c r="V622" t="str">
        <f t="shared" si="199"/>
        <v/>
      </c>
      <c r="W622" s="71" t="str">
        <f>CONCATENATE(H622," ",I622," ",J622," ",K622," ",L622," ",M622," ",N622," ",O622," ",P622," ",Q622," ",R622," ",S622," ",T622," ",U622," ",V622)</f>
        <v xml:space="preserve">Project network diagram A diagram that visualizes the flow of the project activities and their relationships to other project activities.           </v>
      </c>
    </row>
    <row r="623" spans="1:23" customFormat="1" hidden="1">
      <c r="A623" t="b">
        <f t="shared" si="181"/>
        <v>0</v>
      </c>
      <c r="B623">
        <f t="shared" si="183"/>
        <v>622</v>
      </c>
      <c r="C623" t="s">
        <v>1689</v>
      </c>
      <c r="D623" t="s">
        <v>618</v>
      </c>
      <c r="E623">
        <f t="shared" si="200"/>
        <v>41</v>
      </c>
      <c r="G623">
        <f t="shared" si="184"/>
        <v>2</v>
      </c>
      <c r="H623" t="str">
        <f t="shared" si="185"/>
        <v/>
      </c>
      <c r="I623" t="str">
        <f t="shared" si="186"/>
        <v/>
      </c>
      <c r="J623" t="str">
        <f t="shared" si="187"/>
        <v/>
      </c>
      <c r="K623" t="str">
        <f t="shared" si="188"/>
        <v/>
      </c>
      <c r="L623" t="str">
        <f t="shared" si="189"/>
        <v/>
      </c>
      <c r="M623" t="str">
        <f t="shared" si="190"/>
        <v/>
      </c>
      <c r="N623" t="str">
        <f t="shared" si="191"/>
        <v/>
      </c>
      <c r="O623" t="str">
        <f t="shared" si="192"/>
        <v/>
      </c>
      <c r="P623" t="str">
        <f t="shared" si="193"/>
        <v/>
      </c>
      <c r="Q623" t="str">
        <f t="shared" si="194"/>
        <v/>
      </c>
      <c r="R623" t="str">
        <f t="shared" si="195"/>
        <v/>
      </c>
      <c r="S623" t="str">
        <f t="shared" si="196"/>
        <v/>
      </c>
      <c r="T623" t="str">
        <f t="shared" si="197"/>
        <v/>
      </c>
      <c r="U623" t="str">
        <f t="shared" si="198"/>
        <v/>
      </c>
      <c r="V623" t="str">
        <f t="shared" si="199"/>
        <v/>
      </c>
      <c r="W623" t="str">
        <f t="shared" si="182"/>
        <v xml:space="preserve">              </v>
      </c>
    </row>
    <row r="624" spans="1:23" customFormat="1" hidden="1">
      <c r="A624" t="b">
        <f t="shared" si="181"/>
        <v>0</v>
      </c>
      <c r="B624">
        <f t="shared" si="183"/>
        <v>623</v>
      </c>
      <c r="C624" t="s">
        <v>1689</v>
      </c>
      <c r="D624" t="s">
        <v>619</v>
      </c>
      <c r="E624">
        <f t="shared" si="200"/>
        <v>45</v>
      </c>
      <c r="G624">
        <f t="shared" si="184"/>
        <v>3</v>
      </c>
      <c r="H624" t="str">
        <f t="shared" si="185"/>
        <v/>
      </c>
      <c r="I624" t="str">
        <f t="shared" si="186"/>
        <v/>
      </c>
      <c r="J624" t="str">
        <f t="shared" si="187"/>
        <v/>
      </c>
      <c r="K624" t="str">
        <f t="shared" si="188"/>
        <v/>
      </c>
      <c r="L624" t="str">
        <f t="shared" si="189"/>
        <v/>
      </c>
      <c r="M624" t="str">
        <f t="shared" si="190"/>
        <v/>
      </c>
      <c r="N624" t="str">
        <f t="shared" si="191"/>
        <v/>
      </c>
      <c r="O624" t="str">
        <f t="shared" si="192"/>
        <v/>
      </c>
      <c r="P624" t="str">
        <f t="shared" si="193"/>
        <v/>
      </c>
      <c r="Q624" t="str">
        <f t="shared" si="194"/>
        <v/>
      </c>
      <c r="R624" t="str">
        <f t="shared" si="195"/>
        <v/>
      </c>
      <c r="S624" t="str">
        <f t="shared" si="196"/>
        <v/>
      </c>
      <c r="T624" t="str">
        <f t="shared" si="197"/>
        <v/>
      </c>
      <c r="U624" t="str">
        <f t="shared" si="198"/>
        <v/>
      </c>
      <c r="V624" t="str">
        <f t="shared" si="199"/>
        <v/>
      </c>
      <c r="W624" t="str">
        <f t="shared" si="182"/>
        <v xml:space="preserve">              </v>
      </c>
    </row>
    <row r="625" spans="1:23" customFormat="1" hidden="1">
      <c r="A625" t="b">
        <f t="shared" si="181"/>
        <v>0</v>
      </c>
      <c r="B625">
        <f t="shared" si="183"/>
        <v>624</v>
      </c>
      <c r="C625" t="s">
        <v>1689</v>
      </c>
      <c r="D625" t="s">
        <v>620</v>
      </c>
      <c r="E625">
        <f t="shared" si="200"/>
        <v>25</v>
      </c>
      <c r="G625">
        <f t="shared" si="184"/>
        <v>4</v>
      </c>
      <c r="H625" t="str">
        <f t="shared" si="185"/>
        <v/>
      </c>
      <c r="I625" t="str">
        <f t="shared" si="186"/>
        <v/>
      </c>
      <c r="J625" t="str">
        <f t="shared" si="187"/>
        <v/>
      </c>
      <c r="K625" t="str">
        <f t="shared" si="188"/>
        <v/>
      </c>
      <c r="L625" t="str">
        <f t="shared" si="189"/>
        <v/>
      </c>
      <c r="M625" t="str">
        <f t="shared" si="190"/>
        <v/>
      </c>
      <c r="N625" t="str">
        <f t="shared" si="191"/>
        <v/>
      </c>
      <c r="O625" t="str">
        <f t="shared" si="192"/>
        <v/>
      </c>
      <c r="P625" t="str">
        <f t="shared" si="193"/>
        <v/>
      </c>
      <c r="Q625" t="str">
        <f t="shared" si="194"/>
        <v/>
      </c>
      <c r="R625" t="str">
        <f t="shared" si="195"/>
        <v/>
      </c>
      <c r="S625" t="str">
        <f t="shared" si="196"/>
        <v/>
      </c>
      <c r="T625" t="str">
        <f t="shared" si="197"/>
        <v/>
      </c>
      <c r="U625" t="str">
        <f t="shared" si="198"/>
        <v/>
      </c>
      <c r="V625" t="str">
        <f t="shared" si="199"/>
        <v/>
      </c>
      <c r="W625" t="str">
        <f t="shared" si="182"/>
        <v xml:space="preserve">              </v>
      </c>
    </row>
    <row r="626" spans="1:23" hidden="1">
      <c r="A626" s="71" t="b">
        <f t="shared" si="181"/>
        <v>0</v>
      </c>
      <c r="B626" s="71">
        <f t="shared" si="183"/>
        <v>625</v>
      </c>
      <c r="C626" s="71" t="s">
        <v>1689</v>
      </c>
      <c r="D626" s="71" t="s">
        <v>621</v>
      </c>
      <c r="E626">
        <f t="shared" si="200"/>
        <v>10</v>
      </c>
      <c r="F626">
        <v>1</v>
      </c>
      <c r="G626">
        <f t="shared" si="184"/>
        <v>1</v>
      </c>
      <c r="H626" t="str">
        <f t="shared" si="185"/>
        <v>Refinement</v>
      </c>
      <c r="I626" t="str">
        <f t="shared" si="186"/>
        <v>An update to the work breakdown</v>
      </c>
      <c r="J626" t="str">
        <f t="shared" si="187"/>
        <v>structure.</v>
      </c>
      <c r="K626" t="str">
        <f t="shared" si="188"/>
        <v/>
      </c>
      <c r="L626" t="str">
        <f t="shared" si="189"/>
        <v/>
      </c>
      <c r="M626" t="str">
        <f t="shared" si="190"/>
        <v/>
      </c>
      <c r="N626" t="str">
        <f t="shared" si="191"/>
        <v/>
      </c>
      <c r="O626" t="str">
        <f t="shared" si="192"/>
        <v/>
      </c>
      <c r="P626" t="str">
        <f t="shared" si="193"/>
        <v/>
      </c>
      <c r="Q626" t="str">
        <f t="shared" si="194"/>
        <v/>
      </c>
      <c r="R626" t="str">
        <f t="shared" si="195"/>
        <v/>
      </c>
      <c r="S626" t="str">
        <f t="shared" si="196"/>
        <v/>
      </c>
      <c r="T626" t="str">
        <f t="shared" si="197"/>
        <v/>
      </c>
      <c r="U626" t="str">
        <f t="shared" si="198"/>
        <v/>
      </c>
      <c r="V626" t="str">
        <f t="shared" si="199"/>
        <v/>
      </c>
      <c r="W626" s="71" t="str">
        <f>CONCATENATE(H626," ",I626," ",J626," ",K626," ",L626," ",M626," ",N626," ",O626," ",P626," ",Q626," ",R626," ",S626," ",T626," ",U626," ",V626)</f>
        <v xml:space="preserve">Refinement An update to the work breakdown structure.            </v>
      </c>
    </row>
    <row r="627" spans="1:23" customFormat="1" hidden="1">
      <c r="A627" t="b">
        <f t="shared" si="181"/>
        <v>0</v>
      </c>
      <c r="B627">
        <f t="shared" si="183"/>
        <v>626</v>
      </c>
      <c r="C627" t="s">
        <v>1689</v>
      </c>
      <c r="D627" t="s">
        <v>622</v>
      </c>
      <c r="E627">
        <f t="shared" si="200"/>
        <v>31</v>
      </c>
      <c r="G627">
        <f t="shared" si="184"/>
        <v>2</v>
      </c>
      <c r="H627" t="str">
        <f t="shared" si="185"/>
        <v/>
      </c>
      <c r="I627" t="str">
        <f t="shared" si="186"/>
        <v/>
      </c>
      <c r="J627" t="str">
        <f t="shared" si="187"/>
        <v/>
      </c>
      <c r="K627" t="str">
        <f t="shared" si="188"/>
        <v/>
      </c>
      <c r="L627" t="str">
        <f t="shared" si="189"/>
        <v/>
      </c>
      <c r="M627" t="str">
        <f t="shared" si="190"/>
        <v/>
      </c>
      <c r="N627" t="str">
        <f t="shared" si="191"/>
        <v/>
      </c>
      <c r="O627" t="str">
        <f t="shared" si="192"/>
        <v/>
      </c>
      <c r="P627" t="str">
        <f t="shared" si="193"/>
        <v/>
      </c>
      <c r="Q627" t="str">
        <f t="shared" si="194"/>
        <v/>
      </c>
      <c r="R627" t="str">
        <f t="shared" si="195"/>
        <v/>
      </c>
      <c r="S627" t="str">
        <f t="shared" si="196"/>
        <v/>
      </c>
      <c r="T627" t="str">
        <f t="shared" si="197"/>
        <v/>
      </c>
      <c r="U627" t="str">
        <f t="shared" si="198"/>
        <v/>
      </c>
      <c r="V627" t="str">
        <f t="shared" si="199"/>
        <v/>
      </c>
      <c r="W627" t="str">
        <f t="shared" si="182"/>
        <v xml:space="preserve">              </v>
      </c>
    </row>
    <row r="628" spans="1:23" customFormat="1" hidden="1">
      <c r="A628" t="b">
        <f t="shared" si="181"/>
        <v>0</v>
      </c>
      <c r="B628">
        <f t="shared" si="183"/>
        <v>627</v>
      </c>
      <c r="C628" t="s">
        <v>1689</v>
      </c>
      <c r="D628" t="s">
        <v>623</v>
      </c>
      <c r="E628">
        <f t="shared" si="200"/>
        <v>10</v>
      </c>
      <c r="G628">
        <f t="shared" si="184"/>
        <v>3</v>
      </c>
      <c r="H628" t="str">
        <f t="shared" si="185"/>
        <v/>
      </c>
      <c r="I628" t="str">
        <f t="shared" si="186"/>
        <v/>
      </c>
      <c r="J628" t="str">
        <f t="shared" si="187"/>
        <v/>
      </c>
      <c r="K628" t="str">
        <f t="shared" si="188"/>
        <v/>
      </c>
      <c r="L628" t="str">
        <f t="shared" si="189"/>
        <v/>
      </c>
      <c r="M628" t="str">
        <f t="shared" si="190"/>
        <v/>
      </c>
      <c r="N628" t="str">
        <f t="shared" si="191"/>
        <v/>
      </c>
      <c r="O628" t="str">
        <f t="shared" si="192"/>
        <v/>
      </c>
      <c r="P628" t="str">
        <f t="shared" si="193"/>
        <v/>
      </c>
      <c r="Q628" t="str">
        <f t="shared" si="194"/>
        <v/>
      </c>
      <c r="R628" t="str">
        <f t="shared" si="195"/>
        <v/>
      </c>
      <c r="S628" t="str">
        <f t="shared" si="196"/>
        <v/>
      </c>
      <c r="T628" t="str">
        <f t="shared" si="197"/>
        <v/>
      </c>
      <c r="U628" t="str">
        <f t="shared" si="198"/>
        <v/>
      </c>
      <c r="V628" t="str">
        <f t="shared" si="199"/>
        <v/>
      </c>
      <c r="W628" t="str">
        <f t="shared" si="182"/>
        <v xml:space="preserve">              </v>
      </c>
    </row>
    <row r="629" spans="1:23" hidden="1">
      <c r="A629" s="71" t="b">
        <f t="shared" si="181"/>
        <v>0</v>
      </c>
      <c r="B629" s="71">
        <f t="shared" si="183"/>
        <v>628</v>
      </c>
      <c r="C629" s="71" t="s">
        <v>1689</v>
      </c>
      <c r="D629" s="71" t="s">
        <v>624</v>
      </c>
      <c r="E629">
        <f t="shared" si="200"/>
        <v>34</v>
      </c>
      <c r="F629">
        <v>1</v>
      </c>
      <c r="G629">
        <f t="shared" si="184"/>
        <v>1</v>
      </c>
      <c r="H629" t="str">
        <f t="shared" si="185"/>
        <v>Resource breakdown structure (RBS)</v>
      </c>
      <c r="I629" t="str">
        <f t="shared" si="186"/>
        <v>This is a hierarchical breakdown of the</v>
      </c>
      <c r="J629" t="str">
        <f t="shared" si="187"/>
        <v>project resources by category and</v>
      </c>
      <c r="K629" t="str">
        <f t="shared" si="188"/>
        <v>resource type. For example, you could</v>
      </c>
      <c r="L629" t="str">
        <f t="shared" si="189"/>
        <v>have a category of equipment, a category</v>
      </c>
      <c r="M629" t="str">
        <f t="shared" si="190"/>
        <v>of human resources, and a category of</v>
      </c>
      <c r="N629" t="str">
        <f t="shared" si="191"/>
        <v>materials. Within each category, you</v>
      </c>
      <c r="O629" t="str">
        <f t="shared" si="192"/>
        <v>could identify the types of equipment your</v>
      </c>
      <c r="P629" t="str">
        <f t="shared" si="193"/>
        <v>project will use, the types of human</v>
      </c>
      <c r="Q629" t="str">
        <f t="shared" si="194"/>
        <v>resources, and the types of materials.</v>
      </c>
      <c r="R629" t="str">
        <f t="shared" si="195"/>
        <v/>
      </c>
      <c r="S629" t="str">
        <f t="shared" si="196"/>
        <v/>
      </c>
      <c r="T629" t="str">
        <f t="shared" si="197"/>
        <v/>
      </c>
      <c r="U629" t="str">
        <f t="shared" si="198"/>
        <v/>
      </c>
      <c r="V629" t="str">
        <f t="shared" si="199"/>
        <v/>
      </c>
      <c r="W629" s="71" t="str">
        <f>CONCATENATE(H629," ",I629," ",J629," ",K629," ",L629," ",M629," ",N629," ",O629," ",P629," ",Q629," ",R629," ",S629," ",T629," ",U629," ",V629)</f>
        <v xml:space="preserve">Resource breakdown structure (RBS) This is a hierarchical breakdown of the project resources by category and resource type. For example, you could have a category of equipment, a category of human resources, and a category of materials. Within each category, you could identify the types of equipment your project will use, the types of human resources, and the types of materials.     </v>
      </c>
    </row>
    <row r="630" spans="1:23" customFormat="1" hidden="1">
      <c r="A630" t="b">
        <f t="shared" si="181"/>
        <v>0</v>
      </c>
      <c r="B630">
        <f t="shared" si="183"/>
        <v>629</v>
      </c>
      <c r="C630" t="s">
        <v>1689</v>
      </c>
      <c r="D630" t="s">
        <v>625</v>
      </c>
      <c r="E630">
        <f t="shared" si="200"/>
        <v>39</v>
      </c>
      <c r="G630">
        <f t="shared" si="184"/>
        <v>2</v>
      </c>
      <c r="H630" t="str">
        <f t="shared" si="185"/>
        <v/>
      </c>
      <c r="I630" t="str">
        <f t="shared" si="186"/>
        <v/>
      </c>
      <c r="J630" t="str">
        <f t="shared" si="187"/>
        <v/>
      </c>
      <c r="K630" t="str">
        <f t="shared" si="188"/>
        <v/>
      </c>
      <c r="L630" t="str">
        <f t="shared" si="189"/>
        <v/>
      </c>
      <c r="M630" t="str">
        <f t="shared" si="190"/>
        <v/>
      </c>
      <c r="N630" t="str">
        <f t="shared" si="191"/>
        <v/>
      </c>
      <c r="O630" t="str">
        <f t="shared" si="192"/>
        <v/>
      </c>
      <c r="P630" t="str">
        <f t="shared" si="193"/>
        <v/>
      </c>
      <c r="Q630" t="str">
        <f t="shared" si="194"/>
        <v/>
      </c>
      <c r="R630" t="str">
        <f t="shared" si="195"/>
        <v/>
      </c>
      <c r="S630" t="str">
        <f t="shared" si="196"/>
        <v/>
      </c>
      <c r="T630" t="str">
        <f t="shared" si="197"/>
        <v/>
      </c>
      <c r="U630" t="str">
        <f t="shared" si="198"/>
        <v/>
      </c>
      <c r="V630" t="str">
        <f t="shared" si="199"/>
        <v/>
      </c>
      <c r="W630" t="str">
        <f t="shared" si="182"/>
        <v xml:space="preserve">              </v>
      </c>
    </row>
    <row r="631" spans="1:23" customFormat="1" hidden="1">
      <c r="A631" t="b">
        <f t="shared" si="181"/>
        <v>0</v>
      </c>
      <c r="B631">
        <f t="shared" si="183"/>
        <v>630</v>
      </c>
      <c r="C631" t="s">
        <v>1689</v>
      </c>
      <c r="D631" t="s">
        <v>626</v>
      </c>
      <c r="E631">
        <f t="shared" si="200"/>
        <v>33</v>
      </c>
      <c r="G631">
        <f t="shared" si="184"/>
        <v>3</v>
      </c>
      <c r="H631" t="str">
        <f t="shared" si="185"/>
        <v/>
      </c>
      <c r="I631" t="str">
        <f t="shared" si="186"/>
        <v/>
      </c>
      <c r="J631" t="str">
        <f t="shared" si="187"/>
        <v/>
      </c>
      <c r="K631" t="str">
        <f t="shared" si="188"/>
        <v/>
      </c>
      <c r="L631" t="str">
        <f t="shared" si="189"/>
        <v/>
      </c>
      <c r="M631" t="str">
        <f t="shared" si="190"/>
        <v/>
      </c>
      <c r="N631" t="str">
        <f t="shared" si="191"/>
        <v/>
      </c>
      <c r="O631" t="str">
        <f t="shared" si="192"/>
        <v/>
      </c>
      <c r="P631" t="str">
        <f t="shared" si="193"/>
        <v/>
      </c>
      <c r="Q631" t="str">
        <f t="shared" si="194"/>
        <v/>
      </c>
      <c r="R631" t="str">
        <f t="shared" si="195"/>
        <v/>
      </c>
      <c r="S631" t="str">
        <f t="shared" si="196"/>
        <v/>
      </c>
      <c r="T631" t="str">
        <f t="shared" si="197"/>
        <v/>
      </c>
      <c r="U631" t="str">
        <f t="shared" si="198"/>
        <v/>
      </c>
      <c r="V631" t="str">
        <f t="shared" si="199"/>
        <v/>
      </c>
      <c r="W631" t="str">
        <f t="shared" si="182"/>
        <v xml:space="preserve">              </v>
      </c>
    </row>
    <row r="632" spans="1:23" customFormat="1" hidden="1">
      <c r="A632" t="b">
        <f t="shared" si="181"/>
        <v>0</v>
      </c>
      <c r="B632">
        <f t="shared" si="183"/>
        <v>631</v>
      </c>
      <c r="C632" t="s">
        <v>1689</v>
      </c>
      <c r="D632" t="s">
        <v>627</v>
      </c>
      <c r="E632">
        <f t="shared" si="200"/>
        <v>37</v>
      </c>
      <c r="G632">
        <f t="shared" si="184"/>
        <v>4</v>
      </c>
      <c r="H632" t="str">
        <f t="shared" si="185"/>
        <v/>
      </c>
      <c r="I632" t="str">
        <f t="shared" si="186"/>
        <v/>
      </c>
      <c r="J632" t="str">
        <f t="shared" si="187"/>
        <v/>
      </c>
      <c r="K632" t="str">
        <f t="shared" si="188"/>
        <v/>
      </c>
      <c r="L632" t="str">
        <f t="shared" si="189"/>
        <v/>
      </c>
      <c r="M632" t="str">
        <f t="shared" si="190"/>
        <v/>
      </c>
      <c r="N632" t="str">
        <f t="shared" si="191"/>
        <v/>
      </c>
      <c r="O632" t="str">
        <f t="shared" si="192"/>
        <v/>
      </c>
      <c r="P632" t="str">
        <f t="shared" si="193"/>
        <v/>
      </c>
      <c r="Q632" t="str">
        <f t="shared" si="194"/>
        <v/>
      </c>
      <c r="R632" t="str">
        <f t="shared" si="195"/>
        <v/>
      </c>
      <c r="S632" t="str">
        <f t="shared" si="196"/>
        <v/>
      </c>
      <c r="T632" t="str">
        <f t="shared" si="197"/>
        <v/>
      </c>
      <c r="U632" t="str">
        <f t="shared" si="198"/>
        <v/>
      </c>
      <c r="V632" t="str">
        <f t="shared" si="199"/>
        <v/>
      </c>
      <c r="W632" t="str">
        <f t="shared" si="182"/>
        <v xml:space="preserve">              </v>
      </c>
    </row>
    <row r="633" spans="1:23" customFormat="1" hidden="1">
      <c r="A633" t="b">
        <f t="shared" si="181"/>
        <v>0</v>
      </c>
      <c r="B633">
        <f t="shared" si="183"/>
        <v>632</v>
      </c>
      <c r="C633" t="s">
        <v>1689</v>
      </c>
      <c r="D633" t="s">
        <v>628</v>
      </c>
      <c r="E633">
        <f t="shared" si="200"/>
        <v>40</v>
      </c>
      <c r="G633">
        <f t="shared" si="184"/>
        <v>5</v>
      </c>
      <c r="H633" t="str">
        <f t="shared" si="185"/>
        <v/>
      </c>
      <c r="I633" t="str">
        <f t="shared" si="186"/>
        <v/>
      </c>
      <c r="J633" t="str">
        <f t="shared" si="187"/>
        <v/>
      </c>
      <c r="K633" t="str">
        <f t="shared" si="188"/>
        <v/>
      </c>
      <c r="L633" t="str">
        <f t="shared" si="189"/>
        <v/>
      </c>
      <c r="M633" t="str">
        <f t="shared" si="190"/>
        <v/>
      </c>
      <c r="N633" t="str">
        <f t="shared" si="191"/>
        <v/>
      </c>
      <c r="O633" t="str">
        <f t="shared" si="192"/>
        <v/>
      </c>
      <c r="P633" t="str">
        <f t="shared" si="193"/>
        <v/>
      </c>
      <c r="Q633" t="str">
        <f t="shared" si="194"/>
        <v/>
      </c>
      <c r="R633" t="str">
        <f t="shared" si="195"/>
        <v/>
      </c>
      <c r="S633" t="str">
        <f t="shared" si="196"/>
        <v/>
      </c>
      <c r="T633" t="str">
        <f t="shared" si="197"/>
        <v/>
      </c>
      <c r="U633" t="str">
        <f t="shared" si="198"/>
        <v/>
      </c>
      <c r="V633" t="str">
        <f t="shared" si="199"/>
        <v/>
      </c>
      <c r="W633" t="str">
        <f t="shared" si="182"/>
        <v xml:space="preserve">              </v>
      </c>
    </row>
    <row r="634" spans="1:23" customFormat="1" hidden="1">
      <c r="A634" t="b">
        <f t="shared" si="181"/>
        <v>0</v>
      </c>
      <c r="B634">
        <f t="shared" si="183"/>
        <v>633</v>
      </c>
      <c r="C634" t="s">
        <v>1689</v>
      </c>
      <c r="D634" t="s">
        <v>629</v>
      </c>
      <c r="E634">
        <f t="shared" si="200"/>
        <v>37</v>
      </c>
      <c r="G634">
        <f t="shared" si="184"/>
        <v>6</v>
      </c>
      <c r="H634" t="str">
        <f t="shared" si="185"/>
        <v/>
      </c>
      <c r="I634" t="str">
        <f t="shared" si="186"/>
        <v/>
      </c>
      <c r="J634" t="str">
        <f t="shared" si="187"/>
        <v/>
      </c>
      <c r="K634" t="str">
        <f t="shared" si="188"/>
        <v/>
      </c>
      <c r="L634" t="str">
        <f t="shared" si="189"/>
        <v/>
      </c>
      <c r="M634" t="str">
        <f t="shared" si="190"/>
        <v/>
      </c>
      <c r="N634" t="str">
        <f t="shared" si="191"/>
        <v/>
      </c>
      <c r="O634" t="str">
        <f t="shared" si="192"/>
        <v/>
      </c>
      <c r="P634" t="str">
        <f t="shared" si="193"/>
        <v/>
      </c>
      <c r="Q634" t="str">
        <f t="shared" si="194"/>
        <v/>
      </c>
      <c r="R634" t="str">
        <f t="shared" si="195"/>
        <v/>
      </c>
      <c r="S634" t="str">
        <f t="shared" si="196"/>
        <v/>
      </c>
      <c r="T634" t="str">
        <f t="shared" si="197"/>
        <v/>
      </c>
      <c r="U634" t="str">
        <f t="shared" si="198"/>
        <v/>
      </c>
      <c r="V634" t="str">
        <f t="shared" si="199"/>
        <v/>
      </c>
      <c r="W634" t="str">
        <f t="shared" si="182"/>
        <v xml:space="preserve">              </v>
      </c>
    </row>
    <row r="635" spans="1:23" customFormat="1" hidden="1">
      <c r="A635" t="b">
        <f t="shared" si="181"/>
        <v>0</v>
      </c>
      <c r="B635">
        <f t="shared" si="183"/>
        <v>634</v>
      </c>
      <c r="C635" t="s">
        <v>1689</v>
      </c>
      <c r="D635" t="s">
        <v>630</v>
      </c>
      <c r="E635">
        <f t="shared" si="200"/>
        <v>36</v>
      </c>
      <c r="G635">
        <f t="shared" si="184"/>
        <v>7</v>
      </c>
      <c r="H635" t="str">
        <f t="shared" si="185"/>
        <v/>
      </c>
      <c r="I635" t="str">
        <f t="shared" si="186"/>
        <v/>
      </c>
      <c r="J635" t="str">
        <f t="shared" si="187"/>
        <v/>
      </c>
      <c r="K635" t="str">
        <f t="shared" si="188"/>
        <v/>
      </c>
      <c r="L635" t="str">
        <f t="shared" si="189"/>
        <v/>
      </c>
      <c r="M635" t="str">
        <f t="shared" si="190"/>
        <v/>
      </c>
      <c r="N635" t="str">
        <f t="shared" si="191"/>
        <v/>
      </c>
      <c r="O635" t="str">
        <f t="shared" si="192"/>
        <v/>
      </c>
      <c r="P635" t="str">
        <f t="shared" si="193"/>
        <v/>
      </c>
      <c r="Q635" t="str">
        <f t="shared" si="194"/>
        <v/>
      </c>
      <c r="R635" t="str">
        <f t="shared" si="195"/>
        <v/>
      </c>
      <c r="S635" t="str">
        <f t="shared" si="196"/>
        <v/>
      </c>
      <c r="T635" t="str">
        <f t="shared" si="197"/>
        <v/>
      </c>
      <c r="U635" t="str">
        <f t="shared" si="198"/>
        <v/>
      </c>
      <c r="V635" t="str">
        <f t="shared" si="199"/>
        <v/>
      </c>
      <c r="W635" t="str">
        <f t="shared" si="182"/>
        <v xml:space="preserve">              </v>
      </c>
    </row>
    <row r="636" spans="1:23" customFormat="1" hidden="1">
      <c r="A636" t="b">
        <f t="shared" si="181"/>
        <v>0</v>
      </c>
      <c r="B636">
        <f t="shared" si="183"/>
        <v>635</v>
      </c>
      <c r="C636" t="s">
        <v>1689</v>
      </c>
      <c r="D636" t="s">
        <v>631</v>
      </c>
      <c r="E636">
        <f t="shared" si="200"/>
        <v>42</v>
      </c>
      <c r="G636">
        <f t="shared" si="184"/>
        <v>8</v>
      </c>
      <c r="H636" t="str">
        <f t="shared" si="185"/>
        <v/>
      </c>
      <c r="I636" t="str">
        <f t="shared" si="186"/>
        <v/>
      </c>
      <c r="J636" t="str">
        <f t="shared" si="187"/>
        <v/>
      </c>
      <c r="K636" t="str">
        <f t="shared" si="188"/>
        <v/>
      </c>
      <c r="L636" t="str">
        <f t="shared" si="189"/>
        <v/>
      </c>
      <c r="M636" t="str">
        <f t="shared" si="190"/>
        <v/>
      </c>
      <c r="N636" t="str">
        <f t="shared" si="191"/>
        <v/>
      </c>
      <c r="O636" t="str">
        <f t="shared" si="192"/>
        <v/>
      </c>
      <c r="P636" t="str">
        <f t="shared" si="193"/>
        <v/>
      </c>
      <c r="Q636" t="str">
        <f t="shared" si="194"/>
        <v/>
      </c>
      <c r="R636" t="str">
        <f t="shared" si="195"/>
        <v/>
      </c>
      <c r="S636" t="str">
        <f t="shared" si="196"/>
        <v/>
      </c>
      <c r="T636" t="str">
        <f t="shared" si="197"/>
        <v/>
      </c>
      <c r="U636" t="str">
        <f t="shared" si="198"/>
        <v/>
      </c>
      <c r="V636" t="str">
        <f t="shared" si="199"/>
        <v/>
      </c>
      <c r="W636" t="str">
        <f t="shared" si="182"/>
        <v xml:space="preserve">              </v>
      </c>
    </row>
    <row r="637" spans="1:23" customFormat="1" hidden="1">
      <c r="A637" t="b">
        <f t="shared" si="181"/>
        <v>0</v>
      </c>
      <c r="B637">
        <f t="shared" si="183"/>
        <v>636</v>
      </c>
      <c r="C637" t="s">
        <v>1689</v>
      </c>
      <c r="D637" t="s">
        <v>632</v>
      </c>
      <c r="E637">
        <f t="shared" si="200"/>
        <v>36</v>
      </c>
      <c r="G637">
        <f t="shared" si="184"/>
        <v>9</v>
      </c>
      <c r="H637" t="str">
        <f t="shared" si="185"/>
        <v/>
      </c>
      <c r="I637" t="str">
        <f t="shared" si="186"/>
        <v/>
      </c>
      <c r="J637" t="str">
        <f t="shared" si="187"/>
        <v/>
      </c>
      <c r="K637" t="str">
        <f t="shared" si="188"/>
        <v/>
      </c>
      <c r="L637" t="str">
        <f t="shared" si="189"/>
        <v/>
      </c>
      <c r="M637" t="str">
        <f t="shared" si="190"/>
        <v/>
      </c>
      <c r="N637" t="str">
        <f t="shared" si="191"/>
        <v/>
      </c>
      <c r="O637" t="str">
        <f t="shared" si="192"/>
        <v/>
      </c>
      <c r="P637" t="str">
        <f t="shared" si="193"/>
        <v/>
      </c>
      <c r="Q637" t="str">
        <f t="shared" si="194"/>
        <v/>
      </c>
      <c r="R637" t="str">
        <f t="shared" si="195"/>
        <v/>
      </c>
      <c r="S637" t="str">
        <f t="shared" si="196"/>
        <v/>
      </c>
      <c r="T637" t="str">
        <f t="shared" si="197"/>
        <v/>
      </c>
      <c r="U637" t="str">
        <f t="shared" si="198"/>
        <v/>
      </c>
      <c r="V637" t="str">
        <f t="shared" si="199"/>
        <v/>
      </c>
      <c r="W637" t="str">
        <f t="shared" si="182"/>
        <v xml:space="preserve">              </v>
      </c>
    </row>
    <row r="638" spans="1:23" customFormat="1" hidden="1">
      <c r="A638" t="b">
        <f t="shared" si="181"/>
        <v>0</v>
      </c>
      <c r="B638">
        <f t="shared" si="183"/>
        <v>637</v>
      </c>
      <c r="C638" t="s">
        <v>1689</v>
      </c>
      <c r="D638" t="s">
        <v>633</v>
      </c>
      <c r="E638">
        <f t="shared" si="200"/>
        <v>38</v>
      </c>
      <c r="G638">
        <f t="shared" si="184"/>
        <v>10</v>
      </c>
      <c r="H638" t="str">
        <f t="shared" si="185"/>
        <v/>
      </c>
      <c r="I638" t="str">
        <f t="shared" si="186"/>
        <v/>
      </c>
      <c r="J638" t="str">
        <f t="shared" si="187"/>
        <v/>
      </c>
      <c r="K638" t="str">
        <f t="shared" si="188"/>
        <v/>
      </c>
      <c r="L638" t="str">
        <f t="shared" si="189"/>
        <v/>
      </c>
      <c r="M638" t="str">
        <f t="shared" si="190"/>
        <v/>
      </c>
      <c r="N638" t="str">
        <f t="shared" si="191"/>
        <v/>
      </c>
      <c r="O638" t="str">
        <f t="shared" si="192"/>
        <v/>
      </c>
      <c r="P638" t="str">
        <f t="shared" si="193"/>
        <v/>
      </c>
      <c r="Q638" t="str">
        <f t="shared" si="194"/>
        <v/>
      </c>
      <c r="R638" t="str">
        <f t="shared" si="195"/>
        <v/>
      </c>
      <c r="S638" t="str">
        <f t="shared" si="196"/>
        <v/>
      </c>
      <c r="T638" t="str">
        <f t="shared" si="197"/>
        <v/>
      </c>
      <c r="U638" t="str">
        <f t="shared" si="198"/>
        <v/>
      </c>
      <c r="V638" t="str">
        <f t="shared" si="199"/>
        <v/>
      </c>
      <c r="W638" t="str">
        <f t="shared" si="182"/>
        <v xml:space="preserve">              </v>
      </c>
    </row>
    <row r="639" spans="1:23" hidden="1">
      <c r="A639" s="71" t="b">
        <f t="shared" si="181"/>
        <v>0</v>
      </c>
      <c r="B639" s="71">
        <f t="shared" si="183"/>
        <v>638</v>
      </c>
      <c r="C639" s="71" t="s">
        <v>1689</v>
      </c>
      <c r="D639" s="71" t="s">
        <v>634</v>
      </c>
      <c r="E639">
        <f t="shared" si="200"/>
        <v>18</v>
      </c>
      <c r="F639">
        <v>1</v>
      </c>
      <c r="G639">
        <f t="shared" si="184"/>
        <v>1</v>
      </c>
      <c r="H639" t="str">
        <f t="shared" si="185"/>
        <v>Resource calendars</v>
      </c>
      <c r="I639" t="str">
        <f t="shared" si="186"/>
        <v>Calendars that identify when project</v>
      </c>
      <c r="J639" t="str">
        <f t="shared" si="187"/>
        <v>resources are available for the project</v>
      </c>
      <c r="K639" t="str">
        <f t="shared" si="188"/>
        <v>work.</v>
      </c>
      <c r="L639" t="str">
        <f t="shared" si="189"/>
        <v/>
      </c>
      <c r="M639" t="str">
        <f t="shared" si="190"/>
        <v/>
      </c>
      <c r="N639" t="str">
        <f t="shared" si="191"/>
        <v/>
      </c>
      <c r="O639" t="str">
        <f t="shared" si="192"/>
        <v/>
      </c>
      <c r="P639" t="str">
        <f t="shared" si="193"/>
        <v/>
      </c>
      <c r="Q639" t="str">
        <f t="shared" si="194"/>
        <v/>
      </c>
      <c r="R639" t="str">
        <f t="shared" si="195"/>
        <v/>
      </c>
      <c r="S639" t="str">
        <f t="shared" si="196"/>
        <v/>
      </c>
      <c r="T639" t="str">
        <f t="shared" si="197"/>
        <v/>
      </c>
      <c r="U639" t="str">
        <f t="shared" si="198"/>
        <v/>
      </c>
      <c r="V639" t="str">
        <f t="shared" si="199"/>
        <v/>
      </c>
      <c r="W639" s="71" t="str">
        <f>CONCATENATE(H639," ",I639," ",J639," ",K639," ",L639," ",M639," ",N639," ",O639," ",P639," ",Q639," ",R639," ",S639," ",T639," ",U639," ",V639)</f>
        <v xml:space="preserve">Resource calendars Calendars that identify when project resources are available for the project work.           </v>
      </c>
    </row>
    <row r="640" spans="1:23" customFormat="1" hidden="1">
      <c r="A640" t="b">
        <f t="shared" si="181"/>
        <v>0</v>
      </c>
      <c r="B640">
        <f t="shared" si="183"/>
        <v>639</v>
      </c>
      <c r="C640" t="s">
        <v>1689</v>
      </c>
      <c r="D640" t="s">
        <v>635</v>
      </c>
      <c r="E640">
        <f t="shared" si="200"/>
        <v>36</v>
      </c>
      <c r="G640">
        <f t="shared" si="184"/>
        <v>2</v>
      </c>
      <c r="H640" t="str">
        <f t="shared" si="185"/>
        <v/>
      </c>
      <c r="I640" t="str">
        <f t="shared" si="186"/>
        <v/>
      </c>
      <c r="J640" t="str">
        <f t="shared" si="187"/>
        <v/>
      </c>
      <c r="K640" t="str">
        <f t="shared" si="188"/>
        <v/>
      </c>
      <c r="L640" t="str">
        <f t="shared" si="189"/>
        <v/>
      </c>
      <c r="M640" t="str">
        <f t="shared" si="190"/>
        <v/>
      </c>
      <c r="N640" t="str">
        <f t="shared" si="191"/>
        <v/>
      </c>
      <c r="O640" t="str">
        <f t="shared" si="192"/>
        <v/>
      </c>
      <c r="P640" t="str">
        <f t="shared" si="193"/>
        <v/>
      </c>
      <c r="Q640" t="str">
        <f t="shared" si="194"/>
        <v/>
      </c>
      <c r="R640" t="str">
        <f t="shared" si="195"/>
        <v/>
      </c>
      <c r="S640" t="str">
        <f t="shared" si="196"/>
        <v/>
      </c>
      <c r="T640" t="str">
        <f t="shared" si="197"/>
        <v/>
      </c>
      <c r="U640" t="str">
        <f t="shared" si="198"/>
        <v/>
      </c>
      <c r="V640" t="str">
        <f t="shared" si="199"/>
        <v/>
      </c>
      <c r="W640" t="str">
        <f t="shared" si="182"/>
        <v xml:space="preserve">              </v>
      </c>
    </row>
    <row r="641" spans="1:23" customFormat="1" hidden="1">
      <c r="A641" t="b">
        <f t="shared" ref="A641:A704" si="201">C641=D641</f>
        <v>0</v>
      </c>
      <c r="B641">
        <f t="shared" si="183"/>
        <v>640</v>
      </c>
      <c r="C641" t="s">
        <v>1689</v>
      </c>
      <c r="D641" t="s">
        <v>636</v>
      </c>
      <c r="E641">
        <f t="shared" si="200"/>
        <v>39</v>
      </c>
      <c r="G641">
        <f t="shared" si="184"/>
        <v>3</v>
      </c>
      <c r="H641" t="str">
        <f t="shared" si="185"/>
        <v/>
      </c>
      <c r="I641" t="str">
        <f t="shared" si="186"/>
        <v/>
      </c>
      <c r="J641" t="str">
        <f t="shared" si="187"/>
        <v/>
      </c>
      <c r="K641" t="str">
        <f t="shared" si="188"/>
        <v/>
      </c>
      <c r="L641" t="str">
        <f t="shared" si="189"/>
        <v/>
      </c>
      <c r="M641" t="str">
        <f t="shared" si="190"/>
        <v/>
      </c>
      <c r="N641" t="str">
        <f t="shared" si="191"/>
        <v/>
      </c>
      <c r="O641" t="str">
        <f t="shared" si="192"/>
        <v/>
      </c>
      <c r="P641" t="str">
        <f t="shared" si="193"/>
        <v/>
      </c>
      <c r="Q641" t="str">
        <f t="shared" si="194"/>
        <v/>
      </c>
      <c r="R641" t="str">
        <f t="shared" si="195"/>
        <v/>
      </c>
      <c r="S641" t="str">
        <f t="shared" si="196"/>
        <v/>
      </c>
      <c r="T641" t="str">
        <f t="shared" si="197"/>
        <v/>
      </c>
      <c r="U641" t="str">
        <f t="shared" si="198"/>
        <v/>
      </c>
      <c r="V641" t="str">
        <f t="shared" si="199"/>
        <v/>
      </c>
      <c r="W641" t="str">
        <f t="shared" ref="W641:W703" si="202">CONCATENATE(H641," ",I641," ",J641," ",K641," ",L641," ",M641," ",N641," ",O641," ",P641," ",Q641," ",R641," ",S641," ",T641," ",U641," ",V641)</f>
        <v xml:space="preserve">              </v>
      </c>
    </row>
    <row r="642" spans="1:23" customFormat="1" hidden="1">
      <c r="A642" t="b">
        <f t="shared" si="201"/>
        <v>0</v>
      </c>
      <c r="B642">
        <f t="shared" si="183"/>
        <v>641</v>
      </c>
      <c r="C642" t="s">
        <v>1689</v>
      </c>
      <c r="D642" t="s">
        <v>637</v>
      </c>
      <c r="E642">
        <f t="shared" si="200"/>
        <v>5</v>
      </c>
      <c r="G642">
        <f t="shared" si="184"/>
        <v>4</v>
      </c>
      <c r="H642" t="str">
        <f t="shared" si="185"/>
        <v/>
      </c>
      <c r="I642" t="str">
        <f t="shared" si="186"/>
        <v/>
      </c>
      <c r="J642" t="str">
        <f t="shared" si="187"/>
        <v/>
      </c>
      <c r="K642" t="str">
        <f t="shared" si="188"/>
        <v/>
      </c>
      <c r="L642" t="str">
        <f t="shared" si="189"/>
        <v/>
      </c>
      <c r="M642" t="str">
        <f t="shared" si="190"/>
        <v/>
      </c>
      <c r="N642" t="str">
        <f t="shared" si="191"/>
        <v/>
      </c>
      <c r="O642" t="str">
        <f t="shared" si="192"/>
        <v/>
      </c>
      <c r="P642" t="str">
        <f t="shared" si="193"/>
        <v/>
      </c>
      <c r="Q642" t="str">
        <f t="shared" si="194"/>
        <v/>
      </c>
      <c r="R642" t="str">
        <f t="shared" si="195"/>
        <v/>
      </c>
      <c r="S642" t="str">
        <f t="shared" si="196"/>
        <v/>
      </c>
      <c r="T642" t="str">
        <f t="shared" si="197"/>
        <v/>
      </c>
      <c r="U642" t="str">
        <f t="shared" si="198"/>
        <v/>
      </c>
      <c r="V642" t="str">
        <f t="shared" si="199"/>
        <v/>
      </c>
      <c r="W642" t="str">
        <f t="shared" si="202"/>
        <v xml:space="preserve">              </v>
      </c>
    </row>
    <row r="643" spans="1:23" hidden="1">
      <c r="A643" s="71" t="b">
        <f t="shared" si="201"/>
        <v>0</v>
      </c>
      <c r="B643" s="71">
        <f t="shared" si="183"/>
        <v>642</v>
      </c>
      <c r="C643" s="71" t="s">
        <v>1689</v>
      </c>
      <c r="D643" s="71" t="s">
        <v>638</v>
      </c>
      <c r="E643">
        <f t="shared" si="200"/>
        <v>27</v>
      </c>
      <c r="F643">
        <v>1</v>
      </c>
      <c r="G643">
        <f t="shared" si="184"/>
        <v>1</v>
      </c>
      <c r="H643" t="str">
        <f t="shared" si="185"/>
        <v>Resource-leveling heuristic</v>
      </c>
      <c r="I643" t="str">
        <f t="shared" si="186"/>
        <v>A method to flatten the schedule when</v>
      </c>
      <c r="J643" t="str">
        <f t="shared" si="187"/>
        <v>resources are overallocated. Resource</v>
      </c>
      <c r="K643" t="str">
        <f t="shared" si="188"/>
        <v>leveling can be applied using different</v>
      </c>
      <c r="L643" t="str">
        <f t="shared" si="189"/>
        <v>methods to accomplish different goals.</v>
      </c>
      <c r="M643" t="str">
        <f t="shared" si="190"/>
        <v>One of the most common methods is to</v>
      </c>
      <c r="N643" t="str">
        <f t="shared" si="191"/>
        <v>ensure that workers are not</v>
      </c>
      <c r="O643" t="str">
        <f t="shared" si="192"/>
        <v>overextended on activities.</v>
      </c>
      <c r="P643" t="str">
        <f t="shared" si="193"/>
        <v/>
      </c>
      <c r="Q643" t="str">
        <f t="shared" si="194"/>
        <v/>
      </c>
      <c r="R643" t="str">
        <f t="shared" si="195"/>
        <v/>
      </c>
      <c r="S643" t="str">
        <f t="shared" si="196"/>
        <v/>
      </c>
      <c r="T643" t="str">
        <f t="shared" si="197"/>
        <v/>
      </c>
      <c r="U643" t="str">
        <f t="shared" si="198"/>
        <v/>
      </c>
      <c r="V643" t="str">
        <f t="shared" si="199"/>
        <v/>
      </c>
      <c r="W643" s="71" t="str">
        <f>CONCATENATE(H643," ",I643," ",J643," ",K643," ",L643," ",M643," ",N643," ",O643," ",P643," ",Q643," ",R643," ",S643," ",T643," ",U643," ",V643)</f>
        <v xml:space="preserve">Resource-leveling heuristic A method to flatten the schedule when resources are overallocated. Resource leveling can be applied using different methods to accomplish different goals. One of the most common methods is to ensure that workers are not overextended on activities.       </v>
      </c>
    </row>
    <row r="644" spans="1:23" customFormat="1" hidden="1">
      <c r="A644" t="b">
        <f t="shared" si="201"/>
        <v>0</v>
      </c>
      <c r="B644">
        <f t="shared" ref="B644:B707" si="203">B643+1</f>
        <v>643</v>
      </c>
      <c r="C644" t="s">
        <v>1689</v>
      </c>
      <c r="D644" t="s">
        <v>639</v>
      </c>
      <c r="E644">
        <f t="shared" si="200"/>
        <v>37</v>
      </c>
      <c r="G644">
        <f t="shared" ref="G644:G707" si="204">IF(F644=1,1,G643+1)</f>
        <v>2</v>
      </c>
      <c r="H644" t="str">
        <f t="shared" ref="H644:H707" si="205">IF($G644=H$1,$D644,"")</f>
        <v/>
      </c>
      <c r="I644" t="str">
        <f t="shared" ref="I644:I707" si="206">IF($G645=I$1,$D645,"")</f>
        <v/>
      </c>
      <c r="J644" t="str">
        <f t="shared" ref="J644:J707" si="207">IF($G646=J$1,$D646,"")</f>
        <v/>
      </c>
      <c r="K644" t="str">
        <f t="shared" ref="K644:K707" si="208">IF($G647=K$1,$D647,"")</f>
        <v/>
      </c>
      <c r="L644" t="str">
        <f t="shared" ref="L644:L707" si="209">IF($G648=L$1,$D648,"")</f>
        <v/>
      </c>
      <c r="M644" t="str">
        <f t="shared" ref="M644:M707" si="210">IF($G649=M$1,$D649,"")</f>
        <v/>
      </c>
      <c r="N644" t="str">
        <f t="shared" ref="N644:N707" si="211">IF($G650=N$1,$D650,"")</f>
        <v/>
      </c>
      <c r="O644" t="str">
        <f t="shared" ref="O644:O707" si="212">IF($G651=O$1,$D651,"")</f>
        <v/>
      </c>
      <c r="P644" t="str">
        <f t="shared" ref="P644:P707" si="213">IF($G652=P$1,$D652,"")</f>
        <v/>
      </c>
      <c r="Q644" t="str">
        <f t="shared" ref="Q644:Q707" si="214">IF($G653=Q$1,$D653,"")</f>
        <v/>
      </c>
      <c r="R644" t="str">
        <f t="shared" ref="R644:R707" si="215">IF($G654=R$1,$D654,"")</f>
        <v/>
      </c>
      <c r="S644" t="str">
        <f t="shared" ref="S644:S707" si="216">IF($G655=S$1,$D655,"")</f>
        <v/>
      </c>
      <c r="T644" t="str">
        <f t="shared" ref="T644:T707" si="217">IF($G656=T$1,$D656,"")</f>
        <v/>
      </c>
      <c r="U644" t="str">
        <f t="shared" ref="U644:U707" si="218">IF($G657=U$1,$D657,"")</f>
        <v/>
      </c>
      <c r="V644" t="str">
        <f t="shared" ref="V644:V707" si="219">IF($G658=V$1,$D658,"")</f>
        <v/>
      </c>
      <c r="W644" t="str">
        <f t="shared" si="202"/>
        <v xml:space="preserve">              </v>
      </c>
    </row>
    <row r="645" spans="1:23" customFormat="1" hidden="1">
      <c r="A645" t="b">
        <f t="shared" si="201"/>
        <v>0</v>
      </c>
      <c r="B645">
        <f t="shared" si="203"/>
        <v>644</v>
      </c>
      <c r="C645" t="s">
        <v>1689</v>
      </c>
      <c r="D645" t="s">
        <v>640</v>
      </c>
      <c r="E645">
        <f t="shared" si="200"/>
        <v>37</v>
      </c>
      <c r="G645">
        <f t="shared" si="204"/>
        <v>3</v>
      </c>
      <c r="H645" t="str">
        <f t="shared" si="205"/>
        <v/>
      </c>
      <c r="I645" t="str">
        <f t="shared" si="206"/>
        <v/>
      </c>
      <c r="J645" t="str">
        <f t="shared" si="207"/>
        <v/>
      </c>
      <c r="K645" t="str">
        <f t="shared" si="208"/>
        <v/>
      </c>
      <c r="L645" t="str">
        <f t="shared" si="209"/>
        <v/>
      </c>
      <c r="M645" t="str">
        <f t="shared" si="210"/>
        <v/>
      </c>
      <c r="N645" t="str">
        <f t="shared" si="211"/>
        <v/>
      </c>
      <c r="O645" t="str">
        <f t="shared" si="212"/>
        <v/>
      </c>
      <c r="P645" t="str">
        <f t="shared" si="213"/>
        <v/>
      </c>
      <c r="Q645" t="str">
        <f t="shared" si="214"/>
        <v/>
      </c>
      <c r="R645" t="str">
        <f t="shared" si="215"/>
        <v/>
      </c>
      <c r="S645" t="str">
        <f t="shared" si="216"/>
        <v/>
      </c>
      <c r="T645" t="str">
        <f t="shared" si="217"/>
        <v/>
      </c>
      <c r="U645" t="str">
        <f t="shared" si="218"/>
        <v/>
      </c>
      <c r="V645" t="str">
        <f t="shared" si="219"/>
        <v/>
      </c>
      <c r="W645" t="str">
        <f t="shared" si="202"/>
        <v xml:space="preserve">              </v>
      </c>
    </row>
    <row r="646" spans="1:23" customFormat="1" hidden="1">
      <c r="A646" t="b">
        <f t="shared" si="201"/>
        <v>0</v>
      </c>
      <c r="B646">
        <f t="shared" si="203"/>
        <v>645</v>
      </c>
      <c r="C646" t="s">
        <v>1689</v>
      </c>
      <c r="D646" t="s">
        <v>641</v>
      </c>
      <c r="E646">
        <f t="shared" si="200"/>
        <v>39</v>
      </c>
      <c r="G646">
        <f t="shared" si="204"/>
        <v>4</v>
      </c>
      <c r="H646" t="str">
        <f t="shared" si="205"/>
        <v/>
      </c>
      <c r="I646" t="str">
        <f t="shared" si="206"/>
        <v/>
      </c>
      <c r="J646" t="str">
        <f t="shared" si="207"/>
        <v/>
      </c>
      <c r="K646" t="str">
        <f t="shared" si="208"/>
        <v/>
      </c>
      <c r="L646" t="str">
        <f t="shared" si="209"/>
        <v/>
      </c>
      <c r="M646" t="str">
        <f t="shared" si="210"/>
        <v/>
      </c>
      <c r="N646" t="str">
        <f t="shared" si="211"/>
        <v/>
      </c>
      <c r="O646" t="str">
        <f t="shared" si="212"/>
        <v/>
      </c>
      <c r="P646" t="str">
        <f t="shared" si="213"/>
        <v/>
      </c>
      <c r="Q646" t="str">
        <f t="shared" si="214"/>
        <v/>
      </c>
      <c r="R646" t="str">
        <f t="shared" si="215"/>
        <v/>
      </c>
      <c r="S646" t="str">
        <f t="shared" si="216"/>
        <v/>
      </c>
      <c r="T646" t="str">
        <f t="shared" si="217"/>
        <v/>
      </c>
      <c r="U646" t="str">
        <f t="shared" si="218"/>
        <v/>
      </c>
      <c r="V646" t="str">
        <f t="shared" si="219"/>
        <v/>
      </c>
      <c r="W646" t="str">
        <f t="shared" si="202"/>
        <v xml:space="preserve">              </v>
      </c>
    </row>
    <row r="647" spans="1:23" customFormat="1" hidden="1">
      <c r="A647" t="b">
        <f t="shared" si="201"/>
        <v>0</v>
      </c>
      <c r="B647">
        <f t="shared" si="203"/>
        <v>646</v>
      </c>
      <c r="C647" t="s">
        <v>1689</v>
      </c>
      <c r="D647" t="s">
        <v>642</v>
      </c>
      <c r="E647">
        <f t="shared" si="200"/>
        <v>38</v>
      </c>
      <c r="G647">
        <f t="shared" si="204"/>
        <v>5</v>
      </c>
      <c r="H647" t="str">
        <f t="shared" si="205"/>
        <v/>
      </c>
      <c r="I647" t="str">
        <f t="shared" si="206"/>
        <v/>
      </c>
      <c r="J647" t="str">
        <f t="shared" si="207"/>
        <v/>
      </c>
      <c r="K647" t="str">
        <f t="shared" si="208"/>
        <v/>
      </c>
      <c r="L647" t="str">
        <f t="shared" si="209"/>
        <v/>
      </c>
      <c r="M647" t="str">
        <f t="shared" si="210"/>
        <v/>
      </c>
      <c r="N647" t="str">
        <f t="shared" si="211"/>
        <v/>
      </c>
      <c r="O647" t="str">
        <f t="shared" si="212"/>
        <v/>
      </c>
      <c r="P647" t="str">
        <f t="shared" si="213"/>
        <v/>
      </c>
      <c r="Q647" t="str">
        <f t="shared" si="214"/>
        <v/>
      </c>
      <c r="R647" t="str">
        <f t="shared" si="215"/>
        <v/>
      </c>
      <c r="S647" t="str">
        <f t="shared" si="216"/>
        <v/>
      </c>
      <c r="T647" t="str">
        <f t="shared" si="217"/>
        <v/>
      </c>
      <c r="U647" t="str">
        <f t="shared" si="218"/>
        <v/>
      </c>
      <c r="V647" t="str">
        <f t="shared" si="219"/>
        <v/>
      </c>
      <c r="W647" t="str">
        <f t="shared" si="202"/>
        <v xml:space="preserve">              </v>
      </c>
    </row>
    <row r="648" spans="1:23" customFormat="1" hidden="1">
      <c r="A648" t="b">
        <f t="shared" si="201"/>
        <v>0</v>
      </c>
      <c r="B648">
        <f t="shared" si="203"/>
        <v>647</v>
      </c>
      <c r="C648" t="s">
        <v>1689</v>
      </c>
      <c r="D648" t="s">
        <v>643</v>
      </c>
      <c r="E648">
        <f t="shared" si="200"/>
        <v>36</v>
      </c>
      <c r="G648">
        <f t="shared" si="204"/>
        <v>6</v>
      </c>
      <c r="H648" t="str">
        <f t="shared" si="205"/>
        <v/>
      </c>
      <c r="I648" t="str">
        <f t="shared" si="206"/>
        <v/>
      </c>
      <c r="J648" t="str">
        <f t="shared" si="207"/>
        <v/>
      </c>
      <c r="K648" t="str">
        <f t="shared" si="208"/>
        <v/>
      </c>
      <c r="L648" t="str">
        <f t="shared" si="209"/>
        <v/>
      </c>
      <c r="M648" t="str">
        <f t="shared" si="210"/>
        <v/>
      </c>
      <c r="N648" t="str">
        <f t="shared" si="211"/>
        <v/>
      </c>
      <c r="O648" t="str">
        <f t="shared" si="212"/>
        <v/>
      </c>
      <c r="P648" t="str">
        <f t="shared" si="213"/>
        <v/>
      </c>
      <c r="Q648" t="str">
        <f t="shared" si="214"/>
        <v/>
      </c>
      <c r="R648" t="str">
        <f t="shared" si="215"/>
        <v/>
      </c>
      <c r="S648" t="str">
        <f t="shared" si="216"/>
        <v/>
      </c>
      <c r="T648" t="str">
        <f t="shared" si="217"/>
        <v/>
      </c>
      <c r="U648" t="str">
        <f t="shared" si="218"/>
        <v/>
      </c>
      <c r="V648" t="str">
        <f t="shared" si="219"/>
        <v/>
      </c>
      <c r="W648" t="str">
        <f t="shared" si="202"/>
        <v xml:space="preserve">              </v>
      </c>
    </row>
    <row r="649" spans="1:23" customFormat="1" hidden="1">
      <c r="A649" t="b">
        <f t="shared" si="201"/>
        <v>0</v>
      </c>
      <c r="B649">
        <f t="shared" si="203"/>
        <v>648</v>
      </c>
      <c r="C649" t="s">
        <v>1689</v>
      </c>
      <c r="D649" t="s">
        <v>644</v>
      </c>
      <c r="E649">
        <f t="shared" si="200"/>
        <v>27</v>
      </c>
      <c r="G649">
        <f t="shared" si="204"/>
        <v>7</v>
      </c>
      <c r="H649" t="str">
        <f t="shared" si="205"/>
        <v/>
      </c>
      <c r="I649" t="str">
        <f t="shared" si="206"/>
        <v/>
      </c>
      <c r="J649" t="str">
        <f t="shared" si="207"/>
        <v/>
      </c>
      <c r="K649" t="str">
        <f t="shared" si="208"/>
        <v/>
      </c>
      <c r="L649" t="str">
        <f t="shared" si="209"/>
        <v/>
      </c>
      <c r="M649" t="str">
        <f t="shared" si="210"/>
        <v/>
      </c>
      <c r="N649" t="str">
        <f t="shared" si="211"/>
        <v/>
      </c>
      <c r="O649" t="str">
        <f t="shared" si="212"/>
        <v/>
      </c>
      <c r="P649" t="str">
        <f t="shared" si="213"/>
        <v/>
      </c>
      <c r="Q649" t="str">
        <f t="shared" si="214"/>
        <v/>
      </c>
      <c r="R649" t="str">
        <f t="shared" si="215"/>
        <v/>
      </c>
      <c r="S649" t="str">
        <f t="shared" si="216"/>
        <v/>
      </c>
      <c r="T649" t="str">
        <f t="shared" si="217"/>
        <v/>
      </c>
      <c r="U649" t="str">
        <f t="shared" si="218"/>
        <v/>
      </c>
      <c r="V649" t="str">
        <f t="shared" si="219"/>
        <v/>
      </c>
      <c r="W649" t="str">
        <f t="shared" si="202"/>
        <v xml:space="preserve">              </v>
      </c>
    </row>
    <row r="650" spans="1:23" customFormat="1" hidden="1">
      <c r="A650" t="b">
        <f t="shared" si="201"/>
        <v>0</v>
      </c>
      <c r="B650">
        <f t="shared" si="203"/>
        <v>649</v>
      </c>
      <c r="C650" t="s">
        <v>1689</v>
      </c>
      <c r="D650" t="s">
        <v>645</v>
      </c>
      <c r="E650">
        <f t="shared" si="200"/>
        <v>27</v>
      </c>
      <c r="G650">
        <f t="shared" si="204"/>
        <v>8</v>
      </c>
      <c r="H650" t="str">
        <f t="shared" si="205"/>
        <v/>
      </c>
      <c r="I650" t="str">
        <f t="shared" si="206"/>
        <v/>
      </c>
      <c r="J650" t="str">
        <f t="shared" si="207"/>
        <v/>
      </c>
      <c r="K650" t="str">
        <f t="shared" si="208"/>
        <v/>
      </c>
      <c r="L650" t="str">
        <f t="shared" si="209"/>
        <v/>
      </c>
      <c r="M650" t="str">
        <f t="shared" si="210"/>
        <v/>
      </c>
      <c r="N650" t="str">
        <f t="shared" si="211"/>
        <v/>
      </c>
      <c r="O650" t="str">
        <f t="shared" si="212"/>
        <v/>
      </c>
      <c r="P650" t="str">
        <f t="shared" si="213"/>
        <v/>
      </c>
      <c r="Q650" t="str">
        <f t="shared" si="214"/>
        <v/>
      </c>
      <c r="R650" t="str">
        <f t="shared" si="215"/>
        <v/>
      </c>
      <c r="S650" t="str">
        <f t="shared" si="216"/>
        <v/>
      </c>
      <c r="T650" t="str">
        <f t="shared" si="217"/>
        <v/>
      </c>
      <c r="U650" t="str">
        <f t="shared" si="218"/>
        <v/>
      </c>
      <c r="V650" t="str">
        <f t="shared" si="219"/>
        <v/>
      </c>
      <c r="W650" t="str">
        <f t="shared" si="202"/>
        <v xml:space="preserve">              </v>
      </c>
    </row>
    <row r="651" spans="1:23" hidden="1">
      <c r="A651" s="71" t="b">
        <f t="shared" si="201"/>
        <v>0</v>
      </c>
      <c r="B651" s="71">
        <f t="shared" si="203"/>
        <v>650</v>
      </c>
      <c r="C651" s="71" t="s">
        <v>1689</v>
      </c>
      <c r="D651" s="71" t="s">
        <v>646</v>
      </c>
      <c r="E651">
        <f t="shared" si="200"/>
        <v>21</v>
      </c>
      <c r="F651">
        <v>1</v>
      </c>
      <c r="G651">
        <f t="shared" si="204"/>
        <v>1</v>
      </c>
      <c r="H651" t="str">
        <f t="shared" si="205"/>
        <v>Rolling wave planning</v>
      </c>
      <c r="I651" t="str">
        <f t="shared" si="206"/>
        <v>The imminent work is planned in detail,</v>
      </c>
      <c r="J651" t="str">
        <f t="shared" si="207"/>
        <v>while the work in the future is planned at</v>
      </c>
      <c r="K651" t="str">
        <f t="shared" si="208"/>
        <v>a high level. This is a form of progressive</v>
      </c>
      <c r="L651" t="str">
        <f t="shared" si="209"/>
        <v>elaboration.</v>
      </c>
      <c r="M651" t="str">
        <f t="shared" si="210"/>
        <v/>
      </c>
      <c r="N651" t="str">
        <f t="shared" si="211"/>
        <v/>
      </c>
      <c r="O651" t="str">
        <f t="shared" si="212"/>
        <v/>
      </c>
      <c r="P651" t="str">
        <f t="shared" si="213"/>
        <v/>
      </c>
      <c r="Q651" t="str">
        <f t="shared" si="214"/>
        <v/>
      </c>
      <c r="R651" t="str">
        <f t="shared" si="215"/>
        <v/>
      </c>
      <c r="S651" t="str">
        <f t="shared" si="216"/>
        <v/>
      </c>
      <c r="T651" t="str">
        <f t="shared" si="217"/>
        <v/>
      </c>
      <c r="U651" t="str">
        <f t="shared" si="218"/>
        <v/>
      </c>
      <c r="V651" t="str">
        <f t="shared" si="219"/>
        <v/>
      </c>
      <c r="W651" s="71" t="str">
        <f>CONCATENATE(H651," ",I651," ",J651," ",K651," ",L651," ",M651," ",N651," ",O651," ",P651," ",Q651," ",R651," ",S651," ",T651," ",U651," ",V651)</f>
        <v xml:space="preserve">Rolling wave planning The imminent work is planned in detail, while the work in the future is planned at a high level. This is a form of progressive elaboration.          </v>
      </c>
    </row>
    <row r="652" spans="1:23" customFormat="1" hidden="1">
      <c r="A652" t="b">
        <f t="shared" si="201"/>
        <v>0</v>
      </c>
      <c r="B652">
        <f t="shared" si="203"/>
        <v>651</v>
      </c>
      <c r="C652" t="s">
        <v>1689</v>
      </c>
      <c r="D652" t="s">
        <v>647</v>
      </c>
      <c r="E652">
        <f t="shared" si="200"/>
        <v>39</v>
      </c>
      <c r="G652">
        <f t="shared" si="204"/>
        <v>2</v>
      </c>
      <c r="H652" t="str">
        <f t="shared" si="205"/>
        <v/>
      </c>
      <c r="I652" t="str">
        <f t="shared" si="206"/>
        <v/>
      </c>
      <c r="J652" t="str">
        <f t="shared" si="207"/>
        <v/>
      </c>
      <c r="K652" t="str">
        <f t="shared" si="208"/>
        <v/>
      </c>
      <c r="L652" t="str">
        <f t="shared" si="209"/>
        <v/>
      </c>
      <c r="M652" t="str">
        <f t="shared" si="210"/>
        <v/>
      </c>
      <c r="N652" t="str">
        <f t="shared" si="211"/>
        <v/>
      </c>
      <c r="O652" t="str">
        <f t="shared" si="212"/>
        <v/>
      </c>
      <c r="P652" t="str">
        <f t="shared" si="213"/>
        <v/>
      </c>
      <c r="Q652" t="str">
        <f t="shared" si="214"/>
        <v/>
      </c>
      <c r="R652" t="str">
        <f t="shared" si="215"/>
        <v/>
      </c>
      <c r="S652" t="str">
        <f t="shared" si="216"/>
        <v/>
      </c>
      <c r="T652" t="str">
        <f t="shared" si="217"/>
        <v/>
      </c>
      <c r="U652" t="str">
        <f t="shared" si="218"/>
        <v/>
      </c>
      <c r="V652" t="str">
        <f t="shared" si="219"/>
        <v/>
      </c>
      <c r="W652" t="str">
        <f t="shared" si="202"/>
        <v xml:space="preserve">              </v>
      </c>
    </row>
    <row r="653" spans="1:23" customFormat="1" hidden="1">
      <c r="A653" t="b">
        <f t="shared" si="201"/>
        <v>0</v>
      </c>
      <c r="B653">
        <f t="shared" si="203"/>
        <v>652</v>
      </c>
      <c r="C653" t="s">
        <v>1689</v>
      </c>
      <c r="D653" t="s">
        <v>648</v>
      </c>
      <c r="E653">
        <f t="shared" si="200"/>
        <v>42</v>
      </c>
      <c r="G653">
        <f t="shared" si="204"/>
        <v>3</v>
      </c>
      <c r="H653" t="str">
        <f t="shared" si="205"/>
        <v/>
      </c>
      <c r="I653" t="str">
        <f t="shared" si="206"/>
        <v/>
      </c>
      <c r="J653" t="str">
        <f t="shared" si="207"/>
        <v/>
      </c>
      <c r="K653" t="str">
        <f t="shared" si="208"/>
        <v/>
      </c>
      <c r="L653" t="str">
        <f t="shared" si="209"/>
        <v/>
      </c>
      <c r="M653" t="str">
        <f t="shared" si="210"/>
        <v/>
      </c>
      <c r="N653" t="str">
        <f t="shared" si="211"/>
        <v/>
      </c>
      <c r="O653" t="str">
        <f t="shared" si="212"/>
        <v/>
      </c>
      <c r="P653" t="str">
        <f t="shared" si="213"/>
        <v/>
      </c>
      <c r="Q653" t="str">
        <f t="shared" si="214"/>
        <v/>
      </c>
      <c r="R653" t="str">
        <f t="shared" si="215"/>
        <v/>
      </c>
      <c r="S653" t="str">
        <f t="shared" si="216"/>
        <v/>
      </c>
      <c r="T653" t="str">
        <f t="shared" si="217"/>
        <v/>
      </c>
      <c r="U653" t="str">
        <f t="shared" si="218"/>
        <v/>
      </c>
      <c r="V653" t="str">
        <f t="shared" si="219"/>
        <v/>
      </c>
      <c r="W653" t="str">
        <f t="shared" si="202"/>
        <v xml:space="preserve">              </v>
      </c>
    </row>
    <row r="654" spans="1:23" customFormat="1" hidden="1">
      <c r="A654" t="b">
        <f t="shared" si="201"/>
        <v>0</v>
      </c>
      <c r="B654">
        <f t="shared" si="203"/>
        <v>653</v>
      </c>
      <c r="C654" t="s">
        <v>1689</v>
      </c>
      <c r="D654" t="s">
        <v>649</v>
      </c>
      <c r="E654">
        <f t="shared" si="200"/>
        <v>43</v>
      </c>
      <c r="G654">
        <f t="shared" si="204"/>
        <v>4</v>
      </c>
      <c r="H654" t="str">
        <f t="shared" si="205"/>
        <v/>
      </c>
      <c r="I654" t="str">
        <f t="shared" si="206"/>
        <v/>
      </c>
      <c r="J654" t="str">
        <f t="shared" si="207"/>
        <v/>
      </c>
      <c r="K654" t="str">
        <f t="shared" si="208"/>
        <v/>
      </c>
      <c r="L654" t="str">
        <f t="shared" si="209"/>
        <v/>
      </c>
      <c r="M654" t="str">
        <f t="shared" si="210"/>
        <v/>
      </c>
      <c r="N654" t="str">
        <f t="shared" si="211"/>
        <v/>
      </c>
      <c r="O654" t="str">
        <f t="shared" si="212"/>
        <v/>
      </c>
      <c r="P654" t="str">
        <f t="shared" si="213"/>
        <v/>
      </c>
      <c r="Q654" t="str">
        <f t="shared" si="214"/>
        <v/>
      </c>
      <c r="R654" t="str">
        <f t="shared" si="215"/>
        <v/>
      </c>
      <c r="S654" t="str">
        <f t="shared" si="216"/>
        <v/>
      </c>
      <c r="T654" t="str">
        <f t="shared" si="217"/>
        <v/>
      </c>
      <c r="U654" t="str">
        <f t="shared" si="218"/>
        <v/>
      </c>
      <c r="V654" t="str">
        <f t="shared" si="219"/>
        <v/>
      </c>
      <c r="W654" t="str">
        <f t="shared" si="202"/>
        <v xml:space="preserve">              </v>
      </c>
    </row>
    <row r="655" spans="1:23" customFormat="1" hidden="1">
      <c r="A655" t="b">
        <f t="shared" si="201"/>
        <v>0</v>
      </c>
      <c r="B655">
        <f t="shared" si="203"/>
        <v>654</v>
      </c>
      <c r="C655" t="s">
        <v>1689</v>
      </c>
      <c r="D655" t="s">
        <v>650</v>
      </c>
      <c r="E655">
        <f t="shared" si="200"/>
        <v>12</v>
      </c>
      <c r="G655">
        <f t="shared" si="204"/>
        <v>5</v>
      </c>
      <c r="H655" t="str">
        <f t="shared" si="205"/>
        <v/>
      </c>
      <c r="I655" t="str">
        <f t="shared" si="206"/>
        <v/>
      </c>
      <c r="J655" t="str">
        <f t="shared" si="207"/>
        <v/>
      </c>
      <c r="K655" t="str">
        <f t="shared" si="208"/>
        <v/>
      </c>
      <c r="L655" t="str">
        <f t="shared" si="209"/>
        <v/>
      </c>
      <c r="M655" t="str">
        <f t="shared" si="210"/>
        <v/>
      </c>
      <c r="N655" t="str">
        <f t="shared" si="211"/>
        <v/>
      </c>
      <c r="O655" t="str">
        <f t="shared" si="212"/>
        <v/>
      </c>
      <c r="P655" t="str">
        <f t="shared" si="213"/>
        <v/>
      </c>
      <c r="Q655" t="str">
        <f t="shared" si="214"/>
        <v/>
      </c>
      <c r="R655" t="str">
        <f t="shared" si="215"/>
        <v/>
      </c>
      <c r="S655" t="str">
        <f t="shared" si="216"/>
        <v/>
      </c>
      <c r="T655" t="str">
        <f t="shared" si="217"/>
        <v/>
      </c>
      <c r="U655" t="str">
        <f t="shared" si="218"/>
        <v/>
      </c>
      <c r="V655" t="str">
        <f t="shared" si="219"/>
        <v/>
      </c>
      <c r="W655" t="str">
        <f t="shared" si="202"/>
        <v xml:space="preserve">              </v>
      </c>
    </row>
    <row r="656" spans="1:23" hidden="1">
      <c r="A656" s="71" t="b">
        <f t="shared" si="201"/>
        <v>0</v>
      </c>
      <c r="B656" s="71">
        <f t="shared" si="203"/>
        <v>655</v>
      </c>
      <c r="C656" s="71" t="s">
        <v>1689</v>
      </c>
      <c r="D656" s="71" t="s">
        <v>361</v>
      </c>
      <c r="E656">
        <f t="shared" si="200"/>
        <v>24</v>
      </c>
      <c r="F656">
        <v>1</v>
      </c>
      <c r="G656">
        <f t="shared" si="204"/>
        <v>1</v>
      </c>
      <c r="H656" t="str">
        <f t="shared" si="205"/>
        <v>Schedule management plan</v>
      </c>
      <c r="I656" t="str">
        <f t="shared" si="206"/>
        <v>A subsidiary plan in the project</v>
      </c>
      <c r="J656" t="str">
        <f t="shared" si="207"/>
        <v>management plan. It defines how the</v>
      </c>
      <c r="K656" t="str">
        <f t="shared" si="208"/>
        <v>project schedule will be created,</v>
      </c>
      <c r="L656" t="str">
        <f t="shared" si="209"/>
        <v>estimated, controlled, and managed.</v>
      </c>
      <c r="M656" t="str">
        <f t="shared" si="210"/>
        <v/>
      </c>
      <c r="N656" t="str">
        <f t="shared" si="211"/>
        <v/>
      </c>
      <c r="O656" t="str">
        <f t="shared" si="212"/>
        <v/>
      </c>
      <c r="P656" t="str">
        <f t="shared" si="213"/>
        <v/>
      </c>
      <c r="Q656" t="str">
        <f t="shared" si="214"/>
        <v/>
      </c>
      <c r="R656" t="str">
        <f t="shared" si="215"/>
        <v/>
      </c>
      <c r="S656" t="str">
        <f t="shared" si="216"/>
        <v/>
      </c>
      <c r="T656" t="str">
        <f t="shared" si="217"/>
        <v/>
      </c>
      <c r="U656" t="str">
        <f t="shared" si="218"/>
        <v/>
      </c>
      <c r="V656" t="str">
        <f t="shared" si="219"/>
        <v/>
      </c>
      <c r="W656" s="71" t="str">
        <f>CONCATENATE(H656," ",I656," ",J656," ",K656," ",L656," ",M656," ",N656," ",O656," ",P656," ",Q656," ",R656," ",S656," ",T656," ",U656," ",V656)</f>
        <v xml:space="preserve">Schedule management plan A subsidiary plan in the project management plan. It defines how the project schedule will be created, estimated, controlled, and managed.          </v>
      </c>
    </row>
    <row r="657" spans="1:23" customFormat="1" hidden="1">
      <c r="A657" t="b">
        <f t="shared" si="201"/>
        <v>0</v>
      </c>
      <c r="B657">
        <f t="shared" si="203"/>
        <v>656</v>
      </c>
      <c r="C657" t="s">
        <v>1689</v>
      </c>
      <c r="D657" t="s">
        <v>651</v>
      </c>
      <c r="E657">
        <f t="shared" si="200"/>
        <v>32</v>
      </c>
      <c r="G657">
        <f t="shared" si="204"/>
        <v>2</v>
      </c>
      <c r="H657" t="str">
        <f t="shared" si="205"/>
        <v/>
      </c>
      <c r="I657" t="str">
        <f t="shared" si="206"/>
        <v/>
      </c>
      <c r="J657" t="str">
        <f t="shared" si="207"/>
        <v/>
      </c>
      <c r="K657" t="str">
        <f t="shared" si="208"/>
        <v/>
      </c>
      <c r="L657" t="str">
        <f t="shared" si="209"/>
        <v/>
      </c>
      <c r="M657" t="str">
        <f t="shared" si="210"/>
        <v/>
      </c>
      <c r="N657" t="str">
        <f t="shared" si="211"/>
        <v/>
      </c>
      <c r="O657" t="str">
        <f t="shared" si="212"/>
        <v/>
      </c>
      <c r="P657" t="str">
        <f t="shared" si="213"/>
        <v/>
      </c>
      <c r="Q657" t="str">
        <f t="shared" si="214"/>
        <v/>
      </c>
      <c r="R657" t="str">
        <f t="shared" si="215"/>
        <v/>
      </c>
      <c r="S657" t="str">
        <f t="shared" si="216"/>
        <v/>
      </c>
      <c r="T657" t="str">
        <f t="shared" si="217"/>
        <v/>
      </c>
      <c r="U657" t="str">
        <f t="shared" si="218"/>
        <v/>
      </c>
      <c r="V657" t="str">
        <f t="shared" si="219"/>
        <v/>
      </c>
      <c r="W657" t="str">
        <f t="shared" si="202"/>
        <v xml:space="preserve">              </v>
      </c>
    </row>
    <row r="658" spans="1:23" customFormat="1" hidden="1">
      <c r="A658" t="b">
        <f t="shared" si="201"/>
        <v>0</v>
      </c>
      <c r="B658">
        <f t="shared" si="203"/>
        <v>657</v>
      </c>
      <c r="C658" t="s">
        <v>1689</v>
      </c>
      <c r="D658" t="s">
        <v>652</v>
      </c>
      <c r="E658">
        <f t="shared" si="200"/>
        <v>35</v>
      </c>
      <c r="G658">
        <f t="shared" si="204"/>
        <v>3</v>
      </c>
      <c r="H658" t="str">
        <f t="shared" si="205"/>
        <v/>
      </c>
      <c r="I658" t="str">
        <f t="shared" si="206"/>
        <v/>
      </c>
      <c r="J658" t="str">
        <f t="shared" si="207"/>
        <v/>
      </c>
      <c r="K658" t="str">
        <f t="shared" si="208"/>
        <v/>
      </c>
      <c r="L658" t="str">
        <f t="shared" si="209"/>
        <v/>
      </c>
      <c r="M658" t="str">
        <f t="shared" si="210"/>
        <v/>
      </c>
      <c r="N658" t="str">
        <f t="shared" si="211"/>
        <v/>
      </c>
      <c r="O658" t="str">
        <f t="shared" si="212"/>
        <v/>
      </c>
      <c r="P658" t="str">
        <f t="shared" si="213"/>
        <v/>
      </c>
      <c r="Q658" t="str">
        <f t="shared" si="214"/>
        <v/>
      </c>
      <c r="R658" t="str">
        <f t="shared" si="215"/>
        <v/>
      </c>
      <c r="S658" t="str">
        <f t="shared" si="216"/>
        <v/>
      </c>
      <c r="T658" t="str">
        <f t="shared" si="217"/>
        <v/>
      </c>
      <c r="U658" t="str">
        <f t="shared" si="218"/>
        <v/>
      </c>
      <c r="V658" t="str">
        <f t="shared" si="219"/>
        <v/>
      </c>
      <c r="W658" t="str">
        <f t="shared" si="202"/>
        <v xml:space="preserve">              </v>
      </c>
    </row>
    <row r="659" spans="1:23" customFormat="1" hidden="1">
      <c r="A659" t="b">
        <f t="shared" si="201"/>
        <v>0</v>
      </c>
      <c r="B659">
        <f t="shared" si="203"/>
        <v>658</v>
      </c>
      <c r="C659" t="s">
        <v>1689</v>
      </c>
      <c r="D659" t="s">
        <v>653</v>
      </c>
      <c r="E659">
        <f t="shared" si="200"/>
        <v>33</v>
      </c>
      <c r="G659">
        <f t="shared" si="204"/>
        <v>4</v>
      </c>
      <c r="H659" t="str">
        <f t="shared" si="205"/>
        <v/>
      </c>
      <c r="I659" t="str">
        <f t="shared" si="206"/>
        <v/>
      </c>
      <c r="J659" t="str">
        <f t="shared" si="207"/>
        <v/>
      </c>
      <c r="K659" t="str">
        <f t="shared" si="208"/>
        <v/>
      </c>
      <c r="L659" t="str">
        <f t="shared" si="209"/>
        <v/>
      </c>
      <c r="M659" t="str">
        <f t="shared" si="210"/>
        <v/>
      </c>
      <c r="N659" t="str">
        <f t="shared" si="211"/>
        <v/>
      </c>
      <c r="O659" t="str">
        <f t="shared" si="212"/>
        <v/>
      </c>
      <c r="P659" t="str">
        <f t="shared" si="213"/>
        <v/>
      </c>
      <c r="Q659" t="str">
        <f t="shared" si="214"/>
        <v/>
      </c>
      <c r="R659" t="str">
        <f t="shared" si="215"/>
        <v/>
      </c>
      <c r="S659" t="str">
        <f t="shared" si="216"/>
        <v/>
      </c>
      <c r="T659" t="str">
        <f t="shared" si="217"/>
        <v/>
      </c>
      <c r="U659" t="str">
        <f t="shared" si="218"/>
        <v/>
      </c>
      <c r="V659" t="str">
        <f t="shared" si="219"/>
        <v/>
      </c>
      <c r="W659" t="str">
        <f t="shared" si="202"/>
        <v xml:space="preserve">              </v>
      </c>
    </row>
    <row r="660" spans="1:23" customFormat="1" hidden="1">
      <c r="A660" t="b">
        <f t="shared" si="201"/>
        <v>0</v>
      </c>
      <c r="B660">
        <f t="shared" si="203"/>
        <v>659</v>
      </c>
      <c r="C660" t="s">
        <v>1689</v>
      </c>
      <c r="D660" t="s">
        <v>654</v>
      </c>
      <c r="E660">
        <f t="shared" ref="E660:E718" si="220">LEN(D660)</f>
        <v>35</v>
      </c>
      <c r="G660">
        <f t="shared" si="204"/>
        <v>5</v>
      </c>
      <c r="H660" t="str">
        <f t="shared" si="205"/>
        <v/>
      </c>
      <c r="I660" t="str">
        <f t="shared" si="206"/>
        <v/>
      </c>
      <c r="J660" t="str">
        <f t="shared" si="207"/>
        <v/>
      </c>
      <c r="K660" t="str">
        <f t="shared" si="208"/>
        <v/>
      </c>
      <c r="L660" t="str">
        <f t="shared" si="209"/>
        <v/>
      </c>
      <c r="M660" t="str">
        <f t="shared" si="210"/>
        <v/>
      </c>
      <c r="N660" t="str">
        <f t="shared" si="211"/>
        <v/>
      </c>
      <c r="O660" t="str">
        <f t="shared" si="212"/>
        <v/>
      </c>
      <c r="P660" t="str">
        <f t="shared" si="213"/>
        <v/>
      </c>
      <c r="Q660" t="str">
        <f t="shared" si="214"/>
        <v/>
      </c>
      <c r="R660" t="str">
        <f t="shared" si="215"/>
        <v/>
      </c>
      <c r="S660" t="str">
        <f t="shared" si="216"/>
        <v/>
      </c>
      <c r="T660" t="str">
        <f t="shared" si="217"/>
        <v/>
      </c>
      <c r="U660" t="str">
        <f t="shared" si="218"/>
        <v/>
      </c>
      <c r="V660" t="str">
        <f t="shared" si="219"/>
        <v/>
      </c>
      <c r="W660" t="str">
        <f t="shared" si="202"/>
        <v xml:space="preserve">              </v>
      </c>
    </row>
    <row r="661" spans="1:23" hidden="1">
      <c r="A661" s="71" t="b">
        <f t="shared" si="201"/>
        <v>0</v>
      </c>
      <c r="B661" s="71">
        <f t="shared" si="203"/>
        <v>660</v>
      </c>
      <c r="C661" s="71" t="s">
        <v>1689</v>
      </c>
      <c r="D661" s="71" t="s">
        <v>655</v>
      </c>
      <c r="E661">
        <f t="shared" si="220"/>
        <v>10</v>
      </c>
      <c r="F661">
        <v>1</v>
      </c>
      <c r="G661">
        <f t="shared" si="204"/>
        <v>1</v>
      </c>
      <c r="H661" t="str">
        <f t="shared" si="205"/>
        <v>Soft logic</v>
      </c>
      <c r="I661" t="str">
        <f t="shared" si="206"/>
        <v>The activities don’t necessarily have to</v>
      </c>
      <c r="J661" t="str">
        <f t="shared" si="207"/>
        <v>happen in a specific order. For example,</v>
      </c>
      <c r="K661" t="str">
        <f t="shared" si="208"/>
        <v>you could install the light fixtures first,</v>
      </c>
      <c r="L661" t="str">
        <f t="shared" si="209"/>
        <v>then the carpet, and then paint the room.</v>
      </c>
      <c r="M661" t="str">
        <f t="shared" si="210"/>
        <v>The project manager could use soft logic</v>
      </c>
      <c r="N661" t="str">
        <f t="shared" si="211"/>
        <v>to change the order of the activities if so</v>
      </c>
      <c r="O661" t="str">
        <f t="shared" si="212"/>
        <v>desired.</v>
      </c>
      <c r="P661" t="str">
        <f t="shared" si="213"/>
        <v/>
      </c>
      <c r="Q661" t="str">
        <f t="shared" si="214"/>
        <v/>
      </c>
      <c r="R661" t="str">
        <f t="shared" si="215"/>
        <v/>
      </c>
      <c r="S661" t="str">
        <f t="shared" si="216"/>
        <v/>
      </c>
      <c r="T661" t="str">
        <f t="shared" si="217"/>
        <v/>
      </c>
      <c r="U661" t="str">
        <f t="shared" si="218"/>
        <v/>
      </c>
      <c r="V661" t="str">
        <f t="shared" si="219"/>
        <v/>
      </c>
      <c r="W661" s="71" t="str">
        <f>CONCATENATE(H661," ",I661," ",J661," ",K661," ",L661," ",M661," ",N661," ",O661," ",P661," ",Q661," ",R661," ",S661," ",T661," ",U661," ",V661)</f>
        <v xml:space="preserve">Soft logic The activities don’t necessarily have to happen in a specific order. For example, you could install the light fixtures first, then the carpet, and then paint the room. The project manager could use soft logic to change the order of the activities if so desired.       </v>
      </c>
    </row>
    <row r="662" spans="1:23" customFormat="1" hidden="1">
      <c r="A662" t="b">
        <f t="shared" si="201"/>
        <v>0</v>
      </c>
      <c r="B662">
        <f t="shared" si="203"/>
        <v>661</v>
      </c>
      <c r="C662" t="s">
        <v>1689</v>
      </c>
      <c r="D662" t="s">
        <v>656</v>
      </c>
      <c r="E662">
        <f t="shared" si="220"/>
        <v>40</v>
      </c>
      <c r="G662">
        <f t="shared" si="204"/>
        <v>2</v>
      </c>
      <c r="H662" t="str">
        <f t="shared" si="205"/>
        <v/>
      </c>
      <c r="I662" t="str">
        <f t="shared" si="206"/>
        <v/>
      </c>
      <c r="J662" t="str">
        <f t="shared" si="207"/>
        <v/>
      </c>
      <c r="K662" t="str">
        <f t="shared" si="208"/>
        <v/>
      </c>
      <c r="L662" t="str">
        <f t="shared" si="209"/>
        <v/>
      </c>
      <c r="M662" t="str">
        <f t="shared" si="210"/>
        <v/>
      </c>
      <c r="N662" t="str">
        <f t="shared" si="211"/>
        <v/>
      </c>
      <c r="O662" t="str">
        <f t="shared" si="212"/>
        <v/>
      </c>
      <c r="P662" t="str">
        <f t="shared" si="213"/>
        <v/>
      </c>
      <c r="Q662" t="str">
        <f t="shared" si="214"/>
        <v/>
      </c>
      <c r="R662" t="str">
        <f t="shared" si="215"/>
        <v/>
      </c>
      <c r="S662" t="str">
        <f t="shared" si="216"/>
        <v/>
      </c>
      <c r="T662" t="str">
        <f t="shared" si="217"/>
        <v/>
      </c>
      <c r="U662" t="str">
        <f t="shared" si="218"/>
        <v/>
      </c>
      <c r="V662" t="str">
        <f t="shared" si="219"/>
        <v/>
      </c>
      <c r="W662" t="str">
        <f t="shared" si="202"/>
        <v xml:space="preserve">              </v>
      </c>
    </row>
    <row r="663" spans="1:23" customFormat="1" hidden="1">
      <c r="A663" t="b">
        <f t="shared" si="201"/>
        <v>0</v>
      </c>
      <c r="B663">
        <f t="shared" si="203"/>
        <v>662</v>
      </c>
      <c r="C663" t="s">
        <v>1689</v>
      </c>
      <c r="D663" t="s">
        <v>657</v>
      </c>
      <c r="E663">
        <f t="shared" si="220"/>
        <v>40</v>
      </c>
      <c r="G663">
        <f t="shared" si="204"/>
        <v>3</v>
      </c>
      <c r="H663" t="str">
        <f t="shared" si="205"/>
        <v/>
      </c>
      <c r="I663" t="str">
        <f t="shared" si="206"/>
        <v/>
      </c>
      <c r="J663" t="str">
        <f t="shared" si="207"/>
        <v/>
      </c>
      <c r="K663" t="str">
        <f t="shared" si="208"/>
        <v/>
      </c>
      <c r="L663" t="str">
        <f t="shared" si="209"/>
        <v/>
      </c>
      <c r="M663" t="str">
        <f t="shared" si="210"/>
        <v/>
      </c>
      <c r="N663" t="str">
        <f t="shared" si="211"/>
        <v/>
      </c>
      <c r="O663" t="str">
        <f t="shared" si="212"/>
        <v/>
      </c>
      <c r="P663" t="str">
        <f t="shared" si="213"/>
        <v/>
      </c>
      <c r="Q663" t="str">
        <f t="shared" si="214"/>
        <v/>
      </c>
      <c r="R663" t="str">
        <f t="shared" si="215"/>
        <v/>
      </c>
      <c r="S663" t="str">
        <f t="shared" si="216"/>
        <v/>
      </c>
      <c r="T663" t="str">
        <f t="shared" si="217"/>
        <v/>
      </c>
      <c r="U663" t="str">
        <f t="shared" si="218"/>
        <v/>
      </c>
      <c r="V663" t="str">
        <f t="shared" si="219"/>
        <v/>
      </c>
      <c r="W663" t="str">
        <f t="shared" si="202"/>
        <v xml:space="preserve">              </v>
      </c>
    </row>
    <row r="664" spans="1:23" customFormat="1" hidden="1">
      <c r="A664" t="b">
        <f t="shared" si="201"/>
        <v>0</v>
      </c>
      <c r="B664">
        <f t="shared" si="203"/>
        <v>663</v>
      </c>
      <c r="C664" t="s">
        <v>1689</v>
      </c>
      <c r="D664" t="s">
        <v>658</v>
      </c>
      <c r="E664">
        <f t="shared" si="220"/>
        <v>43</v>
      </c>
      <c r="G664">
        <f t="shared" si="204"/>
        <v>4</v>
      </c>
      <c r="H664" t="str">
        <f t="shared" si="205"/>
        <v/>
      </c>
      <c r="I664" t="str">
        <f t="shared" si="206"/>
        <v/>
      </c>
      <c r="J664" t="str">
        <f t="shared" si="207"/>
        <v/>
      </c>
      <c r="K664" t="str">
        <f t="shared" si="208"/>
        <v/>
      </c>
      <c r="L664" t="str">
        <f t="shared" si="209"/>
        <v/>
      </c>
      <c r="M664" t="str">
        <f t="shared" si="210"/>
        <v/>
      </c>
      <c r="N664" t="str">
        <f t="shared" si="211"/>
        <v/>
      </c>
      <c r="O664" t="str">
        <f t="shared" si="212"/>
        <v/>
      </c>
      <c r="P664" t="str">
        <f t="shared" si="213"/>
        <v/>
      </c>
      <c r="Q664" t="str">
        <f t="shared" si="214"/>
        <v/>
      </c>
      <c r="R664" t="str">
        <f t="shared" si="215"/>
        <v/>
      </c>
      <c r="S664" t="str">
        <f t="shared" si="216"/>
        <v/>
      </c>
      <c r="T664" t="str">
        <f t="shared" si="217"/>
        <v/>
      </c>
      <c r="U664" t="str">
        <f t="shared" si="218"/>
        <v/>
      </c>
      <c r="V664" t="str">
        <f t="shared" si="219"/>
        <v/>
      </c>
      <c r="W664" t="str">
        <f t="shared" si="202"/>
        <v xml:space="preserve">              </v>
      </c>
    </row>
    <row r="665" spans="1:23" customFormat="1" hidden="1">
      <c r="A665" t="b">
        <f t="shared" si="201"/>
        <v>0</v>
      </c>
      <c r="B665">
        <f t="shared" si="203"/>
        <v>664</v>
      </c>
      <c r="C665" t="s">
        <v>1689</v>
      </c>
      <c r="D665" t="s">
        <v>659</v>
      </c>
      <c r="E665">
        <f t="shared" si="220"/>
        <v>41</v>
      </c>
      <c r="G665">
        <f t="shared" si="204"/>
        <v>5</v>
      </c>
      <c r="H665" t="str">
        <f t="shared" si="205"/>
        <v/>
      </c>
      <c r="I665" t="str">
        <f t="shared" si="206"/>
        <v/>
      </c>
      <c r="J665" t="str">
        <f t="shared" si="207"/>
        <v/>
      </c>
      <c r="K665" t="str">
        <f t="shared" si="208"/>
        <v/>
      </c>
      <c r="L665" t="str">
        <f t="shared" si="209"/>
        <v/>
      </c>
      <c r="M665" t="str">
        <f t="shared" si="210"/>
        <v/>
      </c>
      <c r="N665" t="str">
        <f t="shared" si="211"/>
        <v/>
      </c>
      <c r="O665" t="str">
        <f t="shared" si="212"/>
        <v/>
      </c>
      <c r="P665" t="str">
        <f t="shared" si="213"/>
        <v/>
      </c>
      <c r="Q665" t="str">
        <f t="shared" si="214"/>
        <v/>
      </c>
      <c r="R665" t="str">
        <f t="shared" si="215"/>
        <v/>
      </c>
      <c r="S665" t="str">
        <f t="shared" si="216"/>
        <v/>
      </c>
      <c r="T665" t="str">
        <f t="shared" si="217"/>
        <v/>
      </c>
      <c r="U665" t="str">
        <f t="shared" si="218"/>
        <v/>
      </c>
      <c r="V665" t="str">
        <f t="shared" si="219"/>
        <v/>
      </c>
      <c r="W665" t="str">
        <f t="shared" si="202"/>
        <v xml:space="preserve">              </v>
      </c>
    </row>
    <row r="666" spans="1:23" customFormat="1" hidden="1">
      <c r="A666" t="b">
        <f t="shared" si="201"/>
        <v>0</v>
      </c>
      <c r="B666">
        <f t="shared" si="203"/>
        <v>665</v>
      </c>
      <c r="C666" t="s">
        <v>1689</v>
      </c>
      <c r="D666" t="s">
        <v>660</v>
      </c>
      <c r="E666">
        <f t="shared" si="220"/>
        <v>40</v>
      </c>
      <c r="G666">
        <f t="shared" si="204"/>
        <v>6</v>
      </c>
      <c r="H666" t="str">
        <f t="shared" si="205"/>
        <v/>
      </c>
      <c r="I666" t="str">
        <f t="shared" si="206"/>
        <v/>
      </c>
      <c r="J666" t="str">
        <f t="shared" si="207"/>
        <v/>
      </c>
      <c r="K666" t="str">
        <f t="shared" si="208"/>
        <v/>
      </c>
      <c r="L666" t="str">
        <f t="shared" si="209"/>
        <v/>
      </c>
      <c r="M666" t="str">
        <f t="shared" si="210"/>
        <v/>
      </c>
      <c r="N666" t="str">
        <f t="shared" si="211"/>
        <v/>
      </c>
      <c r="O666" t="str">
        <f t="shared" si="212"/>
        <v/>
      </c>
      <c r="P666" t="str">
        <f t="shared" si="213"/>
        <v/>
      </c>
      <c r="Q666" t="str">
        <f t="shared" si="214"/>
        <v/>
      </c>
      <c r="R666" t="str">
        <f t="shared" si="215"/>
        <v/>
      </c>
      <c r="S666" t="str">
        <f t="shared" si="216"/>
        <v/>
      </c>
      <c r="T666" t="str">
        <f t="shared" si="217"/>
        <v/>
      </c>
      <c r="U666" t="str">
        <f t="shared" si="218"/>
        <v/>
      </c>
      <c r="V666" t="str">
        <f t="shared" si="219"/>
        <v/>
      </c>
      <c r="W666" t="str">
        <f t="shared" si="202"/>
        <v xml:space="preserve">              </v>
      </c>
    </row>
    <row r="667" spans="1:23" customFormat="1" hidden="1">
      <c r="A667" t="b">
        <f t="shared" si="201"/>
        <v>0</v>
      </c>
      <c r="B667">
        <f t="shared" si="203"/>
        <v>666</v>
      </c>
      <c r="C667" t="s">
        <v>1689</v>
      </c>
      <c r="D667" t="s">
        <v>661</v>
      </c>
      <c r="E667">
        <f t="shared" si="220"/>
        <v>43</v>
      </c>
      <c r="G667">
        <f t="shared" si="204"/>
        <v>7</v>
      </c>
      <c r="H667" t="str">
        <f t="shared" si="205"/>
        <v/>
      </c>
      <c r="I667" t="str">
        <f t="shared" si="206"/>
        <v/>
      </c>
      <c r="J667" t="str">
        <f t="shared" si="207"/>
        <v/>
      </c>
      <c r="K667" t="str">
        <f t="shared" si="208"/>
        <v/>
      </c>
      <c r="L667" t="str">
        <f t="shared" si="209"/>
        <v/>
      </c>
      <c r="M667" t="str">
        <f t="shared" si="210"/>
        <v/>
      </c>
      <c r="N667" t="str">
        <f t="shared" si="211"/>
        <v/>
      </c>
      <c r="O667" t="str">
        <f t="shared" si="212"/>
        <v/>
      </c>
      <c r="P667" t="str">
        <f t="shared" si="213"/>
        <v/>
      </c>
      <c r="Q667" t="str">
        <f t="shared" si="214"/>
        <v/>
      </c>
      <c r="R667" t="str">
        <f t="shared" si="215"/>
        <v/>
      </c>
      <c r="S667" t="str">
        <f t="shared" si="216"/>
        <v/>
      </c>
      <c r="T667" t="str">
        <f t="shared" si="217"/>
        <v/>
      </c>
      <c r="U667" t="str">
        <f t="shared" si="218"/>
        <v/>
      </c>
      <c r="V667" t="str">
        <f t="shared" si="219"/>
        <v/>
      </c>
      <c r="W667" t="str">
        <f t="shared" si="202"/>
        <v xml:space="preserve">              </v>
      </c>
    </row>
    <row r="668" spans="1:23" customFormat="1" hidden="1">
      <c r="A668" t="b">
        <f t="shared" si="201"/>
        <v>0</v>
      </c>
      <c r="B668">
        <f t="shared" si="203"/>
        <v>667</v>
      </c>
      <c r="C668" t="s">
        <v>1689</v>
      </c>
      <c r="D668" t="s">
        <v>662</v>
      </c>
      <c r="E668">
        <f t="shared" si="220"/>
        <v>8</v>
      </c>
      <c r="G668">
        <f t="shared" si="204"/>
        <v>8</v>
      </c>
      <c r="H668" t="str">
        <f t="shared" si="205"/>
        <v/>
      </c>
      <c r="I668" t="str">
        <f t="shared" si="206"/>
        <v/>
      </c>
      <c r="J668" t="str">
        <f t="shared" si="207"/>
        <v/>
      </c>
      <c r="K668" t="str">
        <f t="shared" si="208"/>
        <v/>
      </c>
      <c r="L668" t="str">
        <f t="shared" si="209"/>
        <v/>
      </c>
      <c r="M668" t="str">
        <f t="shared" si="210"/>
        <v/>
      </c>
      <c r="N668" t="str">
        <f t="shared" si="211"/>
        <v/>
      </c>
      <c r="O668" t="str">
        <f t="shared" si="212"/>
        <v/>
      </c>
      <c r="P668" t="str">
        <f t="shared" si="213"/>
        <v/>
      </c>
      <c r="Q668" t="str">
        <f t="shared" si="214"/>
        <v/>
      </c>
      <c r="R668" t="str">
        <f t="shared" si="215"/>
        <v/>
      </c>
      <c r="S668" t="str">
        <f t="shared" si="216"/>
        <v/>
      </c>
      <c r="T668" t="str">
        <f t="shared" si="217"/>
        <v/>
      </c>
      <c r="U668" t="str">
        <f t="shared" si="218"/>
        <v/>
      </c>
      <c r="V668" t="str">
        <f t="shared" si="219"/>
        <v/>
      </c>
      <c r="W668" t="str">
        <f t="shared" si="202"/>
        <v xml:space="preserve">              </v>
      </c>
    </row>
    <row r="669" spans="1:23" hidden="1">
      <c r="A669" s="71" t="b">
        <f t="shared" si="201"/>
        <v>0</v>
      </c>
      <c r="B669" s="71">
        <f t="shared" si="203"/>
        <v>668</v>
      </c>
      <c r="C669" s="71" t="s">
        <v>1689</v>
      </c>
      <c r="D669" s="71" t="s">
        <v>663</v>
      </c>
      <c r="E669">
        <f t="shared" si="220"/>
        <v>15</v>
      </c>
      <c r="F669">
        <v>1</v>
      </c>
      <c r="G669">
        <f t="shared" si="204"/>
        <v>1</v>
      </c>
      <c r="H669" t="str">
        <f t="shared" si="205"/>
        <v>Start-to-finish</v>
      </c>
      <c r="I669" t="str">
        <f t="shared" si="206"/>
        <v>An activity relationship that requires an</v>
      </c>
      <c r="J669" t="str">
        <f t="shared" si="207"/>
        <v>activity to start so that its successor can</v>
      </c>
      <c r="K669" t="str">
        <f t="shared" si="208"/>
        <v>finish. This is the most unusual of all the</v>
      </c>
      <c r="L669" t="str">
        <f t="shared" si="209"/>
        <v>activity relationship types.</v>
      </c>
      <c r="M669" t="str">
        <f t="shared" si="210"/>
        <v/>
      </c>
      <c r="N669" t="str">
        <f t="shared" si="211"/>
        <v/>
      </c>
      <c r="O669" t="str">
        <f t="shared" si="212"/>
        <v/>
      </c>
      <c r="P669" t="str">
        <f t="shared" si="213"/>
        <v/>
      </c>
      <c r="Q669" t="str">
        <f t="shared" si="214"/>
        <v/>
      </c>
      <c r="R669" t="str">
        <f t="shared" si="215"/>
        <v/>
      </c>
      <c r="S669" t="str">
        <f t="shared" si="216"/>
        <v/>
      </c>
      <c r="T669" t="str">
        <f t="shared" si="217"/>
        <v/>
      </c>
      <c r="U669" t="str">
        <f t="shared" si="218"/>
        <v/>
      </c>
      <c r="V669" t="str">
        <f t="shared" si="219"/>
        <v/>
      </c>
      <c r="W669" s="71" t="str">
        <f>CONCATENATE(H669," ",I669," ",J669," ",K669," ",L669," ",M669," ",N669," ",O669," ",P669," ",Q669," ",R669," ",S669," ",T669," ",U669," ",V669)</f>
        <v xml:space="preserve">Start-to-finish An activity relationship that requires an activity to start so that its successor can finish. This is the most unusual of all the activity relationship types.          </v>
      </c>
    </row>
    <row r="670" spans="1:23" customFormat="1" hidden="1">
      <c r="A670" t="b">
        <f t="shared" si="201"/>
        <v>0</v>
      </c>
      <c r="B670">
        <f t="shared" si="203"/>
        <v>669</v>
      </c>
      <c r="C670" t="s">
        <v>1689</v>
      </c>
      <c r="D670" t="s">
        <v>664</v>
      </c>
      <c r="E670">
        <f t="shared" si="220"/>
        <v>41</v>
      </c>
      <c r="G670">
        <f t="shared" si="204"/>
        <v>2</v>
      </c>
      <c r="H670" t="str">
        <f t="shared" si="205"/>
        <v/>
      </c>
      <c r="I670" t="str">
        <f t="shared" si="206"/>
        <v/>
      </c>
      <c r="J670" t="str">
        <f t="shared" si="207"/>
        <v/>
      </c>
      <c r="K670" t="str">
        <f t="shared" si="208"/>
        <v/>
      </c>
      <c r="L670" t="str">
        <f t="shared" si="209"/>
        <v/>
      </c>
      <c r="M670" t="str">
        <f t="shared" si="210"/>
        <v/>
      </c>
      <c r="N670" t="str">
        <f t="shared" si="211"/>
        <v/>
      </c>
      <c r="O670" t="str">
        <f t="shared" si="212"/>
        <v/>
      </c>
      <c r="P670" t="str">
        <f t="shared" si="213"/>
        <v/>
      </c>
      <c r="Q670" t="str">
        <f t="shared" si="214"/>
        <v/>
      </c>
      <c r="R670" t="str">
        <f t="shared" si="215"/>
        <v/>
      </c>
      <c r="S670" t="str">
        <f t="shared" si="216"/>
        <v/>
      </c>
      <c r="T670" t="str">
        <f t="shared" si="217"/>
        <v/>
      </c>
      <c r="U670" t="str">
        <f t="shared" si="218"/>
        <v/>
      </c>
      <c r="V670" t="str">
        <f t="shared" si="219"/>
        <v/>
      </c>
      <c r="W670" t="str">
        <f t="shared" si="202"/>
        <v xml:space="preserve">              </v>
      </c>
    </row>
    <row r="671" spans="1:23" customFormat="1" hidden="1">
      <c r="A671" t="b">
        <f t="shared" si="201"/>
        <v>0</v>
      </c>
      <c r="B671">
        <f t="shared" si="203"/>
        <v>670</v>
      </c>
      <c r="C671" t="s">
        <v>1689</v>
      </c>
      <c r="D671" t="s">
        <v>665</v>
      </c>
      <c r="E671">
        <f t="shared" si="220"/>
        <v>43</v>
      </c>
      <c r="G671">
        <f t="shared" si="204"/>
        <v>3</v>
      </c>
      <c r="H671" t="str">
        <f t="shared" si="205"/>
        <v/>
      </c>
      <c r="I671" t="str">
        <f t="shared" si="206"/>
        <v/>
      </c>
      <c r="J671" t="str">
        <f t="shared" si="207"/>
        <v/>
      </c>
      <c r="K671" t="str">
        <f t="shared" si="208"/>
        <v/>
      </c>
      <c r="L671" t="str">
        <f t="shared" si="209"/>
        <v/>
      </c>
      <c r="M671" t="str">
        <f t="shared" si="210"/>
        <v/>
      </c>
      <c r="N671" t="str">
        <f t="shared" si="211"/>
        <v/>
      </c>
      <c r="O671" t="str">
        <f t="shared" si="212"/>
        <v/>
      </c>
      <c r="P671" t="str">
        <f t="shared" si="213"/>
        <v/>
      </c>
      <c r="Q671" t="str">
        <f t="shared" si="214"/>
        <v/>
      </c>
      <c r="R671" t="str">
        <f t="shared" si="215"/>
        <v/>
      </c>
      <c r="S671" t="str">
        <f t="shared" si="216"/>
        <v/>
      </c>
      <c r="T671" t="str">
        <f t="shared" si="217"/>
        <v/>
      </c>
      <c r="U671" t="str">
        <f t="shared" si="218"/>
        <v/>
      </c>
      <c r="V671" t="str">
        <f t="shared" si="219"/>
        <v/>
      </c>
      <c r="W671" t="str">
        <f t="shared" si="202"/>
        <v xml:space="preserve">              </v>
      </c>
    </row>
    <row r="672" spans="1:23" customFormat="1" hidden="1">
      <c r="A672" t="b">
        <f t="shared" si="201"/>
        <v>0</v>
      </c>
      <c r="B672">
        <f t="shared" si="203"/>
        <v>671</v>
      </c>
      <c r="C672" t="s">
        <v>1689</v>
      </c>
      <c r="D672" t="s">
        <v>666</v>
      </c>
      <c r="E672">
        <f t="shared" si="220"/>
        <v>43</v>
      </c>
      <c r="G672">
        <f t="shared" si="204"/>
        <v>4</v>
      </c>
      <c r="H672" t="str">
        <f t="shared" si="205"/>
        <v/>
      </c>
      <c r="I672" t="str">
        <f t="shared" si="206"/>
        <v/>
      </c>
      <c r="J672" t="str">
        <f t="shared" si="207"/>
        <v/>
      </c>
      <c r="K672" t="str">
        <f t="shared" si="208"/>
        <v/>
      </c>
      <c r="L672" t="str">
        <f t="shared" si="209"/>
        <v/>
      </c>
      <c r="M672" t="str">
        <f t="shared" si="210"/>
        <v/>
      </c>
      <c r="N672" t="str">
        <f t="shared" si="211"/>
        <v/>
      </c>
      <c r="O672" t="str">
        <f t="shared" si="212"/>
        <v/>
      </c>
      <c r="P672" t="str">
        <f t="shared" si="213"/>
        <v/>
      </c>
      <c r="Q672" t="str">
        <f t="shared" si="214"/>
        <v/>
      </c>
      <c r="R672" t="str">
        <f t="shared" si="215"/>
        <v/>
      </c>
      <c r="S672" t="str">
        <f t="shared" si="216"/>
        <v/>
      </c>
      <c r="T672" t="str">
        <f t="shared" si="217"/>
        <v/>
      </c>
      <c r="U672" t="str">
        <f t="shared" si="218"/>
        <v/>
      </c>
      <c r="V672" t="str">
        <f t="shared" si="219"/>
        <v/>
      </c>
      <c r="W672" t="str">
        <f t="shared" si="202"/>
        <v xml:space="preserve">              </v>
      </c>
    </row>
    <row r="673" spans="1:23" customFormat="1" hidden="1">
      <c r="A673" t="b">
        <f t="shared" si="201"/>
        <v>0</v>
      </c>
      <c r="B673">
        <f t="shared" si="203"/>
        <v>672</v>
      </c>
      <c r="C673" t="s">
        <v>1689</v>
      </c>
      <c r="D673" t="s">
        <v>667</v>
      </c>
      <c r="E673">
        <f t="shared" si="220"/>
        <v>28</v>
      </c>
      <c r="G673">
        <f t="shared" si="204"/>
        <v>5</v>
      </c>
      <c r="H673" t="str">
        <f t="shared" si="205"/>
        <v/>
      </c>
      <c r="I673" t="str">
        <f t="shared" si="206"/>
        <v/>
      </c>
      <c r="J673" t="str">
        <f t="shared" si="207"/>
        <v/>
      </c>
      <c r="K673" t="str">
        <f t="shared" si="208"/>
        <v/>
      </c>
      <c r="L673" t="str">
        <f t="shared" si="209"/>
        <v/>
      </c>
      <c r="M673" t="str">
        <f t="shared" si="210"/>
        <v/>
      </c>
      <c r="N673" t="str">
        <f t="shared" si="211"/>
        <v/>
      </c>
      <c r="O673" t="str">
        <f t="shared" si="212"/>
        <v/>
      </c>
      <c r="P673" t="str">
        <f t="shared" si="213"/>
        <v/>
      </c>
      <c r="Q673" t="str">
        <f t="shared" si="214"/>
        <v/>
      </c>
      <c r="R673" t="str">
        <f t="shared" si="215"/>
        <v/>
      </c>
      <c r="S673" t="str">
        <f t="shared" si="216"/>
        <v/>
      </c>
      <c r="T673" t="str">
        <f t="shared" si="217"/>
        <v/>
      </c>
      <c r="U673" t="str">
        <f t="shared" si="218"/>
        <v/>
      </c>
      <c r="V673" t="str">
        <f t="shared" si="219"/>
        <v/>
      </c>
      <c r="W673" t="str">
        <f t="shared" si="202"/>
        <v xml:space="preserve">              </v>
      </c>
    </row>
    <row r="674" spans="1:23" hidden="1">
      <c r="A674" s="71" t="b">
        <f t="shared" si="201"/>
        <v>0</v>
      </c>
      <c r="B674" s="71">
        <f t="shared" si="203"/>
        <v>673</v>
      </c>
      <c r="C674" s="71" t="s">
        <v>1689</v>
      </c>
      <c r="D674" s="71" t="s">
        <v>668</v>
      </c>
      <c r="E674">
        <f t="shared" si="220"/>
        <v>14</v>
      </c>
      <c r="F674">
        <v>1</v>
      </c>
      <c r="G674">
        <f t="shared" si="204"/>
        <v>1</v>
      </c>
      <c r="H674" t="str">
        <f t="shared" si="205"/>
        <v>Start-to-start</v>
      </c>
      <c r="I674" t="str">
        <f t="shared" si="206"/>
        <v>An activity relationship type that requires</v>
      </c>
      <c r="J674" t="str">
        <f t="shared" si="207"/>
        <v>the current activity to start before its</v>
      </c>
      <c r="K674" t="str">
        <f t="shared" si="208"/>
        <v>successor can start.</v>
      </c>
      <c r="L674" t="str">
        <f t="shared" si="209"/>
        <v/>
      </c>
      <c r="M674" t="str">
        <f t="shared" si="210"/>
        <v/>
      </c>
      <c r="N674" t="str">
        <f t="shared" si="211"/>
        <v/>
      </c>
      <c r="O674" t="str">
        <f t="shared" si="212"/>
        <v/>
      </c>
      <c r="P674" t="str">
        <f t="shared" si="213"/>
        <v/>
      </c>
      <c r="Q674" t="str">
        <f t="shared" si="214"/>
        <v/>
      </c>
      <c r="R674" t="str">
        <f t="shared" si="215"/>
        <v/>
      </c>
      <c r="S674" t="str">
        <f t="shared" si="216"/>
        <v/>
      </c>
      <c r="T674" t="str">
        <f t="shared" si="217"/>
        <v/>
      </c>
      <c r="U674" t="str">
        <f t="shared" si="218"/>
        <v/>
      </c>
      <c r="V674" t="str">
        <f t="shared" si="219"/>
        <v/>
      </c>
      <c r="W674" s="71" t="str">
        <f>CONCATENATE(H674," ",I674," ",J674," ",K674," ",L674," ",M674," ",N674," ",O674," ",P674," ",Q674," ",R674," ",S674," ",T674," ",U674," ",V674)</f>
        <v xml:space="preserve">Start-to-start An activity relationship type that requires the current activity to start before its successor can start.           </v>
      </c>
    </row>
    <row r="675" spans="1:23" customFormat="1" hidden="1">
      <c r="A675" t="b">
        <f t="shared" si="201"/>
        <v>0</v>
      </c>
      <c r="B675">
        <f t="shared" si="203"/>
        <v>674</v>
      </c>
      <c r="C675" t="s">
        <v>1689</v>
      </c>
      <c r="D675" t="s">
        <v>669</v>
      </c>
      <c r="E675">
        <f t="shared" si="220"/>
        <v>43</v>
      </c>
      <c r="G675">
        <f t="shared" si="204"/>
        <v>2</v>
      </c>
      <c r="H675" t="str">
        <f t="shared" si="205"/>
        <v/>
      </c>
      <c r="I675" t="str">
        <f t="shared" si="206"/>
        <v/>
      </c>
      <c r="J675" t="str">
        <f t="shared" si="207"/>
        <v/>
      </c>
      <c r="K675" t="str">
        <f t="shared" si="208"/>
        <v/>
      </c>
      <c r="L675" t="str">
        <f t="shared" si="209"/>
        <v/>
      </c>
      <c r="M675" t="str">
        <f t="shared" si="210"/>
        <v/>
      </c>
      <c r="N675" t="str">
        <f t="shared" si="211"/>
        <v/>
      </c>
      <c r="O675" t="str">
        <f t="shared" si="212"/>
        <v/>
      </c>
      <c r="P675" t="str">
        <f t="shared" si="213"/>
        <v/>
      </c>
      <c r="Q675" t="str">
        <f t="shared" si="214"/>
        <v/>
      </c>
      <c r="R675" t="str">
        <f t="shared" si="215"/>
        <v/>
      </c>
      <c r="S675" t="str">
        <f t="shared" si="216"/>
        <v/>
      </c>
      <c r="T675" t="str">
        <f t="shared" si="217"/>
        <v/>
      </c>
      <c r="U675" t="str">
        <f t="shared" si="218"/>
        <v/>
      </c>
      <c r="V675" t="str">
        <f t="shared" si="219"/>
        <v/>
      </c>
      <c r="W675" t="str">
        <f t="shared" si="202"/>
        <v xml:space="preserve">              </v>
      </c>
    </row>
    <row r="676" spans="1:23" customFormat="1" hidden="1">
      <c r="A676" t="b">
        <f t="shared" si="201"/>
        <v>0</v>
      </c>
      <c r="B676">
        <f t="shared" si="203"/>
        <v>675</v>
      </c>
      <c r="C676" t="s">
        <v>1689</v>
      </c>
      <c r="D676" t="s">
        <v>670</v>
      </c>
      <c r="E676">
        <f t="shared" si="220"/>
        <v>40</v>
      </c>
      <c r="G676">
        <f t="shared" si="204"/>
        <v>3</v>
      </c>
      <c r="H676" t="str">
        <f t="shared" si="205"/>
        <v/>
      </c>
      <c r="I676" t="str">
        <f t="shared" si="206"/>
        <v/>
      </c>
      <c r="J676" t="str">
        <f t="shared" si="207"/>
        <v/>
      </c>
      <c r="K676" t="str">
        <f t="shared" si="208"/>
        <v/>
      </c>
      <c r="L676" t="str">
        <f t="shared" si="209"/>
        <v/>
      </c>
      <c r="M676" t="str">
        <f t="shared" si="210"/>
        <v/>
      </c>
      <c r="N676" t="str">
        <f t="shared" si="211"/>
        <v/>
      </c>
      <c r="O676" t="str">
        <f t="shared" si="212"/>
        <v/>
      </c>
      <c r="P676" t="str">
        <f t="shared" si="213"/>
        <v/>
      </c>
      <c r="Q676" t="str">
        <f t="shared" si="214"/>
        <v/>
      </c>
      <c r="R676" t="str">
        <f t="shared" si="215"/>
        <v/>
      </c>
      <c r="S676" t="str">
        <f t="shared" si="216"/>
        <v/>
      </c>
      <c r="T676" t="str">
        <f t="shared" si="217"/>
        <v/>
      </c>
      <c r="U676" t="str">
        <f t="shared" si="218"/>
        <v/>
      </c>
      <c r="V676" t="str">
        <f t="shared" si="219"/>
        <v/>
      </c>
      <c r="W676" t="str">
        <f t="shared" si="202"/>
        <v xml:space="preserve">              </v>
      </c>
    </row>
    <row r="677" spans="1:23" customFormat="1" hidden="1">
      <c r="A677" t="b">
        <f t="shared" si="201"/>
        <v>0</v>
      </c>
      <c r="B677">
        <f t="shared" si="203"/>
        <v>676</v>
      </c>
      <c r="C677" t="s">
        <v>1689</v>
      </c>
      <c r="D677" t="s">
        <v>671</v>
      </c>
      <c r="E677">
        <f t="shared" si="220"/>
        <v>20</v>
      </c>
      <c r="G677">
        <f t="shared" si="204"/>
        <v>4</v>
      </c>
      <c r="H677" t="str">
        <f t="shared" si="205"/>
        <v/>
      </c>
      <c r="I677" t="str">
        <f t="shared" si="206"/>
        <v/>
      </c>
      <c r="J677" t="str">
        <f t="shared" si="207"/>
        <v/>
      </c>
      <c r="K677" t="str">
        <f t="shared" si="208"/>
        <v/>
      </c>
      <c r="L677" t="str">
        <f t="shared" si="209"/>
        <v/>
      </c>
      <c r="M677" t="str">
        <f t="shared" si="210"/>
        <v/>
      </c>
      <c r="N677" t="str">
        <f t="shared" si="211"/>
        <v/>
      </c>
      <c r="O677" t="str">
        <f t="shared" si="212"/>
        <v/>
      </c>
      <c r="P677" t="str">
        <f t="shared" si="213"/>
        <v/>
      </c>
      <c r="Q677" t="str">
        <f t="shared" si="214"/>
        <v/>
      </c>
      <c r="R677" t="str">
        <f t="shared" si="215"/>
        <v/>
      </c>
      <c r="S677" t="str">
        <f t="shared" si="216"/>
        <v/>
      </c>
      <c r="T677" t="str">
        <f t="shared" si="217"/>
        <v/>
      </c>
      <c r="U677" t="str">
        <f t="shared" si="218"/>
        <v/>
      </c>
      <c r="V677" t="str">
        <f t="shared" si="219"/>
        <v/>
      </c>
      <c r="W677" t="str">
        <f t="shared" si="202"/>
        <v xml:space="preserve">              </v>
      </c>
    </row>
    <row r="678" spans="1:23" hidden="1">
      <c r="A678" s="71" t="b">
        <f t="shared" si="201"/>
        <v>0</v>
      </c>
      <c r="B678" s="71">
        <f t="shared" si="203"/>
        <v>677</v>
      </c>
      <c r="C678" s="71" t="s">
        <v>1689</v>
      </c>
      <c r="D678" s="71" t="s">
        <v>672</v>
      </c>
      <c r="E678">
        <f t="shared" si="220"/>
        <v>6</v>
      </c>
      <c r="F678">
        <v>1</v>
      </c>
      <c r="G678">
        <f t="shared" si="204"/>
        <v>1</v>
      </c>
      <c r="H678" t="str">
        <f t="shared" si="205"/>
        <v>Subnet</v>
      </c>
      <c r="I678" t="str">
        <f t="shared" si="206"/>
        <v>A representation of a project network</v>
      </c>
      <c r="J678" t="str">
        <f t="shared" si="207"/>
        <v>diagram that is often used for outsourced</v>
      </c>
      <c r="K678" t="str">
        <f t="shared" si="208"/>
        <v>portions of projects, repetitive work within</v>
      </c>
      <c r="L678" t="str">
        <f t="shared" si="209"/>
        <v>a project, or a subproject. Also called a</v>
      </c>
      <c r="M678" t="str">
        <f t="shared" si="210"/>
        <v>fragnet.</v>
      </c>
      <c r="N678" t="str">
        <f t="shared" si="211"/>
        <v/>
      </c>
      <c r="O678" t="str">
        <f t="shared" si="212"/>
        <v/>
      </c>
      <c r="P678" t="str">
        <f t="shared" si="213"/>
        <v/>
      </c>
      <c r="Q678" t="str">
        <f t="shared" si="214"/>
        <v/>
      </c>
      <c r="R678" t="str">
        <f t="shared" si="215"/>
        <v/>
      </c>
      <c r="S678" t="str">
        <f t="shared" si="216"/>
        <v/>
      </c>
      <c r="T678" t="str">
        <f t="shared" si="217"/>
        <v/>
      </c>
      <c r="U678" t="str">
        <f t="shared" si="218"/>
        <v/>
      </c>
      <c r="V678" t="str">
        <f t="shared" si="219"/>
        <v/>
      </c>
      <c r="W678" s="71" t="str">
        <f>CONCATENATE(H678," ",I678," ",J678," ",K678," ",L678," ",M678," ",N678," ",O678," ",P678," ",Q678," ",R678," ",S678," ",T678," ",U678," ",V678)</f>
        <v xml:space="preserve">Subnet A representation of a project network diagram that is often used for outsourced portions of projects, repetitive work within a project, or a subproject. Also called a fragnet.         </v>
      </c>
    </row>
    <row r="679" spans="1:23" customFormat="1" hidden="1">
      <c r="A679" t="b">
        <f t="shared" si="201"/>
        <v>0</v>
      </c>
      <c r="B679">
        <f t="shared" si="203"/>
        <v>678</v>
      </c>
      <c r="C679" t="s">
        <v>1689</v>
      </c>
      <c r="D679" t="s">
        <v>673</v>
      </c>
      <c r="E679">
        <f t="shared" si="220"/>
        <v>37</v>
      </c>
      <c r="G679">
        <f t="shared" si="204"/>
        <v>2</v>
      </c>
      <c r="H679" t="str">
        <f t="shared" si="205"/>
        <v/>
      </c>
      <c r="I679" t="str">
        <f t="shared" si="206"/>
        <v/>
      </c>
      <c r="J679" t="str">
        <f t="shared" si="207"/>
        <v/>
      </c>
      <c r="K679" t="str">
        <f t="shared" si="208"/>
        <v/>
      </c>
      <c r="L679" t="str">
        <f t="shared" si="209"/>
        <v/>
      </c>
      <c r="M679" t="str">
        <f t="shared" si="210"/>
        <v/>
      </c>
      <c r="N679" t="str">
        <f t="shared" si="211"/>
        <v/>
      </c>
      <c r="O679" t="str">
        <f t="shared" si="212"/>
        <v/>
      </c>
      <c r="P679" t="str">
        <f t="shared" si="213"/>
        <v/>
      </c>
      <c r="Q679" t="str">
        <f t="shared" si="214"/>
        <v/>
      </c>
      <c r="R679" t="str">
        <f t="shared" si="215"/>
        <v/>
      </c>
      <c r="S679" t="str">
        <f t="shared" si="216"/>
        <v/>
      </c>
      <c r="T679" t="str">
        <f t="shared" si="217"/>
        <v/>
      </c>
      <c r="U679" t="str">
        <f t="shared" si="218"/>
        <v/>
      </c>
      <c r="V679" t="str">
        <f t="shared" si="219"/>
        <v/>
      </c>
      <c r="W679" t="str">
        <f t="shared" si="202"/>
        <v xml:space="preserve">              </v>
      </c>
    </row>
    <row r="680" spans="1:23" customFormat="1" hidden="1">
      <c r="A680" t="b">
        <f t="shared" si="201"/>
        <v>0</v>
      </c>
      <c r="B680">
        <f t="shared" si="203"/>
        <v>679</v>
      </c>
      <c r="C680" t="s">
        <v>1689</v>
      </c>
      <c r="D680" t="s">
        <v>674</v>
      </c>
      <c r="E680">
        <f t="shared" si="220"/>
        <v>41</v>
      </c>
      <c r="G680">
        <f t="shared" si="204"/>
        <v>3</v>
      </c>
      <c r="H680" t="str">
        <f t="shared" si="205"/>
        <v/>
      </c>
      <c r="I680" t="str">
        <f t="shared" si="206"/>
        <v/>
      </c>
      <c r="J680" t="str">
        <f t="shared" si="207"/>
        <v/>
      </c>
      <c r="K680" t="str">
        <f t="shared" si="208"/>
        <v/>
      </c>
      <c r="L680" t="str">
        <f t="shared" si="209"/>
        <v/>
      </c>
      <c r="M680" t="str">
        <f t="shared" si="210"/>
        <v/>
      </c>
      <c r="N680" t="str">
        <f t="shared" si="211"/>
        <v/>
      </c>
      <c r="O680" t="str">
        <f t="shared" si="212"/>
        <v/>
      </c>
      <c r="P680" t="str">
        <f t="shared" si="213"/>
        <v/>
      </c>
      <c r="Q680" t="str">
        <f t="shared" si="214"/>
        <v/>
      </c>
      <c r="R680" t="str">
        <f t="shared" si="215"/>
        <v/>
      </c>
      <c r="S680" t="str">
        <f t="shared" si="216"/>
        <v/>
      </c>
      <c r="T680" t="str">
        <f t="shared" si="217"/>
        <v/>
      </c>
      <c r="U680" t="str">
        <f t="shared" si="218"/>
        <v/>
      </c>
      <c r="V680" t="str">
        <f t="shared" si="219"/>
        <v/>
      </c>
      <c r="W680" t="str">
        <f t="shared" si="202"/>
        <v xml:space="preserve">              </v>
      </c>
    </row>
    <row r="681" spans="1:23" customFormat="1" hidden="1">
      <c r="A681" t="b">
        <f t="shared" si="201"/>
        <v>0</v>
      </c>
      <c r="B681">
        <f t="shared" si="203"/>
        <v>680</v>
      </c>
      <c r="C681" t="s">
        <v>1689</v>
      </c>
      <c r="D681" t="s">
        <v>675</v>
      </c>
      <c r="E681">
        <f t="shared" si="220"/>
        <v>44</v>
      </c>
      <c r="G681">
        <f t="shared" si="204"/>
        <v>4</v>
      </c>
      <c r="H681" t="str">
        <f t="shared" si="205"/>
        <v/>
      </c>
      <c r="I681" t="str">
        <f t="shared" si="206"/>
        <v/>
      </c>
      <c r="J681" t="str">
        <f t="shared" si="207"/>
        <v/>
      </c>
      <c r="K681" t="str">
        <f t="shared" si="208"/>
        <v/>
      </c>
      <c r="L681" t="str">
        <f t="shared" si="209"/>
        <v/>
      </c>
      <c r="M681" t="str">
        <f t="shared" si="210"/>
        <v/>
      </c>
      <c r="N681" t="str">
        <f t="shared" si="211"/>
        <v/>
      </c>
      <c r="O681" t="str">
        <f t="shared" si="212"/>
        <v/>
      </c>
      <c r="P681" t="str">
        <f t="shared" si="213"/>
        <v/>
      </c>
      <c r="Q681" t="str">
        <f t="shared" si="214"/>
        <v/>
      </c>
      <c r="R681" t="str">
        <f t="shared" si="215"/>
        <v/>
      </c>
      <c r="S681" t="str">
        <f t="shared" si="216"/>
        <v/>
      </c>
      <c r="T681" t="str">
        <f t="shared" si="217"/>
        <v/>
      </c>
      <c r="U681" t="str">
        <f t="shared" si="218"/>
        <v/>
      </c>
      <c r="V681" t="str">
        <f t="shared" si="219"/>
        <v/>
      </c>
      <c r="W681" t="str">
        <f t="shared" si="202"/>
        <v xml:space="preserve">              </v>
      </c>
    </row>
    <row r="682" spans="1:23" customFormat="1" hidden="1">
      <c r="A682" t="b">
        <f t="shared" si="201"/>
        <v>0</v>
      </c>
      <c r="B682">
        <f t="shared" si="203"/>
        <v>681</v>
      </c>
      <c r="C682" t="s">
        <v>1689</v>
      </c>
      <c r="D682" t="s">
        <v>676</v>
      </c>
      <c r="E682">
        <f t="shared" si="220"/>
        <v>41</v>
      </c>
      <c r="G682">
        <f t="shared" si="204"/>
        <v>5</v>
      </c>
      <c r="H682" t="str">
        <f t="shared" si="205"/>
        <v/>
      </c>
      <c r="I682" t="str">
        <f t="shared" si="206"/>
        <v/>
      </c>
      <c r="J682" t="str">
        <f t="shared" si="207"/>
        <v/>
      </c>
      <c r="K682" t="str">
        <f t="shared" si="208"/>
        <v/>
      </c>
      <c r="L682" t="str">
        <f t="shared" si="209"/>
        <v/>
      </c>
      <c r="M682" t="str">
        <f t="shared" si="210"/>
        <v/>
      </c>
      <c r="N682" t="str">
        <f t="shared" si="211"/>
        <v/>
      </c>
      <c r="O682" t="str">
        <f t="shared" si="212"/>
        <v/>
      </c>
      <c r="P682" t="str">
        <f t="shared" si="213"/>
        <v/>
      </c>
      <c r="Q682" t="str">
        <f t="shared" si="214"/>
        <v/>
      </c>
      <c r="R682" t="str">
        <f t="shared" si="215"/>
        <v/>
      </c>
      <c r="S682" t="str">
        <f t="shared" si="216"/>
        <v/>
      </c>
      <c r="T682" t="str">
        <f t="shared" si="217"/>
        <v/>
      </c>
      <c r="U682" t="str">
        <f t="shared" si="218"/>
        <v/>
      </c>
      <c r="V682" t="str">
        <f t="shared" si="219"/>
        <v/>
      </c>
      <c r="W682" t="str">
        <f t="shared" si="202"/>
        <v xml:space="preserve">              </v>
      </c>
    </row>
    <row r="683" spans="1:23" customFormat="1" hidden="1">
      <c r="A683" t="b">
        <f t="shared" si="201"/>
        <v>0</v>
      </c>
      <c r="B683">
        <f t="shared" si="203"/>
        <v>682</v>
      </c>
      <c r="C683" t="s">
        <v>1689</v>
      </c>
      <c r="D683" t="s">
        <v>677</v>
      </c>
      <c r="E683">
        <f t="shared" si="220"/>
        <v>8</v>
      </c>
      <c r="G683">
        <f t="shared" si="204"/>
        <v>6</v>
      </c>
      <c r="H683" t="str">
        <f t="shared" si="205"/>
        <v/>
      </c>
      <c r="I683" t="str">
        <f t="shared" si="206"/>
        <v/>
      </c>
      <c r="J683" t="str">
        <f t="shared" si="207"/>
        <v/>
      </c>
      <c r="K683" t="str">
        <f t="shared" si="208"/>
        <v/>
      </c>
      <c r="L683" t="str">
        <f t="shared" si="209"/>
        <v/>
      </c>
      <c r="M683" t="str">
        <f t="shared" si="210"/>
        <v/>
      </c>
      <c r="N683" t="str">
        <f t="shared" si="211"/>
        <v/>
      </c>
      <c r="O683" t="str">
        <f t="shared" si="212"/>
        <v/>
      </c>
      <c r="P683" t="str">
        <f t="shared" si="213"/>
        <v/>
      </c>
      <c r="Q683" t="str">
        <f t="shared" si="214"/>
        <v/>
      </c>
      <c r="R683" t="str">
        <f t="shared" si="215"/>
        <v/>
      </c>
      <c r="S683" t="str">
        <f t="shared" si="216"/>
        <v/>
      </c>
      <c r="T683" t="str">
        <f t="shared" si="217"/>
        <v/>
      </c>
      <c r="U683" t="str">
        <f t="shared" si="218"/>
        <v/>
      </c>
      <c r="V683" t="str">
        <f t="shared" si="219"/>
        <v/>
      </c>
      <c r="W683" t="str">
        <f t="shared" si="202"/>
        <v xml:space="preserve">              </v>
      </c>
    </row>
    <row r="684" spans="1:23" hidden="1">
      <c r="A684" s="71" t="b">
        <f t="shared" si="201"/>
        <v>0</v>
      </c>
      <c r="B684" s="71">
        <f t="shared" si="203"/>
        <v>683</v>
      </c>
      <c r="C684" s="71" t="s">
        <v>1689</v>
      </c>
      <c r="D684" s="71" t="s">
        <v>678</v>
      </c>
      <c r="E684">
        <f t="shared" si="220"/>
        <v>8</v>
      </c>
      <c r="F684">
        <v>1</v>
      </c>
      <c r="G684">
        <f t="shared" si="204"/>
        <v>1</v>
      </c>
      <c r="H684" t="str">
        <f t="shared" si="205"/>
        <v>Template</v>
      </c>
      <c r="I684" t="str">
        <f t="shared" si="206"/>
        <v>A previous project that can be adapted</v>
      </c>
      <c r="J684" t="str">
        <f t="shared" si="207"/>
        <v>for the current project and forms that are</v>
      </c>
      <c r="K684" t="str">
        <f t="shared" si="208"/>
        <v>pre-populated with organizational-specific</v>
      </c>
      <c r="L684" t="str">
        <f t="shared" si="209"/>
        <v>information.</v>
      </c>
      <c r="M684" t="str">
        <f t="shared" si="210"/>
        <v/>
      </c>
      <c r="N684" t="str">
        <f t="shared" si="211"/>
        <v/>
      </c>
      <c r="O684" t="str">
        <f t="shared" si="212"/>
        <v/>
      </c>
      <c r="P684" t="str">
        <f t="shared" si="213"/>
        <v/>
      </c>
      <c r="Q684" t="str">
        <f t="shared" si="214"/>
        <v/>
      </c>
      <c r="R684" t="str">
        <f t="shared" si="215"/>
        <v/>
      </c>
      <c r="S684" t="str">
        <f t="shared" si="216"/>
        <v/>
      </c>
      <c r="T684" t="str">
        <f t="shared" si="217"/>
        <v/>
      </c>
      <c r="U684" t="str">
        <f t="shared" si="218"/>
        <v/>
      </c>
      <c r="V684" t="str">
        <f t="shared" si="219"/>
        <v/>
      </c>
      <c r="W684" s="71" t="str">
        <f>CONCATENATE(H684," ",I684," ",J684," ",K684," ",L684," ",M684," ",N684," ",O684," ",P684," ",Q684," ",R684," ",S684," ",T684," ",U684," ",V684)</f>
        <v xml:space="preserve">Template A previous project that can be adapted for the current project and forms that are pre-populated with organizational-specific information.          </v>
      </c>
    </row>
    <row r="685" spans="1:23" customFormat="1" hidden="1">
      <c r="A685" t="b">
        <f t="shared" si="201"/>
        <v>0</v>
      </c>
      <c r="B685">
        <f t="shared" si="203"/>
        <v>684</v>
      </c>
      <c r="C685" t="s">
        <v>1689</v>
      </c>
      <c r="D685" t="s">
        <v>679</v>
      </c>
      <c r="E685">
        <f t="shared" si="220"/>
        <v>38</v>
      </c>
      <c r="G685">
        <f t="shared" si="204"/>
        <v>2</v>
      </c>
      <c r="H685" t="str">
        <f t="shared" si="205"/>
        <v/>
      </c>
      <c r="I685" t="str">
        <f t="shared" si="206"/>
        <v/>
      </c>
      <c r="J685" t="str">
        <f t="shared" si="207"/>
        <v/>
      </c>
      <c r="K685" t="str">
        <f t="shared" si="208"/>
        <v/>
      </c>
      <c r="L685" t="str">
        <f t="shared" si="209"/>
        <v/>
      </c>
      <c r="M685" t="str">
        <f t="shared" si="210"/>
        <v/>
      </c>
      <c r="N685" t="str">
        <f t="shared" si="211"/>
        <v/>
      </c>
      <c r="O685" t="str">
        <f t="shared" si="212"/>
        <v/>
      </c>
      <c r="P685" t="str">
        <f t="shared" si="213"/>
        <v/>
      </c>
      <c r="Q685" t="str">
        <f t="shared" si="214"/>
        <v/>
      </c>
      <c r="R685" t="str">
        <f t="shared" si="215"/>
        <v/>
      </c>
      <c r="S685" t="str">
        <f t="shared" si="216"/>
        <v/>
      </c>
      <c r="T685" t="str">
        <f t="shared" si="217"/>
        <v/>
      </c>
      <c r="U685" t="str">
        <f t="shared" si="218"/>
        <v/>
      </c>
      <c r="V685" t="str">
        <f t="shared" si="219"/>
        <v/>
      </c>
      <c r="W685" t="str">
        <f t="shared" si="202"/>
        <v xml:space="preserve">              </v>
      </c>
    </row>
    <row r="686" spans="1:23" customFormat="1" hidden="1">
      <c r="A686" t="b">
        <f t="shared" si="201"/>
        <v>0</v>
      </c>
      <c r="B686">
        <f t="shared" si="203"/>
        <v>685</v>
      </c>
      <c r="C686" t="s">
        <v>1689</v>
      </c>
      <c r="D686" t="s">
        <v>680</v>
      </c>
      <c r="E686">
        <f t="shared" si="220"/>
        <v>42</v>
      </c>
      <c r="G686">
        <f t="shared" si="204"/>
        <v>3</v>
      </c>
      <c r="H686" t="str">
        <f t="shared" si="205"/>
        <v/>
      </c>
      <c r="I686" t="str">
        <f t="shared" si="206"/>
        <v/>
      </c>
      <c r="J686" t="str">
        <f t="shared" si="207"/>
        <v/>
      </c>
      <c r="K686" t="str">
        <f t="shared" si="208"/>
        <v/>
      </c>
      <c r="L686" t="str">
        <f t="shared" si="209"/>
        <v/>
      </c>
      <c r="M686" t="str">
        <f t="shared" si="210"/>
        <v/>
      </c>
      <c r="N686" t="str">
        <f t="shared" si="211"/>
        <v/>
      </c>
      <c r="O686" t="str">
        <f t="shared" si="212"/>
        <v/>
      </c>
      <c r="P686" t="str">
        <f t="shared" si="213"/>
        <v/>
      </c>
      <c r="Q686" t="str">
        <f t="shared" si="214"/>
        <v/>
      </c>
      <c r="R686" t="str">
        <f t="shared" si="215"/>
        <v/>
      </c>
      <c r="S686" t="str">
        <f t="shared" si="216"/>
        <v/>
      </c>
      <c r="T686" t="str">
        <f t="shared" si="217"/>
        <v/>
      </c>
      <c r="U686" t="str">
        <f t="shared" si="218"/>
        <v/>
      </c>
      <c r="V686" t="str">
        <f t="shared" si="219"/>
        <v/>
      </c>
      <c r="W686" t="str">
        <f t="shared" si="202"/>
        <v xml:space="preserve">              </v>
      </c>
    </row>
    <row r="687" spans="1:23" customFormat="1" hidden="1">
      <c r="A687" t="b">
        <f t="shared" si="201"/>
        <v>0</v>
      </c>
      <c r="B687">
        <f t="shared" si="203"/>
        <v>686</v>
      </c>
      <c r="C687" t="s">
        <v>1689</v>
      </c>
      <c r="D687" t="s">
        <v>681</v>
      </c>
      <c r="E687">
        <f t="shared" si="220"/>
        <v>42</v>
      </c>
      <c r="G687">
        <f t="shared" si="204"/>
        <v>4</v>
      </c>
      <c r="H687" t="str">
        <f t="shared" si="205"/>
        <v/>
      </c>
      <c r="I687" t="str">
        <f t="shared" si="206"/>
        <v/>
      </c>
      <c r="J687" t="str">
        <f t="shared" si="207"/>
        <v/>
      </c>
      <c r="K687" t="str">
        <f t="shared" si="208"/>
        <v/>
      </c>
      <c r="L687" t="str">
        <f t="shared" si="209"/>
        <v/>
      </c>
      <c r="M687" t="str">
        <f t="shared" si="210"/>
        <v/>
      </c>
      <c r="N687" t="str">
        <f t="shared" si="211"/>
        <v/>
      </c>
      <c r="O687" t="str">
        <f t="shared" si="212"/>
        <v/>
      </c>
      <c r="P687" t="str">
        <f t="shared" si="213"/>
        <v/>
      </c>
      <c r="Q687" t="str">
        <f t="shared" si="214"/>
        <v/>
      </c>
      <c r="R687" t="str">
        <f t="shared" si="215"/>
        <v/>
      </c>
      <c r="S687" t="str">
        <f t="shared" si="216"/>
        <v/>
      </c>
      <c r="T687" t="str">
        <f t="shared" si="217"/>
        <v/>
      </c>
      <c r="U687" t="str">
        <f t="shared" si="218"/>
        <v/>
      </c>
      <c r="V687" t="str">
        <f t="shared" si="219"/>
        <v/>
      </c>
      <c r="W687" t="str">
        <f t="shared" si="202"/>
        <v xml:space="preserve">              </v>
      </c>
    </row>
    <row r="688" spans="1:23" customFormat="1" hidden="1">
      <c r="A688" t="b">
        <f t="shared" si="201"/>
        <v>0</v>
      </c>
      <c r="B688">
        <f t="shared" si="203"/>
        <v>687</v>
      </c>
      <c r="C688" t="s">
        <v>1689</v>
      </c>
      <c r="D688" t="s">
        <v>97</v>
      </c>
      <c r="E688">
        <f t="shared" si="220"/>
        <v>12</v>
      </c>
      <c r="G688">
        <f t="shared" si="204"/>
        <v>5</v>
      </c>
      <c r="H688" t="str">
        <f t="shared" si="205"/>
        <v/>
      </c>
      <c r="I688" t="str">
        <f t="shared" si="206"/>
        <v/>
      </c>
      <c r="J688" t="str">
        <f t="shared" si="207"/>
        <v/>
      </c>
      <c r="K688" t="str">
        <f t="shared" si="208"/>
        <v/>
      </c>
      <c r="L688" t="str">
        <f t="shared" si="209"/>
        <v/>
      </c>
      <c r="M688" t="str">
        <f t="shared" si="210"/>
        <v/>
      </c>
      <c r="N688" t="str">
        <f t="shared" si="211"/>
        <v/>
      </c>
      <c r="O688" t="str">
        <f t="shared" si="212"/>
        <v/>
      </c>
      <c r="P688" t="str">
        <f t="shared" si="213"/>
        <v/>
      </c>
      <c r="Q688" t="str">
        <f t="shared" si="214"/>
        <v/>
      </c>
      <c r="R688" t="str">
        <f t="shared" si="215"/>
        <v/>
      </c>
      <c r="S688" t="str">
        <f t="shared" si="216"/>
        <v/>
      </c>
      <c r="T688" t="str">
        <f t="shared" si="217"/>
        <v/>
      </c>
      <c r="U688" t="str">
        <f t="shared" si="218"/>
        <v/>
      </c>
      <c r="V688" t="str">
        <f t="shared" si="219"/>
        <v/>
      </c>
      <c r="W688" t="str">
        <f t="shared" si="202"/>
        <v xml:space="preserve">              </v>
      </c>
    </row>
    <row r="689" spans="1:23" hidden="1">
      <c r="A689" s="71" t="b">
        <f t="shared" si="201"/>
        <v>0</v>
      </c>
      <c r="B689" s="71">
        <f t="shared" si="203"/>
        <v>688</v>
      </c>
      <c r="C689" s="71" t="s">
        <v>1689</v>
      </c>
      <c r="D689" s="71" t="s">
        <v>682</v>
      </c>
      <c r="E689">
        <f t="shared" si="220"/>
        <v>20</v>
      </c>
      <c r="F689">
        <v>1</v>
      </c>
      <c r="G689">
        <f t="shared" si="204"/>
        <v>1</v>
      </c>
      <c r="H689" t="str">
        <f t="shared" si="205"/>
        <v>Three-point estimate</v>
      </c>
      <c r="I689" t="str">
        <f t="shared" si="206"/>
        <v>An estimating technique for each activity</v>
      </c>
      <c r="J689" t="str">
        <f t="shared" si="207"/>
        <v>that requires optimistic, most likely, and</v>
      </c>
      <c r="K689" t="str">
        <f t="shared" si="208"/>
        <v>pessimistic estimates to be created.</v>
      </c>
      <c r="L689" t="str">
        <f t="shared" si="209"/>
        <v>Based on these three estimates, an</v>
      </c>
      <c r="M689" t="str">
        <f t="shared" si="210"/>
        <v>average can be created to predict how</v>
      </c>
      <c r="N689" t="str">
        <f t="shared" si="211"/>
        <v>long the activity should take.</v>
      </c>
      <c r="O689" t="str">
        <f t="shared" si="212"/>
        <v/>
      </c>
      <c r="P689" t="str">
        <f t="shared" si="213"/>
        <v/>
      </c>
      <c r="Q689" t="str">
        <f t="shared" si="214"/>
        <v/>
      </c>
      <c r="R689" t="str">
        <f t="shared" si="215"/>
        <v/>
      </c>
      <c r="S689" t="str">
        <f t="shared" si="216"/>
        <v/>
      </c>
      <c r="T689" t="str">
        <f t="shared" si="217"/>
        <v/>
      </c>
      <c r="U689" t="str">
        <f t="shared" si="218"/>
        <v/>
      </c>
      <c r="V689" t="str">
        <f t="shared" si="219"/>
        <v/>
      </c>
      <c r="W689" s="71" t="str">
        <f>CONCATENATE(H689," ",I689," ",J689," ",K689," ",L689," ",M689," ",N689," ",O689," ",P689," ",Q689," ",R689," ",S689," ",T689," ",U689," ",V689)</f>
        <v xml:space="preserve">Three-point estimate An estimating technique for each activity that requires optimistic, most likely, and pessimistic estimates to be created. Based on these three estimates, an average can be created to predict how long the activity should take.        </v>
      </c>
    </row>
    <row r="690" spans="1:23" customFormat="1" hidden="1">
      <c r="A690" t="b">
        <f t="shared" si="201"/>
        <v>0</v>
      </c>
      <c r="B690">
        <f t="shared" si="203"/>
        <v>689</v>
      </c>
      <c r="C690" t="s">
        <v>1689</v>
      </c>
      <c r="D690" t="s">
        <v>683</v>
      </c>
      <c r="E690">
        <f t="shared" si="220"/>
        <v>41</v>
      </c>
      <c r="G690">
        <f t="shared" si="204"/>
        <v>2</v>
      </c>
      <c r="H690" t="str">
        <f t="shared" si="205"/>
        <v/>
      </c>
      <c r="I690" t="str">
        <f t="shared" si="206"/>
        <v/>
      </c>
      <c r="J690" t="str">
        <f t="shared" si="207"/>
        <v/>
      </c>
      <c r="K690" t="str">
        <f t="shared" si="208"/>
        <v/>
      </c>
      <c r="L690" t="str">
        <f t="shared" si="209"/>
        <v/>
      </c>
      <c r="M690" t="str">
        <f t="shared" si="210"/>
        <v/>
      </c>
      <c r="N690" t="str">
        <f t="shared" si="211"/>
        <v/>
      </c>
      <c r="O690" t="str">
        <f t="shared" si="212"/>
        <v/>
      </c>
      <c r="P690" t="str">
        <f t="shared" si="213"/>
        <v/>
      </c>
      <c r="Q690" t="str">
        <f t="shared" si="214"/>
        <v/>
      </c>
      <c r="R690" t="str">
        <f t="shared" si="215"/>
        <v/>
      </c>
      <c r="S690" t="str">
        <f t="shared" si="216"/>
        <v/>
      </c>
      <c r="T690" t="str">
        <f t="shared" si="217"/>
        <v/>
      </c>
      <c r="U690" t="str">
        <f t="shared" si="218"/>
        <v/>
      </c>
      <c r="V690" t="str">
        <f t="shared" si="219"/>
        <v/>
      </c>
      <c r="W690" t="str">
        <f t="shared" si="202"/>
        <v xml:space="preserve">              </v>
      </c>
    </row>
    <row r="691" spans="1:23" customFormat="1" hidden="1">
      <c r="A691" t="b">
        <f t="shared" si="201"/>
        <v>0</v>
      </c>
      <c r="B691">
        <f t="shared" si="203"/>
        <v>690</v>
      </c>
      <c r="C691" t="s">
        <v>1689</v>
      </c>
      <c r="D691" t="s">
        <v>684</v>
      </c>
      <c r="E691">
        <f t="shared" si="220"/>
        <v>42</v>
      </c>
      <c r="G691">
        <f t="shared" si="204"/>
        <v>3</v>
      </c>
      <c r="H691" t="str">
        <f t="shared" si="205"/>
        <v/>
      </c>
      <c r="I691" t="str">
        <f t="shared" si="206"/>
        <v/>
      </c>
      <c r="J691" t="str">
        <f t="shared" si="207"/>
        <v/>
      </c>
      <c r="K691" t="str">
        <f t="shared" si="208"/>
        <v/>
      </c>
      <c r="L691" t="str">
        <f t="shared" si="209"/>
        <v/>
      </c>
      <c r="M691" t="str">
        <f t="shared" si="210"/>
        <v/>
      </c>
      <c r="N691" t="str">
        <f t="shared" si="211"/>
        <v/>
      </c>
      <c r="O691" t="str">
        <f t="shared" si="212"/>
        <v/>
      </c>
      <c r="P691" t="str">
        <f t="shared" si="213"/>
        <v/>
      </c>
      <c r="Q691" t="str">
        <f t="shared" si="214"/>
        <v/>
      </c>
      <c r="R691" t="str">
        <f t="shared" si="215"/>
        <v/>
      </c>
      <c r="S691" t="str">
        <f t="shared" si="216"/>
        <v/>
      </c>
      <c r="T691" t="str">
        <f t="shared" si="217"/>
        <v/>
      </c>
      <c r="U691" t="str">
        <f t="shared" si="218"/>
        <v/>
      </c>
      <c r="V691" t="str">
        <f t="shared" si="219"/>
        <v/>
      </c>
      <c r="W691" t="str">
        <f t="shared" si="202"/>
        <v xml:space="preserve">              </v>
      </c>
    </row>
    <row r="692" spans="1:23" customFormat="1" hidden="1">
      <c r="A692" t="b">
        <f t="shared" si="201"/>
        <v>0</v>
      </c>
      <c r="B692">
        <f t="shared" si="203"/>
        <v>691</v>
      </c>
      <c r="C692" t="s">
        <v>1689</v>
      </c>
      <c r="D692" t="s">
        <v>685</v>
      </c>
      <c r="E692">
        <f t="shared" si="220"/>
        <v>36</v>
      </c>
      <c r="G692">
        <f t="shared" si="204"/>
        <v>4</v>
      </c>
      <c r="H692" t="str">
        <f t="shared" si="205"/>
        <v/>
      </c>
      <c r="I692" t="str">
        <f t="shared" si="206"/>
        <v/>
      </c>
      <c r="J692" t="str">
        <f t="shared" si="207"/>
        <v/>
      </c>
      <c r="K692" t="str">
        <f t="shared" si="208"/>
        <v/>
      </c>
      <c r="L692" t="str">
        <f t="shared" si="209"/>
        <v/>
      </c>
      <c r="M692" t="str">
        <f t="shared" si="210"/>
        <v/>
      </c>
      <c r="N692" t="str">
        <f t="shared" si="211"/>
        <v/>
      </c>
      <c r="O692" t="str">
        <f t="shared" si="212"/>
        <v/>
      </c>
      <c r="P692" t="str">
        <f t="shared" si="213"/>
        <v/>
      </c>
      <c r="Q692" t="str">
        <f t="shared" si="214"/>
        <v/>
      </c>
      <c r="R692" t="str">
        <f t="shared" si="215"/>
        <v/>
      </c>
      <c r="S692" t="str">
        <f t="shared" si="216"/>
        <v/>
      </c>
      <c r="T692" t="str">
        <f t="shared" si="217"/>
        <v/>
      </c>
      <c r="U692" t="str">
        <f t="shared" si="218"/>
        <v/>
      </c>
      <c r="V692" t="str">
        <f t="shared" si="219"/>
        <v/>
      </c>
      <c r="W692" t="str">
        <f t="shared" si="202"/>
        <v xml:space="preserve">              </v>
      </c>
    </row>
    <row r="693" spans="1:23" customFormat="1" hidden="1">
      <c r="A693" t="b">
        <f t="shared" si="201"/>
        <v>0</v>
      </c>
      <c r="B693">
        <f t="shared" si="203"/>
        <v>692</v>
      </c>
      <c r="C693" t="s">
        <v>1689</v>
      </c>
      <c r="D693" t="s">
        <v>686</v>
      </c>
      <c r="E693">
        <f t="shared" si="220"/>
        <v>34</v>
      </c>
      <c r="G693">
        <f t="shared" si="204"/>
        <v>5</v>
      </c>
      <c r="H693" t="str">
        <f t="shared" si="205"/>
        <v/>
      </c>
      <c r="I693" t="str">
        <f t="shared" si="206"/>
        <v/>
      </c>
      <c r="J693" t="str">
        <f t="shared" si="207"/>
        <v/>
      </c>
      <c r="K693" t="str">
        <f t="shared" si="208"/>
        <v/>
      </c>
      <c r="L693" t="str">
        <f t="shared" si="209"/>
        <v/>
      </c>
      <c r="M693" t="str">
        <f t="shared" si="210"/>
        <v/>
      </c>
      <c r="N693" t="str">
        <f t="shared" si="211"/>
        <v/>
      </c>
      <c r="O693" t="str">
        <f t="shared" si="212"/>
        <v/>
      </c>
      <c r="P693" t="str">
        <f t="shared" si="213"/>
        <v/>
      </c>
      <c r="Q693" t="str">
        <f t="shared" si="214"/>
        <v/>
      </c>
      <c r="R693" t="str">
        <f t="shared" si="215"/>
        <v/>
      </c>
      <c r="S693" t="str">
        <f t="shared" si="216"/>
        <v/>
      </c>
      <c r="T693" t="str">
        <f t="shared" si="217"/>
        <v/>
      </c>
      <c r="U693" t="str">
        <f t="shared" si="218"/>
        <v/>
      </c>
      <c r="V693" t="str">
        <f t="shared" si="219"/>
        <v/>
      </c>
      <c r="W693" t="str">
        <f t="shared" si="202"/>
        <v xml:space="preserve">              </v>
      </c>
    </row>
    <row r="694" spans="1:23" customFormat="1" hidden="1">
      <c r="A694" t="b">
        <f t="shared" si="201"/>
        <v>0</v>
      </c>
      <c r="B694">
        <f t="shared" si="203"/>
        <v>693</v>
      </c>
      <c r="C694" t="s">
        <v>1689</v>
      </c>
      <c r="D694" t="s">
        <v>687</v>
      </c>
      <c r="E694">
        <f t="shared" si="220"/>
        <v>37</v>
      </c>
      <c r="G694">
        <f t="shared" si="204"/>
        <v>6</v>
      </c>
      <c r="H694" t="str">
        <f t="shared" si="205"/>
        <v/>
      </c>
      <c r="I694" t="str">
        <f t="shared" si="206"/>
        <v/>
      </c>
      <c r="J694" t="str">
        <f t="shared" si="207"/>
        <v/>
      </c>
      <c r="K694" t="str">
        <f t="shared" si="208"/>
        <v/>
      </c>
      <c r="L694" t="str">
        <f t="shared" si="209"/>
        <v/>
      </c>
      <c r="M694" t="str">
        <f t="shared" si="210"/>
        <v/>
      </c>
      <c r="N694" t="str">
        <f t="shared" si="211"/>
        <v/>
      </c>
      <c r="O694" t="str">
        <f t="shared" si="212"/>
        <v/>
      </c>
      <c r="P694" t="str">
        <f t="shared" si="213"/>
        <v/>
      </c>
      <c r="Q694" t="str">
        <f t="shared" si="214"/>
        <v/>
      </c>
      <c r="R694" t="str">
        <f t="shared" si="215"/>
        <v/>
      </c>
      <c r="S694" t="str">
        <f t="shared" si="216"/>
        <v/>
      </c>
      <c r="T694" t="str">
        <f t="shared" si="217"/>
        <v/>
      </c>
      <c r="U694" t="str">
        <f t="shared" si="218"/>
        <v/>
      </c>
      <c r="V694" t="str">
        <f t="shared" si="219"/>
        <v/>
      </c>
      <c r="W694" t="str">
        <f t="shared" si="202"/>
        <v xml:space="preserve">              </v>
      </c>
    </row>
    <row r="695" spans="1:23" customFormat="1" hidden="1">
      <c r="A695" t="b">
        <f t="shared" si="201"/>
        <v>0</v>
      </c>
      <c r="B695">
        <f t="shared" si="203"/>
        <v>694</v>
      </c>
      <c r="C695" t="s">
        <v>1689</v>
      </c>
      <c r="D695" t="s">
        <v>688</v>
      </c>
      <c r="E695">
        <f t="shared" si="220"/>
        <v>30</v>
      </c>
      <c r="G695">
        <f t="shared" si="204"/>
        <v>7</v>
      </c>
      <c r="H695" t="str">
        <f t="shared" si="205"/>
        <v/>
      </c>
      <c r="I695" t="str">
        <f t="shared" si="206"/>
        <v/>
      </c>
      <c r="J695" t="str">
        <f t="shared" si="207"/>
        <v/>
      </c>
      <c r="K695" t="str">
        <f t="shared" si="208"/>
        <v/>
      </c>
      <c r="L695" t="str">
        <f t="shared" si="209"/>
        <v/>
      </c>
      <c r="M695" t="str">
        <f t="shared" si="210"/>
        <v/>
      </c>
      <c r="N695" t="str">
        <f t="shared" si="211"/>
        <v/>
      </c>
      <c r="O695" t="str">
        <f t="shared" si="212"/>
        <v/>
      </c>
      <c r="P695" t="str">
        <f t="shared" si="213"/>
        <v/>
      </c>
      <c r="Q695" t="str">
        <f t="shared" si="214"/>
        <v/>
      </c>
      <c r="R695" t="str">
        <f t="shared" si="215"/>
        <v/>
      </c>
      <c r="S695" t="str">
        <f t="shared" si="216"/>
        <v/>
      </c>
      <c r="T695" t="str">
        <f t="shared" si="217"/>
        <v/>
      </c>
      <c r="U695" t="str">
        <f t="shared" si="218"/>
        <v/>
      </c>
      <c r="V695" t="str">
        <f t="shared" si="219"/>
        <v/>
      </c>
      <c r="W695" t="str">
        <f t="shared" si="202"/>
        <v xml:space="preserve">              </v>
      </c>
    </row>
    <row r="696" spans="1:23" hidden="1">
      <c r="A696" s="71" t="b">
        <f t="shared" si="201"/>
        <v>0</v>
      </c>
      <c r="B696" s="71">
        <f t="shared" si="203"/>
        <v>695</v>
      </c>
      <c r="C696" s="71" t="s">
        <v>1689</v>
      </c>
      <c r="D696" s="71" t="s">
        <v>689</v>
      </c>
      <c r="E696">
        <f t="shared" si="220"/>
        <v>11</v>
      </c>
      <c r="F696">
        <v>1</v>
      </c>
      <c r="G696">
        <f t="shared" si="204"/>
        <v>1</v>
      </c>
      <c r="H696" t="str">
        <f t="shared" si="205"/>
        <v>Total float</v>
      </c>
      <c r="I696" t="str">
        <f t="shared" si="206"/>
        <v>This is the total time an activity can be</v>
      </c>
      <c r="J696" t="str">
        <f t="shared" si="207"/>
        <v>delayed without delaying project</v>
      </c>
      <c r="K696" t="str">
        <f t="shared" si="208"/>
        <v>completion.</v>
      </c>
      <c r="L696" t="str">
        <f t="shared" si="209"/>
        <v/>
      </c>
      <c r="M696" t="str">
        <f t="shared" si="210"/>
        <v/>
      </c>
      <c r="N696" t="str">
        <f t="shared" si="211"/>
        <v/>
      </c>
      <c r="O696" t="str">
        <f t="shared" si="212"/>
        <v/>
      </c>
      <c r="P696" t="str">
        <f t="shared" si="213"/>
        <v/>
      </c>
      <c r="Q696" t="str">
        <f t="shared" si="214"/>
        <v/>
      </c>
      <c r="R696" t="str">
        <f t="shared" si="215"/>
        <v/>
      </c>
      <c r="S696" t="str">
        <f t="shared" si="216"/>
        <v/>
      </c>
      <c r="T696" t="str">
        <f t="shared" si="217"/>
        <v/>
      </c>
      <c r="U696" t="str">
        <f t="shared" si="218"/>
        <v/>
      </c>
      <c r="V696" t="str">
        <f t="shared" si="219"/>
        <v/>
      </c>
      <c r="W696" s="71" t="str">
        <f>CONCATENATE(H696," ",I696," ",J696," ",K696," ",L696," ",M696," ",N696," ",O696," ",P696," ",Q696," ",R696," ",S696," ",T696," ",U696," ",V696)</f>
        <v xml:space="preserve">Total float This is the total time an activity can be delayed without delaying project completion.           </v>
      </c>
    </row>
    <row r="697" spans="1:23" customFormat="1" hidden="1">
      <c r="A697" t="b">
        <f t="shared" si="201"/>
        <v>0</v>
      </c>
      <c r="B697">
        <f t="shared" si="203"/>
        <v>696</v>
      </c>
      <c r="C697" t="s">
        <v>1689</v>
      </c>
      <c r="D697" t="s">
        <v>690</v>
      </c>
      <c r="E697">
        <f t="shared" si="220"/>
        <v>41</v>
      </c>
      <c r="G697">
        <f t="shared" si="204"/>
        <v>2</v>
      </c>
      <c r="H697" t="str">
        <f t="shared" si="205"/>
        <v/>
      </c>
      <c r="I697" t="str">
        <f t="shared" si="206"/>
        <v/>
      </c>
      <c r="J697" t="str">
        <f t="shared" si="207"/>
        <v/>
      </c>
      <c r="K697" t="str">
        <f t="shared" si="208"/>
        <v/>
      </c>
      <c r="L697" t="str">
        <f t="shared" si="209"/>
        <v/>
      </c>
      <c r="M697" t="str">
        <f t="shared" si="210"/>
        <v/>
      </c>
      <c r="N697" t="str">
        <f t="shared" si="211"/>
        <v/>
      </c>
      <c r="O697" t="str">
        <f t="shared" si="212"/>
        <v/>
      </c>
      <c r="P697" t="str">
        <f t="shared" si="213"/>
        <v/>
      </c>
      <c r="Q697" t="str">
        <f t="shared" si="214"/>
        <v/>
      </c>
      <c r="R697" t="str">
        <f t="shared" si="215"/>
        <v/>
      </c>
      <c r="S697" t="str">
        <f t="shared" si="216"/>
        <v/>
      </c>
      <c r="T697" t="str">
        <f t="shared" si="217"/>
        <v/>
      </c>
      <c r="U697" t="str">
        <f t="shared" si="218"/>
        <v/>
      </c>
      <c r="V697" t="str">
        <f t="shared" si="219"/>
        <v/>
      </c>
      <c r="W697" t="str">
        <f t="shared" si="202"/>
        <v xml:space="preserve">              </v>
      </c>
    </row>
    <row r="698" spans="1:23" customFormat="1" hidden="1">
      <c r="A698" t="b">
        <f t="shared" si="201"/>
        <v>0</v>
      </c>
      <c r="B698">
        <f t="shared" si="203"/>
        <v>697</v>
      </c>
      <c r="C698" t="s">
        <v>1689</v>
      </c>
      <c r="D698" t="s">
        <v>691</v>
      </c>
      <c r="E698">
        <f t="shared" si="220"/>
        <v>32</v>
      </c>
      <c r="G698">
        <f t="shared" si="204"/>
        <v>3</v>
      </c>
      <c r="H698" t="str">
        <f t="shared" si="205"/>
        <v/>
      </c>
      <c r="I698" t="str">
        <f t="shared" si="206"/>
        <v/>
      </c>
      <c r="J698" t="str">
        <f t="shared" si="207"/>
        <v/>
      </c>
      <c r="K698" t="str">
        <f t="shared" si="208"/>
        <v/>
      </c>
      <c r="L698" t="str">
        <f t="shared" si="209"/>
        <v/>
      </c>
      <c r="M698" t="str">
        <f t="shared" si="210"/>
        <v/>
      </c>
      <c r="N698" t="str">
        <f t="shared" si="211"/>
        <v/>
      </c>
      <c r="O698" t="str">
        <f t="shared" si="212"/>
        <v/>
      </c>
      <c r="P698" t="str">
        <f t="shared" si="213"/>
        <v/>
      </c>
      <c r="Q698" t="str">
        <f t="shared" si="214"/>
        <v/>
      </c>
      <c r="R698" t="str">
        <f t="shared" si="215"/>
        <v/>
      </c>
      <c r="S698" t="str">
        <f t="shared" si="216"/>
        <v/>
      </c>
      <c r="T698" t="str">
        <f t="shared" si="217"/>
        <v/>
      </c>
      <c r="U698" t="str">
        <f t="shared" si="218"/>
        <v/>
      </c>
      <c r="V698" t="str">
        <f t="shared" si="219"/>
        <v/>
      </c>
      <c r="W698" t="str">
        <f t="shared" si="202"/>
        <v xml:space="preserve">              </v>
      </c>
    </row>
    <row r="699" spans="1:23" customFormat="1" hidden="1">
      <c r="A699" t="b">
        <f t="shared" si="201"/>
        <v>0</v>
      </c>
      <c r="B699">
        <f t="shared" si="203"/>
        <v>698</v>
      </c>
      <c r="C699" t="s">
        <v>1689</v>
      </c>
      <c r="D699" t="s">
        <v>692</v>
      </c>
      <c r="E699">
        <f t="shared" si="220"/>
        <v>11</v>
      </c>
      <c r="G699">
        <f t="shared" si="204"/>
        <v>4</v>
      </c>
      <c r="H699" t="str">
        <f t="shared" si="205"/>
        <v/>
      </c>
      <c r="I699" t="str">
        <f t="shared" si="206"/>
        <v/>
      </c>
      <c r="J699" t="str">
        <f t="shared" si="207"/>
        <v/>
      </c>
      <c r="K699" t="str">
        <f t="shared" si="208"/>
        <v/>
      </c>
      <c r="L699" t="str">
        <f t="shared" si="209"/>
        <v/>
      </c>
      <c r="M699" t="str">
        <f t="shared" si="210"/>
        <v/>
      </c>
      <c r="N699" t="str">
        <f t="shared" si="211"/>
        <v/>
      </c>
      <c r="O699" t="str">
        <f t="shared" si="212"/>
        <v/>
      </c>
      <c r="P699" t="str">
        <f t="shared" si="213"/>
        <v/>
      </c>
      <c r="Q699" t="str">
        <f t="shared" si="214"/>
        <v/>
      </c>
      <c r="R699" t="str">
        <f t="shared" si="215"/>
        <v/>
      </c>
      <c r="S699" t="str">
        <f t="shared" si="216"/>
        <v/>
      </c>
      <c r="T699" t="str">
        <f t="shared" si="217"/>
        <v/>
      </c>
      <c r="U699" t="str">
        <f t="shared" si="218"/>
        <v/>
      </c>
      <c r="V699" t="str">
        <f t="shared" si="219"/>
        <v/>
      </c>
      <c r="W699" t="str">
        <f t="shared" si="202"/>
        <v xml:space="preserve">              </v>
      </c>
    </row>
    <row r="700" spans="1:23" hidden="1">
      <c r="A700" s="71" t="b">
        <f t="shared" si="201"/>
        <v>0</v>
      </c>
      <c r="B700" s="71">
        <f t="shared" si="203"/>
        <v>699</v>
      </c>
      <c r="C700" s="71" t="s">
        <v>1689</v>
      </c>
      <c r="D700" s="71" t="s">
        <v>693</v>
      </c>
      <c r="E700">
        <f t="shared" si="220"/>
        <v>12</v>
      </c>
      <c r="F700">
        <v>1</v>
      </c>
      <c r="G700">
        <f t="shared" si="204"/>
        <v>1</v>
      </c>
      <c r="H700" t="str">
        <f t="shared" si="205"/>
        <v>Work package</v>
      </c>
      <c r="I700" s="70" t="str">
        <f t="shared" si="206"/>
        <v>The smallest item in the work breakdown</v>
      </c>
      <c r="J700" s="70" t="str">
        <f t="shared" si="207"/>
        <v>structure.</v>
      </c>
      <c r="K700" s="70" t="str">
        <f t="shared" si="208"/>
        <v>Cost aggregation Costs are parallel to each WBS work package. The costs of each work package are aggregated to their corresponding control accounts. Each control account then is aggregated to the sum of the project costs. Cost baseline A time-lapse exposure of when the project monies are to be spent in relation to cumulative values of the work completed in the project. Cost budgeting The cost aggregation achieved by assigning specific dollar amounts for each of the scheduled activities or, more likely, for each of the work packages in the WBS. Cost budgeting applies the cost estimates over time. Cost change control system A system that examines any changes associated with scope changes, the cost of materials, and the cost of any other resources, and the associated impact on the overall project cost. Cost management plan The cost management plan dictates how cost variances will be managed. Cost of poor quality The monies spent to recover from not adhering to the expected level of quality. Examples may include rework, defect repair, loss of life or limb because safety precautions were not taken, loss of sales, and loss of customers. This is also known as the cost of nonconformance to quality. Cost of quality The monies spent to attain the expected level of quality within a project. Examples include training, testing, and safety precautions. Cost performance index (CPI) Measures the project based on its financial performance. The formula is CPI = EV/AC.</v>
      </c>
      <c r="L700" s="70" t="str">
        <f t="shared" si="209"/>
        <v/>
      </c>
      <c r="M700" s="70" t="str">
        <f t="shared" si="210"/>
        <v/>
      </c>
      <c r="N700" s="70" t="str">
        <f t="shared" si="211"/>
        <v/>
      </c>
      <c r="O700" s="70" t="str">
        <f t="shared" si="212"/>
        <v/>
      </c>
      <c r="P700" s="70" t="str">
        <f t="shared" si="213"/>
        <v/>
      </c>
      <c r="Q700" s="70" t="str">
        <f t="shared" si="214"/>
        <v/>
      </c>
      <c r="R700" s="70" t="str">
        <f t="shared" si="215"/>
        <v/>
      </c>
      <c r="S700" s="70" t="str">
        <f t="shared" si="216"/>
        <v/>
      </c>
      <c r="T700" s="70" t="str">
        <f t="shared" si="217"/>
        <v/>
      </c>
      <c r="U700" s="70" t="str">
        <f t="shared" si="218"/>
        <v/>
      </c>
      <c r="V700" s="70" t="str">
        <f t="shared" si="219"/>
        <v/>
      </c>
      <c r="W700" s="71" t="str">
        <f>CONCATENATE(H700," ",I700," ",J700," ",K700," ",L700," ",M700," ",N700," ",O700," ",P700," ",Q700," ",R700," ",S700," ",T700," ",U700," ",V700)</f>
        <v xml:space="preserve">Work package The smallest item in the work breakdown structure. Cost aggregation Costs are parallel to each WBS work package. The costs of each work package are aggregated to their corresponding control accounts. Each control account then is aggregated to the sum of the project costs. Cost baseline A time-lapse exposure of when the project monies are to be spent in relation to cumulative values of the work completed in the project. Cost budgeting The cost aggregation achieved by assigning specific dollar amounts for each of the scheduled activities or, more likely, for each of the work packages in the WBS. Cost budgeting applies the cost estimates over time. Cost change control system A system that examines any changes associated with scope changes, the cost of materials, and the cost of any other resources, and the associated impact on the overall project cost. Cost management plan The cost management plan dictates how cost variances will be managed. Cost of poor quality The monies spent to recover from not adhering to the expected level of quality. Examples may include rework, defect repair, loss of life or limb because safety precautions were not taken, loss of sales, and loss of customers. This is also known as the cost of nonconformance to quality. Cost of quality The monies spent to attain the expected level of quality within a project. Examples include training, testing, and safety precautions. Cost performance index (CPI) Measures the project based on its financial performance. The formula is CPI = EV/AC.           </v>
      </c>
    </row>
    <row r="701" spans="1:23" customFormat="1" hidden="1">
      <c r="A701" t="b">
        <f t="shared" si="201"/>
        <v>0</v>
      </c>
      <c r="B701">
        <f t="shared" si="203"/>
        <v>700</v>
      </c>
      <c r="C701" t="s">
        <v>1689</v>
      </c>
      <c r="D701" t="s">
        <v>694</v>
      </c>
      <c r="E701">
        <f t="shared" si="220"/>
        <v>39</v>
      </c>
      <c r="G701">
        <f t="shared" si="204"/>
        <v>2</v>
      </c>
      <c r="H701" t="str">
        <f t="shared" si="205"/>
        <v/>
      </c>
      <c r="I701" t="str">
        <f t="shared" si="206"/>
        <v/>
      </c>
      <c r="J701" t="str">
        <f t="shared" si="207"/>
        <v/>
      </c>
      <c r="K701" t="str">
        <f t="shared" si="208"/>
        <v/>
      </c>
      <c r="L701" t="str">
        <f t="shared" si="209"/>
        <v/>
      </c>
      <c r="M701" t="str">
        <f t="shared" si="210"/>
        <v/>
      </c>
      <c r="N701" t="str">
        <f t="shared" si="211"/>
        <v/>
      </c>
      <c r="O701" t="str">
        <f t="shared" si="212"/>
        <v/>
      </c>
      <c r="P701" t="str">
        <f t="shared" si="213"/>
        <v/>
      </c>
      <c r="Q701" t="str">
        <f t="shared" si="214"/>
        <v/>
      </c>
      <c r="R701" t="str">
        <f t="shared" si="215"/>
        <v/>
      </c>
      <c r="S701" t="str">
        <f t="shared" si="216"/>
        <v/>
      </c>
      <c r="T701" t="str">
        <f t="shared" si="217"/>
        <v/>
      </c>
      <c r="U701" t="str">
        <f t="shared" si="218"/>
        <v/>
      </c>
      <c r="V701" t="str">
        <f t="shared" si="219"/>
        <v/>
      </c>
      <c r="W701" t="str">
        <f t="shared" si="202"/>
        <v xml:space="preserve">              </v>
      </c>
    </row>
    <row r="702" spans="1:23" customFormat="1" hidden="1">
      <c r="A702" t="b">
        <f t="shared" si="201"/>
        <v>0</v>
      </c>
      <c r="B702">
        <f t="shared" si="203"/>
        <v>701</v>
      </c>
      <c r="C702" t="s">
        <v>1689</v>
      </c>
      <c r="D702" t="s">
        <v>623</v>
      </c>
      <c r="E702">
        <f t="shared" si="220"/>
        <v>10</v>
      </c>
      <c r="G702">
        <f t="shared" si="204"/>
        <v>3</v>
      </c>
      <c r="H702" t="str">
        <f t="shared" si="205"/>
        <v/>
      </c>
      <c r="I702" t="str">
        <f t="shared" si="206"/>
        <v/>
      </c>
      <c r="J702" t="str">
        <f t="shared" si="207"/>
        <v/>
      </c>
      <c r="K702" t="str">
        <f t="shared" si="208"/>
        <v/>
      </c>
      <c r="L702" t="str">
        <f t="shared" si="209"/>
        <v/>
      </c>
      <c r="M702" t="str">
        <f t="shared" si="210"/>
        <v/>
      </c>
      <c r="N702" t="str">
        <f t="shared" si="211"/>
        <v/>
      </c>
      <c r="O702" t="str">
        <f t="shared" si="212"/>
        <v/>
      </c>
      <c r="P702" t="str">
        <f t="shared" si="213"/>
        <v/>
      </c>
      <c r="Q702" t="str">
        <f t="shared" si="214"/>
        <v/>
      </c>
      <c r="R702" t="str">
        <f t="shared" si="215"/>
        <v/>
      </c>
      <c r="S702" t="str">
        <f t="shared" si="216"/>
        <v/>
      </c>
      <c r="T702" t="str">
        <f t="shared" si="217"/>
        <v/>
      </c>
      <c r="U702" t="str">
        <f t="shared" si="218"/>
        <v/>
      </c>
      <c r="V702" t="str">
        <f t="shared" si="219"/>
        <v/>
      </c>
      <c r="W702" t="str">
        <f t="shared" si="202"/>
        <v xml:space="preserve">              </v>
      </c>
    </row>
    <row r="703" spans="1:23" customFormat="1">
      <c r="A703" t="b">
        <f t="shared" si="201"/>
        <v>0</v>
      </c>
      <c r="B703">
        <f t="shared" si="203"/>
        <v>702</v>
      </c>
      <c r="C703" t="s">
        <v>1689</v>
      </c>
      <c r="D703" t="s">
        <v>695</v>
      </c>
      <c r="E703">
        <f t="shared" si="220"/>
        <v>1474</v>
      </c>
      <c r="G703">
        <f t="shared" si="204"/>
        <v>4</v>
      </c>
      <c r="H703" t="str">
        <f t="shared" si="205"/>
        <v/>
      </c>
      <c r="I703" t="str">
        <f t="shared" si="206"/>
        <v/>
      </c>
      <c r="J703" t="str">
        <f t="shared" si="207"/>
        <v/>
      </c>
      <c r="K703" t="str">
        <f t="shared" si="208"/>
        <v/>
      </c>
      <c r="L703" t="str">
        <f t="shared" si="209"/>
        <v/>
      </c>
      <c r="M703" t="str">
        <f t="shared" si="210"/>
        <v/>
      </c>
      <c r="N703" t="str">
        <f t="shared" si="211"/>
        <v/>
      </c>
      <c r="O703" t="str">
        <f t="shared" si="212"/>
        <v/>
      </c>
      <c r="P703" t="str">
        <f t="shared" si="213"/>
        <v/>
      </c>
      <c r="Q703" t="str">
        <f t="shared" si="214"/>
        <v/>
      </c>
      <c r="R703" t="str">
        <f t="shared" si="215"/>
        <v/>
      </c>
      <c r="S703" t="str">
        <f t="shared" si="216"/>
        <v/>
      </c>
      <c r="T703" t="str">
        <f t="shared" si="217"/>
        <v/>
      </c>
      <c r="U703" t="str">
        <f t="shared" si="218"/>
        <v/>
      </c>
      <c r="V703" t="str">
        <f t="shared" si="219"/>
        <v/>
      </c>
      <c r="W703" t="str">
        <f t="shared" si="202"/>
        <v xml:space="preserve">              </v>
      </c>
    </row>
    <row r="704" spans="1:23" hidden="1">
      <c r="A704" s="71" t="b">
        <f t="shared" si="201"/>
        <v>0</v>
      </c>
      <c r="B704" s="71">
        <f t="shared" si="203"/>
        <v>703</v>
      </c>
      <c r="C704" s="71" t="s">
        <v>1689</v>
      </c>
      <c r="D704" s="71" t="s">
        <v>696</v>
      </c>
      <c r="E704">
        <f t="shared" si="220"/>
        <v>18</v>
      </c>
      <c r="F704">
        <v>1</v>
      </c>
      <c r="G704">
        <f t="shared" si="204"/>
        <v>1</v>
      </c>
      <c r="H704" t="str">
        <f t="shared" si="205"/>
        <v>Cost variance (CV)</v>
      </c>
      <c r="I704" t="str">
        <f t="shared" si="206"/>
        <v>The difference of the earned value</v>
      </c>
      <c r="J704" t="str">
        <f t="shared" si="207"/>
        <v>amount and the cumulative actual costs</v>
      </c>
      <c r="K704" t="str">
        <f t="shared" si="208"/>
        <v>of the project. The formula is CV = EV –</v>
      </c>
      <c r="L704" t="str">
        <f t="shared" si="209"/>
        <v>AC.</v>
      </c>
      <c r="M704" t="str">
        <f t="shared" si="210"/>
        <v/>
      </c>
      <c r="N704" t="str">
        <f t="shared" si="211"/>
        <v/>
      </c>
      <c r="O704" t="str">
        <f t="shared" si="212"/>
        <v/>
      </c>
      <c r="P704" t="str">
        <f t="shared" si="213"/>
        <v/>
      </c>
      <c r="Q704" t="str">
        <f t="shared" si="214"/>
        <v/>
      </c>
      <c r="R704" t="str">
        <f t="shared" si="215"/>
        <v/>
      </c>
      <c r="S704" t="str">
        <f t="shared" si="216"/>
        <v/>
      </c>
      <c r="T704" t="str">
        <f t="shared" si="217"/>
        <v/>
      </c>
      <c r="U704" t="str">
        <f t="shared" si="218"/>
        <v/>
      </c>
      <c r="V704" t="str">
        <f t="shared" si="219"/>
        <v/>
      </c>
      <c r="W704" s="71" t="str">
        <f>CONCATENATE(H704," ",I704," ",J704," ",K704," ",L704," ",M704," ",N704," ",O704," ",P704," ",Q704," ",R704," ",S704," ",T704," ",U704," ",V704)</f>
        <v xml:space="preserve">Cost variance (CV) The difference of the earned value amount and the cumulative actual costs of the project. The formula is CV = EV – AC.          </v>
      </c>
    </row>
    <row r="705" spans="1:23" customFormat="1" hidden="1">
      <c r="A705" t="b">
        <f t="shared" ref="A705:A768" si="221">C705=D705</f>
        <v>0</v>
      </c>
      <c r="B705">
        <f t="shared" si="203"/>
        <v>704</v>
      </c>
      <c r="C705" t="s">
        <v>1689</v>
      </c>
      <c r="D705" t="s">
        <v>697</v>
      </c>
      <c r="E705">
        <f t="shared" si="220"/>
        <v>34</v>
      </c>
      <c r="G705">
        <f t="shared" si="204"/>
        <v>2</v>
      </c>
      <c r="H705" t="str">
        <f t="shared" si="205"/>
        <v/>
      </c>
      <c r="I705" t="str">
        <f t="shared" si="206"/>
        <v/>
      </c>
      <c r="J705" t="str">
        <f t="shared" si="207"/>
        <v/>
      </c>
      <c r="K705" t="str">
        <f t="shared" si="208"/>
        <v/>
      </c>
      <c r="L705" t="str">
        <f t="shared" si="209"/>
        <v/>
      </c>
      <c r="M705" t="str">
        <f t="shared" si="210"/>
        <v/>
      </c>
      <c r="N705" t="str">
        <f t="shared" si="211"/>
        <v/>
      </c>
      <c r="O705" t="str">
        <f t="shared" si="212"/>
        <v/>
      </c>
      <c r="P705" t="str">
        <f t="shared" si="213"/>
        <v/>
      </c>
      <c r="Q705" t="str">
        <f t="shared" si="214"/>
        <v/>
      </c>
      <c r="R705" t="str">
        <f t="shared" si="215"/>
        <v/>
      </c>
      <c r="S705" t="str">
        <f t="shared" si="216"/>
        <v/>
      </c>
      <c r="T705" t="str">
        <f t="shared" si="217"/>
        <v/>
      </c>
      <c r="U705" t="str">
        <f t="shared" si="218"/>
        <v/>
      </c>
      <c r="V705" t="str">
        <f t="shared" si="219"/>
        <v/>
      </c>
      <c r="W705" t="str">
        <f t="shared" ref="W705:W768" si="222">CONCATENATE(H705," ",I705," ",J705," ",K705," ",L705," ",M705," ",N705," ",O705," ",P705," ",Q705," ",R705," ",S705," ",T705," ",U705," ",V705)</f>
        <v xml:space="preserve">              </v>
      </c>
    </row>
    <row r="706" spans="1:23" customFormat="1" hidden="1">
      <c r="A706" t="b">
        <f t="shared" si="221"/>
        <v>0</v>
      </c>
      <c r="B706">
        <f t="shared" si="203"/>
        <v>705</v>
      </c>
      <c r="C706" t="s">
        <v>1689</v>
      </c>
      <c r="D706" t="s">
        <v>698</v>
      </c>
      <c r="E706">
        <f t="shared" si="220"/>
        <v>38</v>
      </c>
      <c r="G706">
        <f t="shared" si="204"/>
        <v>3</v>
      </c>
      <c r="H706" t="str">
        <f t="shared" si="205"/>
        <v/>
      </c>
      <c r="I706" t="str">
        <f t="shared" si="206"/>
        <v/>
      </c>
      <c r="J706" t="str">
        <f t="shared" si="207"/>
        <v/>
      </c>
      <c r="K706" t="str">
        <f t="shared" si="208"/>
        <v/>
      </c>
      <c r="L706" t="str">
        <f t="shared" si="209"/>
        <v/>
      </c>
      <c r="M706" t="str">
        <f t="shared" si="210"/>
        <v/>
      </c>
      <c r="N706" t="str">
        <f t="shared" si="211"/>
        <v/>
      </c>
      <c r="O706" t="str">
        <f t="shared" si="212"/>
        <v/>
      </c>
      <c r="P706" t="str">
        <f t="shared" si="213"/>
        <v/>
      </c>
      <c r="Q706" t="str">
        <f t="shared" si="214"/>
        <v/>
      </c>
      <c r="R706" t="str">
        <f t="shared" si="215"/>
        <v/>
      </c>
      <c r="S706" t="str">
        <f t="shared" si="216"/>
        <v/>
      </c>
      <c r="T706" t="str">
        <f t="shared" si="217"/>
        <v/>
      </c>
      <c r="U706" t="str">
        <f t="shared" si="218"/>
        <v/>
      </c>
      <c r="V706" t="str">
        <f t="shared" si="219"/>
        <v/>
      </c>
      <c r="W706" t="str">
        <f t="shared" si="222"/>
        <v xml:space="preserve">              </v>
      </c>
    </row>
    <row r="707" spans="1:23" customFormat="1" hidden="1">
      <c r="A707" t="b">
        <f t="shared" si="221"/>
        <v>0</v>
      </c>
      <c r="B707">
        <f t="shared" si="203"/>
        <v>706</v>
      </c>
      <c r="C707" t="s">
        <v>1689</v>
      </c>
      <c r="D707" t="s">
        <v>699</v>
      </c>
      <c r="E707">
        <f t="shared" si="220"/>
        <v>40</v>
      </c>
      <c r="G707">
        <f t="shared" si="204"/>
        <v>4</v>
      </c>
      <c r="H707" t="str">
        <f t="shared" si="205"/>
        <v/>
      </c>
      <c r="I707" t="str">
        <f t="shared" si="206"/>
        <v/>
      </c>
      <c r="J707" t="str">
        <f t="shared" si="207"/>
        <v/>
      </c>
      <c r="K707" t="str">
        <f t="shared" si="208"/>
        <v/>
      </c>
      <c r="L707" t="str">
        <f t="shared" si="209"/>
        <v/>
      </c>
      <c r="M707" t="str">
        <f t="shared" si="210"/>
        <v/>
      </c>
      <c r="N707" t="str">
        <f t="shared" si="211"/>
        <v/>
      </c>
      <c r="O707" t="str">
        <f t="shared" si="212"/>
        <v/>
      </c>
      <c r="P707" t="str">
        <f t="shared" si="213"/>
        <v/>
      </c>
      <c r="Q707" t="str">
        <f t="shared" si="214"/>
        <v/>
      </c>
      <c r="R707" t="str">
        <f t="shared" si="215"/>
        <v/>
      </c>
      <c r="S707" t="str">
        <f t="shared" si="216"/>
        <v/>
      </c>
      <c r="T707" t="str">
        <f t="shared" si="217"/>
        <v/>
      </c>
      <c r="U707" t="str">
        <f t="shared" si="218"/>
        <v/>
      </c>
      <c r="V707" t="str">
        <f t="shared" si="219"/>
        <v/>
      </c>
      <c r="W707" t="str">
        <f t="shared" si="222"/>
        <v xml:space="preserve">              </v>
      </c>
    </row>
    <row r="708" spans="1:23" customFormat="1" hidden="1">
      <c r="A708" t="b">
        <f t="shared" si="221"/>
        <v>0</v>
      </c>
      <c r="B708">
        <f t="shared" ref="B708:B771" si="223">B707+1</f>
        <v>707</v>
      </c>
      <c r="C708" t="s">
        <v>1689</v>
      </c>
      <c r="D708" t="s">
        <v>700</v>
      </c>
      <c r="E708">
        <f t="shared" si="220"/>
        <v>3</v>
      </c>
      <c r="G708">
        <f t="shared" ref="G708:G771" si="224">IF(F708=1,1,G707+1)</f>
        <v>5</v>
      </c>
      <c r="H708" t="str">
        <f t="shared" ref="H708:H771" si="225">IF($G708=H$1,$D708,"")</f>
        <v/>
      </c>
      <c r="I708" t="str">
        <f t="shared" ref="I708:I771" si="226">IF($G709=I$1,$D709,"")</f>
        <v/>
      </c>
      <c r="J708" t="str">
        <f t="shared" ref="J708:J771" si="227">IF($G710=J$1,$D710,"")</f>
        <v/>
      </c>
      <c r="K708" t="str">
        <f t="shared" ref="K708:K771" si="228">IF($G711=K$1,$D711,"")</f>
        <v/>
      </c>
      <c r="L708" t="str">
        <f t="shared" ref="L708:L771" si="229">IF($G712=L$1,$D712,"")</f>
        <v/>
      </c>
      <c r="M708" t="str">
        <f t="shared" ref="M708:M771" si="230">IF($G713=M$1,$D713,"")</f>
        <v/>
      </c>
      <c r="N708" t="str">
        <f t="shared" ref="N708:N771" si="231">IF($G714=N$1,$D714,"")</f>
        <v/>
      </c>
      <c r="O708" t="str">
        <f t="shared" ref="O708:O771" si="232">IF($G715=O$1,$D715,"")</f>
        <v/>
      </c>
      <c r="P708" t="str">
        <f t="shared" ref="P708:P771" si="233">IF($G716=P$1,$D716,"")</f>
        <v/>
      </c>
      <c r="Q708" t="str">
        <f t="shared" ref="Q708:Q771" si="234">IF($G717=Q$1,$D717,"")</f>
        <v/>
      </c>
      <c r="R708" t="str">
        <f t="shared" ref="R708:R771" si="235">IF($G718=R$1,$D718,"")</f>
        <v/>
      </c>
      <c r="S708" t="str">
        <f t="shared" ref="S708:S771" si="236">IF($G719=S$1,$D719,"")</f>
        <v/>
      </c>
      <c r="T708" t="str">
        <f t="shared" ref="T708:T771" si="237">IF($G720=T$1,$D720,"")</f>
        <v/>
      </c>
      <c r="U708" t="str">
        <f t="shared" ref="U708:U771" si="238">IF($G721=U$1,$D721,"")</f>
        <v/>
      </c>
      <c r="V708" t="str">
        <f t="shared" ref="V708:V771" si="239">IF($G722=V$1,$D722,"")</f>
        <v/>
      </c>
      <c r="W708" t="str">
        <f t="shared" si="222"/>
        <v xml:space="preserve">              </v>
      </c>
    </row>
    <row r="709" spans="1:23" hidden="1">
      <c r="A709" s="71" t="b">
        <f t="shared" si="221"/>
        <v>0</v>
      </c>
      <c r="B709" s="71">
        <f t="shared" si="223"/>
        <v>708</v>
      </c>
      <c r="C709" s="71" t="s">
        <v>1689</v>
      </c>
      <c r="D709" s="71" t="s">
        <v>701</v>
      </c>
      <c r="E709">
        <f t="shared" si="220"/>
        <v>19</v>
      </c>
      <c r="F709">
        <v>1</v>
      </c>
      <c r="G709">
        <f t="shared" si="224"/>
        <v>1</v>
      </c>
      <c r="H709" t="str">
        <f t="shared" si="225"/>
        <v>Definitive estimate</v>
      </c>
      <c r="I709" t="str">
        <f t="shared" si="226"/>
        <v>This estimate type is one of the most</v>
      </c>
      <c r="J709" t="str">
        <f t="shared" si="227"/>
        <v>accurate. It’s used late in the planning</v>
      </c>
      <c r="K709" t="str">
        <f t="shared" si="228"/>
        <v>processes and is associated with bottomup</v>
      </c>
      <c r="L709" t="str">
        <f t="shared" si="229"/>
        <v>estimating. You need the WBS in</v>
      </c>
      <c r="M709" t="str">
        <f t="shared" si="230"/>
        <v>order to create the definitive estimate.</v>
      </c>
      <c r="N709" t="str">
        <f t="shared" si="231"/>
        <v>The range of variance for the estimate</v>
      </c>
      <c r="O709" t="str">
        <f t="shared" si="232"/>
        <v>can be from –5 percent to +10 percent.</v>
      </c>
      <c r="P709" t="str">
        <f t="shared" si="233"/>
        <v/>
      </c>
      <c r="Q709" t="str">
        <f t="shared" si="234"/>
        <v/>
      </c>
      <c r="R709" t="str">
        <f t="shared" si="235"/>
        <v/>
      </c>
      <c r="S709" t="str">
        <f t="shared" si="236"/>
        <v/>
      </c>
      <c r="T709" t="str">
        <f t="shared" si="237"/>
        <v/>
      </c>
      <c r="U709" t="str">
        <f t="shared" si="238"/>
        <v/>
      </c>
      <c r="V709" t="str">
        <f t="shared" si="239"/>
        <v/>
      </c>
      <c r="W709" s="71" t="str">
        <f>CONCATENATE(H709," ",I709," ",J709," ",K709," ",L709," ",M709," ",N709," ",O709," ",P709," ",Q709," ",R709," ",S709," ",T709," ",U709," ",V709)</f>
        <v xml:space="preserve">Definitive estimate This estimate type is one of the most accurate. It’s used late in the planning processes and is associated with bottomup estimating. You need the WBS in order to create the definitive estimate. The range of variance for the estimate can be from –5 percent to +10 percent.       </v>
      </c>
    </row>
    <row r="710" spans="1:23" customFormat="1" hidden="1">
      <c r="A710" t="b">
        <f t="shared" si="221"/>
        <v>0</v>
      </c>
      <c r="B710">
        <f t="shared" si="223"/>
        <v>709</v>
      </c>
      <c r="C710" t="s">
        <v>1689</v>
      </c>
      <c r="D710" t="s">
        <v>702</v>
      </c>
      <c r="E710">
        <f t="shared" si="220"/>
        <v>37</v>
      </c>
      <c r="G710">
        <f t="shared" si="224"/>
        <v>2</v>
      </c>
      <c r="H710" t="str">
        <f t="shared" si="225"/>
        <v/>
      </c>
      <c r="I710" t="str">
        <f t="shared" si="226"/>
        <v/>
      </c>
      <c r="J710" t="str">
        <f t="shared" si="227"/>
        <v/>
      </c>
      <c r="K710" t="str">
        <f t="shared" si="228"/>
        <v/>
      </c>
      <c r="L710" t="str">
        <f t="shared" si="229"/>
        <v/>
      </c>
      <c r="M710" t="str">
        <f t="shared" si="230"/>
        <v/>
      </c>
      <c r="N710" t="str">
        <f t="shared" si="231"/>
        <v/>
      </c>
      <c r="O710" t="str">
        <f t="shared" si="232"/>
        <v/>
      </c>
      <c r="P710" t="str">
        <f t="shared" si="233"/>
        <v/>
      </c>
      <c r="Q710" t="str">
        <f t="shared" si="234"/>
        <v/>
      </c>
      <c r="R710" t="str">
        <f t="shared" si="235"/>
        <v/>
      </c>
      <c r="S710" t="str">
        <f t="shared" si="236"/>
        <v/>
      </c>
      <c r="T710" t="str">
        <f t="shared" si="237"/>
        <v/>
      </c>
      <c r="U710" t="str">
        <f t="shared" si="238"/>
        <v/>
      </c>
      <c r="V710" t="str">
        <f t="shared" si="239"/>
        <v/>
      </c>
      <c r="W710" t="str">
        <f t="shared" si="222"/>
        <v xml:space="preserve">              </v>
      </c>
    </row>
    <row r="711" spans="1:23" customFormat="1" hidden="1">
      <c r="A711" t="b">
        <f t="shared" si="221"/>
        <v>0</v>
      </c>
      <c r="B711">
        <f t="shared" si="223"/>
        <v>710</v>
      </c>
      <c r="C711" t="s">
        <v>1689</v>
      </c>
      <c r="D711" t="s">
        <v>703</v>
      </c>
      <c r="E711">
        <f t="shared" si="220"/>
        <v>40</v>
      </c>
      <c r="G711">
        <f t="shared" si="224"/>
        <v>3</v>
      </c>
      <c r="H711" t="str">
        <f t="shared" si="225"/>
        <v/>
      </c>
      <c r="I711" t="str">
        <f t="shared" si="226"/>
        <v/>
      </c>
      <c r="J711" t="str">
        <f t="shared" si="227"/>
        <v/>
      </c>
      <c r="K711" t="str">
        <f t="shared" si="228"/>
        <v/>
      </c>
      <c r="L711" t="str">
        <f t="shared" si="229"/>
        <v/>
      </c>
      <c r="M711" t="str">
        <f t="shared" si="230"/>
        <v/>
      </c>
      <c r="N711" t="str">
        <f t="shared" si="231"/>
        <v/>
      </c>
      <c r="O711" t="str">
        <f t="shared" si="232"/>
        <v/>
      </c>
      <c r="P711" t="str">
        <f t="shared" si="233"/>
        <v/>
      </c>
      <c r="Q711" t="str">
        <f t="shared" si="234"/>
        <v/>
      </c>
      <c r="R711" t="str">
        <f t="shared" si="235"/>
        <v/>
      </c>
      <c r="S711" t="str">
        <f t="shared" si="236"/>
        <v/>
      </c>
      <c r="T711" t="str">
        <f t="shared" si="237"/>
        <v/>
      </c>
      <c r="U711" t="str">
        <f t="shared" si="238"/>
        <v/>
      </c>
      <c r="V711" t="str">
        <f t="shared" si="239"/>
        <v/>
      </c>
      <c r="W711" t="str">
        <f t="shared" si="222"/>
        <v xml:space="preserve">              </v>
      </c>
    </row>
    <row r="712" spans="1:23" customFormat="1" hidden="1">
      <c r="A712" t="b">
        <f t="shared" si="221"/>
        <v>0</v>
      </c>
      <c r="B712">
        <f t="shared" si="223"/>
        <v>711</v>
      </c>
      <c r="C712" t="s">
        <v>1689</v>
      </c>
      <c r="D712" t="s">
        <v>704</v>
      </c>
      <c r="E712">
        <f t="shared" si="220"/>
        <v>41</v>
      </c>
      <c r="G712">
        <f t="shared" si="224"/>
        <v>4</v>
      </c>
      <c r="H712" t="str">
        <f t="shared" si="225"/>
        <v/>
      </c>
      <c r="I712" t="str">
        <f t="shared" si="226"/>
        <v/>
      </c>
      <c r="J712" t="str">
        <f t="shared" si="227"/>
        <v/>
      </c>
      <c r="K712" t="str">
        <f t="shared" si="228"/>
        <v/>
      </c>
      <c r="L712" t="str">
        <f t="shared" si="229"/>
        <v/>
      </c>
      <c r="M712" t="str">
        <f t="shared" si="230"/>
        <v/>
      </c>
      <c r="N712" t="str">
        <f t="shared" si="231"/>
        <v/>
      </c>
      <c r="O712" t="str">
        <f t="shared" si="232"/>
        <v/>
      </c>
      <c r="P712" t="str">
        <f t="shared" si="233"/>
        <v/>
      </c>
      <c r="Q712" t="str">
        <f t="shared" si="234"/>
        <v/>
      </c>
      <c r="R712" t="str">
        <f t="shared" si="235"/>
        <v/>
      </c>
      <c r="S712" t="str">
        <f t="shared" si="236"/>
        <v/>
      </c>
      <c r="T712" t="str">
        <f t="shared" si="237"/>
        <v/>
      </c>
      <c r="U712" t="str">
        <f t="shared" si="238"/>
        <v/>
      </c>
      <c r="V712" t="str">
        <f t="shared" si="239"/>
        <v/>
      </c>
      <c r="W712" t="str">
        <f t="shared" si="222"/>
        <v xml:space="preserve">              </v>
      </c>
    </row>
    <row r="713" spans="1:23" customFormat="1" hidden="1">
      <c r="A713" t="b">
        <f t="shared" si="221"/>
        <v>0</v>
      </c>
      <c r="B713">
        <f t="shared" si="223"/>
        <v>712</v>
      </c>
      <c r="C713" t="s">
        <v>1689</v>
      </c>
      <c r="D713" t="s">
        <v>705</v>
      </c>
      <c r="E713">
        <f t="shared" si="220"/>
        <v>31</v>
      </c>
      <c r="G713">
        <f t="shared" si="224"/>
        <v>5</v>
      </c>
      <c r="H713" t="str">
        <f t="shared" si="225"/>
        <v/>
      </c>
      <c r="I713" t="str">
        <f t="shared" si="226"/>
        <v/>
      </c>
      <c r="J713" t="str">
        <f t="shared" si="227"/>
        <v/>
      </c>
      <c r="K713" t="str">
        <f t="shared" si="228"/>
        <v/>
      </c>
      <c r="L713" t="str">
        <f t="shared" si="229"/>
        <v/>
      </c>
      <c r="M713" t="str">
        <f t="shared" si="230"/>
        <v/>
      </c>
      <c r="N713" t="str">
        <f t="shared" si="231"/>
        <v/>
      </c>
      <c r="O713" t="str">
        <f t="shared" si="232"/>
        <v/>
      </c>
      <c r="P713" t="str">
        <f t="shared" si="233"/>
        <v/>
      </c>
      <c r="Q713" t="str">
        <f t="shared" si="234"/>
        <v/>
      </c>
      <c r="R713" t="str">
        <f t="shared" si="235"/>
        <v/>
      </c>
      <c r="S713" t="str">
        <f t="shared" si="236"/>
        <v/>
      </c>
      <c r="T713" t="str">
        <f t="shared" si="237"/>
        <v/>
      </c>
      <c r="U713" t="str">
        <f t="shared" si="238"/>
        <v/>
      </c>
      <c r="V713" t="str">
        <f t="shared" si="239"/>
        <v/>
      </c>
      <c r="W713" t="str">
        <f t="shared" si="222"/>
        <v xml:space="preserve">              </v>
      </c>
    </row>
    <row r="714" spans="1:23" customFormat="1" hidden="1">
      <c r="A714" t="b">
        <f t="shared" si="221"/>
        <v>0</v>
      </c>
      <c r="B714">
        <f t="shared" si="223"/>
        <v>713</v>
      </c>
      <c r="C714" t="s">
        <v>1689</v>
      </c>
      <c r="D714" t="s">
        <v>706</v>
      </c>
      <c r="E714">
        <f t="shared" si="220"/>
        <v>40</v>
      </c>
      <c r="G714">
        <f t="shared" si="224"/>
        <v>6</v>
      </c>
      <c r="H714" t="str">
        <f t="shared" si="225"/>
        <v/>
      </c>
      <c r="I714" t="str">
        <f t="shared" si="226"/>
        <v/>
      </c>
      <c r="J714" t="str">
        <f t="shared" si="227"/>
        <v/>
      </c>
      <c r="K714" t="str">
        <f t="shared" si="228"/>
        <v/>
      </c>
      <c r="L714" t="str">
        <f t="shared" si="229"/>
        <v/>
      </c>
      <c r="M714" t="str">
        <f t="shared" si="230"/>
        <v/>
      </c>
      <c r="N714" t="str">
        <f t="shared" si="231"/>
        <v/>
      </c>
      <c r="O714" t="str">
        <f t="shared" si="232"/>
        <v/>
      </c>
      <c r="P714" t="str">
        <f t="shared" si="233"/>
        <v/>
      </c>
      <c r="Q714" t="str">
        <f t="shared" si="234"/>
        <v/>
      </c>
      <c r="R714" t="str">
        <f t="shared" si="235"/>
        <v/>
      </c>
      <c r="S714" t="str">
        <f t="shared" si="236"/>
        <v/>
      </c>
      <c r="T714" t="str">
        <f t="shared" si="237"/>
        <v/>
      </c>
      <c r="U714" t="str">
        <f t="shared" si="238"/>
        <v/>
      </c>
      <c r="V714" t="str">
        <f t="shared" si="239"/>
        <v/>
      </c>
      <c r="W714" t="str">
        <f t="shared" si="222"/>
        <v xml:space="preserve">              </v>
      </c>
    </row>
    <row r="715" spans="1:23" customFormat="1" hidden="1">
      <c r="A715" t="b">
        <f t="shared" si="221"/>
        <v>0</v>
      </c>
      <c r="B715">
        <f t="shared" si="223"/>
        <v>714</v>
      </c>
      <c r="C715" t="s">
        <v>1689</v>
      </c>
      <c r="D715" t="s">
        <v>707</v>
      </c>
      <c r="E715">
        <f t="shared" si="220"/>
        <v>38</v>
      </c>
      <c r="G715">
        <f t="shared" si="224"/>
        <v>7</v>
      </c>
      <c r="H715" t="str">
        <f t="shared" si="225"/>
        <v/>
      </c>
      <c r="I715" t="str">
        <f t="shared" si="226"/>
        <v/>
      </c>
      <c r="J715" t="str">
        <f t="shared" si="227"/>
        <v/>
      </c>
      <c r="K715" t="str">
        <f t="shared" si="228"/>
        <v/>
      </c>
      <c r="L715" t="str">
        <f t="shared" si="229"/>
        <v/>
      </c>
      <c r="M715" t="str">
        <f t="shared" si="230"/>
        <v/>
      </c>
      <c r="N715" t="str">
        <f t="shared" si="231"/>
        <v/>
      </c>
      <c r="O715" t="str">
        <f t="shared" si="232"/>
        <v/>
      </c>
      <c r="P715" t="str">
        <f t="shared" si="233"/>
        <v/>
      </c>
      <c r="Q715" t="str">
        <f t="shared" si="234"/>
        <v/>
      </c>
      <c r="R715" t="str">
        <f t="shared" si="235"/>
        <v/>
      </c>
      <c r="S715" t="str">
        <f t="shared" si="236"/>
        <v/>
      </c>
      <c r="T715" t="str">
        <f t="shared" si="237"/>
        <v/>
      </c>
      <c r="U715" t="str">
        <f t="shared" si="238"/>
        <v/>
      </c>
      <c r="V715" t="str">
        <f t="shared" si="239"/>
        <v/>
      </c>
      <c r="W715" t="str">
        <f t="shared" si="222"/>
        <v xml:space="preserve">              </v>
      </c>
    </row>
    <row r="716" spans="1:23" customFormat="1" hidden="1">
      <c r="A716" t="b">
        <f t="shared" si="221"/>
        <v>0</v>
      </c>
      <c r="B716">
        <f t="shared" si="223"/>
        <v>715</v>
      </c>
      <c r="C716" t="s">
        <v>1689</v>
      </c>
      <c r="D716" t="s">
        <v>708</v>
      </c>
      <c r="E716">
        <f t="shared" si="220"/>
        <v>38</v>
      </c>
      <c r="G716">
        <f t="shared" si="224"/>
        <v>8</v>
      </c>
      <c r="H716" t="str">
        <f t="shared" si="225"/>
        <v/>
      </c>
      <c r="I716" t="str">
        <f t="shared" si="226"/>
        <v/>
      </c>
      <c r="J716" t="str">
        <f t="shared" si="227"/>
        <v/>
      </c>
      <c r="K716" t="str">
        <f t="shared" si="228"/>
        <v/>
      </c>
      <c r="L716" t="str">
        <f t="shared" si="229"/>
        <v/>
      </c>
      <c r="M716" t="str">
        <f t="shared" si="230"/>
        <v/>
      </c>
      <c r="N716" t="str">
        <f t="shared" si="231"/>
        <v/>
      </c>
      <c r="O716" t="str">
        <f t="shared" si="232"/>
        <v/>
      </c>
      <c r="P716" t="str">
        <f t="shared" si="233"/>
        <v/>
      </c>
      <c r="Q716" t="str">
        <f t="shared" si="234"/>
        <v/>
      </c>
      <c r="R716" t="str">
        <f t="shared" si="235"/>
        <v/>
      </c>
      <c r="S716" t="str">
        <f t="shared" si="236"/>
        <v/>
      </c>
      <c r="T716" t="str">
        <f t="shared" si="237"/>
        <v/>
      </c>
      <c r="U716" t="str">
        <f t="shared" si="238"/>
        <v/>
      </c>
      <c r="V716" t="str">
        <f t="shared" si="239"/>
        <v/>
      </c>
      <c r="W716" t="str">
        <f t="shared" si="222"/>
        <v xml:space="preserve">              </v>
      </c>
    </row>
    <row r="717" spans="1:23" hidden="1">
      <c r="A717" s="71" t="b">
        <f t="shared" si="221"/>
        <v>0</v>
      </c>
      <c r="B717" s="71">
        <f t="shared" si="223"/>
        <v>716</v>
      </c>
      <c r="C717" s="71" t="s">
        <v>1689</v>
      </c>
      <c r="D717" s="71" t="s">
        <v>709</v>
      </c>
      <c r="E717">
        <f t="shared" si="220"/>
        <v>12</v>
      </c>
      <c r="F717">
        <v>1</v>
      </c>
      <c r="G717">
        <f t="shared" si="224"/>
        <v>1</v>
      </c>
      <c r="H717" t="str">
        <f t="shared" si="225"/>
        <v>Direct costs</v>
      </c>
      <c r="I717" t="str">
        <f t="shared" si="226"/>
        <v>Costs are attributed directly to the project</v>
      </c>
      <c r="J717" t="str">
        <f t="shared" si="227"/>
        <v>work and cannot be shared among</v>
      </c>
      <c r="K717" t="str">
        <f t="shared" si="228"/>
        <v>projects (for example, airfare, hotels,</v>
      </c>
      <c r="L717" t="str">
        <f t="shared" si="229"/>
        <v>long-distance phone charges, and so on).</v>
      </c>
      <c r="M717" t="str">
        <f t="shared" si="230"/>
        <v/>
      </c>
      <c r="N717" t="str">
        <f t="shared" si="231"/>
        <v/>
      </c>
      <c r="O717" t="str">
        <f t="shared" si="232"/>
        <v/>
      </c>
      <c r="P717" t="str">
        <f t="shared" si="233"/>
        <v/>
      </c>
      <c r="Q717" t="str">
        <f t="shared" si="234"/>
        <v/>
      </c>
      <c r="R717" t="str">
        <f t="shared" si="235"/>
        <v/>
      </c>
      <c r="S717" t="str">
        <f t="shared" si="236"/>
        <v/>
      </c>
      <c r="T717" t="str">
        <f t="shared" si="237"/>
        <v/>
      </c>
      <c r="U717" t="str">
        <f t="shared" si="238"/>
        <v/>
      </c>
      <c r="V717" t="str">
        <f t="shared" si="239"/>
        <v/>
      </c>
      <c r="W717" s="71" t="str">
        <f>CONCATENATE(H717," ",I717," ",J717," ",K717," ",L717," ",M717," ",N717," ",O717," ",P717," ",Q717," ",R717," ",S717," ",T717," ",U717," ",V717)</f>
        <v xml:space="preserve">Direct costs Costs are attributed directly to the project work and cannot be shared among projects (for example, airfare, hotels, long-distance phone charges, and so on).          </v>
      </c>
    </row>
    <row r="718" spans="1:23" customFormat="1" hidden="1">
      <c r="A718" t="b">
        <f t="shared" si="221"/>
        <v>0</v>
      </c>
      <c r="B718">
        <f t="shared" si="223"/>
        <v>717</v>
      </c>
      <c r="C718" t="s">
        <v>1689</v>
      </c>
      <c r="D718" t="s">
        <v>710</v>
      </c>
      <c r="E718">
        <f t="shared" si="220"/>
        <v>44</v>
      </c>
      <c r="G718">
        <f t="shared" si="224"/>
        <v>2</v>
      </c>
      <c r="H718" t="str">
        <f t="shared" si="225"/>
        <v/>
      </c>
      <c r="I718" t="str">
        <f t="shared" si="226"/>
        <v/>
      </c>
      <c r="J718" t="str">
        <f t="shared" si="227"/>
        <v/>
      </c>
      <c r="K718" t="str">
        <f t="shared" si="228"/>
        <v/>
      </c>
      <c r="L718" t="str">
        <f t="shared" si="229"/>
        <v/>
      </c>
      <c r="M718" t="str">
        <f t="shared" si="230"/>
        <v/>
      </c>
      <c r="N718" t="str">
        <f t="shared" si="231"/>
        <v/>
      </c>
      <c r="O718" t="str">
        <f t="shared" si="232"/>
        <v/>
      </c>
      <c r="P718" t="str">
        <f t="shared" si="233"/>
        <v/>
      </c>
      <c r="Q718" t="str">
        <f t="shared" si="234"/>
        <v/>
      </c>
      <c r="R718" t="str">
        <f t="shared" si="235"/>
        <v/>
      </c>
      <c r="S718" t="str">
        <f t="shared" si="236"/>
        <v/>
      </c>
      <c r="T718" t="str">
        <f t="shared" si="237"/>
        <v/>
      </c>
      <c r="U718" t="str">
        <f t="shared" si="238"/>
        <v/>
      </c>
      <c r="V718" t="str">
        <f t="shared" si="239"/>
        <v/>
      </c>
      <c r="W718" t="str">
        <f t="shared" si="222"/>
        <v xml:space="preserve">              </v>
      </c>
    </row>
    <row r="719" spans="1:23" customFormat="1" hidden="1">
      <c r="A719" t="b">
        <f t="shared" si="221"/>
        <v>0</v>
      </c>
      <c r="B719">
        <f t="shared" si="223"/>
        <v>718</v>
      </c>
      <c r="C719" t="s">
        <v>1689</v>
      </c>
      <c r="D719" t="s">
        <v>711</v>
      </c>
      <c r="E719">
        <f t="shared" ref="E719:E781" si="240">LEN(D719)</f>
        <v>31</v>
      </c>
      <c r="G719">
        <f t="shared" si="224"/>
        <v>3</v>
      </c>
      <c r="H719" t="str">
        <f t="shared" si="225"/>
        <v/>
      </c>
      <c r="I719" t="str">
        <f t="shared" si="226"/>
        <v/>
      </c>
      <c r="J719" t="str">
        <f t="shared" si="227"/>
        <v/>
      </c>
      <c r="K719" t="str">
        <f t="shared" si="228"/>
        <v/>
      </c>
      <c r="L719" t="str">
        <f t="shared" si="229"/>
        <v/>
      </c>
      <c r="M719" t="str">
        <f t="shared" si="230"/>
        <v/>
      </c>
      <c r="N719" t="str">
        <f t="shared" si="231"/>
        <v/>
      </c>
      <c r="O719" t="str">
        <f t="shared" si="232"/>
        <v/>
      </c>
      <c r="P719" t="str">
        <f t="shared" si="233"/>
        <v/>
      </c>
      <c r="Q719" t="str">
        <f t="shared" si="234"/>
        <v/>
      </c>
      <c r="R719" t="str">
        <f t="shared" si="235"/>
        <v/>
      </c>
      <c r="S719" t="str">
        <f t="shared" si="236"/>
        <v/>
      </c>
      <c r="T719" t="str">
        <f t="shared" si="237"/>
        <v/>
      </c>
      <c r="U719" t="str">
        <f t="shared" si="238"/>
        <v/>
      </c>
      <c r="V719" t="str">
        <f t="shared" si="239"/>
        <v/>
      </c>
      <c r="W719" t="str">
        <f t="shared" si="222"/>
        <v xml:space="preserve">              </v>
      </c>
    </row>
    <row r="720" spans="1:23" customFormat="1" hidden="1">
      <c r="A720" t="b">
        <f t="shared" si="221"/>
        <v>0</v>
      </c>
      <c r="B720">
        <f t="shared" si="223"/>
        <v>719</v>
      </c>
      <c r="C720" t="s">
        <v>1689</v>
      </c>
      <c r="D720" t="s">
        <v>712</v>
      </c>
      <c r="E720">
        <f t="shared" si="240"/>
        <v>39</v>
      </c>
      <c r="G720">
        <f t="shared" si="224"/>
        <v>4</v>
      </c>
      <c r="H720" t="str">
        <f t="shared" si="225"/>
        <v/>
      </c>
      <c r="I720" t="str">
        <f t="shared" si="226"/>
        <v/>
      </c>
      <c r="J720" t="str">
        <f t="shared" si="227"/>
        <v/>
      </c>
      <c r="K720" t="str">
        <f t="shared" si="228"/>
        <v/>
      </c>
      <c r="L720" t="str">
        <f t="shared" si="229"/>
        <v/>
      </c>
      <c r="M720" t="str">
        <f t="shared" si="230"/>
        <v/>
      </c>
      <c r="N720" t="str">
        <f t="shared" si="231"/>
        <v/>
      </c>
      <c r="O720" t="str">
        <f t="shared" si="232"/>
        <v/>
      </c>
      <c r="P720" t="str">
        <f t="shared" si="233"/>
        <v/>
      </c>
      <c r="Q720" t="str">
        <f t="shared" si="234"/>
        <v/>
      </c>
      <c r="R720" t="str">
        <f t="shared" si="235"/>
        <v/>
      </c>
      <c r="S720" t="str">
        <f t="shared" si="236"/>
        <v/>
      </c>
      <c r="T720" t="str">
        <f t="shared" si="237"/>
        <v/>
      </c>
      <c r="U720" t="str">
        <f t="shared" si="238"/>
        <v/>
      </c>
      <c r="V720" t="str">
        <f t="shared" si="239"/>
        <v/>
      </c>
      <c r="W720" t="str">
        <f t="shared" si="222"/>
        <v xml:space="preserve">              </v>
      </c>
    </row>
    <row r="721" spans="1:23" customFormat="1" hidden="1">
      <c r="A721" t="b">
        <f t="shared" si="221"/>
        <v>0</v>
      </c>
      <c r="B721">
        <f t="shared" si="223"/>
        <v>720</v>
      </c>
      <c r="C721" t="s">
        <v>1689</v>
      </c>
      <c r="D721" t="s">
        <v>713</v>
      </c>
      <c r="E721">
        <f t="shared" si="240"/>
        <v>40</v>
      </c>
      <c r="G721">
        <f t="shared" si="224"/>
        <v>5</v>
      </c>
      <c r="H721" t="str">
        <f t="shared" si="225"/>
        <v/>
      </c>
      <c r="I721" t="str">
        <f t="shared" si="226"/>
        <v/>
      </c>
      <c r="J721" t="str">
        <f t="shared" si="227"/>
        <v/>
      </c>
      <c r="K721" t="str">
        <f t="shared" si="228"/>
        <v/>
      </c>
      <c r="L721" t="str">
        <f t="shared" si="229"/>
        <v/>
      </c>
      <c r="M721" t="str">
        <f t="shared" si="230"/>
        <v/>
      </c>
      <c r="N721" t="str">
        <f t="shared" si="231"/>
        <v/>
      </c>
      <c r="O721" t="str">
        <f t="shared" si="232"/>
        <v/>
      </c>
      <c r="P721" t="str">
        <f t="shared" si="233"/>
        <v/>
      </c>
      <c r="Q721" t="str">
        <f t="shared" si="234"/>
        <v/>
      </c>
      <c r="R721" t="str">
        <f t="shared" si="235"/>
        <v/>
      </c>
      <c r="S721" t="str">
        <f t="shared" si="236"/>
        <v/>
      </c>
      <c r="T721" t="str">
        <f t="shared" si="237"/>
        <v/>
      </c>
      <c r="U721" t="str">
        <f t="shared" si="238"/>
        <v/>
      </c>
      <c r="V721" t="str">
        <f t="shared" si="239"/>
        <v/>
      </c>
      <c r="W721" t="str">
        <f t="shared" si="222"/>
        <v xml:space="preserve">              </v>
      </c>
    </row>
    <row r="722" spans="1:23" hidden="1">
      <c r="A722" s="71" t="b">
        <f t="shared" si="221"/>
        <v>0</v>
      </c>
      <c r="B722" s="71">
        <f t="shared" si="223"/>
        <v>721</v>
      </c>
      <c r="C722" s="71" t="s">
        <v>1689</v>
      </c>
      <c r="D722" s="71" t="s">
        <v>714</v>
      </c>
      <c r="E722">
        <f t="shared" si="240"/>
        <v>17</v>
      </c>
      <c r="F722">
        <v>1</v>
      </c>
      <c r="G722">
        <f t="shared" si="224"/>
        <v>1</v>
      </c>
      <c r="H722" t="str">
        <f t="shared" si="225"/>
        <v>Earned value (EV)</v>
      </c>
      <c r="I722" t="str">
        <f t="shared" si="226"/>
        <v>Earned value is the physical work</v>
      </c>
      <c r="J722" t="str">
        <f t="shared" si="227"/>
        <v>completed to date and the authorized</v>
      </c>
      <c r="K722" t="str">
        <f t="shared" si="228"/>
        <v>budget for that work. It is the percentage</v>
      </c>
      <c r="L722" t="str">
        <f t="shared" si="229"/>
        <v>of the BAC that represents the actual</v>
      </c>
      <c r="M722" t="str">
        <f t="shared" si="230"/>
        <v>work completed in the project.</v>
      </c>
      <c r="N722" t="str">
        <f t="shared" si="231"/>
        <v/>
      </c>
      <c r="O722" t="str">
        <f t="shared" si="232"/>
        <v/>
      </c>
      <c r="P722" t="str">
        <f t="shared" si="233"/>
        <v/>
      </c>
      <c r="Q722" t="str">
        <f t="shared" si="234"/>
        <v/>
      </c>
      <c r="R722" t="str">
        <f t="shared" si="235"/>
        <v/>
      </c>
      <c r="S722" t="str">
        <f t="shared" si="236"/>
        <v/>
      </c>
      <c r="T722" t="str">
        <f t="shared" si="237"/>
        <v/>
      </c>
      <c r="U722" t="str">
        <f t="shared" si="238"/>
        <v/>
      </c>
      <c r="V722" t="str">
        <f t="shared" si="239"/>
        <v/>
      </c>
      <c r="W722" s="71" t="str">
        <f>CONCATENATE(H722," ",I722," ",J722," ",K722," ",L722," ",M722," ",N722," ",O722," ",P722," ",Q722," ",R722," ",S722," ",T722," ",U722," ",V722)</f>
        <v xml:space="preserve">Earned value (EV) Earned value is the physical work completed to date and the authorized budget for that work. It is the percentage of the BAC that represents the actual work completed in the project.         </v>
      </c>
    </row>
    <row r="723" spans="1:23" customFormat="1" hidden="1">
      <c r="A723" t="b">
        <f t="shared" si="221"/>
        <v>0</v>
      </c>
      <c r="B723">
        <f t="shared" si="223"/>
        <v>722</v>
      </c>
      <c r="C723" t="s">
        <v>1689</v>
      </c>
      <c r="D723" t="s">
        <v>715</v>
      </c>
      <c r="E723">
        <f t="shared" si="240"/>
        <v>33</v>
      </c>
      <c r="G723">
        <f t="shared" si="224"/>
        <v>2</v>
      </c>
      <c r="H723" t="str">
        <f t="shared" si="225"/>
        <v/>
      </c>
      <c r="I723" t="str">
        <f t="shared" si="226"/>
        <v/>
      </c>
      <c r="J723" t="str">
        <f t="shared" si="227"/>
        <v/>
      </c>
      <c r="K723" t="str">
        <f t="shared" si="228"/>
        <v/>
      </c>
      <c r="L723" t="str">
        <f t="shared" si="229"/>
        <v/>
      </c>
      <c r="M723" t="str">
        <f t="shared" si="230"/>
        <v/>
      </c>
      <c r="N723" t="str">
        <f t="shared" si="231"/>
        <v/>
      </c>
      <c r="O723" t="str">
        <f t="shared" si="232"/>
        <v/>
      </c>
      <c r="P723" t="str">
        <f t="shared" si="233"/>
        <v/>
      </c>
      <c r="Q723" t="str">
        <f t="shared" si="234"/>
        <v/>
      </c>
      <c r="R723" t="str">
        <f t="shared" si="235"/>
        <v/>
      </c>
      <c r="S723" t="str">
        <f t="shared" si="236"/>
        <v/>
      </c>
      <c r="T723" t="str">
        <f t="shared" si="237"/>
        <v/>
      </c>
      <c r="U723" t="str">
        <f t="shared" si="238"/>
        <v/>
      </c>
      <c r="V723" t="str">
        <f t="shared" si="239"/>
        <v/>
      </c>
      <c r="W723" t="str">
        <f t="shared" si="222"/>
        <v xml:space="preserve">              </v>
      </c>
    </row>
    <row r="724" spans="1:23" customFormat="1" hidden="1">
      <c r="A724" t="b">
        <f t="shared" si="221"/>
        <v>0</v>
      </c>
      <c r="B724">
        <f t="shared" si="223"/>
        <v>723</v>
      </c>
      <c r="C724" t="s">
        <v>1689</v>
      </c>
      <c r="D724" t="s">
        <v>716</v>
      </c>
      <c r="E724">
        <f t="shared" si="240"/>
        <v>36</v>
      </c>
      <c r="G724">
        <f t="shared" si="224"/>
        <v>3</v>
      </c>
      <c r="H724" t="str">
        <f t="shared" si="225"/>
        <v/>
      </c>
      <c r="I724" t="str">
        <f t="shared" si="226"/>
        <v/>
      </c>
      <c r="J724" t="str">
        <f t="shared" si="227"/>
        <v/>
      </c>
      <c r="K724" t="str">
        <f t="shared" si="228"/>
        <v/>
      </c>
      <c r="L724" t="str">
        <f t="shared" si="229"/>
        <v/>
      </c>
      <c r="M724" t="str">
        <f t="shared" si="230"/>
        <v/>
      </c>
      <c r="N724" t="str">
        <f t="shared" si="231"/>
        <v/>
      </c>
      <c r="O724" t="str">
        <f t="shared" si="232"/>
        <v/>
      </c>
      <c r="P724" t="str">
        <f t="shared" si="233"/>
        <v/>
      </c>
      <c r="Q724" t="str">
        <f t="shared" si="234"/>
        <v/>
      </c>
      <c r="R724" t="str">
        <f t="shared" si="235"/>
        <v/>
      </c>
      <c r="S724" t="str">
        <f t="shared" si="236"/>
        <v/>
      </c>
      <c r="T724" t="str">
        <f t="shared" si="237"/>
        <v/>
      </c>
      <c r="U724" t="str">
        <f t="shared" si="238"/>
        <v/>
      </c>
      <c r="V724" t="str">
        <f t="shared" si="239"/>
        <v/>
      </c>
      <c r="W724" t="str">
        <f t="shared" si="222"/>
        <v xml:space="preserve">              </v>
      </c>
    </row>
    <row r="725" spans="1:23" customFormat="1" hidden="1">
      <c r="A725" t="b">
        <f t="shared" si="221"/>
        <v>0</v>
      </c>
      <c r="B725">
        <f t="shared" si="223"/>
        <v>724</v>
      </c>
      <c r="C725" t="s">
        <v>1689</v>
      </c>
      <c r="D725" t="s">
        <v>717</v>
      </c>
      <c r="E725">
        <f t="shared" si="240"/>
        <v>42</v>
      </c>
      <c r="G725">
        <f t="shared" si="224"/>
        <v>4</v>
      </c>
      <c r="H725" t="str">
        <f t="shared" si="225"/>
        <v/>
      </c>
      <c r="I725" t="str">
        <f t="shared" si="226"/>
        <v/>
      </c>
      <c r="J725" t="str">
        <f t="shared" si="227"/>
        <v/>
      </c>
      <c r="K725" t="str">
        <f t="shared" si="228"/>
        <v/>
      </c>
      <c r="L725" t="str">
        <f t="shared" si="229"/>
        <v/>
      </c>
      <c r="M725" t="str">
        <f t="shared" si="230"/>
        <v/>
      </c>
      <c r="N725" t="str">
        <f t="shared" si="231"/>
        <v/>
      </c>
      <c r="O725" t="str">
        <f t="shared" si="232"/>
        <v/>
      </c>
      <c r="P725" t="str">
        <f t="shared" si="233"/>
        <v/>
      </c>
      <c r="Q725" t="str">
        <f t="shared" si="234"/>
        <v/>
      </c>
      <c r="R725" t="str">
        <f t="shared" si="235"/>
        <v/>
      </c>
      <c r="S725" t="str">
        <f t="shared" si="236"/>
        <v/>
      </c>
      <c r="T725" t="str">
        <f t="shared" si="237"/>
        <v/>
      </c>
      <c r="U725" t="str">
        <f t="shared" si="238"/>
        <v/>
      </c>
      <c r="V725" t="str">
        <f t="shared" si="239"/>
        <v/>
      </c>
      <c r="W725" t="str">
        <f t="shared" si="222"/>
        <v xml:space="preserve">              </v>
      </c>
    </row>
    <row r="726" spans="1:23" customFormat="1" hidden="1">
      <c r="A726" t="b">
        <f t="shared" si="221"/>
        <v>0</v>
      </c>
      <c r="B726">
        <f t="shared" si="223"/>
        <v>725</v>
      </c>
      <c r="C726" t="s">
        <v>1689</v>
      </c>
      <c r="D726" t="s">
        <v>718</v>
      </c>
      <c r="E726">
        <f t="shared" si="240"/>
        <v>37</v>
      </c>
      <c r="G726">
        <f t="shared" si="224"/>
        <v>5</v>
      </c>
      <c r="H726" t="str">
        <f t="shared" si="225"/>
        <v/>
      </c>
      <c r="I726" t="str">
        <f t="shared" si="226"/>
        <v/>
      </c>
      <c r="J726" t="str">
        <f t="shared" si="227"/>
        <v/>
      </c>
      <c r="K726" t="str">
        <f t="shared" si="228"/>
        <v/>
      </c>
      <c r="L726" t="str">
        <f t="shared" si="229"/>
        <v/>
      </c>
      <c r="M726" t="str">
        <f t="shared" si="230"/>
        <v/>
      </c>
      <c r="N726" t="str">
        <f t="shared" si="231"/>
        <v/>
      </c>
      <c r="O726" t="str">
        <f t="shared" si="232"/>
        <v/>
      </c>
      <c r="P726" t="str">
        <f t="shared" si="233"/>
        <v/>
      </c>
      <c r="Q726" t="str">
        <f t="shared" si="234"/>
        <v/>
      </c>
      <c r="R726" t="str">
        <f t="shared" si="235"/>
        <v/>
      </c>
      <c r="S726" t="str">
        <f t="shared" si="236"/>
        <v/>
      </c>
      <c r="T726" t="str">
        <f t="shared" si="237"/>
        <v/>
      </c>
      <c r="U726" t="str">
        <f t="shared" si="238"/>
        <v/>
      </c>
      <c r="V726" t="str">
        <f t="shared" si="239"/>
        <v/>
      </c>
      <c r="W726" t="str">
        <f t="shared" si="222"/>
        <v xml:space="preserve">              </v>
      </c>
    </row>
    <row r="727" spans="1:23" customFormat="1" hidden="1">
      <c r="A727" t="b">
        <f t="shared" si="221"/>
        <v>0</v>
      </c>
      <c r="B727">
        <f t="shared" si="223"/>
        <v>726</v>
      </c>
      <c r="C727" t="s">
        <v>1689</v>
      </c>
      <c r="D727" t="s">
        <v>719</v>
      </c>
      <c r="E727">
        <f t="shared" si="240"/>
        <v>30</v>
      </c>
      <c r="G727">
        <f t="shared" si="224"/>
        <v>6</v>
      </c>
      <c r="H727" t="str">
        <f t="shared" si="225"/>
        <v/>
      </c>
      <c r="I727" t="str">
        <f t="shared" si="226"/>
        <v/>
      </c>
      <c r="J727" t="str">
        <f t="shared" si="227"/>
        <v/>
      </c>
      <c r="K727" t="str">
        <f t="shared" si="228"/>
        <v/>
      </c>
      <c r="L727" t="str">
        <f t="shared" si="229"/>
        <v/>
      </c>
      <c r="M727" t="str">
        <f t="shared" si="230"/>
        <v/>
      </c>
      <c r="N727" t="str">
        <f t="shared" si="231"/>
        <v/>
      </c>
      <c r="O727" t="str">
        <f t="shared" si="232"/>
        <v/>
      </c>
      <c r="P727" t="str">
        <f t="shared" si="233"/>
        <v/>
      </c>
      <c r="Q727" t="str">
        <f t="shared" si="234"/>
        <v/>
      </c>
      <c r="R727" t="str">
        <f t="shared" si="235"/>
        <v/>
      </c>
      <c r="S727" t="str">
        <f t="shared" si="236"/>
        <v/>
      </c>
      <c r="T727" t="str">
        <f t="shared" si="237"/>
        <v/>
      </c>
      <c r="U727" t="str">
        <f t="shared" si="238"/>
        <v/>
      </c>
      <c r="V727" t="str">
        <f t="shared" si="239"/>
        <v/>
      </c>
      <c r="W727" t="str">
        <f t="shared" si="222"/>
        <v xml:space="preserve">              </v>
      </c>
    </row>
    <row r="728" spans="1:23" hidden="1">
      <c r="A728" s="71" t="b">
        <f t="shared" si="221"/>
        <v>0</v>
      </c>
      <c r="B728" s="71">
        <f t="shared" si="223"/>
        <v>727</v>
      </c>
      <c r="C728" s="71" t="s">
        <v>1689</v>
      </c>
      <c r="D728" s="71" t="s">
        <v>720</v>
      </c>
      <c r="E728">
        <f t="shared" si="240"/>
        <v>28</v>
      </c>
      <c r="F728">
        <v>1</v>
      </c>
      <c r="G728">
        <f t="shared" si="224"/>
        <v>1</v>
      </c>
      <c r="H728" t="str">
        <f t="shared" si="225"/>
        <v>Estimate at completion (EAC)</v>
      </c>
      <c r="I728" t="str">
        <f t="shared" si="226"/>
        <v>These forecasting formulas predict the</v>
      </c>
      <c r="J728" t="str">
        <f t="shared" si="227"/>
        <v>likely completed costs of the project</v>
      </c>
      <c r="K728" t="str">
        <f t="shared" si="228"/>
        <v>based on current scenarios within the</v>
      </c>
      <c r="L728" t="str">
        <f t="shared" si="229"/>
        <v>project.</v>
      </c>
      <c r="M728" t="str">
        <f t="shared" si="230"/>
        <v/>
      </c>
      <c r="N728" t="str">
        <f t="shared" si="231"/>
        <v/>
      </c>
      <c r="O728" t="str">
        <f t="shared" si="232"/>
        <v/>
      </c>
      <c r="P728" t="str">
        <f t="shared" si="233"/>
        <v/>
      </c>
      <c r="Q728" t="str">
        <f t="shared" si="234"/>
        <v/>
      </c>
      <c r="R728" t="str">
        <f t="shared" si="235"/>
        <v/>
      </c>
      <c r="S728" t="str">
        <f t="shared" si="236"/>
        <v/>
      </c>
      <c r="T728" t="str">
        <f t="shared" si="237"/>
        <v/>
      </c>
      <c r="U728" t="str">
        <f t="shared" si="238"/>
        <v/>
      </c>
      <c r="V728" t="str">
        <f t="shared" si="239"/>
        <v/>
      </c>
      <c r="W728" s="71" t="str">
        <f>CONCATENATE(H728," ",I728," ",J728," ",K728," ",L728," ",M728," ",N728," ",O728," ",P728," ",Q728," ",R728," ",S728," ",T728," ",U728," ",V728)</f>
        <v xml:space="preserve">Estimate at completion (EAC) These forecasting formulas predict the likely completed costs of the project based on current scenarios within the project.          </v>
      </c>
    </row>
    <row r="729" spans="1:23" customFormat="1" hidden="1">
      <c r="A729" t="b">
        <f t="shared" si="221"/>
        <v>0</v>
      </c>
      <c r="B729">
        <f t="shared" si="223"/>
        <v>728</v>
      </c>
      <c r="C729" t="s">
        <v>1689</v>
      </c>
      <c r="D729" t="s">
        <v>721</v>
      </c>
      <c r="E729">
        <f t="shared" si="240"/>
        <v>38</v>
      </c>
      <c r="G729">
        <f t="shared" si="224"/>
        <v>2</v>
      </c>
      <c r="H729" t="str">
        <f t="shared" si="225"/>
        <v/>
      </c>
      <c r="I729" t="str">
        <f t="shared" si="226"/>
        <v/>
      </c>
      <c r="J729" t="str">
        <f t="shared" si="227"/>
        <v/>
      </c>
      <c r="K729" t="str">
        <f t="shared" si="228"/>
        <v/>
      </c>
      <c r="L729" t="str">
        <f t="shared" si="229"/>
        <v/>
      </c>
      <c r="M729" t="str">
        <f t="shared" si="230"/>
        <v/>
      </c>
      <c r="N729" t="str">
        <f t="shared" si="231"/>
        <v/>
      </c>
      <c r="O729" t="str">
        <f t="shared" si="232"/>
        <v/>
      </c>
      <c r="P729" t="str">
        <f t="shared" si="233"/>
        <v/>
      </c>
      <c r="Q729" t="str">
        <f t="shared" si="234"/>
        <v/>
      </c>
      <c r="R729" t="str">
        <f t="shared" si="235"/>
        <v/>
      </c>
      <c r="S729" t="str">
        <f t="shared" si="236"/>
        <v/>
      </c>
      <c r="T729" t="str">
        <f t="shared" si="237"/>
        <v/>
      </c>
      <c r="U729" t="str">
        <f t="shared" si="238"/>
        <v/>
      </c>
      <c r="V729" t="str">
        <f t="shared" si="239"/>
        <v/>
      </c>
      <c r="W729" t="str">
        <f t="shared" si="222"/>
        <v xml:space="preserve">              </v>
      </c>
    </row>
    <row r="730" spans="1:23" customFormat="1" hidden="1">
      <c r="A730" t="b">
        <f t="shared" si="221"/>
        <v>0</v>
      </c>
      <c r="B730">
        <f t="shared" si="223"/>
        <v>729</v>
      </c>
      <c r="C730" t="s">
        <v>1689</v>
      </c>
      <c r="D730" t="s">
        <v>722</v>
      </c>
      <c r="E730">
        <f t="shared" si="240"/>
        <v>37</v>
      </c>
      <c r="G730">
        <f t="shared" si="224"/>
        <v>3</v>
      </c>
      <c r="H730" t="str">
        <f t="shared" si="225"/>
        <v/>
      </c>
      <c r="I730" t="str">
        <f t="shared" si="226"/>
        <v/>
      </c>
      <c r="J730" t="str">
        <f t="shared" si="227"/>
        <v/>
      </c>
      <c r="K730" t="str">
        <f t="shared" si="228"/>
        <v/>
      </c>
      <c r="L730" t="str">
        <f t="shared" si="229"/>
        <v/>
      </c>
      <c r="M730" t="str">
        <f t="shared" si="230"/>
        <v/>
      </c>
      <c r="N730" t="str">
        <f t="shared" si="231"/>
        <v/>
      </c>
      <c r="O730" t="str">
        <f t="shared" si="232"/>
        <v/>
      </c>
      <c r="P730" t="str">
        <f t="shared" si="233"/>
        <v/>
      </c>
      <c r="Q730" t="str">
        <f t="shared" si="234"/>
        <v/>
      </c>
      <c r="R730" t="str">
        <f t="shared" si="235"/>
        <v/>
      </c>
      <c r="S730" t="str">
        <f t="shared" si="236"/>
        <v/>
      </c>
      <c r="T730" t="str">
        <f t="shared" si="237"/>
        <v/>
      </c>
      <c r="U730" t="str">
        <f t="shared" si="238"/>
        <v/>
      </c>
      <c r="V730" t="str">
        <f t="shared" si="239"/>
        <v/>
      </c>
      <c r="W730" t="str">
        <f t="shared" si="222"/>
        <v xml:space="preserve">              </v>
      </c>
    </row>
    <row r="731" spans="1:23" customFormat="1" hidden="1">
      <c r="A731" t="b">
        <f t="shared" si="221"/>
        <v>0</v>
      </c>
      <c r="B731">
        <f t="shared" si="223"/>
        <v>730</v>
      </c>
      <c r="C731" t="s">
        <v>1689</v>
      </c>
      <c r="D731" t="s">
        <v>723</v>
      </c>
      <c r="E731">
        <f t="shared" si="240"/>
        <v>37</v>
      </c>
      <c r="G731">
        <f t="shared" si="224"/>
        <v>4</v>
      </c>
      <c r="H731" t="str">
        <f t="shared" si="225"/>
        <v/>
      </c>
      <c r="I731" t="str">
        <f t="shared" si="226"/>
        <v/>
      </c>
      <c r="J731" t="str">
        <f t="shared" si="227"/>
        <v/>
      </c>
      <c r="K731" t="str">
        <f t="shared" si="228"/>
        <v/>
      </c>
      <c r="L731" t="str">
        <f t="shared" si="229"/>
        <v/>
      </c>
      <c r="M731" t="str">
        <f t="shared" si="230"/>
        <v/>
      </c>
      <c r="N731" t="str">
        <f t="shared" si="231"/>
        <v/>
      </c>
      <c r="O731" t="str">
        <f t="shared" si="232"/>
        <v/>
      </c>
      <c r="P731" t="str">
        <f t="shared" si="233"/>
        <v/>
      </c>
      <c r="Q731" t="str">
        <f t="shared" si="234"/>
        <v/>
      </c>
      <c r="R731" t="str">
        <f t="shared" si="235"/>
        <v/>
      </c>
      <c r="S731" t="str">
        <f t="shared" si="236"/>
        <v/>
      </c>
      <c r="T731" t="str">
        <f t="shared" si="237"/>
        <v/>
      </c>
      <c r="U731" t="str">
        <f t="shared" si="238"/>
        <v/>
      </c>
      <c r="V731" t="str">
        <f t="shared" si="239"/>
        <v/>
      </c>
      <c r="W731" t="str">
        <f t="shared" si="222"/>
        <v xml:space="preserve">              </v>
      </c>
    </row>
    <row r="732" spans="1:23" customFormat="1" hidden="1">
      <c r="A732" t="b">
        <f t="shared" si="221"/>
        <v>0</v>
      </c>
      <c r="B732">
        <f t="shared" si="223"/>
        <v>731</v>
      </c>
      <c r="C732" t="s">
        <v>1689</v>
      </c>
      <c r="D732" t="s">
        <v>131</v>
      </c>
      <c r="E732">
        <f t="shared" si="240"/>
        <v>8</v>
      </c>
      <c r="G732">
        <f t="shared" si="224"/>
        <v>5</v>
      </c>
      <c r="H732" t="str">
        <f t="shared" si="225"/>
        <v/>
      </c>
      <c r="I732" t="str">
        <f t="shared" si="226"/>
        <v/>
      </c>
      <c r="J732" t="str">
        <f t="shared" si="227"/>
        <v/>
      </c>
      <c r="K732" t="str">
        <f t="shared" si="228"/>
        <v/>
      </c>
      <c r="L732" t="str">
        <f t="shared" si="229"/>
        <v/>
      </c>
      <c r="M732" t="str">
        <f t="shared" si="230"/>
        <v/>
      </c>
      <c r="N732" t="str">
        <f t="shared" si="231"/>
        <v/>
      </c>
      <c r="O732" t="str">
        <f t="shared" si="232"/>
        <v/>
      </c>
      <c r="P732" t="str">
        <f t="shared" si="233"/>
        <v/>
      </c>
      <c r="Q732" t="str">
        <f t="shared" si="234"/>
        <v/>
      </c>
      <c r="R732" t="str">
        <f t="shared" si="235"/>
        <v/>
      </c>
      <c r="S732" t="str">
        <f t="shared" si="236"/>
        <v/>
      </c>
      <c r="T732" t="str">
        <f t="shared" si="237"/>
        <v/>
      </c>
      <c r="U732" t="str">
        <f t="shared" si="238"/>
        <v/>
      </c>
      <c r="V732" t="str">
        <f t="shared" si="239"/>
        <v/>
      </c>
      <c r="W732" t="str">
        <f t="shared" si="222"/>
        <v xml:space="preserve">              </v>
      </c>
    </row>
    <row r="733" spans="1:23" hidden="1">
      <c r="A733" s="71" t="b">
        <f t="shared" si="221"/>
        <v>0</v>
      </c>
      <c r="B733" s="71">
        <f t="shared" si="223"/>
        <v>732</v>
      </c>
      <c r="C733" s="71" t="s">
        <v>1689</v>
      </c>
      <c r="D733" s="71" t="s">
        <v>724</v>
      </c>
      <c r="E733">
        <f t="shared" si="240"/>
        <v>26</v>
      </c>
      <c r="F733">
        <v>1</v>
      </c>
      <c r="G733">
        <f t="shared" si="224"/>
        <v>1</v>
      </c>
      <c r="H733" t="str">
        <f t="shared" si="225"/>
        <v>Estimate to complete (ETC)</v>
      </c>
      <c r="I733" t="str">
        <f t="shared" si="226"/>
        <v>An earned value management formula</v>
      </c>
      <c r="J733" t="str">
        <f t="shared" si="227"/>
        <v>that predicts how much funding the</v>
      </c>
      <c r="K733" t="str">
        <f t="shared" si="228"/>
        <v>project will require to be completed.</v>
      </c>
      <c r="L733" t="str">
        <f t="shared" si="229"/>
        <v>Three variations of this formula are based</v>
      </c>
      <c r="M733" t="str">
        <f t="shared" si="230"/>
        <v>on conditions the project may be</v>
      </c>
      <c r="N733" t="str">
        <f t="shared" si="231"/>
        <v>experiencing.</v>
      </c>
      <c r="O733" t="str">
        <f t="shared" si="232"/>
        <v/>
      </c>
      <c r="P733" t="str">
        <f t="shared" si="233"/>
        <v/>
      </c>
      <c r="Q733" t="str">
        <f t="shared" si="234"/>
        <v/>
      </c>
      <c r="R733" t="str">
        <f t="shared" si="235"/>
        <v/>
      </c>
      <c r="S733" t="str">
        <f t="shared" si="236"/>
        <v/>
      </c>
      <c r="T733" t="str">
        <f t="shared" si="237"/>
        <v/>
      </c>
      <c r="U733" t="str">
        <f t="shared" si="238"/>
        <v/>
      </c>
      <c r="V733" t="str">
        <f t="shared" si="239"/>
        <v/>
      </c>
      <c r="W733" s="71" t="str">
        <f>CONCATENATE(H733," ",I733," ",J733," ",K733," ",L733," ",M733," ",N733," ",O733," ",P733," ",Q733," ",R733," ",S733," ",T733," ",U733," ",V733)</f>
        <v xml:space="preserve">Estimate to complete (ETC) An earned value management formula that predicts how much funding the project will require to be completed. Three variations of this formula are based on conditions the project may be experiencing.        </v>
      </c>
    </row>
    <row r="734" spans="1:23" customFormat="1" hidden="1">
      <c r="A734" t="b">
        <f t="shared" si="221"/>
        <v>0</v>
      </c>
      <c r="B734">
        <f t="shared" si="223"/>
        <v>733</v>
      </c>
      <c r="C734" t="s">
        <v>1689</v>
      </c>
      <c r="D734" t="s">
        <v>725</v>
      </c>
      <c r="E734">
        <f t="shared" si="240"/>
        <v>34</v>
      </c>
      <c r="G734">
        <f t="shared" si="224"/>
        <v>2</v>
      </c>
      <c r="H734" t="str">
        <f t="shared" si="225"/>
        <v/>
      </c>
      <c r="I734" t="str">
        <f t="shared" si="226"/>
        <v/>
      </c>
      <c r="J734" t="str">
        <f t="shared" si="227"/>
        <v/>
      </c>
      <c r="K734" t="str">
        <f t="shared" si="228"/>
        <v/>
      </c>
      <c r="L734" t="str">
        <f t="shared" si="229"/>
        <v/>
      </c>
      <c r="M734" t="str">
        <f t="shared" si="230"/>
        <v/>
      </c>
      <c r="N734" t="str">
        <f t="shared" si="231"/>
        <v/>
      </c>
      <c r="O734" t="str">
        <f t="shared" si="232"/>
        <v/>
      </c>
      <c r="P734" t="str">
        <f t="shared" si="233"/>
        <v/>
      </c>
      <c r="Q734" t="str">
        <f t="shared" si="234"/>
        <v/>
      </c>
      <c r="R734" t="str">
        <f t="shared" si="235"/>
        <v/>
      </c>
      <c r="S734" t="str">
        <f t="shared" si="236"/>
        <v/>
      </c>
      <c r="T734" t="str">
        <f t="shared" si="237"/>
        <v/>
      </c>
      <c r="U734" t="str">
        <f t="shared" si="238"/>
        <v/>
      </c>
      <c r="V734" t="str">
        <f t="shared" si="239"/>
        <v/>
      </c>
      <c r="W734" t="str">
        <f t="shared" si="222"/>
        <v xml:space="preserve">              </v>
      </c>
    </row>
    <row r="735" spans="1:23" customFormat="1" hidden="1">
      <c r="A735" t="b">
        <f t="shared" si="221"/>
        <v>0</v>
      </c>
      <c r="B735">
        <f t="shared" si="223"/>
        <v>734</v>
      </c>
      <c r="C735" t="s">
        <v>1689</v>
      </c>
      <c r="D735" t="s">
        <v>726</v>
      </c>
      <c r="E735">
        <f t="shared" si="240"/>
        <v>34</v>
      </c>
      <c r="G735">
        <f t="shared" si="224"/>
        <v>3</v>
      </c>
      <c r="H735" t="str">
        <f t="shared" si="225"/>
        <v/>
      </c>
      <c r="I735" t="str">
        <f t="shared" si="226"/>
        <v/>
      </c>
      <c r="J735" t="str">
        <f t="shared" si="227"/>
        <v/>
      </c>
      <c r="K735" t="str">
        <f t="shared" si="228"/>
        <v/>
      </c>
      <c r="L735" t="str">
        <f t="shared" si="229"/>
        <v/>
      </c>
      <c r="M735" t="str">
        <f t="shared" si="230"/>
        <v/>
      </c>
      <c r="N735" t="str">
        <f t="shared" si="231"/>
        <v/>
      </c>
      <c r="O735" t="str">
        <f t="shared" si="232"/>
        <v/>
      </c>
      <c r="P735" t="str">
        <f t="shared" si="233"/>
        <v/>
      </c>
      <c r="Q735" t="str">
        <f t="shared" si="234"/>
        <v/>
      </c>
      <c r="R735" t="str">
        <f t="shared" si="235"/>
        <v/>
      </c>
      <c r="S735" t="str">
        <f t="shared" si="236"/>
        <v/>
      </c>
      <c r="T735" t="str">
        <f t="shared" si="237"/>
        <v/>
      </c>
      <c r="U735" t="str">
        <f t="shared" si="238"/>
        <v/>
      </c>
      <c r="V735" t="str">
        <f t="shared" si="239"/>
        <v/>
      </c>
      <c r="W735" t="str">
        <f t="shared" si="222"/>
        <v xml:space="preserve">              </v>
      </c>
    </row>
    <row r="736" spans="1:23" customFormat="1" hidden="1">
      <c r="A736" t="b">
        <f t="shared" si="221"/>
        <v>0</v>
      </c>
      <c r="B736">
        <f t="shared" si="223"/>
        <v>735</v>
      </c>
      <c r="C736" t="s">
        <v>1689</v>
      </c>
      <c r="D736" t="s">
        <v>727</v>
      </c>
      <c r="E736">
        <f t="shared" si="240"/>
        <v>37</v>
      </c>
      <c r="G736">
        <f t="shared" si="224"/>
        <v>4</v>
      </c>
      <c r="H736" t="str">
        <f t="shared" si="225"/>
        <v/>
      </c>
      <c r="I736" t="str">
        <f t="shared" si="226"/>
        <v/>
      </c>
      <c r="J736" t="str">
        <f t="shared" si="227"/>
        <v/>
      </c>
      <c r="K736" t="str">
        <f t="shared" si="228"/>
        <v/>
      </c>
      <c r="L736" t="str">
        <f t="shared" si="229"/>
        <v/>
      </c>
      <c r="M736" t="str">
        <f t="shared" si="230"/>
        <v/>
      </c>
      <c r="N736" t="str">
        <f t="shared" si="231"/>
        <v/>
      </c>
      <c r="O736" t="str">
        <f t="shared" si="232"/>
        <v/>
      </c>
      <c r="P736" t="str">
        <f t="shared" si="233"/>
        <v/>
      </c>
      <c r="Q736" t="str">
        <f t="shared" si="234"/>
        <v/>
      </c>
      <c r="R736" t="str">
        <f t="shared" si="235"/>
        <v/>
      </c>
      <c r="S736" t="str">
        <f t="shared" si="236"/>
        <v/>
      </c>
      <c r="T736" t="str">
        <f t="shared" si="237"/>
        <v/>
      </c>
      <c r="U736" t="str">
        <f t="shared" si="238"/>
        <v/>
      </c>
      <c r="V736" t="str">
        <f t="shared" si="239"/>
        <v/>
      </c>
      <c r="W736" t="str">
        <f t="shared" si="222"/>
        <v xml:space="preserve">              </v>
      </c>
    </row>
    <row r="737" spans="1:23" customFormat="1" hidden="1">
      <c r="A737" t="b">
        <f t="shared" si="221"/>
        <v>0</v>
      </c>
      <c r="B737">
        <f t="shared" si="223"/>
        <v>736</v>
      </c>
      <c r="C737" t="s">
        <v>1689</v>
      </c>
      <c r="D737" t="s">
        <v>728</v>
      </c>
      <c r="E737">
        <f t="shared" si="240"/>
        <v>42</v>
      </c>
      <c r="G737">
        <f t="shared" si="224"/>
        <v>5</v>
      </c>
      <c r="H737" t="str">
        <f t="shared" si="225"/>
        <v/>
      </c>
      <c r="I737" t="str">
        <f t="shared" si="226"/>
        <v/>
      </c>
      <c r="J737" t="str">
        <f t="shared" si="227"/>
        <v/>
      </c>
      <c r="K737" t="str">
        <f t="shared" si="228"/>
        <v/>
      </c>
      <c r="L737" t="str">
        <f t="shared" si="229"/>
        <v/>
      </c>
      <c r="M737" t="str">
        <f t="shared" si="230"/>
        <v/>
      </c>
      <c r="N737" t="str">
        <f t="shared" si="231"/>
        <v/>
      </c>
      <c r="O737" t="str">
        <f t="shared" si="232"/>
        <v/>
      </c>
      <c r="P737" t="str">
        <f t="shared" si="233"/>
        <v/>
      </c>
      <c r="Q737" t="str">
        <f t="shared" si="234"/>
        <v/>
      </c>
      <c r="R737" t="str">
        <f t="shared" si="235"/>
        <v/>
      </c>
      <c r="S737" t="str">
        <f t="shared" si="236"/>
        <v/>
      </c>
      <c r="T737" t="str">
        <f t="shared" si="237"/>
        <v/>
      </c>
      <c r="U737" t="str">
        <f t="shared" si="238"/>
        <v/>
      </c>
      <c r="V737" t="str">
        <f t="shared" si="239"/>
        <v/>
      </c>
      <c r="W737" t="str">
        <f t="shared" si="222"/>
        <v xml:space="preserve">              </v>
      </c>
    </row>
    <row r="738" spans="1:23" customFormat="1" hidden="1">
      <c r="A738" t="b">
        <f t="shared" si="221"/>
        <v>0</v>
      </c>
      <c r="B738">
        <f t="shared" si="223"/>
        <v>737</v>
      </c>
      <c r="C738" t="s">
        <v>1689</v>
      </c>
      <c r="D738" t="s">
        <v>729</v>
      </c>
      <c r="E738">
        <f t="shared" si="240"/>
        <v>32</v>
      </c>
      <c r="G738">
        <f t="shared" si="224"/>
        <v>6</v>
      </c>
      <c r="H738" t="str">
        <f t="shared" si="225"/>
        <v/>
      </c>
      <c r="I738" t="str">
        <f t="shared" si="226"/>
        <v/>
      </c>
      <c r="J738" t="str">
        <f t="shared" si="227"/>
        <v/>
      </c>
      <c r="K738" t="str">
        <f t="shared" si="228"/>
        <v/>
      </c>
      <c r="L738" t="str">
        <f t="shared" si="229"/>
        <v/>
      </c>
      <c r="M738" t="str">
        <f t="shared" si="230"/>
        <v/>
      </c>
      <c r="N738" t="str">
        <f t="shared" si="231"/>
        <v/>
      </c>
      <c r="O738" t="str">
        <f t="shared" si="232"/>
        <v/>
      </c>
      <c r="P738" t="str">
        <f t="shared" si="233"/>
        <v/>
      </c>
      <c r="Q738" t="str">
        <f t="shared" si="234"/>
        <v/>
      </c>
      <c r="R738" t="str">
        <f t="shared" si="235"/>
        <v/>
      </c>
      <c r="S738" t="str">
        <f t="shared" si="236"/>
        <v/>
      </c>
      <c r="T738" t="str">
        <f t="shared" si="237"/>
        <v/>
      </c>
      <c r="U738" t="str">
        <f t="shared" si="238"/>
        <v/>
      </c>
      <c r="V738" t="str">
        <f t="shared" si="239"/>
        <v/>
      </c>
      <c r="W738" t="str">
        <f t="shared" si="222"/>
        <v xml:space="preserve">              </v>
      </c>
    </row>
    <row r="739" spans="1:23" customFormat="1" hidden="1">
      <c r="A739" t="b">
        <f t="shared" si="221"/>
        <v>0</v>
      </c>
      <c r="B739">
        <f t="shared" si="223"/>
        <v>738</v>
      </c>
      <c r="C739" t="s">
        <v>1689</v>
      </c>
      <c r="D739" t="s">
        <v>730</v>
      </c>
      <c r="E739">
        <f t="shared" si="240"/>
        <v>13</v>
      </c>
      <c r="G739">
        <f t="shared" si="224"/>
        <v>7</v>
      </c>
      <c r="H739" t="str">
        <f t="shared" si="225"/>
        <v/>
      </c>
      <c r="I739" t="str">
        <f t="shared" si="226"/>
        <v/>
      </c>
      <c r="J739" t="str">
        <f t="shared" si="227"/>
        <v/>
      </c>
      <c r="K739" t="str">
        <f t="shared" si="228"/>
        <v/>
      </c>
      <c r="L739" t="str">
        <f t="shared" si="229"/>
        <v/>
      </c>
      <c r="M739" t="str">
        <f t="shared" si="230"/>
        <v/>
      </c>
      <c r="N739" t="str">
        <f t="shared" si="231"/>
        <v/>
      </c>
      <c r="O739" t="str">
        <f t="shared" si="232"/>
        <v/>
      </c>
      <c r="P739" t="str">
        <f t="shared" si="233"/>
        <v/>
      </c>
      <c r="Q739" t="str">
        <f t="shared" si="234"/>
        <v/>
      </c>
      <c r="R739" t="str">
        <f t="shared" si="235"/>
        <v/>
      </c>
      <c r="S739" t="str">
        <f t="shared" si="236"/>
        <v/>
      </c>
      <c r="T739" t="str">
        <f t="shared" si="237"/>
        <v/>
      </c>
      <c r="U739" t="str">
        <f t="shared" si="238"/>
        <v/>
      </c>
      <c r="V739" t="str">
        <f t="shared" si="239"/>
        <v/>
      </c>
      <c r="W739" t="str">
        <f t="shared" si="222"/>
        <v xml:space="preserve">              </v>
      </c>
    </row>
    <row r="740" spans="1:23" hidden="1">
      <c r="A740" s="71" t="b">
        <f t="shared" si="221"/>
        <v>0</v>
      </c>
      <c r="B740" s="71">
        <f t="shared" si="223"/>
        <v>739</v>
      </c>
      <c r="C740" s="71" t="s">
        <v>1689</v>
      </c>
      <c r="D740" s="71" t="s">
        <v>731</v>
      </c>
      <c r="E740">
        <f t="shared" si="240"/>
        <v>11</v>
      </c>
      <c r="F740">
        <v>1</v>
      </c>
      <c r="G740">
        <f t="shared" si="224"/>
        <v>1</v>
      </c>
      <c r="H740" t="str">
        <f t="shared" si="225"/>
        <v>Fixed costs</v>
      </c>
      <c r="I740" t="str">
        <f t="shared" si="226"/>
        <v>Costs that remain constant throughout</v>
      </c>
      <c r="J740" t="str">
        <f t="shared" si="227"/>
        <v>the life of the project (the cost of a piece</v>
      </c>
      <c r="K740" t="str">
        <f t="shared" si="228"/>
        <v>of rented equipment for the project, the</v>
      </c>
      <c r="L740" t="str">
        <f t="shared" si="229"/>
        <v>cost of a consultant brought on to the</v>
      </c>
      <c r="M740" t="str">
        <f t="shared" si="230"/>
        <v>project, and so on).</v>
      </c>
      <c r="N740" t="str">
        <f t="shared" si="231"/>
        <v/>
      </c>
      <c r="O740" t="str">
        <f t="shared" si="232"/>
        <v/>
      </c>
      <c r="P740" t="str">
        <f t="shared" si="233"/>
        <v/>
      </c>
      <c r="Q740" t="str">
        <f t="shared" si="234"/>
        <v/>
      </c>
      <c r="R740" t="str">
        <f t="shared" si="235"/>
        <v/>
      </c>
      <c r="S740" t="str">
        <f t="shared" si="236"/>
        <v/>
      </c>
      <c r="T740" t="str">
        <f t="shared" si="237"/>
        <v/>
      </c>
      <c r="U740" t="str">
        <f t="shared" si="238"/>
        <v/>
      </c>
      <c r="V740" t="str">
        <f t="shared" si="239"/>
        <v/>
      </c>
      <c r="W740" s="71" t="str">
        <f>CONCATENATE(H740," ",I740," ",J740," ",K740," ",L740," ",M740," ",N740," ",O740," ",P740," ",Q740," ",R740," ",S740," ",T740," ",U740," ",V740)</f>
        <v xml:space="preserve">Fixed costs Costs that remain constant throughout the life of the project (the cost of a piece of rented equipment for the project, the cost of a consultant brought on to the project, and so on).         </v>
      </c>
    </row>
    <row r="741" spans="1:23" customFormat="1" hidden="1">
      <c r="A741" t="b">
        <f t="shared" si="221"/>
        <v>0</v>
      </c>
      <c r="B741">
        <f t="shared" si="223"/>
        <v>740</v>
      </c>
      <c r="C741" t="s">
        <v>1689</v>
      </c>
      <c r="D741" t="s">
        <v>732</v>
      </c>
      <c r="E741">
        <f t="shared" si="240"/>
        <v>37</v>
      </c>
      <c r="G741">
        <f t="shared" si="224"/>
        <v>2</v>
      </c>
      <c r="H741" t="str">
        <f t="shared" si="225"/>
        <v/>
      </c>
      <c r="I741" t="str">
        <f t="shared" si="226"/>
        <v/>
      </c>
      <c r="J741" t="str">
        <f t="shared" si="227"/>
        <v/>
      </c>
      <c r="K741" t="str">
        <f t="shared" si="228"/>
        <v/>
      </c>
      <c r="L741" t="str">
        <f t="shared" si="229"/>
        <v/>
      </c>
      <c r="M741" t="str">
        <f t="shared" si="230"/>
        <v/>
      </c>
      <c r="N741" t="str">
        <f t="shared" si="231"/>
        <v/>
      </c>
      <c r="O741" t="str">
        <f t="shared" si="232"/>
        <v/>
      </c>
      <c r="P741" t="str">
        <f t="shared" si="233"/>
        <v/>
      </c>
      <c r="Q741" t="str">
        <f t="shared" si="234"/>
        <v/>
      </c>
      <c r="R741" t="str">
        <f t="shared" si="235"/>
        <v/>
      </c>
      <c r="S741" t="str">
        <f t="shared" si="236"/>
        <v/>
      </c>
      <c r="T741" t="str">
        <f t="shared" si="237"/>
        <v/>
      </c>
      <c r="U741" t="str">
        <f t="shared" si="238"/>
        <v/>
      </c>
      <c r="V741" t="str">
        <f t="shared" si="239"/>
        <v/>
      </c>
      <c r="W741" t="str">
        <f t="shared" si="222"/>
        <v xml:space="preserve">              </v>
      </c>
    </row>
    <row r="742" spans="1:23" customFormat="1" hidden="1">
      <c r="A742" t="b">
        <f t="shared" si="221"/>
        <v>0</v>
      </c>
      <c r="B742">
        <f t="shared" si="223"/>
        <v>741</v>
      </c>
      <c r="C742" t="s">
        <v>1689</v>
      </c>
      <c r="D742" t="s">
        <v>733</v>
      </c>
      <c r="E742">
        <f t="shared" si="240"/>
        <v>44</v>
      </c>
      <c r="G742">
        <f t="shared" si="224"/>
        <v>3</v>
      </c>
      <c r="H742" t="str">
        <f t="shared" si="225"/>
        <v/>
      </c>
      <c r="I742" t="str">
        <f t="shared" si="226"/>
        <v/>
      </c>
      <c r="J742" t="str">
        <f t="shared" si="227"/>
        <v/>
      </c>
      <c r="K742" t="str">
        <f t="shared" si="228"/>
        <v/>
      </c>
      <c r="L742" t="str">
        <f t="shared" si="229"/>
        <v/>
      </c>
      <c r="M742" t="str">
        <f t="shared" si="230"/>
        <v/>
      </c>
      <c r="N742" t="str">
        <f t="shared" si="231"/>
        <v/>
      </c>
      <c r="O742" t="str">
        <f t="shared" si="232"/>
        <v/>
      </c>
      <c r="P742" t="str">
        <f t="shared" si="233"/>
        <v/>
      </c>
      <c r="Q742" t="str">
        <f t="shared" si="234"/>
        <v/>
      </c>
      <c r="R742" t="str">
        <f t="shared" si="235"/>
        <v/>
      </c>
      <c r="S742" t="str">
        <f t="shared" si="236"/>
        <v/>
      </c>
      <c r="T742" t="str">
        <f t="shared" si="237"/>
        <v/>
      </c>
      <c r="U742" t="str">
        <f t="shared" si="238"/>
        <v/>
      </c>
      <c r="V742" t="str">
        <f t="shared" si="239"/>
        <v/>
      </c>
      <c r="W742" t="str">
        <f t="shared" si="222"/>
        <v xml:space="preserve">              </v>
      </c>
    </row>
    <row r="743" spans="1:23" customFormat="1" hidden="1">
      <c r="A743" t="b">
        <f t="shared" si="221"/>
        <v>0</v>
      </c>
      <c r="B743">
        <f t="shared" si="223"/>
        <v>742</v>
      </c>
      <c r="C743" t="s">
        <v>1689</v>
      </c>
      <c r="D743" t="s">
        <v>734</v>
      </c>
      <c r="E743">
        <f t="shared" si="240"/>
        <v>40</v>
      </c>
      <c r="G743">
        <f t="shared" si="224"/>
        <v>4</v>
      </c>
      <c r="H743" t="str">
        <f t="shared" si="225"/>
        <v/>
      </c>
      <c r="I743" t="str">
        <f t="shared" si="226"/>
        <v/>
      </c>
      <c r="J743" t="str">
        <f t="shared" si="227"/>
        <v/>
      </c>
      <c r="K743" t="str">
        <f t="shared" si="228"/>
        <v/>
      </c>
      <c r="L743" t="str">
        <f t="shared" si="229"/>
        <v/>
      </c>
      <c r="M743" t="str">
        <f t="shared" si="230"/>
        <v/>
      </c>
      <c r="N743" t="str">
        <f t="shared" si="231"/>
        <v/>
      </c>
      <c r="O743" t="str">
        <f t="shared" si="232"/>
        <v/>
      </c>
      <c r="P743" t="str">
        <f t="shared" si="233"/>
        <v/>
      </c>
      <c r="Q743" t="str">
        <f t="shared" si="234"/>
        <v/>
      </c>
      <c r="R743" t="str">
        <f t="shared" si="235"/>
        <v/>
      </c>
      <c r="S743" t="str">
        <f t="shared" si="236"/>
        <v/>
      </c>
      <c r="T743" t="str">
        <f t="shared" si="237"/>
        <v/>
      </c>
      <c r="U743" t="str">
        <f t="shared" si="238"/>
        <v/>
      </c>
      <c r="V743" t="str">
        <f t="shared" si="239"/>
        <v/>
      </c>
      <c r="W743" t="str">
        <f t="shared" si="222"/>
        <v xml:space="preserve">              </v>
      </c>
    </row>
    <row r="744" spans="1:23" customFormat="1" hidden="1">
      <c r="A744" t="b">
        <f t="shared" si="221"/>
        <v>0</v>
      </c>
      <c r="B744">
        <f t="shared" si="223"/>
        <v>743</v>
      </c>
      <c r="C744" t="s">
        <v>1689</v>
      </c>
      <c r="D744" t="s">
        <v>735</v>
      </c>
      <c r="E744">
        <f t="shared" si="240"/>
        <v>38</v>
      </c>
      <c r="G744">
        <f t="shared" si="224"/>
        <v>5</v>
      </c>
      <c r="H744" t="str">
        <f t="shared" si="225"/>
        <v/>
      </c>
      <c r="I744" t="str">
        <f t="shared" si="226"/>
        <v/>
      </c>
      <c r="J744" t="str">
        <f t="shared" si="227"/>
        <v/>
      </c>
      <c r="K744" t="str">
        <f t="shared" si="228"/>
        <v/>
      </c>
      <c r="L744" t="str">
        <f t="shared" si="229"/>
        <v/>
      </c>
      <c r="M744" t="str">
        <f t="shared" si="230"/>
        <v/>
      </c>
      <c r="N744" t="str">
        <f t="shared" si="231"/>
        <v/>
      </c>
      <c r="O744" t="str">
        <f t="shared" si="232"/>
        <v/>
      </c>
      <c r="P744" t="str">
        <f t="shared" si="233"/>
        <v/>
      </c>
      <c r="Q744" t="str">
        <f t="shared" si="234"/>
        <v/>
      </c>
      <c r="R744" t="str">
        <f t="shared" si="235"/>
        <v/>
      </c>
      <c r="S744" t="str">
        <f t="shared" si="236"/>
        <v/>
      </c>
      <c r="T744" t="str">
        <f t="shared" si="237"/>
        <v/>
      </c>
      <c r="U744" t="str">
        <f t="shared" si="238"/>
        <v/>
      </c>
      <c r="V744" t="str">
        <f t="shared" si="239"/>
        <v/>
      </c>
      <c r="W744" t="str">
        <f t="shared" si="222"/>
        <v xml:space="preserve">              </v>
      </c>
    </row>
    <row r="745" spans="1:23" customFormat="1" hidden="1">
      <c r="A745" t="b">
        <f t="shared" si="221"/>
        <v>0</v>
      </c>
      <c r="B745">
        <f t="shared" si="223"/>
        <v>744</v>
      </c>
      <c r="C745" t="s">
        <v>1689</v>
      </c>
      <c r="D745" t="s">
        <v>736</v>
      </c>
      <c r="E745">
        <f t="shared" si="240"/>
        <v>20</v>
      </c>
      <c r="G745">
        <f t="shared" si="224"/>
        <v>6</v>
      </c>
      <c r="H745" t="str">
        <f t="shared" si="225"/>
        <v/>
      </c>
      <c r="I745" t="str">
        <f t="shared" si="226"/>
        <v/>
      </c>
      <c r="J745" t="str">
        <f t="shared" si="227"/>
        <v/>
      </c>
      <c r="K745" t="str">
        <f t="shared" si="228"/>
        <v/>
      </c>
      <c r="L745" t="str">
        <f t="shared" si="229"/>
        <v/>
      </c>
      <c r="M745" t="str">
        <f t="shared" si="230"/>
        <v/>
      </c>
      <c r="N745" t="str">
        <f t="shared" si="231"/>
        <v/>
      </c>
      <c r="O745" t="str">
        <f t="shared" si="232"/>
        <v/>
      </c>
      <c r="P745" t="str">
        <f t="shared" si="233"/>
        <v/>
      </c>
      <c r="Q745" t="str">
        <f t="shared" si="234"/>
        <v/>
      </c>
      <c r="R745" t="str">
        <f t="shared" si="235"/>
        <v/>
      </c>
      <c r="S745" t="str">
        <f t="shared" si="236"/>
        <v/>
      </c>
      <c r="T745" t="str">
        <f t="shared" si="237"/>
        <v/>
      </c>
      <c r="U745" t="str">
        <f t="shared" si="238"/>
        <v/>
      </c>
      <c r="V745" t="str">
        <f t="shared" si="239"/>
        <v/>
      </c>
      <c r="W745" t="str">
        <f t="shared" si="222"/>
        <v xml:space="preserve">              </v>
      </c>
    </row>
    <row r="746" spans="1:23" hidden="1">
      <c r="A746" s="71" t="b">
        <f t="shared" si="221"/>
        <v>0</v>
      </c>
      <c r="B746" s="71">
        <f t="shared" si="223"/>
        <v>745</v>
      </c>
      <c r="C746" s="71" t="s">
        <v>1689</v>
      </c>
      <c r="D746" s="71" t="s">
        <v>737</v>
      </c>
      <c r="E746">
        <f t="shared" si="240"/>
        <v>28</v>
      </c>
      <c r="F746">
        <v>1</v>
      </c>
      <c r="G746">
        <f t="shared" si="224"/>
        <v>1</v>
      </c>
      <c r="H746" t="str">
        <f t="shared" si="225"/>
        <v>Funding limit reconciliation</v>
      </c>
      <c r="I746" t="str">
        <f t="shared" si="226"/>
        <v>An organization’s approach to managing</v>
      </c>
      <c r="J746" t="str">
        <f t="shared" si="227"/>
        <v>cash flow against the project deliverables</v>
      </c>
      <c r="K746" t="str">
        <f t="shared" si="228"/>
        <v>based on a schedule, milestone</v>
      </c>
      <c r="L746" t="str">
        <f t="shared" si="229"/>
        <v>accomplishment, or data constraints.</v>
      </c>
      <c r="M746" t="str">
        <f t="shared" si="230"/>
        <v/>
      </c>
      <c r="N746" t="str">
        <f t="shared" si="231"/>
        <v/>
      </c>
      <c r="O746" t="str">
        <f t="shared" si="232"/>
        <v/>
      </c>
      <c r="P746" t="str">
        <f t="shared" si="233"/>
        <v/>
      </c>
      <c r="Q746" t="str">
        <f t="shared" si="234"/>
        <v/>
      </c>
      <c r="R746" t="str">
        <f t="shared" si="235"/>
        <v/>
      </c>
      <c r="S746" t="str">
        <f t="shared" si="236"/>
        <v/>
      </c>
      <c r="T746" t="str">
        <f t="shared" si="237"/>
        <v/>
      </c>
      <c r="U746" t="str">
        <f t="shared" si="238"/>
        <v/>
      </c>
      <c r="V746" t="str">
        <f t="shared" si="239"/>
        <v/>
      </c>
      <c r="W746" s="71" t="str">
        <f>CONCATENATE(H746," ",I746," ",J746," ",K746," ",L746," ",M746," ",N746," ",O746," ",P746," ",Q746," ",R746," ",S746," ",T746," ",U746," ",V746)</f>
        <v xml:space="preserve">Funding limit reconciliation An organization’s approach to managing cash flow against the project deliverables based on a schedule, milestone accomplishment, or data constraints.          </v>
      </c>
    </row>
    <row r="747" spans="1:23" customFormat="1" hidden="1">
      <c r="A747" t="b">
        <f t="shared" si="221"/>
        <v>0</v>
      </c>
      <c r="B747">
        <f t="shared" si="223"/>
        <v>746</v>
      </c>
      <c r="C747" t="s">
        <v>1689</v>
      </c>
      <c r="D747" t="s">
        <v>738</v>
      </c>
      <c r="E747">
        <f t="shared" si="240"/>
        <v>38</v>
      </c>
      <c r="G747">
        <f t="shared" si="224"/>
        <v>2</v>
      </c>
      <c r="H747" t="str">
        <f t="shared" si="225"/>
        <v/>
      </c>
      <c r="I747" t="str">
        <f t="shared" si="226"/>
        <v/>
      </c>
      <c r="J747" t="str">
        <f t="shared" si="227"/>
        <v/>
      </c>
      <c r="K747" t="str">
        <f t="shared" si="228"/>
        <v/>
      </c>
      <c r="L747" t="str">
        <f t="shared" si="229"/>
        <v/>
      </c>
      <c r="M747" t="str">
        <f t="shared" si="230"/>
        <v/>
      </c>
      <c r="N747" t="str">
        <f t="shared" si="231"/>
        <v/>
      </c>
      <c r="O747" t="str">
        <f t="shared" si="232"/>
        <v/>
      </c>
      <c r="P747" t="str">
        <f t="shared" si="233"/>
        <v/>
      </c>
      <c r="Q747" t="str">
        <f t="shared" si="234"/>
        <v/>
      </c>
      <c r="R747" t="str">
        <f t="shared" si="235"/>
        <v/>
      </c>
      <c r="S747" t="str">
        <f t="shared" si="236"/>
        <v/>
      </c>
      <c r="T747" t="str">
        <f t="shared" si="237"/>
        <v/>
      </c>
      <c r="U747" t="str">
        <f t="shared" si="238"/>
        <v/>
      </c>
      <c r="V747" t="str">
        <f t="shared" si="239"/>
        <v/>
      </c>
      <c r="W747" t="str">
        <f t="shared" si="222"/>
        <v xml:space="preserve">              </v>
      </c>
    </row>
    <row r="748" spans="1:23" customFormat="1" hidden="1">
      <c r="A748" t="b">
        <f t="shared" si="221"/>
        <v>0</v>
      </c>
      <c r="B748">
        <f t="shared" si="223"/>
        <v>747</v>
      </c>
      <c r="C748" t="s">
        <v>1689</v>
      </c>
      <c r="D748" t="s">
        <v>739</v>
      </c>
      <c r="E748">
        <f t="shared" si="240"/>
        <v>42</v>
      </c>
      <c r="G748">
        <f t="shared" si="224"/>
        <v>3</v>
      </c>
      <c r="H748" t="str">
        <f t="shared" si="225"/>
        <v/>
      </c>
      <c r="I748" t="str">
        <f t="shared" si="226"/>
        <v/>
      </c>
      <c r="J748" t="str">
        <f t="shared" si="227"/>
        <v/>
      </c>
      <c r="K748" t="str">
        <f t="shared" si="228"/>
        <v/>
      </c>
      <c r="L748" t="str">
        <f t="shared" si="229"/>
        <v/>
      </c>
      <c r="M748" t="str">
        <f t="shared" si="230"/>
        <v/>
      </c>
      <c r="N748" t="str">
        <f t="shared" si="231"/>
        <v/>
      </c>
      <c r="O748" t="str">
        <f t="shared" si="232"/>
        <v/>
      </c>
      <c r="P748" t="str">
        <f t="shared" si="233"/>
        <v/>
      </c>
      <c r="Q748" t="str">
        <f t="shared" si="234"/>
        <v/>
      </c>
      <c r="R748" t="str">
        <f t="shared" si="235"/>
        <v/>
      </c>
      <c r="S748" t="str">
        <f t="shared" si="236"/>
        <v/>
      </c>
      <c r="T748" t="str">
        <f t="shared" si="237"/>
        <v/>
      </c>
      <c r="U748" t="str">
        <f t="shared" si="238"/>
        <v/>
      </c>
      <c r="V748" t="str">
        <f t="shared" si="239"/>
        <v/>
      </c>
      <c r="W748" t="str">
        <f t="shared" si="222"/>
        <v xml:space="preserve">              </v>
      </c>
    </row>
    <row r="749" spans="1:23" customFormat="1" hidden="1">
      <c r="A749" t="b">
        <f t="shared" si="221"/>
        <v>0</v>
      </c>
      <c r="B749">
        <f t="shared" si="223"/>
        <v>748</v>
      </c>
      <c r="C749" t="s">
        <v>1689</v>
      </c>
      <c r="D749" t="s">
        <v>740</v>
      </c>
      <c r="E749">
        <f t="shared" si="240"/>
        <v>30</v>
      </c>
      <c r="G749">
        <f t="shared" si="224"/>
        <v>4</v>
      </c>
      <c r="H749" t="str">
        <f t="shared" si="225"/>
        <v/>
      </c>
      <c r="I749" t="str">
        <f t="shared" si="226"/>
        <v/>
      </c>
      <c r="J749" t="str">
        <f t="shared" si="227"/>
        <v/>
      </c>
      <c r="K749" t="str">
        <f t="shared" si="228"/>
        <v/>
      </c>
      <c r="L749" t="str">
        <f t="shared" si="229"/>
        <v/>
      </c>
      <c r="M749" t="str">
        <f t="shared" si="230"/>
        <v/>
      </c>
      <c r="N749" t="str">
        <f t="shared" si="231"/>
        <v/>
      </c>
      <c r="O749" t="str">
        <f t="shared" si="232"/>
        <v/>
      </c>
      <c r="P749" t="str">
        <f t="shared" si="233"/>
        <v/>
      </c>
      <c r="Q749" t="str">
        <f t="shared" si="234"/>
        <v/>
      </c>
      <c r="R749" t="str">
        <f t="shared" si="235"/>
        <v/>
      </c>
      <c r="S749" t="str">
        <f t="shared" si="236"/>
        <v/>
      </c>
      <c r="T749" t="str">
        <f t="shared" si="237"/>
        <v/>
      </c>
      <c r="U749" t="str">
        <f t="shared" si="238"/>
        <v/>
      </c>
      <c r="V749" t="str">
        <f t="shared" si="239"/>
        <v/>
      </c>
      <c r="W749" t="str">
        <f t="shared" si="222"/>
        <v xml:space="preserve">              </v>
      </c>
    </row>
    <row r="750" spans="1:23" customFormat="1" hidden="1">
      <c r="A750" t="b">
        <f t="shared" si="221"/>
        <v>0</v>
      </c>
      <c r="B750">
        <f t="shared" si="223"/>
        <v>749</v>
      </c>
      <c r="C750" t="s">
        <v>1689</v>
      </c>
      <c r="D750" t="s">
        <v>741</v>
      </c>
      <c r="E750">
        <f t="shared" si="240"/>
        <v>36</v>
      </c>
      <c r="G750">
        <f t="shared" si="224"/>
        <v>5</v>
      </c>
      <c r="H750" t="str">
        <f t="shared" si="225"/>
        <v/>
      </c>
      <c r="I750" t="str">
        <f t="shared" si="226"/>
        <v/>
      </c>
      <c r="J750" t="str">
        <f t="shared" si="227"/>
        <v/>
      </c>
      <c r="K750" t="str">
        <f t="shared" si="228"/>
        <v/>
      </c>
      <c r="L750" t="str">
        <f t="shared" si="229"/>
        <v/>
      </c>
      <c r="M750" t="str">
        <f t="shared" si="230"/>
        <v/>
      </c>
      <c r="N750" t="str">
        <f t="shared" si="231"/>
        <v/>
      </c>
      <c r="O750" t="str">
        <f t="shared" si="232"/>
        <v/>
      </c>
      <c r="P750" t="str">
        <f t="shared" si="233"/>
        <v/>
      </c>
      <c r="Q750" t="str">
        <f t="shared" si="234"/>
        <v/>
      </c>
      <c r="R750" t="str">
        <f t="shared" si="235"/>
        <v/>
      </c>
      <c r="S750" t="str">
        <f t="shared" si="236"/>
        <v/>
      </c>
      <c r="T750" t="str">
        <f t="shared" si="237"/>
        <v/>
      </c>
      <c r="U750" t="str">
        <f t="shared" si="238"/>
        <v/>
      </c>
      <c r="V750" t="str">
        <f t="shared" si="239"/>
        <v/>
      </c>
      <c r="W750" t="str">
        <f t="shared" si="222"/>
        <v xml:space="preserve">              </v>
      </c>
    </row>
    <row r="751" spans="1:23" hidden="1">
      <c r="A751" s="71" t="b">
        <f t="shared" si="221"/>
        <v>0</v>
      </c>
      <c r="B751" s="71">
        <f t="shared" si="223"/>
        <v>750</v>
      </c>
      <c r="C751" s="71" t="s">
        <v>1689</v>
      </c>
      <c r="D751" s="71" t="s">
        <v>742</v>
      </c>
      <c r="E751">
        <f t="shared" si="240"/>
        <v>14</v>
      </c>
      <c r="F751">
        <v>1</v>
      </c>
      <c r="G751">
        <f t="shared" si="224"/>
        <v>1</v>
      </c>
      <c r="H751" t="str">
        <f t="shared" si="225"/>
        <v>Indirect costs</v>
      </c>
      <c r="I751" t="str">
        <f t="shared" si="226"/>
        <v>Costs that are representative of more</v>
      </c>
      <c r="J751" t="str">
        <f t="shared" si="227"/>
        <v>than one project (for example, utilities for</v>
      </c>
      <c r="K751" t="str">
        <f t="shared" si="228"/>
        <v>the performing organization, access to a</v>
      </c>
      <c r="L751" t="str">
        <f t="shared" si="229"/>
        <v>training room, project management</v>
      </c>
      <c r="M751" t="str">
        <f t="shared" si="230"/>
        <v>software license, and so on).</v>
      </c>
      <c r="N751" t="str">
        <f t="shared" si="231"/>
        <v/>
      </c>
      <c r="O751" t="str">
        <f t="shared" si="232"/>
        <v/>
      </c>
      <c r="P751" t="str">
        <f t="shared" si="233"/>
        <v/>
      </c>
      <c r="Q751" t="str">
        <f t="shared" si="234"/>
        <v/>
      </c>
      <c r="R751" t="str">
        <f t="shared" si="235"/>
        <v/>
      </c>
      <c r="S751" t="str">
        <f t="shared" si="236"/>
        <v/>
      </c>
      <c r="T751" t="str">
        <f t="shared" si="237"/>
        <v/>
      </c>
      <c r="U751" t="str">
        <f t="shared" si="238"/>
        <v/>
      </c>
      <c r="V751" t="str">
        <f t="shared" si="239"/>
        <v/>
      </c>
      <c r="W751" s="71" t="str">
        <f>CONCATENATE(H751," ",I751," ",J751," ",K751," ",L751," ",M751," ",N751," ",O751," ",P751," ",Q751," ",R751," ",S751," ",T751," ",U751," ",V751)</f>
        <v xml:space="preserve">Indirect costs Costs that are representative of more than one project (for example, utilities for the performing organization, access to a training room, project management software license, and so on).         </v>
      </c>
    </row>
    <row r="752" spans="1:23" customFormat="1" hidden="1">
      <c r="A752" t="b">
        <f t="shared" si="221"/>
        <v>0</v>
      </c>
      <c r="B752">
        <f t="shared" si="223"/>
        <v>751</v>
      </c>
      <c r="C752" t="s">
        <v>1689</v>
      </c>
      <c r="D752" t="s">
        <v>743</v>
      </c>
      <c r="E752">
        <f t="shared" si="240"/>
        <v>37</v>
      </c>
      <c r="G752">
        <f t="shared" si="224"/>
        <v>2</v>
      </c>
      <c r="H752" t="str">
        <f t="shared" si="225"/>
        <v/>
      </c>
      <c r="I752" t="str">
        <f t="shared" si="226"/>
        <v/>
      </c>
      <c r="J752" t="str">
        <f t="shared" si="227"/>
        <v/>
      </c>
      <c r="K752" t="str">
        <f t="shared" si="228"/>
        <v/>
      </c>
      <c r="L752" t="str">
        <f t="shared" si="229"/>
        <v/>
      </c>
      <c r="M752" t="str">
        <f t="shared" si="230"/>
        <v/>
      </c>
      <c r="N752" t="str">
        <f t="shared" si="231"/>
        <v/>
      </c>
      <c r="O752" t="str">
        <f t="shared" si="232"/>
        <v/>
      </c>
      <c r="P752" t="str">
        <f t="shared" si="233"/>
        <v/>
      </c>
      <c r="Q752" t="str">
        <f t="shared" si="234"/>
        <v/>
      </c>
      <c r="R752" t="str">
        <f t="shared" si="235"/>
        <v/>
      </c>
      <c r="S752" t="str">
        <f t="shared" si="236"/>
        <v/>
      </c>
      <c r="T752" t="str">
        <f t="shared" si="237"/>
        <v/>
      </c>
      <c r="U752" t="str">
        <f t="shared" si="238"/>
        <v/>
      </c>
      <c r="V752" t="str">
        <f t="shared" si="239"/>
        <v/>
      </c>
      <c r="W752" t="str">
        <f t="shared" si="222"/>
        <v xml:space="preserve">              </v>
      </c>
    </row>
    <row r="753" spans="1:23" customFormat="1" hidden="1">
      <c r="A753" t="b">
        <f t="shared" si="221"/>
        <v>0</v>
      </c>
      <c r="B753">
        <f t="shared" si="223"/>
        <v>752</v>
      </c>
      <c r="C753" t="s">
        <v>1689</v>
      </c>
      <c r="D753" t="s">
        <v>744</v>
      </c>
      <c r="E753">
        <f t="shared" si="240"/>
        <v>44</v>
      </c>
      <c r="G753">
        <f t="shared" si="224"/>
        <v>3</v>
      </c>
      <c r="H753" t="str">
        <f t="shared" si="225"/>
        <v/>
      </c>
      <c r="I753" t="str">
        <f t="shared" si="226"/>
        <v/>
      </c>
      <c r="J753" t="str">
        <f t="shared" si="227"/>
        <v/>
      </c>
      <c r="K753" t="str">
        <f t="shared" si="228"/>
        <v/>
      </c>
      <c r="L753" t="str">
        <f t="shared" si="229"/>
        <v/>
      </c>
      <c r="M753" t="str">
        <f t="shared" si="230"/>
        <v/>
      </c>
      <c r="N753" t="str">
        <f t="shared" si="231"/>
        <v/>
      </c>
      <c r="O753" t="str">
        <f t="shared" si="232"/>
        <v/>
      </c>
      <c r="P753" t="str">
        <f t="shared" si="233"/>
        <v/>
      </c>
      <c r="Q753" t="str">
        <f t="shared" si="234"/>
        <v/>
      </c>
      <c r="R753" t="str">
        <f t="shared" si="235"/>
        <v/>
      </c>
      <c r="S753" t="str">
        <f t="shared" si="236"/>
        <v/>
      </c>
      <c r="T753" t="str">
        <f t="shared" si="237"/>
        <v/>
      </c>
      <c r="U753" t="str">
        <f t="shared" si="238"/>
        <v/>
      </c>
      <c r="V753" t="str">
        <f t="shared" si="239"/>
        <v/>
      </c>
      <c r="W753" t="str">
        <f t="shared" si="222"/>
        <v xml:space="preserve">              </v>
      </c>
    </row>
    <row r="754" spans="1:23" customFormat="1" hidden="1">
      <c r="A754" t="b">
        <f t="shared" si="221"/>
        <v>0</v>
      </c>
      <c r="B754">
        <f t="shared" si="223"/>
        <v>753</v>
      </c>
      <c r="C754" t="s">
        <v>1689</v>
      </c>
      <c r="D754" t="s">
        <v>745</v>
      </c>
      <c r="E754">
        <f t="shared" si="240"/>
        <v>40</v>
      </c>
      <c r="G754">
        <f t="shared" si="224"/>
        <v>4</v>
      </c>
      <c r="H754" t="str">
        <f t="shared" si="225"/>
        <v/>
      </c>
      <c r="I754" t="str">
        <f t="shared" si="226"/>
        <v/>
      </c>
      <c r="J754" t="str">
        <f t="shared" si="227"/>
        <v/>
      </c>
      <c r="K754" t="str">
        <f t="shared" si="228"/>
        <v/>
      </c>
      <c r="L754" t="str">
        <f t="shared" si="229"/>
        <v/>
      </c>
      <c r="M754" t="str">
        <f t="shared" si="230"/>
        <v/>
      </c>
      <c r="N754" t="str">
        <f t="shared" si="231"/>
        <v/>
      </c>
      <c r="O754" t="str">
        <f t="shared" si="232"/>
        <v/>
      </c>
      <c r="P754" t="str">
        <f t="shared" si="233"/>
        <v/>
      </c>
      <c r="Q754" t="str">
        <f t="shared" si="234"/>
        <v/>
      </c>
      <c r="R754" t="str">
        <f t="shared" si="235"/>
        <v/>
      </c>
      <c r="S754" t="str">
        <f t="shared" si="236"/>
        <v/>
      </c>
      <c r="T754" t="str">
        <f t="shared" si="237"/>
        <v/>
      </c>
      <c r="U754" t="str">
        <f t="shared" si="238"/>
        <v/>
      </c>
      <c r="V754" t="str">
        <f t="shared" si="239"/>
        <v/>
      </c>
      <c r="W754" t="str">
        <f t="shared" si="222"/>
        <v xml:space="preserve">              </v>
      </c>
    </row>
    <row r="755" spans="1:23" customFormat="1" hidden="1">
      <c r="A755" t="b">
        <f t="shared" si="221"/>
        <v>0</v>
      </c>
      <c r="B755">
        <f t="shared" si="223"/>
        <v>754</v>
      </c>
      <c r="C755" t="s">
        <v>1689</v>
      </c>
      <c r="D755" t="s">
        <v>746</v>
      </c>
      <c r="E755">
        <f t="shared" si="240"/>
        <v>33</v>
      </c>
      <c r="G755">
        <f t="shared" si="224"/>
        <v>5</v>
      </c>
      <c r="H755" t="str">
        <f t="shared" si="225"/>
        <v/>
      </c>
      <c r="I755" t="str">
        <f t="shared" si="226"/>
        <v/>
      </c>
      <c r="J755" t="str">
        <f t="shared" si="227"/>
        <v/>
      </c>
      <c r="K755" t="str">
        <f t="shared" si="228"/>
        <v/>
      </c>
      <c r="L755" t="str">
        <f t="shared" si="229"/>
        <v/>
      </c>
      <c r="M755" t="str">
        <f t="shared" si="230"/>
        <v/>
      </c>
      <c r="N755" t="str">
        <f t="shared" si="231"/>
        <v/>
      </c>
      <c r="O755" t="str">
        <f t="shared" si="232"/>
        <v/>
      </c>
      <c r="P755" t="str">
        <f t="shared" si="233"/>
        <v/>
      </c>
      <c r="Q755" t="str">
        <f t="shared" si="234"/>
        <v/>
      </c>
      <c r="R755" t="str">
        <f t="shared" si="235"/>
        <v/>
      </c>
      <c r="S755" t="str">
        <f t="shared" si="236"/>
        <v/>
      </c>
      <c r="T755" t="str">
        <f t="shared" si="237"/>
        <v/>
      </c>
      <c r="U755" t="str">
        <f t="shared" si="238"/>
        <v/>
      </c>
      <c r="V755" t="str">
        <f t="shared" si="239"/>
        <v/>
      </c>
      <c r="W755" t="str">
        <f t="shared" si="222"/>
        <v xml:space="preserve">              </v>
      </c>
    </row>
    <row r="756" spans="1:23" customFormat="1" hidden="1">
      <c r="A756" t="b">
        <f t="shared" si="221"/>
        <v>0</v>
      </c>
      <c r="B756">
        <f t="shared" si="223"/>
        <v>755</v>
      </c>
      <c r="C756" t="s">
        <v>1689</v>
      </c>
      <c r="D756" t="s">
        <v>747</v>
      </c>
      <c r="E756">
        <f t="shared" si="240"/>
        <v>29</v>
      </c>
      <c r="G756">
        <f t="shared" si="224"/>
        <v>6</v>
      </c>
      <c r="H756" t="str">
        <f t="shared" si="225"/>
        <v/>
      </c>
      <c r="I756" t="str">
        <f t="shared" si="226"/>
        <v/>
      </c>
      <c r="J756" t="str">
        <f t="shared" si="227"/>
        <v/>
      </c>
      <c r="K756" t="str">
        <f t="shared" si="228"/>
        <v/>
      </c>
      <c r="L756" t="str">
        <f t="shared" si="229"/>
        <v/>
      </c>
      <c r="M756" t="str">
        <f t="shared" si="230"/>
        <v/>
      </c>
      <c r="N756" t="str">
        <f t="shared" si="231"/>
        <v/>
      </c>
      <c r="O756" t="str">
        <f t="shared" si="232"/>
        <v/>
      </c>
      <c r="P756" t="str">
        <f t="shared" si="233"/>
        <v/>
      </c>
      <c r="Q756" t="str">
        <f t="shared" si="234"/>
        <v/>
      </c>
      <c r="R756" t="str">
        <f t="shared" si="235"/>
        <v/>
      </c>
      <c r="S756" t="str">
        <f t="shared" si="236"/>
        <v/>
      </c>
      <c r="T756" t="str">
        <f t="shared" si="237"/>
        <v/>
      </c>
      <c r="U756" t="str">
        <f t="shared" si="238"/>
        <v/>
      </c>
      <c r="V756" t="str">
        <f t="shared" si="239"/>
        <v/>
      </c>
      <c r="W756" t="str">
        <f t="shared" si="222"/>
        <v xml:space="preserve">              </v>
      </c>
    </row>
    <row r="757" spans="1:23" hidden="1">
      <c r="A757" s="71" t="b">
        <f t="shared" si="221"/>
        <v>0</v>
      </c>
      <c r="B757" s="71">
        <f t="shared" si="223"/>
        <v>756</v>
      </c>
      <c r="C757" s="71" t="s">
        <v>1689</v>
      </c>
      <c r="D757" s="71" t="s">
        <v>748</v>
      </c>
      <c r="E757">
        <f t="shared" si="240"/>
        <v>13</v>
      </c>
      <c r="F757">
        <v>1</v>
      </c>
      <c r="G757">
        <f t="shared" si="224"/>
        <v>1</v>
      </c>
      <c r="H757" t="str">
        <f t="shared" si="225"/>
        <v>Known unknown</v>
      </c>
      <c r="I757" t="str">
        <f t="shared" si="226"/>
        <v>An event that will likely happen within the</v>
      </c>
      <c r="J757" t="str">
        <f t="shared" si="227"/>
        <v>project, but when it will happen and to</v>
      </c>
      <c r="K757" t="str">
        <f t="shared" si="228"/>
        <v>what degree is unknown. These events,</v>
      </c>
      <c r="L757" t="str">
        <f t="shared" si="229"/>
        <v>such as delays, are usually risk-related.</v>
      </c>
      <c r="M757" t="str">
        <f t="shared" si="230"/>
        <v/>
      </c>
      <c r="N757" t="str">
        <f t="shared" si="231"/>
        <v/>
      </c>
      <c r="O757" t="str">
        <f t="shared" si="232"/>
        <v/>
      </c>
      <c r="P757" t="str">
        <f t="shared" si="233"/>
        <v/>
      </c>
      <c r="Q757" t="str">
        <f t="shared" si="234"/>
        <v/>
      </c>
      <c r="R757" t="str">
        <f t="shared" si="235"/>
        <v/>
      </c>
      <c r="S757" t="str">
        <f t="shared" si="236"/>
        <v/>
      </c>
      <c r="T757" t="str">
        <f t="shared" si="237"/>
        <v/>
      </c>
      <c r="U757" t="str">
        <f t="shared" si="238"/>
        <v/>
      </c>
      <c r="V757" t="str">
        <f t="shared" si="239"/>
        <v/>
      </c>
      <c r="W757" s="71" t="str">
        <f>CONCATENATE(H757," ",I757," ",J757," ",K757," ",L757," ",M757," ",N757," ",O757," ",P757," ",Q757," ",R757," ",S757," ",T757," ",U757," ",V757)</f>
        <v xml:space="preserve">Known unknown An event that will likely happen within the project, but when it will happen and to what degree is unknown. These events, such as delays, are usually risk-related.          </v>
      </c>
    </row>
    <row r="758" spans="1:23" customFormat="1" hidden="1">
      <c r="A758" t="b">
        <f t="shared" si="221"/>
        <v>0</v>
      </c>
      <c r="B758">
        <f t="shared" si="223"/>
        <v>757</v>
      </c>
      <c r="C758" t="s">
        <v>1689</v>
      </c>
      <c r="D758" t="s">
        <v>749</v>
      </c>
      <c r="E758">
        <f t="shared" si="240"/>
        <v>43</v>
      </c>
      <c r="G758">
        <f t="shared" si="224"/>
        <v>2</v>
      </c>
      <c r="H758" t="str">
        <f t="shared" si="225"/>
        <v/>
      </c>
      <c r="I758" t="str">
        <f t="shared" si="226"/>
        <v/>
      </c>
      <c r="J758" t="str">
        <f t="shared" si="227"/>
        <v/>
      </c>
      <c r="K758" t="str">
        <f t="shared" si="228"/>
        <v/>
      </c>
      <c r="L758" t="str">
        <f t="shared" si="229"/>
        <v/>
      </c>
      <c r="M758" t="str">
        <f t="shared" si="230"/>
        <v/>
      </c>
      <c r="N758" t="str">
        <f t="shared" si="231"/>
        <v/>
      </c>
      <c r="O758" t="str">
        <f t="shared" si="232"/>
        <v/>
      </c>
      <c r="P758" t="str">
        <f t="shared" si="233"/>
        <v/>
      </c>
      <c r="Q758" t="str">
        <f t="shared" si="234"/>
        <v/>
      </c>
      <c r="R758" t="str">
        <f t="shared" si="235"/>
        <v/>
      </c>
      <c r="S758" t="str">
        <f t="shared" si="236"/>
        <v/>
      </c>
      <c r="T758" t="str">
        <f t="shared" si="237"/>
        <v/>
      </c>
      <c r="U758" t="str">
        <f t="shared" si="238"/>
        <v/>
      </c>
      <c r="V758" t="str">
        <f t="shared" si="239"/>
        <v/>
      </c>
      <c r="W758" t="str">
        <f t="shared" si="222"/>
        <v xml:space="preserve">              </v>
      </c>
    </row>
    <row r="759" spans="1:23" customFormat="1" hidden="1">
      <c r="A759" t="b">
        <f t="shared" si="221"/>
        <v>0</v>
      </c>
      <c r="B759">
        <f t="shared" si="223"/>
        <v>758</v>
      </c>
      <c r="C759" t="s">
        <v>1689</v>
      </c>
      <c r="D759" t="s">
        <v>750</v>
      </c>
      <c r="E759">
        <f t="shared" si="240"/>
        <v>39</v>
      </c>
      <c r="G759">
        <f t="shared" si="224"/>
        <v>3</v>
      </c>
      <c r="H759" t="str">
        <f t="shared" si="225"/>
        <v/>
      </c>
      <c r="I759" t="str">
        <f t="shared" si="226"/>
        <v/>
      </c>
      <c r="J759" t="str">
        <f t="shared" si="227"/>
        <v/>
      </c>
      <c r="K759" t="str">
        <f t="shared" si="228"/>
        <v/>
      </c>
      <c r="L759" t="str">
        <f t="shared" si="229"/>
        <v/>
      </c>
      <c r="M759" t="str">
        <f t="shared" si="230"/>
        <v/>
      </c>
      <c r="N759" t="str">
        <f t="shared" si="231"/>
        <v/>
      </c>
      <c r="O759" t="str">
        <f t="shared" si="232"/>
        <v/>
      </c>
      <c r="P759" t="str">
        <f t="shared" si="233"/>
        <v/>
      </c>
      <c r="Q759" t="str">
        <f t="shared" si="234"/>
        <v/>
      </c>
      <c r="R759" t="str">
        <f t="shared" si="235"/>
        <v/>
      </c>
      <c r="S759" t="str">
        <f t="shared" si="236"/>
        <v/>
      </c>
      <c r="T759" t="str">
        <f t="shared" si="237"/>
        <v/>
      </c>
      <c r="U759" t="str">
        <f t="shared" si="238"/>
        <v/>
      </c>
      <c r="V759" t="str">
        <f t="shared" si="239"/>
        <v/>
      </c>
      <c r="W759" t="str">
        <f t="shared" si="222"/>
        <v xml:space="preserve">              </v>
      </c>
    </row>
    <row r="760" spans="1:23" customFormat="1" hidden="1">
      <c r="A760" t="b">
        <f t="shared" si="221"/>
        <v>0</v>
      </c>
      <c r="B760">
        <f t="shared" si="223"/>
        <v>759</v>
      </c>
      <c r="C760" t="s">
        <v>1689</v>
      </c>
      <c r="D760" t="s">
        <v>751</v>
      </c>
      <c r="E760">
        <f t="shared" si="240"/>
        <v>37</v>
      </c>
      <c r="G760">
        <f t="shared" si="224"/>
        <v>4</v>
      </c>
      <c r="H760" t="str">
        <f t="shared" si="225"/>
        <v/>
      </c>
      <c r="I760" t="str">
        <f t="shared" si="226"/>
        <v/>
      </c>
      <c r="J760" t="str">
        <f t="shared" si="227"/>
        <v/>
      </c>
      <c r="K760" t="str">
        <f t="shared" si="228"/>
        <v/>
      </c>
      <c r="L760" t="str">
        <f t="shared" si="229"/>
        <v/>
      </c>
      <c r="M760" t="str">
        <f t="shared" si="230"/>
        <v/>
      </c>
      <c r="N760" t="str">
        <f t="shared" si="231"/>
        <v/>
      </c>
      <c r="O760" t="str">
        <f t="shared" si="232"/>
        <v/>
      </c>
      <c r="P760" t="str">
        <f t="shared" si="233"/>
        <v/>
      </c>
      <c r="Q760" t="str">
        <f t="shared" si="234"/>
        <v/>
      </c>
      <c r="R760" t="str">
        <f t="shared" si="235"/>
        <v/>
      </c>
      <c r="S760" t="str">
        <f t="shared" si="236"/>
        <v/>
      </c>
      <c r="T760" t="str">
        <f t="shared" si="237"/>
        <v/>
      </c>
      <c r="U760" t="str">
        <f t="shared" si="238"/>
        <v/>
      </c>
      <c r="V760" t="str">
        <f t="shared" si="239"/>
        <v/>
      </c>
      <c r="W760" t="str">
        <f t="shared" si="222"/>
        <v xml:space="preserve">              </v>
      </c>
    </row>
    <row r="761" spans="1:23" customFormat="1" hidden="1">
      <c r="A761" t="b">
        <f t="shared" si="221"/>
        <v>0</v>
      </c>
      <c r="B761">
        <f t="shared" si="223"/>
        <v>760</v>
      </c>
      <c r="C761" t="s">
        <v>1689</v>
      </c>
      <c r="D761" t="s">
        <v>752</v>
      </c>
      <c r="E761">
        <f t="shared" si="240"/>
        <v>41</v>
      </c>
      <c r="G761">
        <f t="shared" si="224"/>
        <v>5</v>
      </c>
      <c r="H761" t="str">
        <f t="shared" si="225"/>
        <v/>
      </c>
      <c r="I761" t="str">
        <f t="shared" si="226"/>
        <v/>
      </c>
      <c r="J761" t="str">
        <f t="shared" si="227"/>
        <v/>
      </c>
      <c r="K761" t="str">
        <f t="shared" si="228"/>
        <v/>
      </c>
      <c r="L761" t="str">
        <f t="shared" si="229"/>
        <v/>
      </c>
      <c r="M761" t="str">
        <f t="shared" si="230"/>
        <v/>
      </c>
      <c r="N761" t="str">
        <f t="shared" si="231"/>
        <v/>
      </c>
      <c r="O761" t="str">
        <f t="shared" si="232"/>
        <v/>
      </c>
      <c r="P761" t="str">
        <f t="shared" si="233"/>
        <v/>
      </c>
      <c r="Q761" t="str">
        <f t="shared" si="234"/>
        <v/>
      </c>
      <c r="R761" t="str">
        <f t="shared" si="235"/>
        <v/>
      </c>
      <c r="S761" t="str">
        <f t="shared" si="236"/>
        <v/>
      </c>
      <c r="T761" t="str">
        <f t="shared" si="237"/>
        <v/>
      </c>
      <c r="U761" t="str">
        <f t="shared" si="238"/>
        <v/>
      </c>
      <c r="V761" t="str">
        <f t="shared" si="239"/>
        <v/>
      </c>
      <c r="W761" t="str">
        <f t="shared" si="222"/>
        <v xml:space="preserve">              </v>
      </c>
    </row>
    <row r="762" spans="1:23" hidden="1">
      <c r="A762" s="71" t="b">
        <f t="shared" si="221"/>
        <v>0</v>
      </c>
      <c r="B762" s="71">
        <f t="shared" si="223"/>
        <v>761</v>
      </c>
      <c r="C762" s="71" t="s">
        <v>1689</v>
      </c>
      <c r="D762" s="71" t="s">
        <v>753</v>
      </c>
      <c r="E762">
        <f t="shared" si="240"/>
        <v>14</v>
      </c>
      <c r="F762">
        <v>1</v>
      </c>
      <c r="G762">
        <f t="shared" si="224"/>
        <v>1</v>
      </c>
      <c r="H762" t="str">
        <f t="shared" si="225"/>
        <v>Learning curve</v>
      </c>
      <c r="I762" t="str">
        <f t="shared" si="226"/>
        <v>An approach that assumes the cost per</v>
      </c>
      <c r="J762" t="str">
        <f t="shared" si="227"/>
        <v>unit decreases the more units workers</v>
      </c>
      <c r="K762" t="str">
        <f t="shared" si="228"/>
        <v>complete, because workers learn as they</v>
      </c>
      <c r="L762" t="str">
        <f t="shared" si="229"/>
        <v>complete the required work.</v>
      </c>
      <c r="M762" t="str">
        <f t="shared" si="230"/>
        <v/>
      </c>
      <c r="N762" t="str">
        <f t="shared" si="231"/>
        <v/>
      </c>
      <c r="O762" t="str">
        <f t="shared" si="232"/>
        <v/>
      </c>
      <c r="P762" t="str">
        <f t="shared" si="233"/>
        <v/>
      </c>
      <c r="Q762" t="str">
        <f t="shared" si="234"/>
        <v/>
      </c>
      <c r="R762" t="str">
        <f t="shared" si="235"/>
        <v/>
      </c>
      <c r="S762" t="str">
        <f t="shared" si="236"/>
        <v/>
      </c>
      <c r="T762" t="str">
        <f t="shared" si="237"/>
        <v/>
      </c>
      <c r="U762" t="str">
        <f t="shared" si="238"/>
        <v/>
      </c>
      <c r="V762" t="str">
        <f t="shared" si="239"/>
        <v/>
      </c>
      <c r="W762" s="71" t="str">
        <f>CONCATENATE(H762," ",I762," ",J762," ",K762," ",L762," ",M762," ",N762," ",O762," ",P762," ",Q762," ",R762," ",S762," ",T762," ",U762," ",V762)</f>
        <v xml:space="preserve">Learning curve An approach that assumes the cost per unit decreases the more units workers complete, because workers learn as they complete the required work.          </v>
      </c>
    </row>
    <row r="763" spans="1:23" customFormat="1" hidden="1">
      <c r="A763" t="b">
        <f t="shared" si="221"/>
        <v>0</v>
      </c>
      <c r="B763">
        <f t="shared" si="223"/>
        <v>762</v>
      </c>
      <c r="C763" t="s">
        <v>1689</v>
      </c>
      <c r="D763" t="s">
        <v>754</v>
      </c>
      <c r="E763">
        <f t="shared" si="240"/>
        <v>37</v>
      </c>
      <c r="G763">
        <f t="shared" si="224"/>
        <v>2</v>
      </c>
      <c r="H763" t="str">
        <f t="shared" si="225"/>
        <v/>
      </c>
      <c r="I763" t="str">
        <f t="shared" si="226"/>
        <v/>
      </c>
      <c r="J763" t="str">
        <f t="shared" si="227"/>
        <v/>
      </c>
      <c r="K763" t="str">
        <f t="shared" si="228"/>
        <v/>
      </c>
      <c r="L763" t="str">
        <f t="shared" si="229"/>
        <v/>
      </c>
      <c r="M763" t="str">
        <f t="shared" si="230"/>
        <v/>
      </c>
      <c r="N763" t="str">
        <f t="shared" si="231"/>
        <v/>
      </c>
      <c r="O763" t="str">
        <f t="shared" si="232"/>
        <v/>
      </c>
      <c r="P763" t="str">
        <f t="shared" si="233"/>
        <v/>
      </c>
      <c r="Q763" t="str">
        <f t="shared" si="234"/>
        <v/>
      </c>
      <c r="R763" t="str">
        <f t="shared" si="235"/>
        <v/>
      </c>
      <c r="S763" t="str">
        <f t="shared" si="236"/>
        <v/>
      </c>
      <c r="T763" t="str">
        <f t="shared" si="237"/>
        <v/>
      </c>
      <c r="U763" t="str">
        <f t="shared" si="238"/>
        <v/>
      </c>
      <c r="V763" t="str">
        <f t="shared" si="239"/>
        <v/>
      </c>
      <c r="W763" t="str">
        <f t="shared" si="222"/>
        <v xml:space="preserve">              </v>
      </c>
    </row>
    <row r="764" spans="1:23" customFormat="1" hidden="1">
      <c r="A764" t="b">
        <f t="shared" si="221"/>
        <v>0</v>
      </c>
      <c r="B764">
        <f t="shared" si="223"/>
        <v>763</v>
      </c>
      <c r="C764" t="s">
        <v>1689</v>
      </c>
      <c r="D764" t="s">
        <v>755</v>
      </c>
      <c r="E764">
        <f t="shared" si="240"/>
        <v>37</v>
      </c>
      <c r="G764">
        <f t="shared" si="224"/>
        <v>3</v>
      </c>
      <c r="H764" t="str">
        <f t="shared" si="225"/>
        <v/>
      </c>
      <c r="I764" t="str">
        <f t="shared" si="226"/>
        <v/>
      </c>
      <c r="J764" t="str">
        <f t="shared" si="227"/>
        <v/>
      </c>
      <c r="K764" t="str">
        <f t="shared" si="228"/>
        <v/>
      </c>
      <c r="L764" t="str">
        <f t="shared" si="229"/>
        <v/>
      </c>
      <c r="M764" t="str">
        <f t="shared" si="230"/>
        <v/>
      </c>
      <c r="N764" t="str">
        <f t="shared" si="231"/>
        <v/>
      </c>
      <c r="O764" t="str">
        <f t="shared" si="232"/>
        <v/>
      </c>
      <c r="P764" t="str">
        <f t="shared" si="233"/>
        <v/>
      </c>
      <c r="Q764" t="str">
        <f t="shared" si="234"/>
        <v/>
      </c>
      <c r="R764" t="str">
        <f t="shared" si="235"/>
        <v/>
      </c>
      <c r="S764" t="str">
        <f t="shared" si="236"/>
        <v/>
      </c>
      <c r="T764" t="str">
        <f t="shared" si="237"/>
        <v/>
      </c>
      <c r="U764" t="str">
        <f t="shared" si="238"/>
        <v/>
      </c>
      <c r="V764" t="str">
        <f t="shared" si="239"/>
        <v/>
      </c>
      <c r="W764" t="str">
        <f t="shared" si="222"/>
        <v xml:space="preserve">              </v>
      </c>
    </row>
    <row r="765" spans="1:23" customFormat="1" hidden="1">
      <c r="A765" t="b">
        <f t="shared" si="221"/>
        <v>0</v>
      </c>
      <c r="B765">
        <f t="shared" si="223"/>
        <v>764</v>
      </c>
      <c r="C765" t="s">
        <v>1689</v>
      </c>
      <c r="D765" t="s">
        <v>756</v>
      </c>
      <c r="E765">
        <f t="shared" si="240"/>
        <v>39</v>
      </c>
      <c r="G765">
        <f t="shared" si="224"/>
        <v>4</v>
      </c>
      <c r="H765" t="str">
        <f t="shared" si="225"/>
        <v/>
      </c>
      <c r="I765" t="str">
        <f t="shared" si="226"/>
        <v/>
      </c>
      <c r="J765" t="str">
        <f t="shared" si="227"/>
        <v/>
      </c>
      <c r="K765" t="str">
        <f t="shared" si="228"/>
        <v/>
      </c>
      <c r="L765" t="str">
        <f t="shared" si="229"/>
        <v/>
      </c>
      <c r="M765" t="str">
        <f t="shared" si="230"/>
        <v/>
      </c>
      <c r="N765" t="str">
        <f t="shared" si="231"/>
        <v/>
      </c>
      <c r="O765" t="str">
        <f t="shared" si="232"/>
        <v/>
      </c>
      <c r="P765" t="str">
        <f t="shared" si="233"/>
        <v/>
      </c>
      <c r="Q765" t="str">
        <f t="shared" si="234"/>
        <v/>
      </c>
      <c r="R765" t="str">
        <f t="shared" si="235"/>
        <v/>
      </c>
      <c r="S765" t="str">
        <f t="shared" si="236"/>
        <v/>
      </c>
      <c r="T765" t="str">
        <f t="shared" si="237"/>
        <v/>
      </c>
      <c r="U765" t="str">
        <f t="shared" si="238"/>
        <v/>
      </c>
      <c r="V765" t="str">
        <f t="shared" si="239"/>
        <v/>
      </c>
      <c r="W765" t="str">
        <f t="shared" si="222"/>
        <v xml:space="preserve">              </v>
      </c>
    </row>
    <row r="766" spans="1:23" customFormat="1" hidden="1">
      <c r="A766" t="b">
        <f t="shared" si="221"/>
        <v>0</v>
      </c>
      <c r="B766">
        <f t="shared" si="223"/>
        <v>765</v>
      </c>
      <c r="C766" t="s">
        <v>1689</v>
      </c>
      <c r="D766" t="s">
        <v>757</v>
      </c>
      <c r="E766">
        <f t="shared" si="240"/>
        <v>27</v>
      </c>
      <c r="G766">
        <f t="shared" si="224"/>
        <v>5</v>
      </c>
      <c r="H766" t="str">
        <f t="shared" si="225"/>
        <v/>
      </c>
      <c r="I766" t="str">
        <f t="shared" si="226"/>
        <v/>
      </c>
      <c r="J766" t="str">
        <f t="shared" si="227"/>
        <v/>
      </c>
      <c r="K766" t="str">
        <f t="shared" si="228"/>
        <v/>
      </c>
      <c r="L766" t="str">
        <f t="shared" si="229"/>
        <v/>
      </c>
      <c r="M766" t="str">
        <f t="shared" si="230"/>
        <v/>
      </c>
      <c r="N766" t="str">
        <f t="shared" si="231"/>
        <v/>
      </c>
      <c r="O766" t="str">
        <f t="shared" si="232"/>
        <v/>
      </c>
      <c r="P766" t="str">
        <f t="shared" si="233"/>
        <v/>
      </c>
      <c r="Q766" t="str">
        <f t="shared" si="234"/>
        <v/>
      </c>
      <c r="R766" t="str">
        <f t="shared" si="235"/>
        <v/>
      </c>
      <c r="S766" t="str">
        <f t="shared" si="236"/>
        <v/>
      </c>
      <c r="T766" t="str">
        <f t="shared" si="237"/>
        <v/>
      </c>
      <c r="U766" t="str">
        <f t="shared" si="238"/>
        <v/>
      </c>
      <c r="V766" t="str">
        <f t="shared" si="239"/>
        <v/>
      </c>
      <c r="W766" t="str">
        <f t="shared" si="222"/>
        <v xml:space="preserve">              </v>
      </c>
    </row>
    <row r="767" spans="1:23" hidden="1">
      <c r="A767" s="71" t="b">
        <f t="shared" si="221"/>
        <v>0</v>
      </c>
      <c r="B767" s="71">
        <f t="shared" si="223"/>
        <v>766</v>
      </c>
      <c r="C767" s="71" t="s">
        <v>1689</v>
      </c>
      <c r="D767" s="71" t="s">
        <v>758</v>
      </c>
      <c r="E767">
        <f t="shared" si="240"/>
        <v>9</v>
      </c>
      <c r="F767">
        <v>1</v>
      </c>
      <c r="G767">
        <f t="shared" si="224"/>
        <v>1</v>
      </c>
      <c r="H767" t="str">
        <f t="shared" si="225"/>
        <v>Oligopoly</v>
      </c>
      <c r="I767" t="str">
        <f t="shared" si="226"/>
        <v>A market condition where the market is</v>
      </c>
      <c r="J767" t="str">
        <f t="shared" si="227"/>
        <v>so tight that the actions of one vendor</v>
      </c>
      <c r="K767" t="str">
        <f t="shared" si="228"/>
        <v>affect the actions of all the others.</v>
      </c>
      <c r="L767" t="str">
        <f t="shared" si="229"/>
        <v/>
      </c>
      <c r="M767" t="str">
        <f t="shared" si="230"/>
        <v/>
      </c>
      <c r="N767" t="str">
        <f t="shared" si="231"/>
        <v/>
      </c>
      <c r="O767" t="str">
        <f t="shared" si="232"/>
        <v/>
      </c>
      <c r="P767" t="str">
        <f t="shared" si="233"/>
        <v/>
      </c>
      <c r="Q767" t="str">
        <f t="shared" si="234"/>
        <v/>
      </c>
      <c r="R767" t="str">
        <f t="shared" si="235"/>
        <v/>
      </c>
      <c r="S767" t="str">
        <f t="shared" si="236"/>
        <v/>
      </c>
      <c r="T767" t="str">
        <f t="shared" si="237"/>
        <v/>
      </c>
      <c r="U767" t="str">
        <f t="shared" si="238"/>
        <v/>
      </c>
      <c r="V767" t="str">
        <f t="shared" si="239"/>
        <v/>
      </c>
      <c r="W767" s="71" t="str">
        <f>CONCATENATE(H767," ",I767," ",J767," ",K767," ",L767," ",M767," ",N767," ",O767," ",P767," ",Q767," ",R767," ",S767," ",T767," ",U767," ",V767)</f>
        <v xml:space="preserve">Oligopoly A market condition where the market is so tight that the actions of one vendor affect the actions of all the others.           </v>
      </c>
    </row>
    <row r="768" spans="1:23" customFormat="1" hidden="1">
      <c r="A768" t="b">
        <f t="shared" si="221"/>
        <v>0</v>
      </c>
      <c r="B768">
        <f t="shared" si="223"/>
        <v>767</v>
      </c>
      <c r="C768" t="s">
        <v>1689</v>
      </c>
      <c r="D768" t="s">
        <v>759</v>
      </c>
      <c r="E768">
        <f t="shared" si="240"/>
        <v>38</v>
      </c>
      <c r="G768">
        <f t="shared" si="224"/>
        <v>2</v>
      </c>
      <c r="H768" t="str">
        <f t="shared" si="225"/>
        <v/>
      </c>
      <c r="I768" t="str">
        <f t="shared" si="226"/>
        <v/>
      </c>
      <c r="J768" t="str">
        <f t="shared" si="227"/>
        <v/>
      </c>
      <c r="K768" t="str">
        <f t="shared" si="228"/>
        <v/>
      </c>
      <c r="L768" t="str">
        <f t="shared" si="229"/>
        <v/>
      </c>
      <c r="M768" t="str">
        <f t="shared" si="230"/>
        <v/>
      </c>
      <c r="N768" t="str">
        <f t="shared" si="231"/>
        <v/>
      </c>
      <c r="O768" t="str">
        <f t="shared" si="232"/>
        <v/>
      </c>
      <c r="P768" t="str">
        <f t="shared" si="233"/>
        <v/>
      </c>
      <c r="Q768" t="str">
        <f t="shared" si="234"/>
        <v/>
      </c>
      <c r="R768" t="str">
        <f t="shared" si="235"/>
        <v/>
      </c>
      <c r="S768" t="str">
        <f t="shared" si="236"/>
        <v/>
      </c>
      <c r="T768" t="str">
        <f t="shared" si="237"/>
        <v/>
      </c>
      <c r="U768" t="str">
        <f t="shared" si="238"/>
        <v/>
      </c>
      <c r="V768" t="str">
        <f t="shared" si="239"/>
        <v/>
      </c>
      <c r="W768" t="str">
        <f t="shared" si="222"/>
        <v xml:space="preserve">              </v>
      </c>
    </row>
    <row r="769" spans="1:23" customFormat="1" hidden="1">
      <c r="A769" t="b">
        <f t="shared" ref="A769:A832" si="241">C769=D769</f>
        <v>0</v>
      </c>
      <c r="B769">
        <f t="shared" si="223"/>
        <v>768</v>
      </c>
      <c r="C769" t="s">
        <v>1689</v>
      </c>
      <c r="D769" t="s">
        <v>760</v>
      </c>
      <c r="E769">
        <f t="shared" si="240"/>
        <v>39</v>
      </c>
      <c r="G769">
        <f t="shared" si="224"/>
        <v>3</v>
      </c>
      <c r="H769" t="str">
        <f t="shared" si="225"/>
        <v/>
      </c>
      <c r="I769" t="str">
        <f t="shared" si="226"/>
        <v/>
      </c>
      <c r="J769" t="str">
        <f t="shared" si="227"/>
        <v/>
      </c>
      <c r="K769" t="str">
        <f t="shared" si="228"/>
        <v/>
      </c>
      <c r="L769" t="str">
        <f t="shared" si="229"/>
        <v/>
      </c>
      <c r="M769" t="str">
        <f t="shared" si="230"/>
        <v/>
      </c>
      <c r="N769" t="str">
        <f t="shared" si="231"/>
        <v/>
      </c>
      <c r="O769" t="str">
        <f t="shared" si="232"/>
        <v/>
      </c>
      <c r="P769" t="str">
        <f t="shared" si="233"/>
        <v/>
      </c>
      <c r="Q769" t="str">
        <f t="shared" si="234"/>
        <v/>
      </c>
      <c r="R769" t="str">
        <f t="shared" si="235"/>
        <v/>
      </c>
      <c r="S769" t="str">
        <f t="shared" si="236"/>
        <v/>
      </c>
      <c r="T769" t="str">
        <f t="shared" si="237"/>
        <v/>
      </c>
      <c r="U769" t="str">
        <f t="shared" si="238"/>
        <v/>
      </c>
      <c r="V769" t="str">
        <f t="shared" si="239"/>
        <v/>
      </c>
      <c r="W769" t="str">
        <f t="shared" ref="W769:W832" si="242">CONCATENATE(H769," ",I769," ",J769," ",K769," ",L769," ",M769," ",N769," ",O769," ",P769," ",Q769," ",R769," ",S769," ",T769," ",U769," ",V769)</f>
        <v xml:space="preserve">              </v>
      </c>
    </row>
    <row r="770" spans="1:23" customFormat="1" hidden="1">
      <c r="A770" t="b">
        <f t="shared" si="241"/>
        <v>0</v>
      </c>
      <c r="B770">
        <f t="shared" si="223"/>
        <v>769</v>
      </c>
      <c r="C770" t="s">
        <v>1689</v>
      </c>
      <c r="D770" t="s">
        <v>761</v>
      </c>
      <c r="E770">
        <f t="shared" si="240"/>
        <v>37</v>
      </c>
      <c r="G770">
        <f t="shared" si="224"/>
        <v>4</v>
      </c>
      <c r="H770" t="str">
        <f t="shared" si="225"/>
        <v/>
      </c>
      <c r="I770" t="str">
        <f t="shared" si="226"/>
        <v/>
      </c>
      <c r="J770" t="str">
        <f t="shared" si="227"/>
        <v/>
      </c>
      <c r="K770" t="str">
        <f t="shared" si="228"/>
        <v/>
      </c>
      <c r="L770" t="str">
        <f t="shared" si="229"/>
        <v/>
      </c>
      <c r="M770" t="str">
        <f t="shared" si="230"/>
        <v/>
      </c>
      <c r="N770" t="str">
        <f t="shared" si="231"/>
        <v/>
      </c>
      <c r="O770" t="str">
        <f t="shared" si="232"/>
        <v/>
      </c>
      <c r="P770" t="str">
        <f t="shared" si="233"/>
        <v/>
      </c>
      <c r="Q770" t="str">
        <f t="shared" si="234"/>
        <v/>
      </c>
      <c r="R770" t="str">
        <f t="shared" si="235"/>
        <v/>
      </c>
      <c r="S770" t="str">
        <f t="shared" si="236"/>
        <v/>
      </c>
      <c r="T770" t="str">
        <f t="shared" si="237"/>
        <v/>
      </c>
      <c r="U770" t="str">
        <f t="shared" si="238"/>
        <v/>
      </c>
      <c r="V770" t="str">
        <f t="shared" si="239"/>
        <v/>
      </c>
      <c r="W770" t="str">
        <f t="shared" si="242"/>
        <v xml:space="preserve">              </v>
      </c>
    </row>
    <row r="771" spans="1:23" hidden="1">
      <c r="A771" s="71" t="b">
        <f t="shared" si="241"/>
        <v>0</v>
      </c>
      <c r="B771" s="71">
        <f t="shared" si="223"/>
        <v>770</v>
      </c>
      <c r="C771" s="71" t="s">
        <v>1689</v>
      </c>
      <c r="D771" s="71" t="s">
        <v>762</v>
      </c>
      <c r="E771">
        <f t="shared" si="240"/>
        <v>16</v>
      </c>
      <c r="F771">
        <v>1</v>
      </c>
      <c r="G771">
        <f t="shared" si="224"/>
        <v>1</v>
      </c>
      <c r="H771" t="str">
        <f t="shared" si="225"/>
        <v>Opportunity cost</v>
      </c>
      <c r="I771" t="str">
        <f t="shared" si="226"/>
        <v>The total cost of the opportunity that is</v>
      </c>
      <c r="J771" t="str">
        <f t="shared" si="227"/>
        <v>refused to realize an opposing</v>
      </c>
      <c r="K771" t="str">
        <f t="shared" si="228"/>
        <v>opportunity.</v>
      </c>
      <c r="L771" t="str">
        <f t="shared" si="229"/>
        <v/>
      </c>
      <c r="M771" t="str">
        <f t="shared" si="230"/>
        <v/>
      </c>
      <c r="N771" t="str">
        <f t="shared" si="231"/>
        <v/>
      </c>
      <c r="O771" t="str">
        <f t="shared" si="232"/>
        <v/>
      </c>
      <c r="P771" t="str">
        <f t="shared" si="233"/>
        <v/>
      </c>
      <c r="Q771" t="str">
        <f t="shared" si="234"/>
        <v/>
      </c>
      <c r="R771" t="str">
        <f t="shared" si="235"/>
        <v/>
      </c>
      <c r="S771" t="str">
        <f t="shared" si="236"/>
        <v/>
      </c>
      <c r="T771" t="str">
        <f t="shared" si="237"/>
        <v/>
      </c>
      <c r="U771" t="str">
        <f t="shared" si="238"/>
        <v/>
      </c>
      <c r="V771" t="str">
        <f t="shared" si="239"/>
        <v/>
      </c>
      <c r="W771" s="71" t="str">
        <f>CONCATENATE(H771," ",I771," ",J771," ",K771," ",L771," ",M771," ",N771," ",O771," ",P771," ",Q771," ",R771," ",S771," ",T771," ",U771," ",V771)</f>
        <v xml:space="preserve">Opportunity cost The total cost of the opportunity that is refused to realize an opposing opportunity.           </v>
      </c>
    </row>
    <row r="772" spans="1:23" customFormat="1" hidden="1">
      <c r="A772" t="b">
        <f t="shared" si="241"/>
        <v>0</v>
      </c>
      <c r="B772">
        <f t="shared" ref="B772:B835" si="243">B771+1</f>
        <v>771</v>
      </c>
      <c r="C772" t="s">
        <v>1689</v>
      </c>
      <c r="D772" t="s">
        <v>763</v>
      </c>
      <c r="E772">
        <f t="shared" si="240"/>
        <v>41</v>
      </c>
      <c r="G772">
        <f t="shared" ref="G772:G835" si="244">IF(F772=1,1,G771+1)</f>
        <v>2</v>
      </c>
      <c r="H772" t="str">
        <f t="shared" ref="H772:H835" si="245">IF($G772=H$1,$D772,"")</f>
        <v/>
      </c>
      <c r="I772" t="str">
        <f t="shared" ref="I772:I835" si="246">IF($G773=I$1,$D773,"")</f>
        <v/>
      </c>
      <c r="J772" t="str">
        <f t="shared" ref="J772:J835" si="247">IF($G774=J$1,$D774,"")</f>
        <v/>
      </c>
      <c r="K772" t="str">
        <f t="shared" ref="K772:K835" si="248">IF($G775=K$1,$D775,"")</f>
        <v/>
      </c>
      <c r="L772" t="str">
        <f t="shared" ref="L772:L835" si="249">IF($G776=L$1,$D776,"")</f>
        <v/>
      </c>
      <c r="M772" t="str">
        <f t="shared" ref="M772:M835" si="250">IF($G777=M$1,$D777,"")</f>
        <v/>
      </c>
      <c r="N772" t="str">
        <f t="shared" ref="N772:N835" si="251">IF($G778=N$1,$D778,"")</f>
        <v/>
      </c>
      <c r="O772" t="str">
        <f t="shared" ref="O772:O835" si="252">IF($G779=O$1,$D779,"")</f>
        <v/>
      </c>
      <c r="P772" t="str">
        <f t="shared" ref="P772:P835" si="253">IF($G780=P$1,$D780,"")</f>
        <v/>
      </c>
      <c r="Q772" t="str">
        <f t="shared" ref="Q772:Q835" si="254">IF($G781=Q$1,$D781,"")</f>
        <v/>
      </c>
      <c r="R772" t="str">
        <f t="shared" ref="R772:R835" si="255">IF($G782=R$1,$D782,"")</f>
        <v/>
      </c>
      <c r="S772" t="str">
        <f t="shared" ref="S772:S835" si="256">IF($G783=S$1,$D783,"")</f>
        <v/>
      </c>
      <c r="T772" t="str">
        <f t="shared" ref="T772:T835" si="257">IF($G784=T$1,$D784,"")</f>
        <v/>
      </c>
      <c r="U772" t="str">
        <f t="shared" ref="U772:U835" si="258">IF($G785=U$1,$D785,"")</f>
        <v/>
      </c>
      <c r="V772" t="str">
        <f t="shared" ref="V772:V835" si="259">IF($G786=V$1,$D786,"")</f>
        <v/>
      </c>
      <c r="W772" t="str">
        <f t="shared" si="242"/>
        <v xml:space="preserve">              </v>
      </c>
    </row>
    <row r="773" spans="1:23" customFormat="1" hidden="1">
      <c r="A773" t="b">
        <f t="shared" si="241"/>
        <v>0</v>
      </c>
      <c r="B773">
        <f t="shared" si="243"/>
        <v>772</v>
      </c>
      <c r="C773" t="s">
        <v>1689</v>
      </c>
      <c r="D773" t="s">
        <v>764</v>
      </c>
      <c r="E773">
        <f t="shared" si="240"/>
        <v>30</v>
      </c>
      <c r="G773">
        <f t="shared" si="244"/>
        <v>3</v>
      </c>
      <c r="H773" t="str">
        <f t="shared" si="245"/>
        <v/>
      </c>
      <c r="I773" t="str">
        <f t="shared" si="246"/>
        <v/>
      </c>
      <c r="J773" t="str">
        <f t="shared" si="247"/>
        <v/>
      </c>
      <c r="K773" t="str">
        <f t="shared" si="248"/>
        <v/>
      </c>
      <c r="L773" t="str">
        <f t="shared" si="249"/>
        <v/>
      </c>
      <c r="M773" t="str">
        <f t="shared" si="250"/>
        <v/>
      </c>
      <c r="N773" t="str">
        <f t="shared" si="251"/>
        <v/>
      </c>
      <c r="O773" t="str">
        <f t="shared" si="252"/>
        <v/>
      </c>
      <c r="P773" t="str">
        <f t="shared" si="253"/>
        <v/>
      </c>
      <c r="Q773" t="str">
        <f t="shared" si="254"/>
        <v/>
      </c>
      <c r="R773" t="str">
        <f t="shared" si="255"/>
        <v/>
      </c>
      <c r="S773" t="str">
        <f t="shared" si="256"/>
        <v/>
      </c>
      <c r="T773" t="str">
        <f t="shared" si="257"/>
        <v/>
      </c>
      <c r="U773" t="str">
        <f t="shared" si="258"/>
        <v/>
      </c>
      <c r="V773" t="str">
        <f t="shared" si="259"/>
        <v/>
      </c>
      <c r="W773" t="str">
        <f t="shared" si="242"/>
        <v xml:space="preserve">              </v>
      </c>
    </row>
    <row r="774" spans="1:23" customFormat="1" hidden="1">
      <c r="A774" t="b">
        <f t="shared" si="241"/>
        <v>0</v>
      </c>
      <c r="B774">
        <f t="shared" si="243"/>
        <v>773</v>
      </c>
      <c r="C774" t="s">
        <v>1689</v>
      </c>
      <c r="D774" t="s">
        <v>765</v>
      </c>
      <c r="E774">
        <f t="shared" si="240"/>
        <v>12</v>
      </c>
      <c r="G774">
        <f t="shared" si="244"/>
        <v>4</v>
      </c>
      <c r="H774" t="str">
        <f t="shared" si="245"/>
        <v/>
      </c>
      <c r="I774" t="str">
        <f t="shared" si="246"/>
        <v/>
      </c>
      <c r="J774" t="str">
        <f t="shared" si="247"/>
        <v/>
      </c>
      <c r="K774" t="str">
        <f t="shared" si="248"/>
        <v/>
      </c>
      <c r="L774" t="str">
        <f t="shared" si="249"/>
        <v/>
      </c>
      <c r="M774" t="str">
        <f t="shared" si="250"/>
        <v/>
      </c>
      <c r="N774" t="str">
        <f t="shared" si="251"/>
        <v/>
      </c>
      <c r="O774" t="str">
        <f t="shared" si="252"/>
        <v/>
      </c>
      <c r="P774" t="str">
        <f t="shared" si="253"/>
        <v/>
      </c>
      <c r="Q774" t="str">
        <f t="shared" si="254"/>
        <v/>
      </c>
      <c r="R774" t="str">
        <f t="shared" si="255"/>
        <v/>
      </c>
      <c r="S774" t="str">
        <f t="shared" si="256"/>
        <v/>
      </c>
      <c r="T774" t="str">
        <f t="shared" si="257"/>
        <v/>
      </c>
      <c r="U774" t="str">
        <f t="shared" si="258"/>
        <v/>
      </c>
      <c r="V774" t="str">
        <f t="shared" si="259"/>
        <v/>
      </c>
      <c r="W774" t="str">
        <f t="shared" si="242"/>
        <v xml:space="preserve">              </v>
      </c>
    </row>
    <row r="775" spans="1:23" hidden="1">
      <c r="A775" s="71" t="b">
        <f t="shared" si="241"/>
        <v>0</v>
      </c>
      <c r="B775" s="71">
        <f t="shared" si="243"/>
        <v>774</v>
      </c>
      <c r="C775" s="71" t="s">
        <v>1689</v>
      </c>
      <c r="D775" s="71" t="s">
        <v>766</v>
      </c>
      <c r="E775">
        <f t="shared" si="240"/>
        <v>21</v>
      </c>
      <c r="F775">
        <v>1</v>
      </c>
      <c r="G775">
        <f t="shared" si="244"/>
        <v>1</v>
      </c>
      <c r="H775" t="str">
        <f t="shared" si="245"/>
        <v>Parametric estimating</v>
      </c>
      <c r="I775" t="str">
        <f t="shared" si="246"/>
        <v>An approach using a parametric model to</v>
      </c>
      <c r="J775" t="str">
        <f t="shared" si="247"/>
        <v>extrapolate what costs will be needed for</v>
      </c>
      <c r="K775" t="str">
        <f t="shared" si="248"/>
        <v>a project (for example, cost per hour and</v>
      </c>
      <c r="L775" t="str">
        <f t="shared" si="249"/>
        <v>cost per unit). It can include variables and</v>
      </c>
      <c r="M775" t="str">
        <f t="shared" si="250"/>
        <v>points based on conditions.</v>
      </c>
      <c r="N775" t="str">
        <f t="shared" si="251"/>
        <v/>
      </c>
      <c r="O775" t="str">
        <f t="shared" si="252"/>
        <v/>
      </c>
      <c r="P775" t="str">
        <f t="shared" si="253"/>
        <v/>
      </c>
      <c r="Q775" t="str">
        <f t="shared" si="254"/>
        <v/>
      </c>
      <c r="R775" t="str">
        <f t="shared" si="255"/>
        <v/>
      </c>
      <c r="S775" t="str">
        <f t="shared" si="256"/>
        <v/>
      </c>
      <c r="T775" t="str">
        <f t="shared" si="257"/>
        <v/>
      </c>
      <c r="U775" t="str">
        <f t="shared" si="258"/>
        <v/>
      </c>
      <c r="V775" t="str">
        <f t="shared" si="259"/>
        <v/>
      </c>
      <c r="W775" s="71" t="str">
        <f>CONCATENATE(H775," ",I775," ",J775," ",K775," ",L775," ",M775," ",N775," ",O775," ",P775," ",Q775," ",R775," ",S775," ",T775," ",U775," ",V775)</f>
        <v xml:space="preserve">Parametric estimating An approach using a parametric model to extrapolate what costs will be needed for a project (for example, cost per hour and cost per unit). It can include variables and points based on conditions.         </v>
      </c>
    </row>
    <row r="776" spans="1:23" customFormat="1" hidden="1">
      <c r="A776" t="b">
        <f t="shared" si="241"/>
        <v>0</v>
      </c>
      <c r="B776">
        <f t="shared" si="243"/>
        <v>775</v>
      </c>
      <c r="C776" t="s">
        <v>1689</v>
      </c>
      <c r="D776" t="s">
        <v>767</v>
      </c>
      <c r="E776">
        <f t="shared" si="240"/>
        <v>39</v>
      </c>
      <c r="G776">
        <f t="shared" si="244"/>
        <v>2</v>
      </c>
      <c r="H776" t="str">
        <f t="shared" si="245"/>
        <v/>
      </c>
      <c r="I776" t="str">
        <f t="shared" si="246"/>
        <v/>
      </c>
      <c r="J776" t="str">
        <f t="shared" si="247"/>
        <v/>
      </c>
      <c r="K776" t="str">
        <f t="shared" si="248"/>
        <v/>
      </c>
      <c r="L776" t="str">
        <f t="shared" si="249"/>
        <v/>
      </c>
      <c r="M776" t="str">
        <f t="shared" si="250"/>
        <v/>
      </c>
      <c r="N776" t="str">
        <f t="shared" si="251"/>
        <v/>
      </c>
      <c r="O776" t="str">
        <f t="shared" si="252"/>
        <v/>
      </c>
      <c r="P776" t="str">
        <f t="shared" si="253"/>
        <v/>
      </c>
      <c r="Q776" t="str">
        <f t="shared" si="254"/>
        <v/>
      </c>
      <c r="R776" t="str">
        <f t="shared" si="255"/>
        <v/>
      </c>
      <c r="S776" t="str">
        <f t="shared" si="256"/>
        <v/>
      </c>
      <c r="T776" t="str">
        <f t="shared" si="257"/>
        <v/>
      </c>
      <c r="U776" t="str">
        <f t="shared" si="258"/>
        <v/>
      </c>
      <c r="V776" t="str">
        <f t="shared" si="259"/>
        <v/>
      </c>
      <c r="W776" t="str">
        <f t="shared" si="242"/>
        <v xml:space="preserve">              </v>
      </c>
    </row>
    <row r="777" spans="1:23" customFormat="1" hidden="1">
      <c r="A777" t="b">
        <f t="shared" si="241"/>
        <v>0</v>
      </c>
      <c r="B777">
        <f t="shared" si="243"/>
        <v>776</v>
      </c>
      <c r="C777" t="s">
        <v>1689</v>
      </c>
      <c r="D777" t="s">
        <v>768</v>
      </c>
      <c r="E777">
        <f t="shared" si="240"/>
        <v>41</v>
      </c>
      <c r="G777">
        <f t="shared" si="244"/>
        <v>3</v>
      </c>
      <c r="H777" t="str">
        <f t="shared" si="245"/>
        <v/>
      </c>
      <c r="I777" t="str">
        <f t="shared" si="246"/>
        <v/>
      </c>
      <c r="J777" t="str">
        <f t="shared" si="247"/>
        <v/>
      </c>
      <c r="K777" t="str">
        <f t="shared" si="248"/>
        <v/>
      </c>
      <c r="L777" t="str">
        <f t="shared" si="249"/>
        <v/>
      </c>
      <c r="M777" t="str">
        <f t="shared" si="250"/>
        <v/>
      </c>
      <c r="N777" t="str">
        <f t="shared" si="251"/>
        <v/>
      </c>
      <c r="O777" t="str">
        <f t="shared" si="252"/>
        <v/>
      </c>
      <c r="P777" t="str">
        <f t="shared" si="253"/>
        <v/>
      </c>
      <c r="Q777" t="str">
        <f t="shared" si="254"/>
        <v/>
      </c>
      <c r="R777" t="str">
        <f t="shared" si="255"/>
        <v/>
      </c>
      <c r="S777" t="str">
        <f t="shared" si="256"/>
        <v/>
      </c>
      <c r="T777" t="str">
        <f t="shared" si="257"/>
        <v/>
      </c>
      <c r="U777" t="str">
        <f t="shared" si="258"/>
        <v/>
      </c>
      <c r="V777" t="str">
        <f t="shared" si="259"/>
        <v/>
      </c>
      <c r="W777" t="str">
        <f t="shared" si="242"/>
        <v xml:space="preserve">              </v>
      </c>
    </row>
    <row r="778" spans="1:23" customFormat="1" hidden="1">
      <c r="A778" t="b">
        <f t="shared" si="241"/>
        <v>0</v>
      </c>
      <c r="B778">
        <f t="shared" si="243"/>
        <v>777</v>
      </c>
      <c r="C778" t="s">
        <v>1689</v>
      </c>
      <c r="D778" t="s">
        <v>769</v>
      </c>
      <c r="E778">
        <f t="shared" si="240"/>
        <v>41</v>
      </c>
      <c r="G778">
        <f t="shared" si="244"/>
        <v>4</v>
      </c>
      <c r="H778" t="str">
        <f t="shared" si="245"/>
        <v/>
      </c>
      <c r="I778" t="str">
        <f t="shared" si="246"/>
        <v/>
      </c>
      <c r="J778" t="str">
        <f t="shared" si="247"/>
        <v/>
      </c>
      <c r="K778" t="str">
        <f t="shared" si="248"/>
        <v/>
      </c>
      <c r="L778" t="str">
        <f t="shared" si="249"/>
        <v/>
      </c>
      <c r="M778" t="str">
        <f t="shared" si="250"/>
        <v/>
      </c>
      <c r="N778" t="str">
        <f t="shared" si="251"/>
        <v/>
      </c>
      <c r="O778" t="str">
        <f t="shared" si="252"/>
        <v/>
      </c>
      <c r="P778" t="str">
        <f t="shared" si="253"/>
        <v/>
      </c>
      <c r="Q778" t="str">
        <f t="shared" si="254"/>
        <v/>
      </c>
      <c r="R778" t="str">
        <f t="shared" si="255"/>
        <v/>
      </c>
      <c r="S778" t="str">
        <f t="shared" si="256"/>
        <v/>
      </c>
      <c r="T778" t="str">
        <f t="shared" si="257"/>
        <v/>
      </c>
      <c r="U778" t="str">
        <f t="shared" si="258"/>
        <v/>
      </c>
      <c r="V778" t="str">
        <f t="shared" si="259"/>
        <v/>
      </c>
      <c r="W778" t="str">
        <f t="shared" si="242"/>
        <v xml:space="preserve">              </v>
      </c>
    </row>
    <row r="779" spans="1:23" customFormat="1" hidden="1">
      <c r="A779" t="b">
        <f t="shared" si="241"/>
        <v>0</v>
      </c>
      <c r="B779">
        <f t="shared" si="243"/>
        <v>778</v>
      </c>
      <c r="C779" t="s">
        <v>1689</v>
      </c>
      <c r="D779" t="s">
        <v>770</v>
      </c>
      <c r="E779">
        <f t="shared" si="240"/>
        <v>44</v>
      </c>
      <c r="G779">
        <f t="shared" si="244"/>
        <v>5</v>
      </c>
      <c r="H779" t="str">
        <f t="shared" si="245"/>
        <v/>
      </c>
      <c r="I779" t="str">
        <f t="shared" si="246"/>
        <v/>
      </c>
      <c r="J779" t="str">
        <f t="shared" si="247"/>
        <v/>
      </c>
      <c r="K779" t="str">
        <f t="shared" si="248"/>
        <v/>
      </c>
      <c r="L779" t="str">
        <f t="shared" si="249"/>
        <v/>
      </c>
      <c r="M779" t="str">
        <f t="shared" si="250"/>
        <v/>
      </c>
      <c r="N779" t="str">
        <f t="shared" si="251"/>
        <v/>
      </c>
      <c r="O779" t="str">
        <f t="shared" si="252"/>
        <v/>
      </c>
      <c r="P779" t="str">
        <f t="shared" si="253"/>
        <v/>
      </c>
      <c r="Q779" t="str">
        <f t="shared" si="254"/>
        <v/>
      </c>
      <c r="R779" t="str">
        <f t="shared" si="255"/>
        <v/>
      </c>
      <c r="S779" t="str">
        <f t="shared" si="256"/>
        <v/>
      </c>
      <c r="T779" t="str">
        <f t="shared" si="257"/>
        <v/>
      </c>
      <c r="U779" t="str">
        <f t="shared" si="258"/>
        <v/>
      </c>
      <c r="V779" t="str">
        <f t="shared" si="259"/>
        <v/>
      </c>
      <c r="W779" t="str">
        <f t="shared" si="242"/>
        <v xml:space="preserve">              </v>
      </c>
    </row>
    <row r="780" spans="1:23" customFormat="1" hidden="1">
      <c r="A780" t="b">
        <f t="shared" si="241"/>
        <v>0</v>
      </c>
      <c r="B780">
        <f t="shared" si="243"/>
        <v>779</v>
      </c>
      <c r="C780" t="s">
        <v>1689</v>
      </c>
      <c r="D780" t="s">
        <v>771</v>
      </c>
      <c r="E780">
        <f t="shared" si="240"/>
        <v>27</v>
      </c>
      <c r="G780">
        <f t="shared" si="244"/>
        <v>6</v>
      </c>
      <c r="H780" t="str">
        <f t="shared" si="245"/>
        <v/>
      </c>
      <c r="I780" t="str">
        <f t="shared" si="246"/>
        <v/>
      </c>
      <c r="J780" t="str">
        <f t="shared" si="247"/>
        <v/>
      </c>
      <c r="K780" t="str">
        <f t="shared" si="248"/>
        <v/>
      </c>
      <c r="L780" t="str">
        <f t="shared" si="249"/>
        <v/>
      </c>
      <c r="M780" t="str">
        <f t="shared" si="250"/>
        <v/>
      </c>
      <c r="N780" t="str">
        <f t="shared" si="251"/>
        <v/>
      </c>
      <c r="O780" t="str">
        <f t="shared" si="252"/>
        <v/>
      </c>
      <c r="P780" t="str">
        <f t="shared" si="253"/>
        <v/>
      </c>
      <c r="Q780" t="str">
        <f t="shared" si="254"/>
        <v/>
      </c>
      <c r="R780" t="str">
        <f t="shared" si="255"/>
        <v/>
      </c>
      <c r="S780" t="str">
        <f t="shared" si="256"/>
        <v/>
      </c>
      <c r="T780" t="str">
        <f t="shared" si="257"/>
        <v/>
      </c>
      <c r="U780" t="str">
        <f t="shared" si="258"/>
        <v/>
      </c>
      <c r="V780" t="str">
        <f t="shared" si="259"/>
        <v/>
      </c>
      <c r="W780" t="str">
        <f t="shared" si="242"/>
        <v xml:space="preserve">              </v>
      </c>
    </row>
    <row r="781" spans="1:23" hidden="1">
      <c r="A781" s="71" t="b">
        <f t="shared" si="241"/>
        <v>0</v>
      </c>
      <c r="B781" s="71">
        <f t="shared" si="243"/>
        <v>780</v>
      </c>
      <c r="C781" s="71" t="s">
        <v>1689</v>
      </c>
      <c r="D781" s="71" t="s">
        <v>772</v>
      </c>
      <c r="E781">
        <f t="shared" si="240"/>
        <v>18</v>
      </c>
      <c r="F781">
        <v>1</v>
      </c>
      <c r="G781">
        <f t="shared" si="244"/>
        <v>1</v>
      </c>
      <c r="H781" t="str">
        <f t="shared" si="245"/>
        <v>Planned value (PV)</v>
      </c>
      <c r="I781" t="str">
        <f t="shared" si="246"/>
        <v>Planned value is the work scheduled and</v>
      </c>
      <c r="J781" t="str">
        <f t="shared" si="247"/>
        <v>the budget authorized to accomplish that</v>
      </c>
      <c r="K781" t="str">
        <f t="shared" si="248"/>
        <v>work. It is the percentage of the BAC that</v>
      </c>
      <c r="L781" t="str">
        <f t="shared" si="249"/>
        <v>reflects where the project should be at</v>
      </c>
      <c r="M781" t="str">
        <f t="shared" si="250"/>
        <v>this point in time.</v>
      </c>
      <c r="N781" t="str">
        <f t="shared" si="251"/>
        <v/>
      </c>
      <c r="O781" t="str">
        <f t="shared" si="252"/>
        <v/>
      </c>
      <c r="P781" t="str">
        <f t="shared" si="253"/>
        <v/>
      </c>
      <c r="Q781" t="str">
        <f t="shared" si="254"/>
        <v/>
      </c>
      <c r="R781" t="str">
        <f t="shared" si="255"/>
        <v/>
      </c>
      <c r="S781" t="str">
        <f t="shared" si="256"/>
        <v/>
      </c>
      <c r="T781" t="str">
        <f t="shared" si="257"/>
        <v/>
      </c>
      <c r="U781" t="str">
        <f t="shared" si="258"/>
        <v/>
      </c>
      <c r="V781" t="str">
        <f t="shared" si="259"/>
        <v/>
      </c>
      <c r="W781" s="71" t="str">
        <f>CONCATENATE(H781," ",I781," ",J781," ",K781," ",L781," ",M781," ",N781," ",O781," ",P781," ",Q781," ",R781," ",S781," ",T781," ",U781," ",V781)</f>
        <v xml:space="preserve">Planned value (PV) Planned value is the work scheduled and the budget authorized to accomplish that work. It is the percentage of the BAC that reflects where the project should be at this point in time.         </v>
      </c>
    </row>
    <row r="782" spans="1:23" customFormat="1" hidden="1">
      <c r="A782" t="b">
        <f t="shared" si="241"/>
        <v>0</v>
      </c>
      <c r="B782">
        <f t="shared" si="243"/>
        <v>781</v>
      </c>
      <c r="C782" t="s">
        <v>1689</v>
      </c>
      <c r="D782" t="s">
        <v>773</v>
      </c>
      <c r="E782">
        <f t="shared" ref="E782:E843" si="260">LEN(D782)</f>
        <v>39</v>
      </c>
      <c r="G782">
        <f t="shared" si="244"/>
        <v>2</v>
      </c>
      <c r="H782" t="str">
        <f t="shared" si="245"/>
        <v/>
      </c>
      <c r="I782" t="str">
        <f t="shared" si="246"/>
        <v/>
      </c>
      <c r="J782" t="str">
        <f t="shared" si="247"/>
        <v/>
      </c>
      <c r="K782" t="str">
        <f t="shared" si="248"/>
        <v/>
      </c>
      <c r="L782" t="str">
        <f t="shared" si="249"/>
        <v/>
      </c>
      <c r="M782" t="str">
        <f t="shared" si="250"/>
        <v/>
      </c>
      <c r="N782" t="str">
        <f t="shared" si="251"/>
        <v/>
      </c>
      <c r="O782" t="str">
        <f t="shared" si="252"/>
        <v/>
      </c>
      <c r="P782" t="str">
        <f t="shared" si="253"/>
        <v/>
      </c>
      <c r="Q782" t="str">
        <f t="shared" si="254"/>
        <v/>
      </c>
      <c r="R782" t="str">
        <f t="shared" si="255"/>
        <v/>
      </c>
      <c r="S782" t="str">
        <f t="shared" si="256"/>
        <v/>
      </c>
      <c r="T782" t="str">
        <f t="shared" si="257"/>
        <v/>
      </c>
      <c r="U782" t="str">
        <f t="shared" si="258"/>
        <v/>
      </c>
      <c r="V782" t="str">
        <f t="shared" si="259"/>
        <v/>
      </c>
      <c r="W782" t="str">
        <f t="shared" si="242"/>
        <v xml:space="preserve">              </v>
      </c>
    </row>
    <row r="783" spans="1:23" customFormat="1" hidden="1">
      <c r="A783" t="b">
        <f t="shared" si="241"/>
        <v>0</v>
      </c>
      <c r="B783">
        <f t="shared" si="243"/>
        <v>782</v>
      </c>
      <c r="C783" t="s">
        <v>1689</v>
      </c>
      <c r="D783" t="s">
        <v>774</v>
      </c>
      <c r="E783">
        <f t="shared" si="260"/>
        <v>40</v>
      </c>
      <c r="G783">
        <f t="shared" si="244"/>
        <v>3</v>
      </c>
      <c r="H783" t="str">
        <f t="shared" si="245"/>
        <v/>
      </c>
      <c r="I783" t="str">
        <f t="shared" si="246"/>
        <v/>
      </c>
      <c r="J783" t="str">
        <f t="shared" si="247"/>
        <v/>
      </c>
      <c r="K783" t="str">
        <f t="shared" si="248"/>
        <v/>
      </c>
      <c r="L783" t="str">
        <f t="shared" si="249"/>
        <v/>
      </c>
      <c r="M783" t="str">
        <f t="shared" si="250"/>
        <v/>
      </c>
      <c r="N783" t="str">
        <f t="shared" si="251"/>
        <v/>
      </c>
      <c r="O783" t="str">
        <f t="shared" si="252"/>
        <v/>
      </c>
      <c r="P783" t="str">
        <f t="shared" si="253"/>
        <v/>
      </c>
      <c r="Q783" t="str">
        <f t="shared" si="254"/>
        <v/>
      </c>
      <c r="R783" t="str">
        <f t="shared" si="255"/>
        <v/>
      </c>
      <c r="S783" t="str">
        <f t="shared" si="256"/>
        <v/>
      </c>
      <c r="T783" t="str">
        <f t="shared" si="257"/>
        <v/>
      </c>
      <c r="U783" t="str">
        <f t="shared" si="258"/>
        <v/>
      </c>
      <c r="V783" t="str">
        <f t="shared" si="259"/>
        <v/>
      </c>
      <c r="W783" t="str">
        <f t="shared" si="242"/>
        <v xml:space="preserve">              </v>
      </c>
    </row>
    <row r="784" spans="1:23" customFormat="1" hidden="1">
      <c r="A784" t="b">
        <f t="shared" si="241"/>
        <v>0</v>
      </c>
      <c r="B784">
        <f t="shared" si="243"/>
        <v>783</v>
      </c>
      <c r="C784" t="s">
        <v>1689</v>
      </c>
      <c r="D784" t="s">
        <v>775</v>
      </c>
      <c r="E784">
        <f t="shared" si="260"/>
        <v>42</v>
      </c>
      <c r="G784">
        <f t="shared" si="244"/>
        <v>4</v>
      </c>
      <c r="H784" t="str">
        <f t="shared" si="245"/>
        <v/>
      </c>
      <c r="I784" t="str">
        <f t="shared" si="246"/>
        <v/>
      </c>
      <c r="J784" t="str">
        <f t="shared" si="247"/>
        <v/>
      </c>
      <c r="K784" t="str">
        <f t="shared" si="248"/>
        <v/>
      </c>
      <c r="L784" t="str">
        <f t="shared" si="249"/>
        <v/>
      </c>
      <c r="M784" t="str">
        <f t="shared" si="250"/>
        <v/>
      </c>
      <c r="N784" t="str">
        <f t="shared" si="251"/>
        <v/>
      </c>
      <c r="O784" t="str">
        <f t="shared" si="252"/>
        <v/>
      </c>
      <c r="P784" t="str">
        <f t="shared" si="253"/>
        <v/>
      </c>
      <c r="Q784" t="str">
        <f t="shared" si="254"/>
        <v/>
      </c>
      <c r="R784" t="str">
        <f t="shared" si="255"/>
        <v/>
      </c>
      <c r="S784" t="str">
        <f t="shared" si="256"/>
        <v/>
      </c>
      <c r="T784" t="str">
        <f t="shared" si="257"/>
        <v/>
      </c>
      <c r="U784" t="str">
        <f t="shared" si="258"/>
        <v/>
      </c>
      <c r="V784" t="str">
        <f t="shared" si="259"/>
        <v/>
      </c>
      <c r="W784" t="str">
        <f t="shared" si="242"/>
        <v xml:space="preserve">              </v>
      </c>
    </row>
    <row r="785" spans="1:23" customFormat="1" hidden="1">
      <c r="A785" t="b">
        <f t="shared" si="241"/>
        <v>0</v>
      </c>
      <c r="B785">
        <f t="shared" si="243"/>
        <v>784</v>
      </c>
      <c r="C785" t="s">
        <v>1689</v>
      </c>
      <c r="D785" t="s">
        <v>776</v>
      </c>
      <c r="E785">
        <f t="shared" si="260"/>
        <v>39</v>
      </c>
      <c r="G785">
        <f t="shared" si="244"/>
        <v>5</v>
      </c>
      <c r="H785" t="str">
        <f t="shared" si="245"/>
        <v/>
      </c>
      <c r="I785" t="str">
        <f t="shared" si="246"/>
        <v/>
      </c>
      <c r="J785" t="str">
        <f t="shared" si="247"/>
        <v/>
      </c>
      <c r="K785" t="str">
        <f t="shared" si="248"/>
        <v/>
      </c>
      <c r="L785" t="str">
        <f t="shared" si="249"/>
        <v/>
      </c>
      <c r="M785" t="str">
        <f t="shared" si="250"/>
        <v/>
      </c>
      <c r="N785" t="str">
        <f t="shared" si="251"/>
        <v/>
      </c>
      <c r="O785" t="str">
        <f t="shared" si="252"/>
        <v/>
      </c>
      <c r="P785" t="str">
        <f t="shared" si="253"/>
        <v/>
      </c>
      <c r="Q785" t="str">
        <f t="shared" si="254"/>
        <v/>
      </c>
      <c r="R785" t="str">
        <f t="shared" si="255"/>
        <v/>
      </c>
      <c r="S785" t="str">
        <f t="shared" si="256"/>
        <v/>
      </c>
      <c r="T785" t="str">
        <f t="shared" si="257"/>
        <v/>
      </c>
      <c r="U785" t="str">
        <f t="shared" si="258"/>
        <v/>
      </c>
      <c r="V785" t="str">
        <f t="shared" si="259"/>
        <v/>
      </c>
      <c r="W785" t="str">
        <f t="shared" si="242"/>
        <v xml:space="preserve">              </v>
      </c>
    </row>
    <row r="786" spans="1:23" customFormat="1" hidden="1">
      <c r="A786" t="b">
        <f t="shared" si="241"/>
        <v>0</v>
      </c>
      <c r="B786">
        <f t="shared" si="243"/>
        <v>785</v>
      </c>
      <c r="C786" t="s">
        <v>1689</v>
      </c>
      <c r="D786" t="s">
        <v>777</v>
      </c>
      <c r="E786">
        <f t="shared" si="260"/>
        <v>19</v>
      </c>
      <c r="G786">
        <f t="shared" si="244"/>
        <v>6</v>
      </c>
      <c r="H786" t="str">
        <f t="shared" si="245"/>
        <v/>
      </c>
      <c r="I786" t="str">
        <f t="shared" si="246"/>
        <v/>
      </c>
      <c r="J786" t="str">
        <f t="shared" si="247"/>
        <v/>
      </c>
      <c r="K786" t="str">
        <f t="shared" si="248"/>
        <v/>
      </c>
      <c r="L786" t="str">
        <f t="shared" si="249"/>
        <v/>
      </c>
      <c r="M786" t="str">
        <f t="shared" si="250"/>
        <v/>
      </c>
      <c r="N786" t="str">
        <f t="shared" si="251"/>
        <v/>
      </c>
      <c r="O786" t="str">
        <f t="shared" si="252"/>
        <v/>
      </c>
      <c r="P786" t="str">
        <f t="shared" si="253"/>
        <v/>
      </c>
      <c r="Q786" t="str">
        <f t="shared" si="254"/>
        <v/>
      </c>
      <c r="R786" t="str">
        <f t="shared" si="255"/>
        <v/>
      </c>
      <c r="S786" t="str">
        <f t="shared" si="256"/>
        <v/>
      </c>
      <c r="T786" t="str">
        <f t="shared" si="257"/>
        <v/>
      </c>
      <c r="U786" t="str">
        <f t="shared" si="258"/>
        <v/>
      </c>
      <c r="V786" t="str">
        <f t="shared" si="259"/>
        <v/>
      </c>
      <c r="W786" t="str">
        <f t="shared" si="242"/>
        <v xml:space="preserve">              </v>
      </c>
    </row>
    <row r="787" spans="1:23" hidden="1">
      <c r="A787" s="71" t="b">
        <f t="shared" si="241"/>
        <v>0</v>
      </c>
      <c r="B787" s="71">
        <f t="shared" si="243"/>
        <v>786</v>
      </c>
      <c r="C787" s="71" t="s">
        <v>1689</v>
      </c>
      <c r="D787" s="71" t="s">
        <v>778</v>
      </c>
      <c r="E787">
        <f t="shared" si="260"/>
        <v>16</v>
      </c>
      <c r="F787">
        <v>1</v>
      </c>
      <c r="G787">
        <f t="shared" si="244"/>
        <v>1</v>
      </c>
      <c r="H787" t="str">
        <f t="shared" si="245"/>
        <v>Project variance</v>
      </c>
      <c r="I787" t="str">
        <f t="shared" si="246"/>
        <v>The final variance, which is discovered</v>
      </c>
      <c r="J787" t="str">
        <f t="shared" si="247"/>
        <v>only at the project’s completion. The</v>
      </c>
      <c r="K787" t="str">
        <f t="shared" si="248"/>
        <v>formula is VAR = BAC – AC.</v>
      </c>
      <c r="L787" t="str">
        <f t="shared" si="249"/>
        <v/>
      </c>
      <c r="M787" t="str">
        <f t="shared" si="250"/>
        <v/>
      </c>
      <c r="N787" t="str">
        <f t="shared" si="251"/>
        <v/>
      </c>
      <c r="O787" t="str">
        <f t="shared" si="252"/>
        <v/>
      </c>
      <c r="P787" t="str">
        <f t="shared" si="253"/>
        <v/>
      </c>
      <c r="Q787" t="str">
        <f t="shared" si="254"/>
        <v/>
      </c>
      <c r="R787" t="str">
        <f t="shared" si="255"/>
        <v/>
      </c>
      <c r="S787" t="str">
        <f t="shared" si="256"/>
        <v/>
      </c>
      <c r="T787" t="str">
        <f t="shared" si="257"/>
        <v/>
      </c>
      <c r="U787" t="str">
        <f t="shared" si="258"/>
        <v/>
      </c>
      <c r="V787" t="str">
        <f t="shared" si="259"/>
        <v/>
      </c>
      <c r="W787" s="71" t="str">
        <f>CONCATENATE(H787," ",I787," ",J787," ",K787," ",L787," ",M787," ",N787," ",O787," ",P787," ",Q787," ",R787," ",S787," ",T787," ",U787," ",V787)</f>
        <v xml:space="preserve">Project variance The final variance, which is discovered only at the project’s completion. The formula is VAR = BAC – AC.           </v>
      </c>
    </row>
    <row r="788" spans="1:23" customFormat="1" hidden="1">
      <c r="A788" t="b">
        <f t="shared" si="241"/>
        <v>0</v>
      </c>
      <c r="B788">
        <f t="shared" si="243"/>
        <v>787</v>
      </c>
      <c r="C788" t="s">
        <v>1689</v>
      </c>
      <c r="D788" t="s">
        <v>779</v>
      </c>
      <c r="E788">
        <f t="shared" si="260"/>
        <v>39</v>
      </c>
      <c r="G788">
        <f t="shared" si="244"/>
        <v>2</v>
      </c>
      <c r="H788" t="str">
        <f t="shared" si="245"/>
        <v/>
      </c>
      <c r="I788" t="str">
        <f t="shared" si="246"/>
        <v/>
      </c>
      <c r="J788" t="str">
        <f t="shared" si="247"/>
        <v/>
      </c>
      <c r="K788" t="str">
        <f t="shared" si="248"/>
        <v/>
      </c>
      <c r="L788" t="str">
        <f t="shared" si="249"/>
        <v/>
      </c>
      <c r="M788" t="str">
        <f t="shared" si="250"/>
        <v/>
      </c>
      <c r="N788" t="str">
        <f t="shared" si="251"/>
        <v/>
      </c>
      <c r="O788" t="str">
        <f t="shared" si="252"/>
        <v/>
      </c>
      <c r="P788" t="str">
        <f t="shared" si="253"/>
        <v/>
      </c>
      <c r="Q788" t="str">
        <f t="shared" si="254"/>
        <v/>
      </c>
      <c r="R788" t="str">
        <f t="shared" si="255"/>
        <v/>
      </c>
      <c r="S788" t="str">
        <f t="shared" si="256"/>
        <v/>
      </c>
      <c r="T788" t="str">
        <f t="shared" si="257"/>
        <v/>
      </c>
      <c r="U788" t="str">
        <f t="shared" si="258"/>
        <v/>
      </c>
      <c r="V788" t="str">
        <f t="shared" si="259"/>
        <v/>
      </c>
      <c r="W788" t="str">
        <f t="shared" si="242"/>
        <v xml:space="preserve">              </v>
      </c>
    </row>
    <row r="789" spans="1:23" customFormat="1" hidden="1">
      <c r="A789" t="b">
        <f t="shared" si="241"/>
        <v>0</v>
      </c>
      <c r="B789">
        <f t="shared" si="243"/>
        <v>788</v>
      </c>
      <c r="C789" t="s">
        <v>1689</v>
      </c>
      <c r="D789" t="s">
        <v>780</v>
      </c>
      <c r="E789">
        <f t="shared" si="260"/>
        <v>37</v>
      </c>
      <c r="G789">
        <f t="shared" si="244"/>
        <v>3</v>
      </c>
      <c r="H789" t="str">
        <f t="shared" si="245"/>
        <v/>
      </c>
      <c r="I789" t="str">
        <f t="shared" si="246"/>
        <v/>
      </c>
      <c r="J789" t="str">
        <f t="shared" si="247"/>
        <v/>
      </c>
      <c r="K789" t="str">
        <f t="shared" si="248"/>
        <v/>
      </c>
      <c r="L789" t="str">
        <f t="shared" si="249"/>
        <v/>
      </c>
      <c r="M789" t="str">
        <f t="shared" si="250"/>
        <v/>
      </c>
      <c r="N789" t="str">
        <f t="shared" si="251"/>
        <v/>
      </c>
      <c r="O789" t="str">
        <f t="shared" si="252"/>
        <v/>
      </c>
      <c r="P789" t="str">
        <f t="shared" si="253"/>
        <v/>
      </c>
      <c r="Q789" t="str">
        <f t="shared" si="254"/>
        <v/>
      </c>
      <c r="R789" t="str">
        <f t="shared" si="255"/>
        <v/>
      </c>
      <c r="S789" t="str">
        <f t="shared" si="256"/>
        <v/>
      </c>
      <c r="T789" t="str">
        <f t="shared" si="257"/>
        <v/>
      </c>
      <c r="U789" t="str">
        <f t="shared" si="258"/>
        <v/>
      </c>
      <c r="V789" t="str">
        <f t="shared" si="259"/>
        <v/>
      </c>
      <c r="W789" t="str">
        <f t="shared" si="242"/>
        <v xml:space="preserve">              </v>
      </c>
    </row>
    <row r="790" spans="1:23" customFormat="1" hidden="1">
      <c r="A790" t="b">
        <f t="shared" si="241"/>
        <v>0</v>
      </c>
      <c r="B790">
        <f t="shared" si="243"/>
        <v>789</v>
      </c>
      <c r="C790" t="s">
        <v>1689</v>
      </c>
      <c r="D790" t="s">
        <v>781</v>
      </c>
      <c r="E790">
        <f t="shared" si="260"/>
        <v>26</v>
      </c>
      <c r="G790">
        <f t="shared" si="244"/>
        <v>4</v>
      </c>
      <c r="H790" t="str">
        <f t="shared" si="245"/>
        <v/>
      </c>
      <c r="I790" t="str">
        <f t="shared" si="246"/>
        <v/>
      </c>
      <c r="J790" t="str">
        <f t="shared" si="247"/>
        <v/>
      </c>
      <c r="K790" t="str">
        <f t="shared" si="248"/>
        <v/>
      </c>
      <c r="L790" t="str">
        <f t="shared" si="249"/>
        <v/>
      </c>
      <c r="M790" t="str">
        <f t="shared" si="250"/>
        <v/>
      </c>
      <c r="N790" t="str">
        <f t="shared" si="251"/>
        <v/>
      </c>
      <c r="O790" t="str">
        <f t="shared" si="252"/>
        <v/>
      </c>
      <c r="P790" t="str">
        <f t="shared" si="253"/>
        <v/>
      </c>
      <c r="Q790" t="str">
        <f t="shared" si="254"/>
        <v/>
      </c>
      <c r="R790" t="str">
        <f t="shared" si="255"/>
        <v/>
      </c>
      <c r="S790" t="str">
        <f t="shared" si="256"/>
        <v/>
      </c>
      <c r="T790" t="str">
        <f t="shared" si="257"/>
        <v/>
      </c>
      <c r="U790" t="str">
        <f t="shared" si="258"/>
        <v/>
      </c>
      <c r="V790" t="str">
        <f t="shared" si="259"/>
        <v/>
      </c>
      <c r="W790" t="str">
        <f t="shared" si="242"/>
        <v xml:space="preserve">              </v>
      </c>
    </row>
    <row r="791" spans="1:23" hidden="1">
      <c r="A791" s="71" t="b">
        <f t="shared" si="241"/>
        <v>0</v>
      </c>
      <c r="B791" s="71">
        <f t="shared" si="243"/>
        <v>790</v>
      </c>
      <c r="C791" s="71" t="s">
        <v>1689</v>
      </c>
      <c r="D791" s="71" t="s">
        <v>335</v>
      </c>
      <c r="E791">
        <f t="shared" si="260"/>
        <v>19</v>
      </c>
      <c r="F791">
        <v>1</v>
      </c>
      <c r="G791">
        <f t="shared" si="244"/>
        <v>1</v>
      </c>
      <c r="H791" t="str">
        <f t="shared" si="245"/>
        <v>Regression analysis</v>
      </c>
      <c r="I791" t="str">
        <f t="shared" si="246"/>
        <v>This is a statistical approach to predicting</v>
      </c>
      <c r="J791" t="str">
        <f t="shared" si="247"/>
        <v>what future values may be, based on</v>
      </c>
      <c r="K791" t="str">
        <f t="shared" si="248"/>
        <v>historical values. Regression analysis</v>
      </c>
      <c r="L791" t="str">
        <f t="shared" si="249"/>
        <v>creates quantitative predictions based on</v>
      </c>
      <c r="M791" t="str">
        <f t="shared" si="250"/>
        <v>variables within one value to predict</v>
      </c>
      <c r="N791" t="str">
        <f t="shared" si="251"/>
        <v>variables in another. This form of</v>
      </c>
      <c r="O791" t="str">
        <f t="shared" si="252"/>
        <v>estimating relies solely on pure statistical</v>
      </c>
      <c r="P791" t="str">
        <f t="shared" si="253"/>
        <v>math to reveal relationships between</v>
      </c>
      <c r="Q791" t="str">
        <f t="shared" si="254"/>
        <v>variables and to predict future values.</v>
      </c>
      <c r="R791" t="str">
        <f t="shared" si="255"/>
        <v/>
      </c>
      <c r="S791" t="str">
        <f t="shared" si="256"/>
        <v/>
      </c>
      <c r="T791" t="str">
        <f t="shared" si="257"/>
        <v/>
      </c>
      <c r="U791" t="str">
        <f t="shared" si="258"/>
        <v/>
      </c>
      <c r="V791" t="str">
        <f t="shared" si="259"/>
        <v/>
      </c>
      <c r="W791" s="71" t="str">
        <f>CONCATENATE(H791," ",I791," ",J791," ",K791," ",L791," ",M791," ",N791," ",O791," ",P791," ",Q791," ",R791," ",S791," ",T791," ",U791," ",V791)</f>
        <v xml:space="preserve">Regression analysis This is a statistical approach to predicting what future values may be, based on historical values. Regression analysis creates quantitative predictions based on variables within one value to predict variables in another. This form of estimating relies solely on pure statistical math to reveal relationships between variables and to predict future values.     </v>
      </c>
    </row>
    <row r="792" spans="1:23" customFormat="1" hidden="1">
      <c r="A792" t="b">
        <f t="shared" si="241"/>
        <v>0</v>
      </c>
      <c r="B792">
        <f t="shared" si="243"/>
        <v>791</v>
      </c>
      <c r="C792" t="s">
        <v>1689</v>
      </c>
      <c r="D792" t="s">
        <v>782</v>
      </c>
      <c r="E792">
        <f t="shared" si="260"/>
        <v>44</v>
      </c>
      <c r="G792">
        <f t="shared" si="244"/>
        <v>2</v>
      </c>
      <c r="H792" t="str">
        <f t="shared" si="245"/>
        <v/>
      </c>
      <c r="I792" t="str">
        <f t="shared" si="246"/>
        <v/>
      </c>
      <c r="J792" t="str">
        <f t="shared" si="247"/>
        <v/>
      </c>
      <c r="K792" t="str">
        <f t="shared" si="248"/>
        <v/>
      </c>
      <c r="L792" t="str">
        <f t="shared" si="249"/>
        <v/>
      </c>
      <c r="M792" t="str">
        <f t="shared" si="250"/>
        <v/>
      </c>
      <c r="N792" t="str">
        <f t="shared" si="251"/>
        <v/>
      </c>
      <c r="O792" t="str">
        <f t="shared" si="252"/>
        <v/>
      </c>
      <c r="P792" t="str">
        <f t="shared" si="253"/>
        <v/>
      </c>
      <c r="Q792" t="str">
        <f t="shared" si="254"/>
        <v/>
      </c>
      <c r="R792" t="str">
        <f t="shared" si="255"/>
        <v/>
      </c>
      <c r="S792" t="str">
        <f t="shared" si="256"/>
        <v/>
      </c>
      <c r="T792" t="str">
        <f t="shared" si="257"/>
        <v/>
      </c>
      <c r="U792" t="str">
        <f t="shared" si="258"/>
        <v/>
      </c>
      <c r="V792" t="str">
        <f t="shared" si="259"/>
        <v/>
      </c>
      <c r="W792" t="str">
        <f t="shared" si="242"/>
        <v xml:space="preserve">              </v>
      </c>
    </row>
    <row r="793" spans="1:23" customFormat="1" hidden="1">
      <c r="A793" t="b">
        <f t="shared" si="241"/>
        <v>0</v>
      </c>
      <c r="B793">
        <f t="shared" si="243"/>
        <v>792</v>
      </c>
      <c r="C793" t="s">
        <v>1689</v>
      </c>
      <c r="D793" t="s">
        <v>783</v>
      </c>
      <c r="E793">
        <f t="shared" si="260"/>
        <v>35</v>
      </c>
      <c r="G793">
        <f t="shared" si="244"/>
        <v>3</v>
      </c>
      <c r="H793" t="str">
        <f t="shared" si="245"/>
        <v/>
      </c>
      <c r="I793" t="str">
        <f t="shared" si="246"/>
        <v/>
      </c>
      <c r="J793" t="str">
        <f t="shared" si="247"/>
        <v/>
      </c>
      <c r="K793" t="str">
        <f t="shared" si="248"/>
        <v/>
      </c>
      <c r="L793" t="str">
        <f t="shared" si="249"/>
        <v/>
      </c>
      <c r="M793" t="str">
        <f t="shared" si="250"/>
        <v/>
      </c>
      <c r="N793" t="str">
        <f t="shared" si="251"/>
        <v/>
      </c>
      <c r="O793" t="str">
        <f t="shared" si="252"/>
        <v/>
      </c>
      <c r="P793" t="str">
        <f t="shared" si="253"/>
        <v/>
      </c>
      <c r="Q793" t="str">
        <f t="shared" si="254"/>
        <v/>
      </c>
      <c r="R793" t="str">
        <f t="shared" si="255"/>
        <v/>
      </c>
      <c r="S793" t="str">
        <f t="shared" si="256"/>
        <v/>
      </c>
      <c r="T793" t="str">
        <f t="shared" si="257"/>
        <v/>
      </c>
      <c r="U793" t="str">
        <f t="shared" si="258"/>
        <v/>
      </c>
      <c r="V793" t="str">
        <f t="shared" si="259"/>
        <v/>
      </c>
      <c r="W793" t="str">
        <f t="shared" si="242"/>
        <v xml:space="preserve">              </v>
      </c>
    </row>
    <row r="794" spans="1:23" customFormat="1" hidden="1">
      <c r="A794" t="b">
        <f t="shared" si="241"/>
        <v>0</v>
      </c>
      <c r="B794">
        <f t="shared" si="243"/>
        <v>793</v>
      </c>
      <c r="C794" t="s">
        <v>1689</v>
      </c>
      <c r="D794" t="s">
        <v>784</v>
      </c>
      <c r="E794">
        <f t="shared" si="260"/>
        <v>38</v>
      </c>
      <c r="G794">
        <f t="shared" si="244"/>
        <v>4</v>
      </c>
      <c r="H794" t="str">
        <f t="shared" si="245"/>
        <v/>
      </c>
      <c r="I794" t="str">
        <f t="shared" si="246"/>
        <v/>
      </c>
      <c r="J794" t="str">
        <f t="shared" si="247"/>
        <v/>
      </c>
      <c r="K794" t="str">
        <f t="shared" si="248"/>
        <v/>
      </c>
      <c r="L794" t="str">
        <f t="shared" si="249"/>
        <v/>
      </c>
      <c r="M794" t="str">
        <f t="shared" si="250"/>
        <v/>
      </c>
      <c r="N794" t="str">
        <f t="shared" si="251"/>
        <v/>
      </c>
      <c r="O794" t="str">
        <f t="shared" si="252"/>
        <v/>
      </c>
      <c r="P794" t="str">
        <f t="shared" si="253"/>
        <v/>
      </c>
      <c r="Q794" t="str">
        <f t="shared" si="254"/>
        <v/>
      </c>
      <c r="R794" t="str">
        <f t="shared" si="255"/>
        <v/>
      </c>
      <c r="S794" t="str">
        <f t="shared" si="256"/>
        <v/>
      </c>
      <c r="T794" t="str">
        <f t="shared" si="257"/>
        <v/>
      </c>
      <c r="U794" t="str">
        <f t="shared" si="258"/>
        <v/>
      </c>
      <c r="V794" t="str">
        <f t="shared" si="259"/>
        <v/>
      </c>
      <c r="W794" t="str">
        <f t="shared" si="242"/>
        <v xml:space="preserve">              </v>
      </c>
    </row>
    <row r="795" spans="1:23" customFormat="1" hidden="1">
      <c r="A795" t="b">
        <f t="shared" si="241"/>
        <v>0</v>
      </c>
      <c r="B795">
        <f t="shared" si="243"/>
        <v>794</v>
      </c>
      <c r="C795" t="s">
        <v>1689</v>
      </c>
      <c r="D795" t="s">
        <v>785</v>
      </c>
      <c r="E795">
        <f t="shared" si="260"/>
        <v>41</v>
      </c>
      <c r="G795">
        <f t="shared" si="244"/>
        <v>5</v>
      </c>
      <c r="H795" t="str">
        <f t="shared" si="245"/>
        <v/>
      </c>
      <c r="I795" t="str">
        <f t="shared" si="246"/>
        <v/>
      </c>
      <c r="J795" t="str">
        <f t="shared" si="247"/>
        <v/>
      </c>
      <c r="K795" t="str">
        <f t="shared" si="248"/>
        <v/>
      </c>
      <c r="L795" t="str">
        <f t="shared" si="249"/>
        <v/>
      </c>
      <c r="M795" t="str">
        <f t="shared" si="250"/>
        <v/>
      </c>
      <c r="N795" t="str">
        <f t="shared" si="251"/>
        <v/>
      </c>
      <c r="O795" t="str">
        <f t="shared" si="252"/>
        <v/>
      </c>
      <c r="P795" t="str">
        <f t="shared" si="253"/>
        <v/>
      </c>
      <c r="Q795" t="str">
        <f t="shared" si="254"/>
        <v/>
      </c>
      <c r="R795" t="str">
        <f t="shared" si="255"/>
        <v/>
      </c>
      <c r="S795" t="str">
        <f t="shared" si="256"/>
        <v/>
      </c>
      <c r="T795" t="str">
        <f t="shared" si="257"/>
        <v/>
      </c>
      <c r="U795" t="str">
        <f t="shared" si="258"/>
        <v/>
      </c>
      <c r="V795" t="str">
        <f t="shared" si="259"/>
        <v/>
      </c>
      <c r="W795" t="str">
        <f t="shared" si="242"/>
        <v xml:space="preserve">              </v>
      </c>
    </row>
    <row r="796" spans="1:23" customFormat="1" hidden="1">
      <c r="A796" t="b">
        <f t="shared" si="241"/>
        <v>0</v>
      </c>
      <c r="B796">
        <f t="shared" si="243"/>
        <v>795</v>
      </c>
      <c r="C796" t="s">
        <v>1689</v>
      </c>
      <c r="D796" t="s">
        <v>786</v>
      </c>
      <c r="E796">
        <f t="shared" si="260"/>
        <v>37</v>
      </c>
      <c r="G796">
        <f t="shared" si="244"/>
        <v>6</v>
      </c>
      <c r="H796" t="str">
        <f t="shared" si="245"/>
        <v/>
      </c>
      <c r="I796" t="str">
        <f t="shared" si="246"/>
        <v/>
      </c>
      <c r="J796" t="str">
        <f t="shared" si="247"/>
        <v/>
      </c>
      <c r="K796" t="str">
        <f t="shared" si="248"/>
        <v/>
      </c>
      <c r="L796" t="str">
        <f t="shared" si="249"/>
        <v/>
      </c>
      <c r="M796" t="str">
        <f t="shared" si="250"/>
        <v/>
      </c>
      <c r="N796" t="str">
        <f t="shared" si="251"/>
        <v/>
      </c>
      <c r="O796" t="str">
        <f t="shared" si="252"/>
        <v/>
      </c>
      <c r="P796" t="str">
        <f t="shared" si="253"/>
        <v/>
      </c>
      <c r="Q796" t="str">
        <f t="shared" si="254"/>
        <v/>
      </c>
      <c r="R796" t="str">
        <f t="shared" si="255"/>
        <v/>
      </c>
      <c r="S796" t="str">
        <f t="shared" si="256"/>
        <v/>
      </c>
      <c r="T796" t="str">
        <f t="shared" si="257"/>
        <v/>
      </c>
      <c r="U796" t="str">
        <f t="shared" si="258"/>
        <v/>
      </c>
      <c r="V796" t="str">
        <f t="shared" si="259"/>
        <v/>
      </c>
      <c r="W796" t="str">
        <f t="shared" si="242"/>
        <v xml:space="preserve">              </v>
      </c>
    </row>
    <row r="797" spans="1:23" customFormat="1" hidden="1">
      <c r="A797" t="b">
        <f t="shared" si="241"/>
        <v>0</v>
      </c>
      <c r="B797">
        <f t="shared" si="243"/>
        <v>796</v>
      </c>
      <c r="C797" t="s">
        <v>1689</v>
      </c>
      <c r="D797" t="s">
        <v>787</v>
      </c>
      <c r="E797">
        <f t="shared" si="260"/>
        <v>34</v>
      </c>
      <c r="G797">
        <f t="shared" si="244"/>
        <v>7</v>
      </c>
      <c r="H797" t="str">
        <f t="shared" si="245"/>
        <v/>
      </c>
      <c r="I797" t="str">
        <f t="shared" si="246"/>
        <v/>
      </c>
      <c r="J797" t="str">
        <f t="shared" si="247"/>
        <v/>
      </c>
      <c r="K797" t="str">
        <f t="shared" si="248"/>
        <v/>
      </c>
      <c r="L797" t="str">
        <f t="shared" si="249"/>
        <v/>
      </c>
      <c r="M797" t="str">
        <f t="shared" si="250"/>
        <v/>
      </c>
      <c r="N797" t="str">
        <f t="shared" si="251"/>
        <v/>
      </c>
      <c r="O797" t="str">
        <f t="shared" si="252"/>
        <v/>
      </c>
      <c r="P797" t="str">
        <f t="shared" si="253"/>
        <v/>
      </c>
      <c r="Q797" t="str">
        <f t="shared" si="254"/>
        <v/>
      </c>
      <c r="R797" t="str">
        <f t="shared" si="255"/>
        <v/>
      </c>
      <c r="S797" t="str">
        <f t="shared" si="256"/>
        <v/>
      </c>
      <c r="T797" t="str">
        <f t="shared" si="257"/>
        <v/>
      </c>
      <c r="U797" t="str">
        <f t="shared" si="258"/>
        <v/>
      </c>
      <c r="V797" t="str">
        <f t="shared" si="259"/>
        <v/>
      </c>
      <c r="W797" t="str">
        <f t="shared" si="242"/>
        <v xml:space="preserve">              </v>
      </c>
    </row>
    <row r="798" spans="1:23" customFormat="1" hidden="1">
      <c r="A798" t="b">
        <f t="shared" si="241"/>
        <v>0</v>
      </c>
      <c r="B798">
        <f t="shared" si="243"/>
        <v>797</v>
      </c>
      <c r="C798" t="s">
        <v>1689</v>
      </c>
      <c r="D798" t="s">
        <v>788</v>
      </c>
      <c r="E798">
        <f t="shared" si="260"/>
        <v>44</v>
      </c>
      <c r="G798">
        <f t="shared" si="244"/>
        <v>8</v>
      </c>
      <c r="H798" t="str">
        <f t="shared" si="245"/>
        <v/>
      </c>
      <c r="I798" t="str">
        <f t="shared" si="246"/>
        <v/>
      </c>
      <c r="J798" t="str">
        <f t="shared" si="247"/>
        <v/>
      </c>
      <c r="K798" t="str">
        <f t="shared" si="248"/>
        <v/>
      </c>
      <c r="L798" t="str">
        <f t="shared" si="249"/>
        <v/>
      </c>
      <c r="M798" t="str">
        <f t="shared" si="250"/>
        <v/>
      </c>
      <c r="N798" t="str">
        <f t="shared" si="251"/>
        <v/>
      </c>
      <c r="O798" t="str">
        <f t="shared" si="252"/>
        <v/>
      </c>
      <c r="P798" t="str">
        <f t="shared" si="253"/>
        <v/>
      </c>
      <c r="Q798" t="str">
        <f t="shared" si="254"/>
        <v/>
      </c>
      <c r="R798" t="str">
        <f t="shared" si="255"/>
        <v/>
      </c>
      <c r="S798" t="str">
        <f t="shared" si="256"/>
        <v/>
      </c>
      <c r="T798" t="str">
        <f t="shared" si="257"/>
        <v/>
      </c>
      <c r="U798" t="str">
        <f t="shared" si="258"/>
        <v/>
      </c>
      <c r="V798" t="str">
        <f t="shared" si="259"/>
        <v/>
      </c>
      <c r="W798" t="str">
        <f t="shared" si="242"/>
        <v xml:space="preserve">              </v>
      </c>
    </row>
    <row r="799" spans="1:23" customFormat="1" hidden="1">
      <c r="A799" t="b">
        <f t="shared" si="241"/>
        <v>0</v>
      </c>
      <c r="B799">
        <f t="shared" si="243"/>
        <v>798</v>
      </c>
      <c r="C799" t="s">
        <v>1689</v>
      </c>
      <c r="D799" t="s">
        <v>789</v>
      </c>
      <c r="E799">
        <f t="shared" si="260"/>
        <v>36</v>
      </c>
      <c r="G799">
        <f t="shared" si="244"/>
        <v>9</v>
      </c>
      <c r="H799" t="str">
        <f t="shared" si="245"/>
        <v/>
      </c>
      <c r="I799" t="str">
        <f t="shared" si="246"/>
        <v/>
      </c>
      <c r="J799" t="str">
        <f t="shared" si="247"/>
        <v/>
      </c>
      <c r="K799" t="str">
        <f t="shared" si="248"/>
        <v/>
      </c>
      <c r="L799" t="str">
        <f t="shared" si="249"/>
        <v/>
      </c>
      <c r="M799" t="str">
        <f t="shared" si="250"/>
        <v/>
      </c>
      <c r="N799" t="str">
        <f t="shared" si="251"/>
        <v/>
      </c>
      <c r="O799" t="str">
        <f t="shared" si="252"/>
        <v/>
      </c>
      <c r="P799" t="str">
        <f t="shared" si="253"/>
        <v/>
      </c>
      <c r="Q799" t="str">
        <f t="shared" si="254"/>
        <v/>
      </c>
      <c r="R799" t="str">
        <f t="shared" si="255"/>
        <v/>
      </c>
      <c r="S799" t="str">
        <f t="shared" si="256"/>
        <v/>
      </c>
      <c r="T799" t="str">
        <f t="shared" si="257"/>
        <v/>
      </c>
      <c r="U799" t="str">
        <f t="shared" si="258"/>
        <v/>
      </c>
      <c r="V799" t="str">
        <f t="shared" si="259"/>
        <v/>
      </c>
      <c r="W799" t="str">
        <f t="shared" si="242"/>
        <v xml:space="preserve">              </v>
      </c>
    </row>
    <row r="800" spans="1:23" customFormat="1" hidden="1">
      <c r="A800" t="b">
        <f t="shared" si="241"/>
        <v>0</v>
      </c>
      <c r="B800">
        <f t="shared" si="243"/>
        <v>799</v>
      </c>
      <c r="C800" t="s">
        <v>1689</v>
      </c>
      <c r="D800" t="s">
        <v>790</v>
      </c>
      <c r="E800">
        <f t="shared" si="260"/>
        <v>39</v>
      </c>
      <c r="G800">
        <f t="shared" si="244"/>
        <v>10</v>
      </c>
      <c r="H800" t="str">
        <f t="shared" si="245"/>
        <v/>
      </c>
      <c r="I800" t="str">
        <f t="shared" si="246"/>
        <v/>
      </c>
      <c r="J800" t="str">
        <f t="shared" si="247"/>
        <v/>
      </c>
      <c r="K800" t="str">
        <f t="shared" si="248"/>
        <v/>
      </c>
      <c r="L800" t="str">
        <f t="shared" si="249"/>
        <v/>
      </c>
      <c r="M800" t="str">
        <f t="shared" si="250"/>
        <v/>
      </c>
      <c r="N800" t="str">
        <f t="shared" si="251"/>
        <v/>
      </c>
      <c r="O800" t="str">
        <f t="shared" si="252"/>
        <v/>
      </c>
      <c r="P800" t="str">
        <f t="shared" si="253"/>
        <v/>
      </c>
      <c r="Q800" t="str">
        <f t="shared" si="254"/>
        <v/>
      </c>
      <c r="R800" t="str">
        <f t="shared" si="255"/>
        <v/>
      </c>
      <c r="S800" t="str">
        <f t="shared" si="256"/>
        <v/>
      </c>
      <c r="T800" t="str">
        <f t="shared" si="257"/>
        <v/>
      </c>
      <c r="U800" t="str">
        <f t="shared" si="258"/>
        <v/>
      </c>
      <c r="V800" t="str">
        <f t="shared" si="259"/>
        <v/>
      </c>
      <c r="W800" t="str">
        <f t="shared" si="242"/>
        <v xml:space="preserve">              </v>
      </c>
    </row>
    <row r="801" spans="1:23" hidden="1">
      <c r="A801" s="71" t="b">
        <f t="shared" si="241"/>
        <v>0</v>
      </c>
      <c r="B801" s="71">
        <f t="shared" si="243"/>
        <v>800</v>
      </c>
      <c r="C801" s="71" t="s">
        <v>1689</v>
      </c>
      <c r="D801" s="71" t="s">
        <v>791</v>
      </c>
      <c r="E801">
        <f t="shared" si="260"/>
        <v>16</v>
      </c>
      <c r="F801">
        <v>1</v>
      </c>
      <c r="G801">
        <f t="shared" si="244"/>
        <v>1</v>
      </c>
      <c r="H801" t="str">
        <f t="shared" si="245"/>
        <v>Reserve analysis</v>
      </c>
      <c r="I801" t="str">
        <f t="shared" si="246"/>
        <v>Cost reserves are for unknown unknowns</v>
      </c>
      <c r="J801" t="str">
        <f t="shared" si="247"/>
        <v>within a project. The management</v>
      </c>
      <c r="K801" t="str">
        <f t="shared" si="248"/>
        <v>reserve is not part of the project cost</v>
      </c>
      <c r="L801" t="str">
        <f t="shared" si="249"/>
        <v>baseline, but is included as part of the</v>
      </c>
      <c r="M801" t="str">
        <f t="shared" si="250"/>
        <v>project budget.</v>
      </c>
      <c r="N801" t="str">
        <f t="shared" si="251"/>
        <v/>
      </c>
      <c r="O801" t="str">
        <f t="shared" si="252"/>
        <v/>
      </c>
      <c r="P801" t="str">
        <f t="shared" si="253"/>
        <v/>
      </c>
      <c r="Q801" t="str">
        <f t="shared" si="254"/>
        <v/>
      </c>
      <c r="R801" t="str">
        <f t="shared" si="255"/>
        <v/>
      </c>
      <c r="S801" t="str">
        <f t="shared" si="256"/>
        <v/>
      </c>
      <c r="T801" t="str">
        <f t="shared" si="257"/>
        <v/>
      </c>
      <c r="U801" t="str">
        <f t="shared" si="258"/>
        <v/>
      </c>
      <c r="V801" t="str">
        <f t="shared" si="259"/>
        <v/>
      </c>
      <c r="W801" s="71" t="str">
        <f>CONCATENATE(H801," ",I801," ",J801," ",K801," ",L801," ",M801," ",N801," ",O801," ",P801," ",Q801," ",R801," ",S801," ",T801," ",U801," ",V801)</f>
        <v xml:space="preserve">Reserve analysis Cost reserves are for unknown unknowns within a project. The management reserve is not part of the project cost baseline, but is included as part of the project budget.         </v>
      </c>
    </row>
    <row r="802" spans="1:23" customFormat="1" hidden="1">
      <c r="A802" t="b">
        <f t="shared" si="241"/>
        <v>0</v>
      </c>
      <c r="B802">
        <f t="shared" si="243"/>
        <v>801</v>
      </c>
      <c r="C802" t="s">
        <v>1689</v>
      </c>
      <c r="D802" t="s">
        <v>792</v>
      </c>
      <c r="E802">
        <f t="shared" si="260"/>
        <v>38</v>
      </c>
      <c r="G802">
        <f t="shared" si="244"/>
        <v>2</v>
      </c>
      <c r="H802" t="str">
        <f t="shared" si="245"/>
        <v/>
      </c>
      <c r="I802" t="str">
        <f t="shared" si="246"/>
        <v/>
      </c>
      <c r="J802" t="str">
        <f t="shared" si="247"/>
        <v/>
      </c>
      <c r="K802" t="str">
        <f t="shared" si="248"/>
        <v/>
      </c>
      <c r="L802" t="str">
        <f t="shared" si="249"/>
        <v/>
      </c>
      <c r="M802" t="str">
        <f t="shared" si="250"/>
        <v/>
      </c>
      <c r="N802" t="str">
        <f t="shared" si="251"/>
        <v/>
      </c>
      <c r="O802" t="str">
        <f t="shared" si="252"/>
        <v/>
      </c>
      <c r="P802" t="str">
        <f t="shared" si="253"/>
        <v/>
      </c>
      <c r="Q802" t="str">
        <f t="shared" si="254"/>
        <v/>
      </c>
      <c r="R802" t="str">
        <f t="shared" si="255"/>
        <v/>
      </c>
      <c r="S802" t="str">
        <f t="shared" si="256"/>
        <v/>
      </c>
      <c r="T802" t="str">
        <f t="shared" si="257"/>
        <v/>
      </c>
      <c r="U802" t="str">
        <f t="shared" si="258"/>
        <v/>
      </c>
      <c r="V802" t="str">
        <f t="shared" si="259"/>
        <v/>
      </c>
      <c r="W802" t="str">
        <f t="shared" si="242"/>
        <v xml:space="preserve">              </v>
      </c>
    </row>
    <row r="803" spans="1:23" customFormat="1" hidden="1">
      <c r="A803" t="b">
        <f t="shared" si="241"/>
        <v>0</v>
      </c>
      <c r="B803">
        <f t="shared" si="243"/>
        <v>802</v>
      </c>
      <c r="C803" t="s">
        <v>1689</v>
      </c>
      <c r="D803" t="s">
        <v>793</v>
      </c>
      <c r="E803">
        <f t="shared" si="260"/>
        <v>32</v>
      </c>
      <c r="G803">
        <f t="shared" si="244"/>
        <v>3</v>
      </c>
      <c r="H803" t="str">
        <f t="shared" si="245"/>
        <v/>
      </c>
      <c r="I803" t="str">
        <f t="shared" si="246"/>
        <v/>
      </c>
      <c r="J803" t="str">
        <f t="shared" si="247"/>
        <v/>
      </c>
      <c r="K803" t="str">
        <f t="shared" si="248"/>
        <v/>
      </c>
      <c r="L803" t="str">
        <f t="shared" si="249"/>
        <v/>
      </c>
      <c r="M803" t="str">
        <f t="shared" si="250"/>
        <v/>
      </c>
      <c r="N803" t="str">
        <f t="shared" si="251"/>
        <v/>
      </c>
      <c r="O803" t="str">
        <f t="shared" si="252"/>
        <v/>
      </c>
      <c r="P803" t="str">
        <f t="shared" si="253"/>
        <v/>
      </c>
      <c r="Q803" t="str">
        <f t="shared" si="254"/>
        <v/>
      </c>
      <c r="R803" t="str">
        <f t="shared" si="255"/>
        <v/>
      </c>
      <c r="S803" t="str">
        <f t="shared" si="256"/>
        <v/>
      </c>
      <c r="T803" t="str">
        <f t="shared" si="257"/>
        <v/>
      </c>
      <c r="U803" t="str">
        <f t="shared" si="258"/>
        <v/>
      </c>
      <c r="V803" t="str">
        <f t="shared" si="259"/>
        <v/>
      </c>
      <c r="W803" t="str">
        <f t="shared" si="242"/>
        <v xml:space="preserve">              </v>
      </c>
    </row>
    <row r="804" spans="1:23" customFormat="1" hidden="1">
      <c r="A804" t="b">
        <f t="shared" si="241"/>
        <v>0</v>
      </c>
      <c r="B804">
        <f t="shared" si="243"/>
        <v>803</v>
      </c>
      <c r="C804" t="s">
        <v>1689</v>
      </c>
      <c r="D804" t="s">
        <v>794</v>
      </c>
      <c r="E804">
        <f t="shared" si="260"/>
        <v>39</v>
      </c>
      <c r="G804">
        <f t="shared" si="244"/>
        <v>4</v>
      </c>
      <c r="H804" t="str">
        <f t="shared" si="245"/>
        <v/>
      </c>
      <c r="I804" t="str">
        <f t="shared" si="246"/>
        <v/>
      </c>
      <c r="J804" t="str">
        <f t="shared" si="247"/>
        <v/>
      </c>
      <c r="K804" t="str">
        <f t="shared" si="248"/>
        <v/>
      </c>
      <c r="L804" t="str">
        <f t="shared" si="249"/>
        <v/>
      </c>
      <c r="M804" t="str">
        <f t="shared" si="250"/>
        <v/>
      </c>
      <c r="N804" t="str">
        <f t="shared" si="251"/>
        <v/>
      </c>
      <c r="O804" t="str">
        <f t="shared" si="252"/>
        <v/>
      </c>
      <c r="P804" t="str">
        <f t="shared" si="253"/>
        <v/>
      </c>
      <c r="Q804" t="str">
        <f t="shared" si="254"/>
        <v/>
      </c>
      <c r="R804" t="str">
        <f t="shared" si="255"/>
        <v/>
      </c>
      <c r="S804" t="str">
        <f t="shared" si="256"/>
        <v/>
      </c>
      <c r="T804" t="str">
        <f t="shared" si="257"/>
        <v/>
      </c>
      <c r="U804" t="str">
        <f t="shared" si="258"/>
        <v/>
      </c>
      <c r="V804" t="str">
        <f t="shared" si="259"/>
        <v/>
      </c>
      <c r="W804" t="str">
        <f t="shared" si="242"/>
        <v xml:space="preserve">              </v>
      </c>
    </row>
    <row r="805" spans="1:23" customFormat="1" hidden="1">
      <c r="A805" t="b">
        <f t="shared" si="241"/>
        <v>0</v>
      </c>
      <c r="B805">
        <f t="shared" si="243"/>
        <v>804</v>
      </c>
      <c r="C805" t="s">
        <v>1689</v>
      </c>
      <c r="D805" t="s">
        <v>795</v>
      </c>
      <c r="E805">
        <f t="shared" si="260"/>
        <v>40</v>
      </c>
      <c r="G805">
        <f t="shared" si="244"/>
        <v>5</v>
      </c>
      <c r="H805" t="str">
        <f t="shared" si="245"/>
        <v/>
      </c>
      <c r="I805" t="str">
        <f t="shared" si="246"/>
        <v/>
      </c>
      <c r="J805" t="str">
        <f t="shared" si="247"/>
        <v/>
      </c>
      <c r="K805" t="str">
        <f t="shared" si="248"/>
        <v/>
      </c>
      <c r="L805" t="str">
        <f t="shared" si="249"/>
        <v/>
      </c>
      <c r="M805" t="str">
        <f t="shared" si="250"/>
        <v/>
      </c>
      <c r="N805" t="str">
        <f t="shared" si="251"/>
        <v/>
      </c>
      <c r="O805" t="str">
        <f t="shared" si="252"/>
        <v/>
      </c>
      <c r="P805" t="str">
        <f t="shared" si="253"/>
        <v/>
      </c>
      <c r="Q805" t="str">
        <f t="shared" si="254"/>
        <v/>
      </c>
      <c r="R805" t="str">
        <f t="shared" si="255"/>
        <v/>
      </c>
      <c r="S805" t="str">
        <f t="shared" si="256"/>
        <v/>
      </c>
      <c r="T805" t="str">
        <f t="shared" si="257"/>
        <v/>
      </c>
      <c r="U805" t="str">
        <f t="shared" si="258"/>
        <v/>
      </c>
      <c r="V805" t="str">
        <f t="shared" si="259"/>
        <v/>
      </c>
      <c r="W805" t="str">
        <f t="shared" si="242"/>
        <v xml:space="preserve">              </v>
      </c>
    </row>
    <row r="806" spans="1:23" customFormat="1" hidden="1">
      <c r="A806" t="b">
        <f t="shared" si="241"/>
        <v>0</v>
      </c>
      <c r="B806">
        <f t="shared" si="243"/>
        <v>805</v>
      </c>
      <c r="C806" t="s">
        <v>1689</v>
      </c>
      <c r="D806" t="s">
        <v>796</v>
      </c>
      <c r="E806">
        <f t="shared" si="260"/>
        <v>15</v>
      </c>
      <c r="G806">
        <f t="shared" si="244"/>
        <v>6</v>
      </c>
      <c r="H806" t="str">
        <f t="shared" si="245"/>
        <v/>
      </c>
      <c r="I806" t="str">
        <f t="shared" si="246"/>
        <v/>
      </c>
      <c r="J806" t="str">
        <f t="shared" si="247"/>
        <v/>
      </c>
      <c r="K806" t="str">
        <f t="shared" si="248"/>
        <v/>
      </c>
      <c r="L806" t="str">
        <f t="shared" si="249"/>
        <v/>
      </c>
      <c r="M806" t="str">
        <f t="shared" si="250"/>
        <v/>
      </c>
      <c r="N806" t="str">
        <f t="shared" si="251"/>
        <v/>
      </c>
      <c r="O806" t="str">
        <f t="shared" si="252"/>
        <v/>
      </c>
      <c r="P806" t="str">
        <f t="shared" si="253"/>
        <v/>
      </c>
      <c r="Q806" t="str">
        <f t="shared" si="254"/>
        <v/>
      </c>
      <c r="R806" t="str">
        <f t="shared" si="255"/>
        <v/>
      </c>
      <c r="S806" t="str">
        <f t="shared" si="256"/>
        <v/>
      </c>
      <c r="T806" t="str">
        <f t="shared" si="257"/>
        <v/>
      </c>
      <c r="U806" t="str">
        <f t="shared" si="258"/>
        <v/>
      </c>
      <c r="V806" t="str">
        <f t="shared" si="259"/>
        <v/>
      </c>
      <c r="W806" t="str">
        <f t="shared" si="242"/>
        <v xml:space="preserve">              </v>
      </c>
    </row>
    <row r="807" spans="1:23" hidden="1">
      <c r="A807" s="71" t="b">
        <f t="shared" si="241"/>
        <v>0</v>
      </c>
      <c r="B807" s="71">
        <f t="shared" si="243"/>
        <v>806</v>
      </c>
      <c r="C807" s="71" t="s">
        <v>1689</v>
      </c>
      <c r="D807" s="71" t="s">
        <v>797</v>
      </c>
      <c r="E807">
        <f t="shared" si="260"/>
        <v>24</v>
      </c>
      <c r="F807">
        <v>1</v>
      </c>
      <c r="G807">
        <f t="shared" si="244"/>
        <v>1</v>
      </c>
      <c r="H807" t="str">
        <f t="shared" si="245"/>
        <v>Rough order of magnitude</v>
      </c>
      <c r="I807" t="str">
        <f t="shared" si="246"/>
        <v>This rough estimate is used during the</v>
      </c>
      <c r="J807" t="str">
        <f t="shared" si="247"/>
        <v>initiating processes and in top-down</v>
      </c>
      <c r="K807" t="str">
        <f t="shared" si="248"/>
        <v>estimates. The range of variance for the</v>
      </c>
      <c r="L807" t="str">
        <f t="shared" si="249"/>
        <v>estimate can be from –25 percent to +75</v>
      </c>
      <c r="M807" t="str">
        <f t="shared" si="250"/>
        <v>percent.</v>
      </c>
      <c r="N807" t="str">
        <f t="shared" si="251"/>
        <v/>
      </c>
      <c r="O807" t="str">
        <f t="shared" si="252"/>
        <v/>
      </c>
      <c r="P807" t="str">
        <f t="shared" si="253"/>
        <v/>
      </c>
      <c r="Q807" t="str">
        <f t="shared" si="254"/>
        <v/>
      </c>
      <c r="R807" t="str">
        <f t="shared" si="255"/>
        <v/>
      </c>
      <c r="S807" t="str">
        <f t="shared" si="256"/>
        <v/>
      </c>
      <c r="T807" t="str">
        <f t="shared" si="257"/>
        <v/>
      </c>
      <c r="U807" t="str">
        <f t="shared" si="258"/>
        <v/>
      </c>
      <c r="V807" t="str">
        <f t="shared" si="259"/>
        <v/>
      </c>
      <c r="W807" s="71" t="str">
        <f>CONCATENATE(H807," ",I807," ",J807," ",K807," ",L807," ",M807," ",N807," ",O807," ",P807," ",Q807," ",R807," ",S807," ",T807," ",U807," ",V807)</f>
        <v xml:space="preserve">Rough order of magnitude This rough estimate is used during the initiating processes and in top-down estimates. The range of variance for the estimate can be from –25 percent to +75 percent.         </v>
      </c>
    </row>
    <row r="808" spans="1:23" customFormat="1" hidden="1">
      <c r="A808" t="b">
        <f t="shared" si="241"/>
        <v>0</v>
      </c>
      <c r="B808">
        <f t="shared" si="243"/>
        <v>807</v>
      </c>
      <c r="C808" t="s">
        <v>1689</v>
      </c>
      <c r="D808" t="s">
        <v>798</v>
      </c>
      <c r="E808">
        <f t="shared" si="260"/>
        <v>38</v>
      </c>
      <c r="G808">
        <f t="shared" si="244"/>
        <v>2</v>
      </c>
      <c r="H808" t="str">
        <f t="shared" si="245"/>
        <v/>
      </c>
      <c r="I808" t="str">
        <f t="shared" si="246"/>
        <v/>
      </c>
      <c r="J808" t="str">
        <f t="shared" si="247"/>
        <v/>
      </c>
      <c r="K808" t="str">
        <f t="shared" si="248"/>
        <v/>
      </c>
      <c r="L808" t="str">
        <f t="shared" si="249"/>
        <v/>
      </c>
      <c r="M808" t="str">
        <f t="shared" si="250"/>
        <v/>
      </c>
      <c r="N808" t="str">
        <f t="shared" si="251"/>
        <v/>
      </c>
      <c r="O808" t="str">
        <f t="shared" si="252"/>
        <v/>
      </c>
      <c r="P808" t="str">
        <f t="shared" si="253"/>
        <v/>
      </c>
      <c r="Q808" t="str">
        <f t="shared" si="254"/>
        <v/>
      </c>
      <c r="R808" t="str">
        <f t="shared" si="255"/>
        <v/>
      </c>
      <c r="S808" t="str">
        <f t="shared" si="256"/>
        <v/>
      </c>
      <c r="T808" t="str">
        <f t="shared" si="257"/>
        <v/>
      </c>
      <c r="U808" t="str">
        <f t="shared" si="258"/>
        <v/>
      </c>
      <c r="V808" t="str">
        <f t="shared" si="259"/>
        <v/>
      </c>
      <c r="W808" t="str">
        <f t="shared" si="242"/>
        <v xml:space="preserve">              </v>
      </c>
    </row>
    <row r="809" spans="1:23" customFormat="1" hidden="1">
      <c r="A809" t="b">
        <f t="shared" si="241"/>
        <v>0</v>
      </c>
      <c r="B809">
        <f t="shared" si="243"/>
        <v>808</v>
      </c>
      <c r="C809" t="s">
        <v>1689</v>
      </c>
      <c r="D809" t="s">
        <v>799</v>
      </c>
      <c r="E809">
        <f t="shared" si="260"/>
        <v>36</v>
      </c>
      <c r="G809">
        <f t="shared" si="244"/>
        <v>3</v>
      </c>
      <c r="H809" t="str">
        <f t="shared" si="245"/>
        <v/>
      </c>
      <c r="I809" t="str">
        <f t="shared" si="246"/>
        <v/>
      </c>
      <c r="J809" t="str">
        <f t="shared" si="247"/>
        <v/>
      </c>
      <c r="K809" t="str">
        <f t="shared" si="248"/>
        <v/>
      </c>
      <c r="L809" t="str">
        <f t="shared" si="249"/>
        <v/>
      </c>
      <c r="M809" t="str">
        <f t="shared" si="250"/>
        <v/>
      </c>
      <c r="N809" t="str">
        <f t="shared" si="251"/>
        <v/>
      </c>
      <c r="O809" t="str">
        <f t="shared" si="252"/>
        <v/>
      </c>
      <c r="P809" t="str">
        <f t="shared" si="253"/>
        <v/>
      </c>
      <c r="Q809" t="str">
        <f t="shared" si="254"/>
        <v/>
      </c>
      <c r="R809" t="str">
        <f t="shared" si="255"/>
        <v/>
      </c>
      <c r="S809" t="str">
        <f t="shared" si="256"/>
        <v/>
      </c>
      <c r="T809" t="str">
        <f t="shared" si="257"/>
        <v/>
      </c>
      <c r="U809" t="str">
        <f t="shared" si="258"/>
        <v/>
      </c>
      <c r="V809" t="str">
        <f t="shared" si="259"/>
        <v/>
      </c>
      <c r="W809" t="str">
        <f t="shared" si="242"/>
        <v xml:space="preserve">              </v>
      </c>
    </row>
    <row r="810" spans="1:23" customFormat="1" hidden="1">
      <c r="A810" t="b">
        <f t="shared" si="241"/>
        <v>0</v>
      </c>
      <c r="B810">
        <f t="shared" si="243"/>
        <v>809</v>
      </c>
      <c r="C810" t="s">
        <v>1689</v>
      </c>
      <c r="D810" t="s">
        <v>800</v>
      </c>
      <c r="E810">
        <f t="shared" si="260"/>
        <v>40</v>
      </c>
      <c r="G810">
        <f t="shared" si="244"/>
        <v>4</v>
      </c>
      <c r="H810" t="str">
        <f t="shared" si="245"/>
        <v/>
      </c>
      <c r="I810" t="str">
        <f t="shared" si="246"/>
        <v/>
      </c>
      <c r="J810" t="str">
        <f t="shared" si="247"/>
        <v/>
      </c>
      <c r="K810" t="str">
        <f t="shared" si="248"/>
        <v/>
      </c>
      <c r="L810" t="str">
        <f t="shared" si="249"/>
        <v/>
      </c>
      <c r="M810" t="str">
        <f t="shared" si="250"/>
        <v/>
      </c>
      <c r="N810" t="str">
        <f t="shared" si="251"/>
        <v/>
      </c>
      <c r="O810" t="str">
        <f t="shared" si="252"/>
        <v/>
      </c>
      <c r="P810" t="str">
        <f t="shared" si="253"/>
        <v/>
      </c>
      <c r="Q810" t="str">
        <f t="shared" si="254"/>
        <v/>
      </c>
      <c r="R810" t="str">
        <f t="shared" si="255"/>
        <v/>
      </c>
      <c r="S810" t="str">
        <f t="shared" si="256"/>
        <v/>
      </c>
      <c r="T810" t="str">
        <f t="shared" si="257"/>
        <v/>
      </c>
      <c r="U810" t="str">
        <f t="shared" si="258"/>
        <v/>
      </c>
      <c r="V810" t="str">
        <f t="shared" si="259"/>
        <v/>
      </c>
      <c r="W810" t="str">
        <f t="shared" si="242"/>
        <v xml:space="preserve">              </v>
      </c>
    </row>
    <row r="811" spans="1:23" customFormat="1" hidden="1">
      <c r="A811" t="b">
        <f t="shared" si="241"/>
        <v>0</v>
      </c>
      <c r="B811">
        <f t="shared" si="243"/>
        <v>810</v>
      </c>
      <c r="C811" t="s">
        <v>1689</v>
      </c>
      <c r="D811" t="s">
        <v>801</v>
      </c>
      <c r="E811">
        <f t="shared" si="260"/>
        <v>39</v>
      </c>
      <c r="G811">
        <f t="shared" si="244"/>
        <v>5</v>
      </c>
      <c r="H811" t="str">
        <f t="shared" si="245"/>
        <v/>
      </c>
      <c r="I811" t="str">
        <f t="shared" si="246"/>
        <v/>
      </c>
      <c r="J811" t="str">
        <f t="shared" si="247"/>
        <v/>
      </c>
      <c r="K811" t="str">
        <f t="shared" si="248"/>
        <v/>
      </c>
      <c r="L811" t="str">
        <f t="shared" si="249"/>
        <v/>
      </c>
      <c r="M811" t="str">
        <f t="shared" si="250"/>
        <v/>
      </c>
      <c r="N811" t="str">
        <f t="shared" si="251"/>
        <v/>
      </c>
      <c r="O811" t="str">
        <f t="shared" si="252"/>
        <v/>
      </c>
      <c r="P811" t="str">
        <f t="shared" si="253"/>
        <v/>
      </c>
      <c r="Q811" t="str">
        <f t="shared" si="254"/>
        <v/>
      </c>
      <c r="R811" t="str">
        <f t="shared" si="255"/>
        <v/>
      </c>
      <c r="S811" t="str">
        <f t="shared" si="256"/>
        <v/>
      </c>
      <c r="T811" t="str">
        <f t="shared" si="257"/>
        <v/>
      </c>
      <c r="U811" t="str">
        <f t="shared" si="258"/>
        <v/>
      </c>
      <c r="V811" t="str">
        <f t="shared" si="259"/>
        <v/>
      </c>
      <c r="W811" t="str">
        <f t="shared" si="242"/>
        <v xml:space="preserve">              </v>
      </c>
    </row>
    <row r="812" spans="1:23" customFormat="1" hidden="1">
      <c r="A812" t="b">
        <f t="shared" si="241"/>
        <v>0</v>
      </c>
      <c r="B812">
        <f t="shared" si="243"/>
        <v>811</v>
      </c>
      <c r="C812" t="s">
        <v>1689</v>
      </c>
      <c r="D812" t="s">
        <v>802</v>
      </c>
      <c r="E812">
        <f t="shared" si="260"/>
        <v>8</v>
      </c>
      <c r="G812">
        <f t="shared" si="244"/>
        <v>6</v>
      </c>
      <c r="H812" t="str">
        <f t="shared" si="245"/>
        <v/>
      </c>
      <c r="I812" t="str">
        <f t="shared" si="246"/>
        <v/>
      </c>
      <c r="J812" t="str">
        <f t="shared" si="247"/>
        <v/>
      </c>
      <c r="K812" t="str">
        <f t="shared" si="248"/>
        <v/>
      </c>
      <c r="L812" t="str">
        <f t="shared" si="249"/>
        <v/>
      </c>
      <c r="M812" t="str">
        <f t="shared" si="250"/>
        <v/>
      </c>
      <c r="N812" t="str">
        <f t="shared" si="251"/>
        <v/>
      </c>
      <c r="O812" t="str">
        <f t="shared" si="252"/>
        <v/>
      </c>
      <c r="P812" t="str">
        <f t="shared" si="253"/>
        <v/>
      </c>
      <c r="Q812" t="str">
        <f t="shared" si="254"/>
        <v/>
      </c>
      <c r="R812" t="str">
        <f t="shared" si="255"/>
        <v/>
      </c>
      <c r="S812" t="str">
        <f t="shared" si="256"/>
        <v/>
      </c>
      <c r="T812" t="str">
        <f t="shared" si="257"/>
        <v/>
      </c>
      <c r="U812" t="str">
        <f t="shared" si="258"/>
        <v/>
      </c>
      <c r="V812" t="str">
        <f t="shared" si="259"/>
        <v/>
      </c>
      <c r="W812" t="str">
        <f t="shared" si="242"/>
        <v xml:space="preserve">              </v>
      </c>
    </row>
    <row r="813" spans="1:23" hidden="1">
      <c r="A813" s="71" t="b">
        <f t="shared" si="241"/>
        <v>0</v>
      </c>
      <c r="B813" s="71">
        <f t="shared" si="243"/>
        <v>812</v>
      </c>
      <c r="C813" s="71" t="s">
        <v>1689</v>
      </c>
      <c r="D813" s="71" t="s">
        <v>803</v>
      </c>
      <c r="E813">
        <f t="shared" si="260"/>
        <v>32</v>
      </c>
      <c r="F813">
        <v>1</v>
      </c>
      <c r="G813">
        <f t="shared" si="244"/>
        <v>1</v>
      </c>
      <c r="H813" t="str">
        <f t="shared" si="245"/>
        <v>Schedule performance index (SPI)</v>
      </c>
      <c r="I813" t="str">
        <f t="shared" si="246"/>
        <v>Measures the project based on its</v>
      </c>
      <c r="J813" t="str">
        <f t="shared" si="247"/>
        <v>schedule performance. The formula is</v>
      </c>
      <c r="K813" t="str">
        <f t="shared" si="248"/>
        <v>SPI = EV/PV.</v>
      </c>
      <c r="L813" t="str">
        <f t="shared" si="249"/>
        <v/>
      </c>
      <c r="M813" t="str">
        <f t="shared" si="250"/>
        <v/>
      </c>
      <c r="N813" t="str">
        <f t="shared" si="251"/>
        <v/>
      </c>
      <c r="O813" t="str">
        <f t="shared" si="252"/>
        <v/>
      </c>
      <c r="P813" t="str">
        <f t="shared" si="253"/>
        <v/>
      </c>
      <c r="Q813" t="str">
        <f t="shared" si="254"/>
        <v/>
      </c>
      <c r="R813" t="str">
        <f t="shared" si="255"/>
        <v/>
      </c>
      <c r="S813" t="str">
        <f t="shared" si="256"/>
        <v/>
      </c>
      <c r="T813" t="str">
        <f t="shared" si="257"/>
        <v/>
      </c>
      <c r="U813" t="str">
        <f t="shared" si="258"/>
        <v/>
      </c>
      <c r="V813" t="str">
        <f t="shared" si="259"/>
        <v/>
      </c>
      <c r="W813" s="71" t="str">
        <f>CONCATENATE(H813," ",I813," ",J813," ",K813," ",L813," ",M813," ",N813," ",O813," ",P813," ",Q813," ",R813," ",S813," ",T813," ",U813," ",V813)</f>
        <v xml:space="preserve">Schedule performance index (SPI) Measures the project based on its schedule performance. The formula is SPI = EV/PV.           </v>
      </c>
    </row>
    <row r="814" spans="1:23" customFormat="1" hidden="1">
      <c r="A814" t="b">
        <f t="shared" si="241"/>
        <v>0</v>
      </c>
      <c r="B814">
        <f t="shared" si="243"/>
        <v>813</v>
      </c>
      <c r="C814" t="s">
        <v>1689</v>
      </c>
      <c r="D814" t="s">
        <v>804</v>
      </c>
      <c r="E814">
        <f t="shared" si="260"/>
        <v>33</v>
      </c>
      <c r="G814">
        <f t="shared" si="244"/>
        <v>2</v>
      </c>
      <c r="H814" t="str">
        <f t="shared" si="245"/>
        <v/>
      </c>
      <c r="I814" t="str">
        <f t="shared" si="246"/>
        <v/>
      </c>
      <c r="J814" t="str">
        <f t="shared" si="247"/>
        <v/>
      </c>
      <c r="K814" t="str">
        <f t="shared" si="248"/>
        <v/>
      </c>
      <c r="L814" t="str">
        <f t="shared" si="249"/>
        <v/>
      </c>
      <c r="M814" t="str">
        <f t="shared" si="250"/>
        <v/>
      </c>
      <c r="N814" t="str">
        <f t="shared" si="251"/>
        <v/>
      </c>
      <c r="O814" t="str">
        <f t="shared" si="252"/>
        <v/>
      </c>
      <c r="P814" t="str">
        <f t="shared" si="253"/>
        <v/>
      </c>
      <c r="Q814" t="str">
        <f t="shared" si="254"/>
        <v/>
      </c>
      <c r="R814" t="str">
        <f t="shared" si="255"/>
        <v/>
      </c>
      <c r="S814" t="str">
        <f t="shared" si="256"/>
        <v/>
      </c>
      <c r="T814" t="str">
        <f t="shared" si="257"/>
        <v/>
      </c>
      <c r="U814" t="str">
        <f t="shared" si="258"/>
        <v/>
      </c>
      <c r="V814" t="str">
        <f t="shared" si="259"/>
        <v/>
      </c>
      <c r="W814" t="str">
        <f t="shared" si="242"/>
        <v xml:space="preserve">              </v>
      </c>
    </row>
    <row r="815" spans="1:23" customFormat="1" hidden="1">
      <c r="A815" t="b">
        <f t="shared" si="241"/>
        <v>0</v>
      </c>
      <c r="B815">
        <f t="shared" si="243"/>
        <v>814</v>
      </c>
      <c r="C815" t="s">
        <v>1689</v>
      </c>
      <c r="D815" t="s">
        <v>805</v>
      </c>
      <c r="E815">
        <f t="shared" si="260"/>
        <v>36</v>
      </c>
      <c r="G815">
        <f t="shared" si="244"/>
        <v>3</v>
      </c>
      <c r="H815" t="str">
        <f t="shared" si="245"/>
        <v/>
      </c>
      <c r="I815" t="str">
        <f t="shared" si="246"/>
        <v/>
      </c>
      <c r="J815" t="str">
        <f t="shared" si="247"/>
        <v/>
      </c>
      <c r="K815" t="str">
        <f t="shared" si="248"/>
        <v/>
      </c>
      <c r="L815" t="str">
        <f t="shared" si="249"/>
        <v/>
      </c>
      <c r="M815" t="str">
        <f t="shared" si="250"/>
        <v/>
      </c>
      <c r="N815" t="str">
        <f t="shared" si="251"/>
        <v/>
      </c>
      <c r="O815" t="str">
        <f t="shared" si="252"/>
        <v/>
      </c>
      <c r="P815" t="str">
        <f t="shared" si="253"/>
        <v/>
      </c>
      <c r="Q815" t="str">
        <f t="shared" si="254"/>
        <v/>
      </c>
      <c r="R815" t="str">
        <f t="shared" si="255"/>
        <v/>
      </c>
      <c r="S815" t="str">
        <f t="shared" si="256"/>
        <v/>
      </c>
      <c r="T815" t="str">
        <f t="shared" si="257"/>
        <v/>
      </c>
      <c r="U815" t="str">
        <f t="shared" si="258"/>
        <v/>
      </c>
      <c r="V815" t="str">
        <f t="shared" si="259"/>
        <v/>
      </c>
      <c r="W815" t="str">
        <f t="shared" si="242"/>
        <v xml:space="preserve">              </v>
      </c>
    </row>
    <row r="816" spans="1:23" customFormat="1" hidden="1">
      <c r="A816" t="b">
        <f t="shared" si="241"/>
        <v>0</v>
      </c>
      <c r="B816">
        <f t="shared" si="243"/>
        <v>815</v>
      </c>
      <c r="C816" t="s">
        <v>1689</v>
      </c>
      <c r="D816" t="s">
        <v>806</v>
      </c>
      <c r="E816">
        <f t="shared" si="260"/>
        <v>12</v>
      </c>
      <c r="G816">
        <f t="shared" si="244"/>
        <v>4</v>
      </c>
      <c r="H816" t="str">
        <f t="shared" si="245"/>
        <v/>
      </c>
      <c r="I816" t="str">
        <f t="shared" si="246"/>
        <v/>
      </c>
      <c r="J816" t="str">
        <f t="shared" si="247"/>
        <v/>
      </c>
      <c r="K816" t="str">
        <f t="shared" si="248"/>
        <v/>
      </c>
      <c r="L816" t="str">
        <f t="shared" si="249"/>
        <v/>
      </c>
      <c r="M816" t="str">
        <f t="shared" si="250"/>
        <v/>
      </c>
      <c r="N816" t="str">
        <f t="shared" si="251"/>
        <v/>
      </c>
      <c r="O816" t="str">
        <f t="shared" si="252"/>
        <v/>
      </c>
      <c r="P816" t="str">
        <f t="shared" si="253"/>
        <v/>
      </c>
      <c r="Q816" t="str">
        <f t="shared" si="254"/>
        <v/>
      </c>
      <c r="R816" t="str">
        <f t="shared" si="255"/>
        <v/>
      </c>
      <c r="S816" t="str">
        <f t="shared" si="256"/>
        <v/>
      </c>
      <c r="T816" t="str">
        <f t="shared" si="257"/>
        <v/>
      </c>
      <c r="U816" t="str">
        <f t="shared" si="258"/>
        <v/>
      </c>
      <c r="V816" t="str">
        <f t="shared" si="259"/>
        <v/>
      </c>
      <c r="W816" t="str">
        <f t="shared" si="242"/>
        <v xml:space="preserve">              </v>
      </c>
    </row>
    <row r="817" spans="1:23" hidden="1">
      <c r="A817" s="71" t="b">
        <f t="shared" si="241"/>
        <v>0</v>
      </c>
      <c r="B817" s="71">
        <f t="shared" si="243"/>
        <v>816</v>
      </c>
      <c r="C817" s="71" t="s">
        <v>1689</v>
      </c>
      <c r="D817" s="71" t="s">
        <v>807</v>
      </c>
      <c r="E817">
        <f t="shared" si="260"/>
        <v>22</v>
      </c>
      <c r="F817">
        <v>1</v>
      </c>
      <c r="G817">
        <f t="shared" si="244"/>
        <v>1</v>
      </c>
      <c r="H817" t="str">
        <f t="shared" si="245"/>
        <v>Schedule variance (SV)</v>
      </c>
      <c r="I817" t="str">
        <f t="shared" si="246"/>
        <v>The difference between the earned value</v>
      </c>
      <c r="J817" t="str">
        <f t="shared" si="247"/>
        <v>and the planned value. The formulas is</v>
      </c>
      <c r="K817" t="str">
        <f t="shared" si="248"/>
        <v>SV = EV – PV.</v>
      </c>
      <c r="L817" t="str">
        <f t="shared" si="249"/>
        <v/>
      </c>
      <c r="M817" t="str">
        <f t="shared" si="250"/>
        <v/>
      </c>
      <c r="N817" t="str">
        <f t="shared" si="251"/>
        <v/>
      </c>
      <c r="O817" t="str">
        <f t="shared" si="252"/>
        <v/>
      </c>
      <c r="P817" t="str">
        <f t="shared" si="253"/>
        <v/>
      </c>
      <c r="Q817" t="str">
        <f t="shared" si="254"/>
        <v/>
      </c>
      <c r="R817" t="str">
        <f t="shared" si="255"/>
        <v/>
      </c>
      <c r="S817" t="str">
        <f t="shared" si="256"/>
        <v/>
      </c>
      <c r="T817" t="str">
        <f t="shared" si="257"/>
        <v/>
      </c>
      <c r="U817" t="str">
        <f t="shared" si="258"/>
        <v/>
      </c>
      <c r="V817" t="str">
        <f t="shared" si="259"/>
        <v/>
      </c>
      <c r="W817" s="71" t="str">
        <f>CONCATENATE(H817," ",I817," ",J817," ",K817," ",L817," ",M817," ",N817," ",O817," ",P817," ",Q817," ",R817," ",S817," ",T817," ",U817," ",V817)</f>
        <v xml:space="preserve">Schedule variance (SV) The difference between the earned value and the planned value. The formulas is SV = EV – PV.           </v>
      </c>
    </row>
    <row r="818" spans="1:23" customFormat="1" hidden="1">
      <c r="A818" t="b">
        <f t="shared" si="241"/>
        <v>0</v>
      </c>
      <c r="B818">
        <f t="shared" si="243"/>
        <v>817</v>
      </c>
      <c r="C818" t="s">
        <v>1689</v>
      </c>
      <c r="D818" t="s">
        <v>808</v>
      </c>
      <c r="E818">
        <f t="shared" si="260"/>
        <v>39</v>
      </c>
      <c r="G818">
        <f t="shared" si="244"/>
        <v>2</v>
      </c>
      <c r="H818" t="str">
        <f t="shared" si="245"/>
        <v/>
      </c>
      <c r="I818" t="str">
        <f t="shared" si="246"/>
        <v/>
      </c>
      <c r="J818" t="str">
        <f t="shared" si="247"/>
        <v/>
      </c>
      <c r="K818" t="str">
        <f t="shared" si="248"/>
        <v/>
      </c>
      <c r="L818" t="str">
        <f t="shared" si="249"/>
        <v/>
      </c>
      <c r="M818" t="str">
        <f t="shared" si="250"/>
        <v/>
      </c>
      <c r="N818" t="str">
        <f t="shared" si="251"/>
        <v/>
      </c>
      <c r="O818" t="str">
        <f t="shared" si="252"/>
        <v/>
      </c>
      <c r="P818" t="str">
        <f t="shared" si="253"/>
        <v/>
      </c>
      <c r="Q818" t="str">
        <f t="shared" si="254"/>
        <v/>
      </c>
      <c r="R818" t="str">
        <f t="shared" si="255"/>
        <v/>
      </c>
      <c r="S818" t="str">
        <f t="shared" si="256"/>
        <v/>
      </c>
      <c r="T818" t="str">
        <f t="shared" si="257"/>
        <v/>
      </c>
      <c r="U818" t="str">
        <f t="shared" si="258"/>
        <v/>
      </c>
      <c r="V818" t="str">
        <f t="shared" si="259"/>
        <v/>
      </c>
      <c r="W818" t="str">
        <f t="shared" si="242"/>
        <v xml:space="preserve">              </v>
      </c>
    </row>
    <row r="819" spans="1:23" customFormat="1" hidden="1">
      <c r="A819" t="b">
        <f t="shared" si="241"/>
        <v>0</v>
      </c>
      <c r="B819">
        <f t="shared" si="243"/>
        <v>818</v>
      </c>
      <c r="C819" t="s">
        <v>1689</v>
      </c>
      <c r="D819" t="s">
        <v>809</v>
      </c>
      <c r="E819">
        <f t="shared" si="260"/>
        <v>38</v>
      </c>
      <c r="G819">
        <f t="shared" si="244"/>
        <v>3</v>
      </c>
      <c r="H819" t="str">
        <f t="shared" si="245"/>
        <v/>
      </c>
      <c r="I819" t="str">
        <f t="shared" si="246"/>
        <v/>
      </c>
      <c r="J819" t="str">
        <f t="shared" si="247"/>
        <v/>
      </c>
      <c r="K819" t="str">
        <f t="shared" si="248"/>
        <v/>
      </c>
      <c r="L819" t="str">
        <f t="shared" si="249"/>
        <v/>
      </c>
      <c r="M819" t="str">
        <f t="shared" si="250"/>
        <v/>
      </c>
      <c r="N819" t="str">
        <f t="shared" si="251"/>
        <v/>
      </c>
      <c r="O819" t="str">
        <f t="shared" si="252"/>
        <v/>
      </c>
      <c r="P819" t="str">
        <f t="shared" si="253"/>
        <v/>
      </c>
      <c r="Q819" t="str">
        <f t="shared" si="254"/>
        <v/>
      </c>
      <c r="R819" t="str">
        <f t="shared" si="255"/>
        <v/>
      </c>
      <c r="S819" t="str">
        <f t="shared" si="256"/>
        <v/>
      </c>
      <c r="T819" t="str">
        <f t="shared" si="257"/>
        <v/>
      </c>
      <c r="U819" t="str">
        <f t="shared" si="258"/>
        <v/>
      </c>
      <c r="V819" t="str">
        <f t="shared" si="259"/>
        <v/>
      </c>
      <c r="W819" t="str">
        <f t="shared" si="242"/>
        <v xml:space="preserve">              </v>
      </c>
    </row>
    <row r="820" spans="1:23" customFormat="1" hidden="1">
      <c r="A820" t="b">
        <f t="shared" si="241"/>
        <v>0</v>
      </c>
      <c r="B820">
        <f t="shared" si="243"/>
        <v>819</v>
      </c>
      <c r="C820" t="s">
        <v>1689</v>
      </c>
      <c r="D820" t="s">
        <v>810</v>
      </c>
      <c r="E820">
        <f t="shared" si="260"/>
        <v>13</v>
      </c>
      <c r="G820">
        <f t="shared" si="244"/>
        <v>4</v>
      </c>
      <c r="H820" t="str">
        <f t="shared" si="245"/>
        <v/>
      </c>
      <c r="I820" t="str">
        <f t="shared" si="246"/>
        <v/>
      </c>
      <c r="J820" t="str">
        <f t="shared" si="247"/>
        <v/>
      </c>
      <c r="K820" t="str">
        <f t="shared" si="248"/>
        <v/>
      </c>
      <c r="L820" t="str">
        <f t="shared" si="249"/>
        <v/>
      </c>
      <c r="M820" t="str">
        <f t="shared" si="250"/>
        <v/>
      </c>
      <c r="N820" t="str">
        <f t="shared" si="251"/>
        <v/>
      </c>
      <c r="O820" t="str">
        <f t="shared" si="252"/>
        <v/>
      </c>
      <c r="P820" t="str">
        <f t="shared" si="253"/>
        <v/>
      </c>
      <c r="Q820" t="str">
        <f t="shared" si="254"/>
        <v/>
      </c>
      <c r="R820" t="str">
        <f t="shared" si="255"/>
        <v/>
      </c>
      <c r="S820" t="str">
        <f t="shared" si="256"/>
        <v/>
      </c>
      <c r="T820" t="str">
        <f t="shared" si="257"/>
        <v/>
      </c>
      <c r="U820" t="str">
        <f t="shared" si="258"/>
        <v/>
      </c>
      <c r="V820" t="str">
        <f t="shared" si="259"/>
        <v/>
      </c>
      <c r="W820" t="str">
        <f t="shared" si="242"/>
        <v xml:space="preserve">              </v>
      </c>
    </row>
    <row r="821" spans="1:23" hidden="1">
      <c r="A821" s="71" t="b">
        <f t="shared" si="241"/>
        <v>0</v>
      </c>
      <c r="B821" s="71">
        <f t="shared" si="243"/>
        <v>820</v>
      </c>
      <c r="C821" s="71" t="s">
        <v>1689</v>
      </c>
      <c r="D821" s="71" t="s">
        <v>811</v>
      </c>
      <c r="E821">
        <f t="shared" si="260"/>
        <v>13</v>
      </c>
      <c r="F821">
        <v>1</v>
      </c>
      <c r="G821">
        <f t="shared" si="244"/>
        <v>1</v>
      </c>
      <c r="H821" t="str">
        <f t="shared" si="245"/>
        <v>Single source</v>
      </c>
      <c r="I821" t="str">
        <f t="shared" si="246"/>
        <v>Many vendors can provide what your</v>
      </c>
      <c r="J821" t="str">
        <f t="shared" si="247"/>
        <v>project needs to purchase, but you prefer</v>
      </c>
      <c r="K821" t="str">
        <f t="shared" si="248"/>
        <v>to work with a specific vendor.</v>
      </c>
      <c r="L821" t="str">
        <f t="shared" si="249"/>
        <v/>
      </c>
      <c r="M821" t="str">
        <f t="shared" si="250"/>
        <v/>
      </c>
      <c r="N821" t="str">
        <f t="shared" si="251"/>
        <v/>
      </c>
      <c r="O821" t="str">
        <f t="shared" si="252"/>
        <v/>
      </c>
      <c r="P821" t="str">
        <f t="shared" si="253"/>
        <v/>
      </c>
      <c r="Q821" t="str">
        <f t="shared" si="254"/>
        <v/>
      </c>
      <c r="R821" t="str">
        <f t="shared" si="255"/>
        <v/>
      </c>
      <c r="S821" t="str">
        <f t="shared" si="256"/>
        <v/>
      </c>
      <c r="T821" t="str">
        <f t="shared" si="257"/>
        <v/>
      </c>
      <c r="U821" t="str">
        <f t="shared" si="258"/>
        <v/>
      </c>
      <c r="V821" t="str">
        <f t="shared" si="259"/>
        <v/>
      </c>
      <c r="W821" s="71" t="str">
        <f>CONCATENATE(H821," ",I821," ",J821," ",K821," ",L821," ",M821," ",N821," ",O821," ",P821," ",Q821," ",R821," ",S821," ",T821," ",U821," ",V821)</f>
        <v xml:space="preserve">Single source Many vendors can provide what your project needs to purchase, but you prefer to work with a specific vendor.           </v>
      </c>
    </row>
    <row r="822" spans="1:23" customFormat="1" hidden="1">
      <c r="A822" t="b">
        <f t="shared" si="241"/>
        <v>0</v>
      </c>
      <c r="B822">
        <f t="shared" si="243"/>
        <v>821</v>
      </c>
      <c r="C822" t="s">
        <v>1689</v>
      </c>
      <c r="D822" t="s">
        <v>812</v>
      </c>
      <c r="E822">
        <f t="shared" si="260"/>
        <v>34</v>
      </c>
      <c r="G822">
        <f t="shared" si="244"/>
        <v>2</v>
      </c>
      <c r="H822" t="str">
        <f t="shared" si="245"/>
        <v/>
      </c>
      <c r="I822" t="str">
        <f t="shared" si="246"/>
        <v/>
      </c>
      <c r="J822" t="str">
        <f t="shared" si="247"/>
        <v/>
      </c>
      <c r="K822" t="str">
        <f t="shared" si="248"/>
        <v/>
      </c>
      <c r="L822" t="str">
        <f t="shared" si="249"/>
        <v/>
      </c>
      <c r="M822" t="str">
        <f t="shared" si="250"/>
        <v/>
      </c>
      <c r="N822" t="str">
        <f t="shared" si="251"/>
        <v/>
      </c>
      <c r="O822" t="str">
        <f t="shared" si="252"/>
        <v/>
      </c>
      <c r="P822" t="str">
        <f t="shared" si="253"/>
        <v/>
      </c>
      <c r="Q822" t="str">
        <f t="shared" si="254"/>
        <v/>
      </c>
      <c r="R822" t="str">
        <f t="shared" si="255"/>
        <v/>
      </c>
      <c r="S822" t="str">
        <f t="shared" si="256"/>
        <v/>
      </c>
      <c r="T822" t="str">
        <f t="shared" si="257"/>
        <v/>
      </c>
      <c r="U822" t="str">
        <f t="shared" si="258"/>
        <v/>
      </c>
      <c r="V822" t="str">
        <f t="shared" si="259"/>
        <v/>
      </c>
      <c r="W822" t="str">
        <f t="shared" si="242"/>
        <v xml:space="preserve">              </v>
      </c>
    </row>
    <row r="823" spans="1:23" customFormat="1" hidden="1">
      <c r="A823" t="b">
        <f t="shared" si="241"/>
        <v>0</v>
      </c>
      <c r="B823">
        <f t="shared" si="243"/>
        <v>822</v>
      </c>
      <c r="C823" t="s">
        <v>1689</v>
      </c>
      <c r="D823" t="s">
        <v>813</v>
      </c>
      <c r="E823">
        <f t="shared" si="260"/>
        <v>41</v>
      </c>
      <c r="G823">
        <f t="shared" si="244"/>
        <v>3</v>
      </c>
      <c r="H823" t="str">
        <f t="shared" si="245"/>
        <v/>
      </c>
      <c r="I823" t="str">
        <f t="shared" si="246"/>
        <v/>
      </c>
      <c r="J823" t="str">
        <f t="shared" si="247"/>
        <v/>
      </c>
      <c r="K823" t="str">
        <f t="shared" si="248"/>
        <v/>
      </c>
      <c r="L823" t="str">
        <f t="shared" si="249"/>
        <v/>
      </c>
      <c r="M823" t="str">
        <f t="shared" si="250"/>
        <v/>
      </c>
      <c r="N823" t="str">
        <f t="shared" si="251"/>
        <v/>
      </c>
      <c r="O823" t="str">
        <f t="shared" si="252"/>
        <v/>
      </c>
      <c r="P823" t="str">
        <f t="shared" si="253"/>
        <v/>
      </c>
      <c r="Q823" t="str">
        <f t="shared" si="254"/>
        <v/>
      </c>
      <c r="R823" t="str">
        <f t="shared" si="255"/>
        <v/>
      </c>
      <c r="S823" t="str">
        <f t="shared" si="256"/>
        <v/>
      </c>
      <c r="T823" t="str">
        <f t="shared" si="257"/>
        <v/>
      </c>
      <c r="U823" t="str">
        <f t="shared" si="258"/>
        <v/>
      </c>
      <c r="V823" t="str">
        <f t="shared" si="259"/>
        <v/>
      </c>
      <c r="W823" t="str">
        <f t="shared" si="242"/>
        <v xml:space="preserve">              </v>
      </c>
    </row>
    <row r="824" spans="1:23" customFormat="1" hidden="1">
      <c r="A824" t="b">
        <f t="shared" si="241"/>
        <v>0</v>
      </c>
      <c r="B824">
        <f t="shared" si="243"/>
        <v>823</v>
      </c>
      <c r="C824" t="s">
        <v>1689</v>
      </c>
      <c r="D824" t="s">
        <v>814</v>
      </c>
      <c r="E824">
        <f t="shared" si="260"/>
        <v>31</v>
      </c>
      <c r="G824">
        <f t="shared" si="244"/>
        <v>4</v>
      </c>
      <c r="H824" t="str">
        <f t="shared" si="245"/>
        <v/>
      </c>
      <c r="I824" t="str">
        <f t="shared" si="246"/>
        <v/>
      </c>
      <c r="J824" t="str">
        <f t="shared" si="247"/>
        <v/>
      </c>
      <c r="K824" t="str">
        <f t="shared" si="248"/>
        <v/>
      </c>
      <c r="L824" t="str">
        <f t="shared" si="249"/>
        <v/>
      </c>
      <c r="M824" t="str">
        <f t="shared" si="250"/>
        <v/>
      </c>
      <c r="N824" t="str">
        <f t="shared" si="251"/>
        <v/>
      </c>
      <c r="O824" t="str">
        <f t="shared" si="252"/>
        <v/>
      </c>
      <c r="P824" t="str">
        <f t="shared" si="253"/>
        <v/>
      </c>
      <c r="Q824" t="str">
        <f t="shared" si="254"/>
        <v/>
      </c>
      <c r="R824" t="str">
        <f t="shared" si="255"/>
        <v/>
      </c>
      <c r="S824" t="str">
        <f t="shared" si="256"/>
        <v/>
      </c>
      <c r="T824" t="str">
        <f t="shared" si="257"/>
        <v/>
      </c>
      <c r="U824" t="str">
        <f t="shared" si="258"/>
        <v/>
      </c>
      <c r="V824" t="str">
        <f t="shared" si="259"/>
        <v/>
      </c>
      <c r="W824" t="str">
        <f t="shared" si="242"/>
        <v xml:space="preserve">              </v>
      </c>
    </row>
    <row r="825" spans="1:23" hidden="1">
      <c r="A825" s="71" t="b">
        <f t="shared" si="241"/>
        <v>0</v>
      </c>
      <c r="B825" s="71">
        <f t="shared" si="243"/>
        <v>824</v>
      </c>
      <c r="C825" s="71" t="s">
        <v>1689</v>
      </c>
      <c r="D825" s="71" t="s">
        <v>815</v>
      </c>
      <c r="E825">
        <f t="shared" si="260"/>
        <v>11</v>
      </c>
      <c r="F825">
        <v>1</v>
      </c>
      <c r="G825">
        <f t="shared" si="244"/>
        <v>1</v>
      </c>
      <c r="H825" t="str">
        <f t="shared" si="245"/>
        <v>Sole source</v>
      </c>
      <c r="I825" t="str">
        <f t="shared" si="246"/>
        <v>Only one vendor can provide what your</v>
      </c>
      <c r="J825" t="str">
        <f t="shared" si="247"/>
        <v>project needs to purchase. Examples</v>
      </c>
      <c r="K825" t="str">
        <f t="shared" si="248"/>
        <v>include a specific consultant, specialized</v>
      </c>
      <c r="L825" t="str">
        <f t="shared" si="249"/>
        <v>service, or unique type of material.</v>
      </c>
      <c r="M825" t="str">
        <f t="shared" si="250"/>
        <v/>
      </c>
      <c r="N825" t="str">
        <f t="shared" si="251"/>
        <v/>
      </c>
      <c r="O825" t="str">
        <f t="shared" si="252"/>
        <v/>
      </c>
      <c r="P825" t="str">
        <f t="shared" si="253"/>
        <v/>
      </c>
      <c r="Q825" t="str">
        <f t="shared" si="254"/>
        <v/>
      </c>
      <c r="R825" t="str">
        <f t="shared" si="255"/>
        <v/>
      </c>
      <c r="S825" t="str">
        <f t="shared" si="256"/>
        <v/>
      </c>
      <c r="T825" t="str">
        <f t="shared" si="257"/>
        <v/>
      </c>
      <c r="U825" t="str">
        <f t="shared" si="258"/>
        <v/>
      </c>
      <c r="V825" t="str">
        <f t="shared" si="259"/>
        <v/>
      </c>
      <c r="W825" s="71" t="str">
        <f>CONCATENATE(H825," ",I825," ",J825," ",K825," ",L825," ",M825," ",N825," ",O825," ",P825," ",Q825," ",R825," ",S825," ",T825," ",U825," ",V825)</f>
        <v xml:space="preserve">Sole source Only one vendor can provide what your project needs to purchase. Examples include a specific consultant, specialized service, or unique type of material.          </v>
      </c>
    </row>
    <row r="826" spans="1:23" customFormat="1" hidden="1">
      <c r="A826" t="b">
        <f t="shared" si="241"/>
        <v>0</v>
      </c>
      <c r="B826">
        <f t="shared" si="243"/>
        <v>825</v>
      </c>
      <c r="C826" t="s">
        <v>1689</v>
      </c>
      <c r="D826" t="s">
        <v>816</v>
      </c>
      <c r="E826">
        <f t="shared" si="260"/>
        <v>37</v>
      </c>
      <c r="G826">
        <f t="shared" si="244"/>
        <v>2</v>
      </c>
      <c r="H826" t="str">
        <f t="shared" si="245"/>
        <v/>
      </c>
      <c r="I826" t="str">
        <f t="shared" si="246"/>
        <v/>
      </c>
      <c r="J826" t="str">
        <f t="shared" si="247"/>
        <v/>
      </c>
      <c r="K826" t="str">
        <f t="shared" si="248"/>
        <v/>
      </c>
      <c r="L826" t="str">
        <f t="shared" si="249"/>
        <v/>
      </c>
      <c r="M826" t="str">
        <f t="shared" si="250"/>
        <v/>
      </c>
      <c r="N826" t="str">
        <f t="shared" si="251"/>
        <v/>
      </c>
      <c r="O826" t="str">
        <f t="shared" si="252"/>
        <v/>
      </c>
      <c r="P826" t="str">
        <f t="shared" si="253"/>
        <v/>
      </c>
      <c r="Q826" t="str">
        <f t="shared" si="254"/>
        <v/>
      </c>
      <c r="R826" t="str">
        <f t="shared" si="255"/>
        <v/>
      </c>
      <c r="S826" t="str">
        <f t="shared" si="256"/>
        <v/>
      </c>
      <c r="T826" t="str">
        <f t="shared" si="257"/>
        <v/>
      </c>
      <c r="U826" t="str">
        <f t="shared" si="258"/>
        <v/>
      </c>
      <c r="V826" t="str">
        <f t="shared" si="259"/>
        <v/>
      </c>
      <c r="W826" t="str">
        <f t="shared" si="242"/>
        <v xml:space="preserve">              </v>
      </c>
    </row>
    <row r="827" spans="1:23" customFormat="1" hidden="1">
      <c r="A827" t="b">
        <f t="shared" si="241"/>
        <v>0</v>
      </c>
      <c r="B827">
        <f t="shared" si="243"/>
        <v>826</v>
      </c>
      <c r="C827" t="s">
        <v>1689</v>
      </c>
      <c r="D827" t="s">
        <v>817</v>
      </c>
      <c r="E827">
        <f t="shared" si="260"/>
        <v>35</v>
      </c>
      <c r="G827">
        <f t="shared" si="244"/>
        <v>3</v>
      </c>
      <c r="H827" t="str">
        <f t="shared" si="245"/>
        <v/>
      </c>
      <c r="I827" t="str">
        <f t="shared" si="246"/>
        <v/>
      </c>
      <c r="J827" t="str">
        <f t="shared" si="247"/>
        <v/>
      </c>
      <c r="K827" t="str">
        <f t="shared" si="248"/>
        <v/>
      </c>
      <c r="L827" t="str">
        <f t="shared" si="249"/>
        <v/>
      </c>
      <c r="M827" t="str">
        <f t="shared" si="250"/>
        <v/>
      </c>
      <c r="N827" t="str">
        <f t="shared" si="251"/>
        <v/>
      </c>
      <c r="O827" t="str">
        <f t="shared" si="252"/>
        <v/>
      </c>
      <c r="P827" t="str">
        <f t="shared" si="253"/>
        <v/>
      </c>
      <c r="Q827" t="str">
        <f t="shared" si="254"/>
        <v/>
      </c>
      <c r="R827" t="str">
        <f t="shared" si="255"/>
        <v/>
      </c>
      <c r="S827" t="str">
        <f t="shared" si="256"/>
        <v/>
      </c>
      <c r="T827" t="str">
        <f t="shared" si="257"/>
        <v/>
      </c>
      <c r="U827" t="str">
        <f t="shared" si="258"/>
        <v/>
      </c>
      <c r="V827" t="str">
        <f t="shared" si="259"/>
        <v/>
      </c>
      <c r="W827" t="str">
        <f t="shared" si="242"/>
        <v xml:space="preserve">              </v>
      </c>
    </row>
    <row r="828" spans="1:23" customFormat="1" hidden="1">
      <c r="A828" t="b">
        <f t="shared" si="241"/>
        <v>0</v>
      </c>
      <c r="B828">
        <f t="shared" si="243"/>
        <v>827</v>
      </c>
      <c r="C828" t="s">
        <v>1689</v>
      </c>
      <c r="D828" t="s">
        <v>818</v>
      </c>
      <c r="E828">
        <f t="shared" si="260"/>
        <v>42</v>
      </c>
      <c r="G828">
        <f t="shared" si="244"/>
        <v>4</v>
      </c>
      <c r="H828" t="str">
        <f t="shared" si="245"/>
        <v/>
      </c>
      <c r="I828" t="str">
        <f t="shared" si="246"/>
        <v/>
      </c>
      <c r="J828" t="str">
        <f t="shared" si="247"/>
        <v/>
      </c>
      <c r="K828" t="str">
        <f t="shared" si="248"/>
        <v/>
      </c>
      <c r="L828" t="str">
        <f t="shared" si="249"/>
        <v/>
      </c>
      <c r="M828" t="str">
        <f t="shared" si="250"/>
        <v/>
      </c>
      <c r="N828" t="str">
        <f t="shared" si="251"/>
        <v/>
      </c>
      <c r="O828" t="str">
        <f t="shared" si="252"/>
        <v/>
      </c>
      <c r="P828" t="str">
        <f t="shared" si="253"/>
        <v/>
      </c>
      <c r="Q828" t="str">
        <f t="shared" si="254"/>
        <v/>
      </c>
      <c r="R828" t="str">
        <f t="shared" si="255"/>
        <v/>
      </c>
      <c r="S828" t="str">
        <f t="shared" si="256"/>
        <v/>
      </c>
      <c r="T828" t="str">
        <f t="shared" si="257"/>
        <v/>
      </c>
      <c r="U828" t="str">
        <f t="shared" si="258"/>
        <v/>
      </c>
      <c r="V828" t="str">
        <f t="shared" si="259"/>
        <v/>
      </c>
      <c r="W828" t="str">
        <f t="shared" si="242"/>
        <v xml:space="preserve">              </v>
      </c>
    </row>
    <row r="829" spans="1:23" customFormat="1" hidden="1">
      <c r="A829" t="b">
        <f t="shared" si="241"/>
        <v>0</v>
      </c>
      <c r="B829">
        <f t="shared" si="243"/>
        <v>828</v>
      </c>
      <c r="C829" t="s">
        <v>1689</v>
      </c>
      <c r="D829" t="s">
        <v>819</v>
      </c>
      <c r="E829">
        <f t="shared" si="260"/>
        <v>36</v>
      </c>
      <c r="G829">
        <f t="shared" si="244"/>
        <v>5</v>
      </c>
      <c r="H829" t="str">
        <f t="shared" si="245"/>
        <v/>
      </c>
      <c r="I829" t="str">
        <f t="shared" si="246"/>
        <v/>
      </c>
      <c r="J829" t="str">
        <f t="shared" si="247"/>
        <v/>
      </c>
      <c r="K829" t="str">
        <f t="shared" si="248"/>
        <v/>
      </c>
      <c r="L829" t="str">
        <f t="shared" si="249"/>
        <v/>
      </c>
      <c r="M829" t="str">
        <f t="shared" si="250"/>
        <v/>
      </c>
      <c r="N829" t="str">
        <f t="shared" si="251"/>
        <v/>
      </c>
      <c r="O829" t="str">
        <f t="shared" si="252"/>
        <v/>
      </c>
      <c r="P829" t="str">
        <f t="shared" si="253"/>
        <v/>
      </c>
      <c r="Q829" t="str">
        <f t="shared" si="254"/>
        <v/>
      </c>
      <c r="R829" t="str">
        <f t="shared" si="255"/>
        <v/>
      </c>
      <c r="S829" t="str">
        <f t="shared" si="256"/>
        <v/>
      </c>
      <c r="T829" t="str">
        <f t="shared" si="257"/>
        <v/>
      </c>
      <c r="U829" t="str">
        <f t="shared" si="258"/>
        <v/>
      </c>
      <c r="V829" t="str">
        <f t="shared" si="259"/>
        <v/>
      </c>
      <c r="W829" t="str">
        <f t="shared" si="242"/>
        <v xml:space="preserve">              </v>
      </c>
    </row>
    <row r="830" spans="1:23" hidden="1">
      <c r="A830" s="71" t="b">
        <f t="shared" si="241"/>
        <v>0</v>
      </c>
      <c r="B830" s="71">
        <f t="shared" si="243"/>
        <v>829</v>
      </c>
      <c r="C830" s="71" t="s">
        <v>1689</v>
      </c>
      <c r="D830" s="71" t="s">
        <v>820</v>
      </c>
      <c r="E830">
        <f t="shared" si="260"/>
        <v>10</v>
      </c>
      <c r="F830">
        <v>1</v>
      </c>
      <c r="G830">
        <f t="shared" si="244"/>
        <v>1</v>
      </c>
      <c r="H830" t="str">
        <f t="shared" si="245"/>
        <v>Sunk costs</v>
      </c>
      <c r="I830" t="str">
        <f t="shared" si="246"/>
        <v>Monies that have already been invested</v>
      </c>
      <c r="J830" t="str">
        <f t="shared" si="247"/>
        <v>in a project.</v>
      </c>
      <c r="K830" t="str">
        <f t="shared" si="248"/>
        <v/>
      </c>
      <c r="L830" t="str">
        <f t="shared" si="249"/>
        <v/>
      </c>
      <c r="M830" t="str">
        <f t="shared" si="250"/>
        <v/>
      </c>
      <c r="N830" t="str">
        <f t="shared" si="251"/>
        <v/>
      </c>
      <c r="O830" t="str">
        <f t="shared" si="252"/>
        <v/>
      </c>
      <c r="P830" t="str">
        <f t="shared" si="253"/>
        <v/>
      </c>
      <c r="Q830" t="str">
        <f t="shared" si="254"/>
        <v/>
      </c>
      <c r="R830" t="str">
        <f t="shared" si="255"/>
        <v/>
      </c>
      <c r="S830" t="str">
        <f t="shared" si="256"/>
        <v/>
      </c>
      <c r="T830" t="str">
        <f t="shared" si="257"/>
        <v/>
      </c>
      <c r="U830" t="str">
        <f t="shared" si="258"/>
        <v/>
      </c>
      <c r="V830" t="str">
        <f t="shared" si="259"/>
        <v/>
      </c>
      <c r="W830" s="71" t="str">
        <f>CONCATENATE(H830," ",I830," ",J830," ",K830," ",L830," ",M830," ",N830," ",O830," ",P830," ",Q830," ",R830," ",S830," ",T830," ",U830," ",V830)</f>
        <v xml:space="preserve">Sunk costs Monies that have already been invested in a project.            </v>
      </c>
    </row>
    <row r="831" spans="1:23" customFormat="1" hidden="1">
      <c r="A831" t="b">
        <f t="shared" si="241"/>
        <v>0</v>
      </c>
      <c r="B831">
        <f t="shared" si="243"/>
        <v>830</v>
      </c>
      <c r="C831" t="s">
        <v>1689</v>
      </c>
      <c r="D831" t="s">
        <v>821</v>
      </c>
      <c r="E831">
        <f t="shared" si="260"/>
        <v>38</v>
      </c>
      <c r="G831">
        <f t="shared" si="244"/>
        <v>2</v>
      </c>
      <c r="H831" t="str">
        <f t="shared" si="245"/>
        <v/>
      </c>
      <c r="I831" t="str">
        <f t="shared" si="246"/>
        <v/>
      </c>
      <c r="J831" t="str">
        <f t="shared" si="247"/>
        <v/>
      </c>
      <c r="K831" t="str">
        <f t="shared" si="248"/>
        <v/>
      </c>
      <c r="L831" t="str">
        <f t="shared" si="249"/>
        <v/>
      </c>
      <c r="M831" t="str">
        <f t="shared" si="250"/>
        <v/>
      </c>
      <c r="N831" t="str">
        <f t="shared" si="251"/>
        <v/>
      </c>
      <c r="O831" t="str">
        <f t="shared" si="252"/>
        <v/>
      </c>
      <c r="P831" t="str">
        <f t="shared" si="253"/>
        <v/>
      </c>
      <c r="Q831" t="str">
        <f t="shared" si="254"/>
        <v/>
      </c>
      <c r="R831" t="str">
        <f t="shared" si="255"/>
        <v/>
      </c>
      <c r="S831" t="str">
        <f t="shared" si="256"/>
        <v/>
      </c>
      <c r="T831" t="str">
        <f t="shared" si="257"/>
        <v/>
      </c>
      <c r="U831" t="str">
        <f t="shared" si="258"/>
        <v/>
      </c>
      <c r="V831" t="str">
        <f t="shared" si="259"/>
        <v/>
      </c>
      <c r="W831" t="str">
        <f t="shared" si="242"/>
        <v xml:space="preserve">              </v>
      </c>
    </row>
    <row r="832" spans="1:23" customFormat="1" hidden="1">
      <c r="A832" t="b">
        <f t="shared" si="241"/>
        <v>0</v>
      </c>
      <c r="B832">
        <f t="shared" si="243"/>
        <v>831</v>
      </c>
      <c r="C832" t="s">
        <v>1689</v>
      </c>
      <c r="D832" t="s">
        <v>822</v>
      </c>
      <c r="E832">
        <f t="shared" si="260"/>
        <v>13</v>
      </c>
      <c r="G832">
        <f t="shared" si="244"/>
        <v>3</v>
      </c>
      <c r="H832" t="str">
        <f t="shared" si="245"/>
        <v/>
      </c>
      <c r="I832" t="str">
        <f t="shared" si="246"/>
        <v/>
      </c>
      <c r="J832" t="str">
        <f t="shared" si="247"/>
        <v/>
      </c>
      <c r="K832" t="str">
        <f t="shared" si="248"/>
        <v/>
      </c>
      <c r="L832" t="str">
        <f t="shared" si="249"/>
        <v/>
      </c>
      <c r="M832" t="str">
        <f t="shared" si="250"/>
        <v/>
      </c>
      <c r="N832" t="str">
        <f t="shared" si="251"/>
        <v/>
      </c>
      <c r="O832" t="str">
        <f t="shared" si="252"/>
        <v/>
      </c>
      <c r="P832" t="str">
        <f t="shared" si="253"/>
        <v/>
      </c>
      <c r="Q832" t="str">
        <f t="shared" si="254"/>
        <v/>
      </c>
      <c r="R832" t="str">
        <f t="shared" si="255"/>
        <v/>
      </c>
      <c r="S832" t="str">
        <f t="shared" si="256"/>
        <v/>
      </c>
      <c r="T832" t="str">
        <f t="shared" si="257"/>
        <v/>
      </c>
      <c r="U832" t="str">
        <f t="shared" si="258"/>
        <v/>
      </c>
      <c r="V832" t="str">
        <f t="shared" si="259"/>
        <v/>
      </c>
      <c r="W832" t="str">
        <f t="shared" si="242"/>
        <v xml:space="preserve">              </v>
      </c>
    </row>
    <row r="833" spans="1:23" hidden="1">
      <c r="A833" s="71" t="b">
        <f t="shared" ref="A833:A895" si="261">C833=D833</f>
        <v>0</v>
      </c>
      <c r="B833" s="71">
        <f t="shared" si="243"/>
        <v>832</v>
      </c>
      <c r="C833" s="71" t="s">
        <v>1689</v>
      </c>
      <c r="D833" s="71" t="s">
        <v>823</v>
      </c>
      <c r="E833">
        <f t="shared" si="260"/>
        <v>29</v>
      </c>
      <c r="F833">
        <v>1</v>
      </c>
      <c r="G833">
        <f t="shared" si="244"/>
        <v>1</v>
      </c>
      <c r="H833" t="str">
        <f t="shared" si="245"/>
        <v>To-Complete Performance Index</v>
      </c>
      <c r="I833" t="str">
        <f t="shared" si="246"/>
        <v>A formula to forecast the likelihood of a</v>
      </c>
      <c r="J833" t="str">
        <f t="shared" si="247"/>
        <v>project to achieve its goals based on</v>
      </c>
      <c r="K833" t="str">
        <f t="shared" si="248"/>
        <v>what’s happening in the project right now.</v>
      </c>
      <c r="L833" t="str">
        <f t="shared" si="249"/>
        <v>There are two different flavors for the</v>
      </c>
      <c r="M833" t="str">
        <f t="shared" si="250"/>
        <v>TCPI, depending on what you want to</v>
      </c>
      <c r="N833" t="str">
        <f t="shared" si="251"/>
        <v>accomplish. If you want to see if your</v>
      </c>
      <c r="O833" t="str">
        <f t="shared" si="252"/>
        <v>project can meet the budget at</v>
      </c>
      <c r="P833" t="str">
        <f t="shared" si="253"/>
        <v>completion, you’ll use this formula: TCPI</v>
      </c>
      <c r="Q833" t="str">
        <f t="shared" si="254"/>
        <v>= (BAC – EV)/(BAC – AC). If you want to</v>
      </c>
      <c r="R833" t="str">
        <f t="shared" si="255"/>
        <v>see if your project can meet the newly</v>
      </c>
      <c r="S833" t="str">
        <f t="shared" si="256"/>
        <v>created estimate at completion, you’ll use</v>
      </c>
      <c r="T833" t="str">
        <f t="shared" si="257"/>
        <v>this version of the formula: TCPI = (BAC</v>
      </c>
      <c r="U833" t="str">
        <f t="shared" si="258"/>
        <v>– EV)/(EAC – AC).</v>
      </c>
      <c r="V833" t="str">
        <f t="shared" si="259"/>
        <v/>
      </c>
      <c r="W833" s="71" t="str">
        <f>CONCATENATE(H833," ",I833," ",J833," ",K833," ",L833," ",M833," ",N833," ",O833," ",P833," ",Q833," ",R833," ",S833," ",T833," ",U833," ",V833)</f>
        <v xml:space="preserve">To-Complete Performance Index A formula to forecast the likelihood of a project to achieve its goals based on what’s happening in the project right now. There are two different flavors for the TCPI, depending on what you want to accomplish. If you want to see if your project can meet the budget at completion, you’ll use this formula: TCPI = (BAC – EV)/(BAC – AC). If you want to see if your project can meet the newly created estimate at completion, you’ll use this version of the formula: TCPI = (BAC – EV)/(EAC – AC). </v>
      </c>
    </row>
    <row r="834" spans="1:23" customFormat="1" hidden="1">
      <c r="A834" t="b">
        <f t="shared" si="261"/>
        <v>0</v>
      </c>
      <c r="B834">
        <f t="shared" si="243"/>
        <v>833</v>
      </c>
      <c r="C834" t="s">
        <v>1689</v>
      </c>
      <c r="D834" t="s">
        <v>824</v>
      </c>
      <c r="E834">
        <f t="shared" si="260"/>
        <v>41</v>
      </c>
      <c r="G834">
        <f t="shared" si="244"/>
        <v>2</v>
      </c>
      <c r="H834" t="str">
        <f t="shared" si="245"/>
        <v/>
      </c>
      <c r="I834" t="str">
        <f t="shared" si="246"/>
        <v/>
      </c>
      <c r="J834" t="str">
        <f t="shared" si="247"/>
        <v/>
      </c>
      <c r="K834" t="str">
        <f t="shared" si="248"/>
        <v/>
      </c>
      <c r="L834" t="str">
        <f t="shared" si="249"/>
        <v/>
      </c>
      <c r="M834" t="str">
        <f t="shared" si="250"/>
        <v/>
      </c>
      <c r="N834" t="str">
        <f t="shared" si="251"/>
        <v/>
      </c>
      <c r="O834" t="str">
        <f t="shared" si="252"/>
        <v/>
      </c>
      <c r="P834" t="str">
        <f t="shared" si="253"/>
        <v/>
      </c>
      <c r="Q834" t="str">
        <f t="shared" si="254"/>
        <v/>
      </c>
      <c r="R834" t="str">
        <f t="shared" si="255"/>
        <v/>
      </c>
      <c r="S834" t="str">
        <f t="shared" si="256"/>
        <v/>
      </c>
      <c r="T834" t="str">
        <f t="shared" si="257"/>
        <v/>
      </c>
      <c r="U834" t="str">
        <f t="shared" si="258"/>
        <v/>
      </c>
      <c r="V834" t="str">
        <f t="shared" si="259"/>
        <v/>
      </c>
      <c r="W834" t="str">
        <f t="shared" ref="W834:W895" si="262">CONCATENATE(H834," ",I834," ",J834," ",K834," ",L834," ",M834," ",N834," ",O834," ",P834," ",Q834," ",R834," ",S834," ",T834," ",U834," ",V834)</f>
        <v xml:space="preserve">              </v>
      </c>
    </row>
    <row r="835" spans="1:23" customFormat="1" hidden="1">
      <c r="A835" t="b">
        <f t="shared" si="261"/>
        <v>0</v>
      </c>
      <c r="B835">
        <f t="shared" si="243"/>
        <v>834</v>
      </c>
      <c r="C835" t="s">
        <v>1689</v>
      </c>
      <c r="D835" t="s">
        <v>825</v>
      </c>
      <c r="E835">
        <f t="shared" si="260"/>
        <v>37</v>
      </c>
      <c r="G835">
        <f t="shared" si="244"/>
        <v>3</v>
      </c>
      <c r="H835" t="str">
        <f t="shared" si="245"/>
        <v/>
      </c>
      <c r="I835" t="str">
        <f t="shared" si="246"/>
        <v/>
      </c>
      <c r="J835" t="str">
        <f t="shared" si="247"/>
        <v/>
      </c>
      <c r="K835" t="str">
        <f t="shared" si="248"/>
        <v/>
      </c>
      <c r="L835" t="str">
        <f t="shared" si="249"/>
        <v/>
      </c>
      <c r="M835" t="str">
        <f t="shared" si="250"/>
        <v/>
      </c>
      <c r="N835" t="str">
        <f t="shared" si="251"/>
        <v/>
      </c>
      <c r="O835" t="str">
        <f t="shared" si="252"/>
        <v/>
      </c>
      <c r="P835" t="str">
        <f t="shared" si="253"/>
        <v/>
      </c>
      <c r="Q835" t="str">
        <f t="shared" si="254"/>
        <v/>
      </c>
      <c r="R835" t="str">
        <f t="shared" si="255"/>
        <v/>
      </c>
      <c r="S835" t="str">
        <f t="shared" si="256"/>
        <v/>
      </c>
      <c r="T835" t="str">
        <f t="shared" si="257"/>
        <v/>
      </c>
      <c r="U835" t="str">
        <f t="shared" si="258"/>
        <v/>
      </c>
      <c r="V835" t="str">
        <f t="shared" si="259"/>
        <v/>
      </c>
      <c r="W835" t="str">
        <f t="shared" si="262"/>
        <v xml:space="preserve">              </v>
      </c>
    </row>
    <row r="836" spans="1:23" customFormat="1" hidden="1">
      <c r="A836" t="b">
        <f t="shared" si="261"/>
        <v>0</v>
      </c>
      <c r="B836">
        <f t="shared" ref="B836:B899" si="263">B835+1</f>
        <v>835</v>
      </c>
      <c r="C836" t="s">
        <v>1689</v>
      </c>
      <c r="D836" t="s">
        <v>826</v>
      </c>
      <c r="E836">
        <f t="shared" si="260"/>
        <v>42</v>
      </c>
      <c r="G836">
        <f t="shared" ref="G836:G899" si="264">IF(F836=1,1,G835+1)</f>
        <v>4</v>
      </c>
      <c r="H836" t="str">
        <f t="shared" ref="H836:H899" si="265">IF($G836=H$1,$D836,"")</f>
        <v/>
      </c>
      <c r="I836" t="str">
        <f t="shared" ref="I836:I899" si="266">IF($G837=I$1,$D837,"")</f>
        <v/>
      </c>
      <c r="J836" t="str">
        <f t="shared" ref="J836:J899" si="267">IF($G838=J$1,$D838,"")</f>
        <v/>
      </c>
      <c r="K836" t="str">
        <f t="shared" ref="K836:K899" si="268">IF($G839=K$1,$D839,"")</f>
        <v/>
      </c>
      <c r="L836" t="str">
        <f t="shared" ref="L836:L899" si="269">IF($G840=L$1,$D840,"")</f>
        <v/>
      </c>
      <c r="M836" t="str">
        <f t="shared" ref="M836:M899" si="270">IF($G841=M$1,$D841,"")</f>
        <v/>
      </c>
      <c r="N836" t="str">
        <f t="shared" ref="N836:N899" si="271">IF($G842=N$1,$D842,"")</f>
        <v/>
      </c>
      <c r="O836" t="str">
        <f t="shared" ref="O836:O899" si="272">IF($G843=O$1,$D843,"")</f>
        <v/>
      </c>
      <c r="P836" t="str">
        <f t="shared" ref="P836:P899" si="273">IF($G844=P$1,$D844,"")</f>
        <v/>
      </c>
      <c r="Q836" t="str">
        <f t="shared" ref="Q836:Q899" si="274">IF($G845=Q$1,$D845,"")</f>
        <v/>
      </c>
      <c r="R836" t="str">
        <f t="shared" ref="R836:R899" si="275">IF($G846=R$1,$D846,"")</f>
        <v/>
      </c>
      <c r="S836" t="str">
        <f t="shared" ref="S836:S899" si="276">IF($G847=S$1,$D847,"")</f>
        <v/>
      </c>
      <c r="T836" t="str">
        <f t="shared" ref="T836:T899" si="277">IF($G848=T$1,$D848,"")</f>
        <v/>
      </c>
      <c r="U836" t="str">
        <f t="shared" ref="U836:U899" si="278">IF($G849=U$1,$D849,"")</f>
        <v/>
      </c>
      <c r="V836" t="str">
        <f t="shared" ref="V836:V899" si="279">IF($G850=V$1,$D850,"")</f>
        <v/>
      </c>
      <c r="W836" t="str">
        <f t="shared" si="262"/>
        <v xml:space="preserve">              </v>
      </c>
    </row>
    <row r="837" spans="1:23" customFormat="1" hidden="1">
      <c r="A837" t="b">
        <f t="shared" si="261"/>
        <v>0</v>
      </c>
      <c r="B837">
        <f t="shared" si="263"/>
        <v>836</v>
      </c>
      <c r="C837" t="s">
        <v>1689</v>
      </c>
      <c r="D837" t="s">
        <v>827</v>
      </c>
      <c r="E837">
        <f t="shared" si="260"/>
        <v>39</v>
      </c>
      <c r="G837">
        <f t="shared" si="264"/>
        <v>5</v>
      </c>
      <c r="H837" t="str">
        <f t="shared" si="265"/>
        <v/>
      </c>
      <c r="I837" t="str">
        <f t="shared" si="266"/>
        <v/>
      </c>
      <c r="J837" t="str">
        <f t="shared" si="267"/>
        <v/>
      </c>
      <c r="K837" t="str">
        <f t="shared" si="268"/>
        <v/>
      </c>
      <c r="L837" t="str">
        <f t="shared" si="269"/>
        <v/>
      </c>
      <c r="M837" t="str">
        <f t="shared" si="270"/>
        <v/>
      </c>
      <c r="N837" t="str">
        <f t="shared" si="271"/>
        <v/>
      </c>
      <c r="O837" t="str">
        <f t="shared" si="272"/>
        <v/>
      </c>
      <c r="P837" t="str">
        <f t="shared" si="273"/>
        <v/>
      </c>
      <c r="Q837" t="str">
        <f t="shared" si="274"/>
        <v/>
      </c>
      <c r="R837" t="str">
        <f t="shared" si="275"/>
        <v/>
      </c>
      <c r="S837" t="str">
        <f t="shared" si="276"/>
        <v/>
      </c>
      <c r="T837" t="str">
        <f t="shared" si="277"/>
        <v/>
      </c>
      <c r="U837" t="str">
        <f t="shared" si="278"/>
        <v/>
      </c>
      <c r="V837" t="str">
        <f t="shared" si="279"/>
        <v/>
      </c>
      <c r="W837" t="str">
        <f t="shared" si="262"/>
        <v xml:space="preserve">              </v>
      </c>
    </row>
    <row r="838" spans="1:23" customFormat="1" hidden="1">
      <c r="A838" t="b">
        <f t="shared" si="261"/>
        <v>0</v>
      </c>
      <c r="B838">
        <f t="shared" si="263"/>
        <v>837</v>
      </c>
      <c r="C838" t="s">
        <v>1689</v>
      </c>
      <c r="D838" t="s">
        <v>828</v>
      </c>
      <c r="E838">
        <f t="shared" si="260"/>
        <v>35</v>
      </c>
      <c r="G838">
        <f t="shared" si="264"/>
        <v>6</v>
      </c>
      <c r="H838" t="str">
        <f t="shared" si="265"/>
        <v/>
      </c>
      <c r="I838" t="str">
        <f t="shared" si="266"/>
        <v/>
      </c>
      <c r="J838" t="str">
        <f t="shared" si="267"/>
        <v/>
      </c>
      <c r="K838" t="str">
        <f t="shared" si="268"/>
        <v/>
      </c>
      <c r="L838" t="str">
        <f t="shared" si="269"/>
        <v/>
      </c>
      <c r="M838" t="str">
        <f t="shared" si="270"/>
        <v/>
      </c>
      <c r="N838" t="str">
        <f t="shared" si="271"/>
        <v/>
      </c>
      <c r="O838" t="str">
        <f t="shared" si="272"/>
        <v/>
      </c>
      <c r="P838" t="str">
        <f t="shared" si="273"/>
        <v/>
      </c>
      <c r="Q838" t="str">
        <f t="shared" si="274"/>
        <v/>
      </c>
      <c r="R838" t="str">
        <f t="shared" si="275"/>
        <v/>
      </c>
      <c r="S838" t="str">
        <f t="shared" si="276"/>
        <v/>
      </c>
      <c r="T838" t="str">
        <f t="shared" si="277"/>
        <v/>
      </c>
      <c r="U838" t="str">
        <f t="shared" si="278"/>
        <v/>
      </c>
      <c r="V838" t="str">
        <f t="shared" si="279"/>
        <v/>
      </c>
      <c r="W838" t="str">
        <f t="shared" si="262"/>
        <v xml:space="preserve">              </v>
      </c>
    </row>
    <row r="839" spans="1:23" customFormat="1" hidden="1">
      <c r="A839" t="b">
        <f t="shared" si="261"/>
        <v>0</v>
      </c>
      <c r="B839">
        <f t="shared" si="263"/>
        <v>838</v>
      </c>
      <c r="C839" t="s">
        <v>1689</v>
      </c>
      <c r="D839" t="s">
        <v>829</v>
      </c>
      <c r="E839">
        <f t="shared" si="260"/>
        <v>38</v>
      </c>
      <c r="G839">
        <f t="shared" si="264"/>
        <v>7</v>
      </c>
      <c r="H839" t="str">
        <f t="shared" si="265"/>
        <v/>
      </c>
      <c r="I839" t="str">
        <f t="shared" si="266"/>
        <v/>
      </c>
      <c r="J839" t="str">
        <f t="shared" si="267"/>
        <v/>
      </c>
      <c r="K839" t="str">
        <f t="shared" si="268"/>
        <v/>
      </c>
      <c r="L839" t="str">
        <f t="shared" si="269"/>
        <v/>
      </c>
      <c r="M839" t="str">
        <f t="shared" si="270"/>
        <v/>
      </c>
      <c r="N839" t="str">
        <f t="shared" si="271"/>
        <v/>
      </c>
      <c r="O839" t="str">
        <f t="shared" si="272"/>
        <v/>
      </c>
      <c r="P839" t="str">
        <f t="shared" si="273"/>
        <v/>
      </c>
      <c r="Q839" t="str">
        <f t="shared" si="274"/>
        <v/>
      </c>
      <c r="R839" t="str">
        <f t="shared" si="275"/>
        <v/>
      </c>
      <c r="S839" t="str">
        <f t="shared" si="276"/>
        <v/>
      </c>
      <c r="T839" t="str">
        <f t="shared" si="277"/>
        <v/>
      </c>
      <c r="U839" t="str">
        <f t="shared" si="278"/>
        <v/>
      </c>
      <c r="V839" t="str">
        <f t="shared" si="279"/>
        <v/>
      </c>
      <c r="W839" t="str">
        <f t="shared" si="262"/>
        <v xml:space="preserve">              </v>
      </c>
    </row>
    <row r="840" spans="1:23" customFormat="1" hidden="1">
      <c r="A840" t="b">
        <f t="shared" si="261"/>
        <v>0</v>
      </c>
      <c r="B840">
        <f t="shared" si="263"/>
        <v>839</v>
      </c>
      <c r="C840" t="s">
        <v>1689</v>
      </c>
      <c r="D840" t="s">
        <v>830</v>
      </c>
      <c r="E840">
        <f t="shared" si="260"/>
        <v>30</v>
      </c>
      <c r="G840">
        <f t="shared" si="264"/>
        <v>8</v>
      </c>
      <c r="H840" t="str">
        <f t="shared" si="265"/>
        <v/>
      </c>
      <c r="I840" t="str">
        <f t="shared" si="266"/>
        <v/>
      </c>
      <c r="J840" t="str">
        <f t="shared" si="267"/>
        <v/>
      </c>
      <c r="K840" t="str">
        <f t="shared" si="268"/>
        <v/>
      </c>
      <c r="L840" t="str">
        <f t="shared" si="269"/>
        <v/>
      </c>
      <c r="M840" t="str">
        <f t="shared" si="270"/>
        <v/>
      </c>
      <c r="N840" t="str">
        <f t="shared" si="271"/>
        <v/>
      </c>
      <c r="O840" t="str">
        <f t="shared" si="272"/>
        <v/>
      </c>
      <c r="P840" t="str">
        <f t="shared" si="273"/>
        <v/>
      </c>
      <c r="Q840" t="str">
        <f t="shared" si="274"/>
        <v/>
      </c>
      <c r="R840" t="str">
        <f t="shared" si="275"/>
        <v/>
      </c>
      <c r="S840" t="str">
        <f t="shared" si="276"/>
        <v/>
      </c>
      <c r="T840" t="str">
        <f t="shared" si="277"/>
        <v/>
      </c>
      <c r="U840" t="str">
        <f t="shared" si="278"/>
        <v/>
      </c>
      <c r="V840" t="str">
        <f t="shared" si="279"/>
        <v/>
      </c>
      <c r="W840" t="str">
        <f t="shared" si="262"/>
        <v xml:space="preserve">              </v>
      </c>
    </row>
    <row r="841" spans="1:23" customFormat="1" hidden="1">
      <c r="A841" t="b">
        <f t="shared" si="261"/>
        <v>0</v>
      </c>
      <c r="B841">
        <f t="shared" si="263"/>
        <v>840</v>
      </c>
      <c r="C841" t="s">
        <v>1689</v>
      </c>
      <c r="D841" t="s">
        <v>831</v>
      </c>
      <c r="E841">
        <f t="shared" si="260"/>
        <v>41</v>
      </c>
      <c r="G841">
        <f t="shared" si="264"/>
        <v>9</v>
      </c>
      <c r="H841" t="str">
        <f t="shared" si="265"/>
        <v/>
      </c>
      <c r="I841" t="str">
        <f t="shared" si="266"/>
        <v/>
      </c>
      <c r="J841" t="str">
        <f t="shared" si="267"/>
        <v/>
      </c>
      <c r="K841" t="str">
        <f t="shared" si="268"/>
        <v/>
      </c>
      <c r="L841" t="str">
        <f t="shared" si="269"/>
        <v/>
      </c>
      <c r="M841" t="str">
        <f t="shared" si="270"/>
        <v/>
      </c>
      <c r="N841" t="str">
        <f t="shared" si="271"/>
        <v/>
      </c>
      <c r="O841" t="str">
        <f t="shared" si="272"/>
        <v/>
      </c>
      <c r="P841" t="str">
        <f t="shared" si="273"/>
        <v/>
      </c>
      <c r="Q841" t="str">
        <f t="shared" si="274"/>
        <v/>
      </c>
      <c r="R841" t="str">
        <f t="shared" si="275"/>
        <v/>
      </c>
      <c r="S841" t="str">
        <f t="shared" si="276"/>
        <v/>
      </c>
      <c r="T841" t="str">
        <f t="shared" si="277"/>
        <v/>
      </c>
      <c r="U841" t="str">
        <f t="shared" si="278"/>
        <v/>
      </c>
      <c r="V841" t="str">
        <f t="shared" si="279"/>
        <v/>
      </c>
      <c r="W841" t="str">
        <f t="shared" si="262"/>
        <v xml:space="preserve">              </v>
      </c>
    </row>
    <row r="842" spans="1:23" customFormat="1" hidden="1">
      <c r="A842" t="b">
        <f t="shared" si="261"/>
        <v>0</v>
      </c>
      <c r="B842">
        <f t="shared" si="263"/>
        <v>841</v>
      </c>
      <c r="C842" t="s">
        <v>1689</v>
      </c>
      <c r="D842" t="s">
        <v>832</v>
      </c>
      <c r="E842">
        <f t="shared" si="260"/>
        <v>39</v>
      </c>
      <c r="G842">
        <f t="shared" si="264"/>
        <v>10</v>
      </c>
      <c r="H842" t="str">
        <f t="shared" si="265"/>
        <v/>
      </c>
      <c r="I842" t="str">
        <f t="shared" si="266"/>
        <v/>
      </c>
      <c r="J842" t="str">
        <f t="shared" si="267"/>
        <v/>
      </c>
      <c r="K842" t="str">
        <f t="shared" si="268"/>
        <v/>
      </c>
      <c r="L842" t="str">
        <f t="shared" si="269"/>
        <v/>
      </c>
      <c r="M842" t="str">
        <f t="shared" si="270"/>
        <v/>
      </c>
      <c r="N842" t="str">
        <f t="shared" si="271"/>
        <v/>
      </c>
      <c r="O842" t="str">
        <f t="shared" si="272"/>
        <v/>
      </c>
      <c r="P842" t="str">
        <f t="shared" si="273"/>
        <v/>
      </c>
      <c r="Q842" t="str">
        <f t="shared" si="274"/>
        <v/>
      </c>
      <c r="R842" t="str">
        <f t="shared" si="275"/>
        <v/>
      </c>
      <c r="S842" t="str">
        <f t="shared" si="276"/>
        <v/>
      </c>
      <c r="T842" t="str">
        <f t="shared" si="277"/>
        <v/>
      </c>
      <c r="U842" t="str">
        <f t="shared" si="278"/>
        <v/>
      </c>
      <c r="V842" t="str">
        <f t="shared" si="279"/>
        <v/>
      </c>
      <c r="W842" t="str">
        <f t="shared" si="262"/>
        <v xml:space="preserve">              </v>
      </c>
    </row>
    <row r="843" spans="1:23" customFormat="1" hidden="1">
      <c r="A843" t="b">
        <f t="shared" si="261"/>
        <v>0</v>
      </c>
      <c r="B843">
        <f t="shared" si="263"/>
        <v>842</v>
      </c>
      <c r="C843" t="s">
        <v>1689</v>
      </c>
      <c r="D843" t="s">
        <v>833</v>
      </c>
      <c r="E843">
        <f t="shared" si="260"/>
        <v>38</v>
      </c>
      <c r="G843">
        <f t="shared" si="264"/>
        <v>11</v>
      </c>
      <c r="H843" t="str">
        <f t="shared" si="265"/>
        <v/>
      </c>
      <c r="I843" t="str">
        <f t="shared" si="266"/>
        <v/>
      </c>
      <c r="J843" t="str">
        <f t="shared" si="267"/>
        <v/>
      </c>
      <c r="K843" t="str">
        <f t="shared" si="268"/>
        <v/>
      </c>
      <c r="L843" t="str">
        <f t="shared" si="269"/>
        <v/>
      </c>
      <c r="M843" t="str">
        <f t="shared" si="270"/>
        <v/>
      </c>
      <c r="N843" t="str">
        <f t="shared" si="271"/>
        <v/>
      </c>
      <c r="O843" t="str">
        <f t="shared" si="272"/>
        <v/>
      </c>
      <c r="P843" t="str">
        <f t="shared" si="273"/>
        <v/>
      </c>
      <c r="Q843" t="str">
        <f t="shared" si="274"/>
        <v/>
      </c>
      <c r="R843" t="str">
        <f t="shared" si="275"/>
        <v/>
      </c>
      <c r="S843" t="str">
        <f t="shared" si="276"/>
        <v/>
      </c>
      <c r="T843" t="str">
        <f t="shared" si="277"/>
        <v/>
      </c>
      <c r="U843" t="str">
        <f t="shared" si="278"/>
        <v/>
      </c>
      <c r="V843" t="str">
        <f t="shared" si="279"/>
        <v/>
      </c>
      <c r="W843" t="str">
        <f t="shared" si="262"/>
        <v xml:space="preserve">              </v>
      </c>
    </row>
    <row r="844" spans="1:23" customFormat="1" hidden="1">
      <c r="A844" t="b">
        <f t="shared" si="261"/>
        <v>0</v>
      </c>
      <c r="B844">
        <f t="shared" si="263"/>
        <v>843</v>
      </c>
      <c r="C844" t="s">
        <v>1689</v>
      </c>
      <c r="D844" t="s">
        <v>834</v>
      </c>
      <c r="E844">
        <f t="shared" ref="E844:E900" si="280">LEN(D844)</f>
        <v>42</v>
      </c>
      <c r="G844">
        <f t="shared" si="264"/>
        <v>12</v>
      </c>
      <c r="H844" t="str">
        <f t="shared" si="265"/>
        <v/>
      </c>
      <c r="I844" t="str">
        <f t="shared" si="266"/>
        <v/>
      </c>
      <c r="J844" t="str">
        <f t="shared" si="267"/>
        <v/>
      </c>
      <c r="K844" t="str">
        <f t="shared" si="268"/>
        <v/>
      </c>
      <c r="L844" t="str">
        <f t="shared" si="269"/>
        <v/>
      </c>
      <c r="M844" t="str">
        <f t="shared" si="270"/>
        <v/>
      </c>
      <c r="N844" t="str">
        <f t="shared" si="271"/>
        <v/>
      </c>
      <c r="O844" t="str">
        <f t="shared" si="272"/>
        <v/>
      </c>
      <c r="P844" t="str">
        <f t="shared" si="273"/>
        <v/>
      </c>
      <c r="Q844" t="str">
        <f t="shared" si="274"/>
        <v/>
      </c>
      <c r="R844" t="str">
        <f t="shared" si="275"/>
        <v/>
      </c>
      <c r="S844" t="str">
        <f t="shared" si="276"/>
        <v/>
      </c>
      <c r="T844" t="str">
        <f t="shared" si="277"/>
        <v/>
      </c>
      <c r="U844" t="str">
        <f t="shared" si="278"/>
        <v/>
      </c>
      <c r="V844" t="str">
        <f t="shared" si="279"/>
        <v/>
      </c>
      <c r="W844" t="str">
        <f t="shared" si="262"/>
        <v xml:space="preserve">              </v>
      </c>
    </row>
    <row r="845" spans="1:23" customFormat="1" hidden="1">
      <c r="A845" t="b">
        <f t="shared" si="261"/>
        <v>0</v>
      </c>
      <c r="B845">
        <f t="shared" si="263"/>
        <v>844</v>
      </c>
      <c r="C845" t="s">
        <v>1689</v>
      </c>
      <c r="D845" t="s">
        <v>835</v>
      </c>
      <c r="E845">
        <f t="shared" si="280"/>
        <v>40</v>
      </c>
      <c r="G845">
        <f t="shared" si="264"/>
        <v>13</v>
      </c>
      <c r="H845" t="str">
        <f t="shared" si="265"/>
        <v/>
      </c>
      <c r="I845" t="str">
        <f t="shared" si="266"/>
        <v/>
      </c>
      <c r="J845" t="str">
        <f t="shared" si="267"/>
        <v/>
      </c>
      <c r="K845" t="str">
        <f t="shared" si="268"/>
        <v/>
      </c>
      <c r="L845" t="str">
        <f t="shared" si="269"/>
        <v/>
      </c>
      <c r="M845" t="str">
        <f t="shared" si="270"/>
        <v/>
      </c>
      <c r="N845" t="str">
        <f t="shared" si="271"/>
        <v/>
      </c>
      <c r="O845" t="str">
        <f t="shared" si="272"/>
        <v/>
      </c>
      <c r="P845" t="str">
        <f t="shared" si="273"/>
        <v/>
      </c>
      <c r="Q845" t="str">
        <f t="shared" si="274"/>
        <v/>
      </c>
      <c r="R845" t="str">
        <f t="shared" si="275"/>
        <v/>
      </c>
      <c r="S845" t="str">
        <f t="shared" si="276"/>
        <v/>
      </c>
      <c r="T845" t="str">
        <f t="shared" si="277"/>
        <v/>
      </c>
      <c r="U845" t="str">
        <f t="shared" si="278"/>
        <v/>
      </c>
      <c r="V845" t="str">
        <f t="shared" si="279"/>
        <v/>
      </c>
      <c r="W845" t="str">
        <f t="shared" si="262"/>
        <v xml:space="preserve">              </v>
      </c>
    </row>
    <row r="846" spans="1:23" customFormat="1" hidden="1">
      <c r="A846" t="b">
        <f t="shared" si="261"/>
        <v>0</v>
      </c>
      <c r="B846">
        <f t="shared" si="263"/>
        <v>845</v>
      </c>
      <c r="C846" t="s">
        <v>1689</v>
      </c>
      <c r="D846" t="s">
        <v>836</v>
      </c>
      <c r="E846">
        <f t="shared" si="280"/>
        <v>17</v>
      </c>
      <c r="G846">
        <f t="shared" si="264"/>
        <v>14</v>
      </c>
      <c r="H846" t="str">
        <f t="shared" si="265"/>
        <v/>
      </c>
      <c r="I846" t="str">
        <f t="shared" si="266"/>
        <v/>
      </c>
      <c r="J846" t="str">
        <f t="shared" si="267"/>
        <v/>
      </c>
      <c r="K846" t="str">
        <f t="shared" si="268"/>
        <v/>
      </c>
      <c r="L846" t="str">
        <f t="shared" si="269"/>
        <v/>
      </c>
      <c r="M846" t="str">
        <f t="shared" si="270"/>
        <v/>
      </c>
      <c r="N846" t="str">
        <f t="shared" si="271"/>
        <v/>
      </c>
      <c r="O846" t="str">
        <f t="shared" si="272"/>
        <v/>
      </c>
      <c r="P846" t="str">
        <f t="shared" si="273"/>
        <v/>
      </c>
      <c r="Q846" t="str">
        <f t="shared" si="274"/>
        <v/>
      </c>
      <c r="R846" t="str">
        <f t="shared" si="275"/>
        <v/>
      </c>
      <c r="S846" t="str">
        <f t="shared" si="276"/>
        <v/>
      </c>
      <c r="T846" t="str">
        <f t="shared" si="277"/>
        <v/>
      </c>
      <c r="U846" t="str">
        <f t="shared" si="278"/>
        <v/>
      </c>
      <c r="V846" t="str">
        <f t="shared" si="279"/>
        <v/>
      </c>
      <c r="W846" t="str">
        <f t="shared" si="262"/>
        <v xml:space="preserve">              </v>
      </c>
    </row>
    <row r="847" spans="1:23" hidden="1">
      <c r="A847" s="71" t="b">
        <f t="shared" si="261"/>
        <v>0</v>
      </c>
      <c r="B847" s="71">
        <f t="shared" si="263"/>
        <v>846</v>
      </c>
      <c r="C847" s="71" t="s">
        <v>1689</v>
      </c>
      <c r="D847" s="71" t="s">
        <v>837</v>
      </c>
      <c r="E847">
        <f t="shared" si="280"/>
        <v>14</v>
      </c>
      <c r="F847">
        <v>1</v>
      </c>
      <c r="G847">
        <f t="shared" si="264"/>
        <v>1</v>
      </c>
      <c r="H847" t="str">
        <f t="shared" si="265"/>
        <v>Variable costs</v>
      </c>
      <c r="I847" t="str">
        <f t="shared" si="266"/>
        <v>Costs that change based on the</v>
      </c>
      <c r="J847" t="str">
        <f t="shared" si="267"/>
        <v>conditions applied in the project (the</v>
      </c>
      <c r="K847" t="str">
        <f t="shared" si="268"/>
        <v>number of meeting participants, the</v>
      </c>
      <c r="L847" t="str">
        <f t="shared" si="269"/>
        <v>supply of and demand for materials, and</v>
      </c>
      <c r="M847" t="str">
        <f t="shared" si="270"/>
        <v>so on).</v>
      </c>
      <c r="N847" t="str">
        <f t="shared" si="271"/>
        <v/>
      </c>
      <c r="O847" t="str">
        <f t="shared" si="272"/>
        <v/>
      </c>
      <c r="P847" t="str">
        <f t="shared" si="273"/>
        <v/>
      </c>
      <c r="Q847" t="str">
        <f t="shared" si="274"/>
        <v/>
      </c>
      <c r="R847" t="str">
        <f t="shared" si="275"/>
        <v/>
      </c>
      <c r="S847" t="str">
        <f t="shared" si="276"/>
        <v/>
      </c>
      <c r="T847" t="str">
        <f t="shared" si="277"/>
        <v/>
      </c>
      <c r="U847" t="str">
        <f t="shared" si="278"/>
        <v/>
      </c>
      <c r="V847" t="str">
        <f t="shared" si="279"/>
        <v/>
      </c>
      <c r="W847" s="71" t="str">
        <f>CONCATENATE(H847," ",I847," ",J847," ",K847," ",L847," ",M847," ",N847," ",O847," ",P847," ",Q847," ",R847," ",S847," ",T847," ",U847," ",V847)</f>
        <v xml:space="preserve">Variable costs Costs that change based on the conditions applied in the project (the number of meeting participants, the supply of and demand for materials, and so on).         </v>
      </c>
    </row>
    <row r="848" spans="1:23" customFormat="1" hidden="1">
      <c r="A848" t="b">
        <f t="shared" si="261"/>
        <v>0</v>
      </c>
      <c r="B848">
        <f t="shared" si="263"/>
        <v>847</v>
      </c>
      <c r="C848" t="s">
        <v>1689</v>
      </c>
      <c r="D848" t="s">
        <v>838</v>
      </c>
      <c r="E848">
        <f t="shared" si="280"/>
        <v>30</v>
      </c>
      <c r="G848">
        <f t="shared" si="264"/>
        <v>2</v>
      </c>
      <c r="H848" t="str">
        <f t="shared" si="265"/>
        <v/>
      </c>
      <c r="I848" t="str">
        <f t="shared" si="266"/>
        <v/>
      </c>
      <c r="J848" t="str">
        <f t="shared" si="267"/>
        <v/>
      </c>
      <c r="K848" t="str">
        <f t="shared" si="268"/>
        <v/>
      </c>
      <c r="L848" t="str">
        <f t="shared" si="269"/>
        <v/>
      </c>
      <c r="M848" t="str">
        <f t="shared" si="270"/>
        <v/>
      </c>
      <c r="N848" t="str">
        <f t="shared" si="271"/>
        <v/>
      </c>
      <c r="O848" t="str">
        <f t="shared" si="272"/>
        <v/>
      </c>
      <c r="P848" t="str">
        <f t="shared" si="273"/>
        <v/>
      </c>
      <c r="Q848" t="str">
        <f t="shared" si="274"/>
        <v/>
      </c>
      <c r="R848" t="str">
        <f t="shared" si="275"/>
        <v/>
      </c>
      <c r="S848" t="str">
        <f t="shared" si="276"/>
        <v/>
      </c>
      <c r="T848" t="str">
        <f t="shared" si="277"/>
        <v/>
      </c>
      <c r="U848" t="str">
        <f t="shared" si="278"/>
        <v/>
      </c>
      <c r="V848" t="str">
        <f t="shared" si="279"/>
        <v/>
      </c>
      <c r="W848" t="str">
        <f t="shared" si="262"/>
        <v xml:space="preserve">              </v>
      </c>
    </row>
    <row r="849" spans="1:23" customFormat="1" hidden="1">
      <c r="A849" t="b">
        <f t="shared" si="261"/>
        <v>0</v>
      </c>
      <c r="B849">
        <f t="shared" si="263"/>
        <v>848</v>
      </c>
      <c r="C849" t="s">
        <v>1689</v>
      </c>
      <c r="D849" t="s">
        <v>839</v>
      </c>
      <c r="E849">
        <f t="shared" si="280"/>
        <v>38</v>
      </c>
      <c r="G849">
        <f t="shared" si="264"/>
        <v>3</v>
      </c>
      <c r="H849" t="str">
        <f t="shared" si="265"/>
        <v/>
      </c>
      <c r="I849" t="str">
        <f t="shared" si="266"/>
        <v/>
      </c>
      <c r="J849" t="str">
        <f t="shared" si="267"/>
        <v/>
      </c>
      <c r="K849" t="str">
        <f t="shared" si="268"/>
        <v/>
      </c>
      <c r="L849" t="str">
        <f t="shared" si="269"/>
        <v/>
      </c>
      <c r="M849" t="str">
        <f t="shared" si="270"/>
        <v/>
      </c>
      <c r="N849" t="str">
        <f t="shared" si="271"/>
        <v/>
      </c>
      <c r="O849" t="str">
        <f t="shared" si="272"/>
        <v/>
      </c>
      <c r="P849" t="str">
        <f t="shared" si="273"/>
        <v/>
      </c>
      <c r="Q849" t="str">
        <f t="shared" si="274"/>
        <v/>
      </c>
      <c r="R849" t="str">
        <f t="shared" si="275"/>
        <v/>
      </c>
      <c r="S849" t="str">
        <f t="shared" si="276"/>
        <v/>
      </c>
      <c r="T849" t="str">
        <f t="shared" si="277"/>
        <v/>
      </c>
      <c r="U849" t="str">
        <f t="shared" si="278"/>
        <v/>
      </c>
      <c r="V849" t="str">
        <f t="shared" si="279"/>
        <v/>
      </c>
      <c r="W849" t="str">
        <f t="shared" si="262"/>
        <v xml:space="preserve">              </v>
      </c>
    </row>
    <row r="850" spans="1:23" customFormat="1" hidden="1">
      <c r="A850" t="b">
        <f t="shared" si="261"/>
        <v>0</v>
      </c>
      <c r="B850">
        <f t="shared" si="263"/>
        <v>849</v>
      </c>
      <c r="C850" t="s">
        <v>1689</v>
      </c>
      <c r="D850" t="s">
        <v>840</v>
      </c>
      <c r="E850">
        <f t="shared" si="280"/>
        <v>35</v>
      </c>
      <c r="G850">
        <f t="shared" si="264"/>
        <v>4</v>
      </c>
      <c r="H850" t="str">
        <f t="shared" si="265"/>
        <v/>
      </c>
      <c r="I850" t="str">
        <f t="shared" si="266"/>
        <v/>
      </c>
      <c r="J850" t="str">
        <f t="shared" si="267"/>
        <v/>
      </c>
      <c r="K850" t="str">
        <f t="shared" si="268"/>
        <v/>
      </c>
      <c r="L850" t="str">
        <f t="shared" si="269"/>
        <v/>
      </c>
      <c r="M850" t="str">
        <f t="shared" si="270"/>
        <v/>
      </c>
      <c r="N850" t="str">
        <f t="shared" si="271"/>
        <v/>
      </c>
      <c r="O850" t="str">
        <f t="shared" si="272"/>
        <v/>
      </c>
      <c r="P850" t="str">
        <f t="shared" si="273"/>
        <v/>
      </c>
      <c r="Q850" t="str">
        <f t="shared" si="274"/>
        <v/>
      </c>
      <c r="R850" t="str">
        <f t="shared" si="275"/>
        <v/>
      </c>
      <c r="S850" t="str">
        <f t="shared" si="276"/>
        <v/>
      </c>
      <c r="T850" t="str">
        <f t="shared" si="277"/>
        <v/>
      </c>
      <c r="U850" t="str">
        <f t="shared" si="278"/>
        <v/>
      </c>
      <c r="V850" t="str">
        <f t="shared" si="279"/>
        <v/>
      </c>
      <c r="W850" t="str">
        <f t="shared" si="262"/>
        <v xml:space="preserve">              </v>
      </c>
    </row>
    <row r="851" spans="1:23" customFormat="1" hidden="1">
      <c r="A851" t="b">
        <f t="shared" si="261"/>
        <v>0</v>
      </c>
      <c r="B851">
        <f t="shared" si="263"/>
        <v>850</v>
      </c>
      <c r="C851" t="s">
        <v>1689</v>
      </c>
      <c r="D851" t="s">
        <v>841</v>
      </c>
      <c r="E851">
        <f t="shared" si="280"/>
        <v>39</v>
      </c>
      <c r="G851">
        <f t="shared" si="264"/>
        <v>5</v>
      </c>
      <c r="H851" t="str">
        <f t="shared" si="265"/>
        <v/>
      </c>
      <c r="I851" t="str">
        <f t="shared" si="266"/>
        <v/>
      </c>
      <c r="J851" t="str">
        <f t="shared" si="267"/>
        <v/>
      </c>
      <c r="K851" t="str">
        <f t="shared" si="268"/>
        <v/>
      </c>
      <c r="L851" t="str">
        <f t="shared" si="269"/>
        <v/>
      </c>
      <c r="M851" t="str">
        <f t="shared" si="270"/>
        <v/>
      </c>
      <c r="N851" t="str">
        <f t="shared" si="271"/>
        <v/>
      </c>
      <c r="O851" t="str">
        <f t="shared" si="272"/>
        <v/>
      </c>
      <c r="P851" t="str">
        <f t="shared" si="273"/>
        <v/>
      </c>
      <c r="Q851" t="str">
        <f t="shared" si="274"/>
        <v/>
      </c>
      <c r="R851" t="str">
        <f t="shared" si="275"/>
        <v/>
      </c>
      <c r="S851" t="str">
        <f t="shared" si="276"/>
        <v/>
      </c>
      <c r="T851" t="str">
        <f t="shared" si="277"/>
        <v/>
      </c>
      <c r="U851" t="str">
        <f t="shared" si="278"/>
        <v/>
      </c>
      <c r="V851" t="str">
        <f t="shared" si="279"/>
        <v/>
      </c>
      <c r="W851" t="str">
        <f t="shared" si="262"/>
        <v xml:space="preserve">              </v>
      </c>
    </row>
    <row r="852" spans="1:23" customFormat="1" hidden="1">
      <c r="A852" t="b">
        <f t="shared" si="261"/>
        <v>0</v>
      </c>
      <c r="B852">
        <f t="shared" si="263"/>
        <v>851</v>
      </c>
      <c r="C852" t="s">
        <v>1689</v>
      </c>
      <c r="D852" t="s">
        <v>842</v>
      </c>
      <c r="E852">
        <f t="shared" si="280"/>
        <v>7</v>
      </c>
      <c r="G852">
        <f t="shared" si="264"/>
        <v>6</v>
      </c>
      <c r="H852" t="str">
        <f t="shared" si="265"/>
        <v/>
      </c>
      <c r="I852" t="str">
        <f t="shared" si="266"/>
        <v/>
      </c>
      <c r="J852" t="str">
        <f t="shared" si="267"/>
        <v/>
      </c>
      <c r="K852" t="str">
        <f t="shared" si="268"/>
        <v/>
      </c>
      <c r="L852" t="str">
        <f t="shared" si="269"/>
        <v/>
      </c>
      <c r="M852" t="str">
        <f t="shared" si="270"/>
        <v/>
      </c>
      <c r="N852" t="str">
        <f t="shared" si="271"/>
        <v/>
      </c>
      <c r="O852" t="str">
        <f t="shared" si="272"/>
        <v/>
      </c>
      <c r="P852" t="str">
        <f t="shared" si="273"/>
        <v/>
      </c>
      <c r="Q852" t="str">
        <f t="shared" si="274"/>
        <v/>
      </c>
      <c r="R852" t="str">
        <f t="shared" si="275"/>
        <v/>
      </c>
      <c r="S852" t="str">
        <f t="shared" si="276"/>
        <v/>
      </c>
      <c r="T852" t="str">
        <f t="shared" si="277"/>
        <v/>
      </c>
      <c r="U852" t="str">
        <f t="shared" si="278"/>
        <v/>
      </c>
      <c r="V852" t="str">
        <f t="shared" si="279"/>
        <v/>
      </c>
      <c r="W852" t="str">
        <f t="shared" si="262"/>
        <v xml:space="preserve">              </v>
      </c>
    </row>
    <row r="853" spans="1:23" hidden="1">
      <c r="A853" s="71" t="b">
        <f t="shared" si="261"/>
        <v>0</v>
      </c>
      <c r="B853" s="71">
        <f t="shared" si="263"/>
        <v>852</v>
      </c>
      <c r="C853" s="71" t="s">
        <v>1689</v>
      </c>
      <c r="D853" s="71" t="s">
        <v>843</v>
      </c>
      <c r="E853">
        <f t="shared" si="280"/>
        <v>8</v>
      </c>
      <c r="F853">
        <v>1</v>
      </c>
      <c r="G853">
        <f t="shared" si="264"/>
        <v>1</v>
      </c>
      <c r="H853" t="str">
        <f t="shared" si="265"/>
        <v>Variance</v>
      </c>
      <c r="I853" t="str">
        <f t="shared" si="266"/>
        <v>The difference between what was</v>
      </c>
      <c r="J853" t="str">
        <f t="shared" si="267"/>
        <v>expected and what was experienced.</v>
      </c>
      <c r="K853" t="str">
        <f t="shared" si="268"/>
        <v/>
      </c>
      <c r="L853" t="str">
        <f t="shared" si="269"/>
        <v/>
      </c>
      <c r="M853" t="str">
        <f t="shared" si="270"/>
        <v/>
      </c>
      <c r="N853" t="str">
        <f t="shared" si="271"/>
        <v/>
      </c>
      <c r="O853" t="str">
        <f t="shared" si="272"/>
        <v/>
      </c>
      <c r="P853" t="str">
        <f t="shared" si="273"/>
        <v/>
      </c>
      <c r="Q853" t="str">
        <f t="shared" si="274"/>
        <v/>
      </c>
      <c r="R853" t="str">
        <f t="shared" si="275"/>
        <v/>
      </c>
      <c r="S853" t="str">
        <f t="shared" si="276"/>
        <v/>
      </c>
      <c r="T853" t="str">
        <f t="shared" si="277"/>
        <v/>
      </c>
      <c r="U853" t="str">
        <f t="shared" si="278"/>
        <v/>
      </c>
      <c r="V853" t="str">
        <f t="shared" si="279"/>
        <v/>
      </c>
      <c r="W853" s="71" t="str">
        <f>CONCATENATE(H853," ",I853," ",J853," ",K853," ",L853," ",M853," ",N853," ",O853," ",P853," ",Q853," ",R853," ",S853," ",T853," ",U853," ",V853)</f>
        <v xml:space="preserve">Variance The difference between what was expected and what was experienced.            </v>
      </c>
    </row>
    <row r="854" spans="1:23" customFormat="1" hidden="1">
      <c r="A854" t="b">
        <f t="shared" si="261"/>
        <v>0</v>
      </c>
      <c r="B854">
        <f t="shared" si="263"/>
        <v>853</v>
      </c>
      <c r="C854" t="s">
        <v>1689</v>
      </c>
      <c r="D854" t="s">
        <v>844</v>
      </c>
      <c r="E854">
        <f t="shared" si="280"/>
        <v>31</v>
      </c>
      <c r="G854">
        <f t="shared" si="264"/>
        <v>2</v>
      </c>
      <c r="H854" t="str">
        <f t="shared" si="265"/>
        <v/>
      </c>
      <c r="I854" t="str">
        <f t="shared" si="266"/>
        <v/>
      </c>
      <c r="J854" t="str">
        <f t="shared" si="267"/>
        <v/>
      </c>
      <c r="K854" t="str">
        <f t="shared" si="268"/>
        <v/>
      </c>
      <c r="L854" t="str">
        <f t="shared" si="269"/>
        <v/>
      </c>
      <c r="M854" t="str">
        <f t="shared" si="270"/>
        <v/>
      </c>
      <c r="N854" t="str">
        <f t="shared" si="271"/>
        <v/>
      </c>
      <c r="O854" t="str">
        <f t="shared" si="272"/>
        <v/>
      </c>
      <c r="P854" t="str">
        <f t="shared" si="273"/>
        <v/>
      </c>
      <c r="Q854" t="str">
        <f t="shared" si="274"/>
        <v/>
      </c>
      <c r="R854" t="str">
        <f t="shared" si="275"/>
        <v/>
      </c>
      <c r="S854" t="str">
        <f t="shared" si="276"/>
        <v/>
      </c>
      <c r="T854" t="str">
        <f t="shared" si="277"/>
        <v/>
      </c>
      <c r="U854" t="str">
        <f t="shared" si="278"/>
        <v/>
      </c>
      <c r="V854" t="str">
        <f t="shared" si="279"/>
        <v/>
      </c>
      <c r="W854" t="str">
        <f t="shared" si="262"/>
        <v xml:space="preserve">              </v>
      </c>
    </row>
    <row r="855" spans="1:23" customFormat="1" hidden="1">
      <c r="A855" t="b">
        <f t="shared" si="261"/>
        <v>0</v>
      </c>
      <c r="B855">
        <f t="shared" si="263"/>
        <v>854</v>
      </c>
      <c r="C855" t="s">
        <v>1689</v>
      </c>
      <c r="D855" t="s">
        <v>845</v>
      </c>
      <c r="E855">
        <f t="shared" si="280"/>
        <v>34</v>
      </c>
      <c r="G855">
        <f t="shared" si="264"/>
        <v>3</v>
      </c>
      <c r="H855" t="str">
        <f t="shared" si="265"/>
        <v/>
      </c>
      <c r="I855" t="str">
        <f t="shared" si="266"/>
        <v/>
      </c>
      <c r="J855" t="str">
        <f t="shared" si="267"/>
        <v/>
      </c>
      <c r="K855" t="str">
        <f t="shared" si="268"/>
        <v/>
      </c>
      <c r="L855" t="str">
        <f t="shared" si="269"/>
        <v/>
      </c>
      <c r="M855" t="str">
        <f t="shared" si="270"/>
        <v/>
      </c>
      <c r="N855" t="str">
        <f t="shared" si="271"/>
        <v/>
      </c>
      <c r="O855" t="str">
        <f t="shared" si="272"/>
        <v/>
      </c>
      <c r="P855" t="str">
        <f t="shared" si="273"/>
        <v/>
      </c>
      <c r="Q855" t="str">
        <f t="shared" si="274"/>
        <v/>
      </c>
      <c r="R855" t="str">
        <f t="shared" si="275"/>
        <v/>
      </c>
      <c r="S855" t="str">
        <f t="shared" si="276"/>
        <v/>
      </c>
      <c r="T855" t="str">
        <f t="shared" si="277"/>
        <v/>
      </c>
      <c r="U855" t="str">
        <f t="shared" si="278"/>
        <v/>
      </c>
      <c r="V855" t="str">
        <f t="shared" si="279"/>
        <v/>
      </c>
      <c r="W855" t="str">
        <f t="shared" si="262"/>
        <v xml:space="preserve">              </v>
      </c>
    </row>
    <row r="856" spans="1:23" hidden="1">
      <c r="A856" s="71" t="b">
        <f t="shared" si="261"/>
        <v>0</v>
      </c>
      <c r="B856" s="71">
        <f t="shared" si="263"/>
        <v>855</v>
      </c>
      <c r="C856" s="71" t="s">
        <v>1689</v>
      </c>
      <c r="D856" s="71" t="s">
        <v>846</v>
      </c>
      <c r="E856">
        <f t="shared" si="280"/>
        <v>28</v>
      </c>
      <c r="F856">
        <v>1</v>
      </c>
      <c r="G856">
        <f t="shared" si="264"/>
        <v>1</v>
      </c>
      <c r="H856" t="str">
        <f t="shared" si="265"/>
        <v>Variance at completion (VAC)</v>
      </c>
      <c r="I856" t="str">
        <f t="shared" si="266"/>
        <v>A forecasting formula that predicts how</v>
      </c>
      <c r="J856" t="str">
        <f t="shared" si="267"/>
        <v>much of a variance the project will likely</v>
      </c>
      <c r="K856" t="str">
        <f t="shared" si="268"/>
        <v>have based on current conditions within</v>
      </c>
      <c r="L856" t="str">
        <f t="shared" si="269"/>
        <v>the project. The formula is VAC = BAC –</v>
      </c>
      <c r="M856" t="str">
        <f t="shared" si="270"/>
        <v>EAC.</v>
      </c>
      <c r="N856" t="str">
        <f t="shared" si="271"/>
        <v/>
      </c>
      <c r="O856" t="str">
        <f t="shared" si="272"/>
        <v/>
      </c>
      <c r="P856" t="str">
        <f t="shared" si="273"/>
        <v/>
      </c>
      <c r="Q856" t="str">
        <f t="shared" si="274"/>
        <v/>
      </c>
      <c r="R856" t="str">
        <f t="shared" si="275"/>
        <v/>
      </c>
      <c r="S856" t="str">
        <f t="shared" si="276"/>
        <v/>
      </c>
      <c r="T856" t="str">
        <f t="shared" si="277"/>
        <v/>
      </c>
      <c r="U856" t="str">
        <f t="shared" si="278"/>
        <v/>
      </c>
      <c r="V856" t="str">
        <f t="shared" si="279"/>
        <v/>
      </c>
      <c r="W856" s="71" t="str">
        <f>CONCATENATE(H856," ",I856," ",J856," ",K856," ",L856," ",M856," ",N856," ",O856," ",P856," ",Q856," ",R856," ",S856," ",T856," ",U856," ",V856)</f>
        <v xml:space="preserve">Variance at completion (VAC) A forecasting formula that predicts how much of a variance the project will likely have based on current conditions within the project. The formula is VAC = BAC – EAC.         </v>
      </c>
    </row>
    <row r="857" spans="1:23" customFormat="1" hidden="1">
      <c r="A857" t="b">
        <f t="shared" si="261"/>
        <v>0</v>
      </c>
      <c r="B857">
        <f t="shared" si="263"/>
        <v>856</v>
      </c>
      <c r="C857" t="s">
        <v>1689</v>
      </c>
      <c r="D857" t="s">
        <v>847</v>
      </c>
      <c r="E857">
        <f t="shared" si="280"/>
        <v>39</v>
      </c>
      <c r="G857">
        <f t="shared" si="264"/>
        <v>2</v>
      </c>
      <c r="H857" t="str">
        <f t="shared" si="265"/>
        <v/>
      </c>
      <c r="I857" t="str">
        <f t="shared" si="266"/>
        <v/>
      </c>
      <c r="J857" t="str">
        <f t="shared" si="267"/>
        <v/>
      </c>
      <c r="K857" t="str">
        <f t="shared" si="268"/>
        <v/>
      </c>
      <c r="L857" t="str">
        <f t="shared" si="269"/>
        <v/>
      </c>
      <c r="M857" t="str">
        <f t="shared" si="270"/>
        <v/>
      </c>
      <c r="N857" t="str">
        <f t="shared" si="271"/>
        <v/>
      </c>
      <c r="O857" t="str">
        <f t="shared" si="272"/>
        <v/>
      </c>
      <c r="P857" t="str">
        <f t="shared" si="273"/>
        <v/>
      </c>
      <c r="Q857" t="str">
        <f t="shared" si="274"/>
        <v/>
      </c>
      <c r="R857" t="str">
        <f t="shared" si="275"/>
        <v/>
      </c>
      <c r="S857" t="str">
        <f t="shared" si="276"/>
        <v/>
      </c>
      <c r="T857" t="str">
        <f t="shared" si="277"/>
        <v/>
      </c>
      <c r="U857" t="str">
        <f t="shared" si="278"/>
        <v/>
      </c>
      <c r="V857" t="str">
        <f t="shared" si="279"/>
        <v/>
      </c>
      <c r="W857" t="str">
        <f t="shared" si="262"/>
        <v xml:space="preserve">              </v>
      </c>
    </row>
    <row r="858" spans="1:23" customFormat="1" hidden="1">
      <c r="A858" t="b">
        <f t="shared" si="261"/>
        <v>0</v>
      </c>
      <c r="B858">
        <f t="shared" si="263"/>
        <v>857</v>
      </c>
      <c r="C858" t="s">
        <v>1689</v>
      </c>
      <c r="D858" t="s">
        <v>848</v>
      </c>
      <c r="E858">
        <f t="shared" si="280"/>
        <v>42</v>
      </c>
      <c r="G858">
        <f t="shared" si="264"/>
        <v>3</v>
      </c>
      <c r="H858" t="str">
        <f t="shared" si="265"/>
        <v/>
      </c>
      <c r="I858" t="str">
        <f t="shared" si="266"/>
        <v/>
      </c>
      <c r="J858" t="str">
        <f t="shared" si="267"/>
        <v/>
      </c>
      <c r="K858" t="str">
        <f t="shared" si="268"/>
        <v/>
      </c>
      <c r="L858" t="str">
        <f t="shared" si="269"/>
        <v/>
      </c>
      <c r="M858" t="str">
        <f t="shared" si="270"/>
        <v/>
      </c>
      <c r="N858" t="str">
        <f t="shared" si="271"/>
        <v/>
      </c>
      <c r="O858" t="str">
        <f t="shared" si="272"/>
        <v/>
      </c>
      <c r="P858" t="str">
        <f t="shared" si="273"/>
        <v/>
      </c>
      <c r="Q858" t="str">
        <f t="shared" si="274"/>
        <v/>
      </c>
      <c r="R858" t="str">
        <f t="shared" si="275"/>
        <v/>
      </c>
      <c r="S858" t="str">
        <f t="shared" si="276"/>
        <v/>
      </c>
      <c r="T858" t="str">
        <f t="shared" si="277"/>
        <v/>
      </c>
      <c r="U858" t="str">
        <f t="shared" si="278"/>
        <v/>
      </c>
      <c r="V858" t="str">
        <f t="shared" si="279"/>
        <v/>
      </c>
      <c r="W858" t="str">
        <f t="shared" si="262"/>
        <v xml:space="preserve">              </v>
      </c>
    </row>
    <row r="859" spans="1:23" customFormat="1" hidden="1">
      <c r="A859" t="b">
        <f t="shared" si="261"/>
        <v>0</v>
      </c>
      <c r="B859">
        <f t="shared" si="263"/>
        <v>858</v>
      </c>
      <c r="C859" t="s">
        <v>1689</v>
      </c>
      <c r="D859" t="s">
        <v>849</v>
      </c>
      <c r="E859">
        <f t="shared" si="280"/>
        <v>39</v>
      </c>
      <c r="G859">
        <f t="shared" si="264"/>
        <v>4</v>
      </c>
      <c r="H859" t="str">
        <f t="shared" si="265"/>
        <v/>
      </c>
      <c r="I859" t="str">
        <f t="shared" si="266"/>
        <v/>
      </c>
      <c r="J859" t="str">
        <f t="shared" si="267"/>
        <v/>
      </c>
      <c r="K859" t="str">
        <f t="shared" si="268"/>
        <v/>
      </c>
      <c r="L859" t="str">
        <f t="shared" si="269"/>
        <v/>
      </c>
      <c r="M859" t="str">
        <f t="shared" si="270"/>
        <v/>
      </c>
      <c r="N859" t="str">
        <f t="shared" si="271"/>
        <v/>
      </c>
      <c r="O859" t="str">
        <f t="shared" si="272"/>
        <v/>
      </c>
      <c r="P859" t="str">
        <f t="shared" si="273"/>
        <v/>
      </c>
      <c r="Q859" t="str">
        <f t="shared" si="274"/>
        <v/>
      </c>
      <c r="R859" t="str">
        <f t="shared" si="275"/>
        <v/>
      </c>
      <c r="S859" t="str">
        <f t="shared" si="276"/>
        <v/>
      </c>
      <c r="T859" t="str">
        <f t="shared" si="277"/>
        <v/>
      </c>
      <c r="U859" t="str">
        <f t="shared" si="278"/>
        <v/>
      </c>
      <c r="V859" t="str">
        <f t="shared" si="279"/>
        <v/>
      </c>
      <c r="W859" t="str">
        <f t="shared" si="262"/>
        <v xml:space="preserve">              </v>
      </c>
    </row>
    <row r="860" spans="1:23" customFormat="1" hidden="1">
      <c r="A860" t="b">
        <f t="shared" si="261"/>
        <v>0</v>
      </c>
      <c r="B860">
        <f t="shared" si="263"/>
        <v>859</v>
      </c>
      <c r="C860" t="s">
        <v>1689</v>
      </c>
      <c r="D860" t="s">
        <v>850</v>
      </c>
      <c r="E860">
        <f t="shared" si="280"/>
        <v>39</v>
      </c>
      <c r="G860">
        <f t="shared" si="264"/>
        <v>5</v>
      </c>
      <c r="H860" t="str">
        <f t="shared" si="265"/>
        <v/>
      </c>
      <c r="I860" t="str">
        <f t="shared" si="266"/>
        <v/>
      </c>
      <c r="J860" t="str">
        <f t="shared" si="267"/>
        <v/>
      </c>
      <c r="K860" t="str">
        <f t="shared" si="268"/>
        <v/>
      </c>
      <c r="L860" t="str">
        <f t="shared" si="269"/>
        <v/>
      </c>
      <c r="M860" t="str">
        <f t="shared" si="270"/>
        <v/>
      </c>
      <c r="N860" t="str">
        <f t="shared" si="271"/>
        <v/>
      </c>
      <c r="O860" t="str">
        <f t="shared" si="272"/>
        <v/>
      </c>
      <c r="P860" t="str">
        <f t="shared" si="273"/>
        <v/>
      </c>
      <c r="Q860" t="str">
        <f t="shared" si="274"/>
        <v/>
      </c>
      <c r="R860" t="str">
        <f t="shared" si="275"/>
        <v/>
      </c>
      <c r="S860" t="str">
        <f t="shared" si="276"/>
        <v/>
      </c>
      <c r="T860" t="str">
        <f t="shared" si="277"/>
        <v/>
      </c>
      <c r="U860" t="str">
        <f t="shared" si="278"/>
        <v/>
      </c>
      <c r="V860" t="str">
        <f t="shared" si="279"/>
        <v/>
      </c>
      <c r="W860" t="str">
        <f t="shared" si="262"/>
        <v xml:space="preserve">              </v>
      </c>
    </row>
    <row r="861" spans="1:23" customFormat="1" hidden="1">
      <c r="A861" t="b">
        <f t="shared" si="261"/>
        <v>0</v>
      </c>
      <c r="B861">
        <f t="shared" si="263"/>
        <v>860</v>
      </c>
      <c r="C861" t="s">
        <v>1689</v>
      </c>
      <c r="D861" t="s">
        <v>851</v>
      </c>
      <c r="E861">
        <f t="shared" si="280"/>
        <v>4</v>
      </c>
      <c r="G861">
        <f t="shared" si="264"/>
        <v>6</v>
      </c>
      <c r="H861" t="str">
        <f t="shared" si="265"/>
        <v/>
      </c>
      <c r="I861" t="str">
        <f t="shared" si="266"/>
        <v/>
      </c>
      <c r="J861" t="str">
        <f t="shared" si="267"/>
        <v/>
      </c>
      <c r="K861" t="str">
        <f t="shared" si="268"/>
        <v/>
      </c>
      <c r="L861" t="str">
        <f t="shared" si="269"/>
        <v/>
      </c>
      <c r="M861" t="str">
        <f t="shared" si="270"/>
        <v/>
      </c>
      <c r="N861" t="str">
        <f t="shared" si="271"/>
        <v/>
      </c>
      <c r="O861" t="str">
        <f t="shared" si="272"/>
        <v/>
      </c>
      <c r="P861" t="str">
        <f t="shared" si="273"/>
        <v/>
      </c>
      <c r="Q861" t="str">
        <f t="shared" si="274"/>
        <v/>
      </c>
      <c r="R861" t="str">
        <f t="shared" si="275"/>
        <v/>
      </c>
      <c r="S861" t="str">
        <f t="shared" si="276"/>
        <v/>
      </c>
      <c r="T861" t="str">
        <f t="shared" si="277"/>
        <v/>
      </c>
      <c r="U861" t="str">
        <f t="shared" si="278"/>
        <v/>
      </c>
      <c r="V861" t="str">
        <f t="shared" si="279"/>
        <v/>
      </c>
      <c r="W861" t="str">
        <f t="shared" si="262"/>
        <v xml:space="preserve">              </v>
      </c>
    </row>
    <row r="862" spans="1:23" hidden="1">
      <c r="A862" s="71" t="b">
        <f t="shared" si="261"/>
        <v>0</v>
      </c>
      <c r="B862" s="71">
        <f t="shared" si="263"/>
        <v>861</v>
      </c>
      <c r="C862" s="71" t="s">
        <v>852</v>
      </c>
      <c r="D862" s="71" t="s">
        <v>853</v>
      </c>
      <c r="E862">
        <f t="shared" si="280"/>
        <v>24</v>
      </c>
      <c r="F862">
        <v>1</v>
      </c>
      <c r="G862">
        <f t="shared" si="264"/>
        <v>1</v>
      </c>
      <c r="H862" t="str">
        <f t="shared" si="265"/>
        <v>Activity network diagram</v>
      </c>
      <c r="I862" t="str">
        <f t="shared" si="266"/>
        <v>These diagrams, such as the project network</v>
      </c>
      <c r="J862" t="str">
        <f t="shared" si="267"/>
        <v>diagram, show the flow of the project work.</v>
      </c>
      <c r="K862" t="str">
        <f t="shared" si="268"/>
        <v/>
      </c>
      <c r="L862" t="str">
        <f t="shared" si="269"/>
        <v/>
      </c>
      <c r="M862" t="str">
        <f t="shared" si="270"/>
        <v/>
      </c>
      <c r="N862" t="str">
        <f t="shared" si="271"/>
        <v/>
      </c>
      <c r="O862" t="str">
        <f t="shared" si="272"/>
        <v/>
      </c>
      <c r="P862" t="str">
        <f t="shared" si="273"/>
        <v/>
      </c>
      <c r="Q862" t="str">
        <f t="shared" si="274"/>
        <v/>
      </c>
      <c r="R862" t="str">
        <f t="shared" si="275"/>
        <v/>
      </c>
      <c r="S862" t="str">
        <f t="shared" si="276"/>
        <v/>
      </c>
      <c r="T862" t="str">
        <f t="shared" si="277"/>
        <v/>
      </c>
      <c r="U862" t="str">
        <f t="shared" si="278"/>
        <v/>
      </c>
      <c r="V862" t="str">
        <f t="shared" si="279"/>
        <v/>
      </c>
      <c r="W862" s="71" t="str">
        <f>CONCATENATE(H862," ",I862," ",J862," ",K862," ",L862," ",M862," ",N862," ",O862," ",P862," ",Q862," ",R862," ",S862," ",T862," ",U862," ",V862)</f>
        <v xml:space="preserve">Activity network diagram These diagrams, such as the project network diagram, show the flow of the project work.            </v>
      </c>
    </row>
    <row r="863" spans="1:23" customFormat="1" hidden="1">
      <c r="A863" t="b">
        <f t="shared" si="261"/>
        <v>0</v>
      </c>
      <c r="B863">
        <f t="shared" si="263"/>
        <v>862</v>
      </c>
      <c r="C863" t="s">
        <v>852</v>
      </c>
      <c r="D863" t="s">
        <v>854</v>
      </c>
      <c r="E863">
        <f t="shared" si="280"/>
        <v>43</v>
      </c>
      <c r="G863">
        <f t="shared" si="264"/>
        <v>2</v>
      </c>
      <c r="H863" t="str">
        <f t="shared" si="265"/>
        <v/>
      </c>
      <c r="I863" t="str">
        <f t="shared" si="266"/>
        <v/>
      </c>
      <c r="J863" t="str">
        <f t="shared" si="267"/>
        <v/>
      </c>
      <c r="K863" t="str">
        <f t="shared" si="268"/>
        <v/>
      </c>
      <c r="L863" t="str">
        <f t="shared" si="269"/>
        <v/>
      </c>
      <c r="M863" t="str">
        <f t="shared" si="270"/>
        <v/>
      </c>
      <c r="N863" t="str">
        <f t="shared" si="271"/>
        <v/>
      </c>
      <c r="O863" t="str">
        <f t="shared" si="272"/>
        <v/>
      </c>
      <c r="P863" t="str">
        <f t="shared" si="273"/>
        <v/>
      </c>
      <c r="Q863" t="str">
        <f t="shared" si="274"/>
        <v/>
      </c>
      <c r="R863" t="str">
        <f t="shared" si="275"/>
        <v/>
      </c>
      <c r="S863" t="str">
        <f t="shared" si="276"/>
        <v/>
      </c>
      <c r="T863" t="str">
        <f t="shared" si="277"/>
        <v/>
      </c>
      <c r="U863" t="str">
        <f t="shared" si="278"/>
        <v/>
      </c>
      <c r="V863" t="str">
        <f t="shared" si="279"/>
        <v/>
      </c>
      <c r="W863" t="str">
        <f t="shared" si="262"/>
        <v xml:space="preserve">              </v>
      </c>
    </row>
    <row r="864" spans="1:23" customFormat="1" hidden="1">
      <c r="A864" t="b">
        <f t="shared" si="261"/>
        <v>0</v>
      </c>
      <c r="B864">
        <f t="shared" si="263"/>
        <v>863</v>
      </c>
      <c r="C864" t="s">
        <v>852</v>
      </c>
      <c r="D864" t="s">
        <v>855</v>
      </c>
      <c r="E864">
        <f t="shared" si="280"/>
        <v>43</v>
      </c>
      <c r="G864">
        <f t="shared" si="264"/>
        <v>3</v>
      </c>
      <c r="H864" t="str">
        <f t="shared" si="265"/>
        <v/>
      </c>
      <c r="I864" t="str">
        <f t="shared" si="266"/>
        <v/>
      </c>
      <c r="J864" t="str">
        <f t="shared" si="267"/>
        <v/>
      </c>
      <c r="K864" t="str">
        <f t="shared" si="268"/>
        <v/>
      </c>
      <c r="L864" t="str">
        <f t="shared" si="269"/>
        <v/>
      </c>
      <c r="M864" t="str">
        <f t="shared" si="270"/>
        <v/>
      </c>
      <c r="N864" t="str">
        <f t="shared" si="271"/>
        <v/>
      </c>
      <c r="O864" t="str">
        <f t="shared" si="272"/>
        <v/>
      </c>
      <c r="P864" t="str">
        <f t="shared" si="273"/>
        <v/>
      </c>
      <c r="Q864" t="str">
        <f t="shared" si="274"/>
        <v/>
      </c>
      <c r="R864" t="str">
        <f t="shared" si="275"/>
        <v/>
      </c>
      <c r="S864" t="str">
        <f t="shared" si="276"/>
        <v/>
      </c>
      <c r="T864" t="str">
        <f t="shared" si="277"/>
        <v/>
      </c>
      <c r="U864" t="str">
        <f t="shared" si="278"/>
        <v/>
      </c>
      <c r="V864" t="str">
        <f t="shared" si="279"/>
        <v/>
      </c>
      <c r="W864" t="str">
        <f t="shared" si="262"/>
        <v xml:space="preserve">              </v>
      </c>
    </row>
    <row r="865" spans="1:23" hidden="1">
      <c r="A865" s="71" t="b">
        <f t="shared" si="261"/>
        <v>0</v>
      </c>
      <c r="B865" s="71">
        <f t="shared" si="263"/>
        <v>864</v>
      </c>
      <c r="C865" s="71" t="s">
        <v>852</v>
      </c>
      <c r="D865" s="71" t="s">
        <v>856</v>
      </c>
      <c r="E865">
        <f t="shared" si="280"/>
        <v>16</v>
      </c>
      <c r="F865">
        <v>1</v>
      </c>
      <c r="G865">
        <f t="shared" si="264"/>
        <v>1</v>
      </c>
      <c r="H865" t="str">
        <f t="shared" si="265"/>
        <v>Affinity diagram</v>
      </c>
      <c r="I865" t="str">
        <f t="shared" si="266"/>
        <v>This diagram breaks down ideas, solutions,</v>
      </c>
      <c r="J865" t="str">
        <f t="shared" si="267"/>
        <v>causes, and project components and groups</v>
      </c>
      <c r="K865" t="str">
        <f t="shared" si="268"/>
        <v>them together with other similar ideas and</v>
      </c>
      <c r="L865" t="str">
        <f t="shared" si="269"/>
        <v>components.</v>
      </c>
      <c r="M865" t="str">
        <f t="shared" si="270"/>
        <v/>
      </c>
      <c r="N865" t="str">
        <f t="shared" si="271"/>
        <v/>
      </c>
      <c r="O865" t="str">
        <f t="shared" si="272"/>
        <v/>
      </c>
      <c r="P865" t="str">
        <f t="shared" si="273"/>
        <v/>
      </c>
      <c r="Q865" t="str">
        <f t="shared" si="274"/>
        <v/>
      </c>
      <c r="R865" t="str">
        <f t="shared" si="275"/>
        <v/>
      </c>
      <c r="S865" t="str">
        <f t="shared" si="276"/>
        <v/>
      </c>
      <c r="T865" t="str">
        <f t="shared" si="277"/>
        <v/>
      </c>
      <c r="U865" t="str">
        <f t="shared" si="278"/>
        <v/>
      </c>
      <c r="V865" t="str">
        <f t="shared" si="279"/>
        <v/>
      </c>
      <c r="W865" s="71" t="str">
        <f>CONCATENATE(H865," ",I865," ",J865," ",K865," ",L865," ",M865," ",N865," ",O865," ",P865," ",Q865," ",R865," ",S865," ",T865," ",U865," ",V865)</f>
        <v xml:space="preserve">Affinity diagram This diagram breaks down ideas, solutions, causes, and project components and groups them together with other similar ideas and components.          </v>
      </c>
    </row>
    <row r="866" spans="1:23" customFormat="1" hidden="1">
      <c r="A866" t="b">
        <f t="shared" si="261"/>
        <v>0</v>
      </c>
      <c r="B866">
        <f t="shared" si="263"/>
        <v>865</v>
      </c>
      <c r="C866" t="s">
        <v>852</v>
      </c>
      <c r="D866" t="s">
        <v>857</v>
      </c>
      <c r="E866">
        <f t="shared" si="280"/>
        <v>42</v>
      </c>
      <c r="G866">
        <f t="shared" si="264"/>
        <v>2</v>
      </c>
      <c r="H866" t="str">
        <f t="shared" si="265"/>
        <v/>
      </c>
      <c r="I866" t="str">
        <f t="shared" si="266"/>
        <v/>
      </c>
      <c r="J866" t="str">
        <f t="shared" si="267"/>
        <v/>
      </c>
      <c r="K866" t="str">
        <f t="shared" si="268"/>
        <v/>
      </c>
      <c r="L866" t="str">
        <f t="shared" si="269"/>
        <v/>
      </c>
      <c r="M866" t="str">
        <f t="shared" si="270"/>
        <v/>
      </c>
      <c r="N866" t="str">
        <f t="shared" si="271"/>
        <v/>
      </c>
      <c r="O866" t="str">
        <f t="shared" si="272"/>
        <v/>
      </c>
      <c r="P866" t="str">
        <f t="shared" si="273"/>
        <v/>
      </c>
      <c r="Q866" t="str">
        <f t="shared" si="274"/>
        <v/>
      </c>
      <c r="R866" t="str">
        <f t="shared" si="275"/>
        <v/>
      </c>
      <c r="S866" t="str">
        <f t="shared" si="276"/>
        <v/>
      </c>
      <c r="T866" t="str">
        <f t="shared" si="277"/>
        <v/>
      </c>
      <c r="U866" t="str">
        <f t="shared" si="278"/>
        <v/>
      </c>
      <c r="V866" t="str">
        <f t="shared" si="279"/>
        <v/>
      </c>
      <c r="W866" t="str">
        <f t="shared" si="262"/>
        <v xml:space="preserve">              </v>
      </c>
    </row>
    <row r="867" spans="1:23" customFormat="1" hidden="1">
      <c r="A867" t="b">
        <f t="shared" si="261"/>
        <v>0</v>
      </c>
      <c r="B867">
        <f t="shared" si="263"/>
        <v>866</v>
      </c>
      <c r="C867" t="s">
        <v>852</v>
      </c>
      <c r="D867" t="s">
        <v>858</v>
      </c>
      <c r="E867">
        <f t="shared" si="280"/>
        <v>41</v>
      </c>
      <c r="G867">
        <f t="shared" si="264"/>
        <v>3</v>
      </c>
      <c r="H867" t="str">
        <f t="shared" si="265"/>
        <v/>
      </c>
      <c r="I867" t="str">
        <f t="shared" si="266"/>
        <v/>
      </c>
      <c r="J867" t="str">
        <f t="shared" si="267"/>
        <v/>
      </c>
      <c r="K867" t="str">
        <f t="shared" si="268"/>
        <v/>
      </c>
      <c r="L867" t="str">
        <f t="shared" si="269"/>
        <v/>
      </c>
      <c r="M867" t="str">
        <f t="shared" si="270"/>
        <v/>
      </c>
      <c r="N867" t="str">
        <f t="shared" si="271"/>
        <v/>
      </c>
      <c r="O867" t="str">
        <f t="shared" si="272"/>
        <v/>
      </c>
      <c r="P867" t="str">
        <f t="shared" si="273"/>
        <v/>
      </c>
      <c r="Q867" t="str">
        <f t="shared" si="274"/>
        <v/>
      </c>
      <c r="R867" t="str">
        <f t="shared" si="275"/>
        <v/>
      </c>
      <c r="S867" t="str">
        <f t="shared" si="276"/>
        <v/>
      </c>
      <c r="T867" t="str">
        <f t="shared" si="277"/>
        <v/>
      </c>
      <c r="U867" t="str">
        <f t="shared" si="278"/>
        <v/>
      </c>
      <c r="V867" t="str">
        <f t="shared" si="279"/>
        <v/>
      </c>
      <c r="W867" t="str">
        <f t="shared" si="262"/>
        <v xml:space="preserve">              </v>
      </c>
    </row>
    <row r="868" spans="1:23" customFormat="1" hidden="1">
      <c r="A868" t="b">
        <f t="shared" si="261"/>
        <v>0</v>
      </c>
      <c r="B868">
        <f t="shared" si="263"/>
        <v>867</v>
      </c>
      <c r="C868" t="s">
        <v>852</v>
      </c>
      <c r="D868" t="s">
        <v>859</v>
      </c>
      <c r="E868">
        <f t="shared" si="280"/>
        <v>42</v>
      </c>
      <c r="G868">
        <f t="shared" si="264"/>
        <v>4</v>
      </c>
      <c r="H868" t="str">
        <f t="shared" si="265"/>
        <v/>
      </c>
      <c r="I868" t="str">
        <f t="shared" si="266"/>
        <v/>
      </c>
      <c r="J868" t="str">
        <f t="shared" si="267"/>
        <v/>
      </c>
      <c r="K868" t="str">
        <f t="shared" si="268"/>
        <v/>
      </c>
      <c r="L868" t="str">
        <f t="shared" si="269"/>
        <v/>
      </c>
      <c r="M868" t="str">
        <f t="shared" si="270"/>
        <v/>
      </c>
      <c r="N868" t="str">
        <f t="shared" si="271"/>
        <v/>
      </c>
      <c r="O868" t="str">
        <f t="shared" si="272"/>
        <v/>
      </c>
      <c r="P868" t="str">
        <f t="shared" si="273"/>
        <v/>
      </c>
      <c r="Q868" t="str">
        <f t="shared" si="274"/>
        <v/>
      </c>
      <c r="R868" t="str">
        <f t="shared" si="275"/>
        <v/>
      </c>
      <c r="S868" t="str">
        <f t="shared" si="276"/>
        <v/>
      </c>
      <c r="T868" t="str">
        <f t="shared" si="277"/>
        <v/>
      </c>
      <c r="U868" t="str">
        <f t="shared" si="278"/>
        <v/>
      </c>
      <c r="V868" t="str">
        <f t="shared" si="279"/>
        <v/>
      </c>
      <c r="W868" t="str">
        <f t="shared" si="262"/>
        <v xml:space="preserve">              </v>
      </c>
    </row>
    <row r="869" spans="1:23" customFormat="1" hidden="1">
      <c r="A869" t="b">
        <f t="shared" si="261"/>
        <v>0</v>
      </c>
      <c r="B869">
        <f t="shared" si="263"/>
        <v>868</v>
      </c>
      <c r="C869" t="s">
        <v>852</v>
      </c>
      <c r="D869" t="s">
        <v>860</v>
      </c>
      <c r="E869">
        <f t="shared" si="280"/>
        <v>11</v>
      </c>
      <c r="G869">
        <f t="shared" si="264"/>
        <v>5</v>
      </c>
      <c r="H869" t="str">
        <f t="shared" si="265"/>
        <v/>
      </c>
      <c r="I869" t="str">
        <f t="shared" si="266"/>
        <v/>
      </c>
      <c r="J869" t="str">
        <f t="shared" si="267"/>
        <v/>
      </c>
      <c r="K869" t="str">
        <f t="shared" si="268"/>
        <v/>
      </c>
      <c r="L869" t="str">
        <f t="shared" si="269"/>
        <v/>
      </c>
      <c r="M869" t="str">
        <f t="shared" si="270"/>
        <v/>
      </c>
      <c r="N869" t="str">
        <f t="shared" si="271"/>
        <v/>
      </c>
      <c r="O869" t="str">
        <f t="shared" si="272"/>
        <v/>
      </c>
      <c r="P869" t="str">
        <f t="shared" si="273"/>
        <v/>
      </c>
      <c r="Q869" t="str">
        <f t="shared" si="274"/>
        <v/>
      </c>
      <c r="R869" t="str">
        <f t="shared" si="275"/>
        <v/>
      </c>
      <c r="S869" t="str">
        <f t="shared" si="276"/>
        <v/>
      </c>
      <c r="T869" t="str">
        <f t="shared" si="277"/>
        <v/>
      </c>
      <c r="U869" t="str">
        <f t="shared" si="278"/>
        <v/>
      </c>
      <c r="V869" t="str">
        <f t="shared" si="279"/>
        <v/>
      </c>
      <c r="W869" t="str">
        <f t="shared" si="262"/>
        <v xml:space="preserve">              </v>
      </c>
    </row>
    <row r="870" spans="1:23" hidden="1">
      <c r="A870" s="71" t="b">
        <f t="shared" si="261"/>
        <v>0</v>
      </c>
      <c r="B870" s="71">
        <f t="shared" si="263"/>
        <v>869</v>
      </c>
      <c r="C870" s="71" t="s">
        <v>852</v>
      </c>
      <c r="D870" s="71" t="s">
        <v>861</v>
      </c>
      <c r="E870">
        <f t="shared" si="280"/>
        <v>12</v>
      </c>
      <c r="F870">
        <v>1</v>
      </c>
      <c r="G870">
        <f t="shared" si="264"/>
        <v>1</v>
      </c>
      <c r="H870" t="str">
        <f t="shared" si="265"/>
        <v>Benchmarking</v>
      </c>
      <c r="I870" t="str">
        <f t="shared" si="266"/>
        <v>Comparing any two similar entities to measure</v>
      </c>
      <c r="J870" t="str">
        <f t="shared" si="267"/>
        <v>their performance.</v>
      </c>
      <c r="K870" t="str">
        <f t="shared" si="268"/>
        <v/>
      </c>
      <c r="L870" t="str">
        <f t="shared" si="269"/>
        <v/>
      </c>
      <c r="M870" t="str">
        <f t="shared" si="270"/>
        <v/>
      </c>
      <c r="N870" t="str">
        <f t="shared" si="271"/>
        <v/>
      </c>
      <c r="O870" t="str">
        <f t="shared" si="272"/>
        <v/>
      </c>
      <c r="P870" t="str">
        <f t="shared" si="273"/>
        <v/>
      </c>
      <c r="Q870" t="str">
        <f t="shared" si="274"/>
        <v/>
      </c>
      <c r="R870" t="str">
        <f t="shared" si="275"/>
        <v/>
      </c>
      <c r="S870" t="str">
        <f t="shared" si="276"/>
        <v/>
      </c>
      <c r="T870" t="str">
        <f t="shared" si="277"/>
        <v/>
      </c>
      <c r="U870" t="str">
        <f t="shared" si="278"/>
        <v/>
      </c>
      <c r="V870" t="str">
        <f t="shared" si="279"/>
        <v/>
      </c>
      <c r="W870" s="71" t="str">
        <f>CONCATENATE(H870," ",I870," ",J870," ",K870," ",L870," ",M870," ",N870," ",O870," ",P870," ",Q870," ",R870," ",S870," ",T870," ",U870," ",V870)</f>
        <v xml:space="preserve">Benchmarking Comparing any two similar entities to measure their performance.            </v>
      </c>
    </row>
    <row r="871" spans="1:23" customFormat="1" hidden="1">
      <c r="A871" t="b">
        <f t="shared" si="261"/>
        <v>0</v>
      </c>
      <c r="B871">
        <f t="shared" si="263"/>
        <v>870</v>
      </c>
      <c r="C871" t="s">
        <v>852</v>
      </c>
      <c r="D871" t="s">
        <v>862</v>
      </c>
      <c r="E871">
        <f t="shared" si="280"/>
        <v>45</v>
      </c>
      <c r="G871">
        <f t="shared" si="264"/>
        <v>2</v>
      </c>
      <c r="H871" t="str">
        <f t="shared" si="265"/>
        <v/>
      </c>
      <c r="I871" t="str">
        <f t="shared" si="266"/>
        <v/>
      </c>
      <c r="J871" t="str">
        <f t="shared" si="267"/>
        <v/>
      </c>
      <c r="K871" t="str">
        <f t="shared" si="268"/>
        <v/>
      </c>
      <c r="L871" t="str">
        <f t="shared" si="269"/>
        <v/>
      </c>
      <c r="M871" t="str">
        <f t="shared" si="270"/>
        <v/>
      </c>
      <c r="N871" t="str">
        <f t="shared" si="271"/>
        <v/>
      </c>
      <c r="O871" t="str">
        <f t="shared" si="272"/>
        <v/>
      </c>
      <c r="P871" t="str">
        <f t="shared" si="273"/>
        <v/>
      </c>
      <c r="Q871" t="str">
        <f t="shared" si="274"/>
        <v/>
      </c>
      <c r="R871" t="str">
        <f t="shared" si="275"/>
        <v/>
      </c>
      <c r="S871" t="str">
        <f t="shared" si="276"/>
        <v/>
      </c>
      <c r="T871" t="str">
        <f t="shared" si="277"/>
        <v/>
      </c>
      <c r="U871" t="str">
        <f t="shared" si="278"/>
        <v/>
      </c>
      <c r="V871" t="str">
        <f t="shared" si="279"/>
        <v/>
      </c>
      <c r="W871" t="str">
        <f t="shared" si="262"/>
        <v xml:space="preserve">              </v>
      </c>
    </row>
    <row r="872" spans="1:23" customFormat="1" hidden="1">
      <c r="A872" t="b">
        <f t="shared" si="261"/>
        <v>0</v>
      </c>
      <c r="B872">
        <f t="shared" si="263"/>
        <v>871</v>
      </c>
      <c r="C872" t="s">
        <v>852</v>
      </c>
      <c r="D872" t="s">
        <v>863</v>
      </c>
      <c r="E872">
        <f t="shared" si="280"/>
        <v>18</v>
      </c>
      <c r="G872">
        <f t="shared" si="264"/>
        <v>3</v>
      </c>
      <c r="H872" t="str">
        <f t="shared" si="265"/>
        <v/>
      </c>
      <c r="I872" t="str">
        <f t="shared" si="266"/>
        <v/>
      </c>
      <c r="J872" t="str">
        <f t="shared" si="267"/>
        <v/>
      </c>
      <c r="K872" t="str">
        <f t="shared" si="268"/>
        <v/>
      </c>
      <c r="L872" t="str">
        <f t="shared" si="269"/>
        <v/>
      </c>
      <c r="M872" t="str">
        <f t="shared" si="270"/>
        <v/>
      </c>
      <c r="N872" t="str">
        <f t="shared" si="271"/>
        <v/>
      </c>
      <c r="O872" t="str">
        <f t="shared" si="272"/>
        <v/>
      </c>
      <c r="P872" t="str">
        <f t="shared" si="273"/>
        <v/>
      </c>
      <c r="Q872" t="str">
        <f t="shared" si="274"/>
        <v/>
      </c>
      <c r="R872" t="str">
        <f t="shared" si="275"/>
        <v/>
      </c>
      <c r="S872" t="str">
        <f t="shared" si="276"/>
        <v/>
      </c>
      <c r="T872" t="str">
        <f t="shared" si="277"/>
        <v/>
      </c>
      <c r="U872" t="str">
        <f t="shared" si="278"/>
        <v/>
      </c>
      <c r="V872" t="str">
        <f t="shared" si="279"/>
        <v/>
      </c>
      <c r="W872" t="str">
        <f t="shared" si="262"/>
        <v xml:space="preserve">              </v>
      </c>
    </row>
    <row r="873" spans="1:23" hidden="1">
      <c r="A873" s="71" t="b">
        <f t="shared" si="261"/>
        <v>0</v>
      </c>
      <c r="B873" s="71">
        <f t="shared" si="263"/>
        <v>872</v>
      </c>
      <c r="C873" s="71" t="s">
        <v>852</v>
      </c>
      <c r="D873" s="71" t="s">
        <v>864</v>
      </c>
      <c r="E873">
        <f t="shared" si="280"/>
        <v>25</v>
      </c>
      <c r="F873">
        <v>1</v>
      </c>
      <c r="G873">
        <f t="shared" si="264"/>
        <v>1</v>
      </c>
      <c r="H873" t="str">
        <f t="shared" si="265"/>
        <v>Cause-and-effect diagrams</v>
      </c>
      <c r="I873" t="str">
        <f t="shared" si="266"/>
        <v>Diagrams that show the relationship between</v>
      </c>
      <c r="J873" t="str">
        <f t="shared" si="267"/>
        <v>variables within a process and how those</v>
      </c>
      <c r="K873" t="str">
        <f t="shared" si="268"/>
        <v>relationships may contribute to inadequate</v>
      </c>
      <c r="L873" t="str">
        <f t="shared" si="269"/>
        <v>quality. The diagrams can help organize both the</v>
      </c>
      <c r="M873" t="str">
        <f t="shared" si="270"/>
        <v>process and team opinions, as well as generate</v>
      </c>
      <c r="N873" t="str">
        <f t="shared" si="271"/>
        <v>discussion on finding a solution to ensure quality.</v>
      </c>
      <c r="O873" t="str">
        <f t="shared" si="272"/>
        <v/>
      </c>
      <c r="P873" t="str">
        <f t="shared" si="273"/>
        <v/>
      </c>
      <c r="Q873" t="str">
        <f t="shared" si="274"/>
        <v/>
      </c>
      <c r="R873" t="str">
        <f t="shared" si="275"/>
        <v/>
      </c>
      <c r="S873" t="str">
        <f t="shared" si="276"/>
        <v/>
      </c>
      <c r="T873" t="str">
        <f t="shared" si="277"/>
        <v/>
      </c>
      <c r="U873" t="str">
        <f t="shared" si="278"/>
        <v/>
      </c>
      <c r="V873" t="str">
        <f t="shared" si="279"/>
        <v/>
      </c>
      <c r="W873" s="71" t="str">
        <f>CONCATENATE(H873," ",I873," ",J873," ",K873," ",L873," ",M873," ",N873," ",O873," ",P873," ",Q873," ",R873," ",S873," ",T873," ",U873," ",V873)</f>
        <v xml:space="preserve">Cause-and-effect diagrams Diagrams that show the relationship between variables within a process and how those relationships may contribute to inadequate quality. The diagrams can help organize both the process and team opinions, as well as generate discussion on finding a solution to ensure quality.        </v>
      </c>
    </row>
    <row r="874" spans="1:23" customFormat="1" hidden="1">
      <c r="A874" t="b">
        <f t="shared" si="261"/>
        <v>0</v>
      </c>
      <c r="B874">
        <f t="shared" si="263"/>
        <v>873</v>
      </c>
      <c r="C874" t="s">
        <v>852</v>
      </c>
      <c r="D874" t="s">
        <v>865</v>
      </c>
      <c r="E874">
        <f t="shared" si="280"/>
        <v>43</v>
      </c>
      <c r="G874">
        <f t="shared" si="264"/>
        <v>2</v>
      </c>
      <c r="H874" t="str">
        <f t="shared" si="265"/>
        <v/>
      </c>
      <c r="I874" t="str">
        <f t="shared" si="266"/>
        <v/>
      </c>
      <c r="J874" t="str">
        <f t="shared" si="267"/>
        <v/>
      </c>
      <c r="K874" t="str">
        <f t="shared" si="268"/>
        <v/>
      </c>
      <c r="L874" t="str">
        <f t="shared" si="269"/>
        <v/>
      </c>
      <c r="M874" t="str">
        <f t="shared" si="270"/>
        <v/>
      </c>
      <c r="N874" t="str">
        <f t="shared" si="271"/>
        <v/>
      </c>
      <c r="O874" t="str">
        <f t="shared" si="272"/>
        <v/>
      </c>
      <c r="P874" t="str">
        <f t="shared" si="273"/>
        <v/>
      </c>
      <c r="Q874" t="str">
        <f t="shared" si="274"/>
        <v/>
      </c>
      <c r="R874" t="str">
        <f t="shared" si="275"/>
        <v/>
      </c>
      <c r="S874" t="str">
        <f t="shared" si="276"/>
        <v/>
      </c>
      <c r="T874" t="str">
        <f t="shared" si="277"/>
        <v/>
      </c>
      <c r="U874" t="str">
        <f t="shared" si="278"/>
        <v/>
      </c>
      <c r="V874" t="str">
        <f t="shared" si="279"/>
        <v/>
      </c>
      <c r="W874" t="str">
        <f t="shared" si="262"/>
        <v xml:space="preserve">              </v>
      </c>
    </row>
    <row r="875" spans="1:23" customFormat="1" hidden="1">
      <c r="A875" t="b">
        <f t="shared" si="261"/>
        <v>0</v>
      </c>
      <c r="B875">
        <f t="shared" si="263"/>
        <v>874</v>
      </c>
      <c r="C875" t="s">
        <v>852</v>
      </c>
      <c r="D875" t="s">
        <v>866</v>
      </c>
      <c r="E875">
        <f t="shared" si="280"/>
        <v>40</v>
      </c>
      <c r="G875">
        <f t="shared" si="264"/>
        <v>3</v>
      </c>
      <c r="H875" t="str">
        <f t="shared" si="265"/>
        <v/>
      </c>
      <c r="I875" t="str">
        <f t="shared" si="266"/>
        <v/>
      </c>
      <c r="J875" t="str">
        <f t="shared" si="267"/>
        <v/>
      </c>
      <c r="K875" t="str">
        <f t="shared" si="268"/>
        <v/>
      </c>
      <c r="L875" t="str">
        <f t="shared" si="269"/>
        <v/>
      </c>
      <c r="M875" t="str">
        <f t="shared" si="270"/>
        <v/>
      </c>
      <c r="N875" t="str">
        <f t="shared" si="271"/>
        <v/>
      </c>
      <c r="O875" t="str">
        <f t="shared" si="272"/>
        <v/>
      </c>
      <c r="P875" t="str">
        <f t="shared" si="273"/>
        <v/>
      </c>
      <c r="Q875" t="str">
        <f t="shared" si="274"/>
        <v/>
      </c>
      <c r="R875" t="str">
        <f t="shared" si="275"/>
        <v/>
      </c>
      <c r="S875" t="str">
        <f t="shared" si="276"/>
        <v/>
      </c>
      <c r="T875" t="str">
        <f t="shared" si="277"/>
        <v/>
      </c>
      <c r="U875" t="str">
        <f t="shared" si="278"/>
        <v/>
      </c>
      <c r="V875" t="str">
        <f t="shared" si="279"/>
        <v/>
      </c>
      <c r="W875" t="str">
        <f t="shared" si="262"/>
        <v xml:space="preserve">              </v>
      </c>
    </row>
    <row r="876" spans="1:23" customFormat="1" hidden="1">
      <c r="A876" t="b">
        <f t="shared" si="261"/>
        <v>0</v>
      </c>
      <c r="B876">
        <f t="shared" si="263"/>
        <v>875</v>
      </c>
      <c r="C876" t="s">
        <v>852</v>
      </c>
      <c r="D876" t="s">
        <v>867</v>
      </c>
      <c r="E876">
        <f t="shared" si="280"/>
        <v>42</v>
      </c>
      <c r="G876">
        <f t="shared" si="264"/>
        <v>4</v>
      </c>
      <c r="H876" t="str">
        <f t="shared" si="265"/>
        <v/>
      </c>
      <c r="I876" t="str">
        <f t="shared" si="266"/>
        <v/>
      </c>
      <c r="J876" t="str">
        <f t="shared" si="267"/>
        <v/>
      </c>
      <c r="K876" t="str">
        <f t="shared" si="268"/>
        <v/>
      </c>
      <c r="L876" t="str">
        <f t="shared" si="269"/>
        <v/>
      </c>
      <c r="M876" t="str">
        <f t="shared" si="270"/>
        <v/>
      </c>
      <c r="N876" t="str">
        <f t="shared" si="271"/>
        <v/>
      </c>
      <c r="O876" t="str">
        <f t="shared" si="272"/>
        <v/>
      </c>
      <c r="P876" t="str">
        <f t="shared" si="273"/>
        <v/>
      </c>
      <c r="Q876" t="str">
        <f t="shared" si="274"/>
        <v/>
      </c>
      <c r="R876" t="str">
        <f t="shared" si="275"/>
        <v/>
      </c>
      <c r="S876" t="str">
        <f t="shared" si="276"/>
        <v/>
      </c>
      <c r="T876" t="str">
        <f t="shared" si="277"/>
        <v/>
      </c>
      <c r="U876" t="str">
        <f t="shared" si="278"/>
        <v/>
      </c>
      <c r="V876" t="str">
        <f t="shared" si="279"/>
        <v/>
      </c>
      <c r="W876" t="str">
        <f t="shared" si="262"/>
        <v xml:space="preserve">              </v>
      </c>
    </row>
    <row r="877" spans="1:23" customFormat="1" hidden="1">
      <c r="A877" t="b">
        <f t="shared" si="261"/>
        <v>0</v>
      </c>
      <c r="B877">
        <f t="shared" si="263"/>
        <v>876</v>
      </c>
      <c r="C877" t="s">
        <v>852</v>
      </c>
      <c r="D877" t="s">
        <v>868</v>
      </c>
      <c r="E877">
        <f t="shared" si="280"/>
        <v>48</v>
      </c>
      <c r="G877">
        <f t="shared" si="264"/>
        <v>5</v>
      </c>
      <c r="H877" t="str">
        <f t="shared" si="265"/>
        <v/>
      </c>
      <c r="I877" t="str">
        <f t="shared" si="266"/>
        <v/>
      </c>
      <c r="J877" t="str">
        <f t="shared" si="267"/>
        <v/>
      </c>
      <c r="K877" t="str">
        <f t="shared" si="268"/>
        <v/>
      </c>
      <c r="L877" t="str">
        <f t="shared" si="269"/>
        <v/>
      </c>
      <c r="M877" t="str">
        <f t="shared" si="270"/>
        <v/>
      </c>
      <c r="N877" t="str">
        <f t="shared" si="271"/>
        <v/>
      </c>
      <c r="O877" t="str">
        <f t="shared" si="272"/>
        <v/>
      </c>
      <c r="P877" t="str">
        <f t="shared" si="273"/>
        <v/>
      </c>
      <c r="Q877" t="str">
        <f t="shared" si="274"/>
        <v/>
      </c>
      <c r="R877" t="str">
        <f t="shared" si="275"/>
        <v/>
      </c>
      <c r="S877" t="str">
        <f t="shared" si="276"/>
        <v/>
      </c>
      <c r="T877" t="str">
        <f t="shared" si="277"/>
        <v/>
      </c>
      <c r="U877" t="str">
        <f t="shared" si="278"/>
        <v/>
      </c>
      <c r="V877" t="str">
        <f t="shared" si="279"/>
        <v/>
      </c>
      <c r="W877" t="str">
        <f t="shared" si="262"/>
        <v xml:space="preserve">              </v>
      </c>
    </row>
    <row r="878" spans="1:23" customFormat="1" hidden="1">
      <c r="A878" t="b">
        <f t="shared" si="261"/>
        <v>0</v>
      </c>
      <c r="B878">
        <f t="shared" si="263"/>
        <v>877</v>
      </c>
      <c r="C878" t="s">
        <v>852</v>
      </c>
      <c r="D878" t="s">
        <v>869</v>
      </c>
      <c r="E878">
        <f t="shared" si="280"/>
        <v>46</v>
      </c>
      <c r="G878">
        <f t="shared" si="264"/>
        <v>6</v>
      </c>
      <c r="H878" t="str">
        <f t="shared" si="265"/>
        <v/>
      </c>
      <c r="I878" t="str">
        <f t="shared" si="266"/>
        <v/>
      </c>
      <c r="J878" t="str">
        <f t="shared" si="267"/>
        <v/>
      </c>
      <c r="K878" t="str">
        <f t="shared" si="268"/>
        <v/>
      </c>
      <c r="L878" t="str">
        <f t="shared" si="269"/>
        <v/>
      </c>
      <c r="M878" t="str">
        <f t="shared" si="270"/>
        <v/>
      </c>
      <c r="N878" t="str">
        <f t="shared" si="271"/>
        <v/>
      </c>
      <c r="O878" t="str">
        <f t="shared" si="272"/>
        <v/>
      </c>
      <c r="P878" t="str">
        <f t="shared" si="273"/>
        <v/>
      </c>
      <c r="Q878" t="str">
        <f t="shared" si="274"/>
        <v/>
      </c>
      <c r="R878" t="str">
        <f t="shared" si="275"/>
        <v/>
      </c>
      <c r="S878" t="str">
        <f t="shared" si="276"/>
        <v/>
      </c>
      <c r="T878" t="str">
        <f t="shared" si="277"/>
        <v/>
      </c>
      <c r="U878" t="str">
        <f t="shared" si="278"/>
        <v/>
      </c>
      <c r="V878" t="str">
        <f t="shared" si="279"/>
        <v/>
      </c>
      <c r="W878" t="str">
        <f t="shared" si="262"/>
        <v xml:space="preserve">              </v>
      </c>
    </row>
    <row r="879" spans="1:23" customFormat="1" hidden="1">
      <c r="A879" t="b">
        <f t="shared" si="261"/>
        <v>0</v>
      </c>
      <c r="B879">
        <f t="shared" si="263"/>
        <v>878</v>
      </c>
      <c r="C879" t="s">
        <v>852</v>
      </c>
      <c r="D879" t="s">
        <v>870</v>
      </c>
      <c r="E879">
        <f t="shared" si="280"/>
        <v>51</v>
      </c>
      <c r="G879">
        <f t="shared" si="264"/>
        <v>7</v>
      </c>
      <c r="H879" t="str">
        <f t="shared" si="265"/>
        <v/>
      </c>
      <c r="I879" t="str">
        <f t="shared" si="266"/>
        <v/>
      </c>
      <c r="J879" t="str">
        <f t="shared" si="267"/>
        <v/>
      </c>
      <c r="K879" t="str">
        <f t="shared" si="268"/>
        <v/>
      </c>
      <c r="L879" t="str">
        <f t="shared" si="269"/>
        <v/>
      </c>
      <c r="M879" t="str">
        <f t="shared" si="270"/>
        <v/>
      </c>
      <c r="N879" t="str">
        <f t="shared" si="271"/>
        <v/>
      </c>
      <c r="O879" t="str">
        <f t="shared" si="272"/>
        <v/>
      </c>
      <c r="P879" t="str">
        <f t="shared" si="273"/>
        <v/>
      </c>
      <c r="Q879" t="str">
        <f t="shared" si="274"/>
        <v/>
      </c>
      <c r="R879" t="str">
        <f t="shared" si="275"/>
        <v/>
      </c>
      <c r="S879" t="str">
        <f t="shared" si="276"/>
        <v/>
      </c>
      <c r="T879" t="str">
        <f t="shared" si="277"/>
        <v/>
      </c>
      <c r="U879" t="str">
        <f t="shared" si="278"/>
        <v/>
      </c>
      <c r="V879" t="str">
        <f t="shared" si="279"/>
        <v/>
      </c>
      <c r="W879" t="str">
        <f t="shared" si="262"/>
        <v xml:space="preserve">              </v>
      </c>
    </row>
    <row r="880" spans="1:23" hidden="1">
      <c r="A880" s="71" t="b">
        <f t="shared" si="261"/>
        <v>0</v>
      </c>
      <c r="B880" s="71">
        <f t="shared" si="263"/>
        <v>879</v>
      </c>
      <c r="C880" s="71" t="s">
        <v>852</v>
      </c>
      <c r="D880" s="71" t="s">
        <v>871</v>
      </c>
      <c r="E880">
        <f t="shared" si="280"/>
        <v>9</v>
      </c>
      <c r="F880">
        <v>1</v>
      </c>
      <c r="G880">
        <f t="shared" si="264"/>
        <v>1</v>
      </c>
      <c r="H880" t="str">
        <f t="shared" si="265"/>
        <v>Checklist</v>
      </c>
      <c r="I880" t="str">
        <f t="shared" si="266"/>
        <v>A simple approach to ensure that work is</v>
      </c>
      <c r="J880" t="str">
        <f t="shared" si="267"/>
        <v>completed according to the quality policy.</v>
      </c>
      <c r="K880" t="str">
        <f t="shared" si="268"/>
        <v/>
      </c>
      <c r="L880" t="str">
        <f t="shared" si="269"/>
        <v/>
      </c>
      <c r="M880" t="str">
        <f t="shared" si="270"/>
        <v/>
      </c>
      <c r="N880" t="str">
        <f t="shared" si="271"/>
        <v/>
      </c>
      <c r="O880" t="str">
        <f t="shared" si="272"/>
        <v/>
      </c>
      <c r="P880" t="str">
        <f t="shared" si="273"/>
        <v/>
      </c>
      <c r="Q880" t="str">
        <f t="shared" si="274"/>
        <v/>
      </c>
      <c r="R880" t="str">
        <f t="shared" si="275"/>
        <v/>
      </c>
      <c r="S880" t="str">
        <f t="shared" si="276"/>
        <v/>
      </c>
      <c r="T880" t="str">
        <f t="shared" si="277"/>
        <v/>
      </c>
      <c r="U880" t="str">
        <f t="shared" si="278"/>
        <v/>
      </c>
      <c r="V880" t="str">
        <f t="shared" si="279"/>
        <v/>
      </c>
      <c r="W880" s="71" t="str">
        <f>CONCATENATE(H880," ",I880," ",J880," ",K880," ",L880," ",M880," ",N880," ",O880," ",P880," ",Q880," ",R880," ",S880," ",T880," ",U880," ",V880)</f>
        <v xml:space="preserve">Checklist A simple approach to ensure that work is completed according to the quality policy.            </v>
      </c>
    </row>
    <row r="881" spans="1:23" customFormat="1" hidden="1">
      <c r="A881" t="b">
        <f t="shared" si="261"/>
        <v>0</v>
      </c>
      <c r="B881">
        <f t="shared" si="263"/>
        <v>880</v>
      </c>
      <c r="C881" t="s">
        <v>852</v>
      </c>
      <c r="D881" t="s">
        <v>872</v>
      </c>
      <c r="E881">
        <f t="shared" si="280"/>
        <v>40</v>
      </c>
      <c r="G881">
        <f t="shared" si="264"/>
        <v>2</v>
      </c>
      <c r="H881" t="str">
        <f t="shared" si="265"/>
        <v/>
      </c>
      <c r="I881" t="str">
        <f t="shared" si="266"/>
        <v/>
      </c>
      <c r="J881" t="str">
        <f t="shared" si="267"/>
        <v/>
      </c>
      <c r="K881" t="str">
        <f t="shared" si="268"/>
        <v/>
      </c>
      <c r="L881" t="str">
        <f t="shared" si="269"/>
        <v/>
      </c>
      <c r="M881" t="str">
        <f t="shared" si="270"/>
        <v/>
      </c>
      <c r="N881" t="str">
        <f t="shared" si="271"/>
        <v/>
      </c>
      <c r="O881" t="str">
        <f t="shared" si="272"/>
        <v/>
      </c>
      <c r="P881" t="str">
        <f t="shared" si="273"/>
        <v/>
      </c>
      <c r="Q881" t="str">
        <f t="shared" si="274"/>
        <v/>
      </c>
      <c r="R881" t="str">
        <f t="shared" si="275"/>
        <v/>
      </c>
      <c r="S881" t="str">
        <f t="shared" si="276"/>
        <v/>
      </c>
      <c r="T881" t="str">
        <f t="shared" si="277"/>
        <v/>
      </c>
      <c r="U881" t="str">
        <f t="shared" si="278"/>
        <v/>
      </c>
      <c r="V881" t="str">
        <f t="shared" si="279"/>
        <v/>
      </c>
      <c r="W881" t="str">
        <f t="shared" si="262"/>
        <v xml:space="preserve">              </v>
      </c>
    </row>
    <row r="882" spans="1:23" customFormat="1" hidden="1">
      <c r="A882" t="b">
        <f t="shared" si="261"/>
        <v>0</v>
      </c>
      <c r="B882">
        <f t="shared" si="263"/>
        <v>881</v>
      </c>
      <c r="C882" t="s">
        <v>852</v>
      </c>
      <c r="D882" t="s">
        <v>873</v>
      </c>
      <c r="E882">
        <f t="shared" si="280"/>
        <v>42</v>
      </c>
      <c r="G882">
        <f t="shared" si="264"/>
        <v>3</v>
      </c>
      <c r="H882" t="str">
        <f t="shared" si="265"/>
        <v/>
      </c>
      <c r="I882" t="str">
        <f t="shared" si="266"/>
        <v/>
      </c>
      <c r="J882" t="str">
        <f t="shared" si="267"/>
        <v/>
      </c>
      <c r="K882" t="str">
        <f t="shared" si="268"/>
        <v/>
      </c>
      <c r="L882" t="str">
        <f t="shared" si="269"/>
        <v/>
      </c>
      <c r="M882" t="str">
        <f t="shared" si="270"/>
        <v/>
      </c>
      <c r="N882" t="str">
        <f t="shared" si="271"/>
        <v/>
      </c>
      <c r="O882" t="str">
        <f t="shared" si="272"/>
        <v/>
      </c>
      <c r="P882" t="str">
        <f t="shared" si="273"/>
        <v/>
      </c>
      <c r="Q882" t="str">
        <f t="shared" si="274"/>
        <v/>
      </c>
      <c r="R882" t="str">
        <f t="shared" si="275"/>
        <v/>
      </c>
      <c r="S882" t="str">
        <f t="shared" si="276"/>
        <v/>
      </c>
      <c r="T882" t="str">
        <f t="shared" si="277"/>
        <v/>
      </c>
      <c r="U882" t="str">
        <f t="shared" si="278"/>
        <v/>
      </c>
      <c r="V882" t="str">
        <f t="shared" si="279"/>
        <v/>
      </c>
      <c r="W882" t="str">
        <f t="shared" si="262"/>
        <v xml:space="preserve">              </v>
      </c>
    </row>
    <row r="883" spans="1:23" hidden="1">
      <c r="A883" s="71" t="b">
        <f t="shared" si="261"/>
        <v>0</v>
      </c>
      <c r="B883" s="71">
        <f t="shared" si="263"/>
        <v>882</v>
      </c>
      <c r="C883" s="71" t="s">
        <v>852</v>
      </c>
      <c r="D883" s="71" t="s">
        <v>874</v>
      </c>
      <c r="E883">
        <f t="shared" si="280"/>
        <v>13</v>
      </c>
      <c r="F883">
        <v>1</v>
      </c>
      <c r="G883">
        <f t="shared" si="264"/>
        <v>1</v>
      </c>
      <c r="H883" t="str">
        <f t="shared" si="265"/>
        <v>Control chart</v>
      </c>
      <c r="I883" t="str">
        <f t="shared" si="266"/>
        <v>A quality control chart that maps the</v>
      </c>
      <c r="J883" t="str">
        <f t="shared" si="267"/>
        <v>performance of project work over time.</v>
      </c>
      <c r="K883" t="str">
        <f t="shared" si="268"/>
        <v/>
      </c>
      <c r="L883" t="str">
        <f t="shared" si="269"/>
        <v/>
      </c>
      <c r="M883" t="str">
        <f t="shared" si="270"/>
        <v/>
      </c>
      <c r="N883" t="str">
        <f t="shared" si="271"/>
        <v/>
      </c>
      <c r="O883" t="str">
        <f t="shared" si="272"/>
        <v/>
      </c>
      <c r="P883" t="str">
        <f t="shared" si="273"/>
        <v/>
      </c>
      <c r="Q883" t="str">
        <f t="shared" si="274"/>
        <v/>
      </c>
      <c r="R883" t="str">
        <f t="shared" si="275"/>
        <v/>
      </c>
      <c r="S883" t="str">
        <f t="shared" si="276"/>
        <v/>
      </c>
      <c r="T883" t="str">
        <f t="shared" si="277"/>
        <v/>
      </c>
      <c r="U883" t="str">
        <f t="shared" si="278"/>
        <v/>
      </c>
      <c r="V883" t="str">
        <f t="shared" si="279"/>
        <v/>
      </c>
      <c r="W883" s="71" t="str">
        <f>CONCATENATE(H883," ",I883," ",J883," ",K883," ",L883," ",M883," ",N883," ",O883," ",P883," ",Q883," ",R883," ",S883," ",T883," ",U883," ",V883)</f>
        <v xml:space="preserve">Control chart A quality control chart that maps the performance of project work over time.            </v>
      </c>
    </row>
    <row r="884" spans="1:23" customFormat="1" hidden="1">
      <c r="A884" t="b">
        <f t="shared" si="261"/>
        <v>0</v>
      </c>
      <c r="B884">
        <f t="shared" si="263"/>
        <v>883</v>
      </c>
      <c r="C884" t="s">
        <v>852</v>
      </c>
      <c r="D884" t="s">
        <v>875</v>
      </c>
      <c r="E884">
        <f t="shared" si="280"/>
        <v>37</v>
      </c>
      <c r="G884">
        <f t="shared" si="264"/>
        <v>2</v>
      </c>
      <c r="H884" t="str">
        <f t="shared" si="265"/>
        <v/>
      </c>
      <c r="I884" t="str">
        <f t="shared" si="266"/>
        <v/>
      </c>
      <c r="J884" t="str">
        <f t="shared" si="267"/>
        <v/>
      </c>
      <c r="K884" t="str">
        <f t="shared" si="268"/>
        <v/>
      </c>
      <c r="L884" t="str">
        <f t="shared" si="269"/>
        <v/>
      </c>
      <c r="M884" t="str">
        <f t="shared" si="270"/>
        <v/>
      </c>
      <c r="N884" t="str">
        <f t="shared" si="271"/>
        <v/>
      </c>
      <c r="O884" t="str">
        <f t="shared" si="272"/>
        <v/>
      </c>
      <c r="P884" t="str">
        <f t="shared" si="273"/>
        <v/>
      </c>
      <c r="Q884" t="str">
        <f t="shared" si="274"/>
        <v/>
      </c>
      <c r="R884" t="str">
        <f t="shared" si="275"/>
        <v/>
      </c>
      <c r="S884" t="str">
        <f t="shared" si="276"/>
        <v/>
      </c>
      <c r="T884" t="str">
        <f t="shared" si="277"/>
        <v/>
      </c>
      <c r="U884" t="str">
        <f t="shared" si="278"/>
        <v/>
      </c>
      <c r="V884" t="str">
        <f t="shared" si="279"/>
        <v/>
      </c>
      <c r="W884" t="str">
        <f t="shared" si="262"/>
        <v xml:space="preserve">              </v>
      </c>
    </row>
    <row r="885" spans="1:23" customFormat="1" hidden="1">
      <c r="A885" t="b">
        <f t="shared" si="261"/>
        <v>0</v>
      </c>
      <c r="B885">
        <f t="shared" si="263"/>
        <v>884</v>
      </c>
      <c r="C885" t="s">
        <v>852</v>
      </c>
      <c r="D885" t="s">
        <v>876</v>
      </c>
      <c r="E885">
        <f t="shared" si="280"/>
        <v>38</v>
      </c>
      <c r="G885">
        <f t="shared" si="264"/>
        <v>3</v>
      </c>
      <c r="H885" t="str">
        <f t="shared" si="265"/>
        <v/>
      </c>
      <c r="I885" t="str">
        <f t="shared" si="266"/>
        <v/>
      </c>
      <c r="J885" t="str">
        <f t="shared" si="267"/>
        <v/>
      </c>
      <c r="K885" t="str">
        <f t="shared" si="268"/>
        <v/>
      </c>
      <c r="L885" t="str">
        <f t="shared" si="269"/>
        <v/>
      </c>
      <c r="M885" t="str">
        <f t="shared" si="270"/>
        <v/>
      </c>
      <c r="N885" t="str">
        <f t="shared" si="271"/>
        <v/>
      </c>
      <c r="O885" t="str">
        <f t="shared" si="272"/>
        <v/>
      </c>
      <c r="P885" t="str">
        <f t="shared" si="273"/>
        <v/>
      </c>
      <c r="Q885" t="str">
        <f t="shared" si="274"/>
        <v/>
      </c>
      <c r="R885" t="str">
        <f t="shared" si="275"/>
        <v/>
      </c>
      <c r="S885" t="str">
        <f t="shared" si="276"/>
        <v/>
      </c>
      <c r="T885" t="str">
        <f t="shared" si="277"/>
        <v/>
      </c>
      <c r="U885" t="str">
        <f t="shared" si="278"/>
        <v/>
      </c>
      <c r="V885" t="str">
        <f t="shared" si="279"/>
        <v/>
      </c>
      <c r="W885" t="str">
        <f t="shared" si="262"/>
        <v xml:space="preserve">              </v>
      </c>
    </row>
    <row r="886" spans="1:23" hidden="1">
      <c r="A886" s="71" t="b">
        <f t="shared" si="261"/>
        <v>0</v>
      </c>
      <c r="B886" s="71">
        <f t="shared" si="263"/>
        <v>885</v>
      </c>
      <c r="C886" s="71" t="s">
        <v>852</v>
      </c>
      <c r="D886" s="71" t="s">
        <v>877</v>
      </c>
      <c r="E886">
        <f t="shared" si="280"/>
        <v>15</v>
      </c>
      <c r="F886">
        <v>1</v>
      </c>
      <c r="G886">
        <f t="shared" si="264"/>
        <v>1</v>
      </c>
      <c r="H886" t="str">
        <f t="shared" si="265"/>
        <v>Control quality</v>
      </c>
      <c r="I886" t="str">
        <f t="shared" si="266"/>
        <v>An inspection-driven process that measures work</v>
      </c>
      <c r="J886" t="str">
        <f t="shared" si="267"/>
        <v>results to confirm that the project is meeting the</v>
      </c>
      <c r="K886" t="str">
        <f t="shared" si="268"/>
        <v>relevant quality standards.</v>
      </c>
      <c r="L886" t="str">
        <f t="shared" si="269"/>
        <v/>
      </c>
      <c r="M886" t="str">
        <f t="shared" si="270"/>
        <v/>
      </c>
      <c r="N886" t="str">
        <f t="shared" si="271"/>
        <v/>
      </c>
      <c r="O886" t="str">
        <f t="shared" si="272"/>
        <v/>
      </c>
      <c r="P886" t="str">
        <f t="shared" si="273"/>
        <v/>
      </c>
      <c r="Q886" t="str">
        <f t="shared" si="274"/>
        <v/>
      </c>
      <c r="R886" t="str">
        <f t="shared" si="275"/>
        <v/>
      </c>
      <c r="S886" t="str">
        <f t="shared" si="276"/>
        <v/>
      </c>
      <c r="T886" t="str">
        <f t="shared" si="277"/>
        <v/>
      </c>
      <c r="U886" t="str">
        <f t="shared" si="278"/>
        <v/>
      </c>
      <c r="V886" t="str">
        <f t="shared" si="279"/>
        <v/>
      </c>
      <c r="W886" s="71" t="str">
        <f>CONCATENATE(H886," ",I886," ",J886," ",K886," ",L886," ",M886," ",N886," ",O886," ",P886," ",Q886," ",R886," ",S886," ",T886," ",U886," ",V886)</f>
        <v xml:space="preserve">Control quality An inspection-driven process that measures work results to confirm that the project is meeting the relevant quality standards.           </v>
      </c>
    </row>
    <row r="887" spans="1:23" customFormat="1" hidden="1">
      <c r="A887" t="b">
        <f t="shared" si="261"/>
        <v>0</v>
      </c>
      <c r="B887">
        <f t="shared" si="263"/>
        <v>886</v>
      </c>
      <c r="C887" t="s">
        <v>852</v>
      </c>
      <c r="D887" t="s">
        <v>878</v>
      </c>
      <c r="E887">
        <f t="shared" si="280"/>
        <v>47</v>
      </c>
      <c r="G887">
        <f t="shared" si="264"/>
        <v>2</v>
      </c>
      <c r="H887" t="str">
        <f t="shared" si="265"/>
        <v/>
      </c>
      <c r="I887" t="str">
        <f t="shared" si="266"/>
        <v/>
      </c>
      <c r="J887" t="str">
        <f t="shared" si="267"/>
        <v/>
      </c>
      <c r="K887" t="str">
        <f t="shared" si="268"/>
        <v/>
      </c>
      <c r="L887" t="str">
        <f t="shared" si="269"/>
        <v/>
      </c>
      <c r="M887" t="str">
        <f t="shared" si="270"/>
        <v/>
      </c>
      <c r="N887" t="str">
        <f t="shared" si="271"/>
        <v/>
      </c>
      <c r="O887" t="str">
        <f t="shared" si="272"/>
        <v/>
      </c>
      <c r="P887" t="str">
        <f t="shared" si="273"/>
        <v/>
      </c>
      <c r="Q887" t="str">
        <f t="shared" si="274"/>
        <v/>
      </c>
      <c r="R887" t="str">
        <f t="shared" si="275"/>
        <v/>
      </c>
      <c r="S887" t="str">
        <f t="shared" si="276"/>
        <v/>
      </c>
      <c r="T887" t="str">
        <f t="shared" si="277"/>
        <v/>
      </c>
      <c r="U887" t="str">
        <f t="shared" si="278"/>
        <v/>
      </c>
      <c r="V887" t="str">
        <f t="shared" si="279"/>
        <v/>
      </c>
      <c r="W887" t="str">
        <f t="shared" si="262"/>
        <v xml:space="preserve">              </v>
      </c>
    </row>
    <row r="888" spans="1:23" customFormat="1" hidden="1">
      <c r="A888" t="b">
        <f t="shared" si="261"/>
        <v>0</v>
      </c>
      <c r="B888">
        <f t="shared" si="263"/>
        <v>887</v>
      </c>
      <c r="C888" t="s">
        <v>852</v>
      </c>
      <c r="D888" t="s">
        <v>879</v>
      </c>
      <c r="E888">
        <f t="shared" si="280"/>
        <v>50</v>
      </c>
      <c r="G888">
        <f t="shared" si="264"/>
        <v>3</v>
      </c>
      <c r="H888" t="str">
        <f t="shared" si="265"/>
        <v/>
      </c>
      <c r="I888" t="str">
        <f t="shared" si="266"/>
        <v/>
      </c>
      <c r="J888" t="str">
        <f t="shared" si="267"/>
        <v/>
      </c>
      <c r="K888" t="str">
        <f t="shared" si="268"/>
        <v/>
      </c>
      <c r="L888" t="str">
        <f t="shared" si="269"/>
        <v/>
      </c>
      <c r="M888" t="str">
        <f t="shared" si="270"/>
        <v/>
      </c>
      <c r="N888" t="str">
        <f t="shared" si="271"/>
        <v/>
      </c>
      <c r="O888" t="str">
        <f t="shared" si="272"/>
        <v/>
      </c>
      <c r="P888" t="str">
        <f t="shared" si="273"/>
        <v/>
      </c>
      <c r="Q888" t="str">
        <f t="shared" si="274"/>
        <v/>
      </c>
      <c r="R888" t="str">
        <f t="shared" si="275"/>
        <v/>
      </c>
      <c r="S888" t="str">
        <f t="shared" si="276"/>
        <v/>
      </c>
      <c r="T888" t="str">
        <f t="shared" si="277"/>
        <v/>
      </c>
      <c r="U888" t="str">
        <f t="shared" si="278"/>
        <v/>
      </c>
      <c r="V888" t="str">
        <f t="shared" si="279"/>
        <v/>
      </c>
      <c r="W888" t="str">
        <f t="shared" si="262"/>
        <v xml:space="preserve">              </v>
      </c>
    </row>
    <row r="889" spans="1:23" customFormat="1" hidden="1">
      <c r="A889" t="b">
        <f t="shared" si="261"/>
        <v>0</v>
      </c>
      <c r="B889">
        <f t="shared" si="263"/>
        <v>888</v>
      </c>
      <c r="C889" t="s">
        <v>852</v>
      </c>
      <c r="D889" t="s">
        <v>880</v>
      </c>
      <c r="E889">
        <f t="shared" si="280"/>
        <v>27</v>
      </c>
      <c r="G889">
        <f t="shared" si="264"/>
        <v>4</v>
      </c>
      <c r="H889" t="str">
        <f t="shared" si="265"/>
        <v/>
      </c>
      <c r="I889" t="str">
        <f t="shared" si="266"/>
        <v/>
      </c>
      <c r="J889" t="str">
        <f t="shared" si="267"/>
        <v/>
      </c>
      <c r="K889" t="str">
        <f t="shared" si="268"/>
        <v/>
      </c>
      <c r="L889" t="str">
        <f t="shared" si="269"/>
        <v/>
      </c>
      <c r="M889" t="str">
        <f t="shared" si="270"/>
        <v/>
      </c>
      <c r="N889" t="str">
        <f t="shared" si="271"/>
        <v/>
      </c>
      <c r="O889" t="str">
        <f t="shared" si="272"/>
        <v/>
      </c>
      <c r="P889" t="str">
        <f t="shared" si="273"/>
        <v/>
      </c>
      <c r="Q889" t="str">
        <f t="shared" si="274"/>
        <v/>
      </c>
      <c r="R889" t="str">
        <f t="shared" si="275"/>
        <v/>
      </c>
      <c r="S889" t="str">
        <f t="shared" si="276"/>
        <v/>
      </c>
      <c r="T889" t="str">
        <f t="shared" si="277"/>
        <v/>
      </c>
      <c r="U889" t="str">
        <f t="shared" si="278"/>
        <v/>
      </c>
      <c r="V889" t="str">
        <f t="shared" si="279"/>
        <v/>
      </c>
      <c r="W889" t="str">
        <f t="shared" si="262"/>
        <v xml:space="preserve">              </v>
      </c>
    </row>
    <row r="890" spans="1:23" hidden="1">
      <c r="A890" s="71" t="b">
        <f t="shared" si="261"/>
        <v>0</v>
      </c>
      <c r="B890" s="71">
        <f t="shared" si="263"/>
        <v>889</v>
      </c>
      <c r="C890" s="71" t="s">
        <v>852</v>
      </c>
      <c r="D890" s="71" t="s">
        <v>881</v>
      </c>
      <c r="E890">
        <f t="shared" si="280"/>
        <v>19</v>
      </c>
      <c r="F890">
        <v>1</v>
      </c>
      <c r="G890">
        <f t="shared" si="264"/>
        <v>1</v>
      </c>
      <c r="H890" t="str">
        <f t="shared" si="265"/>
        <v>Cost of conformance</v>
      </c>
      <c r="I890" t="str">
        <f t="shared" si="266"/>
        <v>This is the cost associated with the monies spent</v>
      </c>
      <c r="J890" t="str">
        <f t="shared" si="267"/>
        <v>to attain the expected level of quality. It is also</v>
      </c>
      <c r="K890" t="str">
        <f t="shared" si="268"/>
        <v>known as the cost of quality.</v>
      </c>
      <c r="L890" t="str">
        <f t="shared" si="269"/>
        <v/>
      </c>
      <c r="M890" t="str">
        <f t="shared" si="270"/>
        <v/>
      </c>
      <c r="N890" t="str">
        <f t="shared" si="271"/>
        <v/>
      </c>
      <c r="O890" t="str">
        <f t="shared" si="272"/>
        <v/>
      </c>
      <c r="P890" t="str">
        <f t="shared" si="273"/>
        <v/>
      </c>
      <c r="Q890" t="str">
        <f t="shared" si="274"/>
        <v/>
      </c>
      <c r="R890" t="str">
        <f t="shared" si="275"/>
        <v/>
      </c>
      <c r="S890" t="str">
        <f t="shared" si="276"/>
        <v/>
      </c>
      <c r="T890" t="str">
        <f t="shared" si="277"/>
        <v/>
      </c>
      <c r="U890" t="str">
        <f t="shared" si="278"/>
        <v/>
      </c>
      <c r="V890" t="str">
        <f t="shared" si="279"/>
        <v/>
      </c>
      <c r="W890" s="71" t="str">
        <f>CONCATENATE(H890," ",I890," ",J890," ",K890," ",L890," ",M890," ",N890," ",O890," ",P890," ",Q890," ",R890," ",S890," ",T890," ",U890," ",V890)</f>
        <v xml:space="preserve">Cost of conformance This is the cost associated with the monies spent to attain the expected level of quality. It is also known as the cost of quality.           </v>
      </c>
    </row>
    <row r="891" spans="1:23" customFormat="1" hidden="1">
      <c r="A891" t="b">
        <f t="shared" si="261"/>
        <v>0</v>
      </c>
      <c r="B891">
        <f t="shared" si="263"/>
        <v>890</v>
      </c>
      <c r="C891" t="s">
        <v>852</v>
      </c>
      <c r="D891" t="s">
        <v>882</v>
      </c>
      <c r="E891">
        <f t="shared" si="280"/>
        <v>49</v>
      </c>
      <c r="G891">
        <f t="shared" si="264"/>
        <v>2</v>
      </c>
      <c r="H891" t="str">
        <f t="shared" si="265"/>
        <v/>
      </c>
      <c r="I891" t="str">
        <f t="shared" si="266"/>
        <v/>
      </c>
      <c r="J891" t="str">
        <f t="shared" si="267"/>
        <v/>
      </c>
      <c r="K891" t="str">
        <f t="shared" si="268"/>
        <v/>
      </c>
      <c r="L891" t="str">
        <f t="shared" si="269"/>
        <v/>
      </c>
      <c r="M891" t="str">
        <f t="shared" si="270"/>
        <v/>
      </c>
      <c r="N891" t="str">
        <f t="shared" si="271"/>
        <v/>
      </c>
      <c r="O891" t="str">
        <f t="shared" si="272"/>
        <v/>
      </c>
      <c r="P891" t="str">
        <f t="shared" si="273"/>
        <v/>
      </c>
      <c r="Q891" t="str">
        <f t="shared" si="274"/>
        <v/>
      </c>
      <c r="R891" t="str">
        <f t="shared" si="275"/>
        <v/>
      </c>
      <c r="S891" t="str">
        <f t="shared" si="276"/>
        <v/>
      </c>
      <c r="T891" t="str">
        <f t="shared" si="277"/>
        <v/>
      </c>
      <c r="U891" t="str">
        <f t="shared" si="278"/>
        <v/>
      </c>
      <c r="V891" t="str">
        <f t="shared" si="279"/>
        <v/>
      </c>
      <c r="W891" t="str">
        <f t="shared" si="262"/>
        <v xml:space="preserve">              </v>
      </c>
    </row>
    <row r="892" spans="1:23" customFormat="1" hidden="1">
      <c r="A892" t="b">
        <f t="shared" si="261"/>
        <v>0</v>
      </c>
      <c r="B892">
        <f t="shared" si="263"/>
        <v>891</v>
      </c>
      <c r="C892" t="s">
        <v>852</v>
      </c>
      <c r="D892" t="s">
        <v>883</v>
      </c>
      <c r="E892">
        <f t="shared" si="280"/>
        <v>51</v>
      </c>
      <c r="G892">
        <f t="shared" si="264"/>
        <v>3</v>
      </c>
      <c r="H892" t="str">
        <f t="shared" si="265"/>
        <v/>
      </c>
      <c r="I892" t="str">
        <f t="shared" si="266"/>
        <v/>
      </c>
      <c r="J892" t="str">
        <f t="shared" si="267"/>
        <v/>
      </c>
      <c r="K892" t="str">
        <f t="shared" si="268"/>
        <v/>
      </c>
      <c r="L892" t="str">
        <f t="shared" si="269"/>
        <v/>
      </c>
      <c r="M892" t="str">
        <f t="shared" si="270"/>
        <v/>
      </c>
      <c r="N892" t="str">
        <f t="shared" si="271"/>
        <v/>
      </c>
      <c r="O892" t="str">
        <f t="shared" si="272"/>
        <v/>
      </c>
      <c r="P892" t="str">
        <f t="shared" si="273"/>
        <v/>
      </c>
      <c r="Q892" t="str">
        <f t="shared" si="274"/>
        <v/>
      </c>
      <c r="R892" t="str">
        <f t="shared" si="275"/>
        <v/>
      </c>
      <c r="S892" t="str">
        <f t="shared" si="276"/>
        <v/>
      </c>
      <c r="T892" t="str">
        <f t="shared" si="277"/>
        <v/>
      </c>
      <c r="U892" t="str">
        <f t="shared" si="278"/>
        <v/>
      </c>
      <c r="V892" t="str">
        <f t="shared" si="279"/>
        <v/>
      </c>
      <c r="W892" t="str">
        <f t="shared" si="262"/>
        <v xml:space="preserve">              </v>
      </c>
    </row>
    <row r="893" spans="1:23" customFormat="1" hidden="1">
      <c r="A893" t="b">
        <f t="shared" si="261"/>
        <v>0</v>
      </c>
      <c r="B893">
        <f t="shared" si="263"/>
        <v>892</v>
      </c>
      <c r="C893" t="s">
        <v>852</v>
      </c>
      <c r="D893" t="s">
        <v>884</v>
      </c>
      <c r="E893">
        <f t="shared" si="280"/>
        <v>29</v>
      </c>
      <c r="G893">
        <f t="shared" si="264"/>
        <v>4</v>
      </c>
      <c r="H893" t="str">
        <f t="shared" si="265"/>
        <v/>
      </c>
      <c r="I893" t="str">
        <f t="shared" si="266"/>
        <v/>
      </c>
      <c r="J893" t="str">
        <f t="shared" si="267"/>
        <v/>
      </c>
      <c r="K893" t="str">
        <f t="shared" si="268"/>
        <v/>
      </c>
      <c r="L893" t="str">
        <f t="shared" si="269"/>
        <v/>
      </c>
      <c r="M893" t="str">
        <f t="shared" si="270"/>
        <v/>
      </c>
      <c r="N893" t="str">
        <f t="shared" si="271"/>
        <v/>
      </c>
      <c r="O893" t="str">
        <f t="shared" si="272"/>
        <v/>
      </c>
      <c r="P893" t="str">
        <f t="shared" si="273"/>
        <v/>
      </c>
      <c r="Q893" t="str">
        <f t="shared" si="274"/>
        <v/>
      </c>
      <c r="R893" t="str">
        <f t="shared" si="275"/>
        <v/>
      </c>
      <c r="S893" t="str">
        <f t="shared" si="276"/>
        <v/>
      </c>
      <c r="T893" t="str">
        <f t="shared" si="277"/>
        <v/>
      </c>
      <c r="U893" t="str">
        <f t="shared" si="278"/>
        <v/>
      </c>
      <c r="V893" t="str">
        <f t="shared" si="279"/>
        <v/>
      </c>
      <c r="W893" t="str">
        <f t="shared" si="262"/>
        <v xml:space="preserve">              </v>
      </c>
    </row>
    <row r="894" spans="1:23" hidden="1">
      <c r="A894" s="71" t="b">
        <f t="shared" si="261"/>
        <v>0</v>
      </c>
      <c r="B894" s="71">
        <f t="shared" si="263"/>
        <v>893</v>
      </c>
      <c r="C894" s="71" t="s">
        <v>852</v>
      </c>
      <c r="D894" s="71" t="s">
        <v>885</v>
      </c>
      <c r="E894">
        <f t="shared" si="280"/>
        <v>33</v>
      </c>
      <c r="F894">
        <v>1</v>
      </c>
      <c r="G894">
        <f t="shared" si="264"/>
        <v>1</v>
      </c>
      <c r="H894" t="str">
        <f t="shared" si="265"/>
        <v>Cost of nonconformance to quality</v>
      </c>
      <c r="I894" t="str">
        <f t="shared" si="266"/>
        <v>The cost associated with not satisfying quality</v>
      </c>
      <c r="J894" t="str">
        <f t="shared" si="267"/>
        <v>expectations. This is also known as the cost of</v>
      </c>
      <c r="K894" t="str">
        <f t="shared" si="268"/>
        <v>poor quality.</v>
      </c>
      <c r="L894" t="str">
        <f t="shared" si="269"/>
        <v/>
      </c>
      <c r="M894" t="str">
        <f t="shared" si="270"/>
        <v/>
      </c>
      <c r="N894" t="str">
        <f t="shared" si="271"/>
        <v/>
      </c>
      <c r="O894" t="str">
        <f t="shared" si="272"/>
        <v/>
      </c>
      <c r="P894" t="str">
        <f t="shared" si="273"/>
        <v/>
      </c>
      <c r="Q894" t="str">
        <f t="shared" si="274"/>
        <v/>
      </c>
      <c r="R894" t="str">
        <f t="shared" si="275"/>
        <v/>
      </c>
      <c r="S894" t="str">
        <f t="shared" si="276"/>
        <v/>
      </c>
      <c r="T894" t="str">
        <f t="shared" si="277"/>
        <v/>
      </c>
      <c r="U894" t="str">
        <f t="shared" si="278"/>
        <v/>
      </c>
      <c r="V894" t="str">
        <f t="shared" si="279"/>
        <v/>
      </c>
      <c r="W894" s="71" t="str">
        <f>CONCATENATE(H894," ",I894," ",J894," ",K894," ",L894," ",M894," ",N894," ",O894," ",P894," ",Q894," ",R894," ",S894," ",T894," ",U894," ",V894)</f>
        <v xml:space="preserve">Cost of nonconformance to quality The cost associated with not satisfying quality expectations. This is also known as the cost of poor quality.           </v>
      </c>
    </row>
    <row r="895" spans="1:23" customFormat="1" hidden="1">
      <c r="A895" t="b">
        <f t="shared" si="261"/>
        <v>0</v>
      </c>
      <c r="B895">
        <f t="shared" si="263"/>
        <v>894</v>
      </c>
      <c r="C895" t="s">
        <v>852</v>
      </c>
      <c r="D895" t="s">
        <v>886</v>
      </c>
      <c r="E895">
        <f t="shared" si="280"/>
        <v>47</v>
      </c>
      <c r="G895">
        <f t="shared" si="264"/>
        <v>2</v>
      </c>
      <c r="H895" t="str">
        <f t="shared" si="265"/>
        <v/>
      </c>
      <c r="I895" t="str">
        <f t="shared" si="266"/>
        <v/>
      </c>
      <c r="J895" t="str">
        <f t="shared" si="267"/>
        <v/>
      </c>
      <c r="K895" t="str">
        <f t="shared" si="268"/>
        <v/>
      </c>
      <c r="L895" t="str">
        <f t="shared" si="269"/>
        <v/>
      </c>
      <c r="M895" t="str">
        <f t="shared" si="270"/>
        <v/>
      </c>
      <c r="N895" t="str">
        <f t="shared" si="271"/>
        <v/>
      </c>
      <c r="O895" t="str">
        <f t="shared" si="272"/>
        <v/>
      </c>
      <c r="P895" t="str">
        <f t="shared" si="273"/>
        <v/>
      </c>
      <c r="Q895" t="str">
        <f t="shared" si="274"/>
        <v/>
      </c>
      <c r="R895" t="str">
        <f t="shared" si="275"/>
        <v/>
      </c>
      <c r="S895" t="str">
        <f t="shared" si="276"/>
        <v/>
      </c>
      <c r="T895" t="str">
        <f t="shared" si="277"/>
        <v/>
      </c>
      <c r="U895" t="str">
        <f t="shared" si="278"/>
        <v/>
      </c>
      <c r="V895" t="str">
        <f t="shared" si="279"/>
        <v/>
      </c>
      <c r="W895" t="str">
        <f t="shared" si="262"/>
        <v xml:space="preserve">              </v>
      </c>
    </row>
    <row r="896" spans="1:23" customFormat="1" hidden="1">
      <c r="A896" t="b">
        <f t="shared" ref="A896:A959" si="281">C896=D896</f>
        <v>0</v>
      </c>
      <c r="B896">
        <f t="shared" si="263"/>
        <v>895</v>
      </c>
      <c r="C896" t="s">
        <v>852</v>
      </c>
      <c r="D896" t="s">
        <v>887</v>
      </c>
      <c r="E896">
        <f t="shared" si="280"/>
        <v>47</v>
      </c>
      <c r="G896">
        <f t="shared" si="264"/>
        <v>3</v>
      </c>
      <c r="H896" t="str">
        <f t="shared" si="265"/>
        <v/>
      </c>
      <c r="I896" t="str">
        <f t="shared" si="266"/>
        <v/>
      </c>
      <c r="J896" t="str">
        <f t="shared" si="267"/>
        <v/>
      </c>
      <c r="K896" t="str">
        <f t="shared" si="268"/>
        <v/>
      </c>
      <c r="L896" t="str">
        <f t="shared" si="269"/>
        <v/>
      </c>
      <c r="M896" t="str">
        <f t="shared" si="270"/>
        <v/>
      </c>
      <c r="N896" t="str">
        <f t="shared" si="271"/>
        <v/>
      </c>
      <c r="O896" t="str">
        <f t="shared" si="272"/>
        <v/>
      </c>
      <c r="P896" t="str">
        <f t="shared" si="273"/>
        <v/>
      </c>
      <c r="Q896" t="str">
        <f t="shared" si="274"/>
        <v/>
      </c>
      <c r="R896" t="str">
        <f t="shared" si="275"/>
        <v/>
      </c>
      <c r="S896" t="str">
        <f t="shared" si="276"/>
        <v/>
      </c>
      <c r="T896" t="str">
        <f t="shared" si="277"/>
        <v/>
      </c>
      <c r="U896" t="str">
        <f t="shared" si="278"/>
        <v/>
      </c>
      <c r="V896" t="str">
        <f t="shared" si="279"/>
        <v/>
      </c>
      <c r="W896" t="str">
        <f t="shared" ref="W896:W959" si="282">CONCATENATE(H896," ",I896," ",J896," ",K896," ",L896," ",M896," ",N896," ",O896," ",P896," ",Q896," ",R896," ",S896," ",T896," ",U896," ",V896)</f>
        <v xml:space="preserve">              </v>
      </c>
    </row>
    <row r="897" spans="1:23" customFormat="1" hidden="1">
      <c r="A897" t="b">
        <f t="shared" si="281"/>
        <v>0</v>
      </c>
      <c r="B897">
        <f t="shared" si="263"/>
        <v>896</v>
      </c>
      <c r="C897" t="s">
        <v>852</v>
      </c>
      <c r="D897" t="s">
        <v>888</v>
      </c>
      <c r="E897">
        <f t="shared" si="280"/>
        <v>13</v>
      </c>
      <c r="G897">
        <f t="shared" si="264"/>
        <v>4</v>
      </c>
      <c r="H897" t="str">
        <f t="shared" si="265"/>
        <v/>
      </c>
      <c r="I897" t="str">
        <f t="shared" si="266"/>
        <v/>
      </c>
      <c r="J897" t="str">
        <f t="shared" si="267"/>
        <v/>
      </c>
      <c r="K897" t="str">
        <f t="shared" si="268"/>
        <v/>
      </c>
      <c r="L897" t="str">
        <f t="shared" si="269"/>
        <v/>
      </c>
      <c r="M897" t="str">
        <f t="shared" si="270"/>
        <v/>
      </c>
      <c r="N897" t="str">
        <f t="shared" si="271"/>
        <v/>
      </c>
      <c r="O897" t="str">
        <f t="shared" si="272"/>
        <v/>
      </c>
      <c r="P897" t="str">
        <f t="shared" si="273"/>
        <v/>
      </c>
      <c r="Q897" t="str">
        <f t="shared" si="274"/>
        <v/>
      </c>
      <c r="R897" t="str">
        <f t="shared" si="275"/>
        <v/>
      </c>
      <c r="S897" t="str">
        <f t="shared" si="276"/>
        <v/>
      </c>
      <c r="T897" t="str">
        <f t="shared" si="277"/>
        <v/>
      </c>
      <c r="U897" t="str">
        <f t="shared" si="278"/>
        <v/>
      </c>
      <c r="V897" t="str">
        <f t="shared" si="279"/>
        <v/>
      </c>
      <c r="W897" t="str">
        <f t="shared" si="282"/>
        <v xml:space="preserve">              </v>
      </c>
    </row>
    <row r="898" spans="1:23" hidden="1">
      <c r="A898" s="71" t="b">
        <f t="shared" si="281"/>
        <v>0</v>
      </c>
      <c r="B898" s="71">
        <f t="shared" si="263"/>
        <v>897</v>
      </c>
      <c r="C898" s="71" t="s">
        <v>852</v>
      </c>
      <c r="D898" s="71" t="s">
        <v>889</v>
      </c>
      <c r="E898">
        <f t="shared" si="280"/>
        <v>21</v>
      </c>
      <c r="F898">
        <v>1</v>
      </c>
      <c r="G898">
        <f t="shared" si="264"/>
        <v>1</v>
      </c>
      <c r="H898" t="str">
        <f t="shared" si="265"/>
        <v>Cost-benefit analysis</v>
      </c>
      <c r="I898" t="str">
        <f t="shared" si="266"/>
        <v>A process to study the trade-offs between costs</v>
      </c>
      <c r="J898" t="str">
        <f t="shared" si="267"/>
        <v>and the benefits realized from those costs.</v>
      </c>
      <c r="K898" t="str">
        <f t="shared" si="268"/>
        <v/>
      </c>
      <c r="L898" t="str">
        <f t="shared" si="269"/>
        <v/>
      </c>
      <c r="M898" t="str">
        <f t="shared" si="270"/>
        <v/>
      </c>
      <c r="N898" t="str">
        <f t="shared" si="271"/>
        <v/>
      </c>
      <c r="O898" t="str">
        <f t="shared" si="272"/>
        <v/>
      </c>
      <c r="P898" t="str">
        <f t="shared" si="273"/>
        <v/>
      </c>
      <c r="Q898" t="str">
        <f t="shared" si="274"/>
        <v/>
      </c>
      <c r="R898" t="str">
        <f t="shared" si="275"/>
        <v/>
      </c>
      <c r="S898" t="str">
        <f t="shared" si="276"/>
        <v/>
      </c>
      <c r="T898" t="str">
        <f t="shared" si="277"/>
        <v/>
      </c>
      <c r="U898" t="str">
        <f t="shared" si="278"/>
        <v/>
      </c>
      <c r="V898" t="str">
        <f t="shared" si="279"/>
        <v/>
      </c>
      <c r="W898" s="71" t="str">
        <f>CONCATENATE(H898," ",I898," ",J898," ",K898," ",L898," ",M898," ",N898," ",O898," ",P898," ",Q898," ",R898," ",S898," ",T898," ",U898," ",V898)</f>
        <v xml:space="preserve">Cost-benefit analysis A process to study the trade-offs between costs and the benefits realized from those costs.            </v>
      </c>
    </row>
    <row r="899" spans="1:23" customFormat="1" hidden="1">
      <c r="A899" t="b">
        <f t="shared" si="281"/>
        <v>0</v>
      </c>
      <c r="B899">
        <f t="shared" si="263"/>
        <v>898</v>
      </c>
      <c r="C899" t="s">
        <v>852</v>
      </c>
      <c r="D899" t="s">
        <v>890</v>
      </c>
      <c r="E899">
        <f t="shared" si="280"/>
        <v>47</v>
      </c>
      <c r="G899">
        <f t="shared" si="264"/>
        <v>2</v>
      </c>
      <c r="H899" t="str">
        <f t="shared" si="265"/>
        <v/>
      </c>
      <c r="I899" t="str">
        <f t="shared" si="266"/>
        <v/>
      </c>
      <c r="J899" t="str">
        <f t="shared" si="267"/>
        <v/>
      </c>
      <c r="K899" t="str">
        <f t="shared" si="268"/>
        <v/>
      </c>
      <c r="L899" t="str">
        <f t="shared" si="269"/>
        <v/>
      </c>
      <c r="M899" t="str">
        <f t="shared" si="270"/>
        <v/>
      </c>
      <c r="N899" t="str">
        <f t="shared" si="271"/>
        <v/>
      </c>
      <c r="O899" t="str">
        <f t="shared" si="272"/>
        <v/>
      </c>
      <c r="P899" t="str">
        <f t="shared" si="273"/>
        <v/>
      </c>
      <c r="Q899" t="str">
        <f t="shared" si="274"/>
        <v/>
      </c>
      <c r="R899" t="str">
        <f t="shared" si="275"/>
        <v/>
      </c>
      <c r="S899" t="str">
        <f t="shared" si="276"/>
        <v/>
      </c>
      <c r="T899" t="str">
        <f t="shared" si="277"/>
        <v/>
      </c>
      <c r="U899" t="str">
        <f t="shared" si="278"/>
        <v/>
      </c>
      <c r="V899" t="str">
        <f t="shared" si="279"/>
        <v/>
      </c>
      <c r="W899" t="str">
        <f t="shared" si="282"/>
        <v xml:space="preserve">              </v>
      </c>
    </row>
    <row r="900" spans="1:23" customFormat="1" hidden="1">
      <c r="A900" t="b">
        <f t="shared" si="281"/>
        <v>0</v>
      </c>
      <c r="B900">
        <f t="shared" ref="B900:B963" si="283">B899+1</f>
        <v>899</v>
      </c>
      <c r="C900" t="s">
        <v>852</v>
      </c>
      <c r="D900" t="s">
        <v>891</v>
      </c>
      <c r="E900">
        <f t="shared" si="280"/>
        <v>43</v>
      </c>
      <c r="G900">
        <f t="shared" ref="G900:G963" si="284">IF(F900=1,1,G899+1)</f>
        <v>3</v>
      </c>
      <c r="H900" t="str">
        <f t="shared" ref="H900:H963" si="285">IF($G900=H$1,$D900,"")</f>
        <v/>
      </c>
      <c r="I900" t="str">
        <f t="shared" ref="I900:I963" si="286">IF($G901=I$1,$D901,"")</f>
        <v/>
      </c>
      <c r="J900" t="str">
        <f t="shared" ref="J900:J963" si="287">IF($G902=J$1,$D902,"")</f>
        <v/>
      </c>
      <c r="K900" t="str">
        <f t="shared" ref="K900:K963" si="288">IF($G903=K$1,$D903,"")</f>
        <v/>
      </c>
      <c r="L900" t="str">
        <f t="shared" ref="L900:L963" si="289">IF($G904=L$1,$D904,"")</f>
        <v/>
      </c>
      <c r="M900" t="str">
        <f t="shared" ref="M900:M963" si="290">IF($G905=M$1,$D905,"")</f>
        <v/>
      </c>
      <c r="N900" t="str">
        <f t="shared" ref="N900:N963" si="291">IF($G906=N$1,$D906,"")</f>
        <v/>
      </c>
      <c r="O900" t="str">
        <f t="shared" ref="O900:O963" si="292">IF($G907=O$1,$D907,"")</f>
        <v/>
      </c>
      <c r="P900" t="str">
        <f t="shared" ref="P900:P963" si="293">IF($G908=P$1,$D908,"")</f>
        <v/>
      </c>
      <c r="Q900" t="str">
        <f t="shared" ref="Q900:Q963" si="294">IF($G909=Q$1,$D909,"")</f>
        <v/>
      </c>
      <c r="R900" t="str">
        <f t="shared" ref="R900:R963" si="295">IF($G910=R$1,$D910,"")</f>
        <v/>
      </c>
      <c r="S900" t="str">
        <f t="shared" ref="S900:S963" si="296">IF($G911=S$1,$D911,"")</f>
        <v/>
      </c>
      <c r="T900" t="str">
        <f t="shared" ref="T900:T963" si="297">IF($G912=T$1,$D912,"")</f>
        <v/>
      </c>
      <c r="U900" t="str">
        <f t="shared" ref="U900:U963" si="298">IF($G913=U$1,$D913,"")</f>
        <v/>
      </c>
      <c r="V900" t="str">
        <f t="shared" ref="V900:V963" si="299">IF($G914=V$1,$D914,"")</f>
        <v/>
      </c>
      <c r="W900" t="str">
        <f t="shared" si="282"/>
        <v xml:space="preserve">              </v>
      </c>
    </row>
    <row r="901" spans="1:23" hidden="1">
      <c r="A901" s="71" t="b">
        <f t="shared" si="281"/>
        <v>0</v>
      </c>
      <c r="B901" s="71">
        <f t="shared" si="283"/>
        <v>900</v>
      </c>
      <c r="C901" s="71" t="s">
        <v>852</v>
      </c>
      <c r="D901" s="71" t="s">
        <v>892</v>
      </c>
      <c r="E901">
        <f t="shared" ref="E901:E962" si="300">LEN(D901)</f>
        <v>21</v>
      </c>
      <c r="F901">
        <v>1</v>
      </c>
      <c r="G901">
        <f t="shared" si="284"/>
        <v>1</v>
      </c>
      <c r="H901" t="str">
        <f t="shared" si="285"/>
        <v>Design of experiments</v>
      </c>
      <c r="I901" t="str">
        <f t="shared" si="286"/>
        <v>An approach that relies on statistical scenarios to</v>
      </c>
      <c r="J901" t="str">
        <f t="shared" si="287"/>
        <v>determine what variables within a project will</v>
      </c>
      <c r="K901" t="str">
        <f t="shared" si="288"/>
        <v>result in the best outcome.</v>
      </c>
      <c r="L901" t="str">
        <f t="shared" si="289"/>
        <v/>
      </c>
      <c r="M901" t="str">
        <f t="shared" si="290"/>
        <v/>
      </c>
      <c r="N901" t="str">
        <f t="shared" si="291"/>
        <v/>
      </c>
      <c r="O901" t="str">
        <f t="shared" si="292"/>
        <v/>
      </c>
      <c r="P901" t="str">
        <f t="shared" si="293"/>
        <v/>
      </c>
      <c r="Q901" t="str">
        <f t="shared" si="294"/>
        <v/>
      </c>
      <c r="R901" t="str">
        <f t="shared" si="295"/>
        <v/>
      </c>
      <c r="S901" t="str">
        <f t="shared" si="296"/>
        <v/>
      </c>
      <c r="T901" t="str">
        <f t="shared" si="297"/>
        <v/>
      </c>
      <c r="U901" t="str">
        <f t="shared" si="298"/>
        <v/>
      </c>
      <c r="V901" t="str">
        <f t="shared" si="299"/>
        <v/>
      </c>
      <c r="W901" s="71" t="str">
        <f>CONCATENATE(H901," ",I901," ",J901," ",K901," ",L901," ",M901," ",N901," ",O901," ",P901," ",Q901," ",R901," ",S901," ",T901," ",U901," ",V901)</f>
        <v xml:space="preserve">Design of experiments An approach that relies on statistical scenarios to determine what variables within a project will result in the best outcome.           </v>
      </c>
    </row>
    <row r="902" spans="1:23" customFormat="1" hidden="1">
      <c r="A902" t="b">
        <f t="shared" si="281"/>
        <v>0</v>
      </c>
      <c r="B902">
        <f t="shared" si="283"/>
        <v>901</v>
      </c>
      <c r="C902" t="s">
        <v>852</v>
      </c>
      <c r="D902" t="s">
        <v>893</v>
      </c>
      <c r="E902">
        <f t="shared" si="300"/>
        <v>51</v>
      </c>
      <c r="G902">
        <f t="shared" si="284"/>
        <v>2</v>
      </c>
      <c r="H902" t="str">
        <f t="shared" si="285"/>
        <v/>
      </c>
      <c r="I902" t="str">
        <f t="shared" si="286"/>
        <v/>
      </c>
      <c r="J902" t="str">
        <f t="shared" si="287"/>
        <v/>
      </c>
      <c r="K902" t="str">
        <f t="shared" si="288"/>
        <v/>
      </c>
      <c r="L902" t="str">
        <f t="shared" si="289"/>
        <v/>
      </c>
      <c r="M902" t="str">
        <f t="shared" si="290"/>
        <v/>
      </c>
      <c r="N902" t="str">
        <f t="shared" si="291"/>
        <v/>
      </c>
      <c r="O902" t="str">
        <f t="shared" si="292"/>
        <v/>
      </c>
      <c r="P902" t="str">
        <f t="shared" si="293"/>
        <v/>
      </c>
      <c r="Q902" t="str">
        <f t="shared" si="294"/>
        <v/>
      </c>
      <c r="R902" t="str">
        <f t="shared" si="295"/>
        <v/>
      </c>
      <c r="S902" t="str">
        <f t="shared" si="296"/>
        <v/>
      </c>
      <c r="T902" t="str">
        <f t="shared" si="297"/>
        <v/>
      </c>
      <c r="U902" t="str">
        <f t="shared" si="298"/>
        <v/>
      </c>
      <c r="V902" t="str">
        <f t="shared" si="299"/>
        <v/>
      </c>
      <c r="W902" t="str">
        <f t="shared" si="282"/>
        <v xml:space="preserve">              </v>
      </c>
    </row>
    <row r="903" spans="1:23" customFormat="1" hidden="1">
      <c r="A903" t="b">
        <f t="shared" si="281"/>
        <v>0</v>
      </c>
      <c r="B903">
        <f t="shared" si="283"/>
        <v>902</v>
      </c>
      <c r="C903" t="s">
        <v>852</v>
      </c>
      <c r="D903" t="s">
        <v>894</v>
      </c>
      <c r="E903">
        <f t="shared" si="300"/>
        <v>46</v>
      </c>
      <c r="G903">
        <f t="shared" si="284"/>
        <v>3</v>
      </c>
      <c r="H903" t="str">
        <f t="shared" si="285"/>
        <v/>
      </c>
      <c r="I903" t="str">
        <f t="shared" si="286"/>
        <v/>
      </c>
      <c r="J903" t="str">
        <f t="shared" si="287"/>
        <v/>
      </c>
      <c r="K903" t="str">
        <f t="shared" si="288"/>
        <v/>
      </c>
      <c r="L903" t="str">
        <f t="shared" si="289"/>
        <v/>
      </c>
      <c r="M903" t="str">
        <f t="shared" si="290"/>
        <v/>
      </c>
      <c r="N903" t="str">
        <f t="shared" si="291"/>
        <v/>
      </c>
      <c r="O903" t="str">
        <f t="shared" si="292"/>
        <v/>
      </c>
      <c r="P903" t="str">
        <f t="shared" si="293"/>
        <v/>
      </c>
      <c r="Q903" t="str">
        <f t="shared" si="294"/>
        <v/>
      </c>
      <c r="R903" t="str">
        <f t="shared" si="295"/>
        <v/>
      </c>
      <c r="S903" t="str">
        <f t="shared" si="296"/>
        <v/>
      </c>
      <c r="T903" t="str">
        <f t="shared" si="297"/>
        <v/>
      </c>
      <c r="U903" t="str">
        <f t="shared" si="298"/>
        <v/>
      </c>
      <c r="V903" t="str">
        <f t="shared" si="299"/>
        <v/>
      </c>
      <c r="W903" t="str">
        <f t="shared" si="282"/>
        <v xml:space="preserve">              </v>
      </c>
    </row>
    <row r="904" spans="1:23" customFormat="1" hidden="1">
      <c r="A904" t="b">
        <f t="shared" si="281"/>
        <v>0</v>
      </c>
      <c r="B904">
        <f t="shared" si="283"/>
        <v>903</v>
      </c>
      <c r="C904" t="s">
        <v>852</v>
      </c>
      <c r="D904" t="s">
        <v>895</v>
      </c>
      <c r="E904">
        <f t="shared" si="300"/>
        <v>27</v>
      </c>
      <c r="G904">
        <f t="shared" si="284"/>
        <v>4</v>
      </c>
      <c r="H904" t="str">
        <f t="shared" si="285"/>
        <v/>
      </c>
      <c r="I904" t="str">
        <f t="shared" si="286"/>
        <v/>
      </c>
      <c r="J904" t="str">
        <f t="shared" si="287"/>
        <v/>
      </c>
      <c r="K904" t="str">
        <f t="shared" si="288"/>
        <v/>
      </c>
      <c r="L904" t="str">
        <f t="shared" si="289"/>
        <v/>
      </c>
      <c r="M904" t="str">
        <f t="shared" si="290"/>
        <v/>
      </c>
      <c r="N904" t="str">
        <f t="shared" si="291"/>
        <v/>
      </c>
      <c r="O904" t="str">
        <f t="shared" si="292"/>
        <v/>
      </c>
      <c r="P904" t="str">
        <f t="shared" si="293"/>
        <v/>
      </c>
      <c r="Q904" t="str">
        <f t="shared" si="294"/>
        <v/>
      </c>
      <c r="R904" t="str">
        <f t="shared" si="295"/>
        <v/>
      </c>
      <c r="S904" t="str">
        <f t="shared" si="296"/>
        <v/>
      </c>
      <c r="T904" t="str">
        <f t="shared" si="297"/>
        <v/>
      </c>
      <c r="U904" t="str">
        <f t="shared" si="298"/>
        <v/>
      </c>
      <c r="V904" t="str">
        <f t="shared" si="299"/>
        <v/>
      </c>
      <c r="W904" t="str">
        <f t="shared" si="282"/>
        <v xml:space="preserve">              </v>
      </c>
    </row>
    <row r="905" spans="1:23" hidden="1">
      <c r="A905" s="71" t="b">
        <f t="shared" si="281"/>
        <v>0</v>
      </c>
      <c r="B905" s="71">
        <f t="shared" si="283"/>
        <v>904</v>
      </c>
      <c r="C905" s="71" t="s">
        <v>852</v>
      </c>
      <c r="D905" s="71" t="s">
        <v>896</v>
      </c>
      <c r="E905">
        <f t="shared" si="300"/>
        <v>11</v>
      </c>
      <c r="F905">
        <v>1</v>
      </c>
      <c r="G905">
        <f t="shared" si="284"/>
        <v>1</v>
      </c>
      <c r="H905" t="str">
        <f t="shared" si="285"/>
        <v>External QA</v>
      </c>
      <c r="I905" t="str">
        <f t="shared" si="286"/>
        <v>Assurance provided to the external customers of</v>
      </c>
      <c r="J905" t="str">
        <f t="shared" si="287"/>
        <v>the project.</v>
      </c>
      <c r="K905" t="str">
        <f t="shared" si="288"/>
        <v/>
      </c>
      <c r="L905" t="str">
        <f t="shared" si="289"/>
        <v/>
      </c>
      <c r="M905" t="str">
        <f t="shared" si="290"/>
        <v/>
      </c>
      <c r="N905" t="str">
        <f t="shared" si="291"/>
        <v/>
      </c>
      <c r="O905" t="str">
        <f t="shared" si="292"/>
        <v/>
      </c>
      <c r="P905" t="str">
        <f t="shared" si="293"/>
        <v/>
      </c>
      <c r="Q905" t="str">
        <f t="shared" si="294"/>
        <v/>
      </c>
      <c r="R905" t="str">
        <f t="shared" si="295"/>
        <v/>
      </c>
      <c r="S905" t="str">
        <f t="shared" si="296"/>
        <v/>
      </c>
      <c r="T905" t="str">
        <f t="shared" si="297"/>
        <v/>
      </c>
      <c r="U905" t="str">
        <f t="shared" si="298"/>
        <v/>
      </c>
      <c r="V905" t="str">
        <f t="shared" si="299"/>
        <v/>
      </c>
      <c r="W905" s="71" t="str">
        <f>CONCATENATE(H905," ",I905," ",J905," ",K905," ",L905," ",M905," ",N905," ",O905," ",P905," ",Q905," ",R905," ",S905," ",T905," ",U905," ",V905)</f>
        <v xml:space="preserve">External QA Assurance provided to the external customers of the project.            </v>
      </c>
    </row>
    <row r="906" spans="1:23" customFormat="1" hidden="1">
      <c r="A906" t="b">
        <f t="shared" si="281"/>
        <v>0</v>
      </c>
      <c r="B906">
        <f t="shared" si="283"/>
        <v>905</v>
      </c>
      <c r="C906" t="s">
        <v>852</v>
      </c>
      <c r="D906" t="s">
        <v>897</v>
      </c>
      <c r="E906">
        <f t="shared" si="300"/>
        <v>47</v>
      </c>
      <c r="G906">
        <f t="shared" si="284"/>
        <v>2</v>
      </c>
      <c r="H906" t="str">
        <f t="shared" si="285"/>
        <v/>
      </c>
      <c r="I906" t="str">
        <f t="shared" si="286"/>
        <v/>
      </c>
      <c r="J906" t="str">
        <f t="shared" si="287"/>
        <v/>
      </c>
      <c r="K906" t="str">
        <f t="shared" si="288"/>
        <v/>
      </c>
      <c r="L906" t="str">
        <f t="shared" si="289"/>
        <v/>
      </c>
      <c r="M906" t="str">
        <f t="shared" si="290"/>
        <v/>
      </c>
      <c r="N906" t="str">
        <f t="shared" si="291"/>
        <v/>
      </c>
      <c r="O906" t="str">
        <f t="shared" si="292"/>
        <v/>
      </c>
      <c r="P906" t="str">
        <f t="shared" si="293"/>
        <v/>
      </c>
      <c r="Q906" t="str">
        <f t="shared" si="294"/>
        <v/>
      </c>
      <c r="R906" t="str">
        <f t="shared" si="295"/>
        <v/>
      </c>
      <c r="S906" t="str">
        <f t="shared" si="296"/>
        <v/>
      </c>
      <c r="T906" t="str">
        <f t="shared" si="297"/>
        <v/>
      </c>
      <c r="U906" t="str">
        <f t="shared" si="298"/>
        <v/>
      </c>
      <c r="V906" t="str">
        <f t="shared" si="299"/>
        <v/>
      </c>
      <c r="W906" t="str">
        <f t="shared" si="282"/>
        <v xml:space="preserve">              </v>
      </c>
    </row>
    <row r="907" spans="1:23" customFormat="1" hidden="1">
      <c r="A907" t="b">
        <f t="shared" si="281"/>
        <v>0</v>
      </c>
      <c r="B907">
        <f t="shared" si="283"/>
        <v>906</v>
      </c>
      <c r="C907" t="s">
        <v>852</v>
      </c>
      <c r="D907" t="s">
        <v>206</v>
      </c>
      <c r="E907">
        <f t="shared" si="300"/>
        <v>12</v>
      </c>
      <c r="G907">
        <f t="shared" si="284"/>
        <v>3</v>
      </c>
      <c r="H907" t="str">
        <f t="shared" si="285"/>
        <v/>
      </c>
      <c r="I907" t="str">
        <f t="shared" si="286"/>
        <v/>
      </c>
      <c r="J907" t="str">
        <f t="shared" si="287"/>
        <v/>
      </c>
      <c r="K907" t="str">
        <f t="shared" si="288"/>
        <v/>
      </c>
      <c r="L907" t="str">
        <f t="shared" si="289"/>
        <v/>
      </c>
      <c r="M907" t="str">
        <f t="shared" si="290"/>
        <v/>
      </c>
      <c r="N907" t="str">
        <f t="shared" si="291"/>
        <v/>
      </c>
      <c r="O907" t="str">
        <f t="shared" si="292"/>
        <v/>
      </c>
      <c r="P907" t="str">
        <f t="shared" si="293"/>
        <v/>
      </c>
      <c r="Q907" t="str">
        <f t="shared" si="294"/>
        <v/>
      </c>
      <c r="R907" t="str">
        <f t="shared" si="295"/>
        <v/>
      </c>
      <c r="S907" t="str">
        <f t="shared" si="296"/>
        <v/>
      </c>
      <c r="T907" t="str">
        <f t="shared" si="297"/>
        <v/>
      </c>
      <c r="U907" t="str">
        <f t="shared" si="298"/>
        <v/>
      </c>
      <c r="V907" t="str">
        <f t="shared" si="299"/>
        <v/>
      </c>
      <c r="W907" t="str">
        <f t="shared" si="282"/>
        <v xml:space="preserve">              </v>
      </c>
    </row>
    <row r="908" spans="1:23" hidden="1">
      <c r="A908" s="71" t="b">
        <f t="shared" si="281"/>
        <v>0</v>
      </c>
      <c r="B908" s="71">
        <f t="shared" si="283"/>
        <v>907</v>
      </c>
      <c r="C908" s="71" t="s">
        <v>852</v>
      </c>
      <c r="D908" s="71" t="s">
        <v>898</v>
      </c>
      <c r="E908">
        <f t="shared" si="300"/>
        <v>9</v>
      </c>
      <c r="F908">
        <v>1</v>
      </c>
      <c r="G908">
        <f t="shared" si="284"/>
        <v>1</v>
      </c>
      <c r="H908" t="str">
        <f t="shared" si="285"/>
        <v>Flowchart</v>
      </c>
      <c r="I908" t="str">
        <f t="shared" si="286"/>
        <v>A diagram illustrating how components within a</v>
      </c>
      <c r="J908" t="str">
        <f t="shared" si="287"/>
        <v>system are related. Flowcharts show the relation</v>
      </c>
      <c r="K908" t="str">
        <f t="shared" si="288"/>
        <v>between components, as well as help the project</v>
      </c>
      <c r="L908" t="str">
        <f t="shared" si="289"/>
        <v>team determine where quality issues may be</v>
      </c>
      <c r="M908" t="str">
        <f t="shared" si="290"/>
        <v>present and, once done, plan accordingly.</v>
      </c>
      <c r="N908" t="str">
        <f t="shared" si="291"/>
        <v/>
      </c>
      <c r="O908" t="str">
        <f t="shared" si="292"/>
        <v/>
      </c>
      <c r="P908" t="str">
        <f t="shared" si="293"/>
        <v/>
      </c>
      <c r="Q908" t="str">
        <f t="shared" si="294"/>
        <v/>
      </c>
      <c r="R908" t="str">
        <f t="shared" si="295"/>
        <v/>
      </c>
      <c r="S908" t="str">
        <f t="shared" si="296"/>
        <v/>
      </c>
      <c r="T908" t="str">
        <f t="shared" si="297"/>
        <v/>
      </c>
      <c r="U908" t="str">
        <f t="shared" si="298"/>
        <v/>
      </c>
      <c r="V908" t="str">
        <f t="shared" si="299"/>
        <v/>
      </c>
      <c r="W908" s="71" t="str">
        <f>CONCATENATE(H908," ",I908," ",J908," ",K908," ",L908," ",M908," ",N908," ",O908," ",P908," ",Q908," ",R908," ",S908," ",T908," ",U908," ",V908)</f>
        <v xml:space="preserve">Flowchart A diagram illustrating how components within a system are related. Flowcharts show the relation between components, as well as help the project team determine where quality issues may be present and, once done, plan accordingly.         </v>
      </c>
    </row>
    <row r="909" spans="1:23" customFormat="1" hidden="1">
      <c r="A909" t="b">
        <f t="shared" si="281"/>
        <v>0</v>
      </c>
      <c r="B909">
        <f t="shared" si="283"/>
        <v>908</v>
      </c>
      <c r="C909" t="s">
        <v>852</v>
      </c>
      <c r="D909" t="s">
        <v>899</v>
      </c>
      <c r="E909">
        <f t="shared" si="300"/>
        <v>46</v>
      </c>
      <c r="G909">
        <f t="shared" si="284"/>
        <v>2</v>
      </c>
      <c r="H909" t="str">
        <f t="shared" si="285"/>
        <v/>
      </c>
      <c r="I909" t="str">
        <f t="shared" si="286"/>
        <v/>
      </c>
      <c r="J909" t="str">
        <f t="shared" si="287"/>
        <v/>
      </c>
      <c r="K909" t="str">
        <f t="shared" si="288"/>
        <v/>
      </c>
      <c r="L909" t="str">
        <f t="shared" si="289"/>
        <v/>
      </c>
      <c r="M909" t="str">
        <f t="shared" si="290"/>
        <v/>
      </c>
      <c r="N909" t="str">
        <f t="shared" si="291"/>
        <v/>
      </c>
      <c r="O909" t="str">
        <f t="shared" si="292"/>
        <v/>
      </c>
      <c r="P909" t="str">
        <f t="shared" si="293"/>
        <v/>
      </c>
      <c r="Q909" t="str">
        <f t="shared" si="294"/>
        <v/>
      </c>
      <c r="R909" t="str">
        <f t="shared" si="295"/>
        <v/>
      </c>
      <c r="S909" t="str">
        <f t="shared" si="296"/>
        <v/>
      </c>
      <c r="T909" t="str">
        <f t="shared" si="297"/>
        <v/>
      </c>
      <c r="U909" t="str">
        <f t="shared" si="298"/>
        <v/>
      </c>
      <c r="V909" t="str">
        <f t="shared" si="299"/>
        <v/>
      </c>
      <c r="W909" t="str">
        <f t="shared" si="282"/>
        <v xml:space="preserve">              </v>
      </c>
    </row>
    <row r="910" spans="1:23" customFormat="1" hidden="1">
      <c r="A910" t="b">
        <f t="shared" si="281"/>
        <v>0</v>
      </c>
      <c r="B910">
        <f t="shared" si="283"/>
        <v>909</v>
      </c>
      <c r="C910" t="s">
        <v>852</v>
      </c>
      <c r="D910" t="s">
        <v>900</v>
      </c>
      <c r="E910">
        <f t="shared" si="300"/>
        <v>48</v>
      </c>
      <c r="G910">
        <f t="shared" si="284"/>
        <v>3</v>
      </c>
      <c r="H910" t="str">
        <f t="shared" si="285"/>
        <v/>
      </c>
      <c r="I910" t="str">
        <f t="shared" si="286"/>
        <v/>
      </c>
      <c r="J910" t="str">
        <f t="shared" si="287"/>
        <v/>
      </c>
      <c r="K910" t="str">
        <f t="shared" si="288"/>
        <v/>
      </c>
      <c r="L910" t="str">
        <f t="shared" si="289"/>
        <v/>
      </c>
      <c r="M910" t="str">
        <f t="shared" si="290"/>
        <v/>
      </c>
      <c r="N910" t="str">
        <f t="shared" si="291"/>
        <v/>
      </c>
      <c r="O910" t="str">
        <f t="shared" si="292"/>
        <v/>
      </c>
      <c r="P910" t="str">
        <f t="shared" si="293"/>
        <v/>
      </c>
      <c r="Q910" t="str">
        <f t="shared" si="294"/>
        <v/>
      </c>
      <c r="R910" t="str">
        <f t="shared" si="295"/>
        <v/>
      </c>
      <c r="S910" t="str">
        <f t="shared" si="296"/>
        <v/>
      </c>
      <c r="T910" t="str">
        <f t="shared" si="297"/>
        <v/>
      </c>
      <c r="U910" t="str">
        <f t="shared" si="298"/>
        <v/>
      </c>
      <c r="V910" t="str">
        <f t="shared" si="299"/>
        <v/>
      </c>
      <c r="W910" t="str">
        <f t="shared" si="282"/>
        <v xml:space="preserve">              </v>
      </c>
    </row>
    <row r="911" spans="1:23" customFormat="1" hidden="1">
      <c r="A911" t="b">
        <f t="shared" si="281"/>
        <v>0</v>
      </c>
      <c r="B911">
        <f t="shared" si="283"/>
        <v>910</v>
      </c>
      <c r="C911" t="s">
        <v>852</v>
      </c>
      <c r="D911" t="s">
        <v>901</v>
      </c>
      <c r="E911">
        <f t="shared" si="300"/>
        <v>47</v>
      </c>
      <c r="G911">
        <f t="shared" si="284"/>
        <v>4</v>
      </c>
      <c r="H911" t="str">
        <f t="shared" si="285"/>
        <v/>
      </c>
      <c r="I911" t="str">
        <f t="shared" si="286"/>
        <v/>
      </c>
      <c r="J911" t="str">
        <f t="shared" si="287"/>
        <v/>
      </c>
      <c r="K911" t="str">
        <f t="shared" si="288"/>
        <v/>
      </c>
      <c r="L911" t="str">
        <f t="shared" si="289"/>
        <v/>
      </c>
      <c r="M911" t="str">
        <f t="shared" si="290"/>
        <v/>
      </c>
      <c r="N911" t="str">
        <f t="shared" si="291"/>
        <v/>
      </c>
      <c r="O911" t="str">
        <f t="shared" si="292"/>
        <v/>
      </c>
      <c r="P911" t="str">
        <f t="shared" si="293"/>
        <v/>
      </c>
      <c r="Q911" t="str">
        <f t="shared" si="294"/>
        <v/>
      </c>
      <c r="R911" t="str">
        <f t="shared" si="295"/>
        <v/>
      </c>
      <c r="S911" t="str">
        <f t="shared" si="296"/>
        <v/>
      </c>
      <c r="T911" t="str">
        <f t="shared" si="297"/>
        <v/>
      </c>
      <c r="U911" t="str">
        <f t="shared" si="298"/>
        <v/>
      </c>
      <c r="V911" t="str">
        <f t="shared" si="299"/>
        <v/>
      </c>
      <c r="W911" t="str">
        <f t="shared" si="282"/>
        <v xml:space="preserve">              </v>
      </c>
    </row>
    <row r="912" spans="1:23" customFormat="1" hidden="1">
      <c r="A912" t="b">
        <f t="shared" si="281"/>
        <v>0</v>
      </c>
      <c r="B912">
        <f t="shared" si="283"/>
        <v>911</v>
      </c>
      <c r="C912" t="s">
        <v>852</v>
      </c>
      <c r="D912" t="s">
        <v>902</v>
      </c>
      <c r="E912">
        <f t="shared" si="300"/>
        <v>42</v>
      </c>
      <c r="G912">
        <f t="shared" si="284"/>
        <v>5</v>
      </c>
      <c r="H912" t="str">
        <f t="shared" si="285"/>
        <v/>
      </c>
      <c r="I912" t="str">
        <f t="shared" si="286"/>
        <v/>
      </c>
      <c r="J912" t="str">
        <f t="shared" si="287"/>
        <v/>
      </c>
      <c r="K912" t="str">
        <f t="shared" si="288"/>
        <v/>
      </c>
      <c r="L912" t="str">
        <f t="shared" si="289"/>
        <v/>
      </c>
      <c r="M912" t="str">
        <f t="shared" si="290"/>
        <v/>
      </c>
      <c r="N912" t="str">
        <f t="shared" si="291"/>
        <v/>
      </c>
      <c r="O912" t="str">
        <f t="shared" si="292"/>
        <v/>
      </c>
      <c r="P912" t="str">
        <f t="shared" si="293"/>
        <v/>
      </c>
      <c r="Q912" t="str">
        <f t="shared" si="294"/>
        <v/>
      </c>
      <c r="R912" t="str">
        <f t="shared" si="295"/>
        <v/>
      </c>
      <c r="S912" t="str">
        <f t="shared" si="296"/>
        <v/>
      </c>
      <c r="T912" t="str">
        <f t="shared" si="297"/>
        <v/>
      </c>
      <c r="U912" t="str">
        <f t="shared" si="298"/>
        <v/>
      </c>
      <c r="V912" t="str">
        <f t="shared" si="299"/>
        <v/>
      </c>
      <c r="W912" t="str">
        <f t="shared" si="282"/>
        <v xml:space="preserve">              </v>
      </c>
    </row>
    <row r="913" spans="1:23" customFormat="1" hidden="1">
      <c r="A913" t="b">
        <f t="shared" si="281"/>
        <v>0</v>
      </c>
      <c r="B913">
        <f t="shared" si="283"/>
        <v>912</v>
      </c>
      <c r="C913" t="s">
        <v>852</v>
      </c>
      <c r="D913" t="s">
        <v>903</v>
      </c>
      <c r="E913">
        <f t="shared" si="300"/>
        <v>41</v>
      </c>
      <c r="G913">
        <f t="shared" si="284"/>
        <v>6</v>
      </c>
      <c r="H913" t="str">
        <f t="shared" si="285"/>
        <v/>
      </c>
      <c r="I913" t="str">
        <f t="shared" si="286"/>
        <v/>
      </c>
      <c r="J913" t="str">
        <f t="shared" si="287"/>
        <v/>
      </c>
      <c r="K913" t="str">
        <f t="shared" si="288"/>
        <v/>
      </c>
      <c r="L913" t="str">
        <f t="shared" si="289"/>
        <v/>
      </c>
      <c r="M913" t="str">
        <f t="shared" si="290"/>
        <v/>
      </c>
      <c r="N913" t="str">
        <f t="shared" si="291"/>
        <v/>
      </c>
      <c r="O913" t="str">
        <f t="shared" si="292"/>
        <v/>
      </c>
      <c r="P913" t="str">
        <f t="shared" si="293"/>
        <v/>
      </c>
      <c r="Q913" t="str">
        <f t="shared" si="294"/>
        <v/>
      </c>
      <c r="R913" t="str">
        <f t="shared" si="295"/>
        <v/>
      </c>
      <c r="S913" t="str">
        <f t="shared" si="296"/>
        <v/>
      </c>
      <c r="T913" t="str">
        <f t="shared" si="297"/>
        <v/>
      </c>
      <c r="U913" t="str">
        <f t="shared" si="298"/>
        <v/>
      </c>
      <c r="V913" t="str">
        <f t="shared" si="299"/>
        <v/>
      </c>
      <c r="W913" t="str">
        <f t="shared" si="282"/>
        <v xml:space="preserve">              </v>
      </c>
    </row>
    <row r="914" spans="1:23" hidden="1">
      <c r="A914" s="71" t="b">
        <f t="shared" si="281"/>
        <v>0</v>
      </c>
      <c r="B914" s="71">
        <f t="shared" si="283"/>
        <v>913</v>
      </c>
      <c r="C914" s="71" t="s">
        <v>852</v>
      </c>
      <c r="D914" s="71" t="s">
        <v>904</v>
      </c>
      <c r="E914">
        <f t="shared" si="300"/>
        <v>11</v>
      </c>
      <c r="F914">
        <v>1</v>
      </c>
      <c r="G914">
        <f t="shared" si="284"/>
        <v>1</v>
      </c>
      <c r="H914" t="str">
        <f t="shared" si="285"/>
        <v>Internal QA</v>
      </c>
      <c r="I914" t="str">
        <f t="shared" si="286"/>
        <v>Assurance provided to management and the</v>
      </c>
      <c r="J914" t="str">
        <f t="shared" si="287"/>
        <v>project team.</v>
      </c>
      <c r="K914" t="str">
        <f t="shared" si="288"/>
        <v/>
      </c>
      <c r="L914" t="str">
        <f t="shared" si="289"/>
        <v/>
      </c>
      <c r="M914" t="str">
        <f t="shared" si="290"/>
        <v/>
      </c>
      <c r="N914" t="str">
        <f t="shared" si="291"/>
        <v/>
      </c>
      <c r="O914" t="str">
        <f t="shared" si="292"/>
        <v/>
      </c>
      <c r="P914" t="str">
        <f t="shared" si="293"/>
        <v/>
      </c>
      <c r="Q914" t="str">
        <f t="shared" si="294"/>
        <v/>
      </c>
      <c r="R914" t="str">
        <f t="shared" si="295"/>
        <v/>
      </c>
      <c r="S914" t="str">
        <f t="shared" si="296"/>
        <v/>
      </c>
      <c r="T914" t="str">
        <f t="shared" si="297"/>
        <v/>
      </c>
      <c r="U914" t="str">
        <f t="shared" si="298"/>
        <v/>
      </c>
      <c r="V914" t="str">
        <f t="shared" si="299"/>
        <v/>
      </c>
      <c r="W914" s="71" t="str">
        <f>CONCATENATE(H914," ",I914," ",J914," ",K914," ",L914," ",M914," ",N914," ",O914," ",P914," ",Q914," ",R914," ",S914," ",T914," ",U914," ",V914)</f>
        <v xml:space="preserve">Internal QA Assurance provided to management and the project team.            </v>
      </c>
    </row>
    <row r="915" spans="1:23" customFormat="1" hidden="1">
      <c r="A915" t="b">
        <f t="shared" si="281"/>
        <v>0</v>
      </c>
      <c r="B915">
        <f t="shared" si="283"/>
        <v>914</v>
      </c>
      <c r="C915" t="s">
        <v>852</v>
      </c>
      <c r="D915" t="s">
        <v>905</v>
      </c>
      <c r="E915">
        <f t="shared" si="300"/>
        <v>40</v>
      </c>
      <c r="G915">
        <f t="shared" si="284"/>
        <v>2</v>
      </c>
      <c r="H915" t="str">
        <f t="shared" si="285"/>
        <v/>
      </c>
      <c r="I915" t="str">
        <f t="shared" si="286"/>
        <v/>
      </c>
      <c r="J915" t="str">
        <f t="shared" si="287"/>
        <v/>
      </c>
      <c r="K915" t="str">
        <f t="shared" si="288"/>
        <v/>
      </c>
      <c r="L915" t="str">
        <f t="shared" si="289"/>
        <v/>
      </c>
      <c r="M915" t="str">
        <f t="shared" si="290"/>
        <v/>
      </c>
      <c r="N915" t="str">
        <f t="shared" si="291"/>
        <v/>
      </c>
      <c r="O915" t="str">
        <f t="shared" si="292"/>
        <v/>
      </c>
      <c r="P915" t="str">
        <f t="shared" si="293"/>
        <v/>
      </c>
      <c r="Q915" t="str">
        <f t="shared" si="294"/>
        <v/>
      </c>
      <c r="R915" t="str">
        <f t="shared" si="295"/>
        <v/>
      </c>
      <c r="S915" t="str">
        <f t="shared" si="296"/>
        <v/>
      </c>
      <c r="T915" t="str">
        <f t="shared" si="297"/>
        <v/>
      </c>
      <c r="U915" t="str">
        <f t="shared" si="298"/>
        <v/>
      </c>
      <c r="V915" t="str">
        <f t="shared" si="299"/>
        <v/>
      </c>
      <c r="W915" t="str">
        <f t="shared" si="282"/>
        <v xml:space="preserve">              </v>
      </c>
    </row>
    <row r="916" spans="1:23" customFormat="1" hidden="1">
      <c r="A916" t="b">
        <f t="shared" si="281"/>
        <v>0</v>
      </c>
      <c r="B916">
        <f t="shared" si="283"/>
        <v>915</v>
      </c>
      <c r="C916" t="s">
        <v>852</v>
      </c>
      <c r="D916" t="s">
        <v>134</v>
      </c>
      <c r="E916">
        <f t="shared" si="300"/>
        <v>13</v>
      </c>
      <c r="G916">
        <f t="shared" si="284"/>
        <v>3</v>
      </c>
      <c r="H916" t="str">
        <f t="shared" si="285"/>
        <v/>
      </c>
      <c r="I916" t="str">
        <f t="shared" si="286"/>
        <v/>
      </c>
      <c r="J916" t="str">
        <f t="shared" si="287"/>
        <v/>
      </c>
      <c r="K916" t="str">
        <f t="shared" si="288"/>
        <v/>
      </c>
      <c r="L916" t="str">
        <f t="shared" si="289"/>
        <v/>
      </c>
      <c r="M916" t="str">
        <f t="shared" si="290"/>
        <v/>
      </c>
      <c r="N916" t="str">
        <f t="shared" si="291"/>
        <v/>
      </c>
      <c r="O916" t="str">
        <f t="shared" si="292"/>
        <v/>
      </c>
      <c r="P916" t="str">
        <f t="shared" si="293"/>
        <v/>
      </c>
      <c r="Q916" t="str">
        <f t="shared" si="294"/>
        <v/>
      </c>
      <c r="R916" t="str">
        <f t="shared" si="295"/>
        <v/>
      </c>
      <c r="S916" t="str">
        <f t="shared" si="296"/>
        <v/>
      </c>
      <c r="T916" t="str">
        <f t="shared" si="297"/>
        <v/>
      </c>
      <c r="U916" t="str">
        <f t="shared" si="298"/>
        <v/>
      </c>
      <c r="V916" t="str">
        <f t="shared" si="299"/>
        <v/>
      </c>
      <c r="W916" t="str">
        <f t="shared" si="282"/>
        <v xml:space="preserve">              </v>
      </c>
    </row>
    <row r="917" spans="1:23" hidden="1">
      <c r="A917" s="71" t="b">
        <f t="shared" si="281"/>
        <v>0</v>
      </c>
      <c r="B917" s="71">
        <f t="shared" si="283"/>
        <v>916</v>
      </c>
      <c r="C917" s="71" t="s">
        <v>852</v>
      </c>
      <c r="D917" s="71" t="s">
        <v>906</v>
      </c>
      <c r="E917">
        <f t="shared" si="300"/>
        <v>3</v>
      </c>
      <c r="F917">
        <v>1</v>
      </c>
      <c r="G917">
        <f t="shared" si="284"/>
        <v>1</v>
      </c>
      <c r="H917" t="str">
        <f t="shared" si="285"/>
        <v>ISO</v>
      </c>
      <c r="I917" t="str">
        <f t="shared" si="286"/>
        <v>The abbreviation for the International</v>
      </c>
      <c r="J917" t="str">
        <f t="shared" si="287"/>
        <v>Organization for Standardization. ISO is Greek for</v>
      </c>
      <c r="K917" t="str">
        <f t="shared" si="288"/>
        <v>“equal,” while “International Organization for</v>
      </c>
      <c r="L917" t="str">
        <f t="shared" si="289"/>
        <v>Standardization” in a different language would</v>
      </c>
      <c r="M917" t="str">
        <f t="shared" si="290"/>
        <v>be abbreviated differently. The organization</v>
      </c>
      <c r="N917" t="str">
        <f t="shared" si="291"/>
        <v>elected to use “ISO” for all languages.</v>
      </c>
      <c r="O917" t="str">
        <f t="shared" si="292"/>
        <v/>
      </c>
      <c r="P917" t="str">
        <f t="shared" si="293"/>
        <v/>
      </c>
      <c r="Q917" t="str">
        <f t="shared" si="294"/>
        <v/>
      </c>
      <c r="R917" t="str">
        <f t="shared" si="295"/>
        <v/>
      </c>
      <c r="S917" t="str">
        <f t="shared" si="296"/>
        <v/>
      </c>
      <c r="T917" t="str">
        <f t="shared" si="297"/>
        <v/>
      </c>
      <c r="U917" t="str">
        <f t="shared" si="298"/>
        <v/>
      </c>
      <c r="V917" t="str">
        <f t="shared" si="299"/>
        <v/>
      </c>
      <c r="W917" s="71" t="str">
        <f>CONCATENATE(H917," ",I917," ",J917," ",K917," ",L917," ",M917," ",N917," ",O917," ",P917," ",Q917," ",R917," ",S917," ",T917," ",U917," ",V917)</f>
        <v xml:space="preserve">ISO The abbreviation for the International Organization for Standardization. ISO is Greek for “equal,” while “International Organization for Standardization” in a different language would be abbreviated differently. The organization elected to use “ISO” for all languages.        </v>
      </c>
    </row>
    <row r="918" spans="1:23" customFormat="1" hidden="1">
      <c r="A918" t="b">
        <f t="shared" si="281"/>
        <v>0</v>
      </c>
      <c r="B918">
        <f t="shared" si="283"/>
        <v>917</v>
      </c>
      <c r="C918" t="s">
        <v>852</v>
      </c>
      <c r="D918" t="s">
        <v>907</v>
      </c>
      <c r="E918">
        <f t="shared" si="300"/>
        <v>38</v>
      </c>
      <c r="G918">
        <f t="shared" si="284"/>
        <v>2</v>
      </c>
      <c r="H918" t="str">
        <f t="shared" si="285"/>
        <v/>
      </c>
      <c r="I918" t="str">
        <f t="shared" si="286"/>
        <v/>
      </c>
      <c r="J918" t="str">
        <f t="shared" si="287"/>
        <v/>
      </c>
      <c r="K918" t="str">
        <f t="shared" si="288"/>
        <v/>
      </c>
      <c r="L918" t="str">
        <f t="shared" si="289"/>
        <v/>
      </c>
      <c r="M918" t="str">
        <f t="shared" si="290"/>
        <v/>
      </c>
      <c r="N918" t="str">
        <f t="shared" si="291"/>
        <v/>
      </c>
      <c r="O918" t="str">
        <f t="shared" si="292"/>
        <v/>
      </c>
      <c r="P918" t="str">
        <f t="shared" si="293"/>
        <v/>
      </c>
      <c r="Q918" t="str">
        <f t="shared" si="294"/>
        <v/>
      </c>
      <c r="R918" t="str">
        <f t="shared" si="295"/>
        <v/>
      </c>
      <c r="S918" t="str">
        <f t="shared" si="296"/>
        <v/>
      </c>
      <c r="T918" t="str">
        <f t="shared" si="297"/>
        <v/>
      </c>
      <c r="U918" t="str">
        <f t="shared" si="298"/>
        <v/>
      </c>
      <c r="V918" t="str">
        <f t="shared" si="299"/>
        <v/>
      </c>
      <c r="W918" t="str">
        <f t="shared" si="282"/>
        <v xml:space="preserve">              </v>
      </c>
    </row>
    <row r="919" spans="1:23" customFormat="1" hidden="1">
      <c r="A919" t="b">
        <f t="shared" si="281"/>
        <v>0</v>
      </c>
      <c r="B919">
        <f t="shared" si="283"/>
        <v>918</v>
      </c>
      <c r="C919" t="s">
        <v>852</v>
      </c>
      <c r="D919" t="s">
        <v>908</v>
      </c>
      <c r="E919">
        <f t="shared" si="300"/>
        <v>50</v>
      </c>
      <c r="G919">
        <f t="shared" si="284"/>
        <v>3</v>
      </c>
      <c r="H919" t="str">
        <f t="shared" si="285"/>
        <v/>
      </c>
      <c r="I919" t="str">
        <f t="shared" si="286"/>
        <v/>
      </c>
      <c r="J919" t="str">
        <f t="shared" si="287"/>
        <v/>
      </c>
      <c r="K919" t="str">
        <f t="shared" si="288"/>
        <v/>
      </c>
      <c r="L919" t="str">
        <f t="shared" si="289"/>
        <v/>
      </c>
      <c r="M919" t="str">
        <f t="shared" si="290"/>
        <v/>
      </c>
      <c r="N919" t="str">
        <f t="shared" si="291"/>
        <v/>
      </c>
      <c r="O919" t="str">
        <f t="shared" si="292"/>
        <v/>
      </c>
      <c r="P919" t="str">
        <f t="shared" si="293"/>
        <v/>
      </c>
      <c r="Q919" t="str">
        <f t="shared" si="294"/>
        <v/>
      </c>
      <c r="R919" t="str">
        <f t="shared" si="295"/>
        <v/>
      </c>
      <c r="S919" t="str">
        <f t="shared" si="296"/>
        <v/>
      </c>
      <c r="T919" t="str">
        <f t="shared" si="297"/>
        <v/>
      </c>
      <c r="U919" t="str">
        <f t="shared" si="298"/>
        <v/>
      </c>
      <c r="V919" t="str">
        <f t="shared" si="299"/>
        <v/>
      </c>
      <c r="W919" t="str">
        <f t="shared" si="282"/>
        <v xml:space="preserve">              </v>
      </c>
    </row>
    <row r="920" spans="1:23" customFormat="1" hidden="1">
      <c r="A920" t="b">
        <f t="shared" si="281"/>
        <v>0</v>
      </c>
      <c r="B920">
        <f t="shared" si="283"/>
        <v>919</v>
      </c>
      <c r="C920" t="s">
        <v>852</v>
      </c>
      <c r="D920" t="s">
        <v>909</v>
      </c>
      <c r="E920">
        <f t="shared" si="300"/>
        <v>46</v>
      </c>
      <c r="G920">
        <f t="shared" si="284"/>
        <v>4</v>
      </c>
      <c r="H920" t="str">
        <f t="shared" si="285"/>
        <v/>
      </c>
      <c r="I920" t="str">
        <f t="shared" si="286"/>
        <v/>
      </c>
      <c r="J920" t="str">
        <f t="shared" si="287"/>
        <v/>
      </c>
      <c r="K920" t="str">
        <f t="shared" si="288"/>
        <v/>
      </c>
      <c r="L920" t="str">
        <f t="shared" si="289"/>
        <v/>
      </c>
      <c r="M920" t="str">
        <f t="shared" si="290"/>
        <v/>
      </c>
      <c r="N920" t="str">
        <f t="shared" si="291"/>
        <v/>
      </c>
      <c r="O920" t="str">
        <f t="shared" si="292"/>
        <v/>
      </c>
      <c r="P920" t="str">
        <f t="shared" si="293"/>
        <v/>
      </c>
      <c r="Q920" t="str">
        <f t="shared" si="294"/>
        <v/>
      </c>
      <c r="R920" t="str">
        <f t="shared" si="295"/>
        <v/>
      </c>
      <c r="S920" t="str">
        <f t="shared" si="296"/>
        <v/>
      </c>
      <c r="T920" t="str">
        <f t="shared" si="297"/>
        <v/>
      </c>
      <c r="U920" t="str">
        <f t="shared" si="298"/>
        <v/>
      </c>
      <c r="V920" t="str">
        <f t="shared" si="299"/>
        <v/>
      </c>
      <c r="W920" t="str">
        <f t="shared" si="282"/>
        <v xml:space="preserve">              </v>
      </c>
    </row>
    <row r="921" spans="1:23" customFormat="1" hidden="1">
      <c r="A921" t="b">
        <f t="shared" si="281"/>
        <v>0</v>
      </c>
      <c r="B921">
        <f t="shared" si="283"/>
        <v>920</v>
      </c>
      <c r="C921" t="s">
        <v>852</v>
      </c>
      <c r="D921" t="s">
        <v>910</v>
      </c>
      <c r="E921">
        <f t="shared" si="300"/>
        <v>46</v>
      </c>
      <c r="G921">
        <f t="shared" si="284"/>
        <v>5</v>
      </c>
      <c r="H921" t="str">
        <f t="shared" si="285"/>
        <v/>
      </c>
      <c r="I921" t="str">
        <f t="shared" si="286"/>
        <v/>
      </c>
      <c r="J921" t="str">
        <f t="shared" si="287"/>
        <v/>
      </c>
      <c r="K921" t="str">
        <f t="shared" si="288"/>
        <v/>
      </c>
      <c r="L921" t="str">
        <f t="shared" si="289"/>
        <v/>
      </c>
      <c r="M921" t="str">
        <f t="shared" si="290"/>
        <v/>
      </c>
      <c r="N921" t="str">
        <f t="shared" si="291"/>
        <v/>
      </c>
      <c r="O921" t="str">
        <f t="shared" si="292"/>
        <v/>
      </c>
      <c r="P921" t="str">
        <f t="shared" si="293"/>
        <v/>
      </c>
      <c r="Q921" t="str">
        <f t="shared" si="294"/>
        <v/>
      </c>
      <c r="R921" t="str">
        <f t="shared" si="295"/>
        <v/>
      </c>
      <c r="S921" t="str">
        <f t="shared" si="296"/>
        <v/>
      </c>
      <c r="T921" t="str">
        <f t="shared" si="297"/>
        <v/>
      </c>
      <c r="U921" t="str">
        <f t="shared" si="298"/>
        <v/>
      </c>
      <c r="V921" t="str">
        <f t="shared" si="299"/>
        <v/>
      </c>
      <c r="W921" t="str">
        <f t="shared" si="282"/>
        <v xml:space="preserve">              </v>
      </c>
    </row>
    <row r="922" spans="1:23" customFormat="1" hidden="1">
      <c r="A922" t="b">
        <f t="shared" si="281"/>
        <v>0</v>
      </c>
      <c r="B922">
        <f t="shared" si="283"/>
        <v>921</v>
      </c>
      <c r="C922" t="s">
        <v>852</v>
      </c>
      <c r="D922" t="s">
        <v>911</v>
      </c>
      <c r="E922">
        <f t="shared" si="300"/>
        <v>44</v>
      </c>
      <c r="G922">
        <f t="shared" si="284"/>
        <v>6</v>
      </c>
      <c r="H922" t="str">
        <f t="shared" si="285"/>
        <v/>
      </c>
      <c r="I922" t="str">
        <f t="shared" si="286"/>
        <v/>
      </c>
      <c r="J922" t="str">
        <f t="shared" si="287"/>
        <v/>
      </c>
      <c r="K922" t="str">
        <f t="shared" si="288"/>
        <v/>
      </c>
      <c r="L922" t="str">
        <f t="shared" si="289"/>
        <v/>
      </c>
      <c r="M922" t="str">
        <f t="shared" si="290"/>
        <v/>
      </c>
      <c r="N922" t="str">
        <f t="shared" si="291"/>
        <v/>
      </c>
      <c r="O922" t="str">
        <f t="shared" si="292"/>
        <v/>
      </c>
      <c r="P922" t="str">
        <f t="shared" si="293"/>
        <v/>
      </c>
      <c r="Q922" t="str">
        <f t="shared" si="294"/>
        <v/>
      </c>
      <c r="R922" t="str">
        <f t="shared" si="295"/>
        <v/>
      </c>
      <c r="S922" t="str">
        <f t="shared" si="296"/>
        <v/>
      </c>
      <c r="T922" t="str">
        <f t="shared" si="297"/>
        <v/>
      </c>
      <c r="U922" t="str">
        <f t="shared" si="298"/>
        <v/>
      </c>
      <c r="V922" t="str">
        <f t="shared" si="299"/>
        <v/>
      </c>
      <c r="W922" t="str">
        <f t="shared" si="282"/>
        <v xml:space="preserve">              </v>
      </c>
    </row>
    <row r="923" spans="1:23" customFormat="1" hidden="1">
      <c r="A923" t="b">
        <f t="shared" si="281"/>
        <v>0</v>
      </c>
      <c r="B923">
        <f t="shared" si="283"/>
        <v>922</v>
      </c>
      <c r="C923" t="s">
        <v>852</v>
      </c>
      <c r="D923" t="s">
        <v>912</v>
      </c>
      <c r="E923">
        <f t="shared" si="300"/>
        <v>39</v>
      </c>
      <c r="G923">
        <f t="shared" si="284"/>
        <v>7</v>
      </c>
      <c r="H923" t="str">
        <f t="shared" si="285"/>
        <v/>
      </c>
      <c r="I923" t="str">
        <f t="shared" si="286"/>
        <v/>
      </c>
      <c r="J923" t="str">
        <f t="shared" si="287"/>
        <v/>
      </c>
      <c r="K923" t="str">
        <f t="shared" si="288"/>
        <v/>
      </c>
      <c r="L923" t="str">
        <f t="shared" si="289"/>
        <v/>
      </c>
      <c r="M923" t="str">
        <f t="shared" si="290"/>
        <v/>
      </c>
      <c r="N923" t="str">
        <f t="shared" si="291"/>
        <v/>
      </c>
      <c r="O923" t="str">
        <f t="shared" si="292"/>
        <v/>
      </c>
      <c r="P923" t="str">
        <f t="shared" si="293"/>
        <v/>
      </c>
      <c r="Q923" t="str">
        <f t="shared" si="294"/>
        <v/>
      </c>
      <c r="R923" t="str">
        <f t="shared" si="295"/>
        <v/>
      </c>
      <c r="S923" t="str">
        <f t="shared" si="296"/>
        <v/>
      </c>
      <c r="T923" t="str">
        <f t="shared" si="297"/>
        <v/>
      </c>
      <c r="U923" t="str">
        <f t="shared" si="298"/>
        <v/>
      </c>
      <c r="V923" t="str">
        <f t="shared" si="299"/>
        <v/>
      </c>
      <c r="W923" t="str">
        <f t="shared" si="282"/>
        <v xml:space="preserve">              </v>
      </c>
    </row>
    <row r="924" spans="1:23" hidden="1">
      <c r="A924" s="71" t="b">
        <f t="shared" si="281"/>
        <v>0</v>
      </c>
      <c r="B924" s="71">
        <f t="shared" si="283"/>
        <v>923</v>
      </c>
      <c r="C924" s="71" t="s">
        <v>852</v>
      </c>
      <c r="D924" s="71" t="s">
        <v>913</v>
      </c>
      <c r="E924">
        <f t="shared" si="300"/>
        <v>14</v>
      </c>
      <c r="F924">
        <v>1</v>
      </c>
      <c r="G924">
        <f t="shared" si="284"/>
        <v>1</v>
      </c>
      <c r="H924" t="str">
        <f t="shared" si="285"/>
        <v>Matrix diagram</v>
      </c>
      <c r="I924" t="str">
        <f t="shared" si="286"/>
        <v>A data analysis table that shows the strength</v>
      </c>
      <c r="J924" t="str">
        <f t="shared" si="287"/>
        <v>between variables and relationships in the</v>
      </c>
      <c r="K924" t="str">
        <f t="shared" si="288"/>
        <v>matrix.</v>
      </c>
      <c r="L924" t="str">
        <f t="shared" si="289"/>
        <v/>
      </c>
      <c r="M924" t="str">
        <f t="shared" si="290"/>
        <v/>
      </c>
      <c r="N924" t="str">
        <f t="shared" si="291"/>
        <v/>
      </c>
      <c r="O924" t="str">
        <f t="shared" si="292"/>
        <v/>
      </c>
      <c r="P924" t="str">
        <f t="shared" si="293"/>
        <v/>
      </c>
      <c r="Q924" t="str">
        <f t="shared" si="294"/>
        <v/>
      </c>
      <c r="R924" t="str">
        <f t="shared" si="295"/>
        <v/>
      </c>
      <c r="S924" t="str">
        <f t="shared" si="296"/>
        <v/>
      </c>
      <c r="T924" t="str">
        <f t="shared" si="297"/>
        <v/>
      </c>
      <c r="U924" t="str">
        <f t="shared" si="298"/>
        <v/>
      </c>
      <c r="V924" t="str">
        <f t="shared" si="299"/>
        <v/>
      </c>
      <c r="W924" s="71" t="str">
        <f>CONCATENATE(H924," ",I924," ",J924," ",K924," ",L924," ",M924," ",N924," ",O924," ",P924," ",Q924," ",R924," ",S924," ",T924," ",U924," ",V924)</f>
        <v xml:space="preserve">Matrix diagram A data analysis table that shows the strength between variables and relationships in the matrix.           </v>
      </c>
    </row>
    <row r="925" spans="1:23" customFormat="1" hidden="1">
      <c r="A925" t="b">
        <f t="shared" si="281"/>
        <v>0</v>
      </c>
      <c r="B925">
        <f t="shared" si="283"/>
        <v>924</v>
      </c>
      <c r="C925" t="s">
        <v>852</v>
      </c>
      <c r="D925" t="s">
        <v>914</v>
      </c>
      <c r="E925">
        <f t="shared" si="300"/>
        <v>45</v>
      </c>
      <c r="G925">
        <f t="shared" si="284"/>
        <v>2</v>
      </c>
      <c r="H925" t="str">
        <f t="shared" si="285"/>
        <v/>
      </c>
      <c r="I925" t="str">
        <f t="shared" si="286"/>
        <v/>
      </c>
      <c r="J925" t="str">
        <f t="shared" si="287"/>
        <v/>
      </c>
      <c r="K925" t="str">
        <f t="shared" si="288"/>
        <v/>
      </c>
      <c r="L925" t="str">
        <f t="shared" si="289"/>
        <v/>
      </c>
      <c r="M925" t="str">
        <f t="shared" si="290"/>
        <v/>
      </c>
      <c r="N925" t="str">
        <f t="shared" si="291"/>
        <v/>
      </c>
      <c r="O925" t="str">
        <f t="shared" si="292"/>
        <v/>
      </c>
      <c r="P925" t="str">
        <f t="shared" si="293"/>
        <v/>
      </c>
      <c r="Q925" t="str">
        <f t="shared" si="294"/>
        <v/>
      </c>
      <c r="R925" t="str">
        <f t="shared" si="295"/>
        <v/>
      </c>
      <c r="S925" t="str">
        <f t="shared" si="296"/>
        <v/>
      </c>
      <c r="T925" t="str">
        <f t="shared" si="297"/>
        <v/>
      </c>
      <c r="U925" t="str">
        <f t="shared" si="298"/>
        <v/>
      </c>
      <c r="V925" t="str">
        <f t="shared" si="299"/>
        <v/>
      </c>
      <c r="W925" t="str">
        <f t="shared" si="282"/>
        <v xml:space="preserve">              </v>
      </c>
    </row>
    <row r="926" spans="1:23" customFormat="1" hidden="1">
      <c r="A926" t="b">
        <f t="shared" si="281"/>
        <v>0</v>
      </c>
      <c r="B926">
        <f t="shared" si="283"/>
        <v>925</v>
      </c>
      <c r="C926" t="s">
        <v>852</v>
      </c>
      <c r="D926" t="s">
        <v>915</v>
      </c>
      <c r="E926">
        <f t="shared" si="300"/>
        <v>42</v>
      </c>
      <c r="G926">
        <f t="shared" si="284"/>
        <v>3</v>
      </c>
      <c r="H926" t="str">
        <f t="shared" si="285"/>
        <v/>
      </c>
      <c r="I926" t="str">
        <f t="shared" si="286"/>
        <v/>
      </c>
      <c r="J926" t="str">
        <f t="shared" si="287"/>
        <v/>
      </c>
      <c r="K926" t="str">
        <f t="shared" si="288"/>
        <v/>
      </c>
      <c r="L926" t="str">
        <f t="shared" si="289"/>
        <v/>
      </c>
      <c r="M926" t="str">
        <f t="shared" si="290"/>
        <v/>
      </c>
      <c r="N926" t="str">
        <f t="shared" si="291"/>
        <v/>
      </c>
      <c r="O926" t="str">
        <f t="shared" si="292"/>
        <v/>
      </c>
      <c r="P926" t="str">
        <f t="shared" si="293"/>
        <v/>
      </c>
      <c r="Q926" t="str">
        <f t="shared" si="294"/>
        <v/>
      </c>
      <c r="R926" t="str">
        <f t="shared" si="295"/>
        <v/>
      </c>
      <c r="S926" t="str">
        <f t="shared" si="296"/>
        <v/>
      </c>
      <c r="T926" t="str">
        <f t="shared" si="297"/>
        <v/>
      </c>
      <c r="U926" t="str">
        <f t="shared" si="298"/>
        <v/>
      </c>
      <c r="V926" t="str">
        <f t="shared" si="299"/>
        <v/>
      </c>
      <c r="W926" t="str">
        <f t="shared" si="282"/>
        <v xml:space="preserve">              </v>
      </c>
    </row>
    <row r="927" spans="1:23" customFormat="1" hidden="1">
      <c r="A927" t="b">
        <f t="shared" si="281"/>
        <v>0</v>
      </c>
      <c r="B927">
        <f t="shared" si="283"/>
        <v>926</v>
      </c>
      <c r="C927" t="s">
        <v>852</v>
      </c>
      <c r="D927" t="s">
        <v>916</v>
      </c>
      <c r="E927">
        <f t="shared" si="300"/>
        <v>7</v>
      </c>
      <c r="G927">
        <f t="shared" si="284"/>
        <v>4</v>
      </c>
      <c r="H927" t="str">
        <f t="shared" si="285"/>
        <v/>
      </c>
      <c r="I927" t="str">
        <f t="shared" si="286"/>
        <v/>
      </c>
      <c r="J927" t="str">
        <f t="shared" si="287"/>
        <v/>
      </c>
      <c r="K927" t="str">
        <f t="shared" si="288"/>
        <v/>
      </c>
      <c r="L927" t="str">
        <f t="shared" si="289"/>
        <v/>
      </c>
      <c r="M927" t="str">
        <f t="shared" si="290"/>
        <v/>
      </c>
      <c r="N927" t="str">
        <f t="shared" si="291"/>
        <v/>
      </c>
      <c r="O927" t="str">
        <f t="shared" si="292"/>
        <v/>
      </c>
      <c r="P927" t="str">
        <f t="shared" si="293"/>
        <v/>
      </c>
      <c r="Q927" t="str">
        <f t="shared" si="294"/>
        <v/>
      </c>
      <c r="R927" t="str">
        <f t="shared" si="295"/>
        <v/>
      </c>
      <c r="S927" t="str">
        <f t="shared" si="296"/>
        <v/>
      </c>
      <c r="T927" t="str">
        <f t="shared" si="297"/>
        <v/>
      </c>
      <c r="U927" t="str">
        <f t="shared" si="298"/>
        <v/>
      </c>
      <c r="V927" t="str">
        <f t="shared" si="299"/>
        <v/>
      </c>
      <c r="W927" t="str">
        <f t="shared" si="282"/>
        <v xml:space="preserve">              </v>
      </c>
    </row>
    <row r="928" spans="1:23" hidden="1">
      <c r="A928" s="71" t="b">
        <f t="shared" si="281"/>
        <v>0</v>
      </c>
      <c r="B928" s="71">
        <f t="shared" si="283"/>
        <v>927</v>
      </c>
      <c r="C928" s="71" t="s">
        <v>852</v>
      </c>
      <c r="D928" s="71" t="s">
        <v>917</v>
      </c>
      <c r="E928">
        <f t="shared" si="300"/>
        <v>14</v>
      </c>
      <c r="F928">
        <v>1</v>
      </c>
      <c r="G928">
        <f t="shared" si="284"/>
        <v>1</v>
      </c>
      <c r="H928" t="str">
        <f t="shared" si="285"/>
        <v>Pareto diagram</v>
      </c>
      <c r="I928" t="str">
        <f t="shared" si="286"/>
        <v>A histogram that illustrates and ranks categories</v>
      </c>
      <c r="J928" t="str">
        <f t="shared" si="287"/>
        <v>of failure within a project.</v>
      </c>
      <c r="K928" t="str">
        <f t="shared" si="288"/>
        <v/>
      </c>
      <c r="L928" t="str">
        <f t="shared" si="289"/>
        <v/>
      </c>
      <c r="M928" t="str">
        <f t="shared" si="290"/>
        <v/>
      </c>
      <c r="N928" t="str">
        <f t="shared" si="291"/>
        <v/>
      </c>
      <c r="O928" t="str">
        <f t="shared" si="292"/>
        <v/>
      </c>
      <c r="P928" t="str">
        <f t="shared" si="293"/>
        <v/>
      </c>
      <c r="Q928" t="str">
        <f t="shared" si="294"/>
        <v/>
      </c>
      <c r="R928" t="str">
        <f t="shared" si="295"/>
        <v/>
      </c>
      <c r="S928" t="str">
        <f t="shared" si="296"/>
        <v/>
      </c>
      <c r="T928" t="str">
        <f t="shared" si="297"/>
        <v/>
      </c>
      <c r="U928" t="str">
        <f t="shared" si="298"/>
        <v/>
      </c>
      <c r="V928" t="str">
        <f t="shared" si="299"/>
        <v/>
      </c>
      <c r="W928" s="71" t="str">
        <f>CONCATENATE(H928," ",I928," ",J928," ",K928," ",L928," ",M928," ",N928," ",O928," ",P928," ",Q928," ",R928," ",S928," ",T928," ",U928," ",V928)</f>
        <v xml:space="preserve">Pareto diagram A histogram that illustrates and ranks categories of failure within a project.            </v>
      </c>
    </row>
    <row r="929" spans="1:23" customFormat="1" hidden="1">
      <c r="A929" t="b">
        <f t="shared" si="281"/>
        <v>0</v>
      </c>
      <c r="B929">
        <f t="shared" si="283"/>
        <v>928</v>
      </c>
      <c r="C929" t="s">
        <v>852</v>
      </c>
      <c r="D929" t="s">
        <v>918</v>
      </c>
      <c r="E929">
        <f t="shared" si="300"/>
        <v>49</v>
      </c>
      <c r="G929">
        <f t="shared" si="284"/>
        <v>2</v>
      </c>
      <c r="H929" t="str">
        <f t="shared" si="285"/>
        <v/>
      </c>
      <c r="I929" t="str">
        <f t="shared" si="286"/>
        <v/>
      </c>
      <c r="J929" t="str">
        <f t="shared" si="287"/>
        <v/>
      </c>
      <c r="K929" t="str">
        <f t="shared" si="288"/>
        <v/>
      </c>
      <c r="L929" t="str">
        <f t="shared" si="289"/>
        <v/>
      </c>
      <c r="M929" t="str">
        <f t="shared" si="290"/>
        <v/>
      </c>
      <c r="N929" t="str">
        <f t="shared" si="291"/>
        <v/>
      </c>
      <c r="O929" t="str">
        <f t="shared" si="292"/>
        <v/>
      </c>
      <c r="P929" t="str">
        <f t="shared" si="293"/>
        <v/>
      </c>
      <c r="Q929" t="str">
        <f t="shared" si="294"/>
        <v/>
      </c>
      <c r="R929" t="str">
        <f t="shared" si="295"/>
        <v/>
      </c>
      <c r="S929" t="str">
        <f t="shared" si="296"/>
        <v/>
      </c>
      <c r="T929" t="str">
        <f t="shared" si="297"/>
        <v/>
      </c>
      <c r="U929" t="str">
        <f t="shared" si="298"/>
        <v/>
      </c>
      <c r="V929" t="str">
        <f t="shared" si="299"/>
        <v/>
      </c>
      <c r="W929" t="str">
        <f t="shared" si="282"/>
        <v xml:space="preserve">              </v>
      </c>
    </row>
    <row r="930" spans="1:23" customFormat="1" hidden="1">
      <c r="A930" t="b">
        <f t="shared" si="281"/>
        <v>0</v>
      </c>
      <c r="B930">
        <f t="shared" si="283"/>
        <v>929</v>
      </c>
      <c r="C930" t="s">
        <v>852</v>
      </c>
      <c r="D930" t="s">
        <v>919</v>
      </c>
      <c r="E930">
        <f t="shared" si="300"/>
        <v>28</v>
      </c>
      <c r="G930">
        <f t="shared" si="284"/>
        <v>3</v>
      </c>
      <c r="H930" t="str">
        <f t="shared" si="285"/>
        <v/>
      </c>
      <c r="I930" t="str">
        <f t="shared" si="286"/>
        <v/>
      </c>
      <c r="J930" t="str">
        <f t="shared" si="287"/>
        <v/>
      </c>
      <c r="K930" t="str">
        <f t="shared" si="288"/>
        <v/>
      </c>
      <c r="L930" t="str">
        <f t="shared" si="289"/>
        <v/>
      </c>
      <c r="M930" t="str">
        <f t="shared" si="290"/>
        <v/>
      </c>
      <c r="N930" t="str">
        <f t="shared" si="291"/>
        <v/>
      </c>
      <c r="O930" t="str">
        <f t="shared" si="292"/>
        <v/>
      </c>
      <c r="P930" t="str">
        <f t="shared" si="293"/>
        <v/>
      </c>
      <c r="Q930" t="str">
        <f t="shared" si="294"/>
        <v/>
      </c>
      <c r="R930" t="str">
        <f t="shared" si="295"/>
        <v/>
      </c>
      <c r="S930" t="str">
        <f t="shared" si="296"/>
        <v/>
      </c>
      <c r="T930" t="str">
        <f t="shared" si="297"/>
        <v/>
      </c>
      <c r="U930" t="str">
        <f t="shared" si="298"/>
        <v/>
      </c>
      <c r="V930" t="str">
        <f t="shared" si="299"/>
        <v/>
      </c>
      <c r="W930" t="str">
        <f t="shared" si="282"/>
        <v xml:space="preserve">              </v>
      </c>
    </row>
    <row r="931" spans="1:23" hidden="1">
      <c r="A931" s="71" t="b">
        <f t="shared" si="281"/>
        <v>0</v>
      </c>
      <c r="B931" s="71">
        <f t="shared" si="283"/>
        <v>930</v>
      </c>
      <c r="C931" s="71" t="s">
        <v>852</v>
      </c>
      <c r="D931" s="71" t="s">
        <v>920</v>
      </c>
      <c r="E931">
        <f t="shared" si="300"/>
        <v>7</v>
      </c>
      <c r="F931">
        <v>1</v>
      </c>
      <c r="G931">
        <f t="shared" si="284"/>
        <v>1</v>
      </c>
      <c r="H931" t="str">
        <f t="shared" si="285"/>
        <v>Quality</v>
      </c>
      <c r="I931" t="str">
        <f t="shared" si="286"/>
        <v>According to ASQ, the degree to which a set of</v>
      </c>
      <c r="J931" t="str">
        <f t="shared" si="287"/>
        <v>inherent characteristics fulfills requirements.</v>
      </c>
      <c r="K931" t="str">
        <f t="shared" si="288"/>
        <v/>
      </c>
      <c r="L931" t="str">
        <f t="shared" si="289"/>
        <v/>
      </c>
      <c r="M931" t="str">
        <f t="shared" si="290"/>
        <v/>
      </c>
      <c r="N931" t="str">
        <f t="shared" si="291"/>
        <v/>
      </c>
      <c r="O931" t="str">
        <f t="shared" si="292"/>
        <v/>
      </c>
      <c r="P931" t="str">
        <f t="shared" si="293"/>
        <v/>
      </c>
      <c r="Q931" t="str">
        <f t="shared" si="294"/>
        <v/>
      </c>
      <c r="R931" t="str">
        <f t="shared" si="295"/>
        <v/>
      </c>
      <c r="S931" t="str">
        <f t="shared" si="296"/>
        <v/>
      </c>
      <c r="T931" t="str">
        <f t="shared" si="297"/>
        <v/>
      </c>
      <c r="U931" t="str">
        <f t="shared" si="298"/>
        <v/>
      </c>
      <c r="V931" t="str">
        <f t="shared" si="299"/>
        <v/>
      </c>
      <c r="W931" s="71" t="str">
        <f>CONCATENATE(H931," ",I931," ",J931," ",K931," ",L931," ",M931," ",N931," ",O931," ",P931," ",Q931," ",R931," ",S931," ",T931," ",U931," ",V931)</f>
        <v xml:space="preserve">Quality According to ASQ, the degree to which a set of inherent characteristics fulfills requirements.            </v>
      </c>
    </row>
    <row r="932" spans="1:23" customFormat="1" hidden="1">
      <c r="A932" t="b">
        <f t="shared" si="281"/>
        <v>0</v>
      </c>
      <c r="B932">
        <f t="shared" si="283"/>
        <v>931</v>
      </c>
      <c r="C932" t="s">
        <v>852</v>
      </c>
      <c r="D932" t="s">
        <v>921</v>
      </c>
      <c r="E932">
        <f t="shared" si="300"/>
        <v>46</v>
      </c>
      <c r="G932">
        <f t="shared" si="284"/>
        <v>2</v>
      </c>
      <c r="H932" t="str">
        <f t="shared" si="285"/>
        <v/>
      </c>
      <c r="I932" t="str">
        <f t="shared" si="286"/>
        <v/>
      </c>
      <c r="J932" t="str">
        <f t="shared" si="287"/>
        <v/>
      </c>
      <c r="K932" t="str">
        <f t="shared" si="288"/>
        <v/>
      </c>
      <c r="L932" t="str">
        <f t="shared" si="289"/>
        <v/>
      </c>
      <c r="M932" t="str">
        <f t="shared" si="290"/>
        <v/>
      </c>
      <c r="N932" t="str">
        <f t="shared" si="291"/>
        <v/>
      </c>
      <c r="O932" t="str">
        <f t="shared" si="292"/>
        <v/>
      </c>
      <c r="P932" t="str">
        <f t="shared" si="293"/>
        <v/>
      </c>
      <c r="Q932" t="str">
        <f t="shared" si="294"/>
        <v/>
      </c>
      <c r="R932" t="str">
        <f t="shared" si="295"/>
        <v/>
      </c>
      <c r="S932" t="str">
        <f t="shared" si="296"/>
        <v/>
      </c>
      <c r="T932" t="str">
        <f t="shared" si="297"/>
        <v/>
      </c>
      <c r="U932" t="str">
        <f t="shared" si="298"/>
        <v/>
      </c>
      <c r="V932" t="str">
        <f t="shared" si="299"/>
        <v/>
      </c>
      <c r="W932" t="str">
        <f t="shared" si="282"/>
        <v xml:space="preserve">              </v>
      </c>
    </row>
    <row r="933" spans="1:23" customFormat="1" hidden="1">
      <c r="A933" t="b">
        <f t="shared" si="281"/>
        <v>0</v>
      </c>
      <c r="B933">
        <f t="shared" si="283"/>
        <v>932</v>
      </c>
      <c r="C933" t="s">
        <v>852</v>
      </c>
      <c r="D933" t="s">
        <v>922</v>
      </c>
      <c r="E933">
        <f t="shared" si="300"/>
        <v>47</v>
      </c>
      <c r="G933">
        <f t="shared" si="284"/>
        <v>3</v>
      </c>
      <c r="H933" t="str">
        <f t="shared" si="285"/>
        <v/>
      </c>
      <c r="I933" t="str">
        <f t="shared" si="286"/>
        <v/>
      </c>
      <c r="J933" t="str">
        <f t="shared" si="287"/>
        <v/>
      </c>
      <c r="K933" t="str">
        <f t="shared" si="288"/>
        <v/>
      </c>
      <c r="L933" t="str">
        <f t="shared" si="289"/>
        <v/>
      </c>
      <c r="M933" t="str">
        <f t="shared" si="290"/>
        <v/>
      </c>
      <c r="N933" t="str">
        <f t="shared" si="291"/>
        <v/>
      </c>
      <c r="O933" t="str">
        <f t="shared" si="292"/>
        <v/>
      </c>
      <c r="P933" t="str">
        <f t="shared" si="293"/>
        <v/>
      </c>
      <c r="Q933" t="str">
        <f t="shared" si="294"/>
        <v/>
      </c>
      <c r="R933" t="str">
        <f t="shared" si="295"/>
        <v/>
      </c>
      <c r="S933" t="str">
        <f t="shared" si="296"/>
        <v/>
      </c>
      <c r="T933" t="str">
        <f t="shared" si="297"/>
        <v/>
      </c>
      <c r="U933" t="str">
        <f t="shared" si="298"/>
        <v/>
      </c>
      <c r="V933" t="str">
        <f t="shared" si="299"/>
        <v/>
      </c>
      <c r="W933" t="str">
        <f t="shared" si="282"/>
        <v xml:space="preserve">              </v>
      </c>
    </row>
    <row r="934" spans="1:23" hidden="1">
      <c r="A934" s="71" t="b">
        <f t="shared" si="281"/>
        <v>0</v>
      </c>
      <c r="B934" s="71">
        <f t="shared" si="283"/>
        <v>933</v>
      </c>
      <c r="C934" s="71" t="s">
        <v>852</v>
      </c>
      <c r="D934" s="71" t="s">
        <v>923</v>
      </c>
      <c r="E934">
        <f t="shared" si="300"/>
        <v>17</v>
      </c>
      <c r="F934">
        <v>1</v>
      </c>
      <c r="G934">
        <f t="shared" si="284"/>
        <v>1</v>
      </c>
      <c r="H934" t="str">
        <f t="shared" si="285"/>
        <v>Quality assurance</v>
      </c>
      <c r="I934" t="str">
        <f t="shared" si="286"/>
        <v>A management process that defines the quality</v>
      </c>
      <c r="J934" t="str">
        <f t="shared" si="287"/>
        <v>system or quality policy that a project must</v>
      </c>
      <c r="K934" t="str">
        <f t="shared" si="288"/>
        <v>adhere to. QA aims to plan quality into the</v>
      </c>
      <c r="L934" t="str">
        <f t="shared" si="289"/>
        <v>project rather than to inspect quality into a</v>
      </c>
      <c r="M934" t="str">
        <f t="shared" si="290"/>
        <v>deliverable.</v>
      </c>
      <c r="N934" t="str">
        <f t="shared" si="291"/>
        <v/>
      </c>
      <c r="O934" t="str">
        <f t="shared" si="292"/>
        <v/>
      </c>
      <c r="P934" t="str">
        <f t="shared" si="293"/>
        <v/>
      </c>
      <c r="Q934" t="str">
        <f t="shared" si="294"/>
        <v/>
      </c>
      <c r="R934" t="str">
        <f t="shared" si="295"/>
        <v/>
      </c>
      <c r="S934" t="str">
        <f t="shared" si="296"/>
        <v/>
      </c>
      <c r="T934" t="str">
        <f t="shared" si="297"/>
        <v/>
      </c>
      <c r="U934" t="str">
        <f t="shared" si="298"/>
        <v/>
      </c>
      <c r="V934" t="str">
        <f t="shared" si="299"/>
        <v/>
      </c>
      <c r="W934" s="71" t="str">
        <f>CONCATENATE(H934," ",I934," ",J934," ",K934," ",L934," ",M934," ",N934," ",O934," ",P934," ",Q934," ",R934," ",S934," ",T934," ",U934," ",V934)</f>
        <v xml:space="preserve">Quality assurance A management process that defines the quality system or quality policy that a project must adhere to. QA aims to plan quality into the project rather than to inspect quality into a deliverable.         </v>
      </c>
    </row>
    <row r="935" spans="1:23" customFormat="1" hidden="1">
      <c r="A935" t="b">
        <f t="shared" si="281"/>
        <v>0</v>
      </c>
      <c r="B935">
        <f t="shared" si="283"/>
        <v>934</v>
      </c>
      <c r="C935" t="s">
        <v>852</v>
      </c>
      <c r="D935" t="s">
        <v>924</v>
      </c>
      <c r="E935">
        <f t="shared" si="300"/>
        <v>45</v>
      </c>
      <c r="G935">
        <f t="shared" si="284"/>
        <v>2</v>
      </c>
      <c r="H935" t="str">
        <f t="shared" si="285"/>
        <v/>
      </c>
      <c r="I935" t="str">
        <f t="shared" si="286"/>
        <v/>
      </c>
      <c r="J935" t="str">
        <f t="shared" si="287"/>
        <v/>
      </c>
      <c r="K935" t="str">
        <f t="shared" si="288"/>
        <v/>
      </c>
      <c r="L935" t="str">
        <f t="shared" si="289"/>
        <v/>
      </c>
      <c r="M935" t="str">
        <f t="shared" si="290"/>
        <v/>
      </c>
      <c r="N935" t="str">
        <f t="shared" si="291"/>
        <v/>
      </c>
      <c r="O935" t="str">
        <f t="shared" si="292"/>
        <v/>
      </c>
      <c r="P935" t="str">
        <f t="shared" si="293"/>
        <v/>
      </c>
      <c r="Q935" t="str">
        <f t="shared" si="294"/>
        <v/>
      </c>
      <c r="R935" t="str">
        <f t="shared" si="295"/>
        <v/>
      </c>
      <c r="S935" t="str">
        <f t="shared" si="296"/>
        <v/>
      </c>
      <c r="T935" t="str">
        <f t="shared" si="297"/>
        <v/>
      </c>
      <c r="U935" t="str">
        <f t="shared" si="298"/>
        <v/>
      </c>
      <c r="V935" t="str">
        <f t="shared" si="299"/>
        <v/>
      </c>
      <c r="W935" t="str">
        <f t="shared" si="282"/>
        <v xml:space="preserve">              </v>
      </c>
    </row>
    <row r="936" spans="1:23" customFormat="1" hidden="1">
      <c r="A936" t="b">
        <f t="shared" si="281"/>
        <v>0</v>
      </c>
      <c r="B936">
        <f t="shared" si="283"/>
        <v>935</v>
      </c>
      <c r="C936" t="s">
        <v>852</v>
      </c>
      <c r="D936" t="s">
        <v>925</v>
      </c>
      <c r="E936">
        <f t="shared" si="300"/>
        <v>44</v>
      </c>
      <c r="G936">
        <f t="shared" si="284"/>
        <v>3</v>
      </c>
      <c r="H936" t="str">
        <f t="shared" si="285"/>
        <v/>
      </c>
      <c r="I936" t="str">
        <f t="shared" si="286"/>
        <v/>
      </c>
      <c r="J936" t="str">
        <f t="shared" si="287"/>
        <v/>
      </c>
      <c r="K936" t="str">
        <f t="shared" si="288"/>
        <v/>
      </c>
      <c r="L936" t="str">
        <f t="shared" si="289"/>
        <v/>
      </c>
      <c r="M936" t="str">
        <f t="shared" si="290"/>
        <v/>
      </c>
      <c r="N936" t="str">
        <f t="shared" si="291"/>
        <v/>
      </c>
      <c r="O936" t="str">
        <f t="shared" si="292"/>
        <v/>
      </c>
      <c r="P936" t="str">
        <f t="shared" si="293"/>
        <v/>
      </c>
      <c r="Q936" t="str">
        <f t="shared" si="294"/>
        <v/>
      </c>
      <c r="R936" t="str">
        <f t="shared" si="295"/>
        <v/>
      </c>
      <c r="S936" t="str">
        <f t="shared" si="296"/>
        <v/>
      </c>
      <c r="T936" t="str">
        <f t="shared" si="297"/>
        <v/>
      </c>
      <c r="U936" t="str">
        <f t="shared" si="298"/>
        <v/>
      </c>
      <c r="V936" t="str">
        <f t="shared" si="299"/>
        <v/>
      </c>
      <c r="W936" t="str">
        <f t="shared" si="282"/>
        <v xml:space="preserve">              </v>
      </c>
    </row>
    <row r="937" spans="1:23" customFormat="1" hidden="1">
      <c r="A937" t="b">
        <f t="shared" si="281"/>
        <v>0</v>
      </c>
      <c r="B937">
        <f t="shared" si="283"/>
        <v>936</v>
      </c>
      <c r="C937" t="s">
        <v>852</v>
      </c>
      <c r="D937" t="s">
        <v>926</v>
      </c>
      <c r="E937">
        <f t="shared" si="300"/>
        <v>43</v>
      </c>
      <c r="G937">
        <f t="shared" si="284"/>
        <v>4</v>
      </c>
      <c r="H937" t="str">
        <f t="shared" si="285"/>
        <v/>
      </c>
      <c r="I937" t="str">
        <f t="shared" si="286"/>
        <v/>
      </c>
      <c r="J937" t="str">
        <f t="shared" si="287"/>
        <v/>
      </c>
      <c r="K937" t="str">
        <f t="shared" si="288"/>
        <v/>
      </c>
      <c r="L937" t="str">
        <f t="shared" si="289"/>
        <v/>
      </c>
      <c r="M937" t="str">
        <f t="shared" si="290"/>
        <v/>
      </c>
      <c r="N937" t="str">
        <f t="shared" si="291"/>
        <v/>
      </c>
      <c r="O937" t="str">
        <f t="shared" si="292"/>
        <v/>
      </c>
      <c r="P937" t="str">
        <f t="shared" si="293"/>
        <v/>
      </c>
      <c r="Q937" t="str">
        <f t="shared" si="294"/>
        <v/>
      </c>
      <c r="R937" t="str">
        <f t="shared" si="295"/>
        <v/>
      </c>
      <c r="S937" t="str">
        <f t="shared" si="296"/>
        <v/>
      </c>
      <c r="T937" t="str">
        <f t="shared" si="297"/>
        <v/>
      </c>
      <c r="U937" t="str">
        <f t="shared" si="298"/>
        <v/>
      </c>
      <c r="V937" t="str">
        <f t="shared" si="299"/>
        <v/>
      </c>
      <c r="W937" t="str">
        <f t="shared" si="282"/>
        <v xml:space="preserve">              </v>
      </c>
    </row>
    <row r="938" spans="1:23" customFormat="1" hidden="1">
      <c r="A938" t="b">
        <f t="shared" si="281"/>
        <v>0</v>
      </c>
      <c r="B938">
        <f t="shared" si="283"/>
        <v>937</v>
      </c>
      <c r="C938" t="s">
        <v>852</v>
      </c>
      <c r="D938" t="s">
        <v>927</v>
      </c>
      <c r="E938">
        <f t="shared" si="300"/>
        <v>45</v>
      </c>
      <c r="G938">
        <f t="shared" si="284"/>
        <v>5</v>
      </c>
      <c r="H938" t="str">
        <f t="shared" si="285"/>
        <v/>
      </c>
      <c r="I938" t="str">
        <f t="shared" si="286"/>
        <v/>
      </c>
      <c r="J938" t="str">
        <f t="shared" si="287"/>
        <v/>
      </c>
      <c r="K938" t="str">
        <f t="shared" si="288"/>
        <v/>
      </c>
      <c r="L938" t="str">
        <f t="shared" si="289"/>
        <v/>
      </c>
      <c r="M938" t="str">
        <f t="shared" si="290"/>
        <v/>
      </c>
      <c r="N938" t="str">
        <f t="shared" si="291"/>
        <v/>
      </c>
      <c r="O938" t="str">
        <f t="shared" si="292"/>
        <v/>
      </c>
      <c r="P938" t="str">
        <f t="shared" si="293"/>
        <v/>
      </c>
      <c r="Q938" t="str">
        <f t="shared" si="294"/>
        <v/>
      </c>
      <c r="R938" t="str">
        <f t="shared" si="295"/>
        <v/>
      </c>
      <c r="S938" t="str">
        <f t="shared" si="296"/>
        <v/>
      </c>
      <c r="T938" t="str">
        <f t="shared" si="297"/>
        <v/>
      </c>
      <c r="U938" t="str">
        <f t="shared" si="298"/>
        <v/>
      </c>
      <c r="V938" t="str">
        <f t="shared" si="299"/>
        <v/>
      </c>
      <c r="W938" t="str">
        <f t="shared" si="282"/>
        <v xml:space="preserve">              </v>
      </c>
    </row>
    <row r="939" spans="1:23" customFormat="1" hidden="1">
      <c r="A939" t="b">
        <f t="shared" si="281"/>
        <v>0</v>
      </c>
      <c r="B939">
        <f t="shared" si="283"/>
        <v>938</v>
      </c>
      <c r="C939" t="s">
        <v>852</v>
      </c>
      <c r="D939" t="s">
        <v>328</v>
      </c>
      <c r="E939">
        <f t="shared" si="300"/>
        <v>12</v>
      </c>
      <c r="G939">
        <f t="shared" si="284"/>
        <v>6</v>
      </c>
      <c r="H939" t="str">
        <f t="shared" si="285"/>
        <v/>
      </c>
      <c r="I939" t="str">
        <f t="shared" si="286"/>
        <v/>
      </c>
      <c r="J939" t="str">
        <f t="shared" si="287"/>
        <v/>
      </c>
      <c r="K939" t="str">
        <f t="shared" si="288"/>
        <v/>
      </c>
      <c r="L939" t="str">
        <f t="shared" si="289"/>
        <v/>
      </c>
      <c r="M939" t="str">
        <f t="shared" si="290"/>
        <v/>
      </c>
      <c r="N939" t="str">
        <f t="shared" si="291"/>
        <v/>
      </c>
      <c r="O939" t="str">
        <f t="shared" si="292"/>
        <v/>
      </c>
      <c r="P939" t="str">
        <f t="shared" si="293"/>
        <v/>
      </c>
      <c r="Q939" t="str">
        <f t="shared" si="294"/>
        <v/>
      </c>
      <c r="R939" t="str">
        <f t="shared" si="295"/>
        <v/>
      </c>
      <c r="S939" t="str">
        <f t="shared" si="296"/>
        <v/>
      </c>
      <c r="T939" t="str">
        <f t="shared" si="297"/>
        <v/>
      </c>
      <c r="U939" t="str">
        <f t="shared" si="298"/>
        <v/>
      </c>
      <c r="V939" t="str">
        <f t="shared" si="299"/>
        <v/>
      </c>
      <c r="W939" t="str">
        <f t="shared" si="282"/>
        <v xml:space="preserve">              </v>
      </c>
    </row>
    <row r="940" spans="1:23" hidden="1">
      <c r="A940" s="71" t="b">
        <f t="shared" si="281"/>
        <v>0</v>
      </c>
      <c r="B940" s="71">
        <f t="shared" si="283"/>
        <v>939</v>
      </c>
      <c r="C940" s="71" t="s">
        <v>852</v>
      </c>
      <c r="D940" s="71" t="s">
        <v>329</v>
      </c>
      <c r="E940">
        <f t="shared" si="300"/>
        <v>23</v>
      </c>
      <c r="F940">
        <v>1</v>
      </c>
      <c r="G940">
        <f t="shared" si="284"/>
        <v>1</v>
      </c>
      <c r="H940" t="str">
        <f t="shared" si="285"/>
        <v>Quality management plan</v>
      </c>
      <c r="I940" t="str">
        <f t="shared" si="286"/>
        <v>This plan defines how the project team will</v>
      </c>
      <c r="J940" t="str">
        <f t="shared" si="287"/>
        <v>implement and fulfill the quality policy of the</v>
      </c>
      <c r="K940" t="str">
        <f t="shared" si="288"/>
        <v>performing organization.</v>
      </c>
      <c r="L940" t="str">
        <f t="shared" si="289"/>
        <v/>
      </c>
      <c r="M940" t="str">
        <f t="shared" si="290"/>
        <v/>
      </c>
      <c r="N940" t="str">
        <f t="shared" si="291"/>
        <v/>
      </c>
      <c r="O940" t="str">
        <f t="shared" si="292"/>
        <v/>
      </c>
      <c r="P940" t="str">
        <f t="shared" si="293"/>
        <v/>
      </c>
      <c r="Q940" t="str">
        <f t="shared" si="294"/>
        <v/>
      </c>
      <c r="R940" t="str">
        <f t="shared" si="295"/>
        <v/>
      </c>
      <c r="S940" t="str">
        <f t="shared" si="296"/>
        <v/>
      </c>
      <c r="T940" t="str">
        <f t="shared" si="297"/>
        <v/>
      </c>
      <c r="U940" t="str">
        <f t="shared" si="298"/>
        <v/>
      </c>
      <c r="V940" t="str">
        <f t="shared" si="299"/>
        <v/>
      </c>
      <c r="W940" s="71" t="str">
        <f>CONCATENATE(H940," ",I940," ",J940," ",K940," ",L940," ",M940," ",N940," ",O940," ",P940," ",Q940," ",R940," ",S940," ",T940," ",U940," ",V940)</f>
        <v xml:space="preserve">Quality management plan This plan defines how the project team will implement and fulfill the quality policy of the performing organization.           </v>
      </c>
    </row>
    <row r="941" spans="1:23" customFormat="1" hidden="1">
      <c r="A941" t="b">
        <f t="shared" si="281"/>
        <v>0</v>
      </c>
      <c r="B941">
        <f t="shared" si="283"/>
        <v>940</v>
      </c>
      <c r="C941" t="s">
        <v>852</v>
      </c>
      <c r="D941" t="s">
        <v>928</v>
      </c>
      <c r="E941">
        <f t="shared" si="300"/>
        <v>43</v>
      </c>
      <c r="G941">
        <f t="shared" si="284"/>
        <v>2</v>
      </c>
      <c r="H941" t="str">
        <f t="shared" si="285"/>
        <v/>
      </c>
      <c r="I941" t="str">
        <f t="shared" si="286"/>
        <v/>
      </c>
      <c r="J941" t="str">
        <f t="shared" si="287"/>
        <v/>
      </c>
      <c r="K941" t="str">
        <f t="shared" si="288"/>
        <v/>
      </c>
      <c r="L941" t="str">
        <f t="shared" si="289"/>
        <v/>
      </c>
      <c r="M941" t="str">
        <f t="shared" si="290"/>
        <v/>
      </c>
      <c r="N941" t="str">
        <f t="shared" si="291"/>
        <v/>
      </c>
      <c r="O941" t="str">
        <f t="shared" si="292"/>
        <v/>
      </c>
      <c r="P941" t="str">
        <f t="shared" si="293"/>
        <v/>
      </c>
      <c r="Q941" t="str">
        <f t="shared" si="294"/>
        <v/>
      </c>
      <c r="R941" t="str">
        <f t="shared" si="295"/>
        <v/>
      </c>
      <c r="S941" t="str">
        <f t="shared" si="296"/>
        <v/>
      </c>
      <c r="T941" t="str">
        <f t="shared" si="297"/>
        <v/>
      </c>
      <c r="U941" t="str">
        <f t="shared" si="298"/>
        <v/>
      </c>
      <c r="V941" t="str">
        <f t="shared" si="299"/>
        <v/>
      </c>
      <c r="W941" t="str">
        <f t="shared" si="282"/>
        <v xml:space="preserve">              </v>
      </c>
    </row>
    <row r="942" spans="1:23" customFormat="1" hidden="1">
      <c r="A942" t="b">
        <f t="shared" si="281"/>
        <v>0</v>
      </c>
      <c r="B942">
        <f t="shared" si="283"/>
        <v>941</v>
      </c>
      <c r="C942" t="s">
        <v>852</v>
      </c>
      <c r="D942" t="s">
        <v>929</v>
      </c>
      <c r="E942">
        <f t="shared" si="300"/>
        <v>47</v>
      </c>
      <c r="G942">
        <f t="shared" si="284"/>
        <v>3</v>
      </c>
      <c r="H942" t="str">
        <f t="shared" si="285"/>
        <v/>
      </c>
      <c r="I942" t="str">
        <f t="shared" si="286"/>
        <v/>
      </c>
      <c r="J942" t="str">
        <f t="shared" si="287"/>
        <v/>
      </c>
      <c r="K942" t="str">
        <f t="shared" si="288"/>
        <v/>
      </c>
      <c r="L942" t="str">
        <f t="shared" si="289"/>
        <v/>
      </c>
      <c r="M942" t="str">
        <f t="shared" si="290"/>
        <v/>
      </c>
      <c r="N942" t="str">
        <f t="shared" si="291"/>
        <v/>
      </c>
      <c r="O942" t="str">
        <f t="shared" si="292"/>
        <v/>
      </c>
      <c r="P942" t="str">
        <f t="shared" si="293"/>
        <v/>
      </c>
      <c r="Q942" t="str">
        <f t="shared" si="294"/>
        <v/>
      </c>
      <c r="R942" t="str">
        <f t="shared" si="295"/>
        <v/>
      </c>
      <c r="S942" t="str">
        <f t="shared" si="296"/>
        <v/>
      </c>
      <c r="T942" t="str">
        <f t="shared" si="297"/>
        <v/>
      </c>
      <c r="U942" t="str">
        <f t="shared" si="298"/>
        <v/>
      </c>
      <c r="V942" t="str">
        <f t="shared" si="299"/>
        <v/>
      </c>
      <c r="W942" t="str">
        <f t="shared" si="282"/>
        <v xml:space="preserve">              </v>
      </c>
    </row>
    <row r="943" spans="1:23" customFormat="1" hidden="1">
      <c r="A943" t="b">
        <f t="shared" si="281"/>
        <v>0</v>
      </c>
      <c r="B943">
        <f t="shared" si="283"/>
        <v>942</v>
      </c>
      <c r="C943" t="s">
        <v>852</v>
      </c>
      <c r="D943" t="s">
        <v>229</v>
      </c>
      <c r="E943">
        <f t="shared" si="300"/>
        <v>24</v>
      </c>
      <c r="G943">
        <f t="shared" si="284"/>
        <v>4</v>
      </c>
      <c r="H943" t="str">
        <f t="shared" si="285"/>
        <v/>
      </c>
      <c r="I943" t="str">
        <f t="shared" si="286"/>
        <v/>
      </c>
      <c r="J943" t="str">
        <f t="shared" si="287"/>
        <v/>
      </c>
      <c r="K943" t="str">
        <f t="shared" si="288"/>
        <v/>
      </c>
      <c r="L943" t="str">
        <f t="shared" si="289"/>
        <v/>
      </c>
      <c r="M943" t="str">
        <f t="shared" si="290"/>
        <v/>
      </c>
      <c r="N943" t="str">
        <f t="shared" si="291"/>
        <v/>
      </c>
      <c r="O943" t="str">
        <f t="shared" si="292"/>
        <v/>
      </c>
      <c r="P943" t="str">
        <f t="shared" si="293"/>
        <v/>
      </c>
      <c r="Q943" t="str">
        <f t="shared" si="294"/>
        <v/>
      </c>
      <c r="R943" t="str">
        <f t="shared" si="295"/>
        <v/>
      </c>
      <c r="S943" t="str">
        <f t="shared" si="296"/>
        <v/>
      </c>
      <c r="T943" t="str">
        <f t="shared" si="297"/>
        <v/>
      </c>
      <c r="U943" t="str">
        <f t="shared" si="298"/>
        <v/>
      </c>
      <c r="V943" t="str">
        <f t="shared" si="299"/>
        <v/>
      </c>
      <c r="W943" t="str">
        <f t="shared" si="282"/>
        <v xml:space="preserve">              </v>
      </c>
    </row>
    <row r="944" spans="1:23" hidden="1">
      <c r="A944" s="71" t="b">
        <f t="shared" si="281"/>
        <v>0</v>
      </c>
      <c r="B944" s="71">
        <f t="shared" si="283"/>
        <v>943</v>
      </c>
      <c r="C944" s="71" t="s">
        <v>852</v>
      </c>
      <c r="D944" s="71" t="s">
        <v>930</v>
      </c>
      <c r="E944">
        <f t="shared" si="300"/>
        <v>15</v>
      </c>
      <c r="F944">
        <v>1</v>
      </c>
      <c r="G944">
        <f t="shared" si="284"/>
        <v>1</v>
      </c>
      <c r="H944" t="str">
        <f t="shared" si="285"/>
        <v>Quality metrics</v>
      </c>
      <c r="I944" t="str">
        <f t="shared" si="286"/>
        <v>The operational definitions that specify the</v>
      </c>
      <c r="J944" t="str">
        <f t="shared" si="287"/>
        <v>measurements within a project and the expected</v>
      </c>
      <c r="K944" t="str">
        <f t="shared" si="288"/>
        <v>targets for quality and performance.</v>
      </c>
      <c r="L944" t="str">
        <f t="shared" si="289"/>
        <v/>
      </c>
      <c r="M944" t="str">
        <f t="shared" si="290"/>
        <v/>
      </c>
      <c r="N944" t="str">
        <f t="shared" si="291"/>
        <v/>
      </c>
      <c r="O944" t="str">
        <f t="shared" si="292"/>
        <v/>
      </c>
      <c r="P944" t="str">
        <f t="shared" si="293"/>
        <v/>
      </c>
      <c r="Q944" t="str">
        <f t="shared" si="294"/>
        <v/>
      </c>
      <c r="R944" t="str">
        <f t="shared" si="295"/>
        <v/>
      </c>
      <c r="S944" t="str">
        <f t="shared" si="296"/>
        <v/>
      </c>
      <c r="T944" t="str">
        <f t="shared" si="297"/>
        <v/>
      </c>
      <c r="U944" t="str">
        <f t="shared" si="298"/>
        <v/>
      </c>
      <c r="V944" t="str">
        <f t="shared" si="299"/>
        <v/>
      </c>
      <c r="W944" s="71" t="str">
        <f>CONCATENATE(H944," ",I944," ",J944," ",K944," ",L944," ",M944," ",N944," ",O944," ",P944," ",Q944," ",R944," ",S944," ",T944," ",U944," ",V944)</f>
        <v xml:space="preserve">Quality metrics The operational definitions that specify the measurements within a project and the expected targets for quality and performance.           </v>
      </c>
    </row>
    <row r="945" spans="1:23" customFormat="1" hidden="1">
      <c r="A945" t="b">
        <f t="shared" si="281"/>
        <v>0</v>
      </c>
      <c r="B945">
        <f t="shared" si="283"/>
        <v>944</v>
      </c>
      <c r="C945" t="s">
        <v>852</v>
      </c>
      <c r="D945" t="s">
        <v>931</v>
      </c>
      <c r="E945">
        <f t="shared" si="300"/>
        <v>44</v>
      </c>
      <c r="G945">
        <f t="shared" si="284"/>
        <v>2</v>
      </c>
      <c r="H945" t="str">
        <f t="shared" si="285"/>
        <v/>
      </c>
      <c r="I945" t="str">
        <f t="shared" si="286"/>
        <v/>
      </c>
      <c r="J945" t="str">
        <f t="shared" si="287"/>
        <v/>
      </c>
      <c r="K945" t="str">
        <f t="shared" si="288"/>
        <v/>
      </c>
      <c r="L945" t="str">
        <f t="shared" si="289"/>
        <v/>
      </c>
      <c r="M945" t="str">
        <f t="shared" si="290"/>
        <v/>
      </c>
      <c r="N945" t="str">
        <f t="shared" si="291"/>
        <v/>
      </c>
      <c r="O945" t="str">
        <f t="shared" si="292"/>
        <v/>
      </c>
      <c r="P945" t="str">
        <f t="shared" si="293"/>
        <v/>
      </c>
      <c r="Q945" t="str">
        <f t="shared" si="294"/>
        <v/>
      </c>
      <c r="R945" t="str">
        <f t="shared" si="295"/>
        <v/>
      </c>
      <c r="S945" t="str">
        <f t="shared" si="296"/>
        <v/>
      </c>
      <c r="T945" t="str">
        <f t="shared" si="297"/>
        <v/>
      </c>
      <c r="U945" t="str">
        <f t="shared" si="298"/>
        <v/>
      </c>
      <c r="V945" t="str">
        <f t="shared" si="299"/>
        <v/>
      </c>
      <c r="W945" t="str">
        <f t="shared" si="282"/>
        <v xml:space="preserve">              </v>
      </c>
    </row>
    <row r="946" spans="1:23" customFormat="1" hidden="1">
      <c r="A946" t="b">
        <f t="shared" si="281"/>
        <v>0</v>
      </c>
      <c r="B946">
        <f t="shared" si="283"/>
        <v>945</v>
      </c>
      <c r="C946" t="s">
        <v>852</v>
      </c>
      <c r="D946" t="s">
        <v>932</v>
      </c>
      <c r="E946">
        <f t="shared" si="300"/>
        <v>46</v>
      </c>
      <c r="G946">
        <f t="shared" si="284"/>
        <v>3</v>
      </c>
      <c r="H946" t="str">
        <f t="shared" si="285"/>
        <v/>
      </c>
      <c r="I946" t="str">
        <f t="shared" si="286"/>
        <v/>
      </c>
      <c r="J946" t="str">
        <f t="shared" si="287"/>
        <v/>
      </c>
      <c r="K946" t="str">
        <f t="shared" si="288"/>
        <v/>
      </c>
      <c r="L946" t="str">
        <f t="shared" si="289"/>
        <v/>
      </c>
      <c r="M946" t="str">
        <f t="shared" si="290"/>
        <v/>
      </c>
      <c r="N946" t="str">
        <f t="shared" si="291"/>
        <v/>
      </c>
      <c r="O946" t="str">
        <f t="shared" si="292"/>
        <v/>
      </c>
      <c r="P946" t="str">
        <f t="shared" si="293"/>
        <v/>
      </c>
      <c r="Q946" t="str">
        <f t="shared" si="294"/>
        <v/>
      </c>
      <c r="R946" t="str">
        <f t="shared" si="295"/>
        <v/>
      </c>
      <c r="S946" t="str">
        <f t="shared" si="296"/>
        <v/>
      </c>
      <c r="T946" t="str">
        <f t="shared" si="297"/>
        <v/>
      </c>
      <c r="U946" t="str">
        <f t="shared" si="298"/>
        <v/>
      </c>
      <c r="V946" t="str">
        <f t="shared" si="299"/>
        <v/>
      </c>
      <c r="W946" t="str">
        <f t="shared" si="282"/>
        <v xml:space="preserve">              </v>
      </c>
    </row>
    <row r="947" spans="1:23" customFormat="1" hidden="1">
      <c r="A947" t="b">
        <f t="shared" si="281"/>
        <v>0</v>
      </c>
      <c r="B947">
        <f t="shared" si="283"/>
        <v>946</v>
      </c>
      <c r="C947" t="s">
        <v>852</v>
      </c>
      <c r="D947" t="s">
        <v>933</v>
      </c>
      <c r="E947">
        <f t="shared" si="300"/>
        <v>36</v>
      </c>
      <c r="G947">
        <f t="shared" si="284"/>
        <v>4</v>
      </c>
      <c r="H947" t="str">
        <f t="shared" si="285"/>
        <v/>
      </c>
      <c r="I947" t="str">
        <f t="shared" si="286"/>
        <v/>
      </c>
      <c r="J947" t="str">
        <f t="shared" si="287"/>
        <v/>
      </c>
      <c r="K947" t="str">
        <f t="shared" si="288"/>
        <v/>
      </c>
      <c r="L947" t="str">
        <f t="shared" si="289"/>
        <v/>
      </c>
      <c r="M947" t="str">
        <f t="shared" si="290"/>
        <v/>
      </c>
      <c r="N947" t="str">
        <f t="shared" si="291"/>
        <v/>
      </c>
      <c r="O947" t="str">
        <f t="shared" si="292"/>
        <v/>
      </c>
      <c r="P947" t="str">
        <f t="shared" si="293"/>
        <v/>
      </c>
      <c r="Q947" t="str">
        <f t="shared" si="294"/>
        <v/>
      </c>
      <c r="R947" t="str">
        <f t="shared" si="295"/>
        <v/>
      </c>
      <c r="S947" t="str">
        <f t="shared" si="296"/>
        <v/>
      </c>
      <c r="T947" t="str">
        <f t="shared" si="297"/>
        <v/>
      </c>
      <c r="U947" t="str">
        <f t="shared" si="298"/>
        <v/>
      </c>
      <c r="V947" t="str">
        <f t="shared" si="299"/>
        <v/>
      </c>
      <c r="W947" t="str">
        <f t="shared" si="282"/>
        <v xml:space="preserve">              </v>
      </c>
    </row>
    <row r="948" spans="1:23" hidden="1">
      <c r="A948" s="71" t="b">
        <f t="shared" si="281"/>
        <v>0</v>
      </c>
      <c r="B948" s="71">
        <f t="shared" si="283"/>
        <v>947</v>
      </c>
      <c r="C948" s="71" t="s">
        <v>852</v>
      </c>
      <c r="D948" s="71" t="s">
        <v>934</v>
      </c>
      <c r="E948">
        <f t="shared" si="300"/>
        <v>16</v>
      </c>
      <c r="F948">
        <v>1</v>
      </c>
      <c r="G948">
        <f t="shared" si="284"/>
        <v>1</v>
      </c>
      <c r="H948" t="str">
        <f t="shared" si="285"/>
        <v>Quality planning</v>
      </c>
      <c r="I948" t="str">
        <f t="shared" si="286"/>
        <v>The process of first determining which quality</v>
      </c>
      <c r="J948" t="str">
        <f t="shared" si="287"/>
        <v>standards are relevant to your project and then</v>
      </c>
      <c r="K948" t="str">
        <f t="shared" si="288"/>
        <v>finding out the best methods of adhering to</v>
      </c>
      <c r="L948" t="str">
        <f t="shared" si="289"/>
        <v>those quality standards.</v>
      </c>
      <c r="M948" t="str">
        <f t="shared" si="290"/>
        <v/>
      </c>
      <c r="N948" t="str">
        <f t="shared" si="291"/>
        <v/>
      </c>
      <c r="O948" t="str">
        <f t="shared" si="292"/>
        <v/>
      </c>
      <c r="P948" t="str">
        <f t="shared" si="293"/>
        <v/>
      </c>
      <c r="Q948" t="str">
        <f t="shared" si="294"/>
        <v/>
      </c>
      <c r="R948" t="str">
        <f t="shared" si="295"/>
        <v/>
      </c>
      <c r="S948" t="str">
        <f t="shared" si="296"/>
        <v/>
      </c>
      <c r="T948" t="str">
        <f t="shared" si="297"/>
        <v/>
      </c>
      <c r="U948" t="str">
        <f t="shared" si="298"/>
        <v/>
      </c>
      <c r="V948" t="str">
        <f t="shared" si="299"/>
        <v/>
      </c>
      <c r="W948" s="71" t="str">
        <f>CONCATENATE(H948," ",I948," ",J948," ",K948," ",L948," ",M948," ",N948," ",O948," ",P948," ",Q948," ",R948," ",S948," ",T948," ",U948," ",V948)</f>
        <v xml:space="preserve">Quality planning The process of first determining which quality standards are relevant to your project and then finding out the best methods of adhering to those quality standards.          </v>
      </c>
    </row>
    <row r="949" spans="1:23" customFormat="1" hidden="1">
      <c r="A949" t="b">
        <f t="shared" si="281"/>
        <v>0</v>
      </c>
      <c r="B949">
        <f t="shared" si="283"/>
        <v>948</v>
      </c>
      <c r="C949" t="s">
        <v>852</v>
      </c>
      <c r="D949" t="s">
        <v>935</v>
      </c>
      <c r="E949">
        <f t="shared" si="300"/>
        <v>46</v>
      </c>
      <c r="G949">
        <f t="shared" si="284"/>
        <v>2</v>
      </c>
      <c r="H949" t="str">
        <f t="shared" si="285"/>
        <v/>
      </c>
      <c r="I949" t="str">
        <f t="shared" si="286"/>
        <v/>
      </c>
      <c r="J949" t="str">
        <f t="shared" si="287"/>
        <v/>
      </c>
      <c r="K949" t="str">
        <f t="shared" si="288"/>
        <v/>
      </c>
      <c r="L949" t="str">
        <f t="shared" si="289"/>
        <v/>
      </c>
      <c r="M949" t="str">
        <f t="shared" si="290"/>
        <v/>
      </c>
      <c r="N949" t="str">
        <f t="shared" si="291"/>
        <v/>
      </c>
      <c r="O949" t="str">
        <f t="shared" si="292"/>
        <v/>
      </c>
      <c r="P949" t="str">
        <f t="shared" si="293"/>
        <v/>
      </c>
      <c r="Q949" t="str">
        <f t="shared" si="294"/>
        <v/>
      </c>
      <c r="R949" t="str">
        <f t="shared" si="295"/>
        <v/>
      </c>
      <c r="S949" t="str">
        <f t="shared" si="296"/>
        <v/>
      </c>
      <c r="T949" t="str">
        <f t="shared" si="297"/>
        <v/>
      </c>
      <c r="U949" t="str">
        <f t="shared" si="298"/>
        <v/>
      </c>
      <c r="V949" t="str">
        <f t="shared" si="299"/>
        <v/>
      </c>
      <c r="W949" t="str">
        <f t="shared" si="282"/>
        <v xml:space="preserve">              </v>
      </c>
    </row>
    <row r="950" spans="1:23" customFormat="1" hidden="1">
      <c r="A950" t="b">
        <f t="shared" si="281"/>
        <v>0</v>
      </c>
      <c r="B950">
        <f t="shared" si="283"/>
        <v>949</v>
      </c>
      <c r="C950" t="s">
        <v>852</v>
      </c>
      <c r="D950" t="s">
        <v>936</v>
      </c>
      <c r="E950">
        <f t="shared" si="300"/>
        <v>47</v>
      </c>
      <c r="G950">
        <f t="shared" si="284"/>
        <v>3</v>
      </c>
      <c r="H950" t="str">
        <f t="shared" si="285"/>
        <v/>
      </c>
      <c r="I950" t="str">
        <f t="shared" si="286"/>
        <v/>
      </c>
      <c r="J950" t="str">
        <f t="shared" si="287"/>
        <v/>
      </c>
      <c r="K950" t="str">
        <f t="shared" si="288"/>
        <v/>
      </c>
      <c r="L950" t="str">
        <f t="shared" si="289"/>
        <v/>
      </c>
      <c r="M950" t="str">
        <f t="shared" si="290"/>
        <v/>
      </c>
      <c r="N950" t="str">
        <f t="shared" si="291"/>
        <v/>
      </c>
      <c r="O950" t="str">
        <f t="shared" si="292"/>
        <v/>
      </c>
      <c r="P950" t="str">
        <f t="shared" si="293"/>
        <v/>
      </c>
      <c r="Q950" t="str">
        <f t="shared" si="294"/>
        <v/>
      </c>
      <c r="R950" t="str">
        <f t="shared" si="295"/>
        <v/>
      </c>
      <c r="S950" t="str">
        <f t="shared" si="296"/>
        <v/>
      </c>
      <c r="T950" t="str">
        <f t="shared" si="297"/>
        <v/>
      </c>
      <c r="U950" t="str">
        <f t="shared" si="298"/>
        <v/>
      </c>
      <c r="V950" t="str">
        <f t="shared" si="299"/>
        <v/>
      </c>
      <c r="W950" t="str">
        <f t="shared" si="282"/>
        <v xml:space="preserve">              </v>
      </c>
    </row>
    <row r="951" spans="1:23" customFormat="1" hidden="1">
      <c r="A951" t="b">
        <f t="shared" si="281"/>
        <v>0</v>
      </c>
      <c r="B951">
        <f t="shared" si="283"/>
        <v>950</v>
      </c>
      <c r="C951" t="s">
        <v>852</v>
      </c>
      <c r="D951" t="s">
        <v>937</v>
      </c>
      <c r="E951">
        <f t="shared" si="300"/>
        <v>43</v>
      </c>
      <c r="G951">
        <f t="shared" si="284"/>
        <v>4</v>
      </c>
      <c r="H951" t="str">
        <f t="shared" si="285"/>
        <v/>
      </c>
      <c r="I951" t="str">
        <f t="shared" si="286"/>
        <v/>
      </c>
      <c r="J951" t="str">
        <f t="shared" si="287"/>
        <v/>
      </c>
      <c r="K951" t="str">
        <f t="shared" si="288"/>
        <v/>
      </c>
      <c r="L951" t="str">
        <f t="shared" si="289"/>
        <v/>
      </c>
      <c r="M951" t="str">
        <f t="shared" si="290"/>
        <v/>
      </c>
      <c r="N951" t="str">
        <f t="shared" si="291"/>
        <v/>
      </c>
      <c r="O951" t="str">
        <f t="shared" si="292"/>
        <v/>
      </c>
      <c r="P951" t="str">
        <f t="shared" si="293"/>
        <v/>
      </c>
      <c r="Q951" t="str">
        <f t="shared" si="294"/>
        <v/>
      </c>
      <c r="R951" t="str">
        <f t="shared" si="295"/>
        <v/>
      </c>
      <c r="S951" t="str">
        <f t="shared" si="296"/>
        <v/>
      </c>
      <c r="T951" t="str">
        <f t="shared" si="297"/>
        <v/>
      </c>
      <c r="U951" t="str">
        <f t="shared" si="298"/>
        <v/>
      </c>
      <c r="V951" t="str">
        <f t="shared" si="299"/>
        <v/>
      </c>
      <c r="W951" t="str">
        <f t="shared" si="282"/>
        <v xml:space="preserve">              </v>
      </c>
    </row>
    <row r="952" spans="1:23" customFormat="1" hidden="1">
      <c r="A952" t="b">
        <f t="shared" si="281"/>
        <v>0</v>
      </c>
      <c r="B952">
        <f t="shared" si="283"/>
        <v>951</v>
      </c>
      <c r="C952" t="s">
        <v>852</v>
      </c>
      <c r="D952" t="s">
        <v>938</v>
      </c>
      <c r="E952">
        <f t="shared" si="300"/>
        <v>24</v>
      </c>
      <c r="G952">
        <f t="shared" si="284"/>
        <v>5</v>
      </c>
      <c r="H952" t="str">
        <f t="shared" si="285"/>
        <v/>
      </c>
      <c r="I952" t="str">
        <f t="shared" si="286"/>
        <v/>
      </c>
      <c r="J952" t="str">
        <f t="shared" si="287"/>
        <v/>
      </c>
      <c r="K952" t="str">
        <f t="shared" si="288"/>
        <v/>
      </c>
      <c r="L952" t="str">
        <f t="shared" si="289"/>
        <v/>
      </c>
      <c r="M952" t="str">
        <f t="shared" si="290"/>
        <v/>
      </c>
      <c r="N952" t="str">
        <f t="shared" si="291"/>
        <v/>
      </c>
      <c r="O952" t="str">
        <f t="shared" si="292"/>
        <v/>
      </c>
      <c r="P952" t="str">
        <f t="shared" si="293"/>
        <v/>
      </c>
      <c r="Q952" t="str">
        <f t="shared" si="294"/>
        <v/>
      </c>
      <c r="R952" t="str">
        <f t="shared" si="295"/>
        <v/>
      </c>
      <c r="S952" t="str">
        <f t="shared" si="296"/>
        <v/>
      </c>
      <c r="T952" t="str">
        <f t="shared" si="297"/>
        <v/>
      </c>
      <c r="U952" t="str">
        <f t="shared" si="298"/>
        <v/>
      </c>
      <c r="V952" t="str">
        <f t="shared" si="299"/>
        <v/>
      </c>
      <c r="W952" t="str">
        <f t="shared" si="282"/>
        <v xml:space="preserve">              </v>
      </c>
    </row>
    <row r="953" spans="1:23" hidden="1">
      <c r="A953" s="71" t="b">
        <f t="shared" si="281"/>
        <v>0</v>
      </c>
      <c r="B953" s="71">
        <f t="shared" si="283"/>
        <v>952</v>
      </c>
      <c r="C953" s="71" t="s">
        <v>852</v>
      </c>
      <c r="D953" s="71" t="s">
        <v>939</v>
      </c>
      <c r="E953">
        <f t="shared" si="300"/>
        <v>13</v>
      </c>
      <c r="F953">
        <v>1</v>
      </c>
      <c r="G953">
        <f t="shared" si="284"/>
        <v>1</v>
      </c>
      <c r="H953" t="str">
        <f t="shared" si="285"/>
        <v>Rule of Seven</v>
      </c>
      <c r="I953" t="str">
        <f t="shared" si="286"/>
        <v>A component of a control chart that illustrates</v>
      </c>
      <c r="J953" t="str">
        <f t="shared" si="287"/>
        <v>the results of seven measurements on one side</v>
      </c>
      <c r="K953" t="str">
        <f t="shared" si="288"/>
        <v>of the mean, which is considered “out of control”</v>
      </c>
      <c r="L953" t="str">
        <f t="shared" si="289"/>
        <v>in the project.</v>
      </c>
      <c r="M953" t="str">
        <f t="shared" si="290"/>
        <v/>
      </c>
      <c r="N953" t="str">
        <f t="shared" si="291"/>
        <v/>
      </c>
      <c r="O953" t="str">
        <f t="shared" si="292"/>
        <v/>
      </c>
      <c r="P953" t="str">
        <f t="shared" si="293"/>
        <v/>
      </c>
      <c r="Q953" t="str">
        <f t="shared" si="294"/>
        <v/>
      </c>
      <c r="R953" t="str">
        <f t="shared" si="295"/>
        <v/>
      </c>
      <c r="S953" t="str">
        <f t="shared" si="296"/>
        <v/>
      </c>
      <c r="T953" t="str">
        <f t="shared" si="297"/>
        <v/>
      </c>
      <c r="U953" t="str">
        <f t="shared" si="298"/>
        <v/>
      </c>
      <c r="V953" t="str">
        <f t="shared" si="299"/>
        <v/>
      </c>
      <c r="W953" s="71" t="str">
        <f>CONCATENATE(H953," ",I953," ",J953," ",K953," ",L953," ",M953," ",N953," ",O953," ",P953," ",Q953," ",R953," ",S953," ",T953," ",U953," ",V953)</f>
        <v xml:space="preserve">Rule of Seven A component of a control chart that illustrates the results of seven measurements on one side of the mean, which is considered “out of control” in the project.          </v>
      </c>
    </row>
    <row r="954" spans="1:23" customFormat="1" hidden="1">
      <c r="A954" t="b">
        <f t="shared" si="281"/>
        <v>0</v>
      </c>
      <c r="B954">
        <f t="shared" si="283"/>
        <v>953</v>
      </c>
      <c r="C954" t="s">
        <v>852</v>
      </c>
      <c r="D954" t="s">
        <v>940</v>
      </c>
      <c r="E954">
        <f t="shared" si="300"/>
        <v>47</v>
      </c>
      <c r="G954">
        <f t="shared" si="284"/>
        <v>2</v>
      </c>
      <c r="H954" t="str">
        <f t="shared" si="285"/>
        <v/>
      </c>
      <c r="I954" t="str">
        <f t="shared" si="286"/>
        <v/>
      </c>
      <c r="J954" t="str">
        <f t="shared" si="287"/>
        <v/>
      </c>
      <c r="K954" t="str">
        <f t="shared" si="288"/>
        <v/>
      </c>
      <c r="L954" t="str">
        <f t="shared" si="289"/>
        <v/>
      </c>
      <c r="M954" t="str">
        <f t="shared" si="290"/>
        <v/>
      </c>
      <c r="N954" t="str">
        <f t="shared" si="291"/>
        <v/>
      </c>
      <c r="O954" t="str">
        <f t="shared" si="292"/>
        <v/>
      </c>
      <c r="P954" t="str">
        <f t="shared" si="293"/>
        <v/>
      </c>
      <c r="Q954" t="str">
        <f t="shared" si="294"/>
        <v/>
      </c>
      <c r="R954" t="str">
        <f t="shared" si="295"/>
        <v/>
      </c>
      <c r="S954" t="str">
        <f t="shared" si="296"/>
        <v/>
      </c>
      <c r="T954" t="str">
        <f t="shared" si="297"/>
        <v/>
      </c>
      <c r="U954" t="str">
        <f t="shared" si="298"/>
        <v/>
      </c>
      <c r="V954" t="str">
        <f t="shared" si="299"/>
        <v/>
      </c>
      <c r="W954" t="str">
        <f t="shared" si="282"/>
        <v xml:space="preserve">              </v>
      </c>
    </row>
    <row r="955" spans="1:23" customFormat="1" hidden="1">
      <c r="A955" t="b">
        <f t="shared" si="281"/>
        <v>0</v>
      </c>
      <c r="B955">
        <f t="shared" si="283"/>
        <v>954</v>
      </c>
      <c r="C955" t="s">
        <v>852</v>
      </c>
      <c r="D955" t="s">
        <v>941</v>
      </c>
      <c r="E955">
        <f t="shared" si="300"/>
        <v>45</v>
      </c>
      <c r="G955">
        <f t="shared" si="284"/>
        <v>3</v>
      </c>
      <c r="H955" t="str">
        <f t="shared" si="285"/>
        <v/>
      </c>
      <c r="I955" t="str">
        <f t="shared" si="286"/>
        <v/>
      </c>
      <c r="J955" t="str">
        <f t="shared" si="287"/>
        <v/>
      </c>
      <c r="K955" t="str">
        <f t="shared" si="288"/>
        <v/>
      </c>
      <c r="L955" t="str">
        <f t="shared" si="289"/>
        <v/>
      </c>
      <c r="M955" t="str">
        <f t="shared" si="290"/>
        <v/>
      </c>
      <c r="N955" t="str">
        <f t="shared" si="291"/>
        <v/>
      </c>
      <c r="O955" t="str">
        <f t="shared" si="292"/>
        <v/>
      </c>
      <c r="P955" t="str">
        <f t="shared" si="293"/>
        <v/>
      </c>
      <c r="Q955" t="str">
        <f t="shared" si="294"/>
        <v/>
      </c>
      <c r="R955" t="str">
        <f t="shared" si="295"/>
        <v/>
      </c>
      <c r="S955" t="str">
        <f t="shared" si="296"/>
        <v/>
      </c>
      <c r="T955" t="str">
        <f t="shared" si="297"/>
        <v/>
      </c>
      <c r="U955" t="str">
        <f t="shared" si="298"/>
        <v/>
      </c>
      <c r="V955" t="str">
        <f t="shared" si="299"/>
        <v/>
      </c>
      <c r="W955" t="str">
        <f t="shared" si="282"/>
        <v xml:space="preserve">              </v>
      </c>
    </row>
    <row r="956" spans="1:23" customFormat="1" hidden="1">
      <c r="A956" t="b">
        <f t="shared" si="281"/>
        <v>0</v>
      </c>
      <c r="B956">
        <f t="shared" si="283"/>
        <v>955</v>
      </c>
      <c r="C956" t="s">
        <v>852</v>
      </c>
      <c r="D956" t="s">
        <v>942</v>
      </c>
      <c r="E956">
        <f t="shared" si="300"/>
        <v>49</v>
      </c>
      <c r="G956">
        <f t="shared" si="284"/>
        <v>4</v>
      </c>
      <c r="H956" t="str">
        <f t="shared" si="285"/>
        <v/>
      </c>
      <c r="I956" t="str">
        <f t="shared" si="286"/>
        <v/>
      </c>
      <c r="J956" t="str">
        <f t="shared" si="287"/>
        <v/>
      </c>
      <c r="K956" t="str">
        <f t="shared" si="288"/>
        <v/>
      </c>
      <c r="L956" t="str">
        <f t="shared" si="289"/>
        <v/>
      </c>
      <c r="M956" t="str">
        <f t="shared" si="290"/>
        <v/>
      </c>
      <c r="N956" t="str">
        <f t="shared" si="291"/>
        <v/>
      </c>
      <c r="O956" t="str">
        <f t="shared" si="292"/>
        <v/>
      </c>
      <c r="P956" t="str">
        <f t="shared" si="293"/>
        <v/>
      </c>
      <c r="Q956" t="str">
        <f t="shared" si="294"/>
        <v/>
      </c>
      <c r="R956" t="str">
        <f t="shared" si="295"/>
        <v/>
      </c>
      <c r="S956" t="str">
        <f t="shared" si="296"/>
        <v/>
      </c>
      <c r="T956" t="str">
        <f t="shared" si="297"/>
        <v/>
      </c>
      <c r="U956" t="str">
        <f t="shared" si="298"/>
        <v/>
      </c>
      <c r="V956" t="str">
        <f t="shared" si="299"/>
        <v/>
      </c>
      <c r="W956" t="str">
        <f t="shared" si="282"/>
        <v xml:space="preserve">              </v>
      </c>
    </row>
    <row r="957" spans="1:23" customFormat="1" hidden="1">
      <c r="A957" t="b">
        <f t="shared" si="281"/>
        <v>0</v>
      </c>
      <c r="B957">
        <f t="shared" si="283"/>
        <v>956</v>
      </c>
      <c r="C957" t="s">
        <v>852</v>
      </c>
      <c r="D957" t="s">
        <v>943</v>
      </c>
      <c r="E957">
        <f t="shared" si="300"/>
        <v>15</v>
      </c>
      <c r="G957">
        <f t="shared" si="284"/>
        <v>5</v>
      </c>
      <c r="H957" t="str">
        <f t="shared" si="285"/>
        <v/>
      </c>
      <c r="I957" t="str">
        <f t="shared" si="286"/>
        <v/>
      </c>
      <c r="J957" t="str">
        <f t="shared" si="287"/>
        <v/>
      </c>
      <c r="K957" t="str">
        <f t="shared" si="288"/>
        <v/>
      </c>
      <c r="L957" t="str">
        <f t="shared" si="289"/>
        <v/>
      </c>
      <c r="M957" t="str">
        <f t="shared" si="290"/>
        <v/>
      </c>
      <c r="N957" t="str">
        <f t="shared" si="291"/>
        <v/>
      </c>
      <c r="O957" t="str">
        <f t="shared" si="292"/>
        <v/>
      </c>
      <c r="P957" t="str">
        <f t="shared" si="293"/>
        <v/>
      </c>
      <c r="Q957" t="str">
        <f t="shared" si="294"/>
        <v/>
      </c>
      <c r="R957" t="str">
        <f t="shared" si="295"/>
        <v/>
      </c>
      <c r="S957" t="str">
        <f t="shared" si="296"/>
        <v/>
      </c>
      <c r="T957" t="str">
        <f t="shared" si="297"/>
        <v/>
      </c>
      <c r="U957" t="str">
        <f t="shared" si="298"/>
        <v/>
      </c>
      <c r="V957" t="str">
        <f t="shared" si="299"/>
        <v/>
      </c>
      <c r="W957" t="str">
        <f t="shared" si="282"/>
        <v xml:space="preserve">              </v>
      </c>
    </row>
    <row r="958" spans="1:23" hidden="1">
      <c r="A958" s="71" t="b">
        <f t="shared" si="281"/>
        <v>0</v>
      </c>
      <c r="B958" s="71">
        <f t="shared" si="283"/>
        <v>957</v>
      </c>
      <c r="C958" s="71" t="s">
        <v>852</v>
      </c>
      <c r="D958" s="71" t="s">
        <v>944</v>
      </c>
      <c r="E958">
        <f t="shared" si="300"/>
        <v>9</v>
      </c>
      <c r="F958">
        <v>1</v>
      </c>
      <c r="G958">
        <f t="shared" si="284"/>
        <v>1</v>
      </c>
      <c r="H958" t="str">
        <f t="shared" si="285"/>
        <v>Run chart</v>
      </c>
      <c r="I958" t="str">
        <f t="shared" si="286"/>
        <v>A quality control tool that shows the results of</v>
      </c>
      <c r="J958" t="str">
        <f t="shared" si="287"/>
        <v>inspection in the order in which they’ve</v>
      </c>
      <c r="K958" t="str">
        <f t="shared" si="288"/>
        <v>occurred. The goal of a run chart is first to</v>
      </c>
      <c r="L958" t="str">
        <f t="shared" si="289"/>
        <v>demonstrate the results of a process over time</v>
      </c>
      <c r="M958" t="str">
        <f t="shared" si="290"/>
        <v>and then to use trend analysis to predict when</v>
      </c>
      <c r="N958" t="str">
        <f t="shared" si="291"/>
        <v>certain trends may reemerge.</v>
      </c>
      <c r="O958" t="str">
        <f t="shared" si="292"/>
        <v/>
      </c>
      <c r="P958" t="str">
        <f t="shared" si="293"/>
        <v/>
      </c>
      <c r="Q958" t="str">
        <f t="shared" si="294"/>
        <v/>
      </c>
      <c r="R958" t="str">
        <f t="shared" si="295"/>
        <v/>
      </c>
      <c r="S958" t="str">
        <f t="shared" si="296"/>
        <v/>
      </c>
      <c r="T958" t="str">
        <f t="shared" si="297"/>
        <v/>
      </c>
      <c r="U958" t="str">
        <f t="shared" si="298"/>
        <v/>
      </c>
      <c r="V958" t="str">
        <f t="shared" si="299"/>
        <v/>
      </c>
      <c r="W958" s="71" t="str">
        <f>CONCATENATE(H958," ",I958," ",J958," ",K958," ",L958," ",M958," ",N958," ",O958," ",P958," ",Q958," ",R958," ",S958," ",T958," ",U958," ",V958)</f>
        <v xml:space="preserve">Run chart A quality control tool that shows the results of inspection in the order in which they’ve occurred. The goal of a run chart is first to demonstrate the results of a process over time and then to use trend analysis to predict when certain trends may reemerge.        </v>
      </c>
    </row>
    <row r="959" spans="1:23" customFormat="1" hidden="1">
      <c r="A959" t="b">
        <f t="shared" si="281"/>
        <v>0</v>
      </c>
      <c r="B959">
        <f t="shared" si="283"/>
        <v>958</v>
      </c>
      <c r="C959" t="s">
        <v>852</v>
      </c>
      <c r="D959" t="s">
        <v>945</v>
      </c>
      <c r="E959">
        <f t="shared" si="300"/>
        <v>48</v>
      </c>
      <c r="G959">
        <f t="shared" si="284"/>
        <v>2</v>
      </c>
      <c r="H959" t="str">
        <f t="shared" si="285"/>
        <v/>
      </c>
      <c r="I959" t="str">
        <f t="shared" si="286"/>
        <v/>
      </c>
      <c r="J959" t="str">
        <f t="shared" si="287"/>
        <v/>
      </c>
      <c r="K959" t="str">
        <f t="shared" si="288"/>
        <v/>
      </c>
      <c r="L959" t="str">
        <f t="shared" si="289"/>
        <v/>
      </c>
      <c r="M959" t="str">
        <f t="shared" si="290"/>
        <v/>
      </c>
      <c r="N959" t="str">
        <f t="shared" si="291"/>
        <v/>
      </c>
      <c r="O959" t="str">
        <f t="shared" si="292"/>
        <v/>
      </c>
      <c r="P959" t="str">
        <f t="shared" si="293"/>
        <v/>
      </c>
      <c r="Q959" t="str">
        <f t="shared" si="294"/>
        <v/>
      </c>
      <c r="R959" t="str">
        <f t="shared" si="295"/>
        <v/>
      </c>
      <c r="S959" t="str">
        <f t="shared" si="296"/>
        <v/>
      </c>
      <c r="T959" t="str">
        <f t="shared" si="297"/>
        <v/>
      </c>
      <c r="U959" t="str">
        <f t="shared" si="298"/>
        <v/>
      </c>
      <c r="V959" t="str">
        <f t="shared" si="299"/>
        <v/>
      </c>
      <c r="W959" t="str">
        <f t="shared" si="282"/>
        <v xml:space="preserve">              </v>
      </c>
    </row>
    <row r="960" spans="1:23" customFormat="1" hidden="1">
      <c r="A960" t="b">
        <f t="shared" ref="A960:A1022" si="301">C960=D960</f>
        <v>0</v>
      </c>
      <c r="B960">
        <f t="shared" si="283"/>
        <v>959</v>
      </c>
      <c r="C960" t="s">
        <v>852</v>
      </c>
      <c r="D960" t="s">
        <v>946</v>
      </c>
      <c r="E960">
        <f t="shared" si="300"/>
        <v>40</v>
      </c>
      <c r="G960">
        <f t="shared" si="284"/>
        <v>3</v>
      </c>
      <c r="H960" t="str">
        <f t="shared" si="285"/>
        <v/>
      </c>
      <c r="I960" t="str">
        <f t="shared" si="286"/>
        <v/>
      </c>
      <c r="J960" t="str">
        <f t="shared" si="287"/>
        <v/>
      </c>
      <c r="K960" t="str">
        <f t="shared" si="288"/>
        <v/>
      </c>
      <c r="L960" t="str">
        <f t="shared" si="289"/>
        <v/>
      </c>
      <c r="M960" t="str">
        <f t="shared" si="290"/>
        <v/>
      </c>
      <c r="N960" t="str">
        <f t="shared" si="291"/>
        <v/>
      </c>
      <c r="O960" t="str">
        <f t="shared" si="292"/>
        <v/>
      </c>
      <c r="P960" t="str">
        <f t="shared" si="293"/>
        <v/>
      </c>
      <c r="Q960" t="str">
        <f t="shared" si="294"/>
        <v/>
      </c>
      <c r="R960" t="str">
        <f t="shared" si="295"/>
        <v/>
      </c>
      <c r="S960" t="str">
        <f t="shared" si="296"/>
        <v/>
      </c>
      <c r="T960" t="str">
        <f t="shared" si="297"/>
        <v/>
      </c>
      <c r="U960" t="str">
        <f t="shared" si="298"/>
        <v/>
      </c>
      <c r="V960" t="str">
        <f t="shared" si="299"/>
        <v/>
      </c>
      <c r="W960" t="str">
        <f t="shared" ref="W960:W1022" si="302">CONCATENATE(H960," ",I960," ",J960," ",K960," ",L960," ",M960," ",N960," ",O960," ",P960," ",Q960," ",R960," ",S960," ",T960," ",U960," ",V960)</f>
        <v xml:space="preserve">              </v>
      </c>
    </row>
    <row r="961" spans="1:23" customFormat="1" hidden="1">
      <c r="A961" t="b">
        <f t="shared" si="301"/>
        <v>0</v>
      </c>
      <c r="B961">
        <f t="shared" si="283"/>
        <v>960</v>
      </c>
      <c r="C961" t="s">
        <v>852</v>
      </c>
      <c r="D961" t="s">
        <v>947</v>
      </c>
      <c r="E961">
        <f t="shared" si="300"/>
        <v>45</v>
      </c>
      <c r="G961">
        <f t="shared" si="284"/>
        <v>4</v>
      </c>
      <c r="H961" t="str">
        <f t="shared" si="285"/>
        <v/>
      </c>
      <c r="I961" t="str">
        <f t="shared" si="286"/>
        <v/>
      </c>
      <c r="J961" t="str">
        <f t="shared" si="287"/>
        <v/>
      </c>
      <c r="K961" t="str">
        <f t="shared" si="288"/>
        <v/>
      </c>
      <c r="L961" t="str">
        <f t="shared" si="289"/>
        <v/>
      </c>
      <c r="M961" t="str">
        <f t="shared" si="290"/>
        <v/>
      </c>
      <c r="N961" t="str">
        <f t="shared" si="291"/>
        <v/>
      </c>
      <c r="O961" t="str">
        <f t="shared" si="292"/>
        <v/>
      </c>
      <c r="P961" t="str">
        <f t="shared" si="293"/>
        <v/>
      </c>
      <c r="Q961" t="str">
        <f t="shared" si="294"/>
        <v/>
      </c>
      <c r="R961" t="str">
        <f t="shared" si="295"/>
        <v/>
      </c>
      <c r="S961" t="str">
        <f t="shared" si="296"/>
        <v/>
      </c>
      <c r="T961" t="str">
        <f t="shared" si="297"/>
        <v/>
      </c>
      <c r="U961" t="str">
        <f t="shared" si="298"/>
        <v/>
      </c>
      <c r="V961" t="str">
        <f t="shared" si="299"/>
        <v/>
      </c>
      <c r="W961" t="str">
        <f t="shared" si="302"/>
        <v xml:space="preserve">              </v>
      </c>
    </row>
    <row r="962" spans="1:23" customFormat="1" hidden="1">
      <c r="A962" t="b">
        <f t="shared" si="301"/>
        <v>0</v>
      </c>
      <c r="B962">
        <f t="shared" si="283"/>
        <v>961</v>
      </c>
      <c r="C962" t="s">
        <v>852</v>
      </c>
      <c r="D962" t="s">
        <v>948</v>
      </c>
      <c r="E962">
        <f t="shared" si="300"/>
        <v>46</v>
      </c>
      <c r="G962">
        <f t="shared" si="284"/>
        <v>5</v>
      </c>
      <c r="H962" t="str">
        <f t="shared" si="285"/>
        <v/>
      </c>
      <c r="I962" t="str">
        <f t="shared" si="286"/>
        <v/>
      </c>
      <c r="J962" t="str">
        <f t="shared" si="287"/>
        <v/>
      </c>
      <c r="K962" t="str">
        <f t="shared" si="288"/>
        <v/>
      </c>
      <c r="L962" t="str">
        <f t="shared" si="289"/>
        <v/>
      </c>
      <c r="M962" t="str">
        <f t="shared" si="290"/>
        <v/>
      </c>
      <c r="N962" t="str">
        <f t="shared" si="291"/>
        <v/>
      </c>
      <c r="O962" t="str">
        <f t="shared" si="292"/>
        <v/>
      </c>
      <c r="P962" t="str">
        <f t="shared" si="293"/>
        <v/>
      </c>
      <c r="Q962" t="str">
        <f t="shared" si="294"/>
        <v/>
      </c>
      <c r="R962" t="str">
        <f t="shared" si="295"/>
        <v/>
      </c>
      <c r="S962" t="str">
        <f t="shared" si="296"/>
        <v/>
      </c>
      <c r="T962" t="str">
        <f t="shared" si="297"/>
        <v/>
      </c>
      <c r="U962" t="str">
        <f t="shared" si="298"/>
        <v/>
      </c>
      <c r="V962" t="str">
        <f t="shared" si="299"/>
        <v/>
      </c>
      <c r="W962" t="str">
        <f t="shared" si="302"/>
        <v xml:space="preserve">              </v>
      </c>
    </row>
    <row r="963" spans="1:23" customFormat="1" hidden="1">
      <c r="A963" t="b">
        <f t="shared" si="301"/>
        <v>0</v>
      </c>
      <c r="B963">
        <f t="shared" si="283"/>
        <v>962</v>
      </c>
      <c r="C963" t="s">
        <v>852</v>
      </c>
      <c r="D963" t="s">
        <v>949</v>
      </c>
      <c r="E963">
        <f t="shared" ref="E963:E1018" si="303">LEN(D963)</f>
        <v>46</v>
      </c>
      <c r="G963">
        <f t="shared" si="284"/>
        <v>6</v>
      </c>
      <c r="H963" t="str">
        <f t="shared" si="285"/>
        <v/>
      </c>
      <c r="I963" t="str">
        <f t="shared" si="286"/>
        <v/>
      </c>
      <c r="J963" t="str">
        <f t="shared" si="287"/>
        <v/>
      </c>
      <c r="K963" t="str">
        <f t="shared" si="288"/>
        <v/>
      </c>
      <c r="L963" t="str">
        <f t="shared" si="289"/>
        <v/>
      </c>
      <c r="M963" t="str">
        <f t="shared" si="290"/>
        <v/>
      </c>
      <c r="N963" t="str">
        <f t="shared" si="291"/>
        <v/>
      </c>
      <c r="O963" t="str">
        <f t="shared" si="292"/>
        <v/>
      </c>
      <c r="P963" t="str">
        <f t="shared" si="293"/>
        <v/>
      </c>
      <c r="Q963" t="str">
        <f t="shared" si="294"/>
        <v/>
      </c>
      <c r="R963" t="str">
        <f t="shared" si="295"/>
        <v/>
      </c>
      <c r="S963" t="str">
        <f t="shared" si="296"/>
        <v/>
      </c>
      <c r="T963" t="str">
        <f t="shared" si="297"/>
        <v/>
      </c>
      <c r="U963" t="str">
        <f t="shared" si="298"/>
        <v/>
      </c>
      <c r="V963" t="str">
        <f t="shared" si="299"/>
        <v/>
      </c>
      <c r="W963" t="str">
        <f t="shared" si="302"/>
        <v xml:space="preserve">              </v>
      </c>
    </row>
    <row r="964" spans="1:23" customFormat="1" hidden="1">
      <c r="A964" t="b">
        <f t="shared" si="301"/>
        <v>0</v>
      </c>
      <c r="B964">
        <f t="shared" ref="B964:B1027" si="304">B963+1</f>
        <v>963</v>
      </c>
      <c r="C964" t="s">
        <v>852</v>
      </c>
      <c r="D964" t="s">
        <v>950</v>
      </c>
      <c r="E964">
        <f t="shared" si="303"/>
        <v>28</v>
      </c>
      <c r="G964">
        <f t="shared" ref="G964:G1027" si="305">IF(F964=1,1,G963+1)</f>
        <v>7</v>
      </c>
      <c r="H964" t="str">
        <f t="shared" ref="H964:H1027" si="306">IF($G964=H$1,$D964,"")</f>
        <v/>
      </c>
      <c r="I964" t="str">
        <f t="shared" ref="I964:I1027" si="307">IF($G965=I$1,$D965,"")</f>
        <v/>
      </c>
      <c r="J964" t="str">
        <f t="shared" ref="J964:J1027" si="308">IF($G966=J$1,$D966,"")</f>
        <v/>
      </c>
      <c r="K964" t="str">
        <f t="shared" ref="K964:K1027" si="309">IF($G967=K$1,$D967,"")</f>
        <v/>
      </c>
      <c r="L964" t="str">
        <f t="shared" ref="L964:L1027" si="310">IF($G968=L$1,$D968,"")</f>
        <v/>
      </c>
      <c r="M964" t="str">
        <f t="shared" ref="M964:M1027" si="311">IF($G969=M$1,$D969,"")</f>
        <v/>
      </c>
      <c r="N964" t="str">
        <f t="shared" ref="N964:N1027" si="312">IF($G970=N$1,$D970,"")</f>
        <v/>
      </c>
      <c r="O964" t="str">
        <f t="shared" ref="O964:O1027" si="313">IF($G971=O$1,$D971,"")</f>
        <v/>
      </c>
      <c r="P964" t="str">
        <f t="shared" ref="P964:P1027" si="314">IF($G972=P$1,$D972,"")</f>
        <v/>
      </c>
      <c r="Q964" t="str">
        <f t="shared" ref="Q964:Q1027" si="315">IF($G973=Q$1,$D973,"")</f>
        <v/>
      </c>
      <c r="R964" t="str">
        <f t="shared" ref="R964:R1027" si="316">IF($G974=R$1,$D974,"")</f>
        <v/>
      </c>
      <c r="S964" t="str">
        <f t="shared" ref="S964:S1027" si="317">IF($G975=S$1,$D975,"")</f>
        <v/>
      </c>
      <c r="T964" t="str">
        <f t="shared" ref="T964:T1027" si="318">IF($G976=T$1,$D976,"")</f>
        <v/>
      </c>
      <c r="U964" t="str">
        <f t="shared" ref="U964:U1027" si="319">IF($G977=U$1,$D977,"")</f>
        <v/>
      </c>
      <c r="V964" t="str">
        <f t="shared" ref="V964:V1027" si="320">IF($G978=V$1,$D978,"")</f>
        <v/>
      </c>
      <c r="W964" t="str">
        <f t="shared" si="302"/>
        <v xml:space="preserve">              </v>
      </c>
    </row>
    <row r="965" spans="1:23" hidden="1">
      <c r="A965" s="71" t="b">
        <f t="shared" si="301"/>
        <v>0</v>
      </c>
      <c r="B965" s="71">
        <f t="shared" si="304"/>
        <v>964</v>
      </c>
      <c r="C965" s="71" t="s">
        <v>852</v>
      </c>
      <c r="D965" s="71" t="s">
        <v>951</v>
      </c>
      <c r="E965">
        <f t="shared" si="303"/>
        <v>15</v>
      </c>
      <c r="F965">
        <v>1</v>
      </c>
      <c r="G965">
        <f t="shared" si="305"/>
        <v>1</v>
      </c>
      <c r="H965" t="str">
        <f t="shared" si="306"/>
        <v>Scatter diagram</v>
      </c>
      <c r="I965" t="str">
        <f t="shared" si="307"/>
        <v>A quality control tool that tracks the relationship</v>
      </c>
      <c r="J965" t="str">
        <f t="shared" si="308"/>
        <v>between two variables over time. The two</v>
      </c>
      <c r="K965" t="str">
        <f t="shared" si="309"/>
        <v>variables are considered related the closer they</v>
      </c>
      <c r="L965" t="str">
        <f t="shared" si="310"/>
        <v>track against a diagonal line.</v>
      </c>
      <c r="M965" t="str">
        <f t="shared" si="311"/>
        <v/>
      </c>
      <c r="N965" t="str">
        <f t="shared" si="312"/>
        <v/>
      </c>
      <c r="O965" t="str">
        <f t="shared" si="313"/>
        <v/>
      </c>
      <c r="P965" t="str">
        <f t="shared" si="314"/>
        <v/>
      </c>
      <c r="Q965" t="str">
        <f t="shared" si="315"/>
        <v/>
      </c>
      <c r="R965" t="str">
        <f t="shared" si="316"/>
        <v/>
      </c>
      <c r="S965" t="str">
        <f t="shared" si="317"/>
        <v/>
      </c>
      <c r="T965" t="str">
        <f t="shared" si="318"/>
        <v/>
      </c>
      <c r="U965" t="str">
        <f t="shared" si="319"/>
        <v/>
      </c>
      <c r="V965" t="str">
        <f t="shared" si="320"/>
        <v/>
      </c>
      <c r="W965" s="71" t="str">
        <f>CONCATENATE(H965," ",I965," ",J965," ",K965," ",L965," ",M965," ",N965," ",O965," ",P965," ",Q965," ",R965," ",S965," ",T965," ",U965," ",V965)</f>
        <v xml:space="preserve">Scatter diagram A quality control tool that tracks the relationship between two variables over time. The two variables are considered related the closer they track against a diagonal line.          </v>
      </c>
    </row>
    <row r="966" spans="1:23" customFormat="1" hidden="1">
      <c r="A966" t="b">
        <f t="shared" si="301"/>
        <v>0</v>
      </c>
      <c r="B966">
        <f t="shared" si="304"/>
        <v>965</v>
      </c>
      <c r="C966" t="s">
        <v>852</v>
      </c>
      <c r="D966" t="s">
        <v>952</v>
      </c>
      <c r="E966">
        <f t="shared" si="303"/>
        <v>51</v>
      </c>
      <c r="G966">
        <f t="shared" si="305"/>
        <v>2</v>
      </c>
      <c r="H966" t="str">
        <f t="shared" si="306"/>
        <v/>
      </c>
      <c r="I966" t="str">
        <f t="shared" si="307"/>
        <v/>
      </c>
      <c r="J966" t="str">
        <f t="shared" si="308"/>
        <v/>
      </c>
      <c r="K966" t="str">
        <f t="shared" si="309"/>
        <v/>
      </c>
      <c r="L966" t="str">
        <f t="shared" si="310"/>
        <v/>
      </c>
      <c r="M966" t="str">
        <f t="shared" si="311"/>
        <v/>
      </c>
      <c r="N966" t="str">
        <f t="shared" si="312"/>
        <v/>
      </c>
      <c r="O966" t="str">
        <f t="shared" si="313"/>
        <v/>
      </c>
      <c r="P966" t="str">
        <f t="shared" si="314"/>
        <v/>
      </c>
      <c r="Q966" t="str">
        <f t="shared" si="315"/>
        <v/>
      </c>
      <c r="R966" t="str">
        <f t="shared" si="316"/>
        <v/>
      </c>
      <c r="S966" t="str">
        <f t="shared" si="317"/>
        <v/>
      </c>
      <c r="T966" t="str">
        <f t="shared" si="318"/>
        <v/>
      </c>
      <c r="U966" t="str">
        <f t="shared" si="319"/>
        <v/>
      </c>
      <c r="V966" t="str">
        <f t="shared" si="320"/>
        <v/>
      </c>
      <c r="W966" t="str">
        <f t="shared" si="302"/>
        <v xml:space="preserve">              </v>
      </c>
    </row>
    <row r="967" spans="1:23" customFormat="1" hidden="1">
      <c r="A967" t="b">
        <f t="shared" si="301"/>
        <v>0</v>
      </c>
      <c r="B967">
        <f t="shared" si="304"/>
        <v>966</v>
      </c>
      <c r="C967" t="s">
        <v>852</v>
      </c>
      <c r="D967" t="s">
        <v>953</v>
      </c>
      <c r="E967">
        <f t="shared" si="303"/>
        <v>40</v>
      </c>
      <c r="G967">
        <f t="shared" si="305"/>
        <v>3</v>
      </c>
      <c r="H967" t="str">
        <f t="shared" si="306"/>
        <v/>
      </c>
      <c r="I967" t="str">
        <f t="shared" si="307"/>
        <v/>
      </c>
      <c r="J967" t="str">
        <f t="shared" si="308"/>
        <v/>
      </c>
      <c r="K967" t="str">
        <f t="shared" si="309"/>
        <v/>
      </c>
      <c r="L967" t="str">
        <f t="shared" si="310"/>
        <v/>
      </c>
      <c r="M967" t="str">
        <f t="shared" si="311"/>
        <v/>
      </c>
      <c r="N967" t="str">
        <f t="shared" si="312"/>
        <v/>
      </c>
      <c r="O967" t="str">
        <f t="shared" si="313"/>
        <v/>
      </c>
      <c r="P967" t="str">
        <f t="shared" si="314"/>
        <v/>
      </c>
      <c r="Q967" t="str">
        <f t="shared" si="315"/>
        <v/>
      </c>
      <c r="R967" t="str">
        <f t="shared" si="316"/>
        <v/>
      </c>
      <c r="S967" t="str">
        <f t="shared" si="317"/>
        <v/>
      </c>
      <c r="T967" t="str">
        <f t="shared" si="318"/>
        <v/>
      </c>
      <c r="U967" t="str">
        <f t="shared" si="319"/>
        <v/>
      </c>
      <c r="V967" t="str">
        <f t="shared" si="320"/>
        <v/>
      </c>
      <c r="W967" t="str">
        <f t="shared" si="302"/>
        <v xml:space="preserve">              </v>
      </c>
    </row>
    <row r="968" spans="1:23" customFormat="1" hidden="1">
      <c r="A968" t="b">
        <f t="shared" si="301"/>
        <v>0</v>
      </c>
      <c r="B968">
        <f t="shared" si="304"/>
        <v>967</v>
      </c>
      <c r="C968" t="s">
        <v>852</v>
      </c>
      <c r="D968" t="s">
        <v>954</v>
      </c>
      <c r="E968">
        <f t="shared" si="303"/>
        <v>48</v>
      </c>
      <c r="G968">
        <f t="shared" si="305"/>
        <v>4</v>
      </c>
      <c r="H968" t="str">
        <f t="shared" si="306"/>
        <v/>
      </c>
      <c r="I968" t="str">
        <f t="shared" si="307"/>
        <v/>
      </c>
      <c r="J968" t="str">
        <f t="shared" si="308"/>
        <v/>
      </c>
      <c r="K968" t="str">
        <f t="shared" si="309"/>
        <v/>
      </c>
      <c r="L968" t="str">
        <f t="shared" si="310"/>
        <v/>
      </c>
      <c r="M968" t="str">
        <f t="shared" si="311"/>
        <v/>
      </c>
      <c r="N968" t="str">
        <f t="shared" si="312"/>
        <v/>
      </c>
      <c r="O968" t="str">
        <f t="shared" si="313"/>
        <v/>
      </c>
      <c r="P968" t="str">
        <f t="shared" si="314"/>
        <v/>
      </c>
      <c r="Q968" t="str">
        <f t="shared" si="315"/>
        <v/>
      </c>
      <c r="R968" t="str">
        <f t="shared" si="316"/>
        <v/>
      </c>
      <c r="S968" t="str">
        <f t="shared" si="317"/>
        <v/>
      </c>
      <c r="T968" t="str">
        <f t="shared" si="318"/>
        <v/>
      </c>
      <c r="U968" t="str">
        <f t="shared" si="319"/>
        <v/>
      </c>
      <c r="V968" t="str">
        <f t="shared" si="320"/>
        <v/>
      </c>
      <c r="W968" t="str">
        <f t="shared" si="302"/>
        <v xml:space="preserve">              </v>
      </c>
    </row>
    <row r="969" spans="1:23" customFormat="1" hidden="1">
      <c r="A969" t="b">
        <f t="shared" si="301"/>
        <v>0</v>
      </c>
      <c r="B969">
        <f t="shared" si="304"/>
        <v>968</v>
      </c>
      <c r="C969" t="s">
        <v>852</v>
      </c>
      <c r="D969" t="s">
        <v>955</v>
      </c>
      <c r="E969">
        <f t="shared" si="303"/>
        <v>30</v>
      </c>
      <c r="G969">
        <f t="shared" si="305"/>
        <v>5</v>
      </c>
      <c r="H969" t="str">
        <f t="shared" si="306"/>
        <v/>
      </c>
      <c r="I969" t="str">
        <f t="shared" si="307"/>
        <v/>
      </c>
      <c r="J969" t="str">
        <f t="shared" si="308"/>
        <v/>
      </c>
      <c r="K969" t="str">
        <f t="shared" si="309"/>
        <v/>
      </c>
      <c r="L969" t="str">
        <f t="shared" si="310"/>
        <v/>
      </c>
      <c r="M969" t="str">
        <f t="shared" si="311"/>
        <v/>
      </c>
      <c r="N969" t="str">
        <f t="shared" si="312"/>
        <v/>
      </c>
      <c r="O969" t="str">
        <f t="shared" si="313"/>
        <v/>
      </c>
      <c r="P969" t="str">
        <f t="shared" si="314"/>
        <v/>
      </c>
      <c r="Q969" t="str">
        <f t="shared" si="315"/>
        <v/>
      </c>
      <c r="R969" t="str">
        <f t="shared" si="316"/>
        <v/>
      </c>
      <c r="S969" t="str">
        <f t="shared" si="317"/>
        <v/>
      </c>
      <c r="T969" t="str">
        <f t="shared" si="318"/>
        <v/>
      </c>
      <c r="U969" t="str">
        <f t="shared" si="319"/>
        <v/>
      </c>
      <c r="V969" t="str">
        <f t="shared" si="320"/>
        <v/>
      </c>
      <c r="W969" t="str">
        <f t="shared" si="302"/>
        <v xml:space="preserve">              </v>
      </c>
    </row>
    <row r="970" spans="1:23" hidden="1">
      <c r="A970" s="71" t="b">
        <f t="shared" si="301"/>
        <v>0</v>
      </c>
      <c r="B970" s="71">
        <f t="shared" si="304"/>
        <v>969</v>
      </c>
      <c r="C970" s="71" t="s">
        <v>852</v>
      </c>
      <c r="D970" s="71" t="s">
        <v>956</v>
      </c>
      <c r="E970">
        <f t="shared" si="303"/>
        <v>25</v>
      </c>
      <c r="F970">
        <v>1</v>
      </c>
      <c r="G970">
        <f t="shared" si="305"/>
        <v>1</v>
      </c>
      <c r="H970" t="str">
        <f t="shared" si="306"/>
        <v>Seven basic quality tools</v>
      </c>
      <c r="I970" t="str">
        <f t="shared" si="307"/>
        <v>These seven tools are used in quality planning</v>
      </c>
      <c r="J970" t="str">
        <f t="shared" si="308"/>
        <v>and in quality control: cause-and-effect diagrams,</v>
      </c>
      <c r="K970" t="str">
        <f t="shared" si="309"/>
        <v>flowcharts, check sheets, Pareto diagrams,</v>
      </c>
      <c r="L970" t="str">
        <f t="shared" si="310"/>
        <v>histograms, control charts, and scatter diagrams.</v>
      </c>
      <c r="M970" t="str">
        <f t="shared" si="311"/>
        <v/>
      </c>
      <c r="N970" t="str">
        <f t="shared" si="312"/>
        <v/>
      </c>
      <c r="O970" t="str">
        <f t="shared" si="313"/>
        <v/>
      </c>
      <c r="P970" t="str">
        <f t="shared" si="314"/>
        <v/>
      </c>
      <c r="Q970" t="str">
        <f t="shared" si="315"/>
        <v/>
      </c>
      <c r="R970" t="str">
        <f t="shared" si="316"/>
        <v/>
      </c>
      <c r="S970" t="str">
        <f t="shared" si="317"/>
        <v/>
      </c>
      <c r="T970" t="str">
        <f t="shared" si="318"/>
        <v/>
      </c>
      <c r="U970" t="str">
        <f t="shared" si="319"/>
        <v/>
      </c>
      <c r="V970" t="str">
        <f t="shared" si="320"/>
        <v/>
      </c>
      <c r="W970" s="71" t="str">
        <f>CONCATENATE(H970," ",I970," ",J970," ",K970," ",L970," ",M970," ",N970," ",O970," ",P970," ",Q970," ",R970," ",S970," ",T970," ",U970," ",V970)</f>
        <v xml:space="preserve">Seven basic quality tools These seven tools are used in quality planning and in quality control: cause-and-effect diagrams, flowcharts, check sheets, Pareto diagrams, histograms, control charts, and scatter diagrams.          </v>
      </c>
    </row>
    <row r="971" spans="1:23" customFormat="1" hidden="1">
      <c r="A971" t="b">
        <f t="shared" si="301"/>
        <v>0</v>
      </c>
      <c r="B971">
        <f t="shared" si="304"/>
        <v>970</v>
      </c>
      <c r="C971" t="s">
        <v>852</v>
      </c>
      <c r="D971" t="s">
        <v>957</v>
      </c>
      <c r="E971">
        <f t="shared" si="303"/>
        <v>46</v>
      </c>
      <c r="G971">
        <f t="shared" si="305"/>
        <v>2</v>
      </c>
      <c r="H971" t="str">
        <f t="shared" si="306"/>
        <v/>
      </c>
      <c r="I971" t="str">
        <f t="shared" si="307"/>
        <v/>
      </c>
      <c r="J971" t="str">
        <f t="shared" si="308"/>
        <v/>
      </c>
      <c r="K971" t="str">
        <f t="shared" si="309"/>
        <v/>
      </c>
      <c r="L971" t="str">
        <f t="shared" si="310"/>
        <v/>
      </c>
      <c r="M971" t="str">
        <f t="shared" si="311"/>
        <v/>
      </c>
      <c r="N971" t="str">
        <f t="shared" si="312"/>
        <v/>
      </c>
      <c r="O971" t="str">
        <f t="shared" si="313"/>
        <v/>
      </c>
      <c r="P971" t="str">
        <f t="shared" si="314"/>
        <v/>
      </c>
      <c r="Q971" t="str">
        <f t="shared" si="315"/>
        <v/>
      </c>
      <c r="R971" t="str">
        <f t="shared" si="316"/>
        <v/>
      </c>
      <c r="S971" t="str">
        <f t="shared" si="317"/>
        <v/>
      </c>
      <c r="T971" t="str">
        <f t="shared" si="318"/>
        <v/>
      </c>
      <c r="U971" t="str">
        <f t="shared" si="319"/>
        <v/>
      </c>
      <c r="V971" t="str">
        <f t="shared" si="320"/>
        <v/>
      </c>
      <c r="W971" t="str">
        <f t="shared" si="302"/>
        <v xml:space="preserve">              </v>
      </c>
    </row>
    <row r="972" spans="1:23" customFormat="1" hidden="1">
      <c r="A972" t="b">
        <f t="shared" si="301"/>
        <v>0</v>
      </c>
      <c r="B972">
        <f t="shared" si="304"/>
        <v>971</v>
      </c>
      <c r="C972" t="s">
        <v>852</v>
      </c>
      <c r="D972" t="s">
        <v>958</v>
      </c>
      <c r="E972">
        <f t="shared" si="303"/>
        <v>50</v>
      </c>
      <c r="G972">
        <f t="shared" si="305"/>
        <v>3</v>
      </c>
      <c r="H972" t="str">
        <f t="shared" si="306"/>
        <v/>
      </c>
      <c r="I972" t="str">
        <f t="shared" si="307"/>
        <v/>
      </c>
      <c r="J972" t="str">
        <f t="shared" si="308"/>
        <v/>
      </c>
      <c r="K972" t="str">
        <f t="shared" si="309"/>
        <v/>
      </c>
      <c r="L972" t="str">
        <f t="shared" si="310"/>
        <v/>
      </c>
      <c r="M972" t="str">
        <f t="shared" si="311"/>
        <v/>
      </c>
      <c r="N972" t="str">
        <f t="shared" si="312"/>
        <v/>
      </c>
      <c r="O972" t="str">
        <f t="shared" si="313"/>
        <v/>
      </c>
      <c r="P972" t="str">
        <f t="shared" si="314"/>
        <v/>
      </c>
      <c r="Q972" t="str">
        <f t="shared" si="315"/>
        <v/>
      </c>
      <c r="R972" t="str">
        <f t="shared" si="316"/>
        <v/>
      </c>
      <c r="S972" t="str">
        <f t="shared" si="317"/>
        <v/>
      </c>
      <c r="T972" t="str">
        <f t="shared" si="318"/>
        <v/>
      </c>
      <c r="U972" t="str">
        <f t="shared" si="319"/>
        <v/>
      </c>
      <c r="V972" t="str">
        <f t="shared" si="320"/>
        <v/>
      </c>
      <c r="W972" t="str">
        <f t="shared" si="302"/>
        <v xml:space="preserve">              </v>
      </c>
    </row>
    <row r="973" spans="1:23" customFormat="1" hidden="1">
      <c r="A973" t="b">
        <f t="shared" si="301"/>
        <v>0</v>
      </c>
      <c r="B973">
        <f t="shared" si="304"/>
        <v>972</v>
      </c>
      <c r="C973" t="s">
        <v>852</v>
      </c>
      <c r="D973" t="s">
        <v>959</v>
      </c>
      <c r="E973">
        <f t="shared" si="303"/>
        <v>42</v>
      </c>
      <c r="G973">
        <f t="shared" si="305"/>
        <v>4</v>
      </c>
      <c r="H973" t="str">
        <f t="shared" si="306"/>
        <v/>
      </c>
      <c r="I973" t="str">
        <f t="shared" si="307"/>
        <v/>
      </c>
      <c r="J973" t="str">
        <f t="shared" si="308"/>
        <v/>
      </c>
      <c r="K973" t="str">
        <f t="shared" si="309"/>
        <v/>
      </c>
      <c r="L973" t="str">
        <f t="shared" si="310"/>
        <v/>
      </c>
      <c r="M973" t="str">
        <f t="shared" si="311"/>
        <v/>
      </c>
      <c r="N973" t="str">
        <f t="shared" si="312"/>
        <v/>
      </c>
      <c r="O973" t="str">
        <f t="shared" si="313"/>
        <v/>
      </c>
      <c r="P973" t="str">
        <f t="shared" si="314"/>
        <v/>
      </c>
      <c r="Q973" t="str">
        <f t="shared" si="315"/>
        <v/>
      </c>
      <c r="R973" t="str">
        <f t="shared" si="316"/>
        <v/>
      </c>
      <c r="S973" t="str">
        <f t="shared" si="317"/>
        <v/>
      </c>
      <c r="T973" t="str">
        <f t="shared" si="318"/>
        <v/>
      </c>
      <c r="U973" t="str">
        <f t="shared" si="319"/>
        <v/>
      </c>
      <c r="V973" t="str">
        <f t="shared" si="320"/>
        <v/>
      </c>
      <c r="W973" t="str">
        <f t="shared" si="302"/>
        <v xml:space="preserve">              </v>
      </c>
    </row>
    <row r="974" spans="1:23" customFormat="1" hidden="1">
      <c r="A974" t="b">
        <f t="shared" si="301"/>
        <v>0</v>
      </c>
      <c r="B974">
        <f t="shared" si="304"/>
        <v>973</v>
      </c>
      <c r="C974" t="s">
        <v>852</v>
      </c>
      <c r="D974" t="s">
        <v>960</v>
      </c>
      <c r="E974">
        <f t="shared" si="303"/>
        <v>49</v>
      </c>
      <c r="G974">
        <f t="shared" si="305"/>
        <v>5</v>
      </c>
      <c r="H974" t="str">
        <f t="shared" si="306"/>
        <v/>
      </c>
      <c r="I974" t="str">
        <f t="shared" si="307"/>
        <v/>
      </c>
      <c r="J974" t="str">
        <f t="shared" si="308"/>
        <v/>
      </c>
      <c r="K974" t="str">
        <f t="shared" si="309"/>
        <v/>
      </c>
      <c r="L974" t="str">
        <f t="shared" si="310"/>
        <v/>
      </c>
      <c r="M974" t="str">
        <f t="shared" si="311"/>
        <v/>
      </c>
      <c r="N974" t="str">
        <f t="shared" si="312"/>
        <v/>
      </c>
      <c r="O974" t="str">
        <f t="shared" si="313"/>
        <v/>
      </c>
      <c r="P974" t="str">
        <f t="shared" si="314"/>
        <v/>
      </c>
      <c r="Q974" t="str">
        <f t="shared" si="315"/>
        <v/>
      </c>
      <c r="R974" t="str">
        <f t="shared" si="316"/>
        <v/>
      </c>
      <c r="S974" t="str">
        <f t="shared" si="317"/>
        <v/>
      </c>
      <c r="T974" t="str">
        <f t="shared" si="318"/>
        <v/>
      </c>
      <c r="U974" t="str">
        <f t="shared" si="319"/>
        <v/>
      </c>
      <c r="V974" t="str">
        <f t="shared" si="320"/>
        <v/>
      </c>
      <c r="W974" t="str">
        <f t="shared" si="302"/>
        <v xml:space="preserve">              </v>
      </c>
    </row>
    <row r="975" spans="1:23" hidden="1">
      <c r="A975" s="71" t="b">
        <f t="shared" si="301"/>
        <v>0</v>
      </c>
      <c r="B975" s="71">
        <f t="shared" si="304"/>
        <v>974</v>
      </c>
      <c r="C975" s="71" t="s">
        <v>852</v>
      </c>
      <c r="D975" s="71" t="s">
        <v>961</v>
      </c>
      <c r="E975">
        <f t="shared" si="303"/>
        <v>20</v>
      </c>
      <c r="F975">
        <v>1</v>
      </c>
      <c r="G975">
        <f t="shared" si="305"/>
        <v>1</v>
      </c>
      <c r="H975" t="str">
        <f t="shared" si="306"/>
        <v>Statistical sampling</v>
      </c>
      <c r="I975" t="str">
        <f t="shared" si="307"/>
        <v>A process of choosing a percentage of results at</v>
      </c>
      <c r="J975" t="str">
        <f t="shared" si="308"/>
        <v>random. For example, a project creating a</v>
      </c>
      <c r="K975" t="str">
        <f t="shared" si="309"/>
        <v>medical device may have 20 percent of all units</v>
      </c>
      <c r="L975" t="str">
        <f t="shared" si="310"/>
        <v>randomly selected to check for quality.</v>
      </c>
      <c r="M975" t="str">
        <f t="shared" si="311"/>
        <v/>
      </c>
      <c r="N975" t="str">
        <f t="shared" si="312"/>
        <v/>
      </c>
      <c r="O975" t="str">
        <f t="shared" si="313"/>
        <v/>
      </c>
      <c r="P975" t="str">
        <f t="shared" si="314"/>
        <v/>
      </c>
      <c r="Q975" t="str">
        <f t="shared" si="315"/>
        <v/>
      </c>
      <c r="R975" t="str">
        <f t="shared" si="316"/>
        <v/>
      </c>
      <c r="S975" t="str">
        <f t="shared" si="317"/>
        <v/>
      </c>
      <c r="T975" t="str">
        <f t="shared" si="318"/>
        <v/>
      </c>
      <c r="U975" t="str">
        <f t="shared" si="319"/>
        <v/>
      </c>
      <c r="V975" t="str">
        <f t="shared" si="320"/>
        <v/>
      </c>
      <c r="W975" s="71" t="str">
        <f>CONCATENATE(H975," ",I975," ",J975," ",K975," ",L975," ",M975," ",N975," ",O975," ",P975," ",Q975," ",R975," ",S975," ",T975," ",U975," ",V975)</f>
        <v xml:space="preserve">Statistical sampling A process of choosing a percentage of results at random. For example, a project creating a medical device may have 20 percent of all units randomly selected to check for quality.          </v>
      </c>
    </row>
    <row r="976" spans="1:23" customFormat="1" hidden="1">
      <c r="A976" t="b">
        <f t="shared" si="301"/>
        <v>0</v>
      </c>
      <c r="B976">
        <f t="shared" si="304"/>
        <v>975</v>
      </c>
      <c r="C976" t="s">
        <v>852</v>
      </c>
      <c r="D976" t="s">
        <v>962</v>
      </c>
      <c r="E976">
        <f t="shared" si="303"/>
        <v>48</v>
      </c>
      <c r="G976">
        <f t="shared" si="305"/>
        <v>2</v>
      </c>
      <c r="H976" t="str">
        <f t="shared" si="306"/>
        <v/>
      </c>
      <c r="I976" t="str">
        <f t="shared" si="307"/>
        <v/>
      </c>
      <c r="J976" t="str">
        <f t="shared" si="308"/>
        <v/>
      </c>
      <c r="K976" t="str">
        <f t="shared" si="309"/>
        <v/>
      </c>
      <c r="L976" t="str">
        <f t="shared" si="310"/>
        <v/>
      </c>
      <c r="M976" t="str">
        <f t="shared" si="311"/>
        <v/>
      </c>
      <c r="N976" t="str">
        <f t="shared" si="312"/>
        <v/>
      </c>
      <c r="O976" t="str">
        <f t="shared" si="313"/>
        <v/>
      </c>
      <c r="P976" t="str">
        <f t="shared" si="314"/>
        <v/>
      </c>
      <c r="Q976" t="str">
        <f t="shared" si="315"/>
        <v/>
      </c>
      <c r="R976" t="str">
        <f t="shared" si="316"/>
        <v/>
      </c>
      <c r="S976" t="str">
        <f t="shared" si="317"/>
        <v/>
      </c>
      <c r="T976" t="str">
        <f t="shared" si="318"/>
        <v/>
      </c>
      <c r="U976" t="str">
        <f t="shared" si="319"/>
        <v/>
      </c>
      <c r="V976" t="str">
        <f t="shared" si="320"/>
        <v/>
      </c>
      <c r="W976" t="str">
        <f t="shared" si="302"/>
        <v xml:space="preserve">              </v>
      </c>
    </row>
    <row r="977" spans="1:23" customFormat="1" hidden="1">
      <c r="A977" t="b">
        <f t="shared" si="301"/>
        <v>0</v>
      </c>
      <c r="B977">
        <f t="shared" si="304"/>
        <v>976</v>
      </c>
      <c r="C977" t="s">
        <v>852</v>
      </c>
      <c r="D977" t="s">
        <v>963</v>
      </c>
      <c r="E977">
        <f t="shared" si="303"/>
        <v>41</v>
      </c>
      <c r="G977">
        <f t="shared" si="305"/>
        <v>3</v>
      </c>
      <c r="H977" t="str">
        <f t="shared" si="306"/>
        <v/>
      </c>
      <c r="I977" t="str">
        <f t="shared" si="307"/>
        <v/>
      </c>
      <c r="J977" t="str">
        <f t="shared" si="308"/>
        <v/>
      </c>
      <c r="K977" t="str">
        <f t="shared" si="309"/>
        <v/>
      </c>
      <c r="L977" t="str">
        <f t="shared" si="310"/>
        <v/>
      </c>
      <c r="M977" t="str">
        <f t="shared" si="311"/>
        <v/>
      </c>
      <c r="N977" t="str">
        <f t="shared" si="312"/>
        <v/>
      </c>
      <c r="O977" t="str">
        <f t="shared" si="313"/>
        <v/>
      </c>
      <c r="P977" t="str">
        <f t="shared" si="314"/>
        <v/>
      </c>
      <c r="Q977" t="str">
        <f t="shared" si="315"/>
        <v/>
      </c>
      <c r="R977" t="str">
        <f t="shared" si="316"/>
        <v/>
      </c>
      <c r="S977" t="str">
        <f t="shared" si="317"/>
        <v/>
      </c>
      <c r="T977" t="str">
        <f t="shared" si="318"/>
        <v/>
      </c>
      <c r="U977" t="str">
        <f t="shared" si="319"/>
        <v/>
      </c>
      <c r="V977" t="str">
        <f t="shared" si="320"/>
        <v/>
      </c>
      <c r="W977" t="str">
        <f t="shared" si="302"/>
        <v xml:space="preserve">              </v>
      </c>
    </row>
    <row r="978" spans="1:23" customFormat="1" hidden="1">
      <c r="A978" t="b">
        <f t="shared" si="301"/>
        <v>0</v>
      </c>
      <c r="B978">
        <f t="shared" si="304"/>
        <v>977</v>
      </c>
      <c r="C978" t="s">
        <v>852</v>
      </c>
      <c r="D978" t="s">
        <v>964</v>
      </c>
      <c r="E978">
        <f t="shared" si="303"/>
        <v>47</v>
      </c>
      <c r="G978">
        <f t="shared" si="305"/>
        <v>4</v>
      </c>
      <c r="H978" t="str">
        <f t="shared" si="306"/>
        <v/>
      </c>
      <c r="I978" t="str">
        <f t="shared" si="307"/>
        <v/>
      </c>
      <c r="J978" t="str">
        <f t="shared" si="308"/>
        <v/>
      </c>
      <c r="K978" t="str">
        <f t="shared" si="309"/>
        <v/>
      </c>
      <c r="L978" t="str">
        <f t="shared" si="310"/>
        <v/>
      </c>
      <c r="M978" t="str">
        <f t="shared" si="311"/>
        <v/>
      </c>
      <c r="N978" t="str">
        <f t="shared" si="312"/>
        <v/>
      </c>
      <c r="O978" t="str">
        <f t="shared" si="313"/>
        <v/>
      </c>
      <c r="P978" t="str">
        <f t="shared" si="314"/>
        <v/>
      </c>
      <c r="Q978" t="str">
        <f t="shared" si="315"/>
        <v/>
      </c>
      <c r="R978" t="str">
        <f t="shared" si="316"/>
        <v/>
      </c>
      <c r="S978" t="str">
        <f t="shared" si="317"/>
        <v/>
      </c>
      <c r="T978" t="str">
        <f t="shared" si="318"/>
        <v/>
      </c>
      <c r="U978" t="str">
        <f t="shared" si="319"/>
        <v/>
      </c>
      <c r="V978" t="str">
        <f t="shared" si="320"/>
        <v/>
      </c>
      <c r="W978" t="str">
        <f t="shared" si="302"/>
        <v xml:space="preserve">              </v>
      </c>
    </row>
    <row r="979" spans="1:23" customFormat="1" hidden="1">
      <c r="A979" t="b">
        <f t="shared" si="301"/>
        <v>0</v>
      </c>
      <c r="B979">
        <f t="shared" si="304"/>
        <v>978</v>
      </c>
      <c r="C979" t="s">
        <v>852</v>
      </c>
      <c r="D979" t="s">
        <v>965</v>
      </c>
      <c r="E979">
        <f t="shared" si="303"/>
        <v>39</v>
      </c>
      <c r="G979">
        <f t="shared" si="305"/>
        <v>5</v>
      </c>
      <c r="H979" t="str">
        <f t="shared" si="306"/>
        <v/>
      </c>
      <c r="I979" t="str">
        <f t="shared" si="307"/>
        <v/>
      </c>
      <c r="J979" t="str">
        <f t="shared" si="308"/>
        <v/>
      </c>
      <c r="K979" t="str">
        <f t="shared" si="309"/>
        <v/>
      </c>
      <c r="L979" t="str">
        <f t="shared" si="310"/>
        <v/>
      </c>
      <c r="M979" t="str">
        <f t="shared" si="311"/>
        <v/>
      </c>
      <c r="N979" t="str">
        <f t="shared" si="312"/>
        <v/>
      </c>
      <c r="O979" t="str">
        <f t="shared" si="313"/>
        <v/>
      </c>
      <c r="P979" t="str">
        <f t="shared" si="314"/>
        <v/>
      </c>
      <c r="Q979" t="str">
        <f t="shared" si="315"/>
        <v/>
      </c>
      <c r="R979" t="str">
        <f t="shared" si="316"/>
        <v/>
      </c>
      <c r="S979" t="str">
        <f t="shared" si="317"/>
        <v/>
      </c>
      <c r="T979" t="str">
        <f t="shared" si="318"/>
        <v/>
      </c>
      <c r="U979" t="str">
        <f t="shared" si="319"/>
        <v/>
      </c>
      <c r="V979" t="str">
        <f t="shared" si="320"/>
        <v/>
      </c>
      <c r="W979" t="str">
        <f t="shared" si="302"/>
        <v xml:space="preserve">              </v>
      </c>
    </row>
    <row r="980" spans="1:23" hidden="1">
      <c r="A980" s="71" t="b">
        <f t="shared" si="301"/>
        <v>0</v>
      </c>
      <c r="B980" s="71">
        <f t="shared" si="304"/>
        <v>979</v>
      </c>
      <c r="C980" s="71" t="s">
        <v>852</v>
      </c>
      <c r="D980" s="71" t="s">
        <v>966</v>
      </c>
      <c r="E980">
        <f t="shared" si="303"/>
        <v>28</v>
      </c>
      <c r="F980">
        <v>1</v>
      </c>
      <c r="G980">
        <f t="shared" si="305"/>
        <v>1</v>
      </c>
      <c r="H980" t="str">
        <f t="shared" si="306"/>
        <v>System or process flowcharts</v>
      </c>
      <c r="I980" t="str">
        <f t="shared" si="307"/>
        <v>Flowcharts that illustrate the flow of a process</v>
      </c>
      <c r="J980" t="str">
        <f t="shared" si="308"/>
        <v>through a system, such as a project change</v>
      </c>
      <c r="K980" t="str">
        <f t="shared" si="309"/>
        <v>request through the change control system, or</v>
      </c>
      <c r="L980" t="str">
        <f t="shared" si="310"/>
        <v>work authorization through a quality control</v>
      </c>
      <c r="M980" t="str">
        <f t="shared" si="311"/>
        <v>process.</v>
      </c>
      <c r="N980" t="str">
        <f t="shared" si="312"/>
        <v/>
      </c>
      <c r="O980" t="str">
        <f t="shared" si="313"/>
        <v/>
      </c>
      <c r="P980" t="str">
        <f t="shared" si="314"/>
        <v/>
      </c>
      <c r="Q980" t="str">
        <f t="shared" si="315"/>
        <v/>
      </c>
      <c r="R980" t="str">
        <f t="shared" si="316"/>
        <v/>
      </c>
      <c r="S980" t="str">
        <f t="shared" si="317"/>
        <v/>
      </c>
      <c r="T980" t="str">
        <f t="shared" si="318"/>
        <v/>
      </c>
      <c r="U980" t="str">
        <f t="shared" si="319"/>
        <v/>
      </c>
      <c r="V980" t="str">
        <f t="shared" si="320"/>
        <v/>
      </c>
      <c r="W980" s="71" t="str">
        <f>CONCATENATE(H980," ",I980," ",J980," ",K980," ",L980," ",M980," ",N980," ",O980," ",P980," ",Q980," ",R980," ",S980," ",T980," ",U980," ",V980)</f>
        <v xml:space="preserve">System or process flowcharts Flowcharts that illustrate the flow of a process through a system, such as a project change request through the change control system, or work authorization through a quality control process.         </v>
      </c>
    </row>
    <row r="981" spans="1:23" customFormat="1" hidden="1">
      <c r="A981" t="b">
        <f t="shared" si="301"/>
        <v>0</v>
      </c>
      <c r="B981">
        <f t="shared" si="304"/>
        <v>980</v>
      </c>
      <c r="C981" t="s">
        <v>852</v>
      </c>
      <c r="D981" t="s">
        <v>967</v>
      </c>
      <c r="E981">
        <f t="shared" si="303"/>
        <v>48</v>
      </c>
      <c r="G981">
        <f t="shared" si="305"/>
        <v>2</v>
      </c>
      <c r="H981" t="str">
        <f t="shared" si="306"/>
        <v/>
      </c>
      <c r="I981" t="str">
        <f t="shared" si="307"/>
        <v/>
      </c>
      <c r="J981" t="str">
        <f t="shared" si="308"/>
        <v/>
      </c>
      <c r="K981" t="str">
        <f t="shared" si="309"/>
        <v/>
      </c>
      <c r="L981" t="str">
        <f t="shared" si="310"/>
        <v/>
      </c>
      <c r="M981" t="str">
        <f t="shared" si="311"/>
        <v/>
      </c>
      <c r="N981" t="str">
        <f t="shared" si="312"/>
        <v/>
      </c>
      <c r="O981" t="str">
        <f t="shared" si="313"/>
        <v/>
      </c>
      <c r="P981" t="str">
        <f t="shared" si="314"/>
        <v/>
      </c>
      <c r="Q981" t="str">
        <f t="shared" si="315"/>
        <v/>
      </c>
      <c r="R981" t="str">
        <f t="shared" si="316"/>
        <v/>
      </c>
      <c r="S981" t="str">
        <f t="shared" si="317"/>
        <v/>
      </c>
      <c r="T981" t="str">
        <f t="shared" si="318"/>
        <v/>
      </c>
      <c r="U981" t="str">
        <f t="shared" si="319"/>
        <v/>
      </c>
      <c r="V981" t="str">
        <f t="shared" si="320"/>
        <v/>
      </c>
      <c r="W981" t="str">
        <f t="shared" si="302"/>
        <v xml:space="preserve">              </v>
      </c>
    </row>
    <row r="982" spans="1:23" customFormat="1" hidden="1">
      <c r="A982" t="b">
        <f t="shared" si="301"/>
        <v>0</v>
      </c>
      <c r="B982">
        <f t="shared" si="304"/>
        <v>981</v>
      </c>
      <c r="C982" t="s">
        <v>852</v>
      </c>
      <c r="D982" t="s">
        <v>968</v>
      </c>
      <c r="E982">
        <f t="shared" si="303"/>
        <v>42</v>
      </c>
      <c r="G982">
        <f t="shared" si="305"/>
        <v>3</v>
      </c>
      <c r="H982" t="str">
        <f t="shared" si="306"/>
        <v/>
      </c>
      <c r="I982" t="str">
        <f t="shared" si="307"/>
        <v/>
      </c>
      <c r="J982" t="str">
        <f t="shared" si="308"/>
        <v/>
      </c>
      <c r="K982" t="str">
        <f t="shared" si="309"/>
        <v/>
      </c>
      <c r="L982" t="str">
        <f t="shared" si="310"/>
        <v/>
      </c>
      <c r="M982" t="str">
        <f t="shared" si="311"/>
        <v/>
      </c>
      <c r="N982" t="str">
        <f t="shared" si="312"/>
        <v/>
      </c>
      <c r="O982" t="str">
        <f t="shared" si="313"/>
        <v/>
      </c>
      <c r="P982" t="str">
        <f t="shared" si="314"/>
        <v/>
      </c>
      <c r="Q982" t="str">
        <f t="shared" si="315"/>
        <v/>
      </c>
      <c r="R982" t="str">
        <f t="shared" si="316"/>
        <v/>
      </c>
      <c r="S982" t="str">
        <f t="shared" si="317"/>
        <v/>
      </c>
      <c r="T982" t="str">
        <f t="shared" si="318"/>
        <v/>
      </c>
      <c r="U982" t="str">
        <f t="shared" si="319"/>
        <v/>
      </c>
      <c r="V982" t="str">
        <f t="shared" si="320"/>
        <v/>
      </c>
      <c r="W982" t="str">
        <f t="shared" si="302"/>
        <v xml:space="preserve">              </v>
      </c>
    </row>
    <row r="983" spans="1:23" customFormat="1" hidden="1">
      <c r="A983" t="b">
        <f t="shared" si="301"/>
        <v>0</v>
      </c>
      <c r="B983">
        <f t="shared" si="304"/>
        <v>982</v>
      </c>
      <c r="C983" t="s">
        <v>852</v>
      </c>
      <c r="D983" t="s">
        <v>969</v>
      </c>
      <c r="E983">
        <f t="shared" si="303"/>
        <v>45</v>
      </c>
      <c r="G983">
        <f t="shared" si="305"/>
        <v>4</v>
      </c>
      <c r="H983" t="str">
        <f t="shared" si="306"/>
        <v/>
      </c>
      <c r="I983" t="str">
        <f t="shared" si="307"/>
        <v/>
      </c>
      <c r="J983" t="str">
        <f t="shared" si="308"/>
        <v/>
      </c>
      <c r="K983" t="str">
        <f t="shared" si="309"/>
        <v/>
      </c>
      <c r="L983" t="str">
        <f t="shared" si="310"/>
        <v/>
      </c>
      <c r="M983" t="str">
        <f t="shared" si="311"/>
        <v/>
      </c>
      <c r="N983" t="str">
        <f t="shared" si="312"/>
        <v/>
      </c>
      <c r="O983" t="str">
        <f t="shared" si="313"/>
        <v/>
      </c>
      <c r="P983" t="str">
        <f t="shared" si="314"/>
        <v/>
      </c>
      <c r="Q983" t="str">
        <f t="shared" si="315"/>
        <v/>
      </c>
      <c r="R983" t="str">
        <f t="shared" si="316"/>
        <v/>
      </c>
      <c r="S983" t="str">
        <f t="shared" si="317"/>
        <v/>
      </c>
      <c r="T983" t="str">
        <f t="shared" si="318"/>
        <v/>
      </c>
      <c r="U983" t="str">
        <f t="shared" si="319"/>
        <v/>
      </c>
      <c r="V983" t="str">
        <f t="shared" si="320"/>
        <v/>
      </c>
      <c r="W983" t="str">
        <f t="shared" si="302"/>
        <v xml:space="preserve">              </v>
      </c>
    </row>
    <row r="984" spans="1:23" customFormat="1" hidden="1">
      <c r="A984" t="b">
        <f t="shared" si="301"/>
        <v>0</v>
      </c>
      <c r="B984">
        <f t="shared" si="304"/>
        <v>983</v>
      </c>
      <c r="C984" t="s">
        <v>852</v>
      </c>
      <c r="D984" t="s">
        <v>970</v>
      </c>
      <c r="E984">
        <f t="shared" si="303"/>
        <v>44</v>
      </c>
      <c r="G984">
        <f t="shared" si="305"/>
        <v>5</v>
      </c>
      <c r="H984" t="str">
        <f t="shared" si="306"/>
        <v/>
      </c>
      <c r="I984" t="str">
        <f t="shared" si="307"/>
        <v/>
      </c>
      <c r="J984" t="str">
        <f t="shared" si="308"/>
        <v/>
      </c>
      <c r="K984" t="str">
        <f t="shared" si="309"/>
        <v/>
      </c>
      <c r="L984" t="str">
        <f t="shared" si="310"/>
        <v/>
      </c>
      <c r="M984" t="str">
        <f t="shared" si="311"/>
        <v/>
      </c>
      <c r="N984" t="str">
        <f t="shared" si="312"/>
        <v/>
      </c>
      <c r="O984" t="str">
        <f t="shared" si="313"/>
        <v/>
      </c>
      <c r="P984" t="str">
        <f t="shared" si="314"/>
        <v/>
      </c>
      <c r="Q984" t="str">
        <f t="shared" si="315"/>
        <v/>
      </c>
      <c r="R984" t="str">
        <f t="shared" si="316"/>
        <v/>
      </c>
      <c r="S984" t="str">
        <f t="shared" si="317"/>
        <v/>
      </c>
      <c r="T984" t="str">
        <f t="shared" si="318"/>
        <v/>
      </c>
      <c r="U984" t="str">
        <f t="shared" si="319"/>
        <v/>
      </c>
      <c r="V984" t="str">
        <f t="shared" si="320"/>
        <v/>
      </c>
      <c r="W984" t="str">
        <f t="shared" si="302"/>
        <v xml:space="preserve">              </v>
      </c>
    </row>
    <row r="985" spans="1:23" customFormat="1" hidden="1">
      <c r="A985" t="b">
        <f t="shared" si="301"/>
        <v>0</v>
      </c>
      <c r="B985">
        <f t="shared" si="304"/>
        <v>984</v>
      </c>
      <c r="C985" t="s">
        <v>852</v>
      </c>
      <c r="D985" t="s">
        <v>971</v>
      </c>
      <c r="E985">
        <f t="shared" si="303"/>
        <v>8</v>
      </c>
      <c r="G985">
        <f t="shared" si="305"/>
        <v>6</v>
      </c>
      <c r="H985" t="str">
        <f t="shared" si="306"/>
        <v/>
      </c>
      <c r="I985" t="str">
        <f t="shared" si="307"/>
        <v/>
      </c>
      <c r="J985" t="str">
        <f t="shared" si="308"/>
        <v/>
      </c>
      <c r="K985" t="str">
        <f t="shared" si="309"/>
        <v/>
      </c>
      <c r="L985" t="str">
        <f t="shared" si="310"/>
        <v/>
      </c>
      <c r="M985" t="str">
        <f t="shared" si="311"/>
        <v/>
      </c>
      <c r="N985" t="str">
        <f t="shared" si="312"/>
        <v/>
      </c>
      <c r="O985" t="str">
        <f t="shared" si="313"/>
        <v/>
      </c>
      <c r="P985" t="str">
        <f t="shared" si="314"/>
        <v/>
      </c>
      <c r="Q985" t="str">
        <f t="shared" si="315"/>
        <v/>
      </c>
      <c r="R985" t="str">
        <f t="shared" si="316"/>
        <v/>
      </c>
      <c r="S985" t="str">
        <f t="shared" si="317"/>
        <v/>
      </c>
      <c r="T985" t="str">
        <f t="shared" si="318"/>
        <v/>
      </c>
      <c r="U985" t="str">
        <f t="shared" si="319"/>
        <v/>
      </c>
      <c r="V985" t="str">
        <f t="shared" si="320"/>
        <v/>
      </c>
      <c r="W985" t="str">
        <f t="shared" si="302"/>
        <v xml:space="preserve">              </v>
      </c>
    </row>
    <row r="986" spans="1:23" hidden="1">
      <c r="A986" s="71" t="b">
        <f t="shared" si="301"/>
        <v>0</v>
      </c>
      <c r="B986" s="71">
        <f t="shared" si="304"/>
        <v>985</v>
      </c>
      <c r="C986" s="71" t="s">
        <v>852</v>
      </c>
      <c r="D986" s="71" t="s">
        <v>972</v>
      </c>
      <c r="E986">
        <f t="shared" si="303"/>
        <v>12</v>
      </c>
      <c r="F986">
        <v>1</v>
      </c>
      <c r="G986">
        <f t="shared" si="305"/>
        <v>1</v>
      </c>
      <c r="H986" t="str">
        <f t="shared" si="306"/>
        <v>Tree diagram</v>
      </c>
      <c r="I986" t="str">
        <f t="shared" si="307"/>
        <v>Tree diagrams show the hierarchies and</v>
      </c>
      <c r="J986" t="str">
        <f t="shared" si="308"/>
        <v>decomposition of a solution, an organization, or a</v>
      </c>
      <c r="K986" t="str">
        <f t="shared" si="309"/>
        <v>project team. The WBS and an org chart are</v>
      </c>
      <c r="L986" t="str">
        <f t="shared" si="310"/>
        <v>examples of tree diagrams.</v>
      </c>
      <c r="M986" t="str">
        <f t="shared" si="311"/>
        <v/>
      </c>
      <c r="N986" t="str">
        <f t="shared" si="312"/>
        <v/>
      </c>
      <c r="O986" t="str">
        <f t="shared" si="313"/>
        <v/>
      </c>
      <c r="P986" t="str">
        <f t="shared" si="314"/>
        <v/>
      </c>
      <c r="Q986" t="str">
        <f t="shared" si="315"/>
        <v/>
      </c>
      <c r="R986" t="str">
        <f t="shared" si="316"/>
        <v/>
      </c>
      <c r="S986" t="str">
        <f t="shared" si="317"/>
        <v/>
      </c>
      <c r="T986" t="str">
        <f t="shared" si="318"/>
        <v/>
      </c>
      <c r="U986" t="str">
        <f t="shared" si="319"/>
        <v/>
      </c>
      <c r="V986" t="str">
        <f t="shared" si="320"/>
        <v/>
      </c>
      <c r="W986" s="71" t="str">
        <f>CONCATENATE(H986," ",I986," ",J986," ",K986," ",L986," ",M986," ",N986," ",O986," ",P986," ",Q986," ",R986," ",S986," ",T986," ",U986," ",V986)</f>
        <v xml:space="preserve">Tree diagram Tree diagrams show the hierarchies and decomposition of a solution, an organization, or a project team. The WBS and an org chart are examples of tree diagrams.          </v>
      </c>
    </row>
    <row r="987" spans="1:23" customFormat="1" hidden="1">
      <c r="A987" t="b">
        <f t="shared" si="301"/>
        <v>0</v>
      </c>
      <c r="B987">
        <f t="shared" si="304"/>
        <v>986</v>
      </c>
      <c r="C987" t="s">
        <v>852</v>
      </c>
      <c r="D987" t="s">
        <v>973</v>
      </c>
      <c r="E987">
        <f t="shared" si="303"/>
        <v>38</v>
      </c>
      <c r="G987">
        <f t="shared" si="305"/>
        <v>2</v>
      </c>
      <c r="H987" t="str">
        <f t="shared" si="306"/>
        <v/>
      </c>
      <c r="I987" t="str">
        <f t="shared" si="307"/>
        <v/>
      </c>
      <c r="J987" t="str">
        <f t="shared" si="308"/>
        <v/>
      </c>
      <c r="K987" t="str">
        <f t="shared" si="309"/>
        <v/>
      </c>
      <c r="L987" t="str">
        <f t="shared" si="310"/>
        <v/>
      </c>
      <c r="M987" t="str">
        <f t="shared" si="311"/>
        <v/>
      </c>
      <c r="N987" t="str">
        <f t="shared" si="312"/>
        <v/>
      </c>
      <c r="O987" t="str">
        <f t="shared" si="313"/>
        <v/>
      </c>
      <c r="P987" t="str">
        <f t="shared" si="314"/>
        <v/>
      </c>
      <c r="Q987" t="str">
        <f t="shared" si="315"/>
        <v/>
      </c>
      <c r="R987" t="str">
        <f t="shared" si="316"/>
        <v/>
      </c>
      <c r="S987" t="str">
        <f t="shared" si="317"/>
        <v/>
      </c>
      <c r="T987" t="str">
        <f t="shared" si="318"/>
        <v/>
      </c>
      <c r="U987" t="str">
        <f t="shared" si="319"/>
        <v/>
      </c>
      <c r="V987" t="str">
        <f t="shared" si="320"/>
        <v/>
      </c>
      <c r="W987" t="str">
        <f t="shared" si="302"/>
        <v xml:space="preserve">              </v>
      </c>
    </row>
    <row r="988" spans="1:23" customFormat="1" hidden="1">
      <c r="A988" t="b">
        <f t="shared" si="301"/>
        <v>0</v>
      </c>
      <c r="B988">
        <f t="shared" si="304"/>
        <v>987</v>
      </c>
      <c r="C988" t="s">
        <v>852</v>
      </c>
      <c r="D988" t="s">
        <v>974</v>
      </c>
      <c r="E988">
        <f t="shared" si="303"/>
        <v>50</v>
      </c>
      <c r="G988">
        <f t="shared" si="305"/>
        <v>3</v>
      </c>
      <c r="H988" t="str">
        <f t="shared" si="306"/>
        <v/>
      </c>
      <c r="I988" t="str">
        <f t="shared" si="307"/>
        <v/>
      </c>
      <c r="J988" t="str">
        <f t="shared" si="308"/>
        <v/>
      </c>
      <c r="K988" t="str">
        <f t="shared" si="309"/>
        <v/>
      </c>
      <c r="L988" t="str">
        <f t="shared" si="310"/>
        <v/>
      </c>
      <c r="M988" t="str">
        <f t="shared" si="311"/>
        <v/>
      </c>
      <c r="N988" t="str">
        <f t="shared" si="312"/>
        <v/>
      </c>
      <c r="O988" t="str">
        <f t="shared" si="313"/>
        <v/>
      </c>
      <c r="P988" t="str">
        <f t="shared" si="314"/>
        <v/>
      </c>
      <c r="Q988" t="str">
        <f t="shared" si="315"/>
        <v/>
      </c>
      <c r="R988" t="str">
        <f t="shared" si="316"/>
        <v/>
      </c>
      <c r="S988" t="str">
        <f t="shared" si="317"/>
        <v/>
      </c>
      <c r="T988" t="str">
        <f t="shared" si="318"/>
        <v/>
      </c>
      <c r="U988" t="str">
        <f t="shared" si="319"/>
        <v/>
      </c>
      <c r="V988" t="str">
        <f t="shared" si="320"/>
        <v/>
      </c>
      <c r="W988" t="str">
        <f t="shared" si="302"/>
        <v xml:space="preserve">              </v>
      </c>
    </row>
    <row r="989" spans="1:23" customFormat="1" hidden="1">
      <c r="A989" t="b">
        <f t="shared" si="301"/>
        <v>0</v>
      </c>
      <c r="B989">
        <f t="shared" si="304"/>
        <v>988</v>
      </c>
      <c r="C989" t="s">
        <v>852</v>
      </c>
      <c r="D989" t="s">
        <v>975</v>
      </c>
      <c r="E989">
        <f t="shared" si="303"/>
        <v>42</v>
      </c>
      <c r="G989">
        <f t="shared" si="305"/>
        <v>4</v>
      </c>
      <c r="H989" t="str">
        <f t="shared" si="306"/>
        <v/>
      </c>
      <c r="I989" t="str">
        <f t="shared" si="307"/>
        <v/>
      </c>
      <c r="J989" t="str">
        <f t="shared" si="308"/>
        <v/>
      </c>
      <c r="K989" t="str">
        <f t="shared" si="309"/>
        <v/>
      </c>
      <c r="L989" t="str">
        <f t="shared" si="310"/>
        <v/>
      </c>
      <c r="M989" t="str">
        <f t="shared" si="311"/>
        <v/>
      </c>
      <c r="N989" t="str">
        <f t="shared" si="312"/>
        <v/>
      </c>
      <c r="O989" t="str">
        <f t="shared" si="313"/>
        <v/>
      </c>
      <c r="P989" t="str">
        <f t="shared" si="314"/>
        <v/>
      </c>
      <c r="Q989" t="str">
        <f t="shared" si="315"/>
        <v/>
      </c>
      <c r="R989" t="str">
        <f t="shared" si="316"/>
        <v/>
      </c>
      <c r="S989" t="str">
        <f t="shared" si="317"/>
        <v/>
      </c>
      <c r="T989" t="str">
        <f t="shared" si="318"/>
        <v/>
      </c>
      <c r="U989" t="str">
        <f t="shared" si="319"/>
        <v/>
      </c>
      <c r="V989" t="str">
        <f t="shared" si="320"/>
        <v/>
      </c>
      <c r="W989" t="str">
        <f t="shared" si="302"/>
        <v xml:space="preserve">              </v>
      </c>
    </row>
    <row r="990" spans="1:23" customFormat="1" hidden="1">
      <c r="A990" t="b">
        <f t="shared" si="301"/>
        <v>0</v>
      </c>
      <c r="B990">
        <f t="shared" si="304"/>
        <v>989</v>
      </c>
      <c r="C990" t="s">
        <v>852</v>
      </c>
      <c r="D990" t="s">
        <v>976</v>
      </c>
      <c r="E990">
        <f t="shared" si="303"/>
        <v>26</v>
      </c>
      <c r="G990">
        <f t="shared" si="305"/>
        <v>5</v>
      </c>
      <c r="H990" t="str">
        <f t="shared" si="306"/>
        <v/>
      </c>
      <c r="I990" t="str">
        <f t="shared" si="307"/>
        <v/>
      </c>
      <c r="J990" t="str">
        <f t="shared" si="308"/>
        <v/>
      </c>
      <c r="K990" t="str">
        <f t="shared" si="309"/>
        <v/>
      </c>
      <c r="L990" t="str">
        <f t="shared" si="310"/>
        <v/>
      </c>
      <c r="M990" t="str">
        <f t="shared" si="311"/>
        <v/>
      </c>
      <c r="N990" t="str">
        <f t="shared" si="312"/>
        <v/>
      </c>
      <c r="O990" t="str">
        <f t="shared" si="313"/>
        <v/>
      </c>
      <c r="P990" t="str">
        <f t="shared" si="314"/>
        <v/>
      </c>
      <c r="Q990" t="str">
        <f t="shared" si="315"/>
        <v/>
      </c>
      <c r="R990" t="str">
        <f t="shared" si="316"/>
        <v/>
      </c>
      <c r="S990" t="str">
        <f t="shared" si="317"/>
        <v/>
      </c>
      <c r="T990" t="str">
        <f t="shared" si="318"/>
        <v/>
      </c>
      <c r="U990" t="str">
        <f t="shared" si="319"/>
        <v/>
      </c>
      <c r="V990" t="str">
        <f t="shared" si="320"/>
        <v/>
      </c>
      <c r="W990" t="str">
        <f t="shared" si="302"/>
        <v xml:space="preserve">              </v>
      </c>
    </row>
    <row r="991" spans="1:23" hidden="1">
      <c r="A991" s="71" t="b">
        <f t="shared" si="301"/>
        <v>0</v>
      </c>
      <c r="B991" s="71">
        <f t="shared" si="304"/>
        <v>990</v>
      </c>
      <c r="C991" s="71" t="s">
        <v>852</v>
      </c>
      <c r="D991" s="71" t="s">
        <v>977</v>
      </c>
      <c r="E991">
        <f t="shared" si="303"/>
        <v>14</v>
      </c>
      <c r="F991">
        <v>1</v>
      </c>
      <c r="G991">
        <f t="shared" si="305"/>
        <v>1</v>
      </c>
      <c r="H991" t="str">
        <f t="shared" si="306"/>
        <v>Trend analysis</v>
      </c>
      <c r="I991" t="str">
        <f t="shared" si="307"/>
        <v>The science of using past results to predict future</v>
      </c>
      <c r="J991" t="str">
        <f t="shared" si="308"/>
        <v>performance.</v>
      </c>
      <c r="K991" t="str">
        <f t="shared" si="309"/>
        <v>Work performance information The results of the project work as needed. This includes technical performance measures, project status, information on what the project has created to date, corrective actions, and performance reports.</v>
      </c>
      <c r="L991" t="str">
        <f t="shared" si="310"/>
        <v/>
      </c>
      <c r="M991" t="str">
        <f t="shared" si="311"/>
        <v/>
      </c>
      <c r="N991" t="str">
        <f t="shared" si="312"/>
        <v/>
      </c>
      <c r="O991" t="str">
        <f t="shared" si="313"/>
        <v/>
      </c>
      <c r="P991" t="str">
        <f t="shared" si="314"/>
        <v/>
      </c>
      <c r="Q991" t="str">
        <f t="shared" si="315"/>
        <v/>
      </c>
      <c r="R991" t="str">
        <f t="shared" si="316"/>
        <v/>
      </c>
      <c r="S991" t="str">
        <f t="shared" si="317"/>
        <v/>
      </c>
      <c r="T991" t="str">
        <f t="shared" si="318"/>
        <v/>
      </c>
      <c r="U991" t="str">
        <f t="shared" si="319"/>
        <v/>
      </c>
      <c r="V991" t="str">
        <f t="shared" si="320"/>
        <v/>
      </c>
      <c r="W991" s="71" t="str">
        <f>CONCATENATE(H991," ",I991," ",J991," ",K991," ",L991," ",M991," ",N991," ",O991," ",P991," ",Q991," ",R991," ",S991," ",T991," ",U991," ",V991)</f>
        <v xml:space="preserve">Trend analysis The science of using past results to predict future performance. Work performance information The results of the project work as needed. This includes technical performance measures, project status, information on what the project has created to date, corrective actions, and performance reports.           </v>
      </c>
    </row>
    <row r="992" spans="1:23" customFormat="1" hidden="1">
      <c r="A992" t="b">
        <f t="shared" si="301"/>
        <v>0</v>
      </c>
      <c r="B992">
        <f t="shared" si="304"/>
        <v>991</v>
      </c>
      <c r="C992" t="s">
        <v>852</v>
      </c>
      <c r="D992" t="s">
        <v>978</v>
      </c>
      <c r="E992">
        <f t="shared" si="303"/>
        <v>51</v>
      </c>
      <c r="G992">
        <f t="shared" si="305"/>
        <v>2</v>
      </c>
      <c r="H992" t="str">
        <f t="shared" si="306"/>
        <v/>
      </c>
      <c r="I992" t="str">
        <f t="shared" si="307"/>
        <v/>
      </c>
      <c r="J992" t="str">
        <f t="shared" si="308"/>
        <v/>
      </c>
      <c r="K992" t="str">
        <f t="shared" si="309"/>
        <v/>
      </c>
      <c r="L992" t="str">
        <f t="shared" si="310"/>
        <v/>
      </c>
      <c r="M992" t="str">
        <f t="shared" si="311"/>
        <v/>
      </c>
      <c r="N992" t="str">
        <f t="shared" si="312"/>
        <v/>
      </c>
      <c r="O992" t="str">
        <f t="shared" si="313"/>
        <v/>
      </c>
      <c r="P992" t="str">
        <f t="shared" si="314"/>
        <v/>
      </c>
      <c r="Q992" t="str">
        <f t="shared" si="315"/>
        <v/>
      </c>
      <c r="R992" t="str">
        <f t="shared" si="316"/>
        <v/>
      </c>
      <c r="S992" t="str">
        <f t="shared" si="317"/>
        <v/>
      </c>
      <c r="T992" t="str">
        <f t="shared" si="318"/>
        <v/>
      </c>
      <c r="U992" t="str">
        <f t="shared" si="319"/>
        <v/>
      </c>
      <c r="V992" t="str">
        <f t="shared" si="320"/>
        <v/>
      </c>
      <c r="W992" t="str">
        <f t="shared" si="302"/>
        <v xml:space="preserve">              </v>
      </c>
    </row>
    <row r="993" spans="1:23" customFormat="1" hidden="1">
      <c r="A993" t="b">
        <f t="shared" si="301"/>
        <v>0</v>
      </c>
      <c r="B993">
        <f t="shared" si="304"/>
        <v>992</v>
      </c>
      <c r="C993" t="s">
        <v>852</v>
      </c>
      <c r="D993" t="s">
        <v>979</v>
      </c>
      <c r="E993">
        <f t="shared" si="303"/>
        <v>12</v>
      </c>
      <c r="G993">
        <f t="shared" si="305"/>
        <v>3</v>
      </c>
      <c r="H993" t="str">
        <f t="shared" si="306"/>
        <v/>
      </c>
      <c r="I993" t="str">
        <f t="shared" si="307"/>
        <v/>
      </c>
      <c r="J993" t="str">
        <f t="shared" si="308"/>
        <v/>
      </c>
      <c r="K993" t="str">
        <f t="shared" si="309"/>
        <v/>
      </c>
      <c r="L993" t="str">
        <f t="shared" si="310"/>
        <v/>
      </c>
      <c r="M993" t="str">
        <f t="shared" si="311"/>
        <v/>
      </c>
      <c r="N993" t="str">
        <f t="shared" si="312"/>
        <v/>
      </c>
      <c r="O993" t="str">
        <f t="shared" si="313"/>
        <v/>
      </c>
      <c r="P993" t="str">
        <f t="shared" si="314"/>
        <v/>
      </c>
      <c r="Q993" t="str">
        <f t="shared" si="315"/>
        <v/>
      </c>
      <c r="R993" t="str">
        <f t="shared" si="316"/>
        <v/>
      </c>
      <c r="S993" t="str">
        <f t="shared" si="317"/>
        <v/>
      </c>
      <c r="T993" t="str">
        <f t="shared" si="318"/>
        <v/>
      </c>
      <c r="U993" t="str">
        <f t="shared" si="319"/>
        <v/>
      </c>
      <c r="V993" t="str">
        <f t="shared" si="320"/>
        <v/>
      </c>
      <c r="W993" t="str">
        <f t="shared" si="302"/>
        <v xml:space="preserve">              </v>
      </c>
    </row>
    <row r="994" spans="1:23" customFormat="1" hidden="1">
      <c r="A994" t="b">
        <f t="shared" si="301"/>
        <v>0</v>
      </c>
      <c r="B994">
        <f t="shared" si="304"/>
        <v>993</v>
      </c>
      <c r="C994" t="s">
        <v>852</v>
      </c>
      <c r="D994" t="s">
        <v>980</v>
      </c>
      <c r="E994">
        <f t="shared" si="303"/>
        <v>231</v>
      </c>
      <c r="G994">
        <f t="shared" si="305"/>
        <v>4</v>
      </c>
      <c r="H994" t="str">
        <f t="shared" si="306"/>
        <v/>
      </c>
      <c r="I994" t="str">
        <f t="shared" si="307"/>
        <v/>
      </c>
      <c r="J994" t="str">
        <f t="shared" si="308"/>
        <v/>
      </c>
      <c r="K994" t="str">
        <f t="shared" si="309"/>
        <v/>
      </c>
      <c r="L994" t="str">
        <f t="shared" si="310"/>
        <v/>
      </c>
      <c r="M994" t="str">
        <f t="shared" si="311"/>
        <v/>
      </c>
      <c r="N994" t="str">
        <f t="shared" si="312"/>
        <v/>
      </c>
      <c r="O994" t="str">
        <f t="shared" si="313"/>
        <v/>
      </c>
      <c r="P994" t="str">
        <f t="shared" si="314"/>
        <v/>
      </c>
      <c r="Q994" t="str">
        <f t="shared" si="315"/>
        <v/>
      </c>
      <c r="R994" t="str">
        <f t="shared" si="316"/>
        <v/>
      </c>
      <c r="S994" t="str">
        <f t="shared" si="317"/>
        <v/>
      </c>
      <c r="T994" t="str">
        <f t="shared" si="318"/>
        <v/>
      </c>
      <c r="U994" t="str">
        <f t="shared" si="319"/>
        <v/>
      </c>
      <c r="V994" t="str">
        <f t="shared" si="320"/>
        <v/>
      </c>
      <c r="W994" t="str">
        <f t="shared" si="302"/>
        <v xml:space="preserve">              </v>
      </c>
    </row>
    <row r="995" spans="1:23" hidden="1">
      <c r="A995" s="71" t="b">
        <f t="shared" si="301"/>
        <v>0</v>
      </c>
      <c r="B995" s="71">
        <f t="shared" si="304"/>
        <v>994</v>
      </c>
      <c r="C995" s="71" t="s">
        <v>981</v>
      </c>
      <c r="D995" s="71" t="s">
        <v>982</v>
      </c>
      <c r="E995">
        <f t="shared" si="303"/>
        <v>10</v>
      </c>
      <c r="F995">
        <v>1</v>
      </c>
      <c r="G995">
        <f t="shared" si="305"/>
        <v>1</v>
      </c>
      <c r="H995" t="str">
        <f t="shared" si="306"/>
        <v>Adjourning</v>
      </c>
      <c r="I995" t="str">
        <f t="shared" si="307"/>
        <v>Once the project is done, either the team moves</v>
      </c>
      <c r="J995" t="str">
        <f t="shared" si="308"/>
        <v>onto other assignments as a unit, or the project</v>
      </c>
      <c r="K995" t="str">
        <f t="shared" si="309"/>
        <v>team is disbanded and individual team members</v>
      </c>
      <c r="L995" t="str">
        <f t="shared" si="310"/>
        <v>go on to other work.</v>
      </c>
      <c r="M995" t="str">
        <f t="shared" si="311"/>
        <v/>
      </c>
      <c r="N995" t="str">
        <f t="shared" si="312"/>
        <v/>
      </c>
      <c r="O995" t="str">
        <f t="shared" si="313"/>
        <v/>
      </c>
      <c r="P995" t="str">
        <f t="shared" si="314"/>
        <v/>
      </c>
      <c r="Q995" t="str">
        <f t="shared" si="315"/>
        <v/>
      </c>
      <c r="R995" t="str">
        <f t="shared" si="316"/>
        <v/>
      </c>
      <c r="S995" t="str">
        <f t="shared" si="317"/>
        <v/>
      </c>
      <c r="T995" t="str">
        <f t="shared" si="318"/>
        <v/>
      </c>
      <c r="U995" t="str">
        <f t="shared" si="319"/>
        <v/>
      </c>
      <c r="V995" t="str">
        <f t="shared" si="320"/>
        <v/>
      </c>
      <c r="W995" s="71" t="str">
        <f>CONCATENATE(H995," ",I995," ",J995," ",K995," ",L995," ",M995," ",N995," ",O995," ",P995," ",Q995," ",R995," ",S995," ",T995," ",U995," ",V995)</f>
        <v xml:space="preserve">Adjourning Once the project is done, either the team moves onto other assignments as a unit, or the project team is disbanded and individual team members go on to other work.          </v>
      </c>
    </row>
    <row r="996" spans="1:23" customFormat="1" hidden="1">
      <c r="A996" t="b">
        <f t="shared" si="301"/>
        <v>0</v>
      </c>
      <c r="B996">
        <f t="shared" si="304"/>
        <v>995</v>
      </c>
      <c r="C996" t="s">
        <v>981</v>
      </c>
      <c r="D996" t="s">
        <v>983</v>
      </c>
      <c r="E996">
        <f t="shared" si="303"/>
        <v>47</v>
      </c>
      <c r="G996">
        <f t="shared" si="305"/>
        <v>2</v>
      </c>
      <c r="H996" t="str">
        <f t="shared" si="306"/>
        <v/>
      </c>
      <c r="I996" t="str">
        <f t="shared" si="307"/>
        <v/>
      </c>
      <c r="J996" t="str">
        <f t="shared" si="308"/>
        <v/>
      </c>
      <c r="K996" t="str">
        <f t="shared" si="309"/>
        <v/>
      </c>
      <c r="L996" t="str">
        <f t="shared" si="310"/>
        <v/>
      </c>
      <c r="M996" t="str">
        <f t="shared" si="311"/>
        <v/>
      </c>
      <c r="N996" t="str">
        <f t="shared" si="312"/>
        <v/>
      </c>
      <c r="O996" t="str">
        <f t="shared" si="313"/>
        <v/>
      </c>
      <c r="P996" t="str">
        <f t="shared" si="314"/>
        <v/>
      </c>
      <c r="Q996" t="str">
        <f t="shared" si="315"/>
        <v/>
      </c>
      <c r="R996" t="str">
        <f t="shared" si="316"/>
        <v/>
      </c>
      <c r="S996" t="str">
        <f t="shared" si="317"/>
        <v/>
      </c>
      <c r="T996" t="str">
        <f t="shared" si="318"/>
        <v/>
      </c>
      <c r="U996" t="str">
        <f t="shared" si="319"/>
        <v/>
      </c>
      <c r="V996" t="str">
        <f t="shared" si="320"/>
        <v/>
      </c>
      <c r="W996" t="str">
        <f t="shared" si="302"/>
        <v xml:space="preserve">              </v>
      </c>
    </row>
    <row r="997" spans="1:23" customFormat="1" hidden="1">
      <c r="A997" t="b">
        <f t="shared" si="301"/>
        <v>0</v>
      </c>
      <c r="B997">
        <f t="shared" si="304"/>
        <v>996</v>
      </c>
      <c r="C997" t="s">
        <v>981</v>
      </c>
      <c r="D997" t="s">
        <v>984</v>
      </c>
      <c r="E997">
        <f t="shared" si="303"/>
        <v>48</v>
      </c>
      <c r="G997">
        <f t="shared" si="305"/>
        <v>3</v>
      </c>
      <c r="H997" t="str">
        <f t="shared" si="306"/>
        <v/>
      </c>
      <c r="I997" t="str">
        <f t="shared" si="307"/>
        <v/>
      </c>
      <c r="J997" t="str">
        <f t="shared" si="308"/>
        <v/>
      </c>
      <c r="K997" t="str">
        <f t="shared" si="309"/>
        <v/>
      </c>
      <c r="L997" t="str">
        <f t="shared" si="310"/>
        <v/>
      </c>
      <c r="M997" t="str">
        <f t="shared" si="311"/>
        <v/>
      </c>
      <c r="N997" t="str">
        <f t="shared" si="312"/>
        <v/>
      </c>
      <c r="O997" t="str">
        <f t="shared" si="313"/>
        <v/>
      </c>
      <c r="P997" t="str">
        <f t="shared" si="314"/>
        <v/>
      </c>
      <c r="Q997" t="str">
        <f t="shared" si="315"/>
        <v/>
      </c>
      <c r="R997" t="str">
        <f t="shared" si="316"/>
        <v/>
      </c>
      <c r="S997" t="str">
        <f t="shared" si="317"/>
        <v/>
      </c>
      <c r="T997" t="str">
        <f t="shared" si="318"/>
        <v/>
      </c>
      <c r="U997" t="str">
        <f t="shared" si="319"/>
        <v/>
      </c>
      <c r="V997" t="str">
        <f t="shared" si="320"/>
        <v/>
      </c>
      <c r="W997" t="str">
        <f t="shared" si="302"/>
        <v xml:space="preserve">              </v>
      </c>
    </row>
    <row r="998" spans="1:23" customFormat="1" hidden="1">
      <c r="A998" t="b">
        <f t="shared" si="301"/>
        <v>0</v>
      </c>
      <c r="B998">
        <f t="shared" si="304"/>
        <v>997</v>
      </c>
      <c r="C998" t="s">
        <v>981</v>
      </c>
      <c r="D998" t="s">
        <v>985</v>
      </c>
      <c r="E998">
        <f t="shared" si="303"/>
        <v>45</v>
      </c>
      <c r="G998">
        <f t="shared" si="305"/>
        <v>4</v>
      </c>
      <c r="H998" t="str">
        <f t="shared" si="306"/>
        <v/>
      </c>
      <c r="I998" t="str">
        <f t="shared" si="307"/>
        <v/>
      </c>
      <c r="J998" t="str">
        <f t="shared" si="308"/>
        <v/>
      </c>
      <c r="K998" t="str">
        <f t="shared" si="309"/>
        <v/>
      </c>
      <c r="L998" t="str">
        <f t="shared" si="310"/>
        <v/>
      </c>
      <c r="M998" t="str">
        <f t="shared" si="311"/>
        <v/>
      </c>
      <c r="N998" t="str">
        <f t="shared" si="312"/>
        <v/>
      </c>
      <c r="O998" t="str">
        <f t="shared" si="313"/>
        <v/>
      </c>
      <c r="P998" t="str">
        <f t="shared" si="314"/>
        <v/>
      </c>
      <c r="Q998" t="str">
        <f t="shared" si="315"/>
        <v/>
      </c>
      <c r="R998" t="str">
        <f t="shared" si="316"/>
        <v/>
      </c>
      <c r="S998" t="str">
        <f t="shared" si="317"/>
        <v/>
      </c>
      <c r="T998" t="str">
        <f t="shared" si="318"/>
        <v/>
      </c>
      <c r="U998" t="str">
        <f t="shared" si="319"/>
        <v/>
      </c>
      <c r="V998" t="str">
        <f t="shared" si="320"/>
        <v/>
      </c>
      <c r="W998" t="str">
        <f t="shared" si="302"/>
        <v xml:space="preserve">              </v>
      </c>
    </row>
    <row r="999" spans="1:23" customFormat="1" hidden="1">
      <c r="A999" t="b">
        <f t="shared" si="301"/>
        <v>0</v>
      </c>
      <c r="B999">
        <f t="shared" si="304"/>
        <v>998</v>
      </c>
      <c r="C999" t="s">
        <v>981</v>
      </c>
      <c r="D999" t="s">
        <v>986</v>
      </c>
      <c r="E999">
        <f t="shared" si="303"/>
        <v>20</v>
      </c>
      <c r="G999">
        <f t="shared" si="305"/>
        <v>5</v>
      </c>
      <c r="H999" t="str">
        <f t="shared" si="306"/>
        <v/>
      </c>
      <c r="I999" t="str">
        <f t="shared" si="307"/>
        <v/>
      </c>
      <c r="J999" t="str">
        <f t="shared" si="308"/>
        <v/>
      </c>
      <c r="K999" t="str">
        <f t="shared" si="309"/>
        <v/>
      </c>
      <c r="L999" t="str">
        <f t="shared" si="310"/>
        <v/>
      </c>
      <c r="M999" t="str">
        <f t="shared" si="311"/>
        <v/>
      </c>
      <c r="N999" t="str">
        <f t="shared" si="312"/>
        <v/>
      </c>
      <c r="O999" t="str">
        <f t="shared" si="313"/>
        <v/>
      </c>
      <c r="P999" t="str">
        <f t="shared" si="314"/>
        <v/>
      </c>
      <c r="Q999" t="str">
        <f t="shared" si="315"/>
        <v/>
      </c>
      <c r="R999" t="str">
        <f t="shared" si="316"/>
        <v/>
      </c>
      <c r="S999" t="str">
        <f t="shared" si="317"/>
        <v/>
      </c>
      <c r="T999" t="str">
        <f t="shared" si="318"/>
        <v/>
      </c>
      <c r="U999" t="str">
        <f t="shared" si="319"/>
        <v/>
      </c>
      <c r="V999" t="str">
        <f t="shared" si="320"/>
        <v/>
      </c>
      <c r="W999" t="str">
        <f t="shared" si="302"/>
        <v xml:space="preserve">              </v>
      </c>
    </row>
    <row r="1000" spans="1:23" hidden="1">
      <c r="A1000" s="71" t="b">
        <f t="shared" si="301"/>
        <v>0</v>
      </c>
      <c r="B1000" s="71">
        <f t="shared" si="304"/>
        <v>999</v>
      </c>
      <c r="C1000" s="71" t="s">
        <v>981</v>
      </c>
      <c r="D1000" s="71" t="s">
        <v>987</v>
      </c>
      <c r="E1000">
        <f t="shared" si="303"/>
        <v>15</v>
      </c>
      <c r="F1000">
        <v>1</v>
      </c>
      <c r="G1000">
        <f t="shared" si="305"/>
        <v>1</v>
      </c>
      <c r="H1000" t="str">
        <f t="shared" si="306"/>
        <v>Authority power</v>
      </c>
      <c r="I1000" t="str">
        <f t="shared" si="307"/>
        <v>Project management team members may have</v>
      </c>
      <c r="J1000" t="str">
        <f t="shared" si="308"/>
        <v>authority over other project team members, may</v>
      </c>
      <c r="K1000" t="str">
        <f t="shared" si="309"/>
        <v>have the ability to make decisions, and perhaps</v>
      </c>
      <c r="L1000" t="str">
        <f t="shared" si="310"/>
        <v>even sign approvals for project work and</v>
      </c>
      <c r="M1000" t="str">
        <f t="shared" si="311"/>
        <v>purchases.</v>
      </c>
      <c r="N1000" t="str">
        <f t="shared" si="312"/>
        <v/>
      </c>
      <c r="O1000" t="str">
        <f t="shared" si="313"/>
        <v/>
      </c>
      <c r="P1000" t="str">
        <f t="shared" si="314"/>
        <v/>
      </c>
      <c r="Q1000" t="str">
        <f t="shared" si="315"/>
        <v/>
      </c>
      <c r="R1000" t="str">
        <f t="shared" si="316"/>
        <v/>
      </c>
      <c r="S1000" t="str">
        <f t="shared" si="317"/>
        <v/>
      </c>
      <c r="T1000" t="str">
        <f t="shared" si="318"/>
        <v/>
      </c>
      <c r="U1000" t="str">
        <f t="shared" si="319"/>
        <v/>
      </c>
      <c r="V1000" t="str">
        <f t="shared" si="320"/>
        <v/>
      </c>
      <c r="W1000" s="71" t="str">
        <f>CONCATENATE(H1000," ",I1000," ",J1000," ",K1000," ",L1000," ",M1000," ",N1000," ",O1000," ",P1000," ",Q1000," ",R1000," ",S1000," ",T1000," ",U1000," ",V1000)</f>
        <v xml:space="preserve">Authority power Project management team members may have authority over other project team members, may have the ability to make decisions, and perhaps even sign approvals for project work and purchases.         </v>
      </c>
    </row>
    <row r="1001" spans="1:23" customFormat="1" hidden="1">
      <c r="A1001" t="b">
        <f t="shared" si="301"/>
        <v>0</v>
      </c>
      <c r="B1001">
        <f t="shared" si="304"/>
        <v>1000</v>
      </c>
      <c r="C1001" t="s">
        <v>981</v>
      </c>
      <c r="D1001" t="s">
        <v>988</v>
      </c>
      <c r="E1001">
        <f t="shared" si="303"/>
        <v>40</v>
      </c>
      <c r="G1001">
        <f t="shared" si="305"/>
        <v>2</v>
      </c>
      <c r="H1001" t="str">
        <f t="shared" si="306"/>
        <v/>
      </c>
      <c r="I1001" t="str">
        <f t="shared" si="307"/>
        <v/>
      </c>
      <c r="J1001" t="str">
        <f t="shared" si="308"/>
        <v/>
      </c>
      <c r="K1001" t="str">
        <f t="shared" si="309"/>
        <v/>
      </c>
      <c r="L1001" t="str">
        <f t="shared" si="310"/>
        <v/>
      </c>
      <c r="M1001" t="str">
        <f t="shared" si="311"/>
        <v/>
      </c>
      <c r="N1001" t="str">
        <f t="shared" si="312"/>
        <v/>
      </c>
      <c r="O1001" t="str">
        <f t="shared" si="313"/>
        <v/>
      </c>
      <c r="P1001" t="str">
        <f t="shared" si="314"/>
        <v/>
      </c>
      <c r="Q1001" t="str">
        <f t="shared" si="315"/>
        <v/>
      </c>
      <c r="R1001" t="str">
        <f t="shared" si="316"/>
        <v/>
      </c>
      <c r="S1001" t="str">
        <f t="shared" si="317"/>
        <v/>
      </c>
      <c r="T1001" t="str">
        <f t="shared" si="318"/>
        <v/>
      </c>
      <c r="U1001" t="str">
        <f t="shared" si="319"/>
        <v/>
      </c>
      <c r="V1001" t="str">
        <f t="shared" si="320"/>
        <v/>
      </c>
      <c r="W1001" t="str">
        <f t="shared" si="302"/>
        <v xml:space="preserve">              </v>
      </c>
    </row>
    <row r="1002" spans="1:23" customFormat="1" hidden="1">
      <c r="A1002" t="b">
        <f t="shared" si="301"/>
        <v>0</v>
      </c>
      <c r="B1002">
        <f t="shared" si="304"/>
        <v>1001</v>
      </c>
      <c r="C1002" t="s">
        <v>981</v>
      </c>
      <c r="D1002" t="s">
        <v>989</v>
      </c>
      <c r="E1002">
        <f t="shared" si="303"/>
        <v>46</v>
      </c>
      <c r="G1002">
        <f t="shared" si="305"/>
        <v>3</v>
      </c>
      <c r="H1002" t="str">
        <f t="shared" si="306"/>
        <v/>
      </c>
      <c r="I1002" t="str">
        <f t="shared" si="307"/>
        <v/>
      </c>
      <c r="J1002" t="str">
        <f t="shared" si="308"/>
        <v/>
      </c>
      <c r="K1002" t="str">
        <f t="shared" si="309"/>
        <v/>
      </c>
      <c r="L1002" t="str">
        <f t="shared" si="310"/>
        <v/>
      </c>
      <c r="M1002" t="str">
        <f t="shared" si="311"/>
        <v/>
      </c>
      <c r="N1002" t="str">
        <f t="shared" si="312"/>
        <v/>
      </c>
      <c r="O1002" t="str">
        <f t="shared" si="313"/>
        <v/>
      </c>
      <c r="P1002" t="str">
        <f t="shared" si="314"/>
        <v/>
      </c>
      <c r="Q1002" t="str">
        <f t="shared" si="315"/>
        <v/>
      </c>
      <c r="R1002" t="str">
        <f t="shared" si="316"/>
        <v/>
      </c>
      <c r="S1002" t="str">
        <f t="shared" si="317"/>
        <v/>
      </c>
      <c r="T1002" t="str">
        <f t="shared" si="318"/>
        <v/>
      </c>
      <c r="U1002" t="str">
        <f t="shared" si="319"/>
        <v/>
      </c>
      <c r="V1002" t="str">
        <f t="shared" si="320"/>
        <v/>
      </c>
      <c r="W1002" t="str">
        <f t="shared" si="302"/>
        <v xml:space="preserve">              </v>
      </c>
    </row>
    <row r="1003" spans="1:23" customFormat="1" hidden="1">
      <c r="A1003" t="b">
        <f t="shared" si="301"/>
        <v>0</v>
      </c>
      <c r="B1003">
        <f t="shared" si="304"/>
        <v>1002</v>
      </c>
      <c r="C1003" t="s">
        <v>981</v>
      </c>
      <c r="D1003" t="s">
        <v>990</v>
      </c>
      <c r="E1003">
        <f t="shared" si="303"/>
        <v>47</v>
      </c>
      <c r="G1003">
        <f t="shared" si="305"/>
        <v>4</v>
      </c>
      <c r="H1003" t="str">
        <f t="shared" si="306"/>
        <v/>
      </c>
      <c r="I1003" t="str">
        <f t="shared" si="307"/>
        <v/>
      </c>
      <c r="J1003" t="str">
        <f t="shared" si="308"/>
        <v/>
      </c>
      <c r="K1003" t="str">
        <f t="shared" si="309"/>
        <v/>
      </c>
      <c r="L1003" t="str">
        <f t="shared" si="310"/>
        <v/>
      </c>
      <c r="M1003" t="str">
        <f t="shared" si="311"/>
        <v/>
      </c>
      <c r="N1003" t="str">
        <f t="shared" si="312"/>
        <v/>
      </c>
      <c r="O1003" t="str">
        <f t="shared" si="313"/>
        <v/>
      </c>
      <c r="P1003" t="str">
        <f t="shared" si="314"/>
        <v/>
      </c>
      <c r="Q1003" t="str">
        <f t="shared" si="315"/>
        <v/>
      </c>
      <c r="R1003" t="str">
        <f t="shared" si="316"/>
        <v/>
      </c>
      <c r="S1003" t="str">
        <f t="shared" si="317"/>
        <v/>
      </c>
      <c r="T1003" t="str">
        <f t="shared" si="318"/>
        <v/>
      </c>
      <c r="U1003" t="str">
        <f t="shared" si="319"/>
        <v/>
      </c>
      <c r="V1003" t="str">
        <f t="shared" si="320"/>
        <v/>
      </c>
      <c r="W1003" t="str">
        <f t="shared" si="302"/>
        <v xml:space="preserve">              </v>
      </c>
    </row>
    <row r="1004" spans="1:23" customFormat="1" hidden="1">
      <c r="A1004" t="b">
        <f t="shared" si="301"/>
        <v>0</v>
      </c>
      <c r="B1004">
        <f t="shared" si="304"/>
        <v>1003</v>
      </c>
      <c r="C1004" t="s">
        <v>981</v>
      </c>
      <c r="D1004" t="s">
        <v>991</v>
      </c>
      <c r="E1004">
        <f t="shared" si="303"/>
        <v>40</v>
      </c>
      <c r="G1004">
        <f t="shared" si="305"/>
        <v>5</v>
      </c>
      <c r="H1004" t="str">
        <f t="shared" si="306"/>
        <v/>
      </c>
      <c r="I1004" t="str">
        <f t="shared" si="307"/>
        <v/>
      </c>
      <c r="J1004" t="str">
        <f t="shared" si="308"/>
        <v/>
      </c>
      <c r="K1004" t="str">
        <f t="shared" si="309"/>
        <v/>
      </c>
      <c r="L1004" t="str">
        <f t="shared" si="310"/>
        <v/>
      </c>
      <c r="M1004" t="str">
        <f t="shared" si="311"/>
        <v/>
      </c>
      <c r="N1004" t="str">
        <f t="shared" si="312"/>
        <v/>
      </c>
      <c r="O1004" t="str">
        <f t="shared" si="313"/>
        <v/>
      </c>
      <c r="P1004" t="str">
        <f t="shared" si="314"/>
        <v/>
      </c>
      <c r="Q1004" t="str">
        <f t="shared" si="315"/>
        <v/>
      </c>
      <c r="R1004" t="str">
        <f t="shared" si="316"/>
        <v/>
      </c>
      <c r="S1004" t="str">
        <f t="shared" si="317"/>
        <v/>
      </c>
      <c r="T1004" t="str">
        <f t="shared" si="318"/>
        <v/>
      </c>
      <c r="U1004" t="str">
        <f t="shared" si="319"/>
        <v/>
      </c>
      <c r="V1004" t="str">
        <f t="shared" si="320"/>
        <v/>
      </c>
      <c r="W1004" t="str">
        <f t="shared" si="302"/>
        <v xml:space="preserve">              </v>
      </c>
    </row>
    <row r="1005" spans="1:23" customFormat="1" hidden="1">
      <c r="A1005" t="b">
        <f t="shared" si="301"/>
        <v>0</v>
      </c>
      <c r="B1005">
        <f t="shared" si="304"/>
        <v>1004</v>
      </c>
      <c r="C1005" t="s">
        <v>981</v>
      </c>
      <c r="D1005" t="s">
        <v>992</v>
      </c>
      <c r="E1005">
        <f t="shared" si="303"/>
        <v>10</v>
      </c>
      <c r="G1005">
        <f t="shared" si="305"/>
        <v>6</v>
      </c>
      <c r="H1005" t="str">
        <f t="shared" si="306"/>
        <v/>
      </c>
      <c r="I1005" t="str">
        <f t="shared" si="307"/>
        <v/>
      </c>
      <c r="J1005" t="str">
        <f t="shared" si="308"/>
        <v/>
      </c>
      <c r="K1005" t="str">
        <f t="shared" si="309"/>
        <v/>
      </c>
      <c r="L1005" t="str">
        <f t="shared" si="310"/>
        <v/>
      </c>
      <c r="M1005" t="str">
        <f t="shared" si="311"/>
        <v/>
      </c>
      <c r="N1005" t="str">
        <f t="shared" si="312"/>
        <v/>
      </c>
      <c r="O1005" t="str">
        <f t="shared" si="313"/>
        <v/>
      </c>
      <c r="P1005" t="str">
        <f t="shared" si="314"/>
        <v/>
      </c>
      <c r="Q1005" t="str">
        <f t="shared" si="315"/>
        <v/>
      </c>
      <c r="R1005" t="str">
        <f t="shared" si="316"/>
        <v/>
      </c>
      <c r="S1005" t="str">
        <f t="shared" si="317"/>
        <v/>
      </c>
      <c r="T1005" t="str">
        <f t="shared" si="318"/>
        <v/>
      </c>
      <c r="U1005" t="str">
        <f t="shared" si="319"/>
        <v/>
      </c>
      <c r="V1005" t="str">
        <f t="shared" si="320"/>
        <v/>
      </c>
      <c r="W1005" t="str">
        <f t="shared" si="302"/>
        <v xml:space="preserve">              </v>
      </c>
    </row>
    <row r="1006" spans="1:23" hidden="1">
      <c r="A1006" s="71" t="b">
        <f t="shared" si="301"/>
        <v>0</v>
      </c>
      <c r="B1006" s="71">
        <f t="shared" si="304"/>
        <v>1005</v>
      </c>
      <c r="C1006" s="71" t="s">
        <v>981</v>
      </c>
      <c r="D1006" s="71" t="s">
        <v>993</v>
      </c>
      <c r="E1006">
        <f t="shared" si="303"/>
        <v>14</v>
      </c>
      <c r="F1006">
        <v>1</v>
      </c>
      <c r="G1006">
        <f t="shared" si="305"/>
        <v>1</v>
      </c>
      <c r="H1006" t="str">
        <f t="shared" si="306"/>
        <v>Coercive power</v>
      </c>
      <c r="I1006" t="str">
        <f t="shared" si="307"/>
        <v>The project manager has the authority to</v>
      </c>
      <c r="J1006" t="str">
        <f t="shared" si="308"/>
        <v>discipline the project team members. This is also</v>
      </c>
      <c r="K1006" t="str">
        <f t="shared" si="309"/>
        <v>known as penalty power.</v>
      </c>
      <c r="L1006" t="str">
        <f t="shared" si="310"/>
        <v/>
      </c>
      <c r="M1006" t="str">
        <f t="shared" si="311"/>
        <v/>
      </c>
      <c r="N1006" t="str">
        <f t="shared" si="312"/>
        <v/>
      </c>
      <c r="O1006" t="str">
        <f t="shared" si="313"/>
        <v/>
      </c>
      <c r="P1006" t="str">
        <f t="shared" si="314"/>
        <v/>
      </c>
      <c r="Q1006" t="str">
        <f t="shared" si="315"/>
        <v/>
      </c>
      <c r="R1006" t="str">
        <f t="shared" si="316"/>
        <v/>
      </c>
      <c r="S1006" t="str">
        <f t="shared" si="317"/>
        <v/>
      </c>
      <c r="T1006" t="str">
        <f t="shared" si="318"/>
        <v/>
      </c>
      <c r="U1006" t="str">
        <f t="shared" si="319"/>
        <v/>
      </c>
      <c r="V1006" t="str">
        <f t="shared" si="320"/>
        <v/>
      </c>
      <c r="W1006" s="71" t="str">
        <f>CONCATENATE(H1006," ",I1006," ",J1006," ",K1006," ",L1006," ",M1006," ",N1006," ",O1006," ",P1006," ",Q1006," ",R1006," ",S1006," ",T1006," ",U1006," ",V1006)</f>
        <v xml:space="preserve">Coercive power The project manager has the authority to discipline the project team members. This is also known as penalty power.           </v>
      </c>
    </row>
    <row r="1007" spans="1:23" customFormat="1" hidden="1">
      <c r="A1007" t="b">
        <f t="shared" si="301"/>
        <v>0</v>
      </c>
      <c r="B1007">
        <f t="shared" si="304"/>
        <v>1006</v>
      </c>
      <c r="C1007" t="s">
        <v>981</v>
      </c>
      <c r="D1007" t="s">
        <v>994</v>
      </c>
      <c r="E1007">
        <f t="shared" si="303"/>
        <v>40</v>
      </c>
      <c r="G1007">
        <f t="shared" si="305"/>
        <v>2</v>
      </c>
      <c r="H1007" t="str">
        <f t="shared" si="306"/>
        <v/>
      </c>
      <c r="I1007" t="str">
        <f t="shared" si="307"/>
        <v/>
      </c>
      <c r="J1007" t="str">
        <f t="shared" si="308"/>
        <v/>
      </c>
      <c r="K1007" t="str">
        <f t="shared" si="309"/>
        <v/>
      </c>
      <c r="L1007" t="str">
        <f t="shared" si="310"/>
        <v/>
      </c>
      <c r="M1007" t="str">
        <f t="shared" si="311"/>
        <v/>
      </c>
      <c r="N1007" t="str">
        <f t="shared" si="312"/>
        <v/>
      </c>
      <c r="O1007" t="str">
        <f t="shared" si="313"/>
        <v/>
      </c>
      <c r="P1007" t="str">
        <f t="shared" si="314"/>
        <v/>
      </c>
      <c r="Q1007" t="str">
        <f t="shared" si="315"/>
        <v/>
      </c>
      <c r="R1007" t="str">
        <f t="shared" si="316"/>
        <v/>
      </c>
      <c r="S1007" t="str">
        <f t="shared" si="317"/>
        <v/>
      </c>
      <c r="T1007" t="str">
        <f t="shared" si="318"/>
        <v/>
      </c>
      <c r="U1007" t="str">
        <f t="shared" si="319"/>
        <v/>
      </c>
      <c r="V1007" t="str">
        <f t="shared" si="320"/>
        <v/>
      </c>
      <c r="W1007" t="str">
        <f t="shared" si="302"/>
        <v xml:space="preserve">              </v>
      </c>
    </row>
    <row r="1008" spans="1:23" customFormat="1" hidden="1">
      <c r="A1008" t="b">
        <f t="shared" si="301"/>
        <v>0</v>
      </c>
      <c r="B1008">
        <f t="shared" si="304"/>
        <v>1007</v>
      </c>
      <c r="C1008" t="s">
        <v>981</v>
      </c>
      <c r="D1008" t="s">
        <v>995</v>
      </c>
      <c r="E1008">
        <f t="shared" si="303"/>
        <v>49</v>
      </c>
      <c r="G1008">
        <f t="shared" si="305"/>
        <v>3</v>
      </c>
      <c r="H1008" t="str">
        <f t="shared" si="306"/>
        <v/>
      </c>
      <c r="I1008" t="str">
        <f t="shared" si="307"/>
        <v/>
      </c>
      <c r="J1008" t="str">
        <f t="shared" si="308"/>
        <v/>
      </c>
      <c r="K1008" t="str">
        <f t="shared" si="309"/>
        <v/>
      </c>
      <c r="L1008" t="str">
        <f t="shared" si="310"/>
        <v/>
      </c>
      <c r="M1008" t="str">
        <f t="shared" si="311"/>
        <v/>
      </c>
      <c r="N1008" t="str">
        <f t="shared" si="312"/>
        <v/>
      </c>
      <c r="O1008" t="str">
        <f t="shared" si="313"/>
        <v/>
      </c>
      <c r="P1008" t="str">
        <f t="shared" si="314"/>
        <v/>
      </c>
      <c r="Q1008" t="str">
        <f t="shared" si="315"/>
        <v/>
      </c>
      <c r="R1008" t="str">
        <f t="shared" si="316"/>
        <v/>
      </c>
      <c r="S1008" t="str">
        <f t="shared" si="317"/>
        <v/>
      </c>
      <c r="T1008" t="str">
        <f t="shared" si="318"/>
        <v/>
      </c>
      <c r="U1008" t="str">
        <f t="shared" si="319"/>
        <v/>
      </c>
      <c r="V1008" t="str">
        <f t="shared" si="320"/>
        <v/>
      </c>
      <c r="W1008" t="str">
        <f t="shared" si="302"/>
        <v xml:space="preserve">              </v>
      </c>
    </row>
    <row r="1009" spans="1:23" customFormat="1" hidden="1">
      <c r="A1009" t="b">
        <f t="shared" si="301"/>
        <v>0</v>
      </c>
      <c r="B1009">
        <f t="shared" si="304"/>
        <v>1008</v>
      </c>
      <c r="C1009" t="s">
        <v>981</v>
      </c>
      <c r="D1009" t="s">
        <v>996</v>
      </c>
      <c r="E1009">
        <f t="shared" si="303"/>
        <v>23</v>
      </c>
      <c r="G1009">
        <f t="shared" si="305"/>
        <v>4</v>
      </c>
      <c r="H1009" t="str">
        <f t="shared" si="306"/>
        <v/>
      </c>
      <c r="I1009" t="str">
        <f t="shared" si="307"/>
        <v/>
      </c>
      <c r="J1009" t="str">
        <f t="shared" si="308"/>
        <v/>
      </c>
      <c r="K1009" t="str">
        <f t="shared" si="309"/>
        <v/>
      </c>
      <c r="L1009" t="str">
        <f t="shared" si="310"/>
        <v/>
      </c>
      <c r="M1009" t="str">
        <f t="shared" si="311"/>
        <v/>
      </c>
      <c r="N1009" t="str">
        <f t="shared" si="312"/>
        <v/>
      </c>
      <c r="O1009" t="str">
        <f t="shared" si="313"/>
        <v/>
      </c>
      <c r="P1009" t="str">
        <f t="shared" si="314"/>
        <v/>
      </c>
      <c r="Q1009" t="str">
        <f t="shared" si="315"/>
        <v/>
      </c>
      <c r="R1009" t="str">
        <f t="shared" si="316"/>
        <v/>
      </c>
      <c r="S1009" t="str">
        <f t="shared" si="317"/>
        <v/>
      </c>
      <c r="T1009" t="str">
        <f t="shared" si="318"/>
        <v/>
      </c>
      <c r="U1009" t="str">
        <f t="shared" si="319"/>
        <v/>
      </c>
      <c r="V1009" t="str">
        <f t="shared" si="320"/>
        <v/>
      </c>
      <c r="W1009" t="str">
        <f t="shared" si="302"/>
        <v xml:space="preserve">              </v>
      </c>
    </row>
    <row r="1010" spans="1:23" hidden="1">
      <c r="A1010" s="71" t="b">
        <f t="shared" si="301"/>
        <v>0</v>
      </c>
      <c r="B1010" s="71">
        <f t="shared" si="304"/>
        <v>1009</v>
      </c>
      <c r="C1010" s="71" t="s">
        <v>981</v>
      </c>
      <c r="D1010" s="71" t="s">
        <v>997</v>
      </c>
      <c r="E1010">
        <f t="shared" si="303"/>
        <v>27</v>
      </c>
      <c r="F1010">
        <v>1</v>
      </c>
      <c r="G1010">
        <f t="shared" si="305"/>
        <v>1</v>
      </c>
      <c r="H1010" t="str">
        <f t="shared" si="306"/>
        <v>Collaborate/Problem solving</v>
      </c>
      <c r="I1010" t="str">
        <f t="shared" si="307"/>
        <v>This approach confronts the problem head-on</v>
      </c>
      <c r="J1010" t="str">
        <f t="shared" si="308"/>
        <v>and is the preferred method of conflict</v>
      </c>
      <c r="K1010" t="str">
        <f t="shared" si="309"/>
        <v>resolution. Multiple viewpoints and perspectives</v>
      </c>
      <c r="L1010" t="str">
        <f t="shared" si="310"/>
        <v>contribute to the solution.</v>
      </c>
      <c r="M1010" t="str">
        <f t="shared" si="311"/>
        <v/>
      </c>
      <c r="N1010" t="str">
        <f t="shared" si="312"/>
        <v/>
      </c>
      <c r="O1010" t="str">
        <f t="shared" si="313"/>
        <v/>
      </c>
      <c r="P1010" t="str">
        <f t="shared" si="314"/>
        <v/>
      </c>
      <c r="Q1010" t="str">
        <f t="shared" si="315"/>
        <v/>
      </c>
      <c r="R1010" t="str">
        <f t="shared" si="316"/>
        <v/>
      </c>
      <c r="S1010" t="str">
        <f t="shared" si="317"/>
        <v/>
      </c>
      <c r="T1010" t="str">
        <f t="shared" si="318"/>
        <v/>
      </c>
      <c r="U1010" t="str">
        <f t="shared" si="319"/>
        <v/>
      </c>
      <c r="V1010" t="str">
        <f t="shared" si="320"/>
        <v/>
      </c>
      <c r="W1010" s="71" t="str">
        <f>CONCATENATE(H1010," ",I1010," ",J1010," ",K1010," ",L1010," ",M1010," ",N1010," ",O1010," ",P1010," ",Q1010," ",R1010," ",S1010," ",T1010," ",U1010," ",V1010)</f>
        <v xml:space="preserve">Collaborate/Problem solving This approach confronts the problem head-on and is the preferred method of conflict resolution. Multiple viewpoints and perspectives contribute to the solution.          </v>
      </c>
    </row>
    <row r="1011" spans="1:23" customFormat="1" hidden="1">
      <c r="A1011" t="b">
        <f t="shared" si="301"/>
        <v>0</v>
      </c>
      <c r="B1011">
        <f t="shared" si="304"/>
        <v>1010</v>
      </c>
      <c r="C1011" t="s">
        <v>981</v>
      </c>
      <c r="D1011" t="s">
        <v>998</v>
      </c>
      <c r="E1011">
        <f t="shared" si="303"/>
        <v>43</v>
      </c>
      <c r="G1011">
        <f t="shared" si="305"/>
        <v>2</v>
      </c>
      <c r="H1011" t="str">
        <f t="shared" si="306"/>
        <v/>
      </c>
      <c r="I1011" t="str">
        <f t="shared" si="307"/>
        <v/>
      </c>
      <c r="J1011" t="str">
        <f t="shared" si="308"/>
        <v/>
      </c>
      <c r="K1011" t="str">
        <f t="shared" si="309"/>
        <v/>
      </c>
      <c r="L1011" t="str">
        <f t="shared" si="310"/>
        <v/>
      </c>
      <c r="M1011" t="str">
        <f t="shared" si="311"/>
        <v/>
      </c>
      <c r="N1011" t="str">
        <f t="shared" si="312"/>
        <v/>
      </c>
      <c r="O1011" t="str">
        <f t="shared" si="313"/>
        <v/>
      </c>
      <c r="P1011" t="str">
        <f t="shared" si="314"/>
        <v/>
      </c>
      <c r="Q1011" t="str">
        <f t="shared" si="315"/>
        <v/>
      </c>
      <c r="R1011" t="str">
        <f t="shared" si="316"/>
        <v/>
      </c>
      <c r="S1011" t="str">
        <f t="shared" si="317"/>
        <v/>
      </c>
      <c r="T1011" t="str">
        <f t="shared" si="318"/>
        <v/>
      </c>
      <c r="U1011" t="str">
        <f t="shared" si="319"/>
        <v/>
      </c>
      <c r="V1011" t="str">
        <f t="shared" si="320"/>
        <v/>
      </c>
      <c r="W1011" t="str">
        <f t="shared" si="302"/>
        <v xml:space="preserve">              </v>
      </c>
    </row>
    <row r="1012" spans="1:23" customFormat="1" hidden="1">
      <c r="A1012" t="b">
        <f t="shared" si="301"/>
        <v>0</v>
      </c>
      <c r="B1012">
        <f t="shared" si="304"/>
        <v>1011</v>
      </c>
      <c r="C1012" t="s">
        <v>981</v>
      </c>
      <c r="D1012" t="s">
        <v>999</v>
      </c>
      <c r="E1012">
        <f t="shared" si="303"/>
        <v>39</v>
      </c>
      <c r="G1012">
        <f t="shared" si="305"/>
        <v>3</v>
      </c>
      <c r="H1012" t="str">
        <f t="shared" si="306"/>
        <v/>
      </c>
      <c r="I1012" t="str">
        <f t="shared" si="307"/>
        <v/>
      </c>
      <c r="J1012" t="str">
        <f t="shared" si="308"/>
        <v/>
      </c>
      <c r="K1012" t="str">
        <f t="shared" si="309"/>
        <v/>
      </c>
      <c r="L1012" t="str">
        <f t="shared" si="310"/>
        <v/>
      </c>
      <c r="M1012" t="str">
        <f t="shared" si="311"/>
        <v/>
      </c>
      <c r="N1012" t="str">
        <f t="shared" si="312"/>
        <v/>
      </c>
      <c r="O1012" t="str">
        <f t="shared" si="313"/>
        <v/>
      </c>
      <c r="P1012" t="str">
        <f t="shared" si="314"/>
        <v/>
      </c>
      <c r="Q1012" t="str">
        <f t="shared" si="315"/>
        <v/>
      </c>
      <c r="R1012" t="str">
        <f t="shared" si="316"/>
        <v/>
      </c>
      <c r="S1012" t="str">
        <f t="shared" si="317"/>
        <v/>
      </c>
      <c r="T1012" t="str">
        <f t="shared" si="318"/>
        <v/>
      </c>
      <c r="U1012" t="str">
        <f t="shared" si="319"/>
        <v/>
      </c>
      <c r="V1012" t="str">
        <f t="shared" si="320"/>
        <v/>
      </c>
      <c r="W1012" t="str">
        <f t="shared" si="302"/>
        <v xml:space="preserve">              </v>
      </c>
    </row>
    <row r="1013" spans="1:23" customFormat="1" hidden="1">
      <c r="A1013" t="b">
        <f t="shared" si="301"/>
        <v>0</v>
      </c>
      <c r="B1013">
        <f t="shared" si="304"/>
        <v>1012</v>
      </c>
      <c r="C1013" t="s">
        <v>981</v>
      </c>
      <c r="D1013" t="s">
        <v>1000</v>
      </c>
      <c r="E1013">
        <f t="shared" si="303"/>
        <v>48</v>
      </c>
      <c r="G1013">
        <f t="shared" si="305"/>
        <v>4</v>
      </c>
      <c r="H1013" t="str">
        <f t="shared" si="306"/>
        <v/>
      </c>
      <c r="I1013" t="str">
        <f t="shared" si="307"/>
        <v/>
      </c>
      <c r="J1013" t="str">
        <f t="shared" si="308"/>
        <v/>
      </c>
      <c r="K1013" t="str">
        <f t="shared" si="309"/>
        <v/>
      </c>
      <c r="L1013" t="str">
        <f t="shared" si="310"/>
        <v/>
      </c>
      <c r="M1013" t="str">
        <f t="shared" si="311"/>
        <v/>
      </c>
      <c r="N1013" t="str">
        <f t="shared" si="312"/>
        <v/>
      </c>
      <c r="O1013" t="str">
        <f t="shared" si="313"/>
        <v/>
      </c>
      <c r="P1013" t="str">
        <f t="shared" si="314"/>
        <v/>
      </c>
      <c r="Q1013" t="str">
        <f t="shared" si="315"/>
        <v/>
      </c>
      <c r="R1013" t="str">
        <f t="shared" si="316"/>
        <v/>
      </c>
      <c r="S1013" t="str">
        <f t="shared" si="317"/>
        <v/>
      </c>
      <c r="T1013" t="str">
        <f t="shared" si="318"/>
        <v/>
      </c>
      <c r="U1013" t="str">
        <f t="shared" si="319"/>
        <v/>
      </c>
      <c r="V1013" t="str">
        <f t="shared" si="320"/>
        <v/>
      </c>
      <c r="W1013" t="str">
        <f t="shared" si="302"/>
        <v xml:space="preserve">              </v>
      </c>
    </row>
    <row r="1014" spans="1:23" customFormat="1" hidden="1">
      <c r="A1014" t="b">
        <f t="shared" si="301"/>
        <v>0</v>
      </c>
      <c r="B1014">
        <f t="shared" si="304"/>
        <v>1013</v>
      </c>
      <c r="C1014" t="s">
        <v>981</v>
      </c>
      <c r="D1014" t="s">
        <v>1001</v>
      </c>
      <c r="E1014">
        <f t="shared" si="303"/>
        <v>27</v>
      </c>
      <c r="G1014">
        <f t="shared" si="305"/>
        <v>5</v>
      </c>
      <c r="H1014" t="str">
        <f t="shared" si="306"/>
        <v/>
      </c>
      <c r="I1014" t="str">
        <f t="shared" si="307"/>
        <v/>
      </c>
      <c r="J1014" t="str">
        <f t="shared" si="308"/>
        <v/>
      </c>
      <c r="K1014" t="str">
        <f t="shared" si="309"/>
        <v/>
      </c>
      <c r="L1014" t="str">
        <f t="shared" si="310"/>
        <v/>
      </c>
      <c r="M1014" t="str">
        <f t="shared" si="311"/>
        <v/>
      </c>
      <c r="N1014" t="str">
        <f t="shared" si="312"/>
        <v/>
      </c>
      <c r="O1014" t="str">
        <f t="shared" si="313"/>
        <v/>
      </c>
      <c r="P1014" t="str">
        <f t="shared" si="314"/>
        <v/>
      </c>
      <c r="Q1014" t="str">
        <f t="shared" si="315"/>
        <v/>
      </c>
      <c r="R1014" t="str">
        <f t="shared" si="316"/>
        <v/>
      </c>
      <c r="S1014" t="str">
        <f t="shared" si="317"/>
        <v/>
      </c>
      <c r="T1014" t="str">
        <f t="shared" si="318"/>
        <v/>
      </c>
      <c r="U1014" t="str">
        <f t="shared" si="319"/>
        <v/>
      </c>
      <c r="V1014" t="str">
        <f t="shared" si="320"/>
        <v/>
      </c>
      <c r="W1014" t="str">
        <f t="shared" si="302"/>
        <v xml:space="preserve">              </v>
      </c>
    </row>
    <row r="1015" spans="1:23" hidden="1">
      <c r="A1015" s="71" t="b">
        <f t="shared" si="301"/>
        <v>0</v>
      </c>
      <c r="B1015" s="71">
        <f t="shared" si="304"/>
        <v>1014</v>
      </c>
      <c r="C1015" s="71" t="s">
        <v>981</v>
      </c>
      <c r="D1015" s="71" t="s">
        <v>1002</v>
      </c>
      <c r="E1015">
        <f t="shared" si="303"/>
        <v>43</v>
      </c>
      <c r="F1015">
        <v>1</v>
      </c>
      <c r="G1015">
        <f t="shared" si="305"/>
        <v>1</v>
      </c>
      <c r="H1015" t="str">
        <f t="shared" si="306"/>
        <v>Collective bargaining agreement constraints</v>
      </c>
      <c r="I1015" t="str">
        <f t="shared" si="307"/>
        <v>Contracts and agreements with unions or other</v>
      </c>
      <c r="J1015" t="str">
        <f t="shared" si="308"/>
        <v>employee groups may serve as constraints on the</v>
      </c>
      <c r="K1015" t="str">
        <f t="shared" si="309"/>
        <v>project.</v>
      </c>
      <c r="L1015" t="str">
        <f t="shared" si="310"/>
        <v/>
      </c>
      <c r="M1015" t="str">
        <f t="shared" si="311"/>
        <v/>
      </c>
      <c r="N1015" t="str">
        <f t="shared" si="312"/>
        <v/>
      </c>
      <c r="O1015" t="str">
        <f t="shared" si="313"/>
        <v/>
      </c>
      <c r="P1015" t="str">
        <f t="shared" si="314"/>
        <v/>
      </c>
      <c r="Q1015" t="str">
        <f t="shared" si="315"/>
        <v/>
      </c>
      <c r="R1015" t="str">
        <f t="shared" si="316"/>
        <v/>
      </c>
      <c r="S1015" t="str">
        <f t="shared" si="317"/>
        <v/>
      </c>
      <c r="T1015" t="str">
        <f t="shared" si="318"/>
        <v/>
      </c>
      <c r="U1015" t="str">
        <f t="shared" si="319"/>
        <v/>
      </c>
      <c r="V1015" t="str">
        <f t="shared" si="320"/>
        <v/>
      </c>
      <c r="W1015" s="71" t="str">
        <f>CONCATENATE(H1015," ",I1015," ",J1015," ",K1015," ",L1015," ",M1015," ",N1015," ",O1015," ",P1015," ",Q1015," ",R1015," ",S1015," ",T1015," ",U1015," ",V1015)</f>
        <v xml:space="preserve">Collective bargaining agreement constraints Contracts and agreements with unions or other employee groups may serve as constraints on the project.           </v>
      </c>
    </row>
    <row r="1016" spans="1:23" customFormat="1" hidden="1">
      <c r="A1016" t="b">
        <f t="shared" si="301"/>
        <v>0</v>
      </c>
      <c r="B1016">
        <f t="shared" si="304"/>
        <v>1015</v>
      </c>
      <c r="C1016" t="s">
        <v>981</v>
      </c>
      <c r="D1016" t="s">
        <v>1003</v>
      </c>
      <c r="E1016">
        <f t="shared" si="303"/>
        <v>45</v>
      </c>
      <c r="G1016">
        <f t="shared" si="305"/>
        <v>2</v>
      </c>
      <c r="H1016" t="str">
        <f t="shared" si="306"/>
        <v/>
      </c>
      <c r="I1016" t="str">
        <f t="shared" si="307"/>
        <v/>
      </c>
      <c r="J1016" t="str">
        <f t="shared" si="308"/>
        <v/>
      </c>
      <c r="K1016" t="str">
        <f t="shared" si="309"/>
        <v/>
      </c>
      <c r="L1016" t="str">
        <f t="shared" si="310"/>
        <v/>
      </c>
      <c r="M1016" t="str">
        <f t="shared" si="311"/>
        <v/>
      </c>
      <c r="N1016" t="str">
        <f t="shared" si="312"/>
        <v/>
      </c>
      <c r="O1016" t="str">
        <f t="shared" si="313"/>
        <v/>
      </c>
      <c r="P1016" t="str">
        <f t="shared" si="314"/>
        <v/>
      </c>
      <c r="Q1016" t="str">
        <f t="shared" si="315"/>
        <v/>
      </c>
      <c r="R1016" t="str">
        <f t="shared" si="316"/>
        <v/>
      </c>
      <c r="S1016" t="str">
        <f t="shared" si="317"/>
        <v/>
      </c>
      <c r="T1016" t="str">
        <f t="shared" si="318"/>
        <v/>
      </c>
      <c r="U1016" t="str">
        <f t="shared" si="319"/>
        <v/>
      </c>
      <c r="V1016" t="str">
        <f t="shared" si="320"/>
        <v/>
      </c>
      <c r="W1016" t="str">
        <f t="shared" si="302"/>
        <v xml:space="preserve">              </v>
      </c>
    </row>
    <row r="1017" spans="1:23" customFormat="1" hidden="1">
      <c r="A1017" t="b">
        <f t="shared" si="301"/>
        <v>0</v>
      </c>
      <c r="B1017">
        <f t="shared" si="304"/>
        <v>1016</v>
      </c>
      <c r="C1017" t="s">
        <v>981</v>
      </c>
      <c r="D1017" t="s">
        <v>1004</v>
      </c>
      <c r="E1017">
        <f t="shared" si="303"/>
        <v>47</v>
      </c>
      <c r="G1017">
        <f t="shared" si="305"/>
        <v>3</v>
      </c>
      <c r="H1017" t="str">
        <f t="shared" si="306"/>
        <v/>
      </c>
      <c r="I1017" t="str">
        <f t="shared" si="307"/>
        <v/>
      </c>
      <c r="J1017" t="str">
        <f t="shared" si="308"/>
        <v/>
      </c>
      <c r="K1017" t="str">
        <f t="shared" si="309"/>
        <v/>
      </c>
      <c r="L1017" t="str">
        <f t="shared" si="310"/>
        <v/>
      </c>
      <c r="M1017" t="str">
        <f t="shared" si="311"/>
        <v/>
      </c>
      <c r="N1017" t="str">
        <f t="shared" si="312"/>
        <v/>
      </c>
      <c r="O1017" t="str">
        <f t="shared" si="313"/>
        <v/>
      </c>
      <c r="P1017" t="str">
        <f t="shared" si="314"/>
        <v/>
      </c>
      <c r="Q1017" t="str">
        <f t="shared" si="315"/>
        <v/>
      </c>
      <c r="R1017" t="str">
        <f t="shared" si="316"/>
        <v/>
      </c>
      <c r="S1017" t="str">
        <f t="shared" si="317"/>
        <v/>
      </c>
      <c r="T1017" t="str">
        <f t="shared" si="318"/>
        <v/>
      </c>
      <c r="U1017" t="str">
        <f t="shared" si="319"/>
        <v/>
      </c>
      <c r="V1017" t="str">
        <f t="shared" si="320"/>
        <v/>
      </c>
      <c r="W1017" t="str">
        <f t="shared" si="302"/>
        <v xml:space="preserve">              </v>
      </c>
    </row>
    <row r="1018" spans="1:23" customFormat="1" hidden="1">
      <c r="A1018" t="b">
        <f t="shared" si="301"/>
        <v>0</v>
      </c>
      <c r="B1018">
        <f t="shared" si="304"/>
        <v>1017</v>
      </c>
      <c r="C1018" t="s">
        <v>981</v>
      </c>
      <c r="D1018" t="s">
        <v>131</v>
      </c>
      <c r="E1018">
        <f t="shared" si="303"/>
        <v>8</v>
      </c>
      <c r="G1018">
        <f t="shared" si="305"/>
        <v>4</v>
      </c>
      <c r="H1018" t="str">
        <f t="shared" si="306"/>
        <v/>
      </c>
      <c r="I1018" t="str">
        <f t="shared" si="307"/>
        <v/>
      </c>
      <c r="J1018" t="str">
        <f t="shared" si="308"/>
        <v/>
      </c>
      <c r="K1018" t="str">
        <f t="shared" si="309"/>
        <v/>
      </c>
      <c r="L1018" t="str">
        <f t="shared" si="310"/>
        <v/>
      </c>
      <c r="M1018" t="str">
        <f t="shared" si="311"/>
        <v/>
      </c>
      <c r="N1018" t="str">
        <f t="shared" si="312"/>
        <v/>
      </c>
      <c r="O1018" t="str">
        <f t="shared" si="313"/>
        <v/>
      </c>
      <c r="P1018" t="str">
        <f t="shared" si="314"/>
        <v/>
      </c>
      <c r="Q1018" t="str">
        <f t="shared" si="315"/>
        <v/>
      </c>
      <c r="R1018" t="str">
        <f t="shared" si="316"/>
        <v/>
      </c>
      <c r="S1018" t="str">
        <f t="shared" si="317"/>
        <v/>
      </c>
      <c r="T1018" t="str">
        <f t="shared" si="318"/>
        <v/>
      </c>
      <c r="U1018" t="str">
        <f t="shared" si="319"/>
        <v/>
      </c>
      <c r="V1018" t="str">
        <f t="shared" si="320"/>
        <v/>
      </c>
      <c r="W1018" t="str">
        <f t="shared" si="302"/>
        <v xml:space="preserve">              </v>
      </c>
    </row>
    <row r="1019" spans="1:23" hidden="1">
      <c r="A1019" s="71" t="b">
        <f t="shared" si="301"/>
        <v>0</v>
      </c>
      <c r="B1019" s="71">
        <f t="shared" si="304"/>
        <v>1018</v>
      </c>
      <c r="C1019" s="71" t="s">
        <v>981</v>
      </c>
      <c r="D1019" s="71" t="s">
        <v>1005</v>
      </c>
      <c r="E1019">
        <f t="shared" ref="E1019:E1080" si="321">LEN(D1019)</f>
        <v>10</v>
      </c>
      <c r="F1019">
        <v>1</v>
      </c>
      <c r="G1019">
        <f t="shared" si="305"/>
        <v>1</v>
      </c>
      <c r="H1019" t="str">
        <f t="shared" si="306"/>
        <v>Competency</v>
      </c>
      <c r="I1019" t="str">
        <f t="shared" si="307"/>
        <v>This attribute defines what talents, skills, and</v>
      </c>
      <c r="J1019" t="str">
        <f t="shared" si="308"/>
        <v>capabilities are needed to complete the project</v>
      </c>
      <c r="K1019" t="str">
        <f t="shared" si="309"/>
        <v>work.</v>
      </c>
      <c r="L1019" t="str">
        <f t="shared" si="310"/>
        <v/>
      </c>
      <c r="M1019" t="str">
        <f t="shared" si="311"/>
        <v/>
      </c>
      <c r="N1019" t="str">
        <f t="shared" si="312"/>
        <v/>
      </c>
      <c r="O1019" t="str">
        <f t="shared" si="313"/>
        <v/>
      </c>
      <c r="P1019" t="str">
        <f t="shared" si="314"/>
        <v/>
      </c>
      <c r="Q1019" t="str">
        <f t="shared" si="315"/>
        <v/>
      </c>
      <c r="R1019" t="str">
        <f t="shared" si="316"/>
        <v/>
      </c>
      <c r="S1019" t="str">
        <f t="shared" si="317"/>
        <v/>
      </c>
      <c r="T1019" t="str">
        <f t="shared" si="318"/>
        <v/>
      </c>
      <c r="U1019" t="str">
        <f t="shared" si="319"/>
        <v/>
      </c>
      <c r="V1019" t="str">
        <f t="shared" si="320"/>
        <v/>
      </c>
      <c r="W1019" s="71" t="str">
        <f>CONCATENATE(H1019," ",I1019," ",J1019," ",K1019," ",L1019," ",M1019," ",N1019," ",O1019," ",P1019," ",Q1019," ",R1019," ",S1019," ",T1019," ",U1019," ",V1019)</f>
        <v xml:space="preserve">Competency This attribute defines what talents, skills, and capabilities are needed to complete the project work.           </v>
      </c>
    </row>
    <row r="1020" spans="1:23" customFormat="1" hidden="1">
      <c r="A1020" t="b">
        <f t="shared" si="301"/>
        <v>0</v>
      </c>
      <c r="B1020">
        <f t="shared" si="304"/>
        <v>1019</v>
      </c>
      <c r="C1020" t="s">
        <v>981</v>
      </c>
      <c r="D1020" t="s">
        <v>1006</v>
      </c>
      <c r="E1020">
        <f t="shared" si="321"/>
        <v>48</v>
      </c>
      <c r="G1020">
        <f t="shared" si="305"/>
        <v>2</v>
      </c>
      <c r="H1020" t="str">
        <f t="shared" si="306"/>
        <v/>
      </c>
      <c r="I1020" t="str">
        <f t="shared" si="307"/>
        <v/>
      </c>
      <c r="J1020" t="str">
        <f t="shared" si="308"/>
        <v/>
      </c>
      <c r="K1020" t="str">
        <f t="shared" si="309"/>
        <v/>
      </c>
      <c r="L1020" t="str">
        <f t="shared" si="310"/>
        <v/>
      </c>
      <c r="M1020" t="str">
        <f t="shared" si="311"/>
        <v/>
      </c>
      <c r="N1020" t="str">
        <f t="shared" si="312"/>
        <v/>
      </c>
      <c r="O1020" t="str">
        <f t="shared" si="313"/>
        <v/>
      </c>
      <c r="P1020" t="str">
        <f t="shared" si="314"/>
        <v/>
      </c>
      <c r="Q1020" t="str">
        <f t="shared" si="315"/>
        <v/>
      </c>
      <c r="R1020" t="str">
        <f t="shared" si="316"/>
        <v/>
      </c>
      <c r="S1020" t="str">
        <f t="shared" si="317"/>
        <v/>
      </c>
      <c r="T1020" t="str">
        <f t="shared" si="318"/>
        <v/>
      </c>
      <c r="U1020" t="str">
        <f t="shared" si="319"/>
        <v/>
      </c>
      <c r="V1020" t="str">
        <f t="shared" si="320"/>
        <v/>
      </c>
      <c r="W1020" t="str">
        <f t="shared" si="302"/>
        <v xml:space="preserve">              </v>
      </c>
    </row>
    <row r="1021" spans="1:23" customFormat="1" hidden="1">
      <c r="A1021" t="b">
        <f t="shared" si="301"/>
        <v>0</v>
      </c>
      <c r="B1021">
        <f t="shared" si="304"/>
        <v>1020</v>
      </c>
      <c r="C1021" t="s">
        <v>981</v>
      </c>
      <c r="D1021" t="s">
        <v>1007</v>
      </c>
      <c r="E1021">
        <f t="shared" si="321"/>
        <v>47</v>
      </c>
      <c r="G1021">
        <f t="shared" si="305"/>
        <v>3</v>
      </c>
      <c r="H1021" t="str">
        <f t="shared" si="306"/>
        <v/>
      </c>
      <c r="I1021" t="str">
        <f t="shared" si="307"/>
        <v/>
      </c>
      <c r="J1021" t="str">
        <f t="shared" si="308"/>
        <v/>
      </c>
      <c r="K1021" t="str">
        <f t="shared" si="309"/>
        <v/>
      </c>
      <c r="L1021" t="str">
        <f t="shared" si="310"/>
        <v/>
      </c>
      <c r="M1021" t="str">
        <f t="shared" si="311"/>
        <v/>
      </c>
      <c r="N1021" t="str">
        <f t="shared" si="312"/>
        <v/>
      </c>
      <c r="O1021" t="str">
        <f t="shared" si="313"/>
        <v/>
      </c>
      <c r="P1021" t="str">
        <f t="shared" si="314"/>
        <v/>
      </c>
      <c r="Q1021" t="str">
        <f t="shared" si="315"/>
        <v/>
      </c>
      <c r="R1021" t="str">
        <f t="shared" si="316"/>
        <v/>
      </c>
      <c r="S1021" t="str">
        <f t="shared" si="317"/>
        <v/>
      </c>
      <c r="T1021" t="str">
        <f t="shared" si="318"/>
        <v/>
      </c>
      <c r="U1021" t="str">
        <f t="shared" si="319"/>
        <v/>
      </c>
      <c r="V1021" t="str">
        <f t="shared" si="320"/>
        <v/>
      </c>
      <c r="W1021" t="str">
        <f t="shared" si="302"/>
        <v xml:space="preserve">              </v>
      </c>
    </row>
    <row r="1022" spans="1:23" customFormat="1" hidden="1">
      <c r="A1022" t="b">
        <f t="shared" si="301"/>
        <v>0</v>
      </c>
      <c r="B1022">
        <f t="shared" si="304"/>
        <v>1021</v>
      </c>
      <c r="C1022" t="s">
        <v>981</v>
      </c>
      <c r="D1022" t="s">
        <v>637</v>
      </c>
      <c r="E1022">
        <f t="shared" si="321"/>
        <v>5</v>
      </c>
      <c r="G1022">
        <f t="shared" si="305"/>
        <v>4</v>
      </c>
      <c r="H1022" t="str">
        <f t="shared" si="306"/>
        <v/>
      </c>
      <c r="I1022" t="str">
        <f t="shared" si="307"/>
        <v/>
      </c>
      <c r="J1022" t="str">
        <f t="shared" si="308"/>
        <v/>
      </c>
      <c r="K1022" t="str">
        <f t="shared" si="309"/>
        <v/>
      </c>
      <c r="L1022" t="str">
        <f t="shared" si="310"/>
        <v/>
      </c>
      <c r="M1022" t="str">
        <f t="shared" si="311"/>
        <v/>
      </c>
      <c r="N1022" t="str">
        <f t="shared" si="312"/>
        <v/>
      </c>
      <c r="O1022" t="str">
        <f t="shared" si="313"/>
        <v/>
      </c>
      <c r="P1022" t="str">
        <f t="shared" si="314"/>
        <v/>
      </c>
      <c r="Q1022" t="str">
        <f t="shared" si="315"/>
        <v/>
      </c>
      <c r="R1022" t="str">
        <f t="shared" si="316"/>
        <v/>
      </c>
      <c r="S1022" t="str">
        <f t="shared" si="317"/>
        <v/>
      </c>
      <c r="T1022" t="str">
        <f t="shared" si="318"/>
        <v/>
      </c>
      <c r="U1022" t="str">
        <f t="shared" si="319"/>
        <v/>
      </c>
      <c r="V1022" t="str">
        <f t="shared" si="320"/>
        <v/>
      </c>
      <c r="W1022" t="str">
        <f t="shared" si="302"/>
        <v xml:space="preserve">              </v>
      </c>
    </row>
    <row r="1023" spans="1:23" hidden="1">
      <c r="A1023" s="71" t="b">
        <f t="shared" ref="A1023:A1086" si="322">C1023=D1023</f>
        <v>0</v>
      </c>
      <c r="B1023" s="71">
        <f t="shared" si="304"/>
        <v>1022</v>
      </c>
      <c r="C1023" s="71" t="s">
        <v>981</v>
      </c>
      <c r="D1023" s="71" t="s">
        <v>1008</v>
      </c>
      <c r="E1023">
        <f t="shared" si="321"/>
        <v>12</v>
      </c>
      <c r="F1023">
        <v>1</v>
      </c>
      <c r="G1023">
        <f t="shared" si="305"/>
        <v>1</v>
      </c>
      <c r="H1023" t="str">
        <f t="shared" si="306"/>
        <v>Compromising</v>
      </c>
      <c r="I1023" t="str">
        <f t="shared" si="307"/>
        <v>This approach requires that both parties give up</v>
      </c>
      <c r="J1023" t="str">
        <f t="shared" si="308"/>
        <v>something.</v>
      </c>
      <c r="K1023" t="str">
        <f t="shared" si="309"/>
        <v/>
      </c>
      <c r="L1023" t="str">
        <f t="shared" si="310"/>
        <v/>
      </c>
      <c r="M1023" t="str">
        <f t="shared" si="311"/>
        <v/>
      </c>
      <c r="N1023" t="str">
        <f t="shared" si="312"/>
        <v/>
      </c>
      <c r="O1023" t="str">
        <f t="shared" si="313"/>
        <v/>
      </c>
      <c r="P1023" t="str">
        <f t="shared" si="314"/>
        <v/>
      </c>
      <c r="Q1023" t="str">
        <f t="shared" si="315"/>
        <v/>
      </c>
      <c r="R1023" t="str">
        <f t="shared" si="316"/>
        <v/>
      </c>
      <c r="S1023" t="str">
        <f t="shared" si="317"/>
        <v/>
      </c>
      <c r="T1023" t="str">
        <f t="shared" si="318"/>
        <v/>
      </c>
      <c r="U1023" t="str">
        <f t="shared" si="319"/>
        <v/>
      </c>
      <c r="V1023" t="str">
        <f t="shared" si="320"/>
        <v/>
      </c>
      <c r="W1023" s="71" t="str">
        <f>CONCATENATE(H1023," ",I1023," ",J1023," ",K1023," ",L1023," ",M1023," ",N1023," ",O1023," ",P1023," ",Q1023," ",R1023," ",S1023," ",T1023," ",U1023," ",V1023)</f>
        <v xml:space="preserve">Compromising This approach requires that both parties give up something.            </v>
      </c>
    </row>
    <row r="1024" spans="1:23" customFormat="1" hidden="1">
      <c r="A1024" t="b">
        <f t="shared" si="322"/>
        <v>0</v>
      </c>
      <c r="B1024">
        <f t="shared" si="304"/>
        <v>1023</v>
      </c>
      <c r="C1024" t="s">
        <v>981</v>
      </c>
      <c r="D1024" t="s">
        <v>1009</v>
      </c>
      <c r="E1024">
        <f t="shared" si="321"/>
        <v>48</v>
      </c>
      <c r="G1024">
        <f t="shared" si="305"/>
        <v>2</v>
      </c>
      <c r="H1024" t="str">
        <f t="shared" si="306"/>
        <v/>
      </c>
      <c r="I1024" t="str">
        <f t="shared" si="307"/>
        <v/>
      </c>
      <c r="J1024" t="str">
        <f t="shared" si="308"/>
        <v/>
      </c>
      <c r="K1024" t="str">
        <f t="shared" si="309"/>
        <v/>
      </c>
      <c r="L1024" t="str">
        <f t="shared" si="310"/>
        <v/>
      </c>
      <c r="M1024" t="str">
        <f t="shared" si="311"/>
        <v/>
      </c>
      <c r="N1024" t="str">
        <f t="shared" si="312"/>
        <v/>
      </c>
      <c r="O1024" t="str">
        <f t="shared" si="313"/>
        <v/>
      </c>
      <c r="P1024" t="str">
        <f t="shared" si="314"/>
        <v/>
      </c>
      <c r="Q1024" t="str">
        <f t="shared" si="315"/>
        <v/>
      </c>
      <c r="R1024" t="str">
        <f t="shared" si="316"/>
        <v/>
      </c>
      <c r="S1024" t="str">
        <f t="shared" si="317"/>
        <v/>
      </c>
      <c r="T1024" t="str">
        <f t="shared" si="318"/>
        <v/>
      </c>
      <c r="U1024" t="str">
        <f t="shared" si="319"/>
        <v/>
      </c>
      <c r="V1024" t="str">
        <f t="shared" si="320"/>
        <v/>
      </c>
      <c r="W1024" t="str">
        <f t="shared" ref="W1024:W1086" si="323">CONCATENATE(H1024," ",I1024," ",J1024," ",K1024," ",L1024," ",M1024," ",N1024," ",O1024," ",P1024," ",Q1024," ",R1024," ",S1024," ",T1024," ",U1024," ",V1024)</f>
        <v xml:space="preserve">              </v>
      </c>
    </row>
    <row r="1025" spans="1:23" customFormat="1" hidden="1">
      <c r="A1025" t="b">
        <f t="shared" si="322"/>
        <v>0</v>
      </c>
      <c r="B1025">
        <f t="shared" si="304"/>
        <v>1024</v>
      </c>
      <c r="C1025" t="s">
        <v>981</v>
      </c>
      <c r="D1025" t="s">
        <v>1010</v>
      </c>
      <c r="E1025">
        <f t="shared" si="321"/>
        <v>10</v>
      </c>
      <c r="G1025">
        <f t="shared" si="305"/>
        <v>3</v>
      </c>
      <c r="H1025" t="str">
        <f t="shared" si="306"/>
        <v/>
      </c>
      <c r="I1025" t="str">
        <f t="shared" si="307"/>
        <v/>
      </c>
      <c r="J1025" t="str">
        <f t="shared" si="308"/>
        <v/>
      </c>
      <c r="K1025" t="str">
        <f t="shared" si="309"/>
        <v/>
      </c>
      <c r="L1025" t="str">
        <f t="shared" si="310"/>
        <v/>
      </c>
      <c r="M1025" t="str">
        <f t="shared" si="311"/>
        <v/>
      </c>
      <c r="N1025" t="str">
        <f t="shared" si="312"/>
        <v/>
      </c>
      <c r="O1025" t="str">
        <f t="shared" si="313"/>
        <v/>
      </c>
      <c r="P1025" t="str">
        <f t="shared" si="314"/>
        <v/>
      </c>
      <c r="Q1025" t="str">
        <f t="shared" si="315"/>
        <v/>
      </c>
      <c r="R1025" t="str">
        <f t="shared" si="316"/>
        <v/>
      </c>
      <c r="S1025" t="str">
        <f t="shared" si="317"/>
        <v/>
      </c>
      <c r="T1025" t="str">
        <f t="shared" si="318"/>
        <v/>
      </c>
      <c r="U1025" t="str">
        <f t="shared" si="319"/>
        <v/>
      </c>
      <c r="V1025" t="str">
        <f t="shared" si="320"/>
        <v/>
      </c>
      <c r="W1025" t="str">
        <f t="shared" si="323"/>
        <v xml:space="preserve">              </v>
      </c>
    </row>
    <row r="1026" spans="1:23" hidden="1">
      <c r="A1026" s="71" t="b">
        <f t="shared" si="322"/>
        <v>0</v>
      </c>
      <c r="B1026" s="71">
        <f t="shared" si="304"/>
        <v>1025</v>
      </c>
      <c r="C1026" s="71" t="s">
        <v>981</v>
      </c>
      <c r="D1026" s="71" t="s">
        <v>1011</v>
      </c>
      <c r="E1026">
        <f t="shared" si="321"/>
        <v>25</v>
      </c>
      <c r="F1026">
        <v>1</v>
      </c>
      <c r="G1026">
        <f t="shared" si="305"/>
        <v>1</v>
      </c>
      <c r="H1026" t="str">
        <f t="shared" si="306"/>
        <v>Vroom’s Expectancy Theory</v>
      </c>
      <c r="I1026" t="str">
        <f t="shared" si="307"/>
        <v>This theory states that people will behave based</v>
      </c>
      <c r="J1026" t="str">
        <f t="shared" si="308"/>
        <v>on what they expect as a result of their behavior.</v>
      </c>
      <c r="K1026" t="str">
        <f t="shared" si="309"/>
        <v>In other words, people will work in relation to</v>
      </c>
      <c r="L1026" t="str">
        <f t="shared" si="310"/>
        <v>the expected reward.</v>
      </c>
      <c r="M1026" t="str">
        <f t="shared" si="311"/>
        <v/>
      </c>
      <c r="N1026" t="str">
        <f t="shared" si="312"/>
        <v/>
      </c>
      <c r="O1026" t="str">
        <f t="shared" si="313"/>
        <v/>
      </c>
      <c r="P1026" t="str">
        <f t="shared" si="314"/>
        <v/>
      </c>
      <c r="Q1026" t="str">
        <f t="shared" si="315"/>
        <v/>
      </c>
      <c r="R1026" t="str">
        <f t="shared" si="316"/>
        <v/>
      </c>
      <c r="S1026" t="str">
        <f t="shared" si="317"/>
        <v/>
      </c>
      <c r="T1026" t="str">
        <f t="shared" si="318"/>
        <v/>
      </c>
      <c r="U1026" t="str">
        <f t="shared" si="319"/>
        <v/>
      </c>
      <c r="V1026" t="str">
        <f t="shared" si="320"/>
        <v/>
      </c>
      <c r="W1026" s="71" t="str">
        <f>CONCATENATE(H1026," ",I1026," ",J1026," ",K1026," ",L1026," ",M1026," ",N1026," ",O1026," ",P1026," ",Q1026," ",R1026," ",S1026," ",T1026," ",U1026," ",V1026)</f>
        <v xml:space="preserve">Vroom’s Expectancy Theory This theory states that people will behave based on what they expect as a result of their behavior. In other words, people will work in relation to the expected reward.          </v>
      </c>
    </row>
    <row r="1027" spans="1:23" customFormat="1" hidden="1">
      <c r="A1027" t="b">
        <f t="shared" si="322"/>
        <v>0</v>
      </c>
      <c r="B1027">
        <f t="shared" si="304"/>
        <v>1026</v>
      </c>
      <c r="C1027" t="s">
        <v>981</v>
      </c>
      <c r="D1027" t="s">
        <v>1012</v>
      </c>
      <c r="E1027">
        <f t="shared" si="321"/>
        <v>48</v>
      </c>
      <c r="G1027">
        <f t="shared" si="305"/>
        <v>2</v>
      </c>
      <c r="H1027" t="str">
        <f t="shared" si="306"/>
        <v/>
      </c>
      <c r="I1027" t="str">
        <f t="shared" si="307"/>
        <v/>
      </c>
      <c r="J1027" t="str">
        <f t="shared" si="308"/>
        <v/>
      </c>
      <c r="K1027" t="str">
        <f t="shared" si="309"/>
        <v/>
      </c>
      <c r="L1027" t="str">
        <f t="shared" si="310"/>
        <v/>
      </c>
      <c r="M1027" t="str">
        <f t="shared" si="311"/>
        <v/>
      </c>
      <c r="N1027" t="str">
        <f t="shared" si="312"/>
        <v/>
      </c>
      <c r="O1027" t="str">
        <f t="shared" si="313"/>
        <v/>
      </c>
      <c r="P1027" t="str">
        <f t="shared" si="314"/>
        <v/>
      </c>
      <c r="Q1027" t="str">
        <f t="shared" si="315"/>
        <v/>
      </c>
      <c r="R1027" t="str">
        <f t="shared" si="316"/>
        <v/>
      </c>
      <c r="S1027" t="str">
        <f t="shared" si="317"/>
        <v/>
      </c>
      <c r="T1027" t="str">
        <f t="shared" si="318"/>
        <v/>
      </c>
      <c r="U1027" t="str">
        <f t="shared" si="319"/>
        <v/>
      </c>
      <c r="V1027" t="str">
        <f t="shared" si="320"/>
        <v/>
      </c>
      <c r="W1027" t="str">
        <f t="shared" si="323"/>
        <v xml:space="preserve">              </v>
      </c>
    </row>
    <row r="1028" spans="1:23" customFormat="1" hidden="1">
      <c r="A1028" t="b">
        <f t="shared" si="322"/>
        <v>0</v>
      </c>
      <c r="B1028">
        <f t="shared" ref="B1028:B1091" si="324">B1027+1</f>
        <v>1027</v>
      </c>
      <c r="C1028" t="s">
        <v>981</v>
      </c>
      <c r="D1028" t="s">
        <v>1013</v>
      </c>
      <c r="E1028">
        <f t="shared" si="321"/>
        <v>50</v>
      </c>
      <c r="G1028">
        <f t="shared" ref="G1028:G1091" si="325">IF(F1028=1,1,G1027+1)</f>
        <v>3</v>
      </c>
      <c r="H1028" t="str">
        <f t="shared" ref="H1028:H1091" si="326">IF($G1028=H$1,$D1028,"")</f>
        <v/>
      </c>
      <c r="I1028" t="str">
        <f t="shared" ref="I1028:I1091" si="327">IF($G1029=I$1,$D1029,"")</f>
        <v/>
      </c>
      <c r="J1028" t="str">
        <f t="shared" ref="J1028:J1091" si="328">IF($G1030=J$1,$D1030,"")</f>
        <v/>
      </c>
      <c r="K1028" t="str">
        <f t="shared" ref="K1028:K1091" si="329">IF($G1031=K$1,$D1031,"")</f>
        <v/>
      </c>
      <c r="L1028" t="str">
        <f t="shared" ref="L1028:L1091" si="330">IF($G1032=L$1,$D1032,"")</f>
        <v/>
      </c>
      <c r="M1028" t="str">
        <f t="shared" ref="M1028:M1091" si="331">IF($G1033=M$1,$D1033,"")</f>
        <v/>
      </c>
      <c r="N1028" t="str">
        <f t="shared" ref="N1028:N1091" si="332">IF($G1034=N$1,$D1034,"")</f>
        <v/>
      </c>
      <c r="O1028" t="str">
        <f t="shared" ref="O1028:O1091" si="333">IF($G1035=O$1,$D1035,"")</f>
        <v/>
      </c>
      <c r="P1028" t="str">
        <f t="shared" ref="P1028:P1091" si="334">IF($G1036=P$1,$D1036,"")</f>
        <v/>
      </c>
      <c r="Q1028" t="str">
        <f t="shared" ref="Q1028:Q1091" si="335">IF($G1037=Q$1,$D1037,"")</f>
        <v/>
      </c>
      <c r="R1028" t="str">
        <f t="shared" ref="R1028:R1091" si="336">IF($G1038=R$1,$D1038,"")</f>
        <v/>
      </c>
      <c r="S1028" t="str">
        <f t="shared" ref="S1028:S1091" si="337">IF($G1039=S$1,$D1039,"")</f>
        <v/>
      </c>
      <c r="T1028" t="str">
        <f t="shared" ref="T1028:T1091" si="338">IF($G1040=T$1,$D1040,"")</f>
        <v/>
      </c>
      <c r="U1028" t="str">
        <f t="shared" ref="U1028:U1091" si="339">IF($G1041=U$1,$D1041,"")</f>
        <v/>
      </c>
      <c r="V1028" t="str">
        <f t="shared" ref="V1028:V1091" si="340">IF($G1042=V$1,$D1042,"")</f>
        <v/>
      </c>
      <c r="W1028" t="str">
        <f t="shared" si="323"/>
        <v xml:space="preserve">              </v>
      </c>
    </row>
    <row r="1029" spans="1:23" customFormat="1" hidden="1">
      <c r="A1029" t="b">
        <f t="shared" si="322"/>
        <v>0</v>
      </c>
      <c r="B1029">
        <f t="shared" si="324"/>
        <v>1028</v>
      </c>
      <c r="C1029" t="s">
        <v>981</v>
      </c>
      <c r="D1029" t="s">
        <v>1014</v>
      </c>
      <c r="E1029">
        <f t="shared" si="321"/>
        <v>47</v>
      </c>
      <c r="G1029">
        <f t="shared" si="325"/>
        <v>4</v>
      </c>
      <c r="H1029" t="str">
        <f t="shared" si="326"/>
        <v/>
      </c>
      <c r="I1029" t="str">
        <f t="shared" si="327"/>
        <v/>
      </c>
      <c r="J1029" t="str">
        <f t="shared" si="328"/>
        <v/>
      </c>
      <c r="K1029" t="str">
        <f t="shared" si="329"/>
        <v/>
      </c>
      <c r="L1029" t="str">
        <f t="shared" si="330"/>
        <v/>
      </c>
      <c r="M1029" t="str">
        <f t="shared" si="331"/>
        <v/>
      </c>
      <c r="N1029" t="str">
        <f t="shared" si="332"/>
        <v/>
      </c>
      <c r="O1029" t="str">
        <f t="shared" si="333"/>
        <v/>
      </c>
      <c r="P1029" t="str">
        <f t="shared" si="334"/>
        <v/>
      </c>
      <c r="Q1029" t="str">
        <f t="shared" si="335"/>
        <v/>
      </c>
      <c r="R1029" t="str">
        <f t="shared" si="336"/>
        <v/>
      </c>
      <c r="S1029" t="str">
        <f t="shared" si="337"/>
        <v/>
      </c>
      <c r="T1029" t="str">
        <f t="shared" si="338"/>
        <v/>
      </c>
      <c r="U1029" t="str">
        <f t="shared" si="339"/>
        <v/>
      </c>
      <c r="V1029" t="str">
        <f t="shared" si="340"/>
        <v/>
      </c>
      <c r="W1029" t="str">
        <f t="shared" si="323"/>
        <v xml:space="preserve">              </v>
      </c>
    </row>
    <row r="1030" spans="1:23" customFormat="1" hidden="1">
      <c r="A1030" t="b">
        <f t="shared" si="322"/>
        <v>0</v>
      </c>
      <c r="B1030">
        <f t="shared" si="324"/>
        <v>1029</v>
      </c>
      <c r="C1030" t="s">
        <v>981</v>
      </c>
      <c r="D1030" t="s">
        <v>1015</v>
      </c>
      <c r="E1030">
        <f t="shared" si="321"/>
        <v>20</v>
      </c>
      <c r="G1030">
        <f t="shared" si="325"/>
        <v>5</v>
      </c>
      <c r="H1030" t="str">
        <f t="shared" si="326"/>
        <v/>
      </c>
      <c r="I1030" t="str">
        <f t="shared" si="327"/>
        <v/>
      </c>
      <c r="J1030" t="str">
        <f t="shared" si="328"/>
        <v/>
      </c>
      <c r="K1030" t="str">
        <f t="shared" si="329"/>
        <v/>
      </c>
      <c r="L1030" t="str">
        <f t="shared" si="330"/>
        <v/>
      </c>
      <c r="M1030" t="str">
        <f t="shared" si="331"/>
        <v/>
      </c>
      <c r="N1030" t="str">
        <f t="shared" si="332"/>
        <v/>
      </c>
      <c r="O1030" t="str">
        <f t="shared" si="333"/>
        <v/>
      </c>
      <c r="P1030" t="str">
        <f t="shared" si="334"/>
        <v/>
      </c>
      <c r="Q1030" t="str">
        <f t="shared" si="335"/>
        <v/>
      </c>
      <c r="R1030" t="str">
        <f t="shared" si="336"/>
        <v/>
      </c>
      <c r="S1030" t="str">
        <f t="shared" si="337"/>
        <v/>
      </c>
      <c r="T1030" t="str">
        <f t="shared" si="338"/>
        <v/>
      </c>
      <c r="U1030" t="str">
        <f t="shared" si="339"/>
        <v/>
      </c>
      <c r="V1030" t="str">
        <f t="shared" si="340"/>
        <v/>
      </c>
      <c r="W1030" t="str">
        <f t="shared" si="323"/>
        <v xml:space="preserve">              </v>
      </c>
    </row>
    <row r="1031" spans="1:23" hidden="1">
      <c r="A1031" s="71" t="b">
        <f t="shared" si="322"/>
        <v>0</v>
      </c>
      <c r="B1031" s="71">
        <f t="shared" si="324"/>
        <v>1030</v>
      </c>
      <c r="C1031" s="71" t="s">
        <v>981</v>
      </c>
      <c r="D1031" s="71" t="s">
        <v>1016</v>
      </c>
      <c r="E1031">
        <f t="shared" si="321"/>
        <v>12</v>
      </c>
      <c r="F1031">
        <v>1</v>
      </c>
      <c r="G1031">
        <f t="shared" si="325"/>
        <v>1</v>
      </c>
      <c r="H1031" t="str">
        <f t="shared" si="326"/>
        <v>Expert power</v>
      </c>
      <c r="I1031" t="str">
        <f t="shared" si="327"/>
        <v>The project manager’s authority comes both</v>
      </c>
      <c r="J1031" t="str">
        <f t="shared" si="328"/>
        <v>from experience with the technology the project</v>
      </c>
      <c r="K1031" t="str">
        <f t="shared" si="329"/>
        <v>focuses on and from expertise in managing</v>
      </c>
      <c r="L1031" t="str">
        <f t="shared" si="330"/>
        <v>projects.</v>
      </c>
      <c r="M1031" t="str">
        <f t="shared" si="331"/>
        <v>Forcing power The person with the power makes the decision.</v>
      </c>
      <c r="N1031" t="str">
        <f t="shared" si="332"/>
        <v/>
      </c>
      <c r="O1031" t="str">
        <f t="shared" si="333"/>
        <v/>
      </c>
      <c r="P1031" t="str">
        <f t="shared" si="334"/>
        <v/>
      </c>
      <c r="Q1031" t="str">
        <f t="shared" si="335"/>
        <v/>
      </c>
      <c r="R1031" t="str">
        <f t="shared" si="336"/>
        <v/>
      </c>
      <c r="S1031" t="str">
        <f t="shared" si="337"/>
        <v/>
      </c>
      <c r="T1031" t="str">
        <f t="shared" si="338"/>
        <v/>
      </c>
      <c r="U1031" t="str">
        <f t="shared" si="339"/>
        <v/>
      </c>
      <c r="V1031" t="str">
        <f t="shared" si="340"/>
        <v/>
      </c>
      <c r="W1031" s="71" t="str">
        <f>CONCATENATE(H1031," ",I1031," ",J1031," ",K1031," ",L1031," ",M1031," ",N1031," ",O1031," ",P1031," ",Q1031," ",R1031," ",S1031," ",T1031," ",U1031," ",V1031)</f>
        <v xml:space="preserve">Expert power The project manager’s authority comes both from experience with the technology the project focuses on and from expertise in managing projects. Forcing power The person with the power makes the decision.         </v>
      </c>
    </row>
    <row r="1032" spans="1:23" customFormat="1" hidden="1">
      <c r="A1032" t="b">
        <f t="shared" si="322"/>
        <v>0</v>
      </c>
      <c r="B1032">
        <f t="shared" si="324"/>
        <v>1031</v>
      </c>
      <c r="C1032" t="s">
        <v>981</v>
      </c>
      <c r="D1032" t="s">
        <v>1017</v>
      </c>
      <c r="E1032">
        <f t="shared" si="321"/>
        <v>42</v>
      </c>
      <c r="G1032">
        <f t="shared" si="325"/>
        <v>2</v>
      </c>
      <c r="H1032" t="str">
        <f t="shared" si="326"/>
        <v/>
      </c>
      <c r="I1032" t="str">
        <f t="shared" si="327"/>
        <v/>
      </c>
      <c r="J1032" t="str">
        <f t="shared" si="328"/>
        <v/>
      </c>
      <c r="K1032" t="str">
        <f t="shared" si="329"/>
        <v/>
      </c>
      <c r="L1032" t="str">
        <f t="shared" si="330"/>
        <v/>
      </c>
      <c r="M1032" t="str">
        <f t="shared" si="331"/>
        <v/>
      </c>
      <c r="N1032" t="str">
        <f t="shared" si="332"/>
        <v/>
      </c>
      <c r="O1032" t="str">
        <f t="shared" si="333"/>
        <v/>
      </c>
      <c r="P1032" t="str">
        <f t="shared" si="334"/>
        <v/>
      </c>
      <c r="Q1032" t="str">
        <f t="shared" si="335"/>
        <v/>
      </c>
      <c r="R1032" t="str">
        <f t="shared" si="336"/>
        <v/>
      </c>
      <c r="S1032" t="str">
        <f t="shared" si="337"/>
        <v/>
      </c>
      <c r="T1032" t="str">
        <f t="shared" si="338"/>
        <v/>
      </c>
      <c r="U1032" t="str">
        <f t="shared" si="339"/>
        <v/>
      </c>
      <c r="V1032" t="str">
        <f t="shared" si="340"/>
        <v/>
      </c>
      <c r="W1032" t="str">
        <f t="shared" si="323"/>
        <v xml:space="preserve">              </v>
      </c>
    </row>
    <row r="1033" spans="1:23" customFormat="1" hidden="1">
      <c r="A1033" t="b">
        <f t="shared" si="322"/>
        <v>0</v>
      </c>
      <c r="B1033">
        <f t="shared" si="324"/>
        <v>1032</v>
      </c>
      <c r="C1033" t="s">
        <v>981</v>
      </c>
      <c r="D1033" t="s">
        <v>1018</v>
      </c>
      <c r="E1033">
        <f t="shared" si="321"/>
        <v>47</v>
      </c>
      <c r="G1033">
        <f t="shared" si="325"/>
        <v>3</v>
      </c>
      <c r="H1033" t="str">
        <f t="shared" si="326"/>
        <v/>
      </c>
      <c r="I1033" t="str">
        <f t="shared" si="327"/>
        <v/>
      </c>
      <c r="J1033" t="str">
        <f t="shared" si="328"/>
        <v/>
      </c>
      <c r="K1033" t="str">
        <f t="shared" si="329"/>
        <v/>
      </c>
      <c r="L1033" t="str">
        <f t="shared" si="330"/>
        <v/>
      </c>
      <c r="M1033" t="str">
        <f t="shared" si="331"/>
        <v/>
      </c>
      <c r="N1033" t="str">
        <f t="shared" si="332"/>
        <v/>
      </c>
      <c r="O1033" t="str">
        <f t="shared" si="333"/>
        <v/>
      </c>
      <c r="P1033" t="str">
        <f t="shared" si="334"/>
        <v/>
      </c>
      <c r="Q1033" t="str">
        <f t="shared" si="335"/>
        <v/>
      </c>
      <c r="R1033" t="str">
        <f t="shared" si="336"/>
        <v/>
      </c>
      <c r="S1033" t="str">
        <f t="shared" si="337"/>
        <v/>
      </c>
      <c r="T1033" t="str">
        <f t="shared" si="338"/>
        <v/>
      </c>
      <c r="U1033" t="str">
        <f t="shared" si="339"/>
        <v/>
      </c>
      <c r="V1033" t="str">
        <f t="shared" si="340"/>
        <v/>
      </c>
      <c r="W1033" t="str">
        <f t="shared" si="323"/>
        <v xml:space="preserve">              </v>
      </c>
    </row>
    <row r="1034" spans="1:23" customFormat="1" hidden="1">
      <c r="A1034" t="b">
        <f t="shared" si="322"/>
        <v>0</v>
      </c>
      <c r="B1034">
        <f t="shared" si="324"/>
        <v>1033</v>
      </c>
      <c r="C1034" t="s">
        <v>981</v>
      </c>
      <c r="D1034" t="s">
        <v>1019</v>
      </c>
      <c r="E1034">
        <f t="shared" si="321"/>
        <v>41</v>
      </c>
      <c r="G1034">
        <f t="shared" si="325"/>
        <v>4</v>
      </c>
      <c r="H1034" t="str">
        <f t="shared" si="326"/>
        <v/>
      </c>
      <c r="I1034" t="str">
        <f t="shared" si="327"/>
        <v/>
      </c>
      <c r="J1034" t="str">
        <f t="shared" si="328"/>
        <v/>
      </c>
      <c r="K1034" t="str">
        <f t="shared" si="329"/>
        <v/>
      </c>
      <c r="L1034" t="str">
        <f t="shared" si="330"/>
        <v/>
      </c>
      <c r="M1034" t="str">
        <f t="shared" si="331"/>
        <v/>
      </c>
      <c r="N1034" t="str">
        <f t="shared" si="332"/>
        <v/>
      </c>
      <c r="O1034" t="str">
        <f t="shared" si="333"/>
        <v/>
      </c>
      <c r="P1034" t="str">
        <f t="shared" si="334"/>
        <v/>
      </c>
      <c r="Q1034" t="str">
        <f t="shared" si="335"/>
        <v/>
      </c>
      <c r="R1034" t="str">
        <f t="shared" si="336"/>
        <v/>
      </c>
      <c r="S1034" t="str">
        <f t="shared" si="337"/>
        <v/>
      </c>
      <c r="T1034" t="str">
        <f t="shared" si="338"/>
        <v/>
      </c>
      <c r="U1034" t="str">
        <f t="shared" si="339"/>
        <v/>
      </c>
      <c r="V1034" t="str">
        <f t="shared" si="340"/>
        <v/>
      </c>
      <c r="W1034" t="str">
        <f t="shared" si="323"/>
        <v xml:space="preserve">              </v>
      </c>
    </row>
    <row r="1035" spans="1:23" customFormat="1" hidden="1">
      <c r="A1035" t="b">
        <f t="shared" si="322"/>
        <v>0</v>
      </c>
      <c r="B1035">
        <f t="shared" si="324"/>
        <v>1034</v>
      </c>
      <c r="C1035" t="s">
        <v>981</v>
      </c>
      <c r="D1035" t="s">
        <v>1020</v>
      </c>
      <c r="E1035">
        <f t="shared" si="321"/>
        <v>9</v>
      </c>
      <c r="G1035">
        <f t="shared" si="325"/>
        <v>5</v>
      </c>
      <c r="H1035" t="str">
        <f t="shared" si="326"/>
        <v/>
      </c>
      <c r="I1035" t="str">
        <f t="shared" si="327"/>
        <v/>
      </c>
      <c r="J1035" t="str">
        <f t="shared" si="328"/>
        <v/>
      </c>
      <c r="K1035" t="str">
        <f t="shared" si="329"/>
        <v/>
      </c>
      <c r="L1035" t="str">
        <f t="shared" si="330"/>
        <v/>
      </c>
      <c r="M1035" t="str">
        <f t="shared" si="331"/>
        <v/>
      </c>
      <c r="N1035" t="str">
        <f t="shared" si="332"/>
        <v/>
      </c>
      <c r="O1035" t="str">
        <f t="shared" si="333"/>
        <v/>
      </c>
      <c r="P1035" t="str">
        <f t="shared" si="334"/>
        <v/>
      </c>
      <c r="Q1035" t="str">
        <f t="shared" si="335"/>
        <v/>
      </c>
      <c r="R1035" t="str">
        <f t="shared" si="336"/>
        <v/>
      </c>
      <c r="S1035" t="str">
        <f t="shared" si="337"/>
        <v/>
      </c>
      <c r="T1035" t="str">
        <f t="shared" si="338"/>
        <v/>
      </c>
      <c r="U1035" t="str">
        <f t="shared" si="339"/>
        <v/>
      </c>
      <c r="V1035" t="str">
        <f t="shared" si="340"/>
        <v/>
      </c>
      <c r="W1035" t="str">
        <f t="shared" si="323"/>
        <v xml:space="preserve">              </v>
      </c>
    </row>
    <row r="1036" spans="1:23" customFormat="1" hidden="1">
      <c r="A1036" t="b">
        <f t="shared" si="322"/>
        <v>0</v>
      </c>
      <c r="B1036">
        <f t="shared" si="324"/>
        <v>1035</v>
      </c>
      <c r="C1036" t="s">
        <v>981</v>
      </c>
      <c r="D1036" t="s">
        <v>1021</v>
      </c>
      <c r="E1036">
        <f t="shared" si="321"/>
        <v>59</v>
      </c>
      <c r="G1036">
        <f t="shared" si="325"/>
        <v>6</v>
      </c>
      <c r="H1036" t="str">
        <f t="shared" si="326"/>
        <v/>
      </c>
      <c r="I1036" t="str">
        <f t="shared" si="327"/>
        <v/>
      </c>
      <c r="J1036" t="str">
        <f t="shared" si="328"/>
        <v/>
      </c>
      <c r="K1036" t="str">
        <f t="shared" si="329"/>
        <v/>
      </c>
      <c r="L1036" t="str">
        <f t="shared" si="330"/>
        <v/>
      </c>
      <c r="M1036" t="str">
        <f t="shared" si="331"/>
        <v/>
      </c>
      <c r="N1036" t="str">
        <f t="shared" si="332"/>
        <v/>
      </c>
      <c r="O1036" t="str">
        <f t="shared" si="333"/>
        <v/>
      </c>
      <c r="P1036" t="str">
        <f t="shared" si="334"/>
        <v/>
      </c>
      <c r="Q1036" t="str">
        <f t="shared" si="335"/>
        <v/>
      </c>
      <c r="R1036" t="str">
        <f t="shared" si="336"/>
        <v/>
      </c>
      <c r="S1036" t="str">
        <f t="shared" si="337"/>
        <v/>
      </c>
      <c r="T1036" t="str">
        <f t="shared" si="338"/>
        <v/>
      </c>
      <c r="U1036" t="str">
        <f t="shared" si="339"/>
        <v/>
      </c>
      <c r="V1036" t="str">
        <f t="shared" si="340"/>
        <v/>
      </c>
      <c r="W1036" t="str">
        <f t="shared" si="323"/>
        <v xml:space="preserve">              </v>
      </c>
    </row>
    <row r="1037" spans="1:23" hidden="1">
      <c r="A1037" s="71" t="b">
        <f t="shared" si="322"/>
        <v>0</v>
      </c>
      <c r="B1037" s="71">
        <f t="shared" si="324"/>
        <v>1036</v>
      </c>
      <c r="C1037" s="71" t="s">
        <v>981</v>
      </c>
      <c r="D1037" s="71" t="s">
        <v>1022</v>
      </c>
      <c r="E1037">
        <f t="shared" si="321"/>
        <v>12</v>
      </c>
      <c r="F1037">
        <v>1</v>
      </c>
      <c r="G1037">
        <f t="shared" si="325"/>
        <v>1</v>
      </c>
      <c r="H1037" t="str">
        <f t="shared" si="326"/>
        <v>Formal power</v>
      </c>
      <c r="I1037" t="str">
        <f t="shared" si="327"/>
        <v>The project manager has been assigned the role</v>
      </c>
      <c r="J1037" t="str">
        <f t="shared" si="328"/>
        <v>of project manager by senior management and is</v>
      </c>
      <c r="K1037" t="str">
        <f t="shared" si="329"/>
        <v>in charge of the project.</v>
      </c>
      <c r="L1037" t="str">
        <f t="shared" si="330"/>
        <v/>
      </c>
      <c r="M1037" t="str">
        <f t="shared" si="331"/>
        <v/>
      </c>
      <c r="N1037" t="str">
        <f t="shared" si="332"/>
        <v/>
      </c>
      <c r="O1037" t="str">
        <f t="shared" si="333"/>
        <v/>
      </c>
      <c r="P1037" t="str">
        <f t="shared" si="334"/>
        <v/>
      </c>
      <c r="Q1037" t="str">
        <f t="shared" si="335"/>
        <v/>
      </c>
      <c r="R1037" t="str">
        <f t="shared" si="336"/>
        <v/>
      </c>
      <c r="S1037" t="str">
        <f t="shared" si="337"/>
        <v/>
      </c>
      <c r="T1037" t="str">
        <f t="shared" si="338"/>
        <v/>
      </c>
      <c r="U1037" t="str">
        <f t="shared" si="339"/>
        <v/>
      </c>
      <c r="V1037" t="str">
        <f t="shared" si="340"/>
        <v/>
      </c>
      <c r="W1037" s="71" t="str">
        <f>CONCATENATE(H1037," ",I1037," ",J1037," ",K1037," ",L1037," ",M1037," ",N1037," ",O1037," ",P1037," ",Q1037," ",R1037," ",S1037," ",T1037," ",U1037," ",V1037)</f>
        <v xml:space="preserve">Formal power The project manager has been assigned the role of project manager by senior management and is in charge of the project.           </v>
      </c>
    </row>
    <row r="1038" spans="1:23" customFormat="1" hidden="1">
      <c r="A1038" t="b">
        <f t="shared" si="322"/>
        <v>0</v>
      </c>
      <c r="B1038">
        <f t="shared" si="324"/>
        <v>1037</v>
      </c>
      <c r="C1038" t="s">
        <v>981</v>
      </c>
      <c r="D1038" t="s">
        <v>1023</v>
      </c>
      <c r="E1038">
        <f t="shared" si="321"/>
        <v>46</v>
      </c>
      <c r="G1038">
        <f t="shared" si="325"/>
        <v>2</v>
      </c>
      <c r="H1038" t="str">
        <f t="shared" si="326"/>
        <v/>
      </c>
      <c r="I1038" t="str">
        <f t="shared" si="327"/>
        <v/>
      </c>
      <c r="J1038" t="str">
        <f t="shared" si="328"/>
        <v/>
      </c>
      <c r="K1038" t="str">
        <f t="shared" si="329"/>
        <v/>
      </c>
      <c r="L1038" t="str">
        <f t="shared" si="330"/>
        <v/>
      </c>
      <c r="M1038" t="str">
        <f t="shared" si="331"/>
        <v/>
      </c>
      <c r="N1038" t="str">
        <f t="shared" si="332"/>
        <v/>
      </c>
      <c r="O1038" t="str">
        <f t="shared" si="333"/>
        <v/>
      </c>
      <c r="P1038" t="str">
        <f t="shared" si="334"/>
        <v/>
      </c>
      <c r="Q1038" t="str">
        <f t="shared" si="335"/>
        <v/>
      </c>
      <c r="R1038" t="str">
        <f t="shared" si="336"/>
        <v/>
      </c>
      <c r="S1038" t="str">
        <f t="shared" si="337"/>
        <v/>
      </c>
      <c r="T1038" t="str">
        <f t="shared" si="338"/>
        <v/>
      </c>
      <c r="U1038" t="str">
        <f t="shared" si="339"/>
        <v/>
      </c>
      <c r="V1038" t="str">
        <f t="shared" si="340"/>
        <v/>
      </c>
      <c r="W1038" t="str">
        <f t="shared" si="323"/>
        <v xml:space="preserve">              </v>
      </c>
    </row>
    <row r="1039" spans="1:23" customFormat="1" hidden="1">
      <c r="A1039" t="b">
        <f t="shared" si="322"/>
        <v>0</v>
      </c>
      <c r="B1039">
        <f t="shared" si="324"/>
        <v>1038</v>
      </c>
      <c r="C1039" t="s">
        <v>981</v>
      </c>
      <c r="D1039" t="s">
        <v>1024</v>
      </c>
      <c r="E1039">
        <f t="shared" si="321"/>
        <v>46</v>
      </c>
      <c r="G1039">
        <f t="shared" si="325"/>
        <v>3</v>
      </c>
      <c r="H1039" t="str">
        <f t="shared" si="326"/>
        <v/>
      </c>
      <c r="I1039" t="str">
        <f t="shared" si="327"/>
        <v/>
      </c>
      <c r="J1039" t="str">
        <f t="shared" si="328"/>
        <v/>
      </c>
      <c r="K1039" t="str">
        <f t="shared" si="329"/>
        <v/>
      </c>
      <c r="L1039" t="str">
        <f t="shared" si="330"/>
        <v/>
      </c>
      <c r="M1039" t="str">
        <f t="shared" si="331"/>
        <v/>
      </c>
      <c r="N1039" t="str">
        <f t="shared" si="332"/>
        <v/>
      </c>
      <c r="O1039" t="str">
        <f t="shared" si="333"/>
        <v/>
      </c>
      <c r="P1039" t="str">
        <f t="shared" si="334"/>
        <v/>
      </c>
      <c r="Q1039" t="str">
        <f t="shared" si="335"/>
        <v/>
      </c>
      <c r="R1039" t="str">
        <f t="shared" si="336"/>
        <v/>
      </c>
      <c r="S1039" t="str">
        <f t="shared" si="337"/>
        <v/>
      </c>
      <c r="T1039" t="str">
        <f t="shared" si="338"/>
        <v/>
      </c>
      <c r="U1039" t="str">
        <f t="shared" si="339"/>
        <v/>
      </c>
      <c r="V1039" t="str">
        <f t="shared" si="340"/>
        <v/>
      </c>
      <c r="W1039" t="str">
        <f t="shared" si="323"/>
        <v xml:space="preserve">              </v>
      </c>
    </row>
    <row r="1040" spans="1:23" customFormat="1" hidden="1">
      <c r="A1040" t="b">
        <f t="shared" si="322"/>
        <v>0</v>
      </c>
      <c r="B1040">
        <f t="shared" si="324"/>
        <v>1039</v>
      </c>
      <c r="C1040" t="s">
        <v>981</v>
      </c>
      <c r="D1040" t="s">
        <v>1025</v>
      </c>
      <c r="E1040">
        <f t="shared" si="321"/>
        <v>25</v>
      </c>
      <c r="G1040">
        <f t="shared" si="325"/>
        <v>4</v>
      </c>
      <c r="H1040" t="str">
        <f t="shared" si="326"/>
        <v/>
      </c>
      <c r="I1040" t="str">
        <f t="shared" si="327"/>
        <v/>
      </c>
      <c r="J1040" t="str">
        <f t="shared" si="328"/>
        <v/>
      </c>
      <c r="K1040" t="str">
        <f t="shared" si="329"/>
        <v/>
      </c>
      <c r="L1040" t="str">
        <f t="shared" si="330"/>
        <v/>
      </c>
      <c r="M1040" t="str">
        <f t="shared" si="331"/>
        <v/>
      </c>
      <c r="N1040" t="str">
        <f t="shared" si="332"/>
        <v/>
      </c>
      <c r="O1040" t="str">
        <f t="shared" si="333"/>
        <v/>
      </c>
      <c r="P1040" t="str">
        <f t="shared" si="334"/>
        <v/>
      </c>
      <c r="Q1040" t="str">
        <f t="shared" si="335"/>
        <v/>
      </c>
      <c r="R1040" t="str">
        <f t="shared" si="336"/>
        <v/>
      </c>
      <c r="S1040" t="str">
        <f t="shared" si="337"/>
        <v/>
      </c>
      <c r="T1040" t="str">
        <f t="shared" si="338"/>
        <v/>
      </c>
      <c r="U1040" t="str">
        <f t="shared" si="339"/>
        <v/>
      </c>
      <c r="V1040" t="str">
        <f t="shared" si="340"/>
        <v/>
      </c>
      <c r="W1040" t="str">
        <f t="shared" si="323"/>
        <v xml:space="preserve">              </v>
      </c>
    </row>
    <row r="1041" spans="1:23" hidden="1">
      <c r="A1041" s="71" t="b">
        <f t="shared" si="322"/>
        <v>0</v>
      </c>
      <c r="B1041" s="71">
        <f t="shared" si="324"/>
        <v>1040</v>
      </c>
      <c r="C1041" s="71" t="s">
        <v>981</v>
      </c>
      <c r="D1041" s="71" t="s">
        <v>1026</v>
      </c>
      <c r="E1041">
        <f t="shared" si="321"/>
        <v>7</v>
      </c>
      <c r="F1041">
        <v>1</v>
      </c>
      <c r="G1041">
        <f t="shared" si="325"/>
        <v>1</v>
      </c>
      <c r="H1041" t="str">
        <f t="shared" si="326"/>
        <v>Forming</v>
      </c>
      <c r="I1041" t="str">
        <f t="shared" si="327"/>
        <v>The project team meets and learns about their</v>
      </c>
      <c r="J1041" t="str">
        <f t="shared" si="328"/>
        <v>roles and responsibilities on the project. Little</v>
      </c>
      <c r="K1041" t="str">
        <f t="shared" si="329"/>
        <v>interaction among the project team happens in</v>
      </c>
      <c r="L1041" t="str">
        <f t="shared" si="330"/>
        <v>this stage as the team is learning about the</v>
      </c>
      <c r="M1041" t="str">
        <f t="shared" si="331"/>
        <v>project and project manager.</v>
      </c>
      <c r="N1041" t="str">
        <f t="shared" si="332"/>
        <v/>
      </c>
      <c r="O1041" t="str">
        <f t="shared" si="333"/>
        <v/>
      </c>
      <c r="P1041" t="str">
        <f t="shared" si="334"/>
        <v/>
      </c>
      <c r="Q1041" t="str">
        <f t="shared" si="335"/>
        <v/>
      </c>
      <c r="R1041" t="str">
        <f t="shared" si="336"/>
        <v/>
      </c>
      <c r="S1041" t="str">
        <f t="shared" si="337"/>
        <v/>
      </c>
      <c r="T1041" t="str">
        <f t="shared" si="338"/>
        <v/>
      </c>
      <c r="U1041" t="str">
        <f t="shared" si="339"/>
        <v/>
      </c>
      <c r="V1041" t="str">
        <f t="shared" si="340"/>
        <v/>
      </c>
      <c r="W1041" s="71" t="str">
        <f>CONCATENATE(H1041," ",I1041," ",J1041," ",K1041," ",L1041," ",M1041," ",N1041," ",O1041," ",P1041," ",Q1041," ",R1041," ",S1041," ",T1041," ",U1041," ",V1041)</f>
        <v xml:space="preserve">Forming The project team meets and learns about their roles and responsibilities on the project. Little interaction among the project team happens in this stage as the team is learning about the project and project manager.         </v>
      </c>
    </row>
    <row r="1042" spans="1:23" customFormat="1" hidden="1">
      <c r="A1042" t="b">
        <f t="shared" si="322"/>
        <v>0</v>
      </c>
      <c r="B1042">
        <f t="shared" si="324"/>
        <v>1041</v>
      </c>
      <c r="C1042" t="s">
        <v>981</v>
      </c>
      <c r="D1042" t="s">
        <v>1027</v>
      </c>
      <c r="E1042">
        <f t="shared" si="321"/>
        <v>45</v>
      </c>
      <c r="G1042">
        <f t="shared" si="325"/>
        <v>2</v>
      </c>
      <c r="H1042" t="str">
        <f t="shared" si="326"/>
        <v/>
      </c>
      <c r="I1042" t="str">
        <f t="shared" si="327"/>
        <v/>
      </c>
      <c r="J1042" t="str">
        <f t="shared" si="328"/>
        <v/>
      </c>
      <c r="K1042" t="str">
        <f t="shared" si="329"/>
        <v/>
      </c>
      <c r="L1042" t="str">
        <f t="shared" si="330"/>
        <v/>
      </c>
      <c r="M1042" t="str">
        <f t="shared" si="331"/>
        <v/>
      </c>
      <c r="N1042" t="str">
        <f t="shared" si="332"/>
        <v/>
      </c>
      <c r="O1042" t="str">
        <f t="shared" si="333"/>
        <v/>
      </c>
      <c r="P1042" t="str">
        <f t="shared" si="334"/>
        <v/>
      </c>
      <c r="Q1042" t="str">
        <f t="shared" si="335"/>
        <v/>
      </c>
      <c r="R1042" t="str">
        <f t="shared" si="336"/>
        <v/>
      </c>
      <c r="S1042" t="str">
        <f t="shared" si="337"/>
        <v/>
      </c>
      <c r="T1042" t="str">
        <f t="shared" si="338"/>
        <v/>
      </c>
      <c r="U1042" t="str">
        <f t="shared" si="339"/>
        <v/>
      </c>
      <c r="V1042" t="str">
        <f t="shared" si="340"/>
        <v/>
      </c>
      <c r="W1042" t="str">
        <f t="shared" si="323"/>
        <v xml:space="preserve">              </v>
      </c>
    </row>
    <row r="1043" spans="1:23" customFormat="1" hidden="1">
      <c r="A1043" t="b">
        <f t="shared" si="322"/>
        <v>0</v>
      </c>
      <c r="B1043">
        <f t="shared" si="324"/>
        <v>1042</v>
      </c>
      <c r="C1043" t="s">
        <v>981</v>
      </c>
      <c r="D1043" t="s">
        <v>1028</v>
      </c>
      <c r="E1043">
        <f t="shared" si="321"/>
        <v>49</v>
      </c>
      <c r="G1043">
        <f t="shared" si="325"/>
        <v>3</v>
      </c>
      <c r="H1043" t="str">
        <f t="shared" si="326"/>
        <v/>
      </c>
      <c r="I1043" t="str">
        <f t="shared" si="327"/>
        <v/>
      </c>
      <c r="J1043" t="str">
        <f t="shared" si="328"/>
        <v/>
      </c>
      <c r="K1043" t="str">
        <f t="shared" si="329"/>
        <v/>
      </c>
      <c r="L1043" t="str">
        <f t="shared" si="330"/>
        <v/>
      </c>
      <c r="M1043" t="str">
        <f t="shared" si="331"/>
        <v/>
      </c>
      <c r="N1043" t="str">
        <f t="shared" si="332"/>
        <v/>
      </c>
      <c r="O1043" t="str">
        <f t="shared" si="333"/>
        <v/>
      </c>
      <c r="P1043" t="str">
        <f t="shared" si="334"/>
        <v/>
      </c>
      <c r="Q1043" t="str">
        <f t="shared" si="335"/>
        <v/>
      </c>
      <c r="R1043" t="str">
        <f t="shared" si="336"/>
        <v/>
      </c>
      <c r="S1043" t="str">
        <f t="shared" si="337"/>
        <v/>
      </c>
      <c r="T1043" t="str">
        <f t="shared" si="338"/>
        <v/>
      </c>
      <c r="U1043" t="str">
        <f t="shared" si="339"/>
        <v/>
      </c>
      <c r="V1043" t="str">
        <f t="shared" si="340"/>
        <v/>
      </c>
      <c r="W1043" t="str">
        <f t="shared" si="323"/>
        <v xml:space="preserve">              </v>
      </c>
    </row>
    <row r="1044" spans="1:23" customFormat="1" hidden="1">
      <c r="A1044" t="b">
        <f t="shared" si="322"/>
        <v>0</v>
      </c>
      <c r="B1044">
        <f t="shared" si="324"/>
        <v>1043</v>
      </c>
      <c r="C1044" t="s">
        <v>981</v>
      </c>
      <c r="D1044" t="s">
        <v>1029</v>
      </c>
      <c r="E1044">
        <f t="shared" si="321"/>
        <v>45</v>
      </c>
      <c r="G1044">
        <f t="shared" si="325"/>
        <v>4</v>
      </c>
      <c r="H1044" t="str">
        <f t="shared" si="326"/>
        <v/>
      </c>
      <c r="I1044" t="str">
        <f t="shared" si="327"/>
        <v/>
      </c>
      <c r="J1044" t="str">
        <f t="shared" si="328"/>
        <v/>
      </c>
      <c r="K1044" t="str">
        <f t="shared" si="329"/>
        <v/>
      </c>
      <c r="L1044" t="str">
        <f t="shared" si="330"/>
        <v/>
      </c>
      <c r="M1044" t="str">
        <f t="shared" si="331"/>
        <v/>
      </c>
      <c r="N1044" t="str">
        <f t="shared" si="332"/>
        <v/>
      </c>
      <c r="O1044" t="str">
        <f t="shared" si="333"/>
        <v/>
      </c>
      <c r="P1044" t="str">
        <f t="shared" si="334"/>
        <v/>
      </c>
      <c r="Q1044" t="str">
        <f t="shared" si="335"/>
        <v/>
      </c>
      <c r="R1044" t="str">
        <f t="shared" si="336"/>
        <v/>
      </c>
      <c r="S1044" t="str">
        <f t="shared" si="337"/>
        <v/>
      </c>
      <c r="T1044" t="str">
        <f t="shared" si="338"/>
        <v/>
      </c>
      <c r="U1044" t="str">
        <f t="shared" si="339"/>
        <v/>
      </c>
      <c r="V1044" t="str">
        <f t="shared" si="340"/>
        <v/>
      </c>
      <c r="W1044" t="str">
        <f t="shared" si="323"/>
        <v xml:space="preserve">              </v>
      </c>
    </row>
    <row r="1045" spans="1:23" customFormat="1" hidden="1">
      <c r="A1045" t="b">
        <f t="shared" si="322"/>
        <v>0</v>
      </c>
      <c r="B1045">
        <f t="shared" si="324"/>
        <v>1044</v>
      </c>
      <c r="C1045" t="s">
        <v>981</v>
      </c>
      <c r="D1045" t="s">
        <v>1030</v>
      </c>
      <c r="E1045">
        <f t="shared" si="321"/>
        <v>44</v>
      </c>
      <c r="G1045">
        <f t="shared" si="325"/>
        <v>5</v>
      </c>
      <c r="H1045" t="str">
        <f t="shared" si="326"/>
        <v/>
      </c>
      <c r="I1045" t="str">
        <f t="shared" si="327"/>
        <v/>
      </c>
      <c r="J1045" t="str">
        <f t="shared" si="328"/>
        <v/>
      </c>
      <c r="K1045" t="str">
        <f t="shared" si="329"/>
        <v/>
      </c>
      <c r="L1045" t="str">
        <f t="shared" si="330"/>
        <v/>
      </c>
      <c r="M1045" t="str">
        <f t="shared" si="331"/>
        <v/>
      </c>
      <c r="N1045" t="str">
        <f t="shared" si="332"/>
        <v/>
      </c>
      <c r="O1045" t="str">
        <f t="shared" si="333"/>
        <v/>
      </c>
      <c r="P1045" t="str">
        <f t="shared" si="334"/>
        <v/>
      </c>
      <c r="Q1045" t="str">
        <f t="shared" si="335"/>
        <v/>
      </c>
      <c r="R1045" t="str">
        <f t="shared" si="336"/>
        <v/>
      </c>
      <c r="S1045" t="str">
        <f t="shared" si="337"/>
        <v/>
      </c>
      <c r="T1045" t="str">
        <f t="shared" si="338"/>
        <v/>
      </c>
      <c r="U1045" t="str">
        <f t="shared" si="339"/>
        <v/>
      </c>
      <c r="V1045" t="str">
        <f t="shared" si="340"/>
        <v/>
      </c>
      <c r="W1045" t="str">
        <f t="shared" si="323"/>
        <v xml:space="preserve">              </v>
      </c>
    </row>
    <row r="1046" spans="1:23" customFormat="1" hidden="1">
      <c r="A1046" t="b">
        <f t="shared" si="322"/>
        <v>0</v>
      </c>
      <c r="B1046">
        <f t="shared" si="324"/>
        <v>1045</v>
      </c>
      <c r="C1046" t="s">
        <v>981</v>
      </c>
      <c r="D1046" t="s">
        <v>1031</v>
      </c>
      <c r="E1046">
        <f t="shared" si="321"/>
        <v>28</v>
      </c>
      <c r="G1046">
        <f t="shared" si="325"/>
        <v>6</v>
      </c>
      <c r="H1046" t="str">
        <f t="shared" si="326"/>
        <v/>
      </c>
      <c r="I1046" t="str">
        <f t="shared" si="327"/>
        <v/>
      </c>
      <c r="J1046" t="str">
        <f t="shared" si="328"/>
        <v/>
      </c>
      <c r="K1046" t="str">
        <f t="shared" si="329"/>
        <v/>
      </c>
      <c r="L1046" t="str">
        <f t="shared" si="330"/>
        <v/>
      </c>
      <c r="M1046" t="str">
        <f t="shared" si="331"/>
        <v/>
      </c>
      <c r="N1046" t="str">
        <f t="shared" si="332"/>
        <v/>
      </c>
      <c r="O1046" t="str">
        <f t="shared" si="333"/>
        <v/>
      </c>
      <c r="P1046" t="str">
        <f t="shared" si="334"/>
        <v/>
      </c>
      <c r="Q1046" t="str">
        <f t="shared" si="335"/>
        <v/>
      </c>
      <c r="R1046" t="str">
        <f t="shared" si="336"/>
        <v/>
      </c>
      <c r="S1046" t="str">
        <f t="shared" si="337"/>
        <v/>
      </c>
      <c r="T1046" t="str">
        <f t="shared" si="338"/>
        <v/>
      </c>
      <c r="U1046" t="str">
        <f t="shared" si="339"/>
        <v/>
      </c>
      <c r="V1046" t="str">
        <f t="shared" si="340"/>
        <v/>
      </c>
      <c r="W1046" t="str">
        <f t="shared" si="323"/>
        <v xml:space="preserve">              </v>
      </c>
    </row>
    <row r="1047" spans="1:23" hidden="1">
      <c r="A1047" s="71" t="b">
        <f t="shared" si="322"/>
        <v>0</v>
      </c>
      <c r="B1047" s="71">
        <f t="shared" si="324"/>
        <v>1046</v>
      </c>
      <c r="C1047" s="71" t="s">
        <v>981</v>
      </c>
      <c r="D1047" s="71" t="s">
        <v>1032</v>
      </c>
      <c r="E1047">
        <f t="shared" si="321"/>
        <v>31</v>
      </c>
      <c r="F1047">
        <v>1</v>
      </c>
      <c r="G1047">
        <f t="shared" si="325"/>
        <v>1</v>
      </c>
      <c r="H1047" t="str">
        <f t="shared" si="326"/>
        <v>Herzberg’s Theory of Motivation</v>
      </c>
      <c r="I1047" t="str">
        <f t="shared" si="327"/>
        <v>Frederick Herzberg’s theory of the motivating</v>
      </c>
      <c r="J1047" t="str">
        <f t="shared" si="328"/>
        <v>agents and hygiene agents that affect a person’s</v>
      </c>
      <c r="K1047" t="str">
        <f t="shared" si="329"/>
        <v>willingness to excel in his career.</v>
      </c>
      <c r="L1047" t="str">
        <f t="shared" si="330"/>
        <v/>
      </c>
      <c r="M1047" t="str">
        <f t="shared" si="331"/>
        <v/>
      </c>
      <c r="N1047" t="str">
        <f t="shared" si="332"/>
        <v/>
      </c>
      <c r="O1047" t="str">
        <f t="shared" si="333"/>
        <v/>
      </c>
      <c r="P1047" t="str">
        <f t="shared" si="334"/>
        <v/>
      </c>
      <c r="Q1047" t="str">
        <f t="shared" si="335"/>
        <v/>
      </c>
      <c r="R1047" t="str">
        <f t="shared" si="336"/>
        <v/>
      </c>
      <c r="S1047" t="str">
        <f t="shared" si="337"/>
        <v/>
      </c>
      <c r="T1047" t="str">
        <f t="shared" si="338"/>
        <v/>
      </c>
      <c r="U1047" t="str">
        <f t="shared" si="339"/>
        <v/>
      </c>
      <c r="V1047" t="str">
        <f t="shared" si="340"/>
        <v/>
      </c>
      <c r="W1047" s="71" t="str">
        <f>CONCATENATE(H1047," ",I1047," ",J1047," ",K1047," ",L1047," ",M1047," ",N1047," ",O1047," ",P1047," ",Q1047," ",R1047," ",S1047," ",T1047," ",U1047," ",V1047)</f>
        <v xml:space="preserve">Herzberg’s Theory of Motivation Frederick Herzberg’s theory of the motivating agents and hygiene agents that affect a person’s willingness to excel in his career.           </v>
      </c>
    </row>
    <row r="1048" spans="1:23" customFormat="1" hidden="1">
      <c r="A1048" t="b">
        <f t="shared" si="322"/>
        <v>0</v>
      </c>
      <c r="B1048">
        <f t="shared" si="324"/>
        <v>1047</v>
      </c>
      <c r="C1048" t="s">
        <v>981</v>
      </c>
      <c r="D1048" t="s">
        <v>1033</v>
      </c>
      <c r="E1048">
        <f t="shared" si="321"/>
        <v>45</v>
      </c>
      <c r="G1048">
        <f t="shared" si="325"/>
        <v>2</v>
      </c>
      <c r="H1048" t="str">
        <f t="shared" si="326"/>
        <v/>
      </c>
      <c r="I1048" t="str">
        <f t="shared" si="327"/>
        <v/>
      </c>
      <c r="J1048" t="str">
        <f t="shared" si="328"/>
        <v/>
      </c>
      <c r="K1048" t="str">
        <f t="shared" si="329"/>
        <v/>
      </c>
      <c r="L1048" t="str">
        <f t="shared" si="330"/>
        <v/>
      </c>
      <c r="M1048" t="str">
        <f t="shared" si="331"/>
        <v/>
      </c>
      <c r="N1048" t="str">
        <f t="shared" si="332"/>
        <v/>
      </c>
      <c r="O1048" t="str">
        <f t="shared" si="333"/>
        <v/>
      </c>
      <c r="P1048" t="str">
        <f t="shared" si="334"/>
        <v/>
      </c>
      <c r="Q1048" t="str">
        <f t="shared" si="335"/>
        <v/>
      </c>
      <c r="R1048" t="str">
        <f t="shared" si="336"/>
        <v/>
      </c>
      <c r="S1048" t="str">
        <f t="shared" si="337"/>
        <v/>
      </c>
      <c r="T1048" t="str">
        <f t="shared" si="338"/>
        <v/>
      </c>
      <c r="U1048" t="str">
        <f t="shared" si="339"/>
        <v/>
      </c>
      <c r="V1048" t="str">
        <f t="shared" si="340"/>
        <v/>
      </c>
      <c r="W1048" t="str">
        <f t="shared" si="323"/>
        <v xml:space="preserve">              </v>
      </c>
    </row>
    <row r="1049" spans="1:23" customFormat="1" hidden="1">
      <c r="A1049" t="b">
        <f t="shared" si="322"/>
        <v>0</v>
      </c>
      <c r="B1049">
        <f t="shared" si="324"/>
        <v>1048</v>
      </c>
      <c r="C1049" t="s">
        <v>981</v>
      </c>
      <c r="D1049" t="s">
        <v>1034</v>
      </c>
      <c r="E1049">
        <f t="shared" si="321"/>
        <v>48</v>
      </c>
      <c r="G1049">
        <f t="shared" si="325"/>
        <v>3</v>
      </c>
      <c r="H1049" t="str">
        <f t="shared" si="326"/>
        <v/>
      </c>
      <c r="I1049" t="str">
        <f t="shared" si="327"/>
        <v/>
      </c>
      <c r="J1049" t="str">
        <f t="shared" si="328"/>
        <v/>
      </c>
      <c r="K1049" t="str">
        <f t="shared" si="329"/>
        <v/>
      </c>
      <c r="L1049" t="str">
        <f t="shared" si="330"/>
        <v/>
      </c>
      <c r="M1049" t="str">
        <f t="shared" si="331"/>
        <v/>
      </c>
      <c r="N1049" t="str">
        <f t="shared" si="332"/>
        <v/>
      </c>
      <c r="O1049" t="str">
        <f t="shared" si="333"/>
        <v/>
      </c>
      <c r="P1049" t="str">
        <f t="shared" si="334"/>
        <v/>
      </c>
      <c r="Q1049" t="str">
        <f t="shared" si="335"/>
        <v/>
      </c>
      <c r="R1049" t="str">
        <f t="shared" si="336"/>
        <v/>
      </c>
      <c r="S1049" t="str">
        <f t="shared" si="337"/>
        <v/>
      </c>
      <c r="T1049" t="str">
        <f t="shared" si="338"/>
        <v/>
      </c>
      <c r="U1049" t="str">
        <f t="shared" si="339"/>
        <v/>
      </c>
      <c r="V1049" t="str">
        <f t="shared" si="340"/>
        <v/>
      </c>
      <c r="W1049" t="str">
        <f t="shared" si="323"/>
        <v xml:space="preserve">              </v>
      </c>
    </row>
    <row r="1050" spans="1:23" customFormat="1" hidden="1">
      <c r="A1050" t="b">
        <f t="shared" si="322"/>
        <v>0</v>
      </c>
      <c r="B1050">
        <f t="shared" si="324"/>
        <v>1049</v>
      </c>
      <c r="C1050" t="s">
        <v>981</v>
      </c>
      <c r="D1050" t="s">
        <v>1035</v>
      </c>
      <c r="E1050">
        <f t="shared" si="321"/>
        <v>35</v>
      </c>
      <c r="G1050">
        <f t="shared" si="325"/>
        <v>4</v>
      </c>
      <c r="H1050" t="str">
        <f t="shared" si="326"/>
        <v/>
      </c>
      <c r="I1050" t="str">
        <f t="shared" si="327"/>
        <v/>
      </c>
      <c r="J1050" t="str">
        <f t="shared" si="328"/>
        <v/>
      </c>
      <c r="K1050" t="str">
        <f t="shared" si="329"/>
        <v/>
      </c>
      <c r="L1050" t="str">
        <f t="shared" si="330"/>
        <v/>
      </c>
      <c r="M1050" t="str">
        <f t="shared" si="331"/>
        <v/>
      </c>
      <c r="N1050" t="str">
        <f t="shared" si="332"/>
        <v/>
      </c>
      <c r="O1050" t="str">
        <f t="shared" si="333"/>
        <v/>
      </c>
      <c r="P1050" t="str">
        <f t="shared" si="334"/>
        <v/>
      </c>
      <c r="Q1050" t="str">
        <f t="shared" si="335"/>
        <v/>
      </c>
      <c r="R1050" t="str">
        <f t="shared" si="336"/>
        <v/>
      </c>
      <c r="S1050" t="str">
        <f t="shared" si="337"/>
        <v/>
      </c>
      <c r="T1050" t="str">
        <f t="shared" si="338"/>
        <v/>
      </c>
      <c r="U1050" t="str">
        <f t="shared" si="339"/>
        <v/>
      </c>
      <c r="V1050" t="str">
        <f t="shared" si="340"/>
        <v/>
      </c>
      <c r="W1050" t="str">
        <f t="shared" si="323"/>
        <v xml:space="preserve">              </v>
      </c>
    </row>
    <row r="1051" spans="1:23" hidden="1">
      <c r="A1051" s="71" t="b">
        <f t="shared" si="322"/>
        <v>0</v>
      </c>
      <c r="B1051" s="71">
        <f t="shared" si="324"/>
        <v>1050</v>
      </c>
      <c r="C1051" s="71" t="s">
        <v>981</v>
      </c>
      <c r="D1051" s="71" t="s">
        <v>1036</v>
      </c>
      <c r="E1051">
        <f t="shared" si="321"/>
        <v>33</v>
      </c>
      <c r="F1051">
        <v>1</v>
      </c>
      <c r="G1051">
        <f t="shared" si="325"/>
        <v>1</v>
      </c>
      <c r="H1051" t="str">
        <f t="shared" si="326"/>
        <v>Hierarchical organizational chart</v>
      </c>
      <c r="I1051" t="str">
        <f t="shared" si="327"/>
        <v>A chart showing the relationship between</v>
      </c>
      <c r="J1051" t="str">
        <f t="shared" si="328"/>
        <v>superior and subordinate employees, groups,</v>
      </c>
      <c r="K1051" t="str">
        <f t="shared" si="329"/>
        <v>disciplines, and even departments.</v>
      </c>
      <c r="L1051" t="str">
        <f t="shared" si="330"/>
        <v/>
      </c>
      <c r="M1051" t="str">
        <f t="shared" si="331"/>
        <v/>
      </c>
      <c r="N1051" t="str">
        <f t="shared" si="332"/>
        <v/>
      </c>
      <c r="O1051" t="str">
        <f t="shared" si="333"/>
        <v/>
      </c>
      <c r="P1051" t="str">
        <f t="shared" si="334"/>
        <v/>
      </c>
      <c r="Q1051" t="str">
        <f t="shared" si="335"/>
        <v/>
      </c>
      <c r="R1051" t="str">
        <f t="shared" si="336"/>
        <v/>
      </c>
      <c r="S1051" t="str">
        <f t="shared" si="337"/>
        <v/>
      </c>
      <c r="T1051" t="str">
        <f t="shared" si="338"/>
        <v/>
      </c>
      <c r="U1051" t="str">
        <f t="shared" si="339"/>
        <v/>
      </c>
      <c r="V1051" t="str">
        <f t="shared" si="340"/>
        <v/>
      </c>
      <c r="W1051" s="71" t="str">
        <f>CONCATENATE(H1051," ",I1051," ",J1051," ",K1051," ",L1051," ",M1051," ",N1051," ",O1051," ",P1051," ",Q1051," ",R1051," ",S1051," ",T1051," ",U1051," ",V1051)</f>
        <v xml:space="preserve">Hierarchical organizational chart A chart showing the relationship between superior and subordinate employees, groups, disciplines, and even departments.           </v>
      </c>
    </row>
    <row r="1052" spans="1:23" customFormat="1" hidden="1">
      <c r="A1052" t="b">
        <f t="shared" si="322"/>
        <v>0</v>
      </c>
      <c r="B1052">
        <f t="shared" si="324"/>
        <v>1051</v>
      </c>
      <c r="C1052" t="s">
        <v>981</v>
      </c>
      <c r="D1052" t="s">
        <v>1037</v>
      </c>
      <c r="E1052">
        <f t="shared" si="321"/>
        <v>40</v>
      </c>
      <c r="G1052">
        <f t="shared" si="325"/>
        <v>2</v>
      </c>
      <c r="H1052" t="str">
        <f t="shared" si="326"/>
        <v/>
      </c>
      <c r="I1052" t="str">
        <f t="shared" si="327"/>
        <v/>
      </c>
      <c r="J1052" t="str">
        <f t="shared" si="328"/>
        <v/>
      </c>
      <c r="K1052" t="str">
        <f t="shared" si="329"/>
        <v/>
      </c>
      <c r="L1052" t="str">
        <f t="shared" si="330"/>
        <v/>
      </c>
      <c r="M1052" t="str">
        <f t="shared" si="331"/>
        <v/>
      </c>
      <c r="N1052" t="str">
        <f t="shared" si="332"/>
        <v/>
      </c>
      <c r="O1052" t="str">
        <f t="shared" si="333"/>
        <v/>
      </c>
      <c r="P1052" t="str">
        <f t="shared" si="334"/>
        <v/>
      </c>
      <c r="Q1052" t="str">
        <f t="shared" si="335"/>
        <v/>
      </c>
      <c r="R1052" t="str">
        <f t="shared" si="336"/>
        <v/>
      </c>
      <c r="S1052" t="str">
        <f t="shared" si="337"/>
        <v/>
      </c>
      <c r="T1052" t="str">
        <f t="shared" si="338"/>
        <v/>
      </c>
      <c r="U1052" t="str">
        <f t="shared" si="339"/>
        <v/>
      </c>
      <c r="V1052" t="str">
        <f t="shared" si="340"/>
        <v/>
      </c>
      <c r="W1052" t="str">
        <f t="shared" si="323"/>
        <v xml:space="preserve">              </v>
      </c>
    </row>
    <row r="1053" spans="1:23" customFormat="1" hidden="1">
      <c r="A1053" t="b">
        <f t="shared" si="322"/>
        <v>0</v>
      </c>
      <c r="B1053">
        <f t="shared" si="324"/>
        <v>1052</v>
      </c>
      <c r="C1053" t="s">
        <v>981</v>
      </c>
      <c r="D1053" t="s">
        <v>1038</v>
      </c>
      <c r="E1053">
        <f t="shared" si="321"/>
        <v>43</v>
      </c>
      <c r="G1053">
        <f t="shared" si="325"/>
        <v>3</v>
      </c>
      <c r="H1053" t="str">
        <f t="shared" si="326"/>
        <v/>
      </c>
      <c r="I1053" t="str">
        <f t="shared" si="327"/>
        <v/>
      </c>
      <c r="J1053" t="str">
        <f t="shared" si="328"/>
        <v/>
      </c>
      <c r="K1053" t="str">
        <f t="shared" si="329"/>
        <v/>
      </c>
      <c r="L1053" t="str">
        <f t="shared" si="330"/>
        <v/>
      </c>
      <c r="M1053" t="str">
        <f t="shared" si="331"/>
        <v/>
      </c>
      <c r="N1053" t="str">
        <f t="shared" si="332"/>
        <v/>
      </c>
      <c r="O1053" t="str">
        <f t="shared" si="333"/>
        <v/>
      </c>
      <c r="P1053" t="str">
        <f t="shared" si="334"/>
        <v/>
      </c>
      <c r="Q1053" t="str">
        <f t="shared" si="335"/>
        <v/>
      </c>
      <c r="R1053" t="str">
        <f t="shared" si="336"/>
        <v/>
      </c>
      <c r="S1053" t="str">
        <f t="shared" si="337"/>
        <v/>
      </c>
      <c r="T1053" t="str">
        <f t="shared" si="338"/>
        <v/>
      </c>
      <c r="U1053" t="str">
        <f t="shared" si="339"/>
        <v/>
      </c>
      <c r="V1053" t="str">
        <f t="shared" si="340"/>
        <v/>
      </c>
      <c r="W1053" t="str">
        <f t="shared" si="323"/>
        <v xml:space="preserve">              </v>
      </c>
    </row>
    <row r="1054" spans="1:23" customFormat="1" hidden="1">
      <c r="A1054" t="b">
        <f t="shared" si="322"/>
        <v>0</v>
      </c>
      <c r="B1054">
        <f t="shared" si="324"/>
        <v>1053</v>
      </c>
      <c r="C1054" t="s">
        <v>981</v>
      </c>
      <c r="D1054" t="s">
        <v>1039</v>
      </c>
      <c r="E1054">
        <f t="shared" si="321"/>
        <v>34</v>
      </c>
      <c r="G1054">
        <f t="shared" si="325"/>
        <v>4</v>
      </c>
      <c r="H1054" t="str">
        <f t="shared" si="326"/>
        <v/>
      </c>
      <c r="I1054" t="str">
        <f t="shared" si="327"/>
        <v/>
      </c>
      <c r="J1054" t="str">
        <f t="shared" si="328"/>
        <v/>
      </c>
      <c r="K1054" t="str">
        <f t="shared" si="329"/>
        <v/>
      </c>
      <c r="L1054" t="str">
        <f t="shared" si="330"/>
        <v/>
      </c>
      <c r="M1054" t="str">
        <f t="shared" si="331"/>
        <v/>
      </c>
      <c r="N1054" t="str">
        <f t="shared" si="332"/>
        <v/>
      </c>
      <c r="O1054" t="str">
        <f t="shared" si="333"/>
        <v/>
      </c>
      <c r="P1054" t="str">
        <f t="shared" si="334"/>
        <v/>
      </c>
      <c r="Q1054" t="str">
        <f t="shared" si="335"/>
        <v/>
      </c>
      <c r="R1054" t="str">
        <f t="shared" si="336"/>
        <v/>
      </c>
      <c r="S1054" t="str">
        <f t="shared" si="337"/>
        <v/>
      </c>
      <c r="T1054" t="str">
        <f t="shared" si="338"/>
        <v/>
      </c>
      <c r="U1054" t="str">
        <f t="shared" si="339"/>
        <v/>
      </c>
      <c r="V1054" t="str">
        <f t="shared" si="340"/>
        <v/>
      </c>
      <c r="W1054" t="str">
        <f t="shared" si="323"/>
        <v xml:space="preserve">              </v>
      </c>
    </row>
    <row r="1055" spans="1:23" hidden="1">
      <c r="A1055" s="71" t="b">
        <f t="shared" si="322"/>
        <v>0</v>
      </c>
      <c r="B1055" s="71">
        <f t="shared" si="324"/>
        <v>1054</v>
      </c>
      <c r="C1055" s="71" t="s">
        <v>981</v>
      </c>
      <c r="D1055" s="71" t="s">
        <v>254</v>
      </c>
      <c r="E1055">
        <f t="shared" si="321"/>
        <v>9</v>
      </c>
      <c r="F1055">
        <v>1</v>
      </c>
      <c r="G1055">
        <f t="shared" si="325"/>
        <v>1</v>
      </c>
      <c r="H1055" t="str">
        <f t="shared" si="326"/>
        <v>Issue log</v>
      </c>
      <c r="I1055" t="str">
        <f t="shared" si="327"/>
        <v>A logbook of the issues the project team has</v>
      </c>
      <c r="J1055" t="str">
        <f t="shared" si="328"/>
        <v>identified and dates as to when the issues must</v>
      </c>
      <c r="K1055" t="str">
        <f t="shared" si="329"/>
        <v>be resolved by. The issue log may also include</v>
      </c>
      <c r="L1055" t="str">
        <f t="shared" si="330"/>
        <v>team members or stakeholders who are</v>
      </c>
      <c r="M1055" t="str">
        <f t="shared" si="331"/>
        <v>responsible for finding a solution to the identified</v>
      </c>
      <c r="N1055" t="str">
        <f t="shared" si="332"/>
        <v>issues.</v>
      </c>
      <c r="O1055" t="str">
        <f t="shared" si="333"/>
        <v/>
      </c>
      <c r="P1055" t="str">
        <f t="shared" si="334"/>
        <v/>
      </c>
      <c r="Q1055" t="str">
        <f t="shared" si="335"/>
        <v/>
      </c>
      <c r="R1055" t="str">
        <f t="shared" si="336"/>
        <v/>
      </c>
      <c r="S1055" t="str">
        <f t="shared" si="337"/>
        <v/>
      </c>
      <c r="T1055" t="str">
        <f t="shared" si="338"/>
        <v/>
      </c>
      <c r="U1055" t="str">
        <f t="shared" si="339"/>
        <v/>
      </c>
      <c r="V1055" t="str">
        <f t="shared" si="340"/>
        <v/>
      </c>
      <c r="W1055" s="71" t="str">
        <f>CONCATENATE(H1055," ",I1055," ",J1055," ",K1055," ",L1055," ",M1055," ",N1055," ",O1055," ",P1055," ",Q1055," ",R1055," ",S1055," ",T1055," ",U1055," ",V1055)</f>
        <v xml:space="preserve">Issue log A logbook of the issues the project team has identified and dates as to when the issues must be resolved by. The issue log may also include team members or stakeholders who are responsible for finding a solution to the identified issues.        </v>
      </c>
    </row>
    <row r="1056" spans="1:23" customFormat="1" hidden="1">
      <c r="A1056" t="b">
        <f t="shared" si="322"/>
        <v>0</v>
      </c>
      <c r="B1056">
        <f t="shared" si="324"/>
        <v>1055</v>
      </c>
      <c r="C1056" t="s">
        <v>981</v>
      </c>
      <c r="D1056" t="s">
        <v>1040</v>
      </c>
      <c r="E1056">
        <f t="shared" si="321"/>
        <v>44</v>
      </c>
      <c r="G1056">
        <f t="shared" si="325"/>
        <v>2</v>
      </c>
      <c r="H1056" t="str">
        <f t="shared" si="326"/>
        <v/>
      </c>
      <c r="I1056" t="str">
        <f t="shared" si="327"/>
        <v/>
      </c>
      <c r="J1056" t="str">
        <f t="shared" si="328"/>
        <v/>
      </c>
      <c r="K1056" t="str">
        <f t="shared" si="329"/>
        <v/>
      </c>
      <c r="L1056" t="str">
        <f t="shared" si="330"/>
        <v/>
      </c>
      <c r="M1056" t="str">
        <f t="shared" si="331"/>
        <v/>
      </c>
      <c r="N1056" t="str">
        <f t="shared" si="332"/>
        <v/>
      </c>
      <c r="O1056" t="str">
        <f t="shared" si="333"/>
        <v/>
      </c>
      <c r="P1056" t="str">
        <f t="shared" si="334"/>
        <v/>
      </c>
      <c r="Q1056" t="str">
        <f t="shared" si="335"/>
        <v/>
      </c>
      <c r="R1056" t="str">
        <f t="shared" si="336"/>
        <v/>
      </c>
      <c r="S1056" t="str">
        <f t="shared" si="337"/>
        <v/>
      </c>
      <c r="T1056" t="str">
        <f t="shared" si="338"/>
        <v/>
      </c>
      <c r="U1056" t="str">
        <f t="shared" si="339"/>
        <v/>
      </c>
      <c r="V1056" t="str">
        <f t="shared" si="340"/>
        <v/>
      </c>
      <c r="W1056" t="str">
        <f t="shared" si="323"/>
        <v xml:space="preserve">              </v>
      </c>
    </row>
    <row r="1057" spans="1:23" customFormat="1" hidden="1">
      <c r="A1057" t="b">
        <f t="shared" si="322"/>
        <v>0</v>
      </c>
      <c r="B1057">
        <f t="shared" si="324"/>
        <v>1056</v>
      </c>
      <c r="C1057" t="s">
        <v>981</v>
      </c>
      <c r="D1057" t="s">
        <v>1041</v>
      </c>
      <c r="E1057">
        <f t="shared" si="321"/>
        <v>47</v>
      </c>
      <c r="G1057">
        <f t="shared" si="325"/>
        <v>3</v>
      </c>
      <c r="H1057" t="str">
        <f t="shared" si="326"/>
        <v/>
      </c>
      <c r="I1057" t="str">
        <f t="shared" si="327"/>
        <v/>
      </c>
      <c r="J1057" t="str">
        <f t="shared" si="328"/>
        <v/>
      </c>
      <c r="K1057" t="str">
        <f t="shared" si="329"/>
        <v/>
      </c>
      <c r="L1057" t="str">
        <f t="shared" si="330"/>
        <v/>
      </c>
      <c r="M1057" t="str">
        <f t="shared" si="331"/>
        <v/>
      </c>
      <c r="N1057" t="str">
        <f t="shared" si="332"/>
        <v/>
      </c>
      <c r="O1057" t="str">
        <f t="shared" si="333"/>
        <v/>
      </c>
      <c r="P1057" t="str">
        <f t="shared" si="334"/>
        <v/>
      </c>
      <c r="Q1057" t="str">
        <f t="shared" si="335"/>
        <v/>
      </c>
      <c r="R1057" t="str">
        <f t="shared" si="336"/>
        <v/>
      </c>
      <c r="S1057" t="str">
        <f t="shared" si="337"/>
        <v/>
      </c>
      <c r="T1057" t="str">
        <f t="shared" si="338"/>
        <v/>
      </c>
      <c r="U1057" t="str">
        <f t="shared" si="339"/>
        <v/>
      </c>
      <c r="V1057" t="str">
        <f t="shared" si="340"/>
        <v/>
      </c>
      <c r="W1057" t="str">
        <f t="shared" si="323"/>
        <v xml:space="preserve">              </v>
      </c>
    </row>
    <row r="1058" spans="1:23" customFormat="1" hidden="1">
      <c r="A1058" t="b">
        <f t="shared" si="322"/>
        <v>0</v>
      </c>
      <c r="B1058">
        <f t="shared" si="324"/>
        <v>1057</v>
      </c>
      <c r="C1058" t="s">
        <v>981</v>
      </c>
      <c r="D1058" t="s">
        <v>1042</v>
      </c>
      <c r="E1058">
        <f t="shared" si="321"/>
        <v>46</v>
      </c>
      <c r="G1058">
        <f t="shared" si="325"/>
        <v>4</v>
      </c>
      <c r="H1058" t="str">
        <f t="shared" si="326"/>
        <v/>
      </c>
      <c r="I1058" t="str">
        <f t="shared" si="327"/>
        <v/>
      </c>
      <c r="J1058" t="str">
        <f t="shared" si="328"/>
        <v/>
      </c>
      <c r="K1058" t="str">
        <f t="shared" si="329"/>
        <v/>
      </c>
      <c r="L1058" t="str">
        <f t="shared" si="330"/>
        <v/>
      </c>
      <c r="M1058" t="str">
        <f t="shared" si="331"/>
        <v/>
      </c>
      <c r="N1058" t="str">
        <f t="shared" si="332"/>
        <v/>
      </c>
      <c r="O1058" t="str">
        <f t="shared" si="333"/>
        <v/>
      </c>
      <c r="P1058" t="str">
        <f t="shared" si="334"/>
        <v/>
      </c>
      <c r="Q1058" t="str">
        <f t="shared" si="335"/>
        <v/>
      </c>
      <c r="R1058" t="str">
        <f t="shared" si="336"/>
        <v/>
      </c>
      <c r="S1058" t="str">
        <f t="shared" si="337"/>
        <v/>
      </c>
      <c r="T1058" t="str">
        <f t="shared" si="338"/>
        <v/>
      </c>
      <c r="U1058" t="str">
        <f t="shared" si="339"/>
        <v/>
      </c>
      <c r="V1058" t="str">
        <f t="shared" si="340"/>
        <v/>
      </c>
      <c r="W1058" t="str">
        <f t="shared" si="323"/>
        <v xml:space="preserve">              </v>
      </c>
    </row>
    <row r="1059" spans="1:23" customFormat="1" hidden="1">
      <c r="A1059" t="b">
        <f t="shared" si="322"/>
        <v>0</v>
      </c>
      <c r="B1059">
        <f t="shared" si="324"/>
        <v>1058</v>
      </c>
      <c r="C1059" t="s">
        <v>981</v>
      </c>
      <c r="D1059" t="s">
        <v>1043</v>
      </c>
      <c r="E1059">
        <f t="shared" si="321"/>
        <v>36</v>
      </c>
      <c r="G1059">
        <f t="shared" si="325"/>
        <v>5</v>
      </c>
      <c r="H1059" t="str">
        <f t="shared" si="326"/>
        <v/>
      </c>
      <c r="I1059" t="str">
        <f t="shared" si="327"/>
        <v/>
      </c>
      <c r="J1059" t="str">
        <f t="shared" si="328"/>
        <v/>
      </c>
      <c r="K1059" t="str">
        <f t="shared" si="329"/>
        <v/>
      </c>
      <c r="L1059" t="str">
        <f t="shared" si="330"/>
        <v/>
      </c>
      <c r="M1059" t="str">
        <f t="shared" si="331"/>
        <v/>
      </c>
      <c r="N1059" t="str">
        <f t="shared" si="332"/>
        <v/>
      </c>
      <c r="O1059" t="str">
        <f t="shared" si="333"/>
        <v/>
      </c>
      <c r="P1059" t="str">
        <f t="shared" si="334"/>
        <v/>
      </c>
      <c r="Q1059" t="str">
        <f t="shared" si="335"/>
        <v/>
      </c>
      <c r="R1059" t="str">
        <f t="shared" si="336"/>
        <v/>
      </c>
      <c r="S1059" t="str">
        <f t="shared" si="337"/>
        <v/>
      </c>
      <c r="T1059" t="str">
        <f t="shared" si="338"/>
        <v/>
      </c>
      <c r="U1059" t="str">
        <f t="shared" si="339"/>
        <v/>
      </c>
      <c r="V1059" t="str">
        <f t="shared" si="340"/>
        <v/>
      </c>
      <c r="W1059" t="str">
        <f t="shared" si="323"/>
        <v xml:space="preserve">              </v>
      </c>
    </row>
    <row r="1060" spans="1:23" customFormat="1" hidden="1">
      <c r="A1060" t="b">
        <f t="shared" si="322"/>
        <v>0</v>
      </c>
      <c r="B1060">
        <f t="shared" si="324"/>
        <v>1059</v>
      </c>
      <c r="C1060" t="s">
        <v>981</v>
      </c>
      <c r="D1060" t="s">
        <v>1044</v>
      </c>
      <c r="E1060">
        <f t="shared" si="321"/>
        <v>52</v>
      </c>
      <c r="G1060">
        <f t="shared" si="325"/>
        <v>6</v>
      </c>
      <c r="H1060" t="str">
        <f t="shared" si="326"/>
        <v/>
      </c>
      <c r="I1060" t="str">
        <f t="shared" si="327"/>
        <v/>
      </c>
      <c r="J1060" t="str">
        <f t="shared" si="328"/>
        <v/>
      </c>
      <c r="K1060" t="str">
        <f t="shared" si="329"/>
        <v/>
      </c>
      <c r="L1060" t="str">
        <f t="shared" si="330"/>
        <v/>
      </c>
      <c r="M1060" t="str">
        <f t="shared" si="331"/>
        <v/>
      </c>
      <c r="N1060" t="str">
        <f t="shared" si="332"/>
        <v/>
      </c>
      <c r="O1060" t="str">
        <f t="shared" si="333"/>
        <v/>
      </c>
      <c r="P1060" t="str">
        <f t="shared" si="334"/>
        <v/>
      </c>
      <c r="Q1060" t="str">
        <f t="shared" si="335"/>
        <v/>
      </c>
      <c r="R1060" t="str">
        <f t="shared" si="336"/>
        <v/>
      </c>
      <c r="S1060" t="str">
        <f t="shared" si="337"/>
        <v/>
      </c>
      <c r="T1060" t="str">
        <f t="shared" si="338"/>
        <v/>
      </c>
      <c r="U1060" t="str">
        <f t="shared" si="339"/>
        <v/>
      </c>
      <c r="V1060" t="str">
        <f t="shared" si="340"/>
        <v/>
      </c>
      <c r="W1060" t="str">
        <f t="shared" si="323"/>
        <v xml:space="preserve">              </v>
      </c>
    </row>
    <row r="1061" spans="1:23" customFormat="1" hidden="1">
      <c r="A1061" t="b">
        <f t="shared" si="322"/>
        <v>0</v>
      </c>
      <c r="B1061">
        <f t="shared" si="324"/>
        <v>1060</v>
      </c>
      <c r="C1061" t="s">
        <v>981</v>
      </c>
      <c r="D1061" t="s">
        <v>1045</v>
      </c>
      <c r="E1061">
        <f t="shared" si="321"/>
        <v>7</v>
      </c>
      <c r="G1061">
        <f t="shared" si="325"/>
        <v>7</v>
      </c>
      <c r="H1061" t="str">
        <f t="shared" si="326"/>
        <v/>
      </c>
      <c r="I1061" t="str">
        <f t="shared" si="327"/>
        <v/>
      </c>
      <c r="J1061" t="str">
        <f t="shared" si="328"/>
        <v/>
      </c>
      <c r="K1061" t="str">
        <f t="shared" si="329"/>
        <v/>
      </c>
      <c r="L1061" t="str">
        <f t="shared" si="330"/>
        <v/>
      </c>
      <c r="M1061" t="str">
        <f t="shared" si="331"/>
        <v/>
      </c>
      <c r="N1061" t="str">
        <f t="shared" si="332"/>
        <v/>
      </c>
      <c r="O1061" t="str">
        <f t="shared" si="333"/>
        <v/>
      </c>
      <c r="P1061" t="str">
        <f t="shared" si="334"/>
        <v/>
      </c>
      <c r="Q1061" t="str">
        <f t="shared" si="335"/>
        <v/>
      </c>
      <c r="R1061" t="str">
        <f t="shared" si="336"/>
        <v/>
      </c>
      <c r="S1061" t="str">
        <f t="shared" si="337"/>
        <v/>
      </c>
      <c r="T1061" t="str">
        <f t="shared" si="338"/>
        <v/>
      </c>
      <c r="U1061" t="str">
        <f t="shared" si="339"/>
        <v/>
      </c>
      <c r="V1061" t="str">
        <f t="shared" si="340"/>
        <v/>
      </c>
      <c r="W1061" t="str">
        <f t="shared" si="323"/>
        <v xml:space="preserve">              </v>
      </c>
    </row>
    <row r="1062" spans="1:23" hidden="1">
      <c r="A1062" s="71" t="b">
        <f t="shared" si="322"/>
        <v>0</v>
      </c>
      <c r="B1062" s="71">
        <f t="shared" si="324"/>
        <v>1061</v>
      </c>
      <c r="C1062" s="71" t="s">
        <v>981</v>
      </c>
      <c r="D1062" s="71" t="s">
        <v>1046</v>
      </c>
      <c r="E1062">
        <f t="shared" si="321"/>
        <v>27</v>
      </c>
      <c r="F1062">
        <v>1</v>
      </c>
      <c r="G1062">
        <f t="shared" si="325"/>
        <v>1</v>
      </c>
      <c r="H1062" t="str">
        <f t="shared" si="326"/>
        <v>Maslow’s Hierarchy of Needs</v>
      </c>
      <c r="I1062" t="str">
        <f t="shared" si="327"/>
        <v>Abraham Maslow’s theory of the five needs all</v>
      </c>
      <c r="J1062" t="str">
        <f t="shared" si="328"/>
        <v>humans have and work toward.</v>
      </c>
      <c r="K1062" t="str">
        <f t="shared" si="329"/>
        <v/>
      </c>
      <c r="L1062" t="str">
        <f t="shared" si="330"/>
        <v/>
      </c>
      <c r="M1062" t="str">
        <f t="shared" si="331"/>
        <v/>
      </c>
      <c r="N1062" t="str">
        <f t="shared" si="332"/>
        <v/>
      </c>
      <c r="O1062" t="str">
        <f t="shared" si="333"/>
        <v/>
      </c>
      <c r="P1062" t="str">
        <f t="shared" si="334"/>
        <v/>
      </c>
      <c r="Q1062" t="str">
        <f t="shared" si="335"/>
        <v/>
      </c>
      <c r="R1062" t="str">
        <f t="shared" si="336"/>
        <v/>
      </c>
      <c r="S1062" t="str">
        <f t="shared" si="337"/>
        <v/>
      </c>
      <c r="T1062" t="str">
        <f t="shared" si="338"/>
        <v/>
      </c>
      <c r="U1062" t="str">
        <f t="shared" si="339"/>
        <v/>
      </c>
      <c r="V1062" t="str">
        <f t="shared" si="340"/>
        <v/>
      </c>
      <c r="W1062" s="71" t="str">
        <f>CONCATENATE(H1062," ",I1062," ",J1062," ",K1062," ",L1062," ",M1062," ",N1062," ",O1062," ",P1062," ",Q1062," ",R1062," ",S1062," ",T1062," ",U1062," ",V1062)</f>
        <v xml:space="preserve">Maslow’s Hierarchy of Needs Abraham Maslow’s theory of the five needs all humans have and work toward.            </v>
      </c>
    </row>
    <row r="1063" spans="1:23" customFormat="1" hidden="1">
      <c r="A1063" t="b">
        <f t="shared" si="322"/>
        <v>0</v>
      </c>
      <c r="B1063">
        <f t="shared" si="324"/>
        <v>1062</v>
      </c>
      <c r="C1063" t="s">
        <v>981</v>
      </c>
      <c r="D1063" t="s">
        <v>1047</v>
      </c>
      <c r="E1063">
        <f t="shared" si="321"/>
        <v>45</v>
      </c>
      <c r="G1063">
        <f t="shared" si="325"/>
        <v>2</v>
      </c>
      <c r="H1063" t="str">
        <f t="shared" si="326"/>
        <v/>
      </c>
      <c r="I1063" t="str">
        <f t="shared" si="327"/>
        <v/>
      </c>
      <c r="J1063" t="str">
        <f t="shared" si="328"/>
        <v/>
      </c>
      <c r="K1063" t="str">
        <f t="shared" si="329"/>
        <v/>
      </c>
      <c r="L1063" t="str">
        <f t="shared" si="330"/>
        <v/>
      </c>
      <c r="M1063" t="str">
        <f t="shared" si="331"/>
        <v/>
      </c>
      <c r="N1063" t="str">
        <f t="shared" si="332"/>
        <v/>
      </c>
      <c r="O1063" t="str">
        <f t="shared" si="333"/>
        <v/>
      </c>
      <c r="P1063" t="str">
        <f t="shared" si="334"/>
        <v/>
      </c>
      <c r="Q1063" t="str">
        <f t="shared" si="335"/>
        <v/>
      </c>
      <c r="R1063" t="str">
        <f t="shared" si="336"/>
        <v/>
      </c>
      <c r="S1063" t="str">
        <f t="shared" si="337"/>
        <v/>
      </c>
      <c r="T1063" t="str">
        <f t="shared" si="338"/>
        <v/>
      </c>
      <c r="U1063" t="str">
        <f t="shared" si="339"/>
        <v/>
      </c>
      <c r="V1063" t="str">
        <f t="shared" si="340"/>
        <v/>
      </c>
      <c r="W1063" t="str">
        <f t="shared" si="323"/>
        <v xml:space="preserve">              </v>
      </c>
    </row>
    <row r="1064" spans="1:23" customFormat="1" hidden="1">
      <c r="A1064" t="b">
        <f t="shared" si="322"/>
        <v>0</v>
      </c>
      <c r="B1064">
        <f t="shared" si="324"/>
        <v>1063</v>
      </c>
      <c r="C1064" t="s">
        <v>981</v>
      </c>
      <c r="D1064" t="s">
        <v>1048</v>
      </c>
      <c r="E1064">
        <f t="shared" si="321"/>
        <v>28</v>
      </c>
      <c r="G1064">
        <f t="shared" si="325"/>
        <v>3</v>
      </c>
      <c r="H1064" t="str">
        <f t="shared" si="326"/>
        <v/>
      </c>
      <c r="I1064" t="str">
        <f t="shared" si="327"/>
        <v/>
      </c>
      <c r="J1064" t="str">
        <f t="shared" si="328"/>
        <v/>
      </c>
      <c r="K1064" t="str">
        <f t="shared" si="329"/>
        <v/>
      </c>
      <c r="L1064" t="str">
        <f t="shared" si="330"/>
        <v/>
      </c>
      <c r="M1064" t="str">
        <f t="shared" si="331"/>
        <v/>
      </c>
      <c r="N1064" t="str">
        <f t="shared" si="332"/>
        <v/>
      </c>
      <c r="O1064" t="str">
        <f t="shared" si="333"/>
        <v/>
      </c>
      <c r="P1064" t="str">
        <f t="shared" si="334"/>
        <v/>
      </c>
      <c r="Q1064" t="str">
        <f t="shared" si="335"/>
        <v/>
      </c>
      <c r="R1064" t="str">
        <f t="shared" si="336"/>
        <v/>
      </c>
      <c r="S1064" t="str">
        <f t="shared" si="337"/>
        <v/>
      </c>
      <c r="T1064" t="str">
        <f t="shared" si="338"/>
        <v/>
      </c>
      <c r="U1064" t="str">
        <f t="shared" si="339"/>
        <v/>
      </c>
      <c r="V1064" t="str">
        <f t="shared" si="340"/>
        <v/>
      </c>
      <c r="W1064" t="str">
        <f t="shared" si="323"/>
        <v xml:space="preserve">              </v>
      </c>
    </row>
    <row r="1065" spans="1:23" hidden="1">
      <c r="A1065" s="71" t="b">
        <f t="shared" si="322"/>
        <v>0</v>
      </c>
      <c r="B1065" s="71">
        <f t="shared" si="324"/>
        <v>1064</v>
      </c>
      <c r="C1065" s="71" t="s">
        <v>981</v>
      </c>
      <c r="D1065" s="71" t="s">
        <v>1049</v>
      </c>
      <c r="E1065">
        <f t="shared" si="321"/>
        <v>28</v>
      </c>
      <c r="F1065">
        <v>1</v>
      </c>
      <c r="G1065">
        <f t="shared" si="325"/>
        <v>1</v>
      </c>
      <c r="H1065" t="str">
        <f t="shared" si="326"/>
        <v>McClelland’s Theory of Needs</v>
      </c>
      <c r="I1065" t="str">
        <f t="shared" si="327"/>
        <v>David McClelland developed this theory, which</v>
      </c>
      <c r="J1065" t="str">
        <f t="shared" si="328"/>
        <v>states our needs are acquired and developed by</v>
      </c>
      <c r="K1065" t="str">
        <f t="shared" si="329"/>
        <v>our experiences over time. All people are,</v>
      </c>
      <c r="L1065" t="str">
        <f t="shared" si="330"/>
        <v>according to this theory, driven by one of three</v>
      </c>
      <c r="M1065" t="str">
        <f t="shared" si="331"/>
        <v>needs: achievement, affiliation, or power.</v>
      </c>
      <c r="N1065" t="str">
        <f t="shared" si="332"/>
        <v/>
      </c>
      <c r="O1065" t="str">
        <f t="shared" si="333"/>
        <v/>
      </c>
      <c r="P1065" t="str">
        <f t="shared" si="334"/>
        <v/>
      </c>
      <c r="Q1065" t="str">
        <f t="shared" si="335"/>
        <v/>
      </c>
      <c r="R1065" t="str">
        <f t="shared" si="336"/>
        <v/>
      </c>
      <c r="S1065" t="str">
        <f t="shared" si="337"/>
        <v/>
      </c>
      <c r="T1065" t="str">
        <f t="shared" si="338"/>
        <v/>
      </c>
      <c r="U1065" t="str">
        <f t="shared" si="339"/>
        <v/>
      </c>
      <c r="V1065" t="str">
        <f t="shared" si="340"/>
        <v/>
      </c>
      <c r="W1065" s="71" t="str">
        <f>CONCATENATE(H1065," ",I1065," ",J1065," ",K1065," ",L1065," ",M1065," ",N1065," ",O1065," ",P1065," ",Q1065," ",R1065," ",S1065," ",T1065," ",U1065," ",V1065)</f>
        <v xml:space="preserve">McClelland’s Theory of Needs David McClelland developed this theory, which states our needs are acquired and developed by our experiences over time. All people are, according to this theory, driven by one of three needs: achievement, affiliation, or power.         </v>
      </c>
    </row>
    <row r="1066" spans="1:23" customFormat="1" hidden="1">
      <c r="A1066" t="b">
        <f t="shared" si="322"/>
        <v>0</v>
      </c>
      <c r="B1066">
        <f t="shared" si="324"/>
        <v>1065</v>
      </c>
      <c r="C1066" t="s">
        <v>981</v>
      </c>
      <c r="D1066" t="s">
        <v>1050</v>
      </c>
      <c r="E1066">
        <f t="shared" si="321"/>
        <v>45</v>
      </c>
      <c r="G1066">
        <f t="shared" si="325"/>
        <v>2</v>
      </c>
      <c r="H1066" t="str">
        <f t="shared" si="326"/>
        <v/>
      </c>
      <c r="I1066" t="str">
        <f t="shared" si="327"/>
        <v/>
      </c>
      <c r="J1066" t="str">
        <f t="shared" si="328"/>
        <v/>
      </c>
      <c r="K1066" t="str">
        <f t="shared" si="329"/>
        <v/>
      </c>
      <c r="L1066" t="str">
        <f t="shared" si="330"/>
        <v/>
      </c>
      <c r="M1066" t="str">
        <f t="shared" si="331"/>
        <v/>
      </c>
      <c r="N1066" t="str">
        <f t="shared" si="332"/>
        <v/>
      </c>
      <c r="O1066" t="str">
        <f t="shared" si="333"/>
        <v/>
      </c>
      <c r="P1066" t="str">
        <f t="shared" si="334"/>
        <v/>
      </c>
      <c r="Q1066" t="str">
        <f t="shared" si="335"/>
        <v/>
      </c>
      <c r="R1066" t="str">
        <f t="shared" si="336"/>
        <v/>
      </c>
      <c r="S1066" t="str">
        <f t="shared" si="337"/>
        <v/>
      </c>
      <c r="T1066" t="str">
        <f t="shared" si="338"/>
        <v/>
      </c>
      <c r="U1066" t="str">
        <f t="shared" si="339"/>
        <v/>
      </c>
      <c r="V1066" t="str">
        <f t="shared" si="340"/>
        <v/>
      </c>
      <c r="W1066" t="str">
        <f t="shared" si="323"/>
        <v xml:space="preserve">              </v>
      </c>
    </row>
    <row r="1067" spans="1:23" customFormat="1" hidden="1">
      <c r="A1067" t="b">
        <f t="shared" si="322"/>
        <v>0</v>
      </c>
      <c r="B1067">
        <f t="shared" si="324"/>
        <v>1066</v>
      </c>
      <c r="C1067" t="s">
        <v>981</v>
      </c>
      <c r="D1067" t="s">
        <v>1051</v>
      </c>
      <c r="E1067">
        <f t="shared" si="321"/>
        <v>46</v>
      </c>
      <c r="G1067">
        <f t="shared" si="325"/>
        <v>3</v>
      </c>
      <c r="H1067" t="str">
        <f t="shared" si="326"/>
        <v/>
      </c>
      <c r="I1067" t="str">
        <f t="shared" si="327"/>
        <v/>
      </c>
      <c r="J1067" t="str">
        <f t="shared" si="328"/>
        <v/>
      </c>
      <c r="K1067" t="str">
        <f t="shared" si="329"/>
        <v/>
      </c>
      <c r="L1067" t="str">
        <f t="shared" si="330"/>
        <v/>
      </c>
      <c r="M1067" t="str">
        <f t="shared" si="331"/>
        <v/>
      </c>
      <c r="N1067" t="str">
        <f t="shared" si="332"/>
        <v/>
      </c>
      <c r="O1067" t="str">
        <f t="shared" si="333"/>
        <v/>
      </c>
      <c r="P1067" t="str">
        <f t="shared" si="334"/>
        <v/>
      </c>
      <c r="Q1067" t="str">
        <f t="shared" si="335"/>
        <v/>
      </c>
      <c r="R1067" t="str">
        <f t="shared" si="336"/>
        <v/>
      </c>
      <c r="S1067" t="str">
        <f t="shared" si="337"/>
        <v/>
      </c>
      <c r="T1067" t="str">
        <f t="shared" si="338"/>
        <v/>
      </c>
      <c r="U1067" t="str">
        <f t="shared" si="339"/>
        <v/>
      </c>
      <c r="V1067" t="str">
        <f t="shared" si="340"/>
        <v/>
      </c>
      <c r="W1067" t="str">
        <f t="shared" si="323"/>
        <v xml:space="preserve">              </v>
      </c>
    </row>
    <row r="1068" spans="1:23" customFormat="1" hidden="1">
      <c r="A1068" t="b">
        <f t="shared" si="322"/>
        <v>0</v>
      </c>
      <c r="B1068">
        <f t="shared" si="324"/>
        <v>1067</v>
      </c>
      <c r="C1068" t="s">
        <v>981</v>
      </c>
      <c r="D1068" t="s">
        <v>1052</v>
      </c>
      <c r="E1068">
        <f t="shared" si="321"/>
        <v>42</v>
      </c>
      <c r="G1068">
        <f t="shared" si="325"/>
        <v>4</v>
      </c>
      <c r="H1068" t="str">
        <f t="shared" si="326"/>
        <v/>
      </c>
      <c r="I1068" t="str">
        <f t="shared" si="327"/>
        <v/>
      </c>
      <c r="J1068" t="str">
        <f t="shared" si="328"/>
        <v/>
      </c>
      <c r="K1068" t="str">
        <f t="shared" si="329"/>
        <v/>
      </c>
      <c r="L1068" t="str">
        <f t="shared" si="330"/>
        <v/>
      </c>
      <c r="M1068" t="str">
        <f t="shared" si="331"/>
        <v/>
      </c>
      <c r="N1068" t="str">
        <f t="shared" si="332"/>
        <v/>
      </c>
      <c r="O1068" t="str">
        <f t="shared" si="333"/>
        <v/>
      </c>
      <c r="P1068" t="str">
        <f t="shared" si="334"/>
        <v/>
      </c>
      <c r="Q1068" t="str">
        <f t="shared" si="335"/>
        <v/>
      </c>
      <c r="R1068" t="str">
        <f t="shared" si="336"/>
        <v/>
      </c>
      <c r="S1068" t="str">
        <f t="shared" si="337"/>
        <v/>
      </c>
      <c r="T1068" t="str">
        <f t="shared" si="338"/>
        <v/>
      </c>
      <c r="U1068" t="str">
        <f t="shared" si="339"/>
        <v/>
      </c>
      <c r="V1068" t="str">
        <f t="shared" si="340"/>
        <v/>
      </c>
      <c r="W1068" t="str">
        <f t="shared" si="323"/>
        <v xml:space="preserve">              </v>
      </c>
    </row>
    <row r="1069" spans="1:23" customFormat="1" hidden="1">
      <c r="A1069" t="b">
        <f t="shared" si="322"/>
        <v>0</v>
      </c>
      <c r="B1069">
        <f t="shared" si="324"/>
        <v>1068</v>
      </c>
      <c r="C1069" t="s">
        <v>981</v>
      </c>
      <c r="D1069" t="s">
        <v>1053</v>
      </c>
      <c r="E1069">
        <f t="shared" si="321"/>
        <v>48</v>
      </c>
      <c r="G1069">
        <f t="shared" si="325"/>
        <v>5</v>
      </c>
      <c r="H1069" t="str">
        <f t="shared" si="326"/>
        <v/>
      </c>
      <c r="I1069" t="str">
        <f t="shared" si="327"/>
        <v/>
      </c>
      <c r="J1069" t="str">
        <f t="shared" si="328"/>
        <v/>
      </c>
      <c r="K1069" t="str">
        <f t="shared" si="329"/>
        <v/>
      </c>
      <c r="L1069" t="str">
        <f t="shared" si="330"/>
        <v/>
      </c>
      <c r="M1069" t="str">
        <f t="shared" si="331"/>
        <v/>
      </c>
      <c r="N1069" t="str">
        <f t="shared" si="332"/>
        <v/>
      </c>
      <c r="O1069" t="str">
        <f t="shared" si="333"/>
        <v/>
      </c>
      <c r="P1069" t="str">
        <f t="shared" si="334"/>
        <v/>
      </c>
      <c r="Q1069" t="str">
        <f t="shared" si="335"/>
        <v/>
      </c>
      <c r="R1069" t="str">
        <f t="shared" si="336"/>
        <v/>
      </c>
      <c r="S1069" t="str">
        <f t="shared" si="337"/>
        <v/>
      </c>
      <c r="T1069" t="str">
        <f t="shared" si="338"/>
        <v/>
      </c>
      <c r="U1069" t="str">
        <f t="shared" si="339"/>
        <v/>
      </c>
      <c r="V1069" t="str">
        <f t="shared" si="340"/>
        <v/>
      </c>
      <c r="W1069" t="str">
        <f t="shared" si="323"/>
        <v xml:space="preserve">              </v>
      </c>
    </row>
    <row r="1070" spans="1:23" customFormat="1" hidden="1">
      <c r="A1070" t="b">
        <f t="shared" si="322"/>
        <v>0</v>
      </c>
      <c r="B1070">
        <f t="shared" si="324"/>
        <v>1069</v>
      </c>
      <c r="C1070" t="s">
        <v>981</v>
      </c>
      <c r="D1070" t="s">
        <v>1054</v>
      </c>
      <c r="E1070">
        <f t="shared" si="321"/>
        <v>42</v>
      </c>
      <c r="G1070">
        <f t="shared" si="325"/>
        <v>6</v>
      </c>
      <c r="H1070" t="str">
        <f t="shared" si="326"/>
        <v/>
      </c>
      <c r="I1070" t="str">
        <f t="shared" si="327"/>
        <v/>
      </c>
      <c r="J1070" t="str">
        <f t="shared" si="328"/>
        <v/>
      </c>
      <c r="K1070" t="str">
        <f t="shared" si="329"/>
        <v/>
      </c>
      <c r="L1070" t="str">
        <f t="shared" si="330"/>
        <v/>
      </c>
      <c r="M1070" t="str">
        <f t="shared" si="331"/>
        <v/>
      </c>
      <c r="N1070" t="str">
        <f t="shared" si="332"/>
        <v/>
      </c>
      <c r="O1070" t="str">
        <f t="shared" si="333"/>
        <v/>
      </c>
      <c r="P1070" t="str">
        <f t="shared" si="334"/>
        <v/>
      </c>
      <c r="Q1070" t="str">
        <f t="shared" si="335"/>
        <v/>
      </c>
      <c r="R1070" t="str">
        <f t="shared" si="336"/>
        <v/>
      </c>
      <c r="S1070" t="str">
        <f t="shared" si="337"/>
        <v/>
      </c>
      <c r="T1070" t="str">
        <f t="shared" si="338"/>
        <v/>
      </c>
      <c r="U1070" t="str">
        <f t="shared" si="339"/>
        <v/>
      </c>
      <c r="V1070" t="str">
        <f t="shared" si="340"/>
        <v/>
      </c>
      <c r="W1070" t="str">
        <f t="shared" si="323"/>
        <v xml:space="preserve">              </v>
      </c>
    </row>
    <row r="1071" spans="1:23" hidden="1">
      <c r="A1071" s="71" t="b">
        <f t="shared" si="322"/>
        <v>0</v>
      </c>
      <c r="B1071" s="71">
        <f t="shared" si="324"/>
        <v>1070</v>
      </c>
      <c r="C1071" s="71" t="s">
        <v>981</v>
      </c>
      <c r="D1071" s="71" t="s">
        <v>1055</v>
      </c>
      <c r="E1071">
        <f t="shared" si="321"/>
        <v>28</v>
      </c>
      <c r="F1071">
        <v>1</v>
      </c>
      <c r="G1071">
        <f t="shared" si="325"/>
        <v>1</v>
      </c>
      <c r="H1071" t="str">
        <f t="shared" si="326"/>
        <v>McGregor’s Theory of X and Y</v>
      </c>
      <c r="I1071" t="str">
        <f t="shared" si="327"/>
        <v>Douglas McGregor’s theory that states</v>
      </c>
      <c r="J1071" t="str">
        <f t="shared" si="328"/>
        <v>management views workers in the Y category as</v>
      </c>
      <c r="K1071" t="str">
        <f t="shared" si="329"/>
        <v>competent and self-led and workers in the X</v>
      </c>
      <c r="L1071" t="str">
        <f t="shared" si="330"/>
        <v>category as incompetent and needing to be</v>
      </c>
      <c r="M1071" t="str">
        <f t="shared" si="331"/>
        <v>micromanaged.</v>
      </c>
      <c r="N1071" t="str">
        <f t="shared" si="332"/>
        <v/>
      </c>
      <c r="O1071" t="str">
        <f t="shared" si="333"/>
        <v/>
      </c>
      <c r="P1071" t="str">
        <f t="shared" si="334"/>
        <v/>
      </c>
      <c r="Q1071" t="str">
        <f t="shared" si="335"/>
        <v/>
      </c>
      <c r="R1071" t="str">
        <f t="shared" si="336"/>
        <v/>
      </c>
      <c r="S1071" t="str">
        <f t="shared" si="337"/>
        <v/>
      </c>
      <c r="T1071" t="str">
        <f t="shared" si="338"/>
        <v/>
      </c>
      <c r="U1071" t="str">
        <f t="shared" si="339"/>
        <v/>
      </c>
      <c r="V1071" t="str">
        <f t="shared" si="340"/>
        <v/>
      </c>
      <c r="W1071" s="71" t="str">
        <f>CONCATENATE(H1071," ",I1071," ",J1071," ",K1071," ",L1071," ",M1071," ",N1071," ",O1071," ",P1071," ",Q1071," ",R1071," ",S1071," ",T1071," ",U1071," ",V1071)</f>
        <v xml:space="preserve">McGregor’s Theory of X and Y Douglas McGregor’s theory that states management views workers in the Y category as competent and self-led and workers in the X category as incompetent and needing to be micromanaged.         </v>
      </c>
    </row>
    <row r="1072" spans="1:23" customFormat="1" hidden="1">
      <c r="A1072" t="b">
        <f t="shared" si="322"/>
        <v>0</v>
      </c>
      <c r="B1072">
        <f t="shared" si="324"/>
        <v>1071</v>
      </c>
      <c r="C1072" t="s">
        <v>981</v>
      </c>
      <c r="D1072" t="s">
        <v>1056</v>
      </c>
      <c r="E1072">
        <f t="shared" si="321"/>
        <v>37</v>
      </c>
      <c r="G1072">
        <f t="shared" si="325"/>
        <v>2</v>
      </c>
      <c r="H1072" t="str">
        <f t="shared" si="326"/>
        <v/>
      </c>
      <c r="I1072" t="str">
        <f t="shared" si="327"/>
        <v/>
      </c>
      <c r="J1072" t="str">
        <f t="shared" si="328"/>
        <v/>
      </c>
      <c r="K1072" t="str">
        <f t="shared" si="329"/>
        <v/>
      </c>
      <c r="L1072" t="str">
        <f t="shared" si="330"/>
        <v/>
      </c>
      <c r="M1072" t="str">
        <f t="shared" si="331"/>
        <v/>
      </c>
      <c r="N1072" t="str">
        <f t="shared" si="332"/>
        <v/>
      </c>
      <c r="O1072" t="str">
        <f t="shared" si="333"/>
        <v/>
      </c>
      <c r="P1072" t="str">
        <f t="shared" si="334"/>
        <v/>
      </c>
      <c r="Q1072" t="str">
        <f t="shared" si="335"/>
        <v/>
      </c>
      <c r="R1072" t="str">
        <f t="shared" si="336"/>
        <v/>
      </c>
      <c r="S1072" t="str">
        <f t="shared" si="337"/>
        <v/>
      </c>
      <c r="T1072" t="str">
        <f t="shared" si="338"/>
        <v/>
      </c>
      <c r="U1072" t="str">
        <f t="shared" si="339"/>
        <v/>
      </c>
      <c r="V1072" t="str">
        <f t="shared" si="340"/>
        <v/>
      </c>
      <c r="W1072" t="str">
        <f t="shared" si="323"/>
        <v xml:space="preserve">              </v>
      </c>
    </row>
    <row r="1073" spans="1:23" customFormat="1" hidden="1">
      <c r="A1073" t="b">
        <f t="shared" si="322"/>
        <v>0</v>
      </c>
      <c r="B1073">
        <f t="shared" si="324"/>
        <v>1072</v>
      </c>
      <c r="C1073" t="s">
        <v>981</v>
      </c>
      <c r="D1073" t="s">
        <v>1057</v>
      </c>
      <c r="E1073">
        <f t="shared" si="321"/>
        <v>45</v>
      </c>
      <c r="G1073">
        <f t="shared" si="325"/>
        <v>3</v>
      </c>
      <c r="H1073" t="str">
        <f t="shared" si="326"/>
        <v/>
      </c>
      <c r="I1073" t="str">
        <f t="shared" si="327"/>
        <v/>
      </c>
      <c r="J1073" t="str">
        <f t="shared" si="328"/>
        <v/>
      </c>
      <c r="K1073" t="str">
        <f t="shared" si="329"/>
        <v/>
      </c>
      <c r="L1073" t="str">
        <f t="shared" si="330"/>
        <v/>
      </c>
      <c r="M1073" t="str">
        <f t="shared" si="331"/>
        <v/>
      </c>
      <c r="N1073" t="str">
        <f t="shared" si="332"/>
        <v/>
      </c>
      <c r="O1073" t="str">
        <f t="shared" si="333"/>
        <v/>
      </c>
      <c r="P1073" t="str">
        <f t="shared" si="334"/>
        <v/>
      </c>
      <c r="Q1073" t="str">
        <f t="shared" si="335"/>
        <v/>
      </c>
      <c r="R1073" t="str">
        <f t="shared" si="336"/>
        <v/>
      </c>
      <c r="S1073" t="str">
        <f t="shared" si="337"/>
        <v/>
      </c>
      <c r="T1073" t="str">
        <f t="shared" si="338"/>
        <v/>
      </c>
      <c r="U1073" t="str">
        <f t="shared" si="339"/>
        <v/>
      </c>
      <c r="V1073" t="str">
        <f t="shared" si="340"/>
        <v/>
      </c>
      <c r="W1073" t="str">
        <f t="shared" si="323"/>
        <v xml:space="preserve">              </v>
      </c>
    </row>
    <row r="1074" spans="1:23" customFormat="1" hidden="1">
      <c r="A1074" t="b">
        <f t="shared" si="322"/>
        <v>0</v>
      </c>
      <c r="B1074">
        <f t="shared" si="324"/>
        <v>1073</v>
      </c>
      <c r="C1074" t="s">
        <v>981</v>
      </c>
      <c r="D1074" t="s">
        <v>1058</v>
      </c>
      <c r="E1074">
        <f t="shared" si="321"/>
        <v>43</v>
      </c>
      <c r="G1074">
        <f t="shared" si="325"/>
        <v>4</v>
      </c>
      <c r="H1074" t="str">
        <f t="shared" si="326"/>
        <v/>
      </c>
      <c r="I1074" t="str">
        <f t="shared" si="327"/>
        <v/>
      </c>
      <c r="J1074" t="str">
        <f t="shared" si="328"/>
        <v/>
      </c>
      <c r="K1074" t="str">
        <f t="shared" si="329"/>
        <v/>
      </c>
      <c r="L1074" t="str">
        <f t="shared" si="330"/>
        <v/>
      </c>
      <c r="M1074" t="str">
        <f t="shared" si="331"/>
        <v/>
      </c>
      <c r="N1074" t="str">
        <f t="shared" si="332"/>
        <v/>
      </c>
      <c r="O1074" t="str">
        <f t="shared" si="333"/>
        <v/>
      </c>
      <c r="P1074" t="str">
        <f t="shared" si="334"/>
        <v/>
      </c>
      <c r="Q1074" t="str">
        <f t="shared" si="335"/>
        <v/>
      </c>
      <c r="R1074" t="str">
        <f t="shared" si="336"/>
        <v/>
      </c>
      <c r="S1074" t="str">
        <f t="shared" si="337"/>
        <v/>
      </c>
      <c r="T1074" t="str">
        <f t="shared" si="338"/>
        <v/>
      </c>
      <c r="U1074" t="str">
        <f t="shared" si="339"/>
        <v/>
      </c>
      <c r="V1074" t="str">
        <f t="shared" si="340"/>
        <v/>
      </c>
      <c r="W1074" t="str">
        <f t="shared" si="323"/>
        <v xml:space="preserve">              </v>
      </c>
    </row>
    <row r="1075" spans="1:23" customFormat="1" hidden="1">
      <c r="A1075" t="b">
        <f t="shared" si="322"/>
        <v>0</v>
      </c>
      <c r="B1075">
        <f t="shared" si="324"/>
        <v>1074</v>
      </c>
      <c r="C1075" t="s">
        <v>981</v>
      </c>
      <c r="D1075" t="s">
        <v>1059</v>
      </c>
      <c r="E1075">
        <f t="shared" si="321"/>
        <v>41</v>
      </c>
      <c r="G1075">
        <f t="shared" si="325"/>
        <v>5</v>
      </c>
      <c r="H1075" t="str">
        <f t="shared" si="326"/>
        <v/>
      </c>
      <c r="I1075" t="str">
        <f t="shared" si="327"/>
        <v/>
      </c>
      <c r="J1075" t="str">
        <f t="shared" si="328"/>
        <v/>
      </c>
      <c r="K1075" t="str">
        <f t="shared" si="329"/>
        <v/>
      </c>
      <c r="L1075" t="str">
        <f t="shared" si="330"/>
        <v/>
      </c>
      <c r="M1075" t="str">
        <f t="shared" si="331"/>
        <v/>
      </c>
      <c r="N1075" t="str">
        <f t="shared" si="332"/>
        <v/>
      </c>
      <c r="O1075" t="str">
        <f t="shared" si="333"/>
        <v/>
      </c>
      <c r="P1075" t="str">
        <f t="shared" si="334"/>
        <v/>
      </c>
      <c r="Q1075" t="str">
        <f t="shared" si="335"/>
        <v/>
      </c>
      <c r="R1075" t="str">
        <f t="shared" si="336"/>
        <v/>
      </c>
      <c r="S1075" t="str">
        <f t="shared" si="337"/>
        <v/>
      </c>
      <c r="T1075" t="str">
        <f t="shared" si="338"/>
        <v/>
      </c>
      <c r="U1075" t="str">
        <f t="shared" si="339"/>
        <v/>
      </c>
      <c r="V1075" t="str">
        <f t="shared" si="340"/>
        <v/>
      </c>
      <c r="W1075" t="str">
        <f t="shared" si="323"/>
        <v xml:space="preserve">              </v>
      </c>
    </row>
    <row r="1076" spans="1:23" customFormat="1" hidden="1">
      <c r="A1076" t="b">
        <f t="shared" si="322"/>
        <v>0</v>
      </c>
      <c r="B1076">
        <f t="shared" si="324"/>
        <v>1075</v>
      </c>
      <c r="C1076" t="s">
        <v>981</v>
      </c>
      <c r="D1076" t="s">
        <v>1060</v>
      </c>
      <c r="E1076">
        <f t="shared" si="321"/>
        <v>13</v>
      </c>
      <c r="G1076">
        <f t="shared" si="325"/>
        <v>6</v>
      </c>
      <c r="H1076" t="str">
        <f t="shared" si="326"/>
        <v/>
      </c>
      <c r="I1076" t="str">
        <f t="shared" si="327"/>
        <v/>
      </c>
      <c r="J1076" t="str">
        <f t="shared" si="328"/>
        <v/>
      </c>
      <c r="K1076" t="str">
        <f t="shared" si="329"/>
        <v/>
      </c>
      <c r="L1076" t="str">
        <f t="shared" si="330"/>
        <v/>
      </c>
      <c r="M1076" t="str">
        <f t="shared" si="331"/>
        <v/>
      </c>
      <c r="N1076" t="str">
        <f t="shared" si="332"/>
        <v/>
      </c>
      <c r="O1076" t="str">
        <f t="shared" si="333"/>
        <v/>
      </c>
      <c r="P1076" t="str">
        <f t="shared" si="334"/>
        <v/>
      </c>
      <c r="Q1076" t="str">
        <f t="shared" si="335"/>
        <v/>
      </c>
      <c r="R1076" t="str">
        <f t="shared" si="336"/>
        <v/>
      </c>
      <c r="S1076" t="str">
        <f t="shared" si="337"/>
        <v/>
      </c>
      <c r="T1076" t="str">
        <f t="shared" si="338"/>
        <v/>
      </c>
      <c r="U1076" t="str">
        <f t="shared" si="339"/>
        <v/>
      </c>
      <c r="V1076" t="str">
        <f t="shared" si="340"/>
        <v/>
      </c>
      <c r="W1076" t="str">
        <f t="shared" si="323"/>
        <v xml:space="preserve">              </v>
      </c>
    </row>
    <row r="1077" spans="1:23" hidden="1">
      <c r="A1077" s="71" t="b">
        <f t="shared" si="322"/>
        <v>0</v>
      </c>
      <c r="B1077" s="71">
        <f t="shared" si="324"/>
        <v>1076</v>
      </c>
      <c r="C1077" s="71" t="s">
        <v>981</v>
      </c>
      <c r="D1077" s="71" t="s">
        <v>1061</v>
      </c>
      <c r="E1077">
        <f t="shared" si="321"/>
        <v>31</v>
      </c>
      <c r="F1077">
        <v>1</v>
      </c>
      <c r="G1077">
        <f t="shared" si="325"/>
        <v>1</v>
      </c>
      <c r="H1077" t="str">
        <f t="shared" si="326"/>
        <v>Multicriteria Decision Analysis</v>
      </c>
      <c r="I1077" t="str">
        <f t="shared" si="327"/>
        <v>A method to rate potential project team</v>
      </c>
      <c r="J1077" t="str">
        <f t="shared" si="328"/>
        <v>members based on criteria such as education,</v>
      </c>
      <c r="K1077" t="str">
        <f t="shared" si="329"/>
        <v>experience, skills, knowledge, and more.</v>
      </c>
      <c r="L1077" t="str">
        <f t="shared" si="330"/>
        <v/>
      </c>
      <c r="M1077" t="str">
        <f t="shared" si="331"/>
        <v/>
      </c>
      <c r="N1077" t="str">
        <f t="shared" si="332"/>
        <v/>
      </c>
      <c r="O1077" t="str">
        <f t="shared" si="333"/>
        <v/>
      </c>
      <c r="P1077" t="str">
        <f t="shared" si="334"/>
        <v/>
      </c>
      <c r="Q1077" t="str">
        <f t="shared" si="335"/>
        <v/>
      </c>
      <c r="R1077" t="str">
        <f t="shared" si="336"/>
        <v/>
      </c>
      <c r="S1077" t="str">
        <f t="shared" si="337"/>
        <v/>
      </c>
      <c r="T1077" t="str">
        <f t="shared" si="338"/>
        <v/>
      </c>
      <c r="U1077" t="str">
        <f t="shared" si="339"/>
        <v/>
      </c>
      <c r="V1077" t="str">
        <f t="shared" si="340"/>
        <v/>
      </c>
      <c r="W1077" s="71" t="str">
        <f>CONCATENATE(H1077," ",I1077," ",J1077," ",K1077," ",L1077," ",M1077," ",N1077," ",O1077," ",P1077," ",Q1077," ",R1077," ",S1077," ",T1077," ",U1077," ",V1077)</f>
        <v xml:space="preserve">Multicriteria Decision Analysis A method to rate potential project team members based on criteria such as education, experience, skills, knowledge, and more.           </v>
      </c>
    </row>
    <row r="1078" spans="1:23" customFormat="1" hidden="1">
      <c r="A1078" t="b">
        <f t="shared" si="322"/>
        <v>0</v>
      </c>
      <c r="B1078">
        <f t="shared" si="324"/>
        <v>1077</v>
      </c>
      <c r="C1078" t="s">
        <v>981</v>
      </c>
      <c r="D1078" t="s">
        <v>1062</v>
      </c>
      <c r="E1078">
        <f t="shared" si="321"/>
        <v>39</v>
      </c>
      <c r="G1078">
        <f t="shared" si="325"/>
        <v>2</v>
      </c>
      <c r="H1078" t="str">
        <f t="shared" si="326"/>
        <v/>
      </c>
      <c r="I1078" t="str">
        <f t="shared" si="327"/>
        <v/>
      </c>
      <c r="J1078" t="str">
        <f t="shared" si="328"/>
        <v/>
      </c>
      <c r="K1078" t="str">
        <f t="shared" si="329"/>
        <v/>
      </c>
      <c r="L1078" t="str">
        <f t="shared" si="330"/>
        <v/>
      </c>
      <c r="M1078" t="str">
        <f t="shared" si="331"/>
        <v/>
      </c>
      <c r="N1078" t="str">
        <f t="shared" si="332"/>
        <v/>
      </c>
      <c r="O1078" t="str">
        <f t="shared" si="333"/>
        <v/>
      </c>
      <c r="P1078" t="str">
        <f t="shared" si="334"/>
        <v/>
      </c>
      <c r="Q1078" t="str">
        <f t="shared" si="335"/>
        <v/>
      </c>
      <c r="R1078" t="str">
        <f t="shared" si="336"/>
        <v/>
      </c>
      <c r="S1078" t="str">
        <f t="shared" si="337"/>
        <v/>
      </c>
      <c r="T1078" t="str">
        <f t="shared" si="338"/>
        <v/>
      </c>
      <c r="U1078" t="str">
        <f t="shared" si="339"/>
        <v/>
      </c>
      <c r="V1078" t="str">
        <f t="shared" si="340"/>
        <v/>
      </c>
      <c r="W1078" t="str">
        <f t="shared" si="323"/>
        <v xml:space="preserve">              </v>
      </c>
    </row>
    <row r="1079" spans="1:23" customFormat="1" hidden="1">
      <c r="A1079" t="b">
        <f t="shared" si="322"/>
        <v>0</v>
      </c>
      <c r="B1079">
        <f t="shared" si="324"/>
        <v>1078</v>
      </c>
      <c r="C1079" t="s">
        <v>981</v>
      </c>
      <c r="D1079" t="s">
        <v>1063</v>
      </c>
      <c r="E1079">
        <f t="shared" si="321"/>
        <v>44</v>
      </c>
      <c r="G1079">
        <f t="shared" si="325"/>
        <v>3</v>
      </c>
      <c r="H1079" t="str">
        <f t="shared" si="326"/>
        <v/>
      </c>
      <c r="I1079" t="str">
        <f t="shared" si="327"/>
        <v/>
      </c>
      <c r="J1079" t="str">
        <f t="shared" si="328"/>
        <v/>
      </c>
      <c r="K1079" t="str">
        <f t="shared" si="329"/>
        <v/>
      </c>
      <c r="L1079" t="str">
        <f t="shared" si="330"/>
        <v/>
      </c>
      <c r="M1079" t="str">
        <f t="shared" si="331"/>
        <v/>
      </c>
      <c r="N1079" t="str">
        <f t="shared" si="332"/>
        <v/>
      </c>
      <c r="O1079" t="str">
        <f t="shared" si="333"/>
        <v/>
      </c>
      <c r="P1079" t="str">
        <f t="shared" si="334"/>
        <v/>
      </c>
      <c r="Q1079" t="str">
        <f t="shared" si="335"/>
        <v/>
      </c>
      <c r="R1079" t="str">
        <f t="shared" si="336"/>
        <v/>
      </c>
      <c r="S1079" t="str">
        <f t="shared" si="337"/>
        <v/>
      </c>
      <c r="T1079" t="str">
        <f t="shared" si="338"/>
        <v/>
      </c>
      <c r="U1079" t="str">
        <f t="shared" si="339"/>
        <v/>
      </c>
      <c r="V1079" t="str">
        <f t="shared" si="340"/>
        <v/>
      </c>
      <c r="W1079" t="str">
        <f t="shared" si="323"/>
        <v xml:space="preserve">              </v>
      </c>
    </row>
    <row r="1080" spans="1:23" customFormat="1" hidden="1">
      <c r="A1080" t="b">
        <f t="shared" si="322"/>
        <v>0</v>
      </c>
      <c r="B1080">
        <f t="shared" si="324"/>
        <v>1079</v>
      </c>
      <c r="C1080" t="s">
        <v>981</v>
      </c>
      <c r="D1080" t="s">
        <v>1064</v>
      </c>
      <c r="E1080">
        <f t="shared" si="321"/>
        <v>40</v>
      </c>
      <c r="G1080">
        <f t="shared" si="325"/>
        <v>4</v>
      </c>
      <c r="H1080" t="str">
        <f t="shared" si="326"/>
        <v/>
      </c>
      <c r="I1080" t="str">
        <f t="shared" si="327"/>
        <v/>
      </c>
      <c r="J1080" t="str">
        <f t="shared" si="328"/>
        <v/>
      </c>
      <c r="K1080" t="str">
        <f t="shared" si="329"/>
        <v/>
      </c>
      <c r="L1080" t="str">
        <f t="shared" si="330"/>
        <v/>
      </c>
      <c r="M1080" t="str">
        <f t="shared" si="331"/>
        <v/>
      </c>
      <c r="N1080" t="str">
        <f t="shared" si="332"/>
        <v/>
      </c>
      <c r="O1080" t="str">
        <f t="shared" si="333"/>
        <v/>
      </c>
      <c r="P1080" t="str">
        <f t="shared" si="334"/>
        <v/>
      </c>
      <c r="Q1080" t="str">
        <f t="shared" si="335"/>
        <v/>
      </c>
      <c r="R1080" t="str">
        <f t="shared" si="336"/>
        <v/>
      </c>
      <c r="S1080" t="str">
        <f t="shared" si="337"/>
        <v/>
      </c>
      <c r="T1080" t="str">
        <f t="shared" si="338"/>
        <v/>
      </c>
      <c r="U1080" t="str">
        <f t="shared" si="339"/>
        <v/>
      </c>
      <c r="V1080" t="str">
        <f t="shared" si="340"/>
        <v/>
      </c>
      <c r="W1080" t="str">
        <f t="shared" si="323"/>
        <v xml:space="preserve">              </v>
      </c>
    </row>
    <row r="1081" spans="1:23" hidden="1">
      <c r="A1081" s="71" t="b">
        <f t="shared" si="322"/>
        <v>0</v>
      </c>
      <c r="B1081" s="71">
        <f t="shared" si="324"/>
        <v>1080</v>
      </c>
      <c r="C1081" s="71" t="s">
        <v>981</v>
      </c>
      <c r="D1081" s="71" t="s">
        <v>1065</v>
      </c>
      <c r="E1081">
        <f t="shared" ref="E1081:E1136" si="341">LEN(D1081)</f>
        <v>7</v>
      </c>
      <c r="F1081">
        <v>1</v>
      </c>
      <c r="G1081">
        <f t="shared" si="325"/>
        <v>1</v>
      </c>
      <c r="H1081" t="str">
        <f t="shared" si="326"/>
        <v>Norming</v>
      </c>
      <c r="I1081" t="str">
        <f t="shared" si="327"/>
        <v>Project team members go about getting the</v>
      </c>
      <c r="J1081" t="str">
        <f t="shared" si="328"/>
        <v>project work, begin to rely on one another, and</v>
      </c>
      <c r="K1081" t="str">
        <f t="shared" si="329"/>
        <v>generally complete their project assignments.</v>
      </c>
      <c r="L1081" t="str">
        <f t="shared" si="330"/>
        <v/>
      </c>
      <c r="M1081" t="str">
        <f t="shared" si="331"/>
        <v/>
      </c>
      <c r="N1081" t="str">
        <f t="shared" si="332"/>
        <v/>
      </c>
      <c r="O1081" t="str">
        <f t="shared" si="333"/>
        <v/>
      </c>
      <c r="P1081" t="str">
        <f t="shared" si="334"/>
        <v/>
      </c>
      <c r="Q1081" t="str">
        <f t="shared" si="335"/>
        <v/>
      </c>
      <c r="R1081" t="str">
        <f t="shared" si="336"/>
        <v/>
      </c>
      <c r="S1081" t="str">
        <f t="shared" si="337"/>
        <v/>
      </c>
      <c r="T1081" t="str">
        <f t="shared" si="338"/>
        <v/>
      </c>
      <c r="U1081" t="str">
        <f t="shared" si="339"/>
        <v/>
      </c>
      <c r="V1081" t="str">
        <f t="shared" si="340"/>
        <v/>
      </c>
      <c r="W1081" s="71" t="str">
        <f>CONCATENATE(H1081," ",I1081," ",J1081," ",K1081," ",L1081," ",M1081," ",N1081," ",O1081," ",P1081," ",Q1081," ",R1081," ",S1081," ",T1081," ",U1081," ",V1081)</f>
        <v xml:space="preserve">Norming Project team members go about getting the project work, begin to rely on one another, and generally complete their project assignments.           </v>
      </c>
    </row>
    <row r="1082" spans="1:23" customFormat="1" hidden="1">
      <c r="A1082" t="b">
        <f t="shared" si="322"/>
        <v>0</v>
      </c>
      <c r="B1082">
        <f t="shared" si="324"/>
        <v>1081</v>
      </c>
      <c r="C1082" t="s">
        <v>981</v>
      </c>
      <c r="D1082" t="s">
        <v>1066</v>
      </c>
      <c r="E1082">
        <f t="shared" si="341"/>
        <v>41</v>
      </c>
      <c r="G1082">
        <f t="shared" si="325"/>
        <v>2</v>
      </c>
      <c r="H1082" t="str">
        <f t="shared" si="326"/>
        <v/>
      </c>
      <c r="I1082" t="str">
        <f t="shared" si="327"/>
        <v/>
      </c>
      <c r="J1082" t="str">
        <f t="shared" si="328"/>
        <v/>
      </c>
      <c r="K1082" t="str">
        <f t="shared" si="329"/>
        <v/>
      </c>
      <c r="L1082" t="str">
        <f t="shared" si="330"/>
        <v/>
      </c>
      <c r="M1082" t="str">
        <f t="shared" si="331"/>
        <v/>
      </c>
      <c r="N1082" t="str">
        <f t="shared" si="332"/>
        <v/>
      </c>
      <c r="O1082" t="str">
        <f t="shared" si="333"/>
        <v/>
      </c>
      <c r="P1082" t="str">
        <f t="shared" si="334"/>
        <v/>
      </c>
      <c r="Q1082" t="str">
        <f t="shared" si="335"/>
        <v/>
      </c>
      <c r="R1082" t="str">
        <f t="shared" si="336"/>
        <v/>
      </c>
      <c r="S1082" t="str">
        <f t="shared" si="337"/>
        <v/>
      </c>
      <c r="T1082" t="str">
        <f t="shared" si="338"/>
        <v/>
      </c>
      <c r="U1082" t="str">
        <f t="shared" si="339"/>
        <v/>
      </c>
      <c r="V1082" t="str">
        <f t="shared" si="340"/>
        <v/>
      </c>
      <c r="W1082" t="str">
        <f t="shared" si="323"/>
        <v xml:space="preserve">              </v>
      </c>
    </row>
    <row r="1083" spans="1:23" customFormat="1" hidden="1">
      <c r="A1083" t="b">
        <f t="shared" si="322"/>
        <v>0</v>
      </c>
      <c r="B1083">
        <f t="shared" si="324"/>
        <v>1082</v>
      </c>
      <c r="C1083" t="s">
        <v>981</v>
      </c>
      <c r="D1083" t="s">
        <v>1067</v>
      </c>
      <c r="E1083">
        <f t="shared" si="341"/>
        <v>47</v>
      </c>
      <c r="G1083">
        <f t="shared" si="325"/>
        <v>3</v>
      </c>
      <c r="H1083" t="str">
        <f t="shared" si="326"/>
        <v/>
      </c>
      <c r="I1083" t="str">
        <f t="shared" si="327"/>
        <v/>
      </c>
      <c r="J1083" t="str">
        <f t="shared" si="328"/>
        <v/>
      </c>
      <c r="K1083" t="str">
        <f t="shared" si="329"/>
        <v/>
      </c>
      <c r="L1083" t="str">
        <f t="shared" si="330"/>
        <v/>
      </c>
      <c r="M1083" t="str">
        <f t="shared" si="331"/>
        <v/>
      </c>
      <c r="N1083" t="str">
        <f t="shared" si="332"/>
        <v/>
      </c>
      <c r="O1083" t="str">
        <f t="shared" si="333"/>
        <v/>
      </c>
      <c r="P1083" t="str">
        <f t="shared" si="334"/>
        <v/>
      </c>
      <c r="Q1083" t="str">
        <f t="shared" si="335"/>
        <v/>
      </c>
      <c r="R1083" t="str">
        <f t="shared" si="336"/>
        <v/>
      </c>
      <c r="S1083" t="str">
        <f t="shared" si="337"/>
        <v/>
      </c>
      <c r="T1083" t="str">
        <f t="shared" si="338"/>
        <v/>
      </c>
      <c r="U1083" t="str">
        <f t="shared" si="339"/>
        <v/>
      </c>
      <c r="V1083" t="str">
        <f t="shared" si="340"/>
        <v/>
      </c>
      <c r="W1083" t="str">
        <f t="shared" si="323"/>
        <v xml:space="preserve">              </v>
      </c>
    </row>
    <row r="1084" spans="1:23" customFormat="1" hidden="1">
      <c r="A1084" t="b">
        <f t="shared" si="322"/>
        <v>0</v>
      </c>
      <c r="B1084">
        <f t="shared" si="324"/>
        <v>1083</v>
      </c>
      <c r="C1084" t="s">
        <v>981</v>
      </c>
      <c r="D1084" t="s">
        <v>1068</v>
      </c>
      <c r="E1084">
        <f t="shared" si="341"/>
        <v>45</v>
      </c>
      <c r="G1084">
        <f t="shared" si="325"/>
        <v>4</v>
      </c>
      <c r="H1084" t="str">
        <f t="shared" si="326"/>
        <v/>
      </c>
      <c r="I1084" t="str">
        <f t="shared" si="327"/>
        <v/>
      </c>
      <c r="J1084" t="str">
        <f t="shared" si="328"/>
        <v/>
      </c>
      <c r="K1084" t="str">
        <f t="shared" si="329"/>
        <v/>
      </c>
      <c r="L1084" t="str">
        <f t="shared" si="330"/>
        <v/>
      </c>
      <c r="M1084" t="str">
        <f t="shared" si="331"/>
        <v/>
      </c>
      <c r="N1084" t="str">
        <f t="shared" si="332"/>
        <v/>
      </c>
      <c r="O1084" t="str">
        <f t="shared" si="333"/>
        <v/>
      </c>
      <c r="P1084" t="str">
        <f t="shared" si="334"/>
        <v/>
      </c>
      <c r="Q1084" t="str">
        <f t="shared" si="335"/>
        <v/>
      </c>
      <c r="R1084" t="str">
        <f t="shared" si="336"/>
        <v/>
      </c>
      <c r="S1084" t="str">
        <f t="shared" si="337"/>
        <v/>
      </c>
      <c r="T1084" t="str">
        <f t="shared" si="338"/>
        <v/>
      </c>
      <c r="U1084" t="str">
        <f t="shared" si="339"/>
        <v/>
      </c>
      <c r="V1084" t="str">
        <f t="shared" si="340"/>
        <v/>
      </c>
      <c r="W1084" t="str">
        <f t="shared" si="323"/>
        <v xml:space="preserve">              </v>
      </c>
    </row>
    <row r="1085" spans="1:23" hidden="1">
      <c r="A1085" s="71" t="b">
        <f t="shared" si="322"/>
        <v>0</v>
      </c>
      <c r="B1085" s="71">
        <f t="shared" si="324"/>
        <v>1084</v>
      </c>
      <c r="C1085" s="71" t="s">
        <v>981</v>
      </c>
      <c r="D1085" s="71" t="s">
        <v>1069</v>
      </c>
      <c r="E1085">
        <f t="shared" si="341"/>
        <v>18</v>
      </c>
      <c r="F1085">
        <v>1</v>
      </c>
      <c r="G1085">
        <f t="shared" si="325"/>
        <v>1</v>
      </c>
      <c r="H1085" t="str">
        <f t="shared" si="326"/>
        <v>Organization chart</v>
      </c>
      <c r="I1085" t="str">
        <f t="shared" si="327"/>
        <v>Traditional chart that depicts how the</v>
      </c>
      <c r="J1085" t="str">
        <f t="shared" si="328"/>
        <v>organization is broken down by department and</v>
      </c>
      <c r="K1085" t="str">
        <f t="shared" si="329"/>
        <v>disciplines. This chart is sometimes called the</v>
      </c>
      <c r="L1085" t="str">
        <f t="shared" si="330"/>
        <v>organizational breakdown structure (OBS) and is</v>
      </c>
      <c r="M1085" t="str">
        <f t="shared" si="331"/>
        <v>arranged by departments, units, or teams.</v>
      </c>
      <c r="N1085" t="str">
        <f t="shared" si="332"/>
        <v/>
      </c>
      <c r="O1085" t="str">
        <f t="shared" si="333"/>
        <v/>
      </c>
      <c r="P1085" t="str">
        <f t="shared" si="334"/>
        <v/>
      </c>
      <c r="Q1085" t="str">
        <f t="shared" si="335"/>
        <v/>
      </c>
      <c r="R1085" t="str">
        <f t="shared" si="336"/>
        <v/>
      </c>
      <c r="S1085" t="str">
        <f t="shared" si="337"/>
        <v/>
      </c>
      <c r="T1085" t="str">
        <f t="shared" si="338"/>
        <v/>
      </c>
      <c r="U1085" t="str">
        <f t="shared" si="339"/>
        <v/>
      </c>
      <c r="V1085" t="str">
        <f t="shared" si="340"/>
        <v/>
      </c>
      <c r="W1085" s="71" t="str">
        <f>CONCATENATE(H1085," ",I1085," ",J1085," ",K1085," ",L1085," ",M1085," ",N1085," ",O1085," ",P1085," ",Q1085," ",R1085," ",S1085," ",T1085," ",U1085," ",V1085)</f>
        <v xml:space="preserve">Organization chart Traditional chart that depicts how the organization is broken down by department and disciplines. This chart is sometimes called the organizational breakdown structure (OBS) and is arranged by departments, units, or teams.         </v>
      </c>
    </row>
    <row r="1086" spans="1:23" customFormat="1" hidden="1">
      <c r="A1086" t="b">
        <f t="shared" si="322"/>
        <v>0</v>
      </c>
      <c r="B1086">
        <f t="shared" si="324"/>
        <v>1085</v>
      </c>
      <c r="C1086" t="s">
        <v>981</v>
      </c>
      <c r="D1086" t="s">
        <v>1070</v>
      </c>
      <c r="E1086">
        <f t="shared" si="341"/>
        <v>38</v>
      </c>
      <c r="G1086">
        <f t="shared" si="325"/>
        <v>2</v>
      </c>
      <c r="H1086" t="str">
        <f t="shared" si="326"/>
        <v/>
      </c>
      <c r="I1086" t="str">
        <f t="shared" si="327"/>
        <v/>
      </c>
      <c r="J1086" t="str">
        <f t="shared" si="328"/>
        <v/>
      </c>
      <c r="K1086" t="str">
        <f t="shared" si="329"/>
        <v/>
      </c>
      <c r="L1086" t="str">
        <f t="shared" si="330"/>
        <v/>
      </c>
      <c r="M1086" t="str">
        <f t="shared" si="331"/>
        <v/>
      </c>
      <c r="N1086" t="str">
        <f t="shared" si="332"/>
        <v/>
      </c>
      <c r="O1086" t="str">
        <f t="shared" si="333"/>
        <v/>
      </c>
      <c r="P1086" t="str">
        <f t="shared" si="334"/>
        <v/>
      </c>
      <c r="Q1086" t="str">
        <f t="shared" si="335"/>
        <v/>
      </c>
      <c r="R1086" t="str">
        <f t="shared" si="336"/>
        <v/>
      </c>
      <c r="S1086" t="str">
        <f t="shared" si="337"/>
        <v/>
      </c>
      <c r="T1086" t="str">
        <f t="shared" si="338"/>
        <v/>
      </c>
      <c r="U1086" t="str">
        <f t="shared" si="339"/>
        <v/>
      </c>
      <c r="V1086" t="str">
        <f t="shared" si="340"/>
        <v/>
      </c>
      <c r="W1086" t="str">
        <f t="shared" si="323"/>
        <v xml:space="preserve">              </v>
      </c>
    </row>
    <row r="1087" spans="1:23" customFormat="1" hidden="1">
      <c r="A1087" t="b">
        <f t="shared" ref="A1087:A1149" si="342">C1087=D1087</f>
        <v>0</v>
      </c>
      <c r="B1087">
        <f t="shared" si="324"/>
        <v>1086</v>
      </c>
      <c r="C1087" t="s">
        <v>981</v>
      </c>
      <c r="D1087" t="s">
        <v>1071</v>
      </c>
      <c r="E1087">
        <f t="shared" si="341"/>
        <v>45</v>
      </c>
      <c r="G1087">
        <f t="shared" si="325"/>
        <v>3</v>
      </c>
      <c r="H1087" t="str">
        <f t="shared" si="326"/>
        <v/>
      </c>
      <c r="I1087" t="str">
        <f t="shared" si="327"/>
        <v/>
      </c>
      <c r="J1087" t="str">
        <f t="shared" si="328"/>
        <v/>
      </c>
      <c r="K1087" t="str">
        <f t="shared" si="329"/>
        <v/>
      </c>
      <c r="L1087" t="str">
        <f t="shared" si="330"/>
        <v/>
      </c>
      <c r="M1087" t="str">
        <f t="shared" si="331"/>
        <v/>
      </c>
      <c r="N1087" t="str">
        <f t="shared" si="332"/>
        <v/>
      </c>
      <c r="O1087" t="str">
        <f t="shared" si="333"/>
        <v/>
      </c>
      <c r="P1087" t="str">
        <f t="shared" si="334"/>
        <v/>
      </c>
      <c r="Q1087" t="str">
        <f t="shared" si="335"/>
        <v/>
      </c>
      <c r="R1087" t="str">
        <f t="shared" si="336"/>
        <v/>
      </c>
      <c r="S1087" t="str">
        <f t="shared" si="337"/>
        <v/>
      </c>
      <c r="T1087" t="str">
        <f t="shared" si="338"/>
        <v/>
      </c>
      <c r="U1087" t="str">
        <f t="shared" si="339"/>
        <v/>
      </c>
      <c r="V1087" t="str">
        <f t="shared" si="340"/>
        <v/>
      </c>
      <c r="W1087" t="str">
        <f t="shared" ref="W1087:W1149" si="343">CONCATENATE(H1087," ",I1087," ",J1087," ",K1087," ",L1087," ",M1087," ",N1087," ",O1087," ",P1087," ",Q1087," ",R1087," ",S1087," ",T1087," ",U1087," ",V1087)</f>
        <v xml:space="preserve">              </v>
      </c>
    </row>
    <row r="1088" spans="1:23" customFormat="1" hidden="1">
      <c r="A1088" t="b">
        <f t="shared" si="342"/>
        <v>0</v>
      </c>
      <c r="B1088">
        <f t="shared" si="324"/>
        <v>1087</v>
      </c>
      <c r="C1088" t="s">
        <v>981</v>
      </c>
      <c r="D1088" t="s">
        <v>1072</v>
      </c>
      <c r="E1088">
        <f t="shared" si="341"/>
        <v>47</v>
      </c>
      <c r="G1088">
        <f t="shared" si="325"/>
        <v>4</v>
      </c>
      <c r="H1088" t="str">
        <f t="shared" si="326"/>
        <v/>
      </c>
      <c r="I1088" t="str">
        <f t="shared" si="327"/>
        <v/>
      </c>
      <c r="J1088" t="str">
        <f t="shared" si="328"/>
        <v/>
      </c>
      <c r="K1088" t="str">
        <f t="shared" si="329"/>
        <v/>
      </c>
      <c r="L1088" t="str">
        <f t="shared" si="330"/>
        <v/>
      </c>
      <c r="M1088" t="str">
        <f t="shared" si="331"/>
        <v/>
      </c>
      <c r="N1088" t="str">
        <f t="shared" si="332"/>
        <v/>
      </c>
      <c r="O1088" t="str">
        <f t="shared" si="333"/>
        <v/>
      </c>
      <c r="P1088" t="str">
        <f t="shared" si="334"/>
        <v/>
      </c>
      <c r="Q1088" t="str">
        <f t="shared" si="335"/>
        <v/>
      </c>
      <c r="R1088" t="str">
        <f t="shared" si="336"/>
        <v/>
      </c>
      <c r="S1088" t="str">
        <f t="shared" si="337"/>
        <v/>
      </c>
      <c r="T1088" t="str">
        <f t="shared" si="338"/>
        <v/>
      </c>
      <c r="U1088" t="str">
        <f t="shared" si="339"/>
        <v/>
      </c>
      <c r="V1088" t="str">
        <f t="shared" si="340"/>
        <v/>
      </c>
      <c r="W1088" t="str">
        <f t="shared" si="343"/>
        <v xml:space="preserve">              </v>
      </c>
    </row>
    <row r="1089" spans="1:23" customFormat="1" hidden="1">
      <c r="A1089" t="b">
        <f t="shared" si="342"/>
        <v>0</v>
      </c>
      <c r="B1089">
        <f t="shared" si="324"/>
        <v>1088</v>
      </c>
      <c r="C1089" t="s">
        <v>981</v>
      </c>
      <c r="D1089" t="s">
        <v>1073</v>
      </c>
      <c r="E1089">
        <f t="shared" si="341"/>
        <v>47</v>
      </c>
      <c r="G1089">
        <f t="shared" si="325"/>
        <v>5</v>
      </c>
      <c r="H1089" t="str">
        <f t="shared" si="326"/>
        <v/>
      </c>
      <c r="I1089" t="str">
        <f t="shared" si="327"/>
        <v/>
      </c>
      <c r="J1089" t="str">
        <f t="shared" si="328"/>
        <v/>
      </c>
      <c r="K1089" t="str">
        <f t="shared" si="329"/>
        <v/>
      </c>
      <c r="L1089" t="str">
        <f t="shared" si="330"/>
        <v/>
      </c>
      <c r="M1089" t="str">
        <f t="shared" si="331"/>
        <v/>
      </c>
      <c r="N1089" t="str">
        <f t="shared" si="332"/>
        <v/>
      </c>
      <c r="O1089" t="str">
        <f t="shared" si="333"/>
        <v/>
      </c>
      <c r="P1089" t="str">
        <f t="shared" si="334"/>
        <v/>
      </c>
      <c r="Q1089" t="str">
        <f t="shared" si="335"/>
        <v/>
      </c>
      <c r="R1089" t="str">
        <f t="shared" si="336"/>
        <v/>
      </c>
      <c r="S1089" t="str">
        <f t="shared" si="337"/>
        <v/>
      </c>
      <c r="T1089" t="str">
        <f t="shared" si="338"/>
        <v/>
      </c>
      <c r="U1089" t="str">
        <f t="shared" si="339"/>
        <v/>
      </c>
      <c r="V1089" t="str">
        <f t="shared" si="340"/>
        <v/>
      </c>
      <c r="W1089" t="str">
        <f t="shared" si="343"/>
        <v xml:space="preserve">              </v>
      </c>
    </row>
    <row r="1090" spans="1:23" customFormat="1" hidden="1">
      <c r="A1090" t="b">
        <f t="shared" si="342"/>
        <v>0</v>
      </c>
      <c r="B1090">
        <f t="shared" si="324"/>
        <v>1089</v>
      </c>
      <c r="C1090" t="s">
        <v>981</v>
      </c>
      <c r="D1090" t="s">
        <v>1074</v>
      </c>
      <c r="E1090">
        <f t="shared" si="341"/>
        <v>41</v>
      </c>
      <c r="G1090">
        <f t="shared" si="325"/>
        <v>6</v>
      </c>
      <c r="H1090" t="str">
        <f t="shared" si="326"/>
        <v/>
      </c>
      <c r="I1090" t="str">
        <f t="shared" si="327"/>
        <v/>
      </c>
      <c r="J1090" t="str">
        <f t="shared" si="328"/>
        <v/>
      </c>
      <c r="K1090" t="str">
        <f t="shared" si="329"/>
        <v/>
      </c>
      <c r="L1090" t="str">
        <f t="shared" si="330"/>
        <v/>
      </c>
      <c r="M1090" t="str">
        <f t="shared" si="331"/>
        <v/>
      </c>
      <c r="N1090" t="str">
        <f t="shared" si="332"/>
        <v/>
      </c>
      <c r="O1090" t="str">
        <f t="shared" si="333"/>
        <v/>
      </c>
      <c r="P1090" t="str">
        <f t="shared" si="334"/>
        <v/>
      </c>
      <c r="Q1090" t="str">
        <f t="shared" si="335"/>
        <v/>
      </c>
      <c r="R1090" t="str">
        <f t="shared" si="336"/>
        <v/>
      </c>
      <c r="S1090" t="str">
        <f t="shared" si="337"/>
        <v/>
      </c>
      <c r="T1090" t="str">
        <f t="shared" si="338"/>
        <v/>
      </c>
      <c r="U1090" t="str">
        <f t="shared" si="339"/>
        <v/>
      </c>
      <c r="V1090" t="str">
        <f t="shared" si="340"/>
        <v/>
      </c>
      <c r="W1090" t="str">
        <f t="shared" si="343"/>
        <v xml:space="preserve">              </v>
      </c>
    </row>
    <row r="1091" spans="1:23" hidden="1">
      <c r="A1091" s="71" t="b">
        <f t="shared" si="342"/>
        <v>0</v>
      </c>
      <c r="B1091" s="71">
        <f t="shared" si="324"/>
        <v>1090</v>
      </c>
      <c r="C1091" s="71" t="s">
        <v>981</v>
      </c>
      <c r="D1091" s="71" t="s">
        <v>1075</v>
      </c>
      <c r="E1091">
        <f t="shared" si="341"/>
        <v>16</v>
      </c>
      <c r="F1091">
        <v>1</v>
      </c>
      <c r="G1091">
        <f t="shared" si="325"/>
        <v>1</v>
      </c>
      <c r="H1091" t="str">
        <f t="shared" si="326"/>
        <v>Ouchi’s Theory Z</v>
      </c>
      <c r="I1091" t="str">
        <f t="shared" si="327"/>
        <v>William Ouchi’s theory is based on the</v>
      </c>
      <c r="J1091" t="str">
        <f t="shared" si="328"/>
        <v>participative management style of the Japanese.</v>
      </c>
      <c r="K1091" t="str">
        <f t="shared" si="329"/>
        <v>This theory states that workers are motivated by</v>
      </c>
      <c r="L1091" t="str">
        <f t="shared" si="330"/>
        <v>a sense of commitment, opportunity, and</v>
      </c>
      <c r="M1091" t="str">
        <f t="shared" si="331"/>
        <v>advancement.</v>
      </c>
      <c r="N1091" t="str">
        <f t="shared" si="332"/>
        <v/>
      </c>
      <c r="O1091" t="str">
        <f t="shared" si="333"/>
        <v/>
      </c>
      <c r="P1091" t="str">
        <f t="shared" si="334"/>
        <v/>
      </c>
      <c r="Q1091" t="str">
        <f t="shared" si="335"/>
        <v/>
      </c>
      <c r="R1091" t="str">
        <f t="shared" si="336"/>
        <v/>
      </c>
      <c r="S1091" t="str">
        <f t="shared" si="337"/>
        <v/>
      </c>
      <c r="T1091" t="str">
        <f t="shared" si="338"/>
        <v/>
      </c>
      <c r="U1091" t="str">
        <f t="shared" si="339"/>
        <v/>
      </c>
      <c r="V1091" t="str">
        <f t="shared" si="340"/>
        <v/>
      </c>
      <c r="W1091" s="71" t="str">
        <f>CONCATENATE(H1091," ",I1091," ",J1091," ",K1091," ",L1091," ",M1091," ",N1091," ",O1091," ",P1091," ",Q1091," ",R1091," ",S1091," ",T1091," ",U1091," ",V1091)</f>
        <v xml:space="preserve">Ouchi’s Theory Z William Ouchi’s theory is based on the participative management style of the Japanese. This theory states that workers are motivated by a sense of commitment, opportunity, and advancement.         </v>
      </c>
    </row>
    <row r="1092" spans="1:23" customFormat="1" hidden="1">
      <c r="A1092" t="b">
        <f t="shared" si="342"/>
        <v>0</v>
      </c>
      <c r="B1092">
        <f t="shared" ref="B1092:B1155" si="344">B1091+1</f>
        <v>1091</v>
      </c>
      <c r="C1092" t="s">
        <v>981</v>
      </c>
      <c r="D1092" t="s">
        <v>1076</v>
      </c>
      <c r="E1092">
        <f t="shared" si="341"/>
        <v>38</v>
      </c>
      <c r="G1092">
        <f t="shared" ref="G1092:G1155" si="345">IF(F1092=1,1,G1091+1)</f>
        <v>2</v>
      </c>
      <c r="H1092" t="str">
        <f t="shared" ref="H1092:H1155" si="346">IF($G1092=H$1,$D1092,"")</f>
        <v/>
      </c>
      <c r="I1092" t="str">
        <f t="shared" ref="I1092:I1155" si="347">IF($G1093=I$1,$D1093,"")</f>
        <v/>
      </c>
      <c r="J1092" t="str">
        <f t="shared" ref="J1092:J1155" si="348">IF($G1094=J$1,$D1094,"")</f>
        <v/>
      </c>
      <c r="K1092" t="str">
        <f t="shared" ref="K1092:K1155" si="349">IF($G1095=K$1,$D1095,"")</f>
        <v/>
      </c>
      <c r="L1092" t="str">
        <f t="shared" ref="L1092:L1155" si="350">IF($G1096=L$1,$D1096,"")</f>
        <v/>
      </c>
      <c r="M1092" t="str">
        <f t="shared" ref="M1092:M1155" si="351">IF($G1097=M$1,$D1097,"")</f>
        <v/>
      </c>
      <c r="N1092" t="str">
        <f t="shared" ref="N1092:N1155" si="352">IF($G1098=N$1,$D1098,"")</f>
        <v/>
      </c>
      <c r="O1092" t="str">
        <f t="shared" ref="O1092:O1155" si="353">IF($G1099=O$1,$D1099,"")</f>
        <v/>
      </c>
      <c r="P1092" t="str">
        <f t="shared" ref="P1092:P1155" si="354">IF($G1100=P$1,$D1100,"")</f>
        <v/>
      </c>
      <c r="Q1092" t="str">
        <f t="shared" ref="Q1092:Q1155" si="355">IF($G1101=Q$1,$D1101,"")</f>
        <v/>
      </c>
      <c r="R1092" t="str">
        <f t="shared" ref="R1092:R1155" si="356">IF($G1102=R$1,$D1102,"")</f>
        <v/>
      </c>
      <c r="S1092" t="str">
        <f t="shared" ref="S1092:S1155" si="357">IF($G1103=S$1,$D1103,"")</f>
        <v/>
      </c>
      <c r="T1092" t="str">
        <f t="shared" ref="T1092:T1155" si="358">IF($G1104=T$1,$D1104,"")</f>
        <v/>
      </c>
      <c r="U1092" t="str">
        <f t="shared" ref="U1092:U1155" si="359">IF($G1105=U$1,$D1105,"")</f>
        <v/>
      </c>
      <c r="V1092" t="str">
        <f t="shared" ref="V1092:V1155" si="360">IF($G1106=V$1,$D1106,"")</f>
        <v/>
      </c>
      <c r="W1092" t="str">
        <f t="shared" si="343"/>
        <v xml:space="preserve">              </v>
      </c>
    </row>
    <row r="1093" spans="1:23" customFormat="1" hidden="1">
      <c r="A1093" t="b">
        <f t="shared" si="342"/>
        <v>0</v>
      </c>
      <c r="B1093">
        <f t="shared" si="344"/>
        <v>1092</v>
      </c>
      <c r="C1093" t="s">
        <v>981</v>
      </c>
      <c r="D1093" t="s">
        <v>1077</v>
      </c>
      <c r="E1093">
        <f t="shared" si="341"/>
        <v>47</v>
      </c>
      <c r="G1093">
        <f t="shared" si="345"/>
        <v>3</v>
      </c>
      <c r="H1093" t="str">
        <f t="shared" si="346"/>
        <v/>
      </c>
      <c r="I1093" t="str">
        <f t="shared" si="347"/>
        <v/>
      </c>
      <c r="J1093" t="str">
        <f t="shared" si="348"/>
        <v/>
      </c>
      <c r="K1093" t="str">
        <f t="shared" si="349"/>
        <v/>
      </c>
      <c r="L1093" t="str">
        <f t="shared" si="350"/>
        <v/>
      </c>
      <c r="M1093" t="str">
        <f t="shared" si="351"/>
        <v/>
      </c>
      <c r="N1093" t="str">
        <f t="shared" si="352"/>
        <v/>
      </c>
      <c r="O1093" t="str">
        <f t="shared" si="353"/>
        <v/>
      </c>
      <c r="P1093" t="str">
        <f t="shared" si="354"/>
        <v/>
      </c>
      <c r="Q1093" t="str">
        <f t="shared" si="355"/>
        <v/>
      </c>
      <c r="R1093" t="str">
        <f t="shared" si="356"/>
        <v/>
      </c>
      <c r="S1093" t="str">
        <f t="shared" si="357"/>
        <v/>
      </c>
      <c r="T1093" t="str">
        <f t="shared" si="358"/>
        <v/>
      </c>
      <c r="U1093" t="str">
        <f t="shared" si="359"/>
        <v/>
      </c>
      <c r="V1093" t="str">
        <f t="shared" si="360"/>
        <v/>
      </c>
      <c r="W1093" t="str">
        <f t="shared" si="343"/>
        <v xml:space="preserve">              </v>
      </c>
    </row>
    <row r="1094" spans="1:23" customFormat="1" hidden="1">
      <c r="A1094" t="b">
        <f t="shared" si="342"/>
        <v>0</v>
      </c>
      <c r="B1094">
        <f t="shared" si="344"/>
        <v>1093</v>
      </c>
      <c r="C1094" t="s">
        <v>981</v>
      </c>
      <c r="D1094" t="s">
        <v>1078</v>
      </c>
      <c r="E1094">
        <f t="shared" si="341"/>
        <v>48</v>
      </c>
      <c r="G1094">
        <f t="shared" si="345"/>
        <v>4</v>
      </c>
      <c r="H1094" t="str">
        <f t="shared" si="346"/>
        <v/>
      </c>
      <c r="I1094" t="str">
        <f t="shared" si="347"/>
        <v/>
      </c>
      <c r="J1094" t="str">
        <f t="shared" si="348"/>
        <v/>
      </c>
      <c r="K1094" t="str">
        <f t="shared" si="349"/>
        <v/>
      </c>
      <c r="L1094" t="str">
        <f t="shared" si="350"/>
        <v/>
      </c>
      <c r="M1094" t="str">
        <f t="shared" si="351"/>
        <v/>
      </c>
      <c r="N1094" t="str">
        <f t="shared" si="352"/>
        <v/>
      </c>
      <c r="O1094" t="str">
        <f t="shared" si="353"/>
        <v/>
      </c>
      <c r="P1094" t="str">
        <f t="shared" si="354"/>
        <v/>
      </c>
      <c r="Q1094" t="str">
        <f t="shared" si="355"/>
        <v/>
      </c>
      <c r="R1094" t="str">
        <f t="shared" si="356"/>
        <v/>
      </c>
      <c r="S1094" t="str">
        <f t="shared" si="357"/>
        <v/>
      </c>
      <c r="T1094" t="str">
        <f t="shared" si="358"/>
        <v/>
      </c>
      <c r="U1094" t="str">
        <f t="shared" si="359"/>
        <v/>
      </c>
      <c r="V1094" t="str">
        <f t="shared" si="360"/>
        <v/>
      </c>
      <c r="W1094" t="str">
        <f t="shared" si="343"/>
        <v xml:space="preserve">              </v>
      </c>
    </row>
    <row r="1095" spans="1:23" customFormat="1" hidden="1">
      <c r="A1095" t="b">
        <f t="shared" si="342"/>
        <v>0</v>
      </c>
      <c r="B1095">
        <f t="shared" si="344"/>
        <v>1094</v>
      </c>
      <c r="C1095" t="s">
        <v>981</v>
      </c>
      <c r="D1095" t="s">
        <v>1079</v>
      </c>
      <c r="E1095">
        <f t="shared" si="341"/>
        <v>39</v>
      </c>
      <c r="G1095">
        <f t="shared" si="345"/>
        <v>5</v>
      </c>
      <c r="H1095" t="str">
        <f t="shared" si="346"/>
        <v/>
      </c>
      <c r="I1095" t="str">
        <f t="shared" si="347"/>
        <v/>
      </c>
      <c r="J1095" t="str">
        <f t="shared" si="348"/>
        <v/>
      </c>
      <c r="K1095" t="str">
        <f t="shared" si="349"/>
        <v/>
      </c>
      <c r="L1095" t="str">
        <f t="shared" si="350"/>
        <v/>
      </c>
      <c r="M1095" t="str">
        <f t="shared" si="351"/>
        <v/>
      </c>
      <c r="N1095" t="str">
        <f t="shared" si="352"/>
        <v/>
      </c>
      <c r="O1095" t="str">
        <f t="shared" si="353"/>
        <v/>
      </c>
      <c r="P1095" t="str">
        <f t="shared" si="354"/>
        <v/>
      </c>
      <c r="Q1095" t="str">
        <f t="shared" si="355"/>
        <v/>
      </c>
      <c r="R1095" t="str">
        <f t="shared" si="356"/>
        <v/>
      </c>
      <c r="S1095" t="str">
        <f t="shared" si="357"/>
        <v/>
      </c>
      <c r="T1095" t="str">
        <f t="shared" si="358"/>
        <v/>
      </c>
      <c r="U1095" t="str">
        <f t="shared" si="359"/>
        <v/>
      </c>
      <c r="V1095" t="str">
        <f t="shared" si="360"/>
        <v/>
      </c>
      <c r="W1095" t="str">
        <f t="shared" si="343"/>
        <v xml:space="preserve">              </v>
      </c>
    </row>
    <row r="1096" spans="1:23" customFormat="1" hidden="1">
      <c r="A1096" t="b">
        <f t="shared" si="342"/>
        <v>0</v>
      </c>
      <c r="B1096">
        <f t="shared" si="344"/>
        <v>1095</v>
      </c>
      <c r="C1096" t="s">
        <v>981</v>
      </c>
      <c r="D1096" t="s">
        <v>1080</v>
      </c>
      <c r="E1096">
        <f t="shared" si="341"/>
        <v>12</v>
      </c>
      <c r="G1096">
        <f t="shared" si="345"/>
        <v>6</v>
      </c>
      <c r="H1096" t="str">
        <f t="shared" si="346"/>
        <v/>
      </c>
      <c r="I1096" t="str">
        <f t="shared" si="347"/>
        <v/>
      </c>
      <c r="J1096" t="str">
        <f t="shared" si="348"/>
        <v/>
      </c>
      <c r="K1096" t="str">
        <f t="shared" si="349"/>
        <v/>
      </c>
      <c r="L1096" t="str">
        <f t="shared" si="350"/>
        <v/>
      </c>
      <c r="M1096" t="str">
        <f t="shared" si="351"/>
        <v/>
      </c>
      <c r="N1096" t="str">
        <f t="shared" si="352"/>
        <v/>
      </c>
      <c r="O1096" t="str">
        <f t="shared" si="353"/>
        <v/>
      </c>
      <c r="P1096" t="str">
        <f t="shared" si="354"/>
        <v/>
      </c>
      <c r="Q1096" t="str">
        <f t="shared" si="355"/>
        <v/>
      </c>
      <c r="R1096" t="str">
        <f t="shared" si="356"/>
        <v/>
      </c>
      <c r="S1096" t="str">
        <f t="shared" si="357"/>
        <v/>
      </c>
      <c r="T1096" t="str">
        <f t="shared" si="358"/>
        <v/>
      </c>
      <c r="U1096" t="str">
        <f t="shared" si="359"/>
        <v/>
      </c>
      <c r="V1096" t="str">
        <f t="shared" si="360"/>
        <v/>
      </c>
      <c r="W1096" t="str">
        <f t="shared" si="343"/>
        <v xml:space="preserve">              </v>
      </c>
    </row>
    <row r="1097" spans="1:23" hidden="1">
      <c r="A1097" s="71" t="b">
        <f t="shared" si="342"/>
        <v>0</v>
      </c>
      <c r="B1097" s="71">
        <f t="shared" si="344"/>
        <v>1096</v>
      </c>
      <c r="C1097" s="71" t="s">
        <v>981</v>
      </c>
      <c r="D1097" s="71" t="s">
        <v>1081</v>
      </c>
      <c r="E1097">
        <f t="shared" si="341"/>
        <v>10</v>
      </c>
      <c r="F1097">
        <v>1</v>
      </c>
      <c r="G1097">
        <f t="shared" si="345"/>
        <v>1</v>
      </c>
      <c r="H1097" t="str">
        <f t="shared" si="346"/>
        <v>Performing</v>
      </c>
      <c r="I1097" t="str">
        <f t="shared" si="347"/>
        <v>If a project team can reach the performing stage</v>
      </c>
      <c r="J1097" t="str">
        <f t="shared" si="348"/>
        <v>of team development, they trust one another,</v>
      </c>
      <c r="K1097" t="str">
        <f t="shared" si="349"/>
        <v>work well together, and issues and problems get</v>
      </c>
      <c r="L1097" t="str">
        <f t="shared" si="350"/>
        <v>resolved quickly and effectively.</v>
      </c>
      <c r="M1097" t="str">
        <f t="shared" si="351"/>
        <v/>
      </c>
      <c r="N1097" t="str">
        <f t="shared" si="352"/>
        <v/>
      </c>
      <c r="O1097" t="str">
        <f t="shared" si="353"/>
        <v/>
      </c>
      <c r="P1097" t="str">
        <f t="shared" si="354"/>
        <v/>
      </c>
      <c r="Q1097" t="str">
        <f t="shared" si="355"/>
        <v/>
      </c>
      <c r="R1097" t="str">
        <f t="shared" si="356"/>
        <v/>
      </c>
      <c r="S1097" t="str">
        <f t="shared" si="357"/>
        <v/>
      </c>
      <c r="T1097" t="str">
        <f t="shared" si="358"/>
        <v/>
      </c>
      <c r="U1097" t="str">
        <f t="shared" si="359"/>
        <v/>
      </c>
      <c r="V1097" t="str">
        <f t="shared" si="360"/>
        <v/>
      </c>
      <c r="W1097" s="71" t="str">
        <f>CONCATENATE(H1097," ",I1097," ",J1097," ",K1097," ",L1097," ",M1097," ",N1097," ",O1097," ",P1097," ",Q1097," ",R1097," ",S1097," ",T1097," ",U1097," ",V1097)</f>
        <v xml:space="preserve">Performing If a project team can reach the performing stage of team development, they trust one another, work well together, and issues and problems get resolved quickly and effectively.          </v>
      </c>
    </row>
    <row r="1098" spans="1:23" customFormat="1" hidden="1">
      <c r="A1098" t="b">
        <f t="shared" si="342"/>
        <v>0</v>
      </c>
      <c r="B1098">
        <f t="shared" si="344"/>
        <v>1097</v>
      </c>
      <c r="C1098" t="s">
        <v>981</v>
      </c>
      <c r="D1098" t="s">
        <v>1082</v>
      </c>
      <c r="E1098">
        <f t="shared" si="341"/>
        <v>48</v>
      </c>
      <c r="G1098">
        <f t="shared" si="345"/>
        <v>2</v>
      </c>
      <c r="H1098" t="str">
        <f t="shared" si="346"/>
        <v/>
      </c>
      <c r="I1098" t="str">
        <f t="shared" si="347"/>
        <v/>
      </c>
      <c r="J1098" t="str">
        <f t="shared" si="348"/>
        <v/>
      </c>
      <c r="K1098" t="str">
        <f t="shared" si="349"/>
        <v/>
      </c>
      <c r="L1098" t="str">
        <f t="shared" si="350"/>
        <v/>
      </c>
      <c r="M1098" t="str">
        <f t="shared" si="351"/>
        <v/>
      </c>
      <c r="N1098" t="str">
        <f t="shared" si="352"/>
        <v/>
      </c>
      <c r="O1098" t="str">
        <f t="shared" si="353"/>
        <v/>
      </c>
      <c r="P1098" t="str">
        <f t="shared" si="354"/>
        <v/>
      </c>
      <c r="Q1098" t="str">
        <f t="shared" si="355"/>
        <v/>
      </c>
      <c r="R1098" t="str">
        <f t="shared" si="356"/>
        <v/>
      </c>
      <c r="S1098" t="str">
        <f t="shared" si="357"/>
        <v/>
      </c>
      <c r="T1098" t="str">
        <f t="shared" si="358"/>
        <v/>
      </c>
      <c r="U1098" t="str">
        <f t="shared" si="359"/>
        <v/>
      </c>
      <c r="V1098" t="str">
        <f t="shared" si="360"/>
        <v/>
      </c>
      <c r="W1098" t="str">
        <f t="shared" si="343"/>
        <v xml:space="preserve">              </v>
      </c>
    </row>
    <row r="1099" spans="1:23" customFormat="1" hidden="1">
      <c r="A1099" t="b">
        <f t="shared" si="342"/>
        <v>0</v>
      </c>
      <c r="B1099">
        <f t="shared" si="344"/>
        <v>1098</v>
      </c>
      <c r="C1099" t="s">
        <v>981</v>
      </c>
      <c r="D1099" t="s">
        <v>1083</v>
      </c>
      <c r="E1099">
        <f t="shared" si="341"/>
        <v>44</v>
      </c>
      <c r="G1099">
        <f t="shared" si="345"/>
        <v>3</v>
      </c>
      <c r="H1099" t="str">
        <f t="shared" si="346"/>
        <v/>
      </c>
      <c r="I1099" t="str">
        <f t="shared" si="347"/>
        <v/>
      </c>
      <c r="J1099" t="str">
        <f t="shared" si="348"/>
        <v/>
      </c>
      <c r="K1099" t="str">
        <f t="shared" si="349"/>
        <v/>
      </c>
      <c r="L1099" t="str">
        <f t="shared" si="350"/>
        <v/>
      </c>
      <c r="M1099" t="str">
        <f t="shared" si="351"/>
        <v/>
      </c>
      <c r="N1099" t="str">
        <f t="shared" si="352"/>
        <v/>
      </c>
      <c r="O1099" t="str">
        <f t="shared" si="353"/>
        <v/>
      </c>
      <c r="P1099" t="str">
        <f t="shared" si="354"/>
        <v/>
      </c>
      <c r="Q1099" t="str">
        <f t="shared" si="355"/>
        <v/>
      </c>
      <c r="R1099" t="str">
        <f t="shared" si="356"/>
        <v/>
      </c>
      <c r="S1099" t="str">
        <f t="shared" si="357"/>
        <v/>
      </c>
      <c r="T1099" t="str">
        <f t="shared" si="358"/>
        <v/>
      </c>
      <c r="U1099" t="str">
        <f t="shared" si="359"/>
        <v/>
      </c>
      <c r="V1099" t="str">
        <f t="shared" si="360"/>
        <v/>
      </c>
      <c r="W1099" t="str">
        <f t="shared" si="343"/>
        <v xml:space="preserve">              </v>
      </c>
    </row>
    <row r="1100" spans="1:23" customFormat="1" hidden="1">
      <c r="A1100" t="b">
        <f t="shared" si="342"/>
        <v>0</v>
      </c>
      <c r="B1100">
        <f t="shared" si="344"/>
        <v>1099</v>
      </c>
      <c r="C1100" t="s">
        <v>981</v>
      </c>
      <c r="D1100" t="s">
        <v>1084</v>
      </c>
      <c r="E1100">
        <f t="shared" si="341"/>
        <v>47</v>
      </c>
      <c r="G1100">
        <f t="shared" si="345"/>
        <v>4</v>
      </c>
      <c r="H1100" t="str">
        <f t="shared" si="346"/>
        <v/>
      </c>
      <c r="I1100" t="str">
        <f t="shared" si="347"/>
        <v/>
      </c>
      <c r="J1100" t="str">
        <f t="shared" si="348"/>
        <v/>
      </c>
      <c r="K1100" t="str">
        <f t="shared" si="349"/>
        <v/>
      </c>
      <c r="L1100" t="str">
        <f t="shared" si="350"/>
        <v/>
      </c>
      <c r="M1100" t="str">
        <f t="shared" si="351"/>
        <v/>
      </c>
      <c r="N1100" t="str">
        <f t="shared" si="352"/>
        <v/>
      </c>
      <c r="O1100" t="str">
        <f t="shared" si="353"/>
        <v/>
      </c>
      <c r="P1100" t="str">
        <f t="shared" si="354"/>
        <v/>
      </c>
      <c r="Q1100" t="str">
        <f t="shared" si="355"/>
        <v/>
      </c>
      <c r="R1100" t="str">
        <f t="shared" si="356"/>
        <v/>
      </c>
      <c r="S1100" t="str">
        <f t="shared" si="357"/>
        <v/>
      </c>
      <c r="T1100" t="str">
        <f t="shared" si="358"/>
        <v/>
      </c>
      <c r="U1100" t="str">
        <f t="shared" si="359"/>
        <v/>
      </c>
      <c r="V1100" t="str">
        <f t="shared" si="360"/>
        <v/>
      </c>
      <c r="W1100" t="str">
        <f t="shared" si="343"/>
        <v xml:space="preserve">              </v>
      </c>
    </row>
    <row r="1101" spans="1:23" customFormat="1" hidden="1">
      <c r="A1101" t="b">
        <f t="shared" si="342"/>
        <v>0</v>
      </c>
      <c r="B1101">
        <f t="shared" si="344"/>
        <v>1100</v>
      </c>
      <c r="C1101" t="s">
        <v>981</v>
      </c>
      <c r="D1101" t="s">
        <v>1085</v>
      </c>
      <c r="E1101">
        <f t="shared" si="341"/>
        <v>33</v>
      </c>
      <c r="G1101">
        <f t="shared" si="345"/>
        <v>5</v>
      </c>
      <c r="H1101" t="str">
        <f t="shared" si="346"/>
        <v/>
      </c>
      <c r="I1101" t="str">
        <f t="shared" si="347"/>
        <v/>
      </c>
      <c r="J1101" t="str">
        <f t="shared" si="348"/>
        <v/>
      </c>
      <c r="K1101" t="str">
        <f t="shared" si="349"/>
        <v/>
      </c>
      <c r="L1101" t="str">
        <f t="shared" si="350"/>
        <v/>
      </c>
      <c r="M1101" t="str">
        <f t="shared" si="351"/>
        <v/>
      </c>
      <c r="N1101" t="str">
        <f t="shared" si="352"/>
        <v/>
      </c>
      <c r="O1101" t="str">
        <f t="shared" si="353"/>
        <v/>
      </c>
      <c r="P1101" t="str">
        <f t="shared" si="354"/>
        <v/>
      </c>
      <c r="Q1101" t="str">
        <f t="shared" si="355"/>
        <v/>
      </c>
      <c r="R1101" t="str">
        <f t="shared" si="356"/>
        <v/>
      </c>
      <c r="S1101" t="str">
        <f t="shared" si="357"/>
        <v/>
      </c>
      <c r="T1101" t="str">
        <f t="shared" si="358"/>
        <v/>
      </c>
      <c r="U1101" t="str">
        <f t="shared" si="359"/>
        <v/>
      </c>
      <c r="V1101" t="str">
        <f t="shared" si="360"/>
        <v/>
      </c>
      <c r="W1101" t="str">
        <f t="shared" si="343"/>
        <v xml:space="preserve">              </v>
      </c>
    </row>
    <row r="1102" spans="1:23" hidden="1">
      <c r="A1102" s="71" t="b">
        <f t="shared" si="342"/>
        <v>0</v>
      </c>
      <c r="B1102" s="71">
        <f t="shared" si="344"/>
        <v>1101</v>
      </c>
      <c r="C1102" s="71" t="s">
        <v>981</v>
      </c>
      <c r="D1102" s="71" t="s">
        <v>1086</v>
      </c>
      <c r="E1102">
        <f t="shared" si="341"/>
        <v>20</v>
      </c>
      <c r="F1102">
        <v>1</v>
      </c>
      <c r="G1102">
        <f t="shared" si="345"/>
        <v>1</v>
      </c>
      <c r="H1102" t="str">
        <f t="shared" si="346"/>
        <v>Political interfaces</v>
      </c>
      <c r="I1102" t="str">
        <f t="shared" si="347"/>
        <v>The hidden goals, personal agendas, and</v>
      </c>
      <c r="J1102" t="str">
        <f t="shared" si="348"/>
        <v>alliances among the project team members and</v>
      </c>
      <c r="K1102" t="str">
        <f t="shared" si="349"/>
        <v>the stakeholders.</v>
      </c>
      <c r="L1102" t="str">
        <f t="shared" si="350"/>
        <v/>
      </c>
      <c r="M1102" t="str">
        <f t="shared" si="351"/>
        <v/>
      </c>
      <c r="N1102" t="str">
        <f t="shared" si="352"/>
        <v/>
      </c>
      <c r="O1102" t="str">
        <f t="shared" si="353"/>
        <v/>
      </c>
      <c r="P1102" t="str">
        <f t="shared" si="354"/>
        <v/>
      </c>
      <c r="Q1102" t="str">
        <f t="shared" si="355"/>
        <v/>
      </c>
      <c r="R1102" t="str">
        <f t="shared" si="356"/>
        <v/>
      </c>
      <c r="S1102" t="str">
        <f t="shared" si="357"/>
        <v/>
      </c>
      <c r="T1102" t="str">
        <f t="shared" si="358"/>
        <v/>
      </c>
      <c r="U1102" t="str">
        <f t="shared" si="359"/>
        <v/>
      </c>
      <c r="V1102" t="str">
        <f t="shared" si="360"/>
        <v/>
      </c>
      <c r="W1102" s="71" t="str">
        <f>CONCATENATE(H1102," ",I1102," ",J1102," ",K1102," ",L1102," ",M1102," ",N1102," ",O1102," ",P1102," ",Q1102," ",R1102," ",S1102," ",T1102," ",U1102," ",V1102)</f>
        <v xml:space="preserve">Political interfaces The hidden goals, personal agendas, and alliances among the project team members and the stakeholders.           </v>
      </c>
    </row>
    <row r="1103" spans="1:23" customFormat="1" hidden="1">
      <c r="A1103" t="b">
        <f t="shared" si="342"/>
        <v>0</v>
      </c>
      <c r="B1103">
        <f t="shared" si="344"/>
        <v>1102</v>
      </c>
      <c r="C1103" t="s">
        <v>981</v>
      </c>
      <c r="D1103" t="s">
        <v>1087</v>
      </c>
      <c r="E1103">
        <f t="shared" si="341"/>
        <v>39</v>
      </c>
      <c r="G1103">
        <f t="shared" si="345"/>
        <v>2</v>
      </c>
      <c r="H1103" t="str">
        <f t="shared" si="346"/>
        <v/>
      </c>
      <c r="I1103" t="str">
        <f t="shared" si="347"/>
        <v/>
      </c>
      <c r="J1103" t="str">
        <f t="shared" si="348"/>
        <v/>
      </c>
      <c r="K1103" t="str">
        <f t="shared" si="349"/>
        <v/>
      </c>
      <c r="L1103" t="str">
        <f t="shared" si="350"/>
        <v/>
      </c>
      <c r="M1103" t="str">
        <f t="shared" si="351"/>
        <v/>
      </c>
      <c r="N1103" t="str">
        <f t="shared" si="352"/>
        <v/>
      </c>
      <c r="O1103" t="str">
        <f t="shared" si="353"/>
        <v/>
      </c>
      <c r="P1103" t="str">
        <f t="shared" si="354"/>
        <v/>
      </c>
      <c r="Q1103" t="str">
        <f t="shared" si="355"/>
        <v/>
      </c>
      <c r="R1103" t="str">
        <f t="shared" si="356"/>
        <v/>
      </c>
      <c r="S1103" t="str">
        <f t="shared" si="357"/>
        <v/>
      </c>
      <c r="T1103" t="str">
        <f t="shared" si="358"/>
        <v/>
      </c>
      <c r="U1103" t="str">
        <f t="shared" si="359"/>
        <v/>
      </c>
      <c r="V1103" t="str">
        <f t="shared" si="360"/>
        <v/>
      </c>
      <c r="W1103" t="str">
        <f t="shared" si="343"/>
        <v xml:space="preserve">              </v>
      </c>
    </row>
    <row r="1104" spans="1:23" customFormat="1" hidden="1">
      <c r="A1104" t="b">
        <f t="shared" si="342"/>
        <v>0</v>
      </c>
      <c r="B1104">
        <f t="shared" si="344"/>
        <v>1103</v>
      </c>
      <c r="C1104" t="s">
        <v>981</v>
      </c>
      <c r="D1104" t="s">
        <v>1088</v>
      </c>
      <c r="E1104">
        <f t="shared" si="341"/>
        <v>44</v>
      </c>
      <c r="G1104">
        <f t="shared" si="345"/>
        <v>3</v>
      </c>
      <c r="H1104" t="str">
        <f t="shared" si="346"/>
        <v/>
      </c>
      <c r="I1104" t="str">
        <f t="shared" si="347"/>
        <v/>
      </c>
      <c r="J1104" t="str">
        <f t="shared" si="348"/>
        <v/>
      </c>
      <c r="K1104" t="str">
        <f t="shared" si="349"/>
        <v/>
      </c>
      <c r="L1104" t="str">
        <f t="shared" si="350"/>
        <v/>
      </c>
      <c r="M1104" t="str">
        <f t="shared" si="351"/>
        <v/>
      </c>
      <c r="N1104" t="str">
        <f t="shared" si="352"/>
        <v/>
      </c>
      <c r="O1104" t="str">
        <f t="shared" si="353"/>
        <v/>
      </c>
      <c r="P1104" t="str">
        <f t="shared" si="354"/>
        <v/>
      </c>
      <c r="Q1104" t="str">
        <f t="shared" si="355"/>
        <v/>
      </c>
      <c r="R1104" t="str">
        <f t="shared" si="356"/>
        <v/>
      </c>
      <c r="S1104" t="str">
        <f t="shared" si="357"/>
        <v/>
      </c>
      <c r="T1104" t="str">
        <f t="shared" si="358"/>
        <v/>
      </c>
      <c r="U1104" t="str">
        <f t="shared" si="359"/>
        <v/>
      </c>
      <c r="V1104" t="str">
        <f t="shared" si="360"/>
        <v/>
      </c>
      <c r="W1104" t="str">
        <f t="shared" si="343"/>
        <v xml:space="preserve">              </v>
      </c>
    </row>
    <row r="1105" spans="1:23" customFormat="1" hidden="1">
      <c r="A1105" t="b">
        <f t="shared" si="342"/>
        <v>0</v>
      </c>
      <c r="B1105">
        <f t="shared" si="344"/>
        <v>1104</v>
      </c>
      <c r="C1105" t="s">
        <v>981</v>
      </c>
      <c r="D1105" t="s">
        <v>484</v>
      </c>
      <c r="E1105">
        <f t="shared" si="341"/>
        <v>17</v>
      </c>
      <c r="G1105">
        <f t="shared" si="345"/>
        <v>4</v>
      </c>
      <c r="H1105" t="str">
        <f t="shared" si="346"/>
        <v/>
      </c>
      <c r="I1105" t="str">
        <f t="shared" si="347"/>
        <v/>
      </c>
      <c r="J1105" t="str">
        <f t="shared" si="348"/>
        <v/>
      </c>
      <c r="K1105" t="str">
        <f t="shared" si="349"/>
        <v/>
      </c>
      <c r="L1105" t="str">
        <f t="shared" si="350"/>
        <v/>
      </c>
      <c r="M1105" t="str">
        <f t="shared" si="351"/>
        <v/>
      </c>
      <c r="N1105" t="str">
        <f t="shared" si="352"/>
        <v/>
      </c>
      <c r="O1105" t="str">
        <f t="shared" si="353"/>
        <v/>
      </c>
      <c r="P1105" t="str">
        <f t="shared" si="354"/>
        <v/>
      </c>
      <c r="Q1105" t="str">
        <f t="shared" si="355"/>
        <v/>
      </c>
      <c r="R1105" t="str">
        <f t="shared" si="356"/>
        <v/>
      </c>
      <c r="S1105" t="str">
        <f t="shared" si="357"/>
        <v/>
      </c>
      <c r="T1105" t="str">
        <f t="shared" si="358"/>
        <v/>
      </c>
      <c r="U1105" t="str">
        <f t="shared" si="359"/>
        <v/>
      </c>
      <c r="V1105" t="str">
        <f t="shared" si="360"/>
        <v/>
      </c>
      <c r="W1105" t="str">
        <f t="shared" si="343"/>
        <v xml:space="preserve">              </v>
      </c>
    </row>
    <row r="1106" spans="1:23" hidden="1">
      <c r="A1106" s="71" t="b">
        <f t="shared" si="342"/>
        <v>0</v>
      </c>
      <c r="B1106" s="71">
        <f t="shared" si="344"/>
        <v>1105</v>
      </c>
      <c r="C1106" s="71" t="s">
        <v>981</v>
      </c>
      <c r="D1106" s="71" t="s">
        <v>1089</v>
      </c>
      <c r="E1106">
        <f t="shared" si="341"/>
        <v>10</v>
      </c>
      <c r="F1106">
        <v>1</v>
      </c>
      <c r="G1106">
        <f t="shared" si="345"/>
        <v>1</v>
      </c>
      <c r="H1106" t="str">
        <f t="shared" si="346"/>
        <v>RACI chart</v>
      </c>
      <c r="I1106" t="str">
        <f t="shared" si="347"/>
        <v>A RACI chart is a matrix chart that only uses the</v>
      </c>
      <c r="J1106" t="str">
        <f t="shared" si="348"/>
        <v>activities of responsible, accountable, consult,</v>
      </c>
      <c r="K1106" t="str">
        <f t="shared" si="349"/>
        <v>and inform.</v>
      </c>
      <c r="L1106" t="str">
        <f t="shared" si="350"/>
        <v/>
      </c>
      <c r="M1106" t="str">
        <f t="shared" si="351"/>
        <v/>
      </c>
      <c r="N1106" t="str">
        <f t="shared" si="352"/>
        <v/>
      </c>
      <c r="O1106" t="str">
        <f t="shared" si="353"/>
        <v/>
      </c>
      <c r="P1106" t="str">
        <f t="shared" si="354"/>
        <v/>
      </c>
      <c r="Q1106" t="str">
        <f t="shared" si="355"/>
        <v/>
      </c>
      <c r="R1106" t="str">
        <f t="shared" si="356"/>
        <v/>
      </c>
      <c r="S1106" t="str">
        <f t="shared" si="357"/>
        <v/>
      </c>
      <c r="T1106" t="str">
        <f t="shared" si="358"/>
        <v/>
      </c>
      <c r="U1106" t="str">
        <f t="shared" si="359"/>
        <v/>
      </c>
      <c r="V1106" t="str">
        <f t="shared" si="360"/>
        <v/>
      </c>
      <c r="W1106" s="71" t="str">
        <f>CONCATENATE(H1106," ",I1106," ",J1106," ",K1106," ",L1106," ",M1106," ",N1106," ",O1106," ",P1106," ",Q1106," ",R1106," ",S1106," ",T1106," ",U1106," ",V1106)</f>
        <v xml:space="preserve">RACI chart A RACI chart is a matrix chart that only uses the activities of responsible, accountable, consult, and inform.           </v>
      </c>
    </row>
    <row r="1107" spans="1:23" customFormat="1" hidden="1">
      <c r="A1107" t="b">
        <f t="shared" si="342"/>
        <v>0</v>
      </c>
      <c r="B1107">
        <f t="shared" si="344"/>
        <v>1106</v>
      </c>
      <c r="C1107" t="s">
        <v>981</v>
      </c>
      <c r="D1107" t="s">
        <v>1090</v>
      </c>
      <c r="E1107">
        <f t="shared" si="341"/>
        <v>49</v>
      </c>
      <c r="G1107">
        <f t="shared" si="345"/>
        <v>2</v>
      </c>
      <c r="H1107" t="str">
        <f t="shared" si="346"/>
        <v/>
      </c>
      <c r="I1107" t="str">
        <f t="shared" si="347"/>
        <v/>
      </c>
      <c r="J1107" t="str">
        <f t="shared" si="348"/>
        <v/>
      </c>
      <c r="K1107" t="str">
        <f t="shared" si="349"/>
        <v/>
      </c>
      <c r="L1107" t="str">
        <f t="shared" si="350"/>
        <v/>
      </c>
      <c r="M1107" t="str">
        <f t="shared" si="351"/>
        <v/>
      </c>
      <c r="N1107" t="str">
        <f t="shared" si="352"/>
        <v/>
      </c>
      <c r="O1107" t="str">
        <f t="shared" si="353"/>
        <v/>
      </c>
      <c r="P1107" t="str">
        <f t="shared" si="354"/>
        <v/>
      </c>
      <c r="Q1107" t="str">
        <f t="shared" si="355"/>
        <v/>
      </c>
      <c r="R1107" t="str">
        <f t="shared" si="356"/>
        <v/>
      </c>
      <c r="S1107" t="str">
        <f t="shared" si="357"/>
        <v/>
      </c>
      <c r="T1107" t="str">
        <f t="shared" si="358"/>
        <v/>
      </c>
      <c r="U1107" t="str">
        <f t="shared" si="359"/>
        <v/>
      </c>
      <c r="V1107" t="str">
        <f t="shared" si="360"/>
        <v/>
      </c>
      <c r="W1107" t="str">
        <f t="shared" si="343"/>
        <v xml:space="preserve">              </v>
      </c>
    </row>
    <row r="1108" spans="1:23" customFormat="1" hidden="1">
      <c r="A1108" t="b">
        <f t="shared" si="342"/>
        <v>0</v>
      </c>
      <c r="B1108">
        <f t="shared" si="344"/>
        <v>1107</v>
      </c>
      <c r="C1108" t="s">
        <v>981</v>
      </c>
      <c r="D1108" t="s">
        <v>1091</v>
      </c>
      <c r="E1108">
        <f t="shared" si="341"/>
        <v>48</v>
      </c>
      <c r="G1108">
        <f t="shared" si="345"/>
        <v>3</v>
      </c>
      <c r="H1108" t="str">
        <f t="shared" si="346"/>
        <v/>
      </c>
      <c r="I1108" t="str">
        <f t="shared" si="347"/>
        <v/>
      </c>
      <c r="J1108" t="str">
        <f t="shared" si="348"/>
        <v/>
      </c>
      <c r="K1108" t="str">
        <f t="shared" si="349"/>
        <v/>
      </c>
      <c r="L1108" t="str">
        <f t="shared" si="350"/>
        <v/>
      </c>
      <c r="M1108" t="str">
        <f t="shared" si="351"/>
        <v/>
      </c>
      <c r="N1108" t="str">
        <f t="shared" si="352"/>
        <v/>
      </c>
      <c r="O1108" t="str">
        <f t="shared" si="353"/>
        <v/>
      </c>
      <c r="P1108" t="str">
        <f t="shared" si="354"/>
        <v/>
      </c>
      <c r="Q1108" t="str">
        <f t="shared" si="355"/>
        <v/>
      </c>
      <c r="R1108" t="str">
        <f t="shared" si="356"/>
        <v/>
      </c>
      <c r="S1108" t="str">
        <f t="shared" si="357"/>
        <v/>
      </c>
      <c r="T1108" t="str">
        <f t="shared" si="358"/>
        <v/>
      </c>
      <c r="U1108" t="str">
        <f t="shared" si="359"/>
        <v/>
      </c>
      <c r="V1108" t="str">
        <f t="shared" si="360"/>
        <v/>
      </c>
      <c r="W1108" t="str">
        <f t="shared" si="343"/>
        <v xml:space="preserve">              </v>
      </c>
    </row>
    <row r="1109" spans="1:23" customFormat="1" hidden="1">
      <c r="A1109" t="b">
        <f t="shared" si="342"/>
        <v>0</v>
      </c>
      <c r="B1109">
        <f t="shared" si="344"/>
        <v>1108</v>
      </c>
      <c r="C1109" t="s">
        <v>981</v>
      </c>
      <c r="D1109" t="s">
        <v>1092</v>
      </c>
      <c r="E1109">
        <f t="shared" si="341"/>
        <v>11</v>
      </c>
      <c r="G1109">
        <f t="shared" si="345"/>
        <v>4</v>
      </c>
      <c r="H1109" t="str">
        <f t="shared" si="346"/>
        <v/>
      </c>
      <c r="I1109" t="str">
        <f t="shared" si="347"/>
        <v/>
      </c>
      <c r="J1109" t="str">
        <f t="shared" si="348"/>
        <v/>
      </c>
      <c r="K1109" t="str">
        <f t="shared" si="349"/>
        <v/>
      </c>
      <c r="L1109" t="str">
        <f t="shared" si="350"/>
        <v/>
      </c>
      <c r="M1109" t="str">
        <f t="shared" si="351"/>
        <v/>
      </c>
      <c r="N1109" t="str">
        <f t="shared" si="352"/>
        <v/>
      </c>
      <c r="O1109" t="str">
        <f t="shared" si="353"/>
        <v/>
      </c>
      <c r="P1109" t="str">
        <f t="shared" si="354"/>
        <v/>
      </c>
      <c r="Q1109" t="str">
        <f t="shared" si="355"/>
        <v/>
      </c>
      <c r="R1109" t="str">
        <f t="shared" si="356"/>
        <v/>
      </c>
      <c r="S1109" t="str">
        <f t="shared" si="357"/>
        <v/>
      </c>
      <c r="T1109" t="str">
        <f t="shared" si="358"/>
        <v/>
      </c>
      <c r="U1109" t="str">
        <f t="shared" si="359"/>
        <v/>
      </c>
      <c r="V1109" t="str">
        <f t="shared" si="360"/>
        <v/>
      </c>
      <c r="W1109" t="str">
        <f t="shared" si="343"/>
        <v xml:space="preserve">              </v>
      </c>
    </row>
    <row r="1110" spans="1:23" hidden="1">
      <c r="A1110" s="71" t="b">
        <f t="shared" si="342"/>
        <v>0</v>
      </c>
      <c r="B1110" s="71">
        <f t="shared" si="344"/>
        <v>1109</v>
      </c>
      <c r="C1110" s="71" t="s">
        <v>981</v>
      </c>
      <c r="D1110" s="71" t="s">
        <v>1093</v>
      </c>
      <c r="E1110">
        <f t="shared" si="341"/>
        <v>14</v>
      </c>
      <c r="F1110">
        <v>1</v>
      </c>
      <c r="G1110">
        <f t="shared" si="345"/>
        <v>1</v>
      </c>
      <c r="H1110" t="str">
        <f t="shared" si="346"/>
        <v>Referent power</v>
      </c>
      <c r="I1110" t="str">
        <f t="shared" si="347"/>
        <v>The project team personally knows the project</v>
      </c>
      <c r="J1110" t="str">
        <f t="shared" si="348"/>
        <v>manager. Referent can also mean that the</v>
      </c>
      <c r="K1110" t="str">
        <f t="shared" si="349"/>
        <v>project manager refers to the person who</v>
      </c>
      <c r="L1110" t="str">
        <f t="shared" si="350"/>
        <v>assigned him the position.</v>
      </c>
      <c r="M1110" t="str">
        <f t="shared" si="351"/>
        <v/>
      </c>
      <c r="N1110" t="str">
        <f t="shared" si="352"/>
        <v/>
      </c>
      <c r="O1110" t="str">
        <f t="shared" si="353"/>
        <v/>
      </c>
      <c r="P1110" t="str">
        <f t="shared" si="354"/>
        <v/>
      </c>
      <c r="Q1110" t="str">
        <f t="shared" si="355"/>
        <v/>
      </c>
      <c r="R1110" t="str">
        <f t="shared" si="356"/>
        <v/>
      </c>
      <c r="S1110" t="str">
        <f t="shared" si="357"/>
        <v/>
      </c>
      <c r="T1110" t="str">
        <f t="shared" si="358"/>
        <v/>
      </c>
      <c r="U1110" t="str">
        <f t="shared" si="359"/>
        <v/>
      </c>
      <c r="V1110" t="str">
        <f t="shared" si="360"/>
        <v/>
      </c>
      <c r="W1110" s="71" t="str">
        <f>CONCATENATE(H1110," ",I1110," ",J1110," ",K1110," ",L1110," ",M1110," ",N1110," ",O1110," ",P1110," ",Q1110," ",R1110," ",S1110," ",T1110," ",U1110," ",V1110)</f>
        <v xml:space="preserve">Referent power The project team personally knows the project manager. Referent can also mean that the project manager refers to the person who assigned him the position.          </v>
      </c>
    </row>
    <row r="1111" spans="1:23" customFormat="1" hidden="1">
      <c r="A1111" t="b">
        <f t="shared" si="342"/>
        <v>0</v>
      </c>
      <c r="B1111">
        <f t="shared" si="344"/>
        <v>1110</v>
      </c>
      <c r="C1111" t="s">
        <v>981</v>
      </c>
      <c r="D1111" t="s">
        <v>1094</v>
      </c>
      <c r="E1111">
        <f t="shared" si="341"/>
        <v>45</v>
      </c>
      <c r="G1111">
        <f t="shared" si="345"/>
        <v>2</v>
      </c>
      <c r="H1111" t="str">
        <f t="shared" si="346"/>
        <v/>
      </c>
      <c r="I1111" t="str">
        <f t="shared" si="347"/>
        <v/>
      </c>
      <c r="J1111" t="str">
        <f t="shared" si="348"/>
        <v/>
      </c>
      <c r="K1111" t="str">
        <f t="shared" si="349"/>
        <v/>
      </c>
      <c r="L1111" t="str">
        <f t="shared" si="350"/>
        <v/>
      </c>
      <c r="M1111" t="str">
        <f t="shared" si="351"/>
        <v/>
      </c>
      <c r="N1111" t="str">
        <f t="shared" si="352"/>
        <v/>
      </c>
      <c r="O1111" t="str">
        <f t="shared" si="353"/>
        <v/>
      </c>
      <c r="P1111" t="str">
        <f t="shared" si="354"/>
        <v/>
      </c>
      <c r="Q1111" t="str">
        <f t="shared" si="355"/>
        <v/>
      </c>
      <c r="R1111" t="str">
        <f t="shared" si="356"/>
        <v/>
      </c>
      <c r="S1111" t="str">
        <f t="shared" si="357"/>
        <v/>
      </c>
      <c r="T1111" t="str">
        <f t="shared" si="358"/>
        <v/>
      </c>
      <c r="U1111" t="str">
        <f t="shared" si="359"/>
        <v/>
      </c>
      <c r="V1111" t="str">
        <f t="shared" si="360"/>
        <v/>
      </c>
      <c r="W1111" t="str">
        <f t="shared" si="343"/>
        <v xml:space="preserve">              </v>
      </c>
    </row>
    <row r="1112" spans="1:23" customFormat="1" hidden="1">
      <c r="A1112" t="b">
        <f t="shared" si="342"/>
        <v>0</v>
      </c>
      <c r="B1112">
        <f t="shared" si="344"/>
        <v>1111</v>
      </c>
      <c r="C1112" t="s">
        <v>981</v>
      </c>
      <c r="D1112" t="s">
        <v>1095</v>
      </c>
      <c r="E1112">
        <f t="shared" si="341"/>
        <v>40</v>
      </c>
      <c r="G1112">
        <f t="shared" si="345"/>
        <v>3</v>
      </c>
      <c r="H1112" t="str">
        <f t="shared" si="346"/>
        <v/>
      </c>
      <c r="I1112" t="str">
        <f t="shared" si="347"/>
        <v/>
      </c>
      <c r="J1112" t="str">
        <f t="shared" si="348"/>
        <v/>
      </c>
      <c r="K1112" t="str">
        <f t="shared" si="349"/>
        <v/>
      </c>
      <c r="L1112" t="str">
        <f t="shared" si="350"/>
        <v/>
      </c>
      <c r="M1112" t="str">
        <f t="shared" si="351"/>
        <v/>
      </c>
      <c r="N1112" t="str">
        <f t="shared" si="352"/>
        <v/>
      </c>
      <c r="O1112" t="str">
        <f t="shared" si="353"/>
        <v/>
      </c>
      <c r="P1112" t="str">
        <f t="shared" si="354"/>
        <v/>
      </c>
      <c r="Q1112" t="str">
        <f t="shared" si="355"/>
        <v/>
      </c>
      <c r="R1112" t="str">
        <f t="shared" si="356"/>
        <v/>
      </c>
      <c r="S1112" t="str">
        <f t="shared" si="357"/>
        <v/>
      </c>
      <c r="T1112" t="str">
        <f t="shared" si="358"/>
        <v/>
      </c>
      <c r="U1112" t="str">
        <f t="shared" si="359"/>
        <v/>
      </c>
      <c r="V1112" t="str">
        <f t="shared" si="360"/>
        <v/>
      </c>
      <c r="W1112" t="str">
        <f t="shared" si="343"/>
        <v xml:space="preserve">              </v>
      </c>
    </row>
    <row r="1113" spans="1:23" customFormat="1" hidden="1">
      <c r="A1113" t="b">
        <f t="shared" si="342"/>
        <v>0</v>
      </c>
      <c r="B1113">
        <f t="shared" si="344"/>
        <v>1112</v>
      </c>
      <c r="C1113" t="s">
        <v>981</v>
      </c>
      <c r="D1113" t="s">
        <v>1096</v>
      </c>
      <c r="E1113">
        <f t="shared" si="341"/>
        <v>40</v>
      </c>
      <c r="G1113">
        <f t="shared" si="345"/>
        <v>4</v>
      </c>
      <c r="H1113" t="str">
        <f t="shared" si="346"/>
        <v/>
      </c>
      <c r="I1113" t="str">
        <f t="shared" si="347"/>
        <v/>
      </c>
      <c r="J1113" t="str">
        <f t="shared" si="348"/>
        <v/>
      </c>
      <c r="K1113" t="str">
        <f t="shared" si="349"/>
        <v/>
      </c>
      <c r="L1113" t="str">
        <f t="shared" si="350"/>
        <v/>
      </c>
      <c r="M1113" t="str">
        <f t="shared" si="351"/>
        <v/>
      </c>
      <c r="N1113" t="str">
        <f t="shared" si="352"/>
        <v/>
      </c>
      <c r="O1113" t="str">
        <f t="shared" si="353"/>
        <v/>
      </c>
      <c r="P1113" t="str">
        <f t="shared" si="354"/>
        <v/>
      </c>
      <c r="Q1113" t="str">
        <f t="shared" si="355"/>
        <v/>
      </c>
      <c r="R1113" t="str">
        <f t="shared" si="356"/>
        <v/>
      </c>
      <c r="S1113" t="str">
        <f t="shared" si="357"/>
        <v/>
      </c>
      <c r="T1113" t="str">
        <f t="shared" si="358"/>
        <v/>
      </c>
      <c r="U1113" t="str">
        <f t="shared" si="359"/>
        <v/>
      </c>
      <c r="V1113" t="str">
        <f t="shared" si="360"/>
        <v/>
      </c>
      <c r="W1113" t="str">
        <f t="shared" si="343"/>
        <v xml:space="preserve">              </v>
      </c>
    </row>
    <row r="1114" spans="1:23" customFormat="1" hidden="1">
      <c r="A1114" t="b">
        <f t="shared" si="342"/>
        <v>0</v>
      </c>
      <c r="B1114">
        <f t="shared" si="344"/>
        <v>1113</v>
      </c>
      <c r="C1114" t="s">
        <v>981</v>
      </c>
      <c r="D1114" t="s">
        <v>1097</v>
      </c>
      <c r="E1114">
        <f t="shared" si="341"/>
        <v>26</v>
      </c>
      <c r="G1114">
        <f t="shared" si="345"/>
        <v>5</v>
      </c>
      <c r="H1114" t="str">
        <f t="shared" si="346"/>
        <v/>
      </c>
      <c r="I1114" t="str">
        <f t="shared" si="347"/>
        <v/>
      </c>
      <c r="J1114" t="str">
        <f t="shared" si="348"/>
        <v/>
      </c>
      <c r="K1114" t="str">
        <f t="shared" si="349"/>
        <v/>
      </c>
      <c r="L1114" t="str">
        <f t="shared" si="350"/>
        <v/>
      </c>
      <c r="M1114" t="str">
        <f t="shared" si="351"/>
        <v/>
      </c>
      <c r="N1114" t="str">
        <f t="shared" si="352"/>
        <v/>
      </c>
      <c r="O1114" t="str">
        <f t="shared" si="353"/>
        <v/>
      </c>
      <c r="P1114" t="str">
        <f t="shared" si="354"/>
        <v/>
      </c>
      <c r="Q1114" t="str">
        <f t="shared" si="355"/>
        <v/>
      </c>
      <c r="R1114" t="str">
        <f t="shared" si="356"/>
        <v/>
      </c>
      <c r="S1114" t="str">
        <f t="shared" si="357"/>
        <v/>
      </c>
      <c r="T1114" t="str">
        <f t="shared" si="358"/>
        <v/>
      </c>
      <c r="U1114" t="str">
        <f t="shared" si="359"/>
        <v/>
      </c>
      <c r="V1114" t="str">
        <f t="shared" si="360"/>
        <v/>
      </c>
      <c r="W1114" t="str">
        <f t="shared" si="343"/>
        <v xml:space="preserve">              </v>
      </c>
    </row>
    <row r="1115" spans="1:23" hidden="1">
      <c r="A1115" s="71" t="b">
        <f t="shared" si="342"/>
        <v>0</v>
      </c>
      <c r="B1115" s="71">
        <f t="shared" si="344"/>
        <v>1114</v>
      </c>
      <c r="C1115" s="71" t="s">
        <v>981</v>
      </c>
      <c r="D1115" s="71" t="s">
        <v>624</v>
      </c>
      <c r="E1115">
        <f t="shared" si="341"/>
        <v>34</v>
      </c>
      <c r="F1115">
        <v>1</v>
      </c>
      <c r="G1115">
        <f t="shared" si="345"/>
        <v>1</v>
      </c>
      <c r="H1115" t="str">
        <f t="shared" si="346"/>
        <v>Resource breakdown structure (RBS)</v>
      </c>
      <c r="I1115" t="str">
        <f t="shared" si="347"/>
        <v>This hierarchical chart can decompose the</v>
      </c>
      <c r="J1115" t="str">
        <f t="shared" si="348"/>
        <v>project by the type of resources used throughout</v>
      </c>
      <c r="K1115" t="str">
        <f t="shared" si="349"/>
        <v>it.</v>
      </c>
      <c r="L1115" t="str">
        <f t="shared" si="350"/>
        <v/>
      </c>
      <c r="M1115" t="str">
        <f t="shared" si="351"/>
        <v/>
      </c>
      <c r="N1115" t="str">
        <f t="shared" si="352"/>
        <v/>
      </c>
      <c r="O1115" t="str">
        <f t="shared" si="353"/>
        <v/>
      </c>
      <c r="P1115" t="str">
        <f t="shared" si="354"/>
        <v/>
      </c>
      <c r="Q1115" t="str">
        <f t="shared" si="355"/>
        <v/>
      </c>
      <c r="R1115" t="str">
        <f t="shared" si="356"/>
        <v/>
      </c>
      <c r="S1115" t="str">
        <f t="shared" si="357"/>
        <v/>
      </c>
      <c r="T1115" t="str">
        <f t="shared" si="358"/>
        <v/>
      </c>
      <c r="U1115" t="str">
        <f t="shared" si="359"/>
        <v/>
      </c>
      <c r="V1115" t="str">
        <f t="shared" si="360"/>
        <v/>
      </c>
      <c r="W1115" s="71" t="str">
        <f>CONCATENATE(H1115," ",I1115," ",J1115," ",K1115," ",L1115," ",M1115," ",N1115," ",O1115," ",P1115," ",Q1115," ",R1115," ",S1115," ",T1115," ",U1115," ",V1115)</f>
        <v xml:space="preserve">Resource breakdown structure (RBS) This hierarchical chart can decompose the project by the type of resources used throughout it.           </v>
      </c>
    </row>
    <row r="1116" spans="1:23" customFormat="1" hidden="1">
      <c r="A1116" t="b">
        <f t="shared" si="342"/>
        <v>0</v>
      </c>
      <c r="B1116">
        <f t="shared" si="344"/>
        <v>1115</v>
      </c>
      <c r="C1116" t="s">
        <v>981</v>
      </c>
      <c r="D1116" t="s">
        <v>1098</v>
      </c>
      <c r="E1116">
        <f t="shared" si="341"/>
        <v>41</v>
      </c>
      <c r="G1116">
        <f t="shared" si="345"/>
        <v>2</v>
      </c>
      <c r="H1116" t="str">
        <f t="shared" si="346"/>
        <v/>
      </c>
      <c r="I1116" t="str">
        <f t="shared" si="347"/>
        <v/>
      </c>
      <c r="J1116" t="str">
        <f t="shared" si="348"/>
        <v/>
      </c>
      <c r="K1116" t="str">
        <f t="shared" si="349"/>
        <v/>
      </c>
      <c r="L1116" t="str">
        <f t="shared" si="350"/>
        <v/>
      </c>
      <c r="M1116" t="str">
        <f t="shared" si="351"/>
        <v/>
      </c>
      <c r="N1116" t="str">
        <f t="shared" si="352"/>
        <v/>
      </c>
      <c r="O1116" t="str">
        <f t="shared" si="353"/>
        <v/>
      </c>
      <c r="P1116" t="str">
        <f t="shared" si="354"/>
        <v/>
      </c>
      <c r="Q1116" t="str">
        <f t="shared" si="355"/>
        <v/>
      </c>
      <c r="R1116" t="str">
        <f t="shared" si="356"/>
        <v/>
      </c>
      <c r="S1116" t="str">
        <f t="shared" si="357"/>
        <v/>
      </c>
      <c r="T1116" t="str">
        <f t="shared" si="358"/>
        <v/>
      </c>
      <c r="U1116" t="str">
        <f t="shared" si="359"/>
        <v/>
      </c>
      <c r="V1116" t="str">
        <f t="shared" si="360"/>
        <v/>
      </c>
      <c r="W1116" t="str">
        <f t="shared" si="343"/>
        <v xml:space="preserve">              </v>
      </c>
    </row>
    <row r="1117" spans="1:23" customFormat="1" hidden="1">
      <c r="A1117" t="b">
        <f t="shared" si="342"/>
        <v>0</v>
      </c>
      <c r="B1117">
        <f t="shared" si="344"/>
        <v>1116</v>
      </c>
      <c r="C1117" t="s">
        <v>981</v>
      </c>
      <c r="D1117" t="s">
        <v>1099</v>
      </c>
      <c r="E1117">
        <f t="shared" si="341"/>
        <v>48</v>
      </c>
      <c r="G1117">
        <f t="shared" si="345"/>
        <v>3</v>
      </c>
      <c r="H1117" t="str">
        <f t="shared" si="346"/>
        <v/>
      </c>
      <c r="I1117" t="str">
        <f t="shared" si="347"/>
        <v/>
      </c>
      <c r="J1117" t="str">
        <f t="shared" si="348"/>
        <v/>
      </c>
      <c r="K1117" t="str">
        <f t="shared" si="349"/>
        <v/>
      </c>
      <c r="L1117" t="str">
        <f t="shared" si="350"/>
        <v/>
      </c>
      <c r="M1117" t="str">
        <f t="shared" si="351"/>
        <v/>
      </c>
      <c r="N1117" t="str">
        <f t="shared" si="352"/>
        <v/>
      </c>
      <c r="O1117" t="str">
        <f t="shared" si="353"/>
        <v/>
      </c>
      <c r="P1117" t="str">
        <f t="shared" si="354"/>
        <v/>
      </c>
      <c r="Q1117" t="str">
        <f t="shared" si="355"/>
        <v/>
      </c>
      <c r="R1117" t="str">
        <f t="shared" si="356"/>
        <v/>
      </c>
      <c r="S1117" t="str">
        <f t="shared" si="357"/>
        <v/>
      </c>
      <c r="T1117" t="str">
        <f t="shared" si="358"/>
        <v/>
      </c>
      <c r="U1117" t="str">
        <f t="shared" si="359"/>
        <v/>
      </c>
      <c r="V1117" t="str">
        <f t="shared" si="360"/>
        <v/>
      </c>
      <c r="W1117" t="str">
        <f t="shared" si="343"/>
        <v xml:space="preserve">              </v>
      </c>
    </row>
    <row r="1118" spans="1:23" customFormat="1" hidden="1">
      <c r="A1118" t="b">
        <f t="shared" si="342"/>
        <v>0</v>
      </c>
      <c r="B1118">
        <f t="shared" si="344"/>
        <v>1117</v>
      </c>
      <c r="C1118" t="s">
        <v>981</v>
      </c>
      <c r="D1118" t="s">
        <v>1100</v>
      </c>
      <c r="E1118">
        <f t="shared" si="341"/>
        <v>3</v>
      </c>
      <c r="G1118">
        <f t="shared" si="345"/>
        <v>4</v>
      </c>
      <c r="H1118" t="str">
        <f t="shared" si="346"/>
        <v/>
      </c>
      <c r="I1118" t="str">
        <f t="shared" si="347"/>
        <v/>
      </c>
      <c r="J1118" t="str">
        <f t="shared" si="348"/>
        <v/>
      </c>
      <c r="K1118" t="str">
        <f t="shared" si="349"/>
        <v/>
      </c>
      <c r="L1118" t="str">
        <f t="shared" si="350"/>
        <v/>
      </c>
      <c r="M1118" t="str">
        <f t="shared" si="351"/>
        <v/>
      </c>
      <c r="N1118" t="str">
        <f t="shared" si="352"/>
        <v/>
      </c>
      <c r="O1118" t="str">
        <f t="shared" si="353"/>
        <v/>
      </c>
      <c r="P1118" t="str">
        <f t="shared" si="354"/>
        <v/>
      </c>
      <c r="Q1118" t="str">
        <f t="shared" si="355"/>
        <v/>
      </c>
      <c r="R1118" t="str">
        <f t="shared" si="356"/>
        <v/>
      </c>
      <c r="S1118" t="str">
        <f t="shared" si="357"/>
        <v/>
      </c>
      <c r="T1118" t="str">
        <f t="shared" si="358"/>
        <v/>
      </c>
      <c r="U1118" t="str">
        <f t="shared" si="359"/>
        <v/>
      </c>
      <c r="V1118" t="str">
        <f t="shared" si="360"/>
        <v/>
      </c>
      <c r="W1118" t="str">
        <f t="shared" si="343"/>
        <v xml:space="preserve">              </v>
      </c>
    </row>
    <row r="1119" spans="1:23" hidden="1">
      <c r="A1119" s="71" t="b">
        <f t="shared" si="342"/>
        <v>0</v>
      </c>
      <c r="B1119" s="71">
        <f t="shared" si="344"/>
        <v>1118</v>
      </c>
      <c r="C1119" s="71" t="s">
        <v>981</v>
      </c>
      <c r="D1119" s="71" t="s">
        <v>1101</v>
      </c>
      <c r="E1119">
        <f t="shared" si="341"/>
        <v>38</v>
      </c>
      <c r="F1119">
        <v>1</v>
      </c>
      <c r="G1119">
        <f t="shared" si="345"/>
        <v>1</v>
      </c>
      <c r="H1119" t="str">
        <f t="shared" si="346"/>
        <v>Responsibility assignment matrix (RAM)</v>
      </c>
      <c r="I1119" t="str">
        <f t="shared" si="347"/>
        <v>A RAM chart shows the correlation between</v>
      </c>
      <c r="J1119" t="str">
        <f t="shared" si="348"/>
        <v>project team members and the work they’ve</v>
      </c>
      <c r="K1119" t="str">
        <f t="shared" si="349"/>
        <v>been assigned to complete.</v>
      </c>
      <c r="L1119" t="str">
        <f t="shared" si="350"/>
        <v>Responsibility A responsibility is the work that a role performs.</v>
      </c>
      <c r="M1119" t="str">
        <f t="shared" si="351"/>
        <v/>
      </c>
      <c r="N1119" t="str">
        <f t="shared" si="352"/>
        <v/>
      </c>
      <c r="O1119" t="str">
        <f t="shared" si="353"/>
        <v/>
      </c>
      <c r="P1119" t="str">
        <f t="shared" si="354"/>
        <v/>
      </c>
      <c r="Q1119" t="str">
        <f t="shared" si="355"/>
        <v/>
      </c>
      <c r="R1119" t="str">
        <f t="shared" si="356"/>
        <v/>
      </c>
      <c r="S1119" t="str">
        <f t="shared" si="357"/>
        <v/>
      </c>
      <c r="T1119" t="str">
        <f t="shared" si="358"/>
        <v/>
      </c>
      <c r="U1119" t="str">
        <f t="shared" si="359"/>
        <v/>
      </c>
      <c r="V1119" t="str">
        <f t="shared" si="360"/>
        <v/>
      </c>
      <c r="W1119" s="71" t="str">
        <f>CONCATENATE(H1119," ",I1119," ",J1119," ",K1119," ",L1119," ",M1119," ",N1119," ",O1119," ",P1119," ",Q1119," ",R1119," ",S1119," ",T1119," ",U1119," ",V1119)</f>
        <v xml:space="preserve">Responsibility assignment matrix (RAM) A RAM chart shows the correlation between project team members and the work they’ve been assigned to complete. Responsibility A responsibility is the work that a role performs.          </v>
      </c>
    </row>
    <row r="1120" spans="1:23" customFormat="1" hidden="1">
      <c r="A1120" t="b">
        <f t="shared" si="342"/>
        <v>0</v>
      </c>
      <c r="B1120">
        <f t="shared" si="344"/>
        <v>1119</v>
      </c>
      <c r="C1120" t="s">
        <v>981</v>
      </c>
      <c r="D1120" t="s">
        <v>1102</v>
      </c>
      <c r="E1120">
        <f t="shared" si="341"/>
        <v>41</v>
      </c>
      <c r="G1120">
        <f t="shared" si="345"/>
        <v>2</v>
      </c>
      <c r="H1120" t="str">
        <f t="shared" si="346"/>
        <v/>
      </c>
      <c r="I1120" t="str">
        <f t="shared" si="347"/>
        <v/>
      </c>
      <c r="J1120" t="str">
        <f t="shared" si="348"/>
        <v/>
      </c>
      <c r="K1120" t="str">
        <f t="shared" si="349"/>
        <v/>
      </c>
      <c r="L1120" t="str">
        <f t="shared" si="350"/>
        <v/>
      </c>
      <c r="M1120" t="str">
        <f t="shared" si="351"/>
        <v/>
      </c>
      <c r="N1120" t="str">
        <f t="shared" si="352"/>
        <v/>
      </c>
      <c r="O1120" t="str">
        <f t="shared" si="353"/>
        <v/>
      </c>
      <c r="P1120" t="str">
        <f t="shared" si="354"/>
        <v/>
      </c>
      <c r="Q1120" t="str">
        <f t="shared" si="355"/>
        <v/>
      </c>
      <c r="R1120" t="str">
        <f t="shared" si="356"/>
        <v/>
      </c>
      <c r="S1120" t="str">
        <f t="shared" si="357"/>
        <v/>
      </c>
      <c r="T1120" t="str">
        <f t="shared" si="358"/>
        <v/>
      </c>
      <c r="U1120" t="str">
        <f t="shared" si="359"/>
        <v/>
      </c>
      <c r="V1120" t="str">
        <f t="shared" si="360"/>
        <v/>
      </c>
      <c r="W1120" t="str">
        <f t="shared" si="343"/>
        <v xml:space="preserve">              </v>
      </c>
    </row>
    <row r="1121" spans="1:23" customFormat="1" hidden="1">
      <c r="A1121" t="b">
        <f t="shared" si="342"/>
        <v>0</v>
      </c>
      <c r="B1121">
        <f t="shared" si="344"/>
        <v>1120</v>
      </c>
      <c r="C1121" t="s">
        <v>981</v>
      </c>
      <c r="D1121" t="s">
        <v>1103</v>
      </c>
      <c r="E1121">
        <f t="shared" si="341"/>
        <v>41</v>
      </c>
      <c r="G1121">
        <f t="shared" si="345"/>
        <v>3</v>
      </c>
      <c r="H1121" t="str">
        <f t="shared" si="346"/>
        <v/>
      </c>
      <c r="I1121" t="str">
        <f t="shared" si="347"/>
        <v/>
      </c>
      <c r="J1121" t="str">
        <f t="shared" si="348"/>
        <v/>
      </c>
      <c r="K1121" t="str">
        <f t="shared" si="349"/>
        <v/>
      </c>
      <c r="L1121" t="str">
        <f t="shared" si="350"/>
        <v/>
      </c>
      <c r="M1121" t="str">
        <f t="shared" si="351"/>
        <v/>
      </c>
      <c r="N1121" t="str">
        <f t="shared" si="352"/>
        <v/>
      </c>
      <c r="O1121" t="str">
        <f t="shared" si="353"/>
        <v/>
      </c>
      <c r="P1121" t="str">
        <f t="shared" si="354"/>
        <v/>
      </c>
      <c r="Q1121" t="str">
        <f t="shared" si="355"/>
        <v/>
      </c>
      <c r="R1121" t="str">
        <f t="shared" si="356"/>
        <v/>
      </c>
      <c r="S1121" t="str">
        <f t="shared" si="357"/>
        <v/>
      </c>
      <c r="T1121" t="str">
        <f t="shared" si="358"/>
        <v/>
      </c>
      <c r="U1121" t="str">
        <f t="shared" si="359"/>
        <v/>
      </c>
      <c r="V1121" t="str">
        <f t="shared" si="360"/>
        <v/>
      </c>
      <c r="W1121" t="str">
        <f t="shared" si="343"/>
        <v xml:space="preserve">              </v>
      </c>
    </row>
    <row r="1122" spans="1:23" customFormat="1" hidden="1">
      <c r="A1122" t="b">
        <f t="shared" si="342"/>
        <v>0</v>
      </c>
      <c r="B1122">
        <f t="shared" si="344"/>
        <v>1121</v>
      </c>
      <c r="C1122" t="s">
        <v>981</v>
      </c>
      <c r="D1122" t="s">
        <v>1104</v>
      </c>
      <c r="E1122">
        <f t="shared" si="341"/>
        <v>26</v>
      </c>
      <c r="G1122">
        <f t="shared" si="345"/>
        <v>4</v>
      </c>
      <c r="H1122" t="str">
        <f t="shared" si="346"/>
        <v/>
      </c>
      <c r="I1122" t="str">
        <f t="shared" si="347"/>
        <v/>
      </c>
      <c r="J1122" t="str">
        <f t="shared" si="348"/>
        <v/>
      </c>
      <c r="K1122" t="str">
        <f t="shared" si="349"/>
        <v/>
      </c>
      <c r="L1122" t="str">
        <f t="shared" si="350"/>
        <v/>
      </c>
      <c r="M1122" t="str">
        <f t="shared" si="351"/>
        <v/>
      </c>
      <c r="N1122" t="str">
        <f t="shared" si="352"/>
        <v/>
      </c>
      <c r="O1122" t="str">
        <f t="shared" si="353"/>
        <v/>
      </c>
      <c r="P1122" t="str">
        <f t="shared" si="354"/>
        <v/>
      </c>
      <c r="Q1122" t="str">
        <f t="shared" si="355"/>
        <v/>
      </c>
      <c r="R1122" t="str">
        <f t="shared" si="356"/>
        <v/>
      </c>
      <c r="S1122" t="str">
        <f t="shared" si="357"/>
        <v/>
      </c>
      <c r="T1122" t="str">
        <f t="shared" si="358"/>
        <v/>
      </c>
      <c r="U1122" t="str">
        <f t="shared" si="359"/>
        <v/>
      </c>
      <c r="V1122" t="str">
        <f t="shared" si="360"/>
        <v/>
      </c>
      <c r="W1122" t="str">
        <f t="shared" si="343"/>
        <v xml:space="preserve">              </v>
      </c>
    </row>
    <row r="1123" spans="1:23" customFormat="1" hidden="1">
      <c r="A1123" t="b">
        <f t="shared" si="342"/>
        <v>0</v>
      </c>
      <c r="B1123">
        <f t="shared" si="344"/>
        <v>1122</v>
      </c>
      <c r="C1123" t="s">
        <v>981</v>
      </c>
      <c r="D1123" t="s">
        <v>1105</v>
      </c>
      <c r="E1123">
        <f t="shared" si="341"/>
        <v>65</v>
      </c>
      <c r="G1123">
        <f t="shared" si="345"/>
        <v>5</v>
      </c>
      <c r="H1123" t="str">
        <f t="shared" si="346"/>
        <v/>
      </c>
      <c r="I1123" t="str">
        <f t="shared" si="347"/>
        <v/>
      </c>
      <c r="J1123" t="str">
        <f t="shared" si="348"/>
        <v/>
      </c>
      <c r="K1123" t="str">
        <f t="shared" si="349"/>
        <v/>
      </c>
      <c r="L1123" t="str">
        <f t="shared" si="350"/>
        <v/>
      </c>
      <c r="M1123" t="str">
        <f t="shared" si="351"/>
        <v/>
      </c>
      <c r="N1123" t="str">
        <f t="shared" si="352"/>
        <v/>
      </c>
      <c r="O1123" t="str">
        <f t="shared" si="353"/>
        <v/>
      </c>
      <c r="P1123" t="str">
        <f t="shared" si="354"/>
        <v/>
      </c>
      <c r="Q1123" t="str">
        <f t="shared" si="355"/>
        <v/>
      </c>
      <c r="R1123" t="str">
        <f t="shared" si="356"/>
        <v/>
      </c>
      <c r="S1123" t="str">
        <f t="shared" si="357"/>
        <v/>
      </c>
      <c r="T1123" t="str">
        <f t="shared" si="358"/>
        <v/>
      </c>
      <c r="U1123" t="str">
        <f t="shared" si="359"/>
        <v/>
      </c>
      <c r="V1123" t="str">
        <f t="shared" si="360"/>
        <v/>
      </c>
      <c r="W1123" t="str">
        <f t="shared" si="343"/>
        <v xml:space="preserve">              </v>
      </c>
    </row>
    <row r="1124" spans="1:23" hidden="1">
      <c r="A1124" s="71" t="b">
        <f t="shared" si="342"/>
        <v>0</v>
      </c>
      <c r="B1124" s="71">
        <f t="shared" si="344"/>
        <v>1123</v>
      </c>
      <c r="C1124" s="71" t="s">
        <v>981</v>
      </c>
      <c r="D1124" s="71" t="s">
        <v>1106</v>
      </c>
      <c r="E1124">
        <f t="shared" si="341"/>
        <v>24</v>
      </c>
      <c r="F1124">
        <v>1</v>
      </c>
      <c r="G1124">
        <f t="shared" si="345"/>
        <v>1</v>
      </c>
      <c r="H1124" t="str">
        <f t="shared" si="346"/>
        <v>Resource management plan</v>
      </c>
      <c r="I1124" t="str">
        <f t="shared" si="347"/>
        <v>This plan defines staff acquisition, the timetable</v>
      </c>
      <c r="J1124" t="str">
        <f t="shared" si="348"/>
        <v>for staff acquisition, the staff release plan,</v>
      </c>
      <c r="K1124" t="str">
        <f t="shared" si="349"/>
        <v>training needs for the project team, any</v>
      </c>
      <c r="L1124" t="str">
        <f t="shared" si="350"/>
        <v>organizational compliance issues, rewards and</v>
      </c>
      <c r="M1124" t="str">
        <f t="shared" si="351"/>
        <v>recognitions, and safety concerns for the project team doing the project work. Reward The project manager has the authority to reward the project team. Role This denotes what a person is specifically responsible for in a project. Roles are usually tied to job titles, such as network engineer, mechanical engineer, and electrician. Smoothing This approach smooths out the conflict by minimizing the perceived size of the problem. It is a temporary solution, but can calm team relations and boisterous discussions. Storming The project team struggles for project positions, leadership, and project direction. The project team can become hostile toward the project leader, challenge ideas, and try to establish and claim positions about the project work. The amount of debate and fury can vary depending on if the project team is willing to work together, the nature of the project, and the control of the project manager. Technical interfaces The project team identifies the disciplines and specialties that the project will require to complete the project scope statement. The technical interfaces are the resources that will be doing the project work. Withdrawal This conflict resolution method sees one side of the argument walking away from the problem, usually in disgust.</v>
      </c>
      <c r="N1124" t="str">
        <f t="shared" si="352"/>
        <v/>
      </c>
      <c r="O1124" t="str">
        <f t="shared" si="353"/>
        <v/>
      </c>
      <c r="P1124" t="str">
        <f t="shared" si="354"/>
        <v/>
      </c>
      <c r="Q1124" t="str">
        <f t="shared" si="355"/>
        <v/>
      </c>
      <c r="R1124" t="str">
        <f t="shared" si="356"/>
        <v/>
      </c>
      <c r="S1124" t="str">
        <f t="shared" si="357"/>
        <v/>
      </c>
      <c r="T1124" t="str">
        <f t="shared" si="358"/>
        <v/>
      </c>
      <c r="U1124" t="str">
        <f t="shared" si="359"/>
        <v/>
      </c>
      <c r="V1124" t="str">
        <f t="shared" si="360"/>
        <v/>
      </c>
      <c r="W1124" s="71" t="str">
        <f>CONCATENATE(H1124," ",I1124," ",J1124," ",K1124," ",L1124," ",M1124," ",N1124," ",O1124," ",P1124," ",Q1124," ",R1124," ",S1124," ",T1124," ",U1124," ",V1124)</f>
        <v xml:space="preserve">Resource management plan This plan defines staff acquisition, the timetable for staff acquisition, the staff release plan, training needs for the project team, any organizational compliance issues, rewards and recognitions, and safety concerns for the project team doing the project work. Reward The project manager has the authority to reward the project team. Role This denotes what a person is specifically responsible for in a project. Roles are usually tied to job titles, such as network engineer, mechanical engineer, and electrician. Smoothing This approach smooths out the conflict by minimizing the perceived size of the problem. It is a temporary solution, but can calm team relations and boisterous discussions. Storming The project team struggles for project positions, leadership, and project direction. The project team can become hostile toward the project leader, challenge ideas, and try to establish and claim positions about the project work. The amount of debate and fury can vary depending on if the project team is willing to work together, the nature of the project, and the control of the project manager. Technical interfaces The project team identifies the disciplines and specialties that the project will require to complete the project scope statement. The technical interfaces are the resources that will be doing the project work. Withdrawal This conflict resolution method sees one side of the argument walking away from the problem, usually in disgust.         </v>
      </c>
    </row>
    <row r="1125" spans="1:23" customFormat="1" hidden="1">
      <c r="A1125" t="b">
        <f t="shared" si="342"/>
        <v>0</v>
      </c>
      <c r="B1125">
        <f t="shared" si="344"/>
        <v>1124</v>
      </c>
      <c r="C1125" t="s">
        <v>981</v>
      </c>
      <c r="D1125" t="s">
        <v>1107</v>
      </c>
      <c r="E1125">
        <f t="shared" si="341"/>
        <v>50</v>
      </c>
      <c r="G1125">
        <f t="shared" si="345"/>
        <v>2</v>
      </c>
      <c r="H1125" t="str">
        <f t="shared" si="346"/>
        <v/>
      </c>
      <c r="I1125" t="str">
        <f t="shared" si="347"/>
        <v/>
      </c>
      <c r="J1125" t="str">
        <f t="shared" si="348"/>
        <v/>
      </c>
      <c r="K1125" t="str">
        <f t="shared" si="349"/>
        <v/>
      </c>
      <c r="L1125" t="str">
        <f t="shared" si="350"/>
        <v/>
      </c>
      <c r="M1125" t="str">
        <f t="shared" si="351"/>
        <v/>
      </c>
      <c r="N1125" t="str">
        <f t="shared" si="352"/>
        <v/>
      </c>
      <c r="O1125" t="str">
        <f t="shared" si="353"/>
        <v/>
      </c>
      <c r="P1125" t="str">
        <f t="shared" si="354"/>
        <v/>
      </c>
      <c r="Q1125" t="str">
        <f t="shared" si="355"/>
        <v/>
      </c>
      <c r="R1125" t="str">
        <f t="shared" si="356"/>
        <v/>
      </c>
      <c r="S1125" t="str">
        <f t="shared" si="357"/>
        <v/>
      </c>
      <c r="T1125" t="str">
        <f t="shared" si="358"/>
        <v/>
      </c>
      <c r="U1125" t="str">
        <f t="shared" si="359"/>
        <v/>
      </c>
      <c r="V1125" t="str">
        <f t="shared" si="360"/>
        <v/>
      </c>
      <c r="W1125" t="str">
        <f t="shared" si="343"/>
        <v xml:space="preserve">              </v>
      </c>
    </row>
    <row r="1126" spans="1:23" customFormat="1" hidden="1">
      <c r="A1126" t="b">
        <f t="shared" si="342"/>
        <v>0</v>
      </c>
      <c r="B1126">
        <f t="shared" si="344"/>
        <v>1125</v>
      </c>
      <c r="C1126" t="s">
        <v>981</v>
      </c>
      <c r="D1126" t="s">
        <v>1108</v>
      </c>
      <c r="E1126">
        <f t="shared" si="341"/>
        <v>46</v>
      </c>
      <c r="G1126">
        <f t="shared" si="345"/>
        <v>3</v>
      </c>
      <c r="H1126" t="str">
        <f t="shared" si="346"/>
        <v/>
      </c>
      <c r="I1126" t="str">
        <f t="shared" si="347"/>
        <v/>
      </c>
      <c r="J1126" t="str">
        <f t="shared" si="348"/>
        <v/>
      </c>
      <c r="K1126" t="str">
        <f t="shared" si="349"/>
        <v/>
      </c>
      <c r="L1126" t="str">
        <f t="shared" si="350"/>
        <v/>
      </c>
      <c r="M1126" t="str">
        <f t="shared" si="351"/>
        <v/>
      </c>
      <c r="N1126" t="str">
        <f t="shared" si="352"/>
        <v/>
      </c>
      <c r="O1126" t="str">
        <f t="shared" si="353"/>
        <v/>
      </c>
      <c r="P1126" t="str">
        <f t="shared" si="354"/>
        <v/>
      </c>
      <c r="Q1126" t="str">
        <f t="shared" si="355"/>
        <v/>
      </c>
      <c r="R1126" t="str">
        <f t="shared" si="356"/>
        <v/>
      </c>
      <c r="S1126" t="str">
        <f t="shared" si="357"/>
        <v/>
      </c>
      <c r="T1126" t="str">
        <f t="shared" si="358"/>
        <v/>
      </c>
      <c r="U1126" t="str">
        <f t="shared" si="359"/>
        <v/>
      </c>
      <c r="V1126" t="str">
        <f t="shared" si="360"/>
        <v/>
      </c>
      <c r="W1126" t="str">
        <f t="shared" si="343"/>
        <v xml:space="preserve">              </v>
      </c>
    </row>
    <row r="1127" spans="1:23" customFormat="1" hidden="1">
      <c r="A1127" t="b">
        <f t="shared" si="342"/>
        <v>0</v>
      </c>
      <c r="B1127">
        <f t="shared" si="344"/>
        <v>1126</v>
      </c>
      <c r="C1127" t="s">
        <v>981</v>
      </c>
      <c r="D1127" t="s">
        <v>1109</v>
      </c>
      <c r="E1127">
        <f t="shared" si="341"/>
        <v>40</v>
      </c>
      <c r="G1127">
        <f t="shared" si="345"/>
        <v>4</v>
      </c>
      <c r="H1127" t="str">
        <f t="shared" si="346"/>
        <v/>
      </c>
      <c r="I1127" t="str">
        <f t="shared" si="347"/>
        <v/>
      </c>
      <c r="J1127" t="str">
        <f t="shared" si="348"/>
        <v/>
      </c>
      <c r="K1127" t="str">
        <f t="shared" si="349"/>
        <v/>
      </c>
      <c r="L1127" t="str">
        <f t="shared" si="350"/>
        <v/>
      </c>
      <c r="M1127" t="str">
        <f t="shared" si="351"/>
        <v/>
      </c>
      <c r="N1127" t="str">
        <f t="shared" si="352"/>
        <v/>
      </c>
      <c r="O1127" t="str">
        <f t="shared" si="353"/>
        <v/>
      </c>
      <c r="P1127" t="str">
        <f t="shared" si="354"/>
        <v/>
      </c>
      <c r="Q1127" t="str">
        <f t="shared" si="355"/>
        <v/>
      </c>
      <c r="R1127" t="str">
        <f t="shared" si="356"/>
        <v/>
      </c>
      <c r="S1127" t="str">
        <f t="shared" si="357"/>
        <v/>
      </c>
      <c r="T1127" t="str">
        <f t="shared" si="358"/>
        <v/>
      </c>
      <c r="U1127" t="str">
        <f t="shared" si="359"/>
        <v/>
      </c>
      <c r="V1127" t="str">
        <f t="shared" si="360"/>
        <v/>
      </c>
      <c r="W1127" t="str">
        <f t="shared" si="343"/>
        <v xml:space="preserve">              </v>
      </c>
    </row>
    <row r="1128" spans="1:23" customFormat="1" hidden="1">
      <c r="A1128" t="b">
        <f t="shared" si="342"/>
        <v>0</v>
      </c>
      <c r="B1128">
        <f t="shared" si="344"/>
        <v>1127</v>
      </c>
      <c r="C1128" t="s">
        <v>981</v>
      </c>
      <c r="D1128" t="s">
        <v>1110</v>
      </c>
      <c r="E1128">
        <f t="shared" si="341"/>
        <v>45</v>
      </c>
      <c r="G1128">
        <f t="shared" si="345"/>
        <v>5</v>
      </c>
      <c r="H1128" t="str">
        <f t="shared" si="346"/>
        <v/>
      </c>
      <c r="I1128" t="str">
        <f t="shared" si="347"/>
        <v/>
      </c>
      <c r="J1128" t="str">
        <f t="shared" si="348"/>
        <v/>
      </c>
      <c r="K1128" t="str">
        <f t="shared" si="349"/>
        <v/>
      </c>
      <c r="L1128" t="str">
        <f t="shared" si="350"/>
        <v/>
      </c>
      <c r="M1128" t="str">
        <f t="shared" si="351"/>
        <v/>
      </c>
      <c r="N1128" t="str">
        <f t="shared" si="352"/>
        <v/>
      </c>
      <c r="O1128" t="str">
        <f t="shared" si="353"/>
        <v/>
      </c>
      <c r="P1128" t="str">
        <f t="shared" si="354"/>
        <v/>
      </c>
      <c r="Q1128" t="str">
        <f t="shared" si="355"/>
        <v/>
      </c>
      <c r="R1128" t="str">
        <f t="shared" si="356"/>
        <v/>
      </c>
      <c r="S1128" t="str">
        <f t="shared" si="357"/>
        <v/>
      </c>
      <c r="T1128" t="str">
        <f t="shared" si="358"/>
        <v/>
      </c>
      <c r="U1128" t="str">
        <f t="shared" si="359"/>
        <v/>
      </c>
      <c r="V1128" t="str">
        <f t="shared" si="360"/>
        <v/>
      </c>
      <c r="W1128" t="str">
        <f t="shared" si="343"/>
        <v xml:space="preserve">              </v>
      </c>
    </row>
    <row r="1129" spans="1:23" customFormat="1">
      <c r="A1129" t="b">
        <f t="shared" si="342"/>
        <v>0</v>
      </c>
      <c r="B1129">
        <f t="shared" si="344"/>
        <v>1128</v>
      </c>
      <c r="C1129" t="s">
        <v>981</v>
      </c>
      <c r="D1129" t="s">
        <v>1111</v>
      </c>
      <c r="E1129">
        <f t="shared" si="341"/>
        <v>1276</v>
      </c>
      <c r="G1129">
        <f t="shared" si="345"/>
        <v>6</v>
      </c>
      <c r="H1129" t="str">
        <f t="shared" si="346"/>
        <v/>
      </c>
      <c r="I1129" t="str">
        <f t="shared" si="347"/>
        <v/>
      </c>
      <c r="J1129" t="str">
        <f t="shared" si="348"/>
        <v/>
      </c>
      <c r="K1129" t="str">
        <f t="shared" si="349"/>
        <v/>
      </c>
      <c r="L1129" t="str">
        <f t="shared" si="350"/>
        <v/>
      </c>
      <c r="M1129" t="str">
        <f t="shared" si="351"/>
        <v/>
      </c>
      <c r="N1129" t="str">
        <f t="shared" si="352"/>
        <v/>
      </c>
      <c r="O1129" t="str">
        <f t="shared" si="353"/>
        <v/>
      </c>
      <c r="P1129" t="str">
        <f t="shared" si="354"/>
        <v/>
      </c>
      <c r="Q1129" t="str">
        <f t="shared" si="355"/>
        <v/>
      </c>
      <c r="R1129" t="str">
        <f t="shared" si="356"/>
        <v/>
      </c>
      <c r="S1129" t="str">
        <f t="shared" si="357"/>
        <v/>
      </c>
      <c r="T1129" t="str">
        <f t="shared" si="358"/>
        <v/>
      </c>
      <c r="U1129" t="str">
        <f t="shared" si="359"/>
        <v/>
      </c>
      <c r="V1129" t="str">
        <f t="shared" si="360"/>
        <v/>
      </c>
      <c r="W1129" t="str">
        <f t="shared" si="343"/>
        <v xml:space="preserve">              </v>
      </c>
    </row>
    <row r="1130" spans="1:23" hidden="1">
      <c r="A1130" s="71" t="b">
        <f t="shared" si="342"/>
        <v>0</v>
      </c>
      <c r="B1130" s="71">
        <f t="shared" si="344"/>
        <v>1129</v>
      </c>
      <c r="C1130" s="71" t="s">
        <v>1112</v>
      </c>
      <c r="D1130" s="71" t="s">
        <v>1113</v>
      </c>
      <c r="E1130">
        <f t="shared" si="341"/>
        <v>14</v>
      </c>
      <c r="F1130">
        <v>1</v>
      </c>
      <c r="G1130">
        <f t="shared" si="345"/>
        <v>1</v>
      </c>
      <c r="H1130" t="str">
        <f t="shared" si="346"/>
        <v>Acknowledgment</v>
      </c>
      <c r="I1130" t="str">
        <f t="shared" si="347"/>
        <v>The receiver signals that the message has been</v>
      </c>
      <c r="J1130" t="str">
        <f t="shared" si="348"/>
        <v>received. An acknowledgment shows receipt of</v>
      </c>
      <c r="K1130" t="str">
        <f t="shared" si="349"/>
        <v>the message, but not necessarily agreement with</v>
      </c>
      <c r="L1130" t="str">
        <f t="shared" si="350"/>
        <v>the message.</v>
      </c>
      <c r="M1130" t="str">
        <f t="shared" si="351"/>
        <v/>
      </c>
      <c r="N1130" t="str">
        <f t="shared" si="352"/>
        <v/>
      </c>
      <c r="O1130" t="str">
        <f t="shared" si="353"/>
        <v/>
      </c>
      <c r="P1130" t="str">
        <f t="shared" si="354"/>
        <v/>
      </c>
      <c r="Q1130" t="str">
        <f t="shared" si="355"/>
        <v/>
      </c>
      <c r="R1130" t="str">
        <f t="shared" si="356"/>
        <v/>
      </c>
      <c r="S1130" t="str">
        <f t="shared" si="357"/>
        <v/>
      </c>
      <c r="T1130" t="str">
        <f t="shared" si="358"/>
        <v/>
      </c>
      <c r="U1130" t="str">
        <f t="shared" si="359"/>
        <v/>
      </c>
      <c r="V1130" t="str">
        <f t="shared" si="360"/>
        <v/>
      </c>
      <c r="W1130" s="71" t="str">
        <f>CONCATENATE(H1130," ",I1130," ",J1130," ",K1130," ",L1130," ",M1130," ",N1130," ",O1130," ",P1130," ",Q1130," ",R1130," ",S1130," ",T1130," ",U1130," ",V1130)</f>
        <v xml:space="preserve">Acknowledgment The receiver signals that the message has been received. An acknowledgment shows receipt of the message, but not necessarily agreement with the message.          </v>
      </c>
    </row>
    <row r="1131" spans="1:23" customFormat="1" hidden="1">
      <c r="A1131" t="b">
        <f t="shared" si="342"/>
        <v>0</v>
      </c>
      <c r="B1131">
        <f t="shared" si="344"/>
        <v>1130</v>
      </c>
      <c r="C1131" t="s">
        <v>1112</v>
      </c>
      <c r="D1131" t="s">
        <v>1114</v>
      </c>
      <c r="E1131">
        <f t="shared" si="341"/>
        <v>46</v>
      </c>
      <c r="G1131">
        <f t="shared" si="345"/>
        <v>2</v>
      </c>
      <c r="H1131" t="str">
        <f t="shared" si="346"/>
        <v/>
      </c>
      <c r="I1131" t="str">
        <f t="shared" si="347"/>
        <v/>
      </c>
      <c r="J1131" t="str">
        <f t="shared" si="348"/>
        <v/>
      </c>
      <c r="K1131" t="str">
        <f t="shared" si="349"/>
        <v/>
      </c>
      <c r="L1131" t="str">
        <f t="shared" si="350"/>
        <v/>
      </c>
      <c r="M1131" t="str">
        <f t="shared" si="351"/>
        <v/>
      </c>
      <c r="N1131" t="str">
        <f t="shared" si="352"/>
        <v/>
      </c>
      <c r="O1131" t="str">
        <f t="shared" si="353"/>
        <v/>
      </c>
      <c r="P1131" t="str">
        <f t="shared" si="354"/>
        <v/>
      </c>
      <c r="Q1131" t="str">
        <f t="shared" si="355"/>
        <v/>
      </c>
      <c r="R1131" t="str">
        <f t="shared" si="356"/>
        <v/>
      </c>
      <c r="S1131" t="str">
        <f t="shared" si="357"/>
        <v/>
      </c>
      <c r="T1131" t="str">
        <f t="shared" si="358"/>
        <v/>
      </c>
      <c r="U1131" t="str">
        <f t="shared" si="359"/>
        <v/>
      </c>
      <c r="V1131" t="str">
        <f t="shared" si="360"/>
        <v/>
      </c>
      <c r="W1131" t="str">
        <f t="shared" si="343"/>
        <v xml:space="preserve">              </v>
      </c>
    </row>
    <row r="1132" spans="1:23" customFormat="1" hidden="1">
      <c r="A1132" t="b">
        <f t="shared" si="342"/>
        <v>0</v>
      </c>
      <c r="B1132">
        <f t="shared" si="344"/>
        <v>1131</v>
      </c>
      <c r="C1132" t="s">
        <v>1112</v>
      </c>
      <c r="D1132" t="s">
        <v>1115</v>
      </c>
      <c r="E1132">
        <f t="shared" si="341"/>
        <v>44</v>
      </c>
      <c r="G1132">
        <f t="shared" si="345"/>
        <v>3</v>
      </c>
      <c r="H1132" t="str">
        <f t="shared" si="346"/>
        <v/>
      </c>
      <c r="I1132" t="str">
        <f t="shared" si="347"/>
        <v/>
      </c>
      <c r="J1132" t="str">
        <f t="shared" si="348"/>
        <v/>
      </c>
      <c r="K1132" t="str">
        <f t="shared" si="349"/>
        <v/>
      </c>
      <c r="L1132" t="str">
        <f t="shared" si="350"/>
        <v/>
      </c>
      <c r="M1132" t="str">
        <f t="shared" si="351"/>
        <v/>
      </c>
      <c r="N1132" t="str">
        <f t="shared" si="352"/>
        <v/>
      </c>
      <c r="O1132" t="str">
        <f t="shared" si="353"/>
        <v/>
      </c>
      <c r="P1132" t="str">
        <f t="shared" si="354"/>
        <v/>
      </c>
      <c r="Q1132" t="str">
        <f t="shared" si="355"/>
        <v/>
      </c>
      <c r="R1132" t="str">
        <f t="shared" si="356"/>
        <v/>
      </c>
      <c r="S1132" t="str">
        <f t="shared" si="357"/>
        <v/>
      </c>
      <c r="T1132" t="str">
        <f t="shared" si="358"/>
        <v/>
      </c>
      <c r="U1132" t="str">
        <f t="shared" si="359"/>
        <v/>
      </c>
      <c r="V1132" t="str">
        <f t="shared" si="360"/>
        <v/>
      </c>
      <c r="W1132" t="str">
        <f t="shared" si="343"/>
        <v xml:space="preserve">              </v>
      </c>
    </row>
    <row r="1133" spans="1:23" customFormat="1" hidden="1">
      <c r="A1133" t="b">
        <f t="shared" si="342"/>
        <v>0</v>
      </c>
      <c r="B1133">
        <f t="shared" si="344"/>
        <v>1132</v>
      </c>
      <c r="C1133" t="s">
        <v>1112</v>
      </c>
      <c r="D1133" t="s">
        <v>1116</v>
      </c>
      <c r="E1133">
        <f t="shared" si="341"/>
        <v>47</v>
      </c>
      <c r="G1133">
        <f t="shared" si="345"/>
        <v>4</v>
      </c>
      <c r="H1133" t="str">
        <f t="shared" si="346"/>
        <v/>
      </c>
      <c r="I1133" t="str">
        <f t="shared" si="347"/>
        <v/>
      </c>
      <c r="J1133" t="str">
        <f t="shared" si="348"/>
        <v/>
      </c>
      <c r="K1133" t="str">
        <f t="shared" si="349"/>
        <v/>
      </c>
      <c r="L1133" t="str">
        <f t="shared" si="350"/>
        <v/>
      </c>
      <c r="M1133" t="str">
        <f t="shared" si="351"/>
        <v/>
      </c>
      <c r="N1133" t="str">
        <f t="shared" si="352"/>
        <v/>
      </c>
      <c r="O1133" t="str">
        <f t="shared" si="353"/>
        <v/>
      </c>
      <c r="P1133" t="str">
        <f t="shared" si="354"/>
        <v/>
      </c>
      <c r="Q1133" t="str">
        <f t="shared" si="355"/>
        <v/>
      </c>
      <c r="R1133" t="str">
        <f t="shared" si="356"/>
        <v/>
      </c>
      <c r="S1133" t="str">
        <f t="shared" si="357"/>
        <v/>
      </c>
      <c r="T1133" t="str">
        <f t="shared" si="358"/>
        <v/>
      </c>
      <c r="U1133" t="str">
        <f t="shared" si="359"/>
        <v/>
      </c>
      <c r="V1133" t="str">
        <f t="shared" si="360"/>
        <v/>
      </c>
      <c r="W1133" t="str">
        <f t="shared" si="343"/>
        <v xml:space="preserve">              </v>
      </c>
    </row>
    <row r="1134" spans="1:23" customFormat="1" hidden="1">
      <c r="A1134" t="b">
        <f t="shared" si="342"/>
        <v>0</v>
      </c>
      <c r="B1134">
        <f t="shared" si="344"/>
        <v>1133</v>
      </c>
      <c r="C1134" t="s">
        <v>1112</v>
      </c>
      <c r="D1134" t="s">
        <v>1117</v>
      </c>
      <c r="E1134">
        <f t="shared" si="341"/>
        <v>12</v>
      </c>
      <c r="G1134">
        <f t="shared" si="345"/>
        <v>5</v>
      </c>
      <c r="H1134" t="str">
        <f t="shared" si="346"/>
        <v/>
      </c>
      <c r="I1134" t="str">
        <f t="shared" si="347"/>
        <v/>
      </c>
      <c r="J1134" t="str">
        <f t="shared" si="348"/>
        <v/>
      </c>
      <c r="K1134" t="str">
        <f t="shared" si="349"/>
        <v/>
      </c>
      <c r="L1134" t="str">
        <f t="shared" si="350"/>
        <v/>
      </c>
      <c r="M1134" t="str">
        <f t="shared" si="351"/>
        <v/>
      </c>
      <c r="N1134" t="str">
        <f t="shared" si="352"/>
        <v/>
      </c>
      <c r="O1134" t="str">
        <f t="shared" si="353"/>
        <v/>
      </c>
      <c r="P1134" t="str">
        <f t="shared" si="354"/>
        <v/>
      </c>
      <c r="Q1134" t="str">
        <f t="shared" si="355"/>
        <v/>
      </c>
      <c r="R1134" t="str">
        <f t="shared" si="356"/>
        <v/>
      </c>
      <c r="S1134" t="str">
        <f t="shared" si="357"/>
        <v/>
      </c>
      <c r="T1134" t="str">
        <f t="shared" si="358"/>
        <v/>
      </c>
      <c r="U1134" t="str">
        <f t="shared" si="359"/>
        <v/>
      </c>
      <c r="V1134" t="str">
        <f t="shared" si="360"/>
        <v/>
      </c>
      <c r="W1134" t="str">
        <f t="shared" si="343"/>
        <v xml:space="preserve">              </v>
      </c>
    </row>
    <row r="1135" spans="1:23" hidden="1">
      <c r="A1135" s="71" t="b">
        <f t="shared" si="342"/>
        <v>0</v>
      </c>
      <c r="B1135" s="71">
        <f t="shared" si="344"/>
        <v>1134</v>
      </c>
      <c r="C1135" s="71" t="s">
        <v>1112</v>
      </c>
      <c r="D1135" s="71" t="s">
        <v>1118</v>
      </c>
      <c r="E1135">
        <f t="shared" si="341"/>
        <v>16</v>
      </c>
      <c r="F1135">
        <v>1</v>
      </c>
      <c r="G1135">
        <f t="shared" si="345"/>
        <v>1</v>
      </c>
      <c r="H1135" t="str">
        <f t="shared" si="346"/>
        <v>Active listening</v>
      </c>
      <c r="I1135" t="str">
        <f t="shared" si="347"/>
        <v>The receiver confirms that the message is being</v>
      </c>
      <c r="J1135" t="str">
        <f t="shared" si="348"/>
        <v>received through feedback, questions, prompts</v>
      </c>
      <c r="K1135" t="str">
        <f t="shared" si="349"/>
        <v>for clarity, and other signs of confirmation.</v>
      </c>
      <c r="L1135" t="str">
        <f t="shared" si="350"/>
        <v/>
      </c>
      <c r="M1135" t="str">
        <f t="shared" si="351"/>
        <v/>
      </c>
      <c r="N1135" t="str">
        <f t="shared" si="352"/>
        <v/>
      </c>
      <c r="O1135" t="str">
        <f t="shared" si="353"/>
        <v/>
      </c>
      <c r="P1135" t="str">
        <f t="shared" si="354"/>
        <v/>
      </c>
      <c r="Q1135" t="str">
        <f t="shared" si="355"/>
        <v/>
      </c>
      <c r="R1135" t="str">
        <f t="shared" si="356"/>
        <v/>
      </c>
      <c r="S1135" t="str">
        <f t="shared" si="357"/>
        <v/>
      </c>
      <c r="T1135" t="str">
        <f t="shared" si="358"/>
        <v/>
      </c>
      <c r="U1135" t="str">
        <f t="shared" si="359"/>
        <v/>
      </c>
      <c r="V1135" t="str">
        <f t="shared" si="360"/>
        <v/>
      </c>
      <c r="W1135" s="71" t="str">
        <f>CONCATENATE(H1135," ",I1135," ",J1135," ",K1135," ",L1135," ",M1135," ",N1135," ",O1135," ",P1135," ",Q1135," ",R1135," ",S1135," ",T1135," ",U1135," ",V1135)</f>
        <v xml:space="preserve">Active listening The receiver confirms that the message is being received through feedback, questions, prompts for clarity, and other signs of confirmation.           </v>
      </c>
    </row>
    <row r="1136" spans="1:23" customFormat="1" hidden="1">
      <c r="A1136" t="b">
        <f t="shared" si="342"/>
        <v>0</v>
      </c>
      <c r="B1136">
        <f t="shared" si="344"/>
        <v>1135</v>
      </c>
      <c r="C1136" t="s">
        <v>1112</v>
      </c>
      <c r="D1136" t="s">
        <v>1119</v>
      </c>
      <c r="E1136">
        <f t="shared" si="341"/>
        <v>47</v>
      </c>
      <c r="G1136">
        <f t="shared" si="345"/>
        <v>2</v>
      </c>
      <c r="H1136" t="str">
        <f t="shared" si="346"/>
        <v/>
      </c>
      <c r="I1136" t="str">
        <f t="shared" si="347"/>
        <v/>
      </c>
      <c r="J1136" t="str">
        <f t="shared" si="348"/>
        <v/>
      </c>
      <c r="K1136" t="str">
        <f t="shared" si="349"/>
        <v/>
      </c>
      <c r="L1136" t="str">
        <f t="shared" si="350"/>
        <v/>
      </c>
      <c r="M1136" t="str">
        <f t="shared" si="351"/>
        <v/>
      </c>
      <c r="N1136" t="str">
        <f t="shared" si="352"/>
        <v/>
      </c>
      <c r="O1136" t="str">
        <f t="shared" si="353"/>
        <v/>
      </c>
      <c r="P1136" t="str">
        <f t="shared" si="354"/>
        <v/>
      </c>
      <c r="Q1136" t="str">
        <f t="shared" si="355"/>
        <v/>
      </c>
      <c r="R1136" t="str">
        <f t="shared" si="356"/>
        <v/>
      </c>
      <c r="S1136" t="str">
        <f t="shared" si="357"/>
        <v/>
      </c>
      <c r="T1136" t="str">
        <f t="shared" si="358"/>
        <v/>
      </c>
      <c r="U1136" t="str">
        <f t="shared" si="359"/>
        <v/>
      </c>
      <c r="V1136" t="str">
        <f t="shared" si="360"/>
        <v/>
      </c>
      <c r="W1136" t="str">
        <f t="shared" si="343"/>
        <v xml:space="preserve">              </v>
      </c>
    </row>
    <row r="1137" spans="1:23" customFormat="1" hidden="1">
      <c r="A1137" t="b">
        <f t="shared" si="342"/>
        <v>0</v>
      </c>
      <c r="B1137">
        <f t="shared" si="344"/>
        <v>1136</v>
      </c>
      <c r="C1137" t="s">
        <v>1112</v>
      </c>
      <c r="D1137" t="s">
        <v>1120</v>
      </c>
      <c r="E1137">
        <f t="shared" ref="E1137:E1199" si="361">LEN(D1137)</f>
        <v>45</v>
      </c>
      <c r="G1137">
        <f t="shared" si="345"/>
        <v>3</v>
      </c>
      <c r="H1137" t="str">
        <f t="shared" si="346"/>
        <v/>
      </c>
      <c r="I1137" t="str">
        <f t="shared" si="347"/>
        <v/>
      </c>
      <c r="J1137" t="str">
        <f t="shared" si="348"/>
        <v/>
      </c>
      <c r="K1137" t="str">
        <f t="shared" si="349"/>
        <v/>
      </c>
      <c r="L1137" t="str">
        <f t="shared" si="350"/>
        <v/>
      </c>
      <c r="M1137" t="str">
        <f t="shared" si="351"/>
        <v/>
      </c>
      <c r="N1137" t="str">
        <f t="shared" si="352"/>
        <v/>
      </c>
      <c r="O1137" t="str">
        <f t="shared" si="353"/>
        <v/>
      </c>
      <c r="P1137" t="str">
        <f t="shared" si="354"/>
        <v/>
      </c>
      <c r="Q1137" t="str">
        <f t="shared" si="355"/>
        <v/>
      </c>
      <c r="R1137" t="str">
        <f t="shared" si="356"/>
        <v/>
      </c>
      <c r="S1137" t="str">
        <f t="shared" si="357"/>
        <v/>
      </c>
      <c r="T1137" t="str">
        <f t="shared" si="358"/>
        <v/>
      </c>
      <c r="U1137" t="str">
        <f t="shared" si="359"/>
        <v/>
      </c>
      <c r="V1137" t="str">
        <f t="shared" si="360"/>
        <v/>
      </c>
      <c r="W1137" t="str">
        <f t="shared" si="343"/>
        <v xml:space="preserve">              </v>
      </c>
    </row>
    <row r="1138" spans="1:23" customFormat="1" hidden="1">
      <c r="A1138" t="b">
        <f t="shared" si="342"/>
        <v>0</v>
      </c>
      <c r="B1138">
        <f t="shared" si="344"/>
        <v>1137</v>
      </c>
      <c r="C1138" t="s">
        <v>1112</v>
      </c>
      <c r="D1138" t="s">
        <v>1121</v>
      </c>
      <c r="E1138">
        <f t="shared" si="361"/>
        <v>45</v>
      </c>
      <c r="G1138">
        <f t="shared" si="345"/>
        <v>4</v>
      </c>
      <c r="H1138" t="str">
        <f t="shared" si="346"/>
        <v/>
      </c>
      <c r="I1138" t="str">
        <f t="shared" si="347"/>
        <v/>
      </c>
      <c r="J1138" t="str">
        <f t="shared" si="348"/>
        <v/>
      </c>
      <c r="K1138" t="str">
        <f t="shared" si="349"/>
        <v/>
      </c>
      <c r="L1138" t="str">
        <f t="shared" si="350"/>
        <v/>
      </c>
      <c r="M1138" t="str">
        <f t="shared" si="351"/>
        <v/>
      </c>
      <c r="N1138" t="str">
        <f t="shared" si="352"/>
        <v/>
      </c>
      <c r="O1138" t="str">
        <f t="shared" si="353"/>
        <v/>
      </c>
      <c r="P1138" t="str">
        <f t="shared" si="354"/>
        <v/>
      </c>
      <c r="Q1138" t="str">
        <f t="shared" si="355"/>
        <v/>
      </c>
      <c r="R1138" t="str">
        <f t="shared" si="356"/>
        <v/>
      </c>
      <c r="S1138" t="str">
        <f t="shared" si="357"/>
        <v/>
      </c>
      <c r="T1138" t="str">
        <f t="shared" si="358"/>
        <v/>
      </c>
      <c r="U1138" t="str">
        <f t="shared" si="359"/>
        <v/>
      </c>
      <c r="V1138" t="str">
        <f t="shared" si="360"/>
        <v/>
      </c>
      <c r="W1138" t="str">
        <f t="shared" si="343"/>
        <v xml:space="preserve">              </v>
      </c>
    </row>
    <row r="1139" spans="1:23" hidden="1">
      <c r="A1139" s="71" t="b">
        <f t="shared" si="342"/>
        <v>0</v>
      </c>
      <c r="B1139" s="71">
        <f t="shared" si="344"/>
        <v>1138</v>
      </c>
      <c r="C1139" s="71" t="s">
        <v>1112</v>
      </c>
      <c r="D1139" s="71" t="s">
        <v>1122</v>
      </c>
      <c r="E1139">
        <f t="shared" si="361"/>
        <v>15</v>
      </c>
      <c r="F1139">
        <v>1</v>
      </c>
      <c r="G1139">
        <f t="shared" si="345"/>
        <v>1</v>
      </c>
      <c r="H1139" t="str">
        <f t="shared" si="346"/>
        <v>Choice of media</v>
      </c>
      <c r="I1139" t="str">
        <f t="shared" si="347"/>
        <v>The best modality to use when communicating</v>
      </c>
      <c r="J1139" t="str">
        <f t="shared" si="348"/>
        <v>that is relevant to the information being</v>
      </c>
      <c r="K1139" t="str">
        <f t="shared" si="349"/>
        <v>communicated.</v>
      </c>
      <c r="L1139" t="str">
        <f t="shared" si="350"/>
        <v/>
      </c>
      <c r="M1139" t="str">
        <f t="shared" si="351"/>
        <v/>
      </c>
      <c r="N1139" t="str">
        <f t="shared" si="352"/>
        <v/>
      </c>
      <c r="O1139" t="str">
        <f t="shared" si="353"/>
        <v/>
      </c>
      <c r="P1139" t="str">
        <f t="shared" si="354"/>
        <v/>
      </c>
      <c r="Q1139" t="str">
        <f t="shared" si="355"/>
        <v/>
      </c>
      <c r="R1139" t="str">
        <f t="shared" si="356"/>
        <v/>
      </c>
      <c r="S1139" t="str">
        <f t="shared" si="357"/>
        <v/>
      </c>
      <c r="T1139" t="str">
        <f t="shared" si="358"/>
        <v/>
      </c>
      <c r="U1139" t="str">
        <f t="shared" si="359"/>
        <v/>
      </c>
      <c r="V1139" t="str">
        <f t="shared" si="360"/>
        <v/>
      </c>
      <c r="W1139" s="71" t="str">
        <f>CONCATENATE(H1139," ",I1139," ",J1139," ",K1139," ",L1139," ",M1139," ",N1139," ",O1139," ",P1139," ",Q1139," ",R1139," ",S1139," ",T1139," ",U1139," ",V1139)</f>
        <v xml:space="preserve">Choice of media The best modality to use when communicating that is relevant to the information being communicated.           </v>
      </c>
    </row>
    <row r="1140" spans="1:23" customFormat="1" hidden="1">
      <c r="A1140" t="b">
        <f t="shared" si="342"/>
        <v>0</v>
      </c>
      <c r="B1140">
        <f t="shared" si="344"/>
        <v>1139</v>
      </c>
      <c r="C1140" t="s">
        <v>1112</v>
      </c>
      <c r="D1140" t="s">
        <v>1123</v>
      </c>
      <c r="E1140">
        <f t="shared" si="361"/>
        <v>43</v>
      </c>
      <c r="G1140">
        <f t="shared" si="345"/>
        <v>2</v>
      </c>
      <c r="H1140" t="str">
        <f t="shared" si="346"/>
        <v/>
      </c>
      <c r="I1140" t="str">
        <f t="shared" si="347"/>
        <v/>
      </c>
      <c r="J1140" t="str">
        <f t="shared" si="348"/>
        <v/>
      </c>
      <c r="K1140" t="str">
        <f t="shared" si="349"/>
        <v/>
      </c>
      <c r="L1140" t="str">
        <f t="shared" si="350"/>
        <v/>
      </c>
      <c r="M1140" t="str">
        <f t="shared" si="351"/>
        <v/>
      </c>
      <c r="N1140" t="str">
        <f t="shared" si="352"/>
        <v/>
      </c>
      <c r="O1140" t="str">
        <f t="shared" si="353"/>
        <v/>
      </c>
      <c r="P1140" t="str">
        <f t="shared" si="354"/>
        <v/>
      </c>
      <c r="Q1140" t="str">
        <f t="shared" si="355"/>
        <v/>
      </c>
      <c r="R1140" t="str">
        <f t="shared" si="356"/>
        <v/>
      </c>
      <c r="S1140" t="str">
        <f t="shared" si="357"/>
        <v/>
      </c>
      <c r="T1140" t="str">
        <f t="shared" si="358"/>
        <v/>
      </c>
      <c r="U1140" t="str">
        <f t="shared" si="359"/>
        <v/>
      </c>
      <c r="V1140" t="str">
        <f t="shared" si="360"/>
        <v/>
      </c>
      <c r="W1140" t="str">
        <f t="shared" si="343"/>
        <v xml:space="preserve">              </v>
      </c>
    </row>
    <row r="1141" spans="1:23" customFormat="1" hidden="1">
      <c r="A1141" t="b">
        <f t="shared" si="342"/>
        <v>0</v>
      </c>
      <c r="B1141">
        <f t="shared" si="344"/>
        <v>1140</v>
      </c>
      <c r="C1141" t="s">
        <v>1112</v>
      </c>
      <c r="D1141" t="s">
        <v>1124</v>
      </c>
      <c r="E1141">
        <f t="shared" si="361"/>
        <v>41</v>
      </c>
      <c r="G1141">
        <f t="shared" si="345"/>
        <v>3</v>
      </c>
      <c r="H1141" t="str">
        <f t="shared" si="346"/>
        <v/>
      </c>
      <c r="I1141" t="str">
        <f t="shared" si="347"/>
        <v/>
      </c>
      <c r="J1141" t="str">
        <f t="shared" si="348"/>
        <v/>
      </c>
      <c r="K1141" t="str">
        <f t="shared" si="349"/>
        <v/>
      </c>
      <c r="L1141" t="str">
        <f t="shared" si="350"/>
        <v/>
      </c>
      <c r="M1141" t="str">
        <f t="shared" si="351"/>
        <v/>
      </c>
      <c r="N1141" t="str">
        <f t="shared" si="352"/>
        <v/>
      </c>
      <c r="O1141" t="str">
        <f t="shared" si="353"/>
        <v/>
      </c>
      <c r="P1141" t="str">
        <f t="shared" si="354"/>
        <v/>
      </c>
      <c r="Q1141" t="str">
        <f t="shared" si="355"/>
        <v/>
      </c>
      <c r="R1141" t="str">
        <f t="shared" si="356"/>
        <v/>
      </c>
      <c r="S1141" t="str">
        <f t="shared" si="357"/>
        <v/>
      </c>
      <c r="T1141" t="str">
        <f t="shared" si="358"/>
        <v/>
      </c>
      <c r="U1141" t="str">
        <f t="shared" si="359"/>
        <v/>
      </c>
      <c r="V1141" t="str">
        <f t="shared" si="360"/>
        <v/>
      </c>
      <c r="W1141" t="str">
        <f t="shared" si="343"/>
        <v xml:space="preserve">              </v>
      </c>
    </row>
    <row r="1142" spans="1:23" customFormat="1" hidden="1">
      <c r="A1142" t="b">
        <f t="shared" si="342"/>
        <v>0</v>
      </c>
      <c r="B1142">
        <f t="shared" si="344"/>
        <v>1141</v>
      </c>
      <c r="C1142" t="s">
        <v>1112</v>
      </c>
      <c r="D1142" t="s">
        <v>1125</v>
      </c>
      <c r="E1142">
        <f t="shared" si="361"/>
        <v>13</v>
      </c>
      <c r="G1142">
        <f t="shared" si="345"/>
        <v>4</v>
      </c>
      <c r="H1142" t="str">
        <f t="shared" si="346"/>
        <v/>
      </c>
      <c r="I1142" t="str">
        <f t="shared" si="347"/>
        <v/>
      </c>
      <c r="J1142" t="str">
        <f t="shared" si="348"/>
        <v/>
      </c>
      <c r="K1142" t="str">
        <f t="shared" si="349"/>
        <v/>
      </c>
      <c r="L1142" t="str">
        <f t="shared" si="350"/>
        <v/>
      </c>
      <c r="M1142" t="str">
        <f t="shared" si="351"/>
        <v/>
      </c>
      <c r="N1142" t="str">
        <f t="shared" si="352"/>
        <v/>
      </c>
      <c r="O1142" t="str">
        <f t="shared" si="353"/>
        <v/>
      </c>
      <c r="P1142" t="str">
        <f t="shared" si="354"/>
        <v/>
      </c>
      <c r="Q1142" t="str">
        <f t="shared" si="355"/>
        <v/>
      </c>
      <c r="R1142" t="str">
        <f t="shared" si="356"/>
        <v/>
      </c>
      <c r="S1142" t="str">
        <f t="shared" si="357"/>
        <v/>
      </c>
      <c r="T1142" t="str">
        <f t="shared" si="358"/>
        <v/>
      </c>
      <c r="U1142" t="str">
        <f t="shared" si="359"/>
        <v/>
      </c>
      <c r="V1142" t="str">
        <f t="shared" si="360"/>
        <v/>
      </c>
      <c r="W1142" t="str">
        <f t="shared" si="343"/>
        <v xml:space="preserve">              </v>
      </c>
    </row>
    <row r="1143" spans="1:23" hidden="1">
      <c r="A1143" s="71" t="b">
        <f t="shared" si="342"/>
        <v>0</v>
      </c>
      <c r="B1143" s="71">
        <f t="shared" si="344"/>
        <v>1142</v>
      </c>
      <c r="C1143" s="71" t="s">
        <v>1112</v>
      </c>
      <c r="D1143" s="71" t="s">
        <v>1126</v>
      </c>
      <c r="E1143">
        <f t="shared" si="361"/>
        <v>25</v>
      </c>
      <c r="F1143">
        <v>1</v>
      </c>
      <c r="G1143">
        <f t="shared" si="345"/>
        <v>1</v>
      </c>
      <c r="H1143" t="str">
        <f t="shared" si="346"/>
        <v>Communication assumptions</v>
      </c>
      <c r="I1143" t="str">
        <f t="shared" si="347"/>
        <v>Anything that the project management team</v>
      </c>
      <c r="J1143" t="str">
        <f t="shared" si="348"/>
        <v>believes to be true but hasn’t proven to be true.</v>
      </c>
      <c r="K1143" t="str">
        <f t="shared" si="349"/>
        <v>For example, the project management team may</v>
      </c>
      <c r="L1143" t="str">
        <f t="shared" si="350"/>
        <v>assume that all of the project team can be</v>
      </c>
      <c r="M1143" t="str">
        <f t="shared" si="351"/>
        <v>reached via cell phone, but parts of the world, as</v>
      </c>
      <c r="N1143" t="str">
        <f t="shared" si="352"/>
        <v>of this writing, don’t have a cell signal.</v>
      </c>
      <c r="O1143" t="str">
        <f t="shared" si="353"/>
        <v/>
      </c>
      <c r="P1143" t="str">
        <f t="shared" si="354"/>
        <v/>
      </c>
      <c r="Q1143" t="str">
        <f t="shared" si="355"/>
        <v/>
      </c>
      <c r="R1143" t="str">
        <f t="shared" si="356"/>
        <v/>
      </c>
      <c r="S1143" t="str">
        <f t="shared" si="357"/>
        <v/>
      </c>
      <c r="T1143" t="str">
        <f t="shared" si="358"/>
        <v/>
      </c>
      <c r="U1143" t="str">
        <f t="shared" si="359"/>
        <v/>
      </c>
      <c r="V1143" t="str">
        <f t="shared" si="360"/>
        <v/>
      </c>
      <c r="W1143" s="71" t="str">
        <f>CONCATENATE(H1143," ",I1143," ",J1143," ",K1143," ",L1143," ",M1143," ",N1143," ",O1143," ",P1143," ",Q1143," ",R1143," ",S1143," ",T1143," ",U1143," ",V1143)</f>
        <v xml:space="preserve">Communication assumptions Anything that the project management team believes to be true but hasn’t proven to be true. For example, the project management team may assume that all of the project team can be reached via cell phone, but parts of the world, as of this writing, don’t have a cell signal.        </v>
      </c>
    </row>
    <row r="1144" spans="1:23" customFormat="1" hidden="1">
      <c r="A1144" t="b">
        <f t="shared" si="342"/>
        <v>0</v>
      </c>
      <c r="B1144">
        <f t="shared" si="344"/>
        <v>1143</v>
      </c>
      <c r="C1144" t="s">
        <v>1112</v>
      </c>
      <c r="D1144" t="s">
        <v>1127</v>
      </c>
      <c r="E1144">
        <f t="shared" si="361"/>
        <v>41</v>
      </c>
      <c r="G1144">
        <f t="shared" si="345"/>
        <v>2</v>
      </c>
      <c r="H1144" t="str">
        <f t="shared" si="346"/>
        <v/>
      </c>
      <c r="I1144" t="str">
        <f t="shared" si="347"/>
        <v/>
      </c>
      <c r="J1144" t="str">
        <f t="shared" si="348"/>
        <v/>
      </c>
      <c r="K1144" t="str">
        <f t="shared" si="349"/>
        <v/>
      </c>
      <c r="L1144" t="str">
        <f t="shared" si="350"/>
        <v/>
      </c>
      <c r="M1144" t="str">
        <f t="shared" si="351"/>
        <v/>
      </c>
      <c r="N1144" t="str">
        <f t="shared" si="352"/>
        <v/>
      </c>
      <c r="O1144" t="str">
        <f t="shared" si="353"/>
        <v/>
      </c>
      <c r="P1144" t="str">
        <f t="shared" si="354"/>
        <v/>
      </c>
      <c r="Q1144" t="str">
        <f t="shared" si="355"/>
        <v/>
      </c>
      <c r="R1144" t="str">
        <f t="shared" si="356"/>
        <v/>
      </c>
      <c r="S1144" t="str">
        <f t="shared" si="357"/>
        <v/>
      </c>
      <c r="T1144" t="str">
        <f t="shared" si="358"/>
        <v/>
      </c>
      <c r="U1144" t="str">
        <f t="shared" si="359"/>
        <v/>
      </c>
      <c r="V1144" t="str">
        <f t="shared" si="360"/>
        <v/>
      </c>
      <c r="W1144" t="str">
        <f t="shared" si="343"/>
        <v xml:space="preserve">              </v>
      </c>
    </row>
    <row r="1145" spans="1:23" customFormat="1" hidden="1">
      <c r="A1145" t="b">
        <f t="shared" si="342"/>
        <v>0</v>
      </c>
      <c r="B1145">
        <f t="shared" si="344"/>
        <v>1144</v>
      </c>
      <c r="C1145" t="s">
        <v>1112</v>
      </c>
      <c r="D1145" t="s">
        <v>1128</v>
      </c>
      <c r="E1145">
        <f t="shared" si="361"/>
        <v>49</v>
      </c>
      <c r="G1145">
        <f t="shared" si="345"/>
        <v>3</v>
      </c>
      <c r="H1145" t="str">
        <f t="shared" si="346"/>
        <v/>
      </c>
      <c r="I1145" t="str">
        <f t="shared" si="347"/>
        <v/>
      </c>
      <c r="J1145" t="str">
        <f t="shared" si="348"/>
        <v/>
      </c>
      <c r="K1145" t="str">
        <f t="shared" si="349"/>
        <v/>
      </c>
      <c r="L1145" t="str">
        <f t="shared" si="350"/>
        <v/>
      </c>
      <c r="M1145" t="str">
        <f t="shared" si="351"/>
        <v/>
      </c>
      <c r="N1145" t="str">
        <f t="shared" si="352"/>
        <v/>
      </c>
      <c r="O1145" t="str">
        <f t="shared" si="353"/>
        <v/>
      </c>
      <c r="P1145" t="str">
        <f t="shared" si="354"/>
        <v/>
      </c>
      <c r="Q1145" t="str">
        <f t="shared" si="355"/>
        <v/>
      </c>
      <c r="R1145" t="str">
        <f t="shared" si="356"/>
        <v/>
      </c>
      <c r="S1145" t="str">
        <f t="shared" si="357"/>
        <v/>
      </c>
      <c r="T1145" t="str">
        <f t="shared" si="358"/>
        <v/>
      </c>
      <c r="U1145" t="str">
        <f t="shared" si="359"/>
        <v/>
      </c>
      <c r="V1145" t="str">
        <f t="shared" si="360"/>
        <v/>
      </c>
      <c r="W1145" t="str">
        <f t="shared" si="343"/>
        <v xml:space="preserve">              </v>
      </c>
    </row>
    <row r="1146" spans="1:23" customFormat="1" hidden="1">
      <c r="A1146" t="b">
        <f t="shared" si="342"/>
        <v>0</v>
      </c>
      <c r="B1146">
        <f t="shared" si="344"/>
        <v>1145</v>
      </c>
      <c r="C1146" t="s">
        <v>1112</v>
      </c>
      <c r="D1146" t="s">
        <v>1129</v>
      </c>
      <c r="E1146">
        <f t="shared" si="361"/>
        <v>44</v>
      </c>
      <c r="G1146">
        <f t="shared" si="345"/>
        <v>4</v>
      </c>
      <c r="H1146" t="str">
        <f t="shared" si="346"/>
        <v/>
      </c>
      <c r="I1146" t="str">
        <f t="shared" si="347"/>
        <v/>
      </c>
      <c r="J1146" t="str">
        <f t="shared" si="348"/>
        <v/>
      </c>
      <c r="K1146" t="str">
        <f t="shared" si="349"/>
        <v/>
      </c>
      <c r="L1146" t="str">
        <f t="shared" si="350"/>
        <v/>
      </c>
      <c r="M1146" t="str">
        <f t="shared" si="351"/>
        <v/>
      </c>
      <c r="N1146" t="str">
        <f t="shared" si="352"/>
        <v/>
      </c>
      <c r="O1146" t="str">
        <f t="shared" si="353"/>
        <v/>
      </c>
      <c r="P1146" t="str">
        <f t="shared" si="354"/>
        <v/>
      </c>
      <c r="Q1146" t="str">
        <f t="shared" si="355"/>
        <v/>
      </c>
      <c r="R1146" t="str">
        <f t="shared" si="356"/>
        <v/>
      </c>
      <c r="S1146" t="str">
        <f t="shared" si="357"/>
        <v/>
      </c>
      <c r="T1146" t="str">
        <f t="shared" si="358"/>
        <v/>
      </c>
      <c r="U1146" t="str">
        <f t="shared" si="359"/>
        <v/>
      </c>
      <c r="V1146" t="str">
        <f t="shared" si="360"/>
        <v/>
      </c>
      <c r="W1146" t="str">
        <f t="shared" si="343"/>
        <v xml:space="preserve">              </v>
      </c>
    </row>
    <row r="1147" spans="1:23" customFormat="1" hidden="1">
      <c r="A1147" t="b">
        <f t="shared" si="342"/>
        <v>0</v>
      </c>
      <c r="B1147">
        <f t="shared" si="344"/>
        <v>1146</v>
      </c>
      <c r="C1147" t="s">
        <v>1112</v>
      </c>
      <c r="D1147" t="s">
        <v>1130</v>
      </c>
      <c r="E1147">
        <f t="shared" si="361"/>
        <v>42</v>
      </c>
      <c r="G1147">
        <f t="shared" si="345"/>
        <v>5</v>
      </c>
      <c r="H1147" t="str">
        <f t="shared" si="346"/>
        <v/>
      </c>
      <c r="I1147" t="str">
        <f t="shared" si="347"/>
        <v/>
      </c>
      <c r="J1147" t="str">
        <f t="shared" si="348"/>
        <v/>
      </c>
      <c r="K1147" t="str">
        <f t="shared" si="349"/>
        <v/>
      </c>
      <c r="L1147" t="str">
        <f t="shared" si="350"/>
        <v/>
      </c>
      <c r="M1147" t="str">
        <f t="shared" si="351"/>
        <v/>
      </c>
      <c r="N1147" t="str">
        <f t="shared" si="352"/>
        <v/>
      </c>
      <c r="O1147" t="str">
        <f t="shared" si="353"/>
        <v/>
      </c>
      <c r="P1147" t="str">
        <f t="shared" si="354"/>
        <v/>
      </c>
      <c r="Q1147" t="str">
        <f t="shared" si="355"/>
        <v/>
      </c>
      <c r="R1147" t="str">
        <f t="shared" si="356"/>
        <v/>
      </c>
      <c r="S1147" t="str">
        <f t="shared" si="357"/>
        <v/>
      </c>
      <c r="T1147" t="str">
        <f t="shared" si="358"/>
        <v/>
      </c>
      <c r="U1147" t="str">
        <f t="shared" si="359"/>
        <v/>
      </c>
      <c r="V1147" t="str">
        <f t="shared" si="360"/>
        <v/>
      </c>
      <c r="W1147" t="str">
        <f t="shared" si="343"/>
        <v xml:space="preserve">              </v>
      </c>
    </row>
    <row r="1148" spans="1:23" customFormat="1" hidden="1">
      <c r="A1148" t="b">
        <f t="shared" si="342"/>
        <v>0</v>
      </c>
      <c r="B1148">
        <f t="shared" si="344"/>
        <v>1147</v>
      </c>
      <c r="C1148" t="s">
        <v>1112</v>
      </c>
      <c r="D1148" t="s">
        <v>1131</v>
      </c>
      <c r="E1148">
        <f t="shared" si="361"/>
        <v>50</v>
      </c>
      <c r="G1148">
        <f t="shared" si="345"/>
        <v>6</v>
      </c>
      <c r="H1148" t="str">
        <f t="shared" si="346"/>
        <v/>
      </c>
      <c r="I1148" t="str">
        <f t="shared" si="347"/>
        <v/>
      </c>
      <c r="J1148" t="str">
        <f t="shared" si="348"/>
        <v/>
      </c>
      <c r="K1148" t="str">
        <f t="shared" si="349"/>
        <v/>
      </c>
      <c r="L1148" t="str">
        <f t="shared" si="350"/>
        <v/>
      </c>
      <c r="M1148" t="str">
        <f t="shared" si="351"/>
        <v/>
      </c>
      <c r="N1148" t="str">
        <f t="shared" si="352"/>
        <v/>
      </c>
      <c r="O1148" t="str">
        <f t="shared" si="353"/>
        <v/>
      </c>
      <c r="P1148" t="str">
        <f t="shared" si="354"/>
        <v/>
      </c>
      <c r="Q1148" t="str">
        <f t="shared" si="355"/>
        <v/>
      </c>
      <c r="R1148" t="str">
        <f t="shared" si="356"/>
        <v/>
      </c>
      <c r="S1148" t="str">
        <f t="shared" si="357"/>
        <v/>
      </c>
      <c r="T1148" t="str">
        <f t="shared" si="358"/>
        <v/>
      </c>
      <c r="U1148" t="str">
        <f t="shared" si="359"/>
        <v/>
      </c>
      <c r="V1148" t="str">
        <f t="shared" si="360"/>
        <v/>
      </c>
      <c r="W1148" t="str">
        <f t="shared" si="343"/>
        <v xml:space="preserve">              </v>
      </c>
    </row>
    <row r="1149" spans="1:23" customFormat="1" hidden="1">
      <c r="A1149" t="b">
        <f t="shared" si="342"/>
        <v>0</v>
      </c>
      <c r="B1149">
        <f t="shared" si="344"/>
        <v>1148</v>
      </c>
      <c r="C1149" t="s">
        <v>1112</v>
      </c>
      <c r="D1149" t="s">
        <v>1132</v>
      </c>
      <c r="E1149">
        <f t="shared" si="361"/>
        <v>42</v>
      </c>
      <c r="G1149">
        <f t="shared" si="345"/>
        <v>7</v>
      </c>
      <c r="H1149" t="str">
        <f t="shared" si="346"/>
        <v/>
      </c>
      <c r="I1149" t="str">
        <f t="shared" si="347"/>
        <v/>
      </c>
      <c r="J1149" t="str">
        <f t="shared" si="348"/>
        <v/>
      </c>
      <c r="K1149" t="str">
        <f t="shared" si="349"/>
        <v/>
      </c>
      <c r="L1149" t="str">
        <f t="shared" si="350"/>
        <v/>
      </c>
      <c r="M1149" t="str">
        <f t="shared" si="351"/>
        <v/>
      </c>
      <c r="N1149" t="str">
        <f t="shared" si="352"/>
        <v/>
      </c>
      <c r="O1149" t="str">
        <f t="shared" si="353"/>
        <v/>
      </c>
      <c r="P1149" t="str">
        <f t="shared" si="354"/>
        <v/>
      </c>
      <c r="Q1149" t="str">
        <f t="shared" si="355"/>
        <v/>
      </c>
      <c r="R1149" t="str">
        <f t="shared" si="356"/>
        <v/>
      </c>
      <c r="S1149" t="str">
        <f t="shared" si="357"/>
        <v/>
      </c>
      <c r="T1149" t="str">
        <f t="shared" si="358"/>
        <v/>
      </c>
      <c r="U1149" t="str">
        <f t="shared" si="359"/>
        <v/>
      </c>
      <c r="V1149" t="str">
        <f t="shared" si="360"/>
        <v/>
      </c>
      <c r="W1149" t="str">
        <f t="shared" si="343"/>
        <v xml:space="preserve">              </v>
      </c>
    </row>
    <row r="1150" spans="1:23" hidden="1">
      <c r="A1150" s="71" t="b">
        <f t="shared" ref="A1150:A1213" si="362">C1150=D1150</f>
        <v>0</v>
      </c>
      <c r="B1150" s="71">
        <f t="shared" si="344"/>
        <v>1149</v>
      </c>
      <c r="C1150" s="71" t="s">
        <v>1112</v>
      </c>
      <c r="D1150" s="71" t="s">
        <v>1133</v>
      </c>
      <c r="E1150">
        <f t="shared" si="361"/>
        <v>21</v>
      </c>
      <c r="F1150">
        <v>1</v>
      </c>
      <c r="G1150">
        <f t="shared" si="345"/>
        <v>1</v>
      </c>
      <c r="H1150" t="str">
        <f t="shared" si="346"/>
        <v>Communication barrier</v>
      </c>
      <c r="I1150" t="str">
        <f t="shared" si="347"/>
        <v>Anything that prohibits communication from</v>
      </c>
      <c r="J1150" t="str">
        <f t="shared" si="348"/>
        <v>occurring.</v>
      </c>
      <c r="K1150" t="str">
        <f t="shared" si="349"/>
        <v/>
      </c>
      <c r="L1150" t="str">
        <f t="shared" si="350"/>
        <v/>
      </c>
      <c r="M1150" t="str">
        <f t="shared" si="351"/>
        <v/>
      </c>
      <c r="N1150" t="str">
        <f t="shared" si="352"/>
        <v/>
      </c>
      <c r="O1150" t="str">
        <f t="shared" si="353"/>
        <v/>
      </c>
      <c r="P1150" t="str">
        <f t="shared" si="354"/>
        <v/>
      </c>
      <c r="Q1150" t="str">
        <f t="shared" si="355"/>
        <v/>
      </c>
      <c r="R1150" t="str">
        <f t="shared" si="356"/>
        <v/>
      </c>
      <c r="S1150" t="str">
        <f t="shared" si="357"/>
        <v/>
      </c>
      <c r="T1150" t="str">
        <f t="shared" si="358"/>
        <v/>
      </c>
      <c r="U1150" t="str">
        <f t="shared" si="359"/>
        <v/>
      </c>
      <c r="V1150" t="str">
        <f t="shared" si="360"/>
        <v/>
      </c>
      <c r="W1150" s="71" t="str">
        <f>CONCATENATE(H1150," ",I1150," ",J1150," ",K1150," ",L1150," ",M1150," ",N1150," ",O1150," ",P1150," ",Q1150," ",R1150," ",S1150," ",T1150," ",U1150," ",V1150)</f>
        <v xml:space="preserve">Communication barrier Anything that prohibits communication from occurring.            </v>
      </c>
    </row>
    <row r="1151" spans="1:23" customFormat="1" hidden="1">
      <c r="A1151" t="b">
        <f t="shared" si="362"/>
        <v>0</v>
      </c>
      <c r="B1151">
        <f t="shared" si="344"/>
        <v>1150</v>
      </c>
      <c r="C1151" t="s">
        <v>1112</v>
      </c>
      <c r="D1151" t="s">
        <v>1134</v>
      </c>
      <c r="E1151">
        <f t="shared" si="361"/>
        <v>42</v>
      </c>
      <c r="G1151">
        <f t="shared" si="345"/>
        <v>2</v>
      </c>
      <c r="H1151" t="str">
        <f t="shared" si="346"/>
        <v/>
      </c>
      <c r="I1151" t="str">
        <f t="shared" si="347"/>
        <v/>
      </c>
      <c r="J1151" t="str">
        <f t="shared" si="348"/>
        <v/>
      </c>
      <c r="K1151" t="str">
        <f t="shared" si="349"/>
        <v/>
      </c>
      <c r="L1151" t="str">
        <f t="shared" si="350"/>
        <v/>
      </c>
      <c r="M1151" t="str">
        <f t="shared" si="351"/>
        <v/>
      </c>
      <c r="N1151" t="str">
        <f t="shared" si="352"/>
        <v/>
      </c>
      <c r="O1151" t="str">
        <f t="shared" si="353"/>
        <v/>
      </c>
      <c r="P1151" t="str">
        <f t="shared" si="354"/>
        <v/>
      </c>
      <c r="Q1151" t="str">
        <f t="shared" si="355"/>
        <v/>
      </c>
      <c r="R1151" t="str">
        <f t="shared" si="356"/>
        <v/>
      </c>
      <c r="S1151" t="str">
        <f t="shared" si="357"/>
        <v/>
      </c>
      <c r="T1151" t="str">
        <f t="shared" si="358"/>
        <v/>
      </c>
      <c r="U1151" t="str">
        <f t="shared" si="359"/>
        <v/>
      </c>
      <c r="V1151" t="str">
        <f t="shared" si="360"/>
        <v/>
      </c>
      <c r="W1151" t="str">
        <f t="shared" ref="W1151:W1212" si="363">CONCATENATE(H1151," ",I1151," ",J1151," ",K1151," ",L1151," ",M1151," ",N1151," ",O1151," ",P1151," ",Q1151," ",R1151," ",S1151," ",T1151," ",U1151," ",V1151)</f>
        <v xml:space="preserve">              </v>
      </c>
    </row>
    <row r="1152" spans="1:23" customFormat="1" hidden="1">
      <c r="A1152" t="b">
        <f t="shared" si="362"/>
        <v>0</v>
      </c>
      <c r="B1152">
        <f t="shared" si="344"/>
        <v>1151</v>
      </c>
      <c r="C1152" t="s">
        <v>1112</v>
      </c>
      <c r="D1152" t="s">
        <v>1135</v>
      </c>
      <c r="E1152">
        <f t="shared" si="361"/>
        <v>10</v>
      </c>
      <c r="G1152">
        <f t="shared" si="345"/>
        <v>3</v>
      </c>
      <c r="H1152" t="str">
        <f t="shared" si="346"/>
        <v/>
      </c>
      <c r="I1152" t="str">
        <f t="shared" si="347"/>
        <v/>
      </c>
      <c r="J1152" t="str">
        <f t="shared" si="348"/>
        <v/>
      </c>
      <c r="K1152" t="str">
        <f t="shared" si="349"/>
        <v/>
      </c>
      <c r="L1152" t="str">
        <f t="shared" si="350"/>
        <v/>
      </c>
      <c r="M1152" t="str">
        <f t="shared" si="351"/>
        <v/>
      </c>
      <c r="N1152" t="str">
        <f t="shared" si="352"/>
        <v/>
      </c>
      <c r="O1152" t="str">
        <f t="shared" si="353"/>
        <v/>
      </c>
      <c r="P1152" t="str">
        <f t="shared" si="354"/>
        <v/>
      </c>
      <c r="Q1152" t="str">
        <f t="shared" si="355"/>
        <v/>
      </c>
      <c r="R1152" t="str">
        <f t="shared" si="356"/>
        <v/>
      </c>
      <c r="S1152" t="str">
        <f t="shared" si="357"/>
        <v/>
      </c>
      <c r="T1152" t="str">
        <f t="shared" si="358"/>
        <v/>
      </c>
      <c r="U1152" t="str">
        <f t="shared" si="359"/>
        <v/>
      </c>
      <c r="V1152" t="str">
        <f t="shared" si="360"/>
        <v/>
      </c>
      <c r="W1152" t="str">
        <f t="shared" si="363"/>
        <v xml:space="preserve">              </v>
      </c>
    </row>
    <row r="1153" spans="1:23" hidden="1">
      <c r="A1153" s="71" t="b">
        <f t="shared" si="362"/>
        <v>0</v>
      </c>
      <c r="B1153" s="71">
        <f t="shared" si="344"/>
        <v>1152</v>
      </c>
      <c r="C1153" s="71" t="s">
        <v>1112</v>
      </c>
      <c r="D1153" s="71" t="s">
        <v>1136</v>
      </c>
      <c r="E1153">
        <f t="shared" si="361"/>
        <v>30</v>
      </c>
      <c r="F1153">
        <v>1</v>
      </c>
      <c r="G1153">
        <f t="shared" si="345"/>
        <v>1</v>
      </c>
      <c r="H1153" t="str">
        <f t="shared" si="346"/>
        <v>Communication channels formula</v>
      </c>
      <c r="I1153" t="str">
        <f t="shared" si="347"/>
        <v>N(N – 1)/2, where N represents the number of</v>
      </c>
      <c r="J1153" t="str">
        <f t="shared" si="348"/>
        <v>identified stakeholders. This formula reveals the</v>
      </c>
      <c r="K1153" t="str">
        <f t="shared" si="349"/>
        <v>total number of communication channels within</v>
      </c>
      <c r="L1153" t="str">
        <f t="shared" si="350"/>
        <v>a project.</v>
      </c>
      <c r="M1153" t="str">
        <f t="shared" si="351"/>
        <v/>
      </c>
      <c r="N1153" t="str">
        <f t="shared" si="352"/>
        <v/>
      </c>
      <c r="O1153" t="str">
        <f t="shared" si="353"/>
        <v/>
      </c>
      <c r="P1153" t="str">
        <f t="shared" si="354"/>
        <v/>
      </c>
      <c r="Q1153" t="str">
        <f t="shared" si="355"/>
        <v/>
      </c>
      <c r="R1153" t="str">
        <f t="shared" si="356"/>
        <v/>
      </c>
      <c r="S1153" t="str">
        <f t="shared" si="357"/>
        <v/>
      </c>
      <c r="T1153" t="str">
        <f t="shared" si="358"/>
        <v/>
      </c>
      <c r="U1153" t="str">
        <f t="shared" si="359"/>
        <v/>
      </c>
      <c r="V1153" t="str">
        <f t="shared" si="360"/>
        <v/>
      </c>
      <c r="W1153" s="71" t="str">
        <f>CONCATENATE(H1153," ",I1153," ",J1153," ",K1153," ",L1153," ",M1153," ",N1153," ",O1153," ",P1153," ",Q1153," ",R1153," ",S1153," ",T1153," ",U1153," ",V1153)</f>
        <v xml:space="preserve">Communication channels formula N(N – 1)/2, where N represents the number of identified stakeholders. This formula reveals the total number of communication channels within a project.          </v>
      </c>
    </row>
    <row r="1154" spans="1:23" customFormat="1" hidden="1">
      <c r="A1154" t="b">
        <f t="shared" si="362"/>
        <v>0</v>
      </c>
      <c r="B1154">
        <f t="shared" si="344"/>
        <v>1153</v>
      </c>
      <c r="C1154" t="s">
        <v>1112</v>
      </c>
      <c r="D1154" t="s">
        <v>1137</v>
      </c>
      <c r="E1154">
        <f t="shared" si="361"/>
        <v>44</v>
      </c>
      <c r="G1154">
        <f t="shared" si="345"/>
        <v>2</v>
      </c>
      <c r="H1154" t="str">
        <f t="shared" si="346"/>
        <v/>
      </c>
      <c r="I1154" t="str">
        <f t="shared" si="347"/>
        <v/>
      </c>
      <c r="J1154" t="str">
        <f t="shared" si="348"/>
        <v/>
      </c>
      <c r="K1154" t="str">
        <f t="shared" si="349"/>
        <v/>
      </c>
      <c r="L1154" t="str">
        <f t="shared" si="350"/>
        <v/>
      </c>
      <c r="M1154" t="str">
        <f t="shared" si="351"/>
        <v/>
      </c>
      <c r="N1154" t="str">
        <f t="shared" si="352"/>
        <v/>
      </c>
      <c r="O1154" t="str">
        <f t="shared" si="353"/>
        <v/>
      </c>
      <c r="P1154" t="str">
        <f t="shared" si="354"/>
        <v/>
      </c>
      <c r="Q1154" t="str">
        <f t="shared" si="355"/>
        <v/>
      </c>
      <c r="R1154" t="str">
        <f t="shared" si="356"/>
        <v/>
      </c>
      <c r="S1154" t="str">
        <f t="shared" si="357"/>
        <v/>
      </c>
      <c r="T1154" t="str">
        <f t="shared" si="358"/>
        <v/>
      </c>
      <c r="U1154" t="str">
        <f t="shared" si="359"/>
        <v/>
      </c>
      <c r="V1154" t="str">
        <f t="shared" si="360"/>
        <v/>
      </c>
      <c r="W1154" t="str">
        <f t="shared" si="363"/>
        <v xml:space="preserve">              </v>
      </c>
    </row>
    <row r="1155" spans="1:23" customFormat="1" hidden="1">
      <c r="A1155" t="b">
        <f t="shared" si="362"/>
        <v>0</v>
      </c>
      <c r="B1155">
        <f t="shared" si="344"/>
        <v>1154</v>
      </c>
      <c r="C1155" t="s">
        <v>1112</v>
      </c>
      <c r="D1155" t="s">
        <v>1138</v>
      </c>
      <c r="E1155">
        <f t="shared" si="361"/>
        <v>49</v>
      </c>
      <c r="G1155">
        <f t="shared" si="345"/>
        <v>3</v>
      </c>
      <c r="H1155" t="str">
        <f t="shared" si="346"/>
        <v/>
      </c>
      <c r="I1155" t="str">
        <f t="shared" si="347"/>
        <v/>
      </c>
      <c r="J1155" t="str">
        <f t="shared" si="348"/>
        <v/>
      </c>
      <c r="K1155" t="str">
        <f t="shared" si="349"/>
        <v/>
      </c>
      <c r="L1155" t="str">
        <f t="shared" si="350"/>
        <v/>
      </c>
      <c r="M1155" t="str">
        <f t="shared" si="351"/>
        <v/>
      </c>
      <c r="N1155" t="str">
        <f t="shared" si="352"/>
        <v/>
      </c>
      <c r="O1155" t="str">
        <f t="shared" si="353"/>
        <v/>
      </c>
      <c r="P1155" t="str">
        <f t="shared" si="354"/>
        <v/>
      </c>
      <c r="Q1155" t="str">
        <f t="shared" si="355"/>
        <v/>
      </c>
      <c r="R1155" t="str">
        <f t="shared" si="356"/>
        <v/>
      </c>
      <c r="S1155" t="str">
        <f t="shared" si="357"/>
        <v/>
      </c>
      <c r="T1155" t="str">
        <f t="shared" si="358"/>
        <v/>
      </c>
      <c r="U1155" t="str">
        <f t="shared" si="359"/>
        <v/>
      </c>
      <c r="V1155" t="str">
        <f t="shared" si="360"/>
        <v/>
      </c>
      <c r="W1155" t="str">
        <f t="shared" si="363"/>
        <v xml:space="preserve">              </v>
      </c>
    </row>
    <row r="1156" spans="1:23" customFormat="1" hidden="1">
      <c r="A1156" t="b">
        <f t="shared" si="362"/>
        <v>0</v>
      </c>
      <c r="B1156">
        <f t="shared" ref="B1156:B1219" si="364">B1155+1</f>
        <v>1155</v>
      </c>
      <c r="C1156" t="s">
        <v>1112</v>
      </c>
      <c r="D1156" t="s">
        <v>1139</v>
      </c>
      <c r="E1156">
        <f t="shared" si="361"/>
        <v>45</v>
      </c>
      <c r="G1156">
        <f t="shared" ref="G1156:G1219" si="365">IF(F1156=1,1,G1155+1)</f>
        <v>4</v>
      </c>
      <c r="H1156" t="str">
        <f t="shared" ref="H1156:H1219" si="366">IF($G1156=H$1,$D1156,"")</f>
        <v/>
      </c>
      <c r="I1156" t="str">
        <f t="shared" ref="I1156:I1219" si="367">IF($G1157=I$1,$D1157,"")</f>
        <v/>
      </c>
      <c r="J1156" t="str">
        <f t="shared" ref="J1156:J1219" si="368">IF($G1158=J$1,$D1158,"")</f>
        <v/>
      </c>
      <c r="K1156" t="str">
        <f t="shared" ref="K1156:K1219" si="369">IF($G1159=K$1,$D1159,"")</f>
        <v/>
      </c>
      <c r="L1156" t="str">
        <f t="shared" ref="L1156:L1219" si="370">IF($G1160=L$1,$D1160,"")</f>
        <v/>
      </c>
      <c r="M1156" t="str">
        <f t="shared" ref="M1156:M1219" si="371">IF($G1161=M$1,$D1161,"")</f>
        <v/>
      </c>
      <c r="N1156" t="str">
        <f t="shared" ref="N1156:N1219" si="372">IF($G1162=N$1,$D1162,"")</f>
        <v/>
      </c>
      <c r="O1156" t="str">
        <f t="shared" ref="O1156:O1219" si="373">IF($G1163=O$1,$D1163,"")</f>
        <v/>
      </c>
      <c r="P1156" t="str">
        <f t="shared" ref="P1156:P1219" si="374">IF($G1164=P$1,$D1164,"")</f>
        <v/>
      </c>
      <c r="Q1156" t="str">
        <f t="shared" ref="Q1156:Q1219" si="375">IF($G1165=Q$1,$D1165,"")</f>
        <v/>
      </c>
      <c r="R1156" t="str">
        <f t="shared" ref="R1156:R1219" si="376">IF($G1166=R$1,$D1166,"")</f>
        <v/>
      </c>
      <c r="S1156" t="str">
        <f t="shared" ref="S1156:S1219" si="377">IF($G1167=S$1,$D1167,"")</f>
        <v/>
      </c>
      <c r="T1156" t="str">
        <f t="shared" ref="T1156:T1219" si="378">IF($G1168=T$1,$D1168,"")</f>
        <v/>
      </c>
      <c r="U1156" t="str">
        <f t="shared" ref="U1156:U1219" si="379">IF($G1169=U$1,$D1169,"")</f>
        <v/>
      </c>
      <c r="V1156" t="str">
        <f t="shared" ref="V1156:V1219" si="380">IF($G1170=V$1,$D1170,"")</f>
        <v/>
      </c>
      <c r="W1156" t="str">
        <f t="shared" si="363"/>
        <v xml:space="preserve">              </v>
      </c>
    </row>
    <row r="1157" spans="1:23" customFormat="1" hidden="1">
      <c r="A1157" t="b">
        <f t="shared" si="362"/>
        <v>0</v>
      </c>
      <c r="B1157">
        <f t="shared" si="364"/>
        <v>1156</v>
      </c>
      <c r="C1157" t="s">
        <v>1112</v>
      </c>
      <c r="D1157" t="s">
        <v>1140</v>
      </c>
      <c r="E1157">
        <f t="shared" si="361"/>
        <v>10</v>
      </c>
      <c r="G1157">
        <f t="shared" si="365"/>
        <v>5</v>
      </c>
      <c r="H1157" t="str">
        <f t="shared" si="366"/>
        <v/>
      </c>
      <c r="I1157" t="str">
        <f t="shared" si="367"/>
        <v/>
      </c>
      <c r="J1157" t="str">
        <f t="shared" si="368"/>
        <v/>
      </c>
      <c r="K1157" t="str">
        <f t="shared" si="369"/>
        <v/>
      </c>
      <c r="L1157" t="str">
        <f t="shared" si="370"/>
        <v/>
      </c>
      <c r="M1157" t="str">
        <f t="shared" si="371"/>
        <v/>
      </c>
      <c r="N1157" t="str">
        <f t="shared" si="372"/>
        <v/>
      </c>
      <c r="O1157" t="str">
        <f t="shared" si="373"/>
        <v/>
      </c>
      <c r="P1157" t="str">
        <f t="shared" si="374"/>
        <v/>
      </c>
      <c r="Q1157" t="str">
        <f t="shared" si="375"/>
        <v/>
      </c>
      <c r="R1157" t="str">
        <f t="shared" si="376"/>
        <v/>
      </c>
      <c r="S1157" t="str">
        <f t="shared" si="377"/>
        <v/>
      </c>
      <c r="T1157" t="str">
        <f t="shared" si="378"/>
        <v/>
      </c>
      <c r="U1157" t="str">
        <f t="shared" si="379"/>
        <v/>
      </c>
      <c r="V1157" t="str">
        <f t="shared" si="380"/>
        <v/>
      </c>
      <c r="W1157" t="str">
        <f t="shared" si="363"/>
        <v xml:space="preserve">              </v>
      </c>
    </row>
    <row r="1158" spans="1:23" hidden="1">
      <c r="A1158" s="71" t="b">
        <f t="shared" si="362"/>
        <v>0</v>
      </c>
      <c r="B1158" s="71">
        <f t="shared" si="364"/>
        <v>1157</v>
      </c>
      <c r="C1158" s="71" t="s">
        <v>1112</v>
      </c>
      <c r="D1158" s="71" t="s">
        <v>1141</v>
      </c>
      <c r="E1158">
        <f t="shared" si="361"/>
        <v>25</v>
      </c>
      <c r="F1158">
        <v>1</v>
      </c>
      <c r="G1158">
        <f t="shared" si="365"/>
        <v>1</v>
      </c>
      <c r="H1158" t="str">
        <f t="shared" si="366"/>
        <v>Communication constraints</v>
      </c>
      <c r="I1158" t="str">
        <f t="shared" si="367"/>
        <v>Anything that limits the project management</v>
      </c>
      <c r="J1158" t="str">
        <f t="shared" si="368"/>
        <v>team’s options. When it comes to</v>
      </c>
      <c r="K1158" t="str">
        <f t="shared" si="369"/>
        <v>communication constraints, geographical locales,</v>
      </c>
      <c r="L1158" t="str">
        <f t="shared" si="370"/>
        <v>incompatible communications software, and</v>
      </c>
      <c r="M1158" t="str">
        <f t="shared" si="371"/>
        <v>even limited communications technology can</v>
      </c>
      <c r="N1158" t="str">
        <f t="shared" si="372"/>
        <v>constrain the project team.</v>
      </c>
      <c r="O1158" t="str">
        <f t="shared" si="373"/>
        <v/>
      </c>
      <c r="P1158" t="str">
        <f t="shared" si="374"/>
        <v/>
      </c>
      <c r="Q1158" t="str">
        <f t="shared" si="375"/>
        <v/>
      </c>
      <c r="R1158" t="str">
        <f t="shared" si="376"/>
        <v/>
      </c>
      <c r="S1158" t="str">
        <f t="shared" si="377"/>
        <v/>
      </c>
      <c r="T1158" t="str">
        <f t="shared" si="378"/>
        <v/>
      </c>
      <c r="U1158" t="str">
        <f t="shared" si="379"/>
        <v/>
      </c>
      <c r="V1158" t="str">
        <f t="shared" si="380"/>
        <v/>
      </c>
      <c r="W1158" s="71" t="str">
        <f>CONCATENATE(H1158," ",I1158," ",J1158," ",K1158," ",L1158," ",M1158," ",N1158," ",O1158," ",P1158," ",Q1158," ",R1158," ",S1158," ",T1158," ",U1158," ",V1158)</f>
        <v xml:space="preserve">Communication constraints Anything that limits the project management team’s options. When it comes to communication constraints, geographical locales, incompatible communications software, and even limited communications technology can constrain the project team.        </v>
      </c>
    </row>
    <row r="1159" spans="1:23" customFormat="1" hidden="1">
      <c r="A1159" t="b">
        <f t="shared" si="362"/>
        <v>0</v>
      </c>
      <c r="B1159">
        <f t="shared" si="364"/>
        <v>1158</v>
      </c>
      <c r="C1159" t="s">
        <v>1112</v>
      </c>
      <c r="D1159" t="s">
        <v>1142</v>
      </c>
      <c r="E1159">
        <f t="shared" si="361"/>
        <v>43</v>
      </c>
      <c r="G1159">
        <f t="shared" si="365"/>
        <v>2</v>
      </c>
      <c r="H1159" t="str">
        <f t="shared" si="366"/>
        <v/>
      </c>
      <c r="I1159" t="str">
        <f t="shared" si="367"/>
        <v/>
      </c>
      <c r="J1159" t="str">
        <f t="shared" si="368"/>
        <v/>
      </c>
      <c r="K1159" t="str">
        <f t="shared" si="369"/>
        <v/>
      </c>
      <c r="L1159" t="str">
        <f t="shared" si="370"/>
        <v/>
      </c>
      <c r="M1159" t="str">
        <f t="shared" si="371"/>
        <v/>
      </c>
      <c r="N1159" t="str">
        <f t="shared" si="372"/>
        <v/>
      </c>
      <c r="O1159" t="str">
        <f t="shared" si="373"/>
        <v/>
      </c>
      <c r="P1159" t="str">
        <f t="shared" si="374"/>
        <v/>
      </c>
      <c r="Q1159" t="str">
        <f t="shared" si="375"/>
        <v/>
      </c>
      <c r="R1159" t="str">
        <f t="shared" si="376"/>
        <v/>
      </c>
      <c r="S1159" t="str">
        <f t="shared" si="377"/>
        <v/>
      </c>
      <c r="T1159" t="str">
        <f t="shared" si="378"/>
        <v/>
      </c>
      <c r="U1159" t="str">
        <f t="shared" si="379"/>
        <v/>
      </c>
      <c r="V1159" t="str">
        <f t="shared" si="380"/>
        <v/>
      </c>
      <c r="W1159" t="str">
        <f t="shared" si="363"/>
        <v xml:space="preserve">              </v>
      </c>
    </row>
    <row r="1160" spans="1:23" customFormat="1" hidden="1">
      <c r="A1160" t="b">
        <f t="shared" si="362"/>
        <v>0</v>
      </c>
      <c r="B1160">
        <f t="shared" si="364"/>
        <v>1159</v>
      </c>
      <c r="C1160" t="s">
        <v>1112</v>
      </c>
      <c r="D1160" t="s">
        <v>1143</v>
      </c>
      <c r="E1160">
        <f t="shared" si="361"/>
        <v>32</v>
      </c>
      <c r="G1160">
        <f t="shared" si="365"/>
        <v>3</v>
      </c>
      <c r="H1160" t="str">
        <f t="shared" si="366"/>
        <v/>
      </c>
      <c r="I1160" t="str">
        <f t="shared" si="367"/>
        <v/>
      </c>
      <c r="J1160" t="str">
        <f t="shared" si="368"/>
        <v/>
      </c>
      <c r="K1160" t="str">
        <f t="shared" si="369"/>
        <v/>
      </c>
      <c r="L1160" t="str">
        <f t="shared" si="370"/>
        <v/>
      </c>
      <c r="M1160" t="str">
        <f t="shared" si="371"/>
        <v/>
      </c>
      <c r="N1160" t="str">
        <f t="shared" si="372"/>
        <v/>
      </c>
      <c r="O1160" t="str">
        <f t="shared" si="373"/>
        <v/>
      </c>
      <c r="P1160" t="str">
        <f t="shared" si="374"/>
        <v/>
      </c>
      <c r="Q1160" t="str">
        <f t="shared" si="375"/>
        <v/>
      </c>
      <c r="R1160" t="str">
        <f t="shared" si="376"/>
        <v/>
      </c>
      <c r="S1160" t="str">
        <f t="shared" si="377"/>
        <v/>
      </c>
      <c r="T1160" t="str">
        <f t="shared" si="378"/>
        <v/>
      </c>
      <c r="U1160" t="str">
        <f t="shared" si="379"/>
        <v/>
      </c>
      <c r="V1160" t="str">
        <f t="shared" si="380"/>
        <v/>
      </c>
      <c r="W1160" t="str">
        <f t="shared" si="363"/>
        <v xml:space="preserve">              </v>
      </c>
    </row>
    <row r="1161" spans="1:23" customFormat="1" hidden="1">
      <c r="A1161" t="b">
        <f t="shared" si="362"/>
        <v>0</v>
      </c>
      <c r="B1161">
        <f t="shared" si="364"/>
        <v>1160</v>
      </c>
      <c r="C1161" t="s">
        <v>1112</v>
      </c>
      <c r="D1161" t="s">
        <v>1144</v>
      </c>
      <c r="E1161">
        <f t="shared" si="361"/>
        <v>48</v>
      </c>
      <c r="G1161">
        <f t="shared" si="365"/>
        <v>4</v>
      </c>
      <c r="H1161" t="str">
        <f t="shared" si="366"/>
        <v/>
      </c>
      <c r="I1161" t="str">
        <f t="shared" si="367"/>
        <v/>
      </c>
      <c r="J1161" t="str">
        <f t="shared" si="368"/>
        <v/>
      </c>
      <c r="K1161" t="str">
        <f t="shared" si="369"/>
        <v/>
      </c>
      <c r="L1161" t="str">
        <f t="shared" si="370"/>
        <v/>
      </c>
      <c r="M1161" t="str">
        <f t="shared" si="371"/>
        <v/>
      </c>
      <c r="N1161" t="str">
        <f t="shared" si="372"/>
        <v/>
      </c>
      <c r="O1161" t="str">
        <f t="shared" si="373"/>
        <v/>
      </c>
      <c r="P1161" t="str">
        <f t="shared" si="374"/>
        <v/>
      </c>
      <c r="Q1161" t="str">
        <f t="shared" si="375"/>
        <v/>
      </c>
      <c r="R1161" t="str">
        <f t="shared" si="376"/>
        <v/>
      </c>
      <c r="S1161" t="str">
        <f t="shared" si="377"/>
        <v/>
      </c>
      <c r="T1161" t="str">
        <f t="shared" si="378"/>
        <v/>
      </c>
      <c r="U1161" t="str">
        <f t="shared" si="379"/>
        <v/>
      </c>
      <c r="V1161" t="str">
        <f t="shared" si="380"/>
        <v/>
      </c>
      <c r="W1161" t="str">
        <f t="shared" si="363"/>
        <v xml:space="preserve">              </v>
      </c>
    </row>
    <row r="1162" spans="1:23" customFormat="1" hidden="1">
      <c r="A1162" t="b">
        <f t="shared" si="362"/>
        <v>0</v>
      </c>
      <c r="B1162">
        <f t="shared" si="364"/>
        <v>1161</v>
      </c>
      <c r="C1162" t="s">
        <v>1112</v>
      </c>
      <c r="D1162" t="s">
        <v>1145</v>
      </c>
      <c r="E1162">
        <f t="shared" si="361"/>
        <v>41</v>
      </c>
      <c r="G1162">
        <f t="shared" si="365"/>
        <v>5</v>
      </c>
      <c r="H1162" t="str">
        <f t="shared" si="366"/>
        <v/>
      </c>
      <c r="I1162" t="str">
        <f t="shared" si="367"/>
        <v/>
      </c>
      <c r="J1162" t="str">
        <f t="shared" si="368"/>
        <v/>
      </c>
      <c r="K1162" t="str">
        <f t="shared" si="369"/>
        <v/>
      </c>
      <c r="L1162" t="str">
        <f t="shared" si="370"/>
        <v/>
      </c>
      <c r="M1162" t="str">
        <f t="shared" si="371"/>
        <v/>
      </c>
      <c r="N1162" t="str">
        <f t="shared" si="372"/>
        <v/>
      </c>
      <c r="O1162" t="str">
        <f t="shared" si="373"/>
        <v/>
      </c>
      <c r="P1162" t="str">
        <f t="shared" si="374"/>
        <v/>
      </c>
      <c r="Q1162" t="str">
        <f t="shared" si="375"/>
        <v/>
      </c>
      <c r="R1162" t="str">
        <f t="shared" si="376"/>
        <v/>
      </c>
      <c r="S1162" t="str">
        <f t="shared" si="377"/>
        <v/>
      </c>
      <c r="T1162" t="str">
        <f t="shared" si="378"/>
        <v/>
      </c>
      <c r="U1162" t="str">
        <f t="shared" si="379"/>
        <v/>
      </c>
      <c r="V1162" t="str">
        <f t="shared" si="380"/>
        <v/>
      </c>
      <c r="W1162" t="str">
        <f t="shared" si="363"/>
        <v xml:space="preserve">              </v>
      </c>
    </row>
    <row r="1163" spans="1:23" customFormat="1" hidden="1">
      <c r="A1163" t="b">
        <f t="shared" si="362"/>
        <v>0</v>
      </c>
      <c r="B1163">
        <f t="shared" si="364"/>
        <v>1162</v>
      </c>
      <c r="C1163" t="s">
        <v>1112</v>
      </c>
      <c r="D1163" t="s">
        <v>1146</v>
      </c>
      <c r="E1163">
        <f t="shared" si="361"/>
        <v>42</v>
      </c>
      <c r="G1163">
        <f t="shared" si="365"/>
        <v>6</v>
      </c>
      <c r="H1163" t="str">
        <f t="shared" si="366"/>
        <v/>
      </c>
      <c r="I1163" t="str">
        <f t="shared" si="367"/>
        <v/>
      </c>
      <c r="J1163" t="str">
        <f t="shared" si="368"/>
        <v/>
      </c>
      <c r="K1163" t="str">
        <f t="shared" si="369"/>
        <v/>
      </c>
      <c r="L1163" t="str">
        <f t="shared" si="370"/>
        <v/>
      </c>
      <c r="M1163" t="str">
        <f t="shared" si="371"/>
        <v/>
      </c>
      <c r="N1163" t="str">
        <f t="shared" si="372"/>
        <v/>
      </c>
      <c r="O1163" t="str">
        <f t="shared" si="373"/>
        <v/>
      </c>
      <c r="P1163" t="str">
        <f t="shared" si="374"/>
        <v/>
      </c>
      <c r="Q1163" t="str">
        <f t="shared" si="375"/>
        <v/>
      </c>
      <c r="R1163" t="str">
        <f t="shared" si="376"/>
        <v/>
      </c>
      <c r="S1163" t="str">
        <f t="shared" si="377"/>
        <v/>
      </c>
      <c r="T1163" t="str">
        <f t="shared" si="378"/>
        <v/>
      </c>
      <c r="U1163" t="str">
        <f t="shared" si="379"/>
        <v/>
      </c>
      <c r="V1163" t="str">
        <f t="shared" si="380"/>
        <v/>
      </c>
      <c r="W1163" t="str">
        <f t="shared" si="363"/>
        <v xml:space="preserve">              </v>
      </c>
    </row>
    <row r="1164" spans="1:23" customFormat="1" hidden="1">
      <c r="A1164" t="b">
        <f t="shared" si="362"/>
        <v>0</v>
      </c>
      <c r="B1164">
        <f t="shared" si="364"/>
        <v>1163</v>
      </c>
      <c r="C1164" t="s">
        <v>1112</v>
      </c>
      <c r="D1164" t="s">
        <v>1147</v>
      </c>
      <c r="E1164">
        <f t="shared" si="361"/>
        <v>27</v>
      </c>
      <c r="G1164">
        <f t="shared" si="365"/>
        <v>7</v>
      </c>
      <c r="H1164" t="str">
        <f t="shared" si="366"/>
        <v/>
      </c>
      <c r="I1164" t="str">
        <f t="shared" si="367"/>
        <v/>
      </c>
      <c r="J1164" t="str">
        <f t="shared" si="368"/>
        <v/>
      </c>
      <c r="K1164" t="str">
        <f t="shared" si="369"/>
        <v/>
      </c>
      <c r="L1164" t="str">
        <f t="shared" si="370"/>
        <v/>
      </c>
      <c r="M1164" t="str">
        <f t="shared" si="371"/>
        <v/>
      </c>
      <c r="N1164" t="str">
        <f t="shared" si="372"/>
        <v/>
      </c>
      <c r="O1164" t="str">
        <f t="shared" si="373"/>
        <v/>
      </c>
      <c r="P1164" t="str">
        <f t="shared" si="374"/>
        <v/>
      </c>
      <c r="Q1164" t="str">
        <f t="shared" si="375"/>
        <v/>
      </c>
      <c r="R1164" t="str">
        <f t="shared" si="376"/>
        <v/>
      </c>
      <c r="S1164" t="str">
        <f t="shared" si="377"/>
        <v/>
      </c>
      <c r="T1164" t="str">
        <f t="shared" si="378"/>
        <v/>
      </c>
      <c r="U1164" t="str">
        <f t="shared" si="379"/>
        <v/>
      </c>
      <c r="V1164" t="str">
        <f t="shared" si="380"/>
        <v/>
      </c>
      <c r="W1164" t="str">
        <f t="shared" si="363"/>
        <v xml:space="preserve">              </v>
      </c>
    </row>
    <row r="1165" spans="1:23" hidden="1">
      <c r="A1165" s="71" t="b">
        <f t="shared" si="362"/>
        <v>0</v>
      </c>
      <c r="B1165" s="71">
        <f t="shared" si="364"/>
        <v>1164</v>
      </c>
      <c r="C1165" s="71" t="s">
        <v>1112</v>
      </c>
      <c r="D1165" s="71" t="s">
        <v>191</v>
      </c>
      <c r="E1165">
        <f t="shared" si="361"/>
        <v>30</v>
      </c>
      <c r="F1165">
        <v>1</v>
      </c>
      <c r="G1165">
        <f t="shared" si="365"/>
        <v>1</v>
      </c>
      <c r="H1165" t="str">
        <f t="shared" si="366"/>
        <v>Communications management plan</v>
      </c>
      <c r="I1165" t="str">
        <f t="shared" si="367"/>
        <v>A project management subsidiary plan that</v>
      </c>
      <c r="J1165" t="str">
        <f t="shared" si="368"/>
        <v>defines the stakeholders who need specific</v>
      </c>
      <c r="K1165" t="str">
        <f t="shared" si="369"/>
        <v>information, the person who will supply the</v>
      </c>
      <c r="L1165" t="str">
        <f t="shared" si="370"/>
        <v>information, the schedule for the information to</v>
      </c>
      <c r="M1165" t="str">
        <f t="shared" si="371"/>
        <v>be supplied, and the approved modality to</v>
      </c>
      <c r="N1165" t="str">
        <f t="shared" si="372"/>
        <v>provide the information.</v>
      </c>
      <c r="O1165" t="str">
        <f t="shared" si="373"/>
        <v/>
      </c>
      <c r="P1165" t="str">
        <f t="shared" si="374"/>
        <v/>
      </c>
      <c r="Q1165" t="str">
        <f t="shared" si="375"/>
        <v/>
      </c>
      <c r="R1165" t="str">
        <f t="shared" si="376"/>
        <v/>
      </c>
      <c r="S1165" t="str">
        <f t="shared" si="377"/>
        <v/>
      </c>
      <c r="T1165" t="str">
        <f t="shared" si="378"/>
        <v/>
      </c>
      <c r="U1165" t="str">
        <f t="shared" si="379"/>
        <v/>
      </c>
      <c r="V1165" t="str">
        <f t="shared" si="380"/>
        <v/>
      </c>
      <c r="W1165" s="71" t="str">
        <f>CONCATENATE(H1165," ",I1165," ",J1165," ",K1165," ",L1165," ",M1165," ",N1165," ",O1165," ",P1165," ",Q1165," ",R1165," ",S1165," ",T1165," ",U1165," ",V1165)</f>
        <v xml:space="preserve">Communications management plan A project management subsidiary plan that defines the stakeholders who need specific information, the person who will supply the information, the schedule for the information to be supplied, and the approved modality to provide the information.        </v>
      </c>
    </row>
    <row r="1166" spans="1:23" customFormat="1" hidden="1">
      <c r="A1166" t="b">
        <f t="shared" si="362"/>
        <v>0</v>
      </c>
      <c r="B1166">
        <f t="shared" si="364"/>
        <v>1165</v>
      </c>
      <c r="C1166" t="s">
        <v>1112</v>
      </c>
      <c r="D1166" t="s">
        <v>1148</v>
      </c>
      <c r="E1166">
        <f t="shared" si="361"/>
        <v>41</v>
      </c>
      <c r="G1166">
        <f t="shared" si="365"/>
        <v>2</v>
      </c>
      <c r="H1166" t="str">
        <f t="shared" si="366"/>
        <v/>
      </c>
      <c r="I1166" t="str">
        <f t="shared" si="367"/>
        <v/>
      </c>
      <c r="J1166" t="str">
        <f t="shared" si="368"/>
        <v/>
      </c>
      <c r="K1166" t="str">
        <f t="shared" si="369"/>
        <v/>
      </c>
      <c r="L1166" t="str">
        <f t="shared" si="370"/>
        <v/>
      </c>
      <c r="M1166" t="str">
        <f t="shared" si="371"/>
        <v/>
      </c>
      <c r="N1166" t="str">
        <f t="shared" si="372"/>
        <v/>
      </c>
      <c r="O1166" t="str">
        <f t="shared" si="373"/>
        <v/>
      </c>
      <c r="P1166" t="str">
        <f t="shared" si="374"/>
        <v/>
      </c>
      <c r="Q1166" t="str">
        <f t="shared" si="375"/>
        <v/>
      </c>
      <c r="R1166" t="str">
        <f t="shared" si="376"/>
        <v/>
      </c>
      <c r="S1166" t="str">
        <f t="shared" si="377"/>
        <v/>
      </c>
      <c r="T1166" t="str">
        <f t="shared" si="378"/>
        <v/>
      </c>
      <c r="U1166" t="str">
        <f t="shared" si="379"/>
        <v/>
      </c>
      <c r="V1166" t="str">
        <f t="shared" si="380"/>
        <v/>
      </c>
      <c r="W1166" t="str">
        <f t="shared" si="363"/>
        <v xml:space="preserve">              </v>
      </c>
    </row>
    <row r="1167" spans="1:23" customFormat="1" hidden="1">
      <c r="A1167" t="b">
        <f t="shared" si="362"/>
        <v>0</v>
      </c>
      <c r="B1167">
        <f t="shared" si="364"/>
        <v>1166</v>
      </c>
      <c r="C1167" t="s">
        <v>1112</v>
      </c>
      <c r="D1167" t="s">
        <v>1149</v>
      </c>
      <c r="E1167">
        <f t="shared" si="361"/>
        <v>42</v>
      </c>
      <c r="G1167">
        <f t="shared" si="365"/>
        <v>3</v>
      </c>
      <c r="H1167" t="str">
        <f t="shared" si="366"/>
        <v/>
      </c>
      <c r="I1167" t="str">
        <f t="shared" si="367"/>
        <v/>
      </c>
      <c r="J1167" t="str">
        <f t="shared" si="368"/>
        <v/>
      </c>
      <c r="K1167" t="str">
        <f t="shared" si="369"/>
        <v/>
      </c>
      <c r="L1167" t="str">
        <f t="shared" si="370"/>
        <v/>
      </c>
      <c r="M1167" t="str">
        <f t="shared" si="371"/>
        <v/>
      </c>
      <c r="N1167" t="str">
        <f t="shared" si="372"/>
        <v/>
      </c>
      <c r="O1167" t="str">
        <f t="shared" si="373"/>
        <v/>
      </c>
      <c r="P1167" t="str">
        <f t="shared" si="374"/>
        <v/>
      </c>
      <c r="Q1167" t="str">
        <f t="shared" si="375"/>
        <v/>
      </c>
      <c r="R1167" t="str">
        <f t="shared" si="376"/>
        <v/>
      </c>
      <c r="S1167" t="str">
        <f t="shared" si="377"/>
        <v/>
      </c>
      <c r="T1167" t="str">
        <f t="shared" si="378"/>
        <v/>
      </c>
      <c r="U1167" t="str">
        <f t="shared" si="379"/>
        <v/>
      </c>
      <c r="V1167" t="str">
        <f t="shared" si="380"/>
        <v/>
      </c>
      <c r="W1167" t="str">
        <f t="shared" si="363"/>
        <v xml:space="preserve">              </v>
      </c>
    </row>
    <row r="1168" spans="1:23" customFormat="1" hidden="1">
      <c r="A1168" t="b">
        <f t="shared" si="362"/>
        <v>0</v>
      </c>
      <c r="B1168">
        <f t="shared" si="364"/>
        <v>1167</v>
      </c>
      <c r="C1168" t="s">
        <v>1112</v>
      </c>
      <c r="D1168" t="s">
        <v>1150</v>
      </c>
      <c r="E1168">
        <f t="shared" si="361"/>
        <v>43</v>
      </c>
      <c r="G1168">
        <f t="shared" si="365"/>
        <v>4</v>
      </c>
      <c r="H1168" t="str">
        <f t="shared" si="366"/>
        <v/>
      </c>
      <c r="I1168" t="str">
        <f t="shared" si="367"/>
        <v/>
      </c>
      <c r="J1168" t="str">
        <f t="shared" si="368"/>
        <v/>
      </c>
      <c r="K1168" t="str">
        <f t="shared" si="369"/>
        <v/>
      </c>
      <c r="L1168" t="str">
        <f t="shared" si="370"/>
        <v/>
      </c>
      <c r="M1168" t="str">
        <f t="shared" si="371"/>
        <v/>
      </c>
      <c r="N1168" t="str">
        <f t="shared" si="372"/>
        <v/>
      </c>
      <c r="O1168" t="str">
        <f t="shared" si="373"/>
        <v/>
      </c>
      <c r="P1168" t="str">
        <f t="shared" si="374"/>
        <v/>
      </c>
      <c r="Q1168" t="str">
        <f t="shared" si="375"/>
        <v/>
      </c>
      <c r="R1168" t="str">
        <f t="shared" si="376"/>
        <v/>
      </c>
      <c r="S1168" t="str">
        <f t="shared" si="377"/>
        <v/>
      </c>
      <c r="T1168" t="str">
        <f t="shared" si="378"/>
        <v/>
      </c>
      <c r="U1168" t="str">
        <f t="shared" si="379"/>
        <v/>
      </c>
      <c r="V1168" t="str">
        <f t="shared" si="380"/>
        <v/>
      </c>
      <c r="W1168" t="str">
        <f t="shared" si="363"/>
        <v xml:space="preserve">              </v>
      </c>
    </row>
    <row r="1169" spans="1:23" customFormat="1" hidden="1">
      <c r="A1169" t="b">
        <f t="shared" si="362"/>
        <v>0</v>
      </c>
      <c r="B1169">
        <f t="shared" si="364"/>
        <v>1168</v>
      </c>
      <c r="C1169" t="s">
        <v>1112</v>
      </c>
      <c r="D1169" t="s">
        <v>1151</v>
      </c>
      <c r="E1169">
        <f t="shared" si="361"/>
        <v>48</v>
      </c>
      <c r="G1169">
        <f t="shared" si="365"/>
        <v>5</v>
      </c>
      <c r="H1169" t="str">
        <f t="shared" si="366"/>
        <v/>
      </c>
      <c r="I1169" t="str">
        <f t="shared" si="367"/>
        <v/>
      </c>
      <c r="J1169" t="str">
        <f t="shared" si="368"/>
        <v/>
      </c>
      <c r="K1169" t="str">
        <f t="shared" si="369"/>
        <v/>
      </c>
      <c r="L1169" t="str">
        <f t="shared" si="370"/>
        <v/>
      </c>
      <c r="M1169" t="str">
        <f t="shared" si="371"/>
        <v/>
      </c>
      <c r="N1169" t="str">
        <f t="shared" si="372"/>
        <v/>
      </c>
      <c r="O1169" t="str">
        <f t="shared" si="373"/>
        <v/>
      </c>
      <c r="P1169" t="str">
        <f t="shared" si="374"/>
        <v/>
      </c>
      <c r="Q1169" t="str">
        <f t="shared" si="375"/>
        <v/>
      </c>
      <c r="R1169" t="str">
        <f t="shared" si="376"/>
        <v/>
      </c>
      <c r="S1169" t="str">
        <f t="shared" si="377"/>
        <v/>
      </c>
      <c r="T1169" t="str">
        <f t="shared" si="378"/>
        <v/>
      </c>
      <c r="U1169" t="str">
        <f t="shared" si="379"/>
        <v/>
      </c>
      <c r="V1169" t="str">
        <f t="shared" si="380"/>
        <v/>
      </c>
      <c r="W1169" t="str">
        <f t="shared" si="363"/>
        <v xml:space="preserve">              </v>
      </c>
    </row>
    <row r="1170" spans="1:23" customFormat="1" hidden="1">
      <c r="A1170" t="b">
        <f t="shared" si="362"/>
        <v>0</v>
      </c>
      <c r="B1170">
        <f t="shared" si="364"/>
        <v>1169</v>
      </c>
      <c r="C1170" t="s">
        <v>1112</v>
      </c>
      <c r="D1170" t="s">
        <v>1152</v>
      </c>
      <c r="E1170">
        <f t="shared" si="361"/>
        <v>41</v>
      </c>
      <c r="G1170">
        <f t="shared" si="365"/>
        <v>6</v>
      </c>
      <c r="H1170" t="str">
        <f t="shared" si="366"/>
        <v/>
      </c>
      <c r="I1170" t="str">
        <f t="shared" si="367"/>
        <v/>
      </c>
      <c r="J1170" t="str">
        <f t="shared" si="368"/>
        <v/>
      </c>
      <c r="K1170" t="str">
        <f t="shared" si="369"/>
        <v/>
      </c>
      <c r="L1170" t="str">
        <f t="shared" si="370"/>
        <v/>
      </c>
      <c r="M1170" t="str">
        <f t="shared" si="371"/>
        <v/>
      </c>
      <c r="N1170" t="str">
        <f t="shared" si="372"/>
        <v/>
      </c>
      <c r="O1170" t="str">
        <f t="shared" si="373"/>
        <v/>
      </c>
      <c r="P1170" t="str">
        <f t="shared" si="374"/>
        <v/>
      </c>
      <c r="Q1170" t="str">
        <f t="shared" si="375"/>
        <v/>
      </c>
      <c r="R1170" t="str">
        <f t="shared" si="376"/>
        <v/>
      </c>
      <c r="S1170" t="str">
        <f t="shared" si="377"/>
        <v/>
      </c>
      <c r="T1170" t="str">
        <f t="shared" si="378"/>
        <v/>
      </c>
      <c r="U1170" t="str">
        <f t="shared" si="379"/>
        <v/>
      </c>
      <c r="V1170" t="str">
        <f t="shared" si="380"/>
        <v/>
      </c>
      <c r="W1170" t="str">
        <f t="shared" si="363"/>
        <v xml:space="preserve">              </v>
      </c>
    </row>
    <row r="1171" spans="1:23" customFormat="1" hidden="1">
      <c r="A1171" t="b">
        <f t="shared" si="362"/>
        <v>0</v>
      </c>
      <c r="B1171">
        <f t="shared" si="364"/>
        <v>1170</v>
      </c>
      <c r="C1171" t="s">
        <v>1112</v>
      </c>
      <c r="D1171" t="s">
        <v>1153</v>
      </c>
      <c r="E1171">
        <f t="shared" si="361"/>
        <v>24</v>
      </c>
      <c r="G1171">
        <f t="shared" si="365"/>
        <v>7</v>
      </c>
      <c r="H1171" t="str">
        <f t="shared" si="366"/>
        <v/>
      </c>
      <c r="I1171" t="str">
        <f t="shared" si="367"/>
        <v/>
      </c>
      <c r="J1171" t="str">
        <f t="shared" si="368"/>
        <v/>
      </c>
      <c r="K1171" t="str">
        <f t="shared" si="369"/>
        <v/>
      </c>
      <c r="L1171" t="str">
        <f t="shared" si="370"/>
        <v/>
      </c>
      <c r="M1171" t="str">
        <f t="shared" si="371"/>
        <v/>
      </c>
      <c r="N1171" t="str">
        <f t="shared" si="372"/>
        <v/>
      </c>
      <c r="O1171" t="str">
        <f t="shared" si="373"/>
        <v/>
      </c>
      <c r="P1171" t="str">
        <f t="shared" si="374"/>
        <v/>
      </c>
      <c r="Q1171" t="str">
        <f t="shared" si="375"/>
        <v/>
      </c>
      <c r="R1171" t="str">
        <f t="shared" si="376"/>
        <v/>
      </c>
      <c r="S1171" t="str">
        <f t="shared" si="377"/>
        <v/>
      </c>
      <c r="T1171" t="str">
        <f t="shared" si="378"/>
        <v/>
      </c>
      <c r="U1171" t="str">
        <f t="shared" si="379"/>
        <v/>
      </c>
      <c r="V1171" t="str">
        <f t="shared" si="380"/>
        <v/>
      </c>
      <c r="W1171" t="str">
        <f t="shared" si="363"/>
        <v xml:space="preserve">              </v>
      </c>
    </row>
    <row r="1172" spans="1:23" hidden="1">
      <c r="A1172" s="71" t="b">
        <f t="shared" si="362"/>
        <v>0</v>
      </c>
      <c r="B1172" s="71">
        <f t="shared" si="364"/>
        <v>1171</v>
      </c>
      <c r="C1172" s="71" t="s">
        <v>1112</v>
      </c>
      <c r="D1172" s="71" t="s">
        <v>1154</v>
      </c>
      <c r="E1172">
        <f t="shared" si="361"/>
        <v>7</v>
      </c>
      <c r="F1172">
        <v>1</v>
      </c>
      <c r="G1172">
        <f t="shared" si="365"/>
        <v>1</v>
      </c>
      <c r="H1172" t="str">
        <f t="shared" si="366"/>
        <v>Decoder</v>
      </c>
      <c r="I1172" t="str">
        <f t="shared" si="367"/>
        <v>The device that decodes a message as it is being</v>
      </c>
      <c r="J1172" t="str">
        <f t="shared" si="368"/>
        <v>received.</v>
      </c>
      <c r="K1172" t="str">
        <f t="shared" si="369"/>
        <v/>
      </c>
      <c r="L1172" t="str">
        <f t="shared" si="370"/>
        <v/>
      </c>
      <c r="M1172" t="str">
        <f t="shared" si="371"/>
        <v/>
      </c>
      <c r="N1172" t="str">
        <f t="shared" si="372"/>
        <v/>
      </c>
      <c r="O1172" t="str">
        <f t="shared" si="373"/>
        <v/>
      </c>
      <c r="P1172" t="str">
        <f t="shared" si="374"/>
        <v/>
      </c>
      <c r="Q1172" t="str">
        <f t="shared" si="375"/>
        <v/>
      </c>
      <c r="R1172" t="str">
        <f t="shared" si="376"/>
        <v/>
      </c>
      <c r="S1172" t="str">
        <f t="shared" si="377"/>
        <v/>
      </c>
      <c r="T1172" t="str">
        <f t="shared" si="378"/>
        <v/>
      </c>
      <c r="U1172" t="str">
        <f t="shared" si="379"/>
        <v/>
      </c>
      <c r="V1172" t="str">
        <f t="shared" si="380"/>
        <v/>
      </c>
      <c r="W1172" s="71" t="str">
        <f>CONCATENATE(H1172," ",I1172," ",J1172," ",K1172," ",L1172," ",M1172," ",N1172," ",O1172," ",P1172," ",Q1172," ",R1172," ",S1172," ",T1172," ",U1172," ",V1172)</f>
        <v xml:space="preserve">Decoder The device that decodes a message as it is being received.            </v>
      </c>
    </row>
    <row r="1173" spans="1:23" customFormat="1" hidden="1">
      <c r="A1173" t="b">
        <f t="shared" si="362"/>
        <v>0</v>
      </c>
      <c r="B1173">
        <f t="shared" si="364"/>
        <v>1172</v>
      </c>
      <c r="C1173" t="s">
        <v>1112</v>
      </c>
      <c r="D1173" t="s">
        <v>1155</v>
      </c>
      <c r="E1173">
        <f t="shared" si="361"/>
        <v>48</v>
      </c>
      <c r="G1173">
        <f t="shared" si="365"/>
        <v>2</v>
      </c>
      <c r="H1173" t="str">
        <f t="shared" si="366"/>
        <v/>
      </c>
      <c r="I1173" t="str">
        <f t="shared" si="367"/>
        <v/>
      </c>
      <c r="J1173" t="str">
        <f t="shared" si="368"/>
        <v/>
      </c>
      <c r="K1173" t="str">
        <f t="shared" si="369"/>
        <v/>
      </c>
      <c r="L1173" t="str">
        <f t="shared" si="370"/>
        <v/>
      </c>
      <c r="M1173" t="str">
        <f t="shared" si="371"/>
        <v/>
      </c>
      <c r="N1173" t="str">
        <f t="shared" si="372"/>
        <v/>
      </c>
      <c r="O1173" t="str">
        <f t="shared" si="373"/>
        <v/>
      </c>
      <c r="P1173" t="str">
        <f t="shared" si="374"/>
        <v/>
      </c>
      <c r="Q1173" t="str">
        <f t="shared" si="375"/>
        <v/>
      </c>
      <c r="R1173" t="str">
        <f t="shared" si="376"/>
        <v/>
      </c>
      <c r="S1173" t="str">
        <f t="shared" si="377"/>
        <v/>
      </c>
      <c r="T1173" t="str">
        <f t="shared" si="378"/>
        <v/>
      </c>
      <c r="U1173" t="str">
        <f t="shared" si="379"/>
        <v/>
      </c>
      <c r="V1173" t="str">
        <f t="shared" si="380"/>
        <v/>
      </c>
      <c r="W1173" t="str">
        <f t="shared" si="363"/>
        <v xml:space="preserve">              </v>
      </c>
    </row>
    <row r="1174" spans="1:23" customFormat="1" hidden="1">
      <c r="A1174" t="b">
        <f t="shared" si="362"/>
        <v>0</v>
      </c>
      <c r="B1174">
        <f t="shared" si="364"/>
        <v>1173</v>
      </c>
      <c r="C1174" t="s">
        <v>1112</v>
      </c>
      <c r="D1174" t="s">
        <v>1156</v>
      </c>
      <c r="E1174">
        <f t="shared" si="361"/>
        <v>9</v>
      </c>
      <c r="G1174">
        <f t="shared" si="365"/>
        <v>3</v>
      </c>
      <c r="H1174" t="str">
        <f t="shared" si="366"/>
        <v/>
      </c>
      <c r="I1174" t="str">
        <f t="shared" si="367"/>
        <v/>
      </c>
      <c r="J1174" t="str">
        <f t="shared" si="368"/>
        <v/>
      </c>
      <c r="K1174" t="str">
        <f t="shared" si="369"/>
        <v/>
      </c>
      <c r="L1174" t="str">
        <f t="shared" si="370"/>
        <v/>
      </c>
      <c r="M1174" t="str">
        <f t="shared" si="371"/>
        <v/>
      </c>
      <c r="N1174" t="str">
        <f t="shared" si="372"/>
        <v/>
      </c>
      <c r="O1174" t="str">
        <f t="shared" si="373"/>
        <v/>
      </c>
      <c r="P1174" t="str">
        <f t="shared" si="374"/>
        <v/>
      </c>
      <c r="Q1174" t="str">
        <f t="shared" si="375"/>
        <v/>
      </c>
      <c r="R1174" t="str">
        <f t="shared" si="376"/>
        <v/>
      </c>
      <c r="S1174" t="str">
        <f t="shared" si="377"/>
        <v/>
      </c>
      <c r="T1174" t="str">
        <f t="shared" si="378"/>
        <v/>
      </c>
      <c r="U1174" t="str">
        <f t="shared" si="379"/>
        <v/>
      </c>
      <c r="V1174" t="str">
        <f t="shared" si="380"/>
        <v/>
      </c>
      <c r="W1174" t="str">
        <f t="shared" si="363"/>
        <v xml:space="preserve">              </v>
      </c>
    </row>
    <row r="1175" spans="1:23" hidden="1">
      <c r="A1175" s="71" t="b">
        <f t="shared" si="362"/>
        <v>0</v>
      </c>
      <c r="B1175" s="71">
        <f t="shared" si="364"/>
        <v>1174</v>
      </c>
      <c r="C1175" s="71" t="s">
        <v>1112</v>
      </c>
      <c r="D1175" s="71" t="s">
        <v>1157</v>
      </c>
      <c r="E1175">
        <f t="shared" si="361"/>
        <v>19</v>
      </c>
      <c r="F1175">
        <v>1</v>
      </c>
      <c r="G1175">
        <f t="shared" si="365"/>
        <v>1</v>
      </c>
      <c r="H1175" t="str">
        <f t="shared" si="366"/>
        <v>Effective listening</v>
      </c>
      <c r="I1175" t="str">
        <f t="shared" si="367"/>
        <v>The receiver is involved in the listening</v>
      </c>
      <c r="J1175" t="str">
        <f t="shared" si="368"/>
        <v>experience by paying attention to visual cues</v>
      </c>
      <c r="K1175" t="str">
        <f t="shared" si="369"/>
        <v>from the speaker and paralingual characteristics,</v>
      </c>
      <c r="L1175" t="str">
        <f t="shared" si="370"/>
        <v>and by asking relevant questions.</v>
      </c>
      <c r="M1175" t="str">
        <f t="shared" si="371"/>
        <v>Encoder The device that encodes the message being sent.</v>
      </c>
      <c r="N1175" t="str">
        <f t="shared" si="372"/>
        <v/>
      </c>
      <c r="O1175" t="str">
        <f t="shared" si="373"/>
        <v/>
      </c>
      <c r="P1175" t="str">
        <f t="shared" si="374"/>
        <v/>
      </c>
      <c r="Q1175" t="str">
        <f t="shared" si="375"/>
        <v/>
      </c>
      <c r="R1175" t="str">
        <f t="shared" si="376"/>
        <v/>
      </c>
      <c r="S1175" t="str">
        <f t="shared" si="377"/>
        <v/>
      </c>
      <c r="T1175" t="str">
        <f t="shared" si="378"/>
        <v/>
      </c>
      <c r="U1175" t="str">
        <f t="shared" si="379"/>
        <v/>
      </c>
      <c r="V1175" t="str">
        <f t="shared" si="380"/>
        <v/>
      </c>
      <c r="W1175" s="71" t="str">
        <f>CONCATENATE(H1175," ",I1175," ",J1175," ",K1175," ",L1175," ",M1175," ",N1175," ",O1175," ",P1175," ",Q1175," ",R1175," ",S1175," ",T1175," ",U1175," ",V1175)</f>
        <v xml:space="preserve">Effective listening The receiver is involved in the listening experience by paying attention to visual cues from the speaker and paralingual characteristics, and by asking relevant questions. Encoder The device that encodes the message being sent.         </v>
      </c>
    </row>
    <row r="1176" spans="1:23" customFormat="1" hidden="1">
      <c r="A1176" t="b">
        <f t="shared" si="362"/>
        <v>0</v>
      </c>
      <c r="B1176">
        <f t="shared" si="364"/>
        <v>1175</v>
      </c>
      <c r="C1176" t="s">
        <v>1112</v>
      </c>
      <c r="D1176" t="s">
        <v>1158</v>
      </c>
      <c r="E1176">
        <f t="shared" si="361"/>
        <v>41</v>
      </c>
      <c r="G1176">
        <f t="shared" si="365"/>
        <v>2</v>
      </c>
      <c r="H1176" t="str">
        <f t="shared" si="366"/>
        <v/>
      </c>
      <c r="I1176" t="str">
        <f t="shared" si="367"/>
        <v/>
      </c>
      <c r="J1176" t="str">
        <f t="shared" si="368"/>
        <v/>
      </c>
      <c r="K1176" t="str">
        <f t="shared" si="369"/>
        <v/>
      </c>
      <c r="L1176" t="str">
        <f t="shared" si="370"/>
        <v/>
      </c>
      <c r="M1176" t="str">
        <f t="shared" si="371"/>
        <v/>
      </c>
      <c r="N1176" t="str">
        <f t="shared" si="372"/>
        <v/>
      </c>
      <c r="O1176" t="str">
        <f t="shared" si="373"/>
        <v/>
      </c>
      <c r="P1176" t="str">
        <f t="shared" si="374"/>
        <v/>
      </c>
      <c r="Q1176" t="str">
        <f t="shared" si="375"/>
        <v/>
      </c>
      <c r="R1176" t="str">
        <f t="shared" si="376"/>
        <v/>
      </c>
      <c r="S1176" t="str">
        <f t="shared" si="377"/>
        <v/>
      </c>
      <c r="T1176" t="str">
        <f t="shared" si="378"/>
        <v/>
      </c>
      <c r="U1176" t="str">
        <f t="shared" si="379"/>
        <v/>
      </c>
      <c r="V1176" t="str">
        <f t="shared" si="380"/>
        <v/>
      </c>
      <c r="W1176" t="str">
        <f t="shared" si="363"/>
        <v xml:space="preserve">              </v>
      </c>
    </row>
    <row r="1177" spans="1:23" customFormat="1" hidden="1">
      <c r="A1177" t="b">
        <f t="shared" si="362"/>
        <v>0</v>
      </c>
      <c r="B1177">
        <f t="shared" si="364"/>
        <v>1176</v>
      </c>
      <c r="C1177" t="s">
        <v>1112</v>
      </c>
      <c r="D1177" t="s">
        <v>1159</v>
      </c>
      <c r="E1177">
        <f t="shared" si="361"/>
        <v>45</v>
      </c>
      <c r="G1177">
        <f t="shared" si="365"/>
        <v>3</v>
      </c>
      <c r="H1177" t="str">
        <f t="shared" si="366"/>
        <v/>
      </c>
      <c r="I1177" t="str">
        <f t="shared" si="367"/>
        <v/>
      </c>
      <c r="J1177" t="str">
        <f t="shared" si="368"/>
        <v/>
      </c>
      <c r="K1177" t="str">
        <f t="shared" si="369"/>
        <v/>
      </c>
      <c r="L1177" t="str">
        <f t="shared" si="370"/>
        <v/>
      </c>
      <c r="M1177" t="str">
        <f t="shared" si="371"/>
        <v/>
      </c>
      <c r="N1177" t="str">
        <f t="shared" si="372"/>
        <v/>
      </c>
      <c r="O1177" t="str">
        <f t="shared" si="373"/>
        <v/>
      </c>
      <c r="P1177" t="str">
        <f t="shared" si="374"/>
        <v/>
      </c>
      <c r="Q1177" t="str">
        <f t="shared" si="375"/>
        <v/>
      </c>
      <c r="R1177" t="str">
        <f t="shared" si="376"/>
        <v/>
      </c>
      <c r="S1177" t="str">
        <f t="shared" si="377"/>
        <v/>
      </c>
      <c r="T1177" t="str">
        <f t="shared" si="378"/>
        <v/>
      </c>
      <c r="U1177" t="str">
        <f t="shared" si="379"/>
        <v/>
      </c>
      <c r="V1177" t="str">
        <f t="shared" si="380"/>
        <v/>
      </c>
      <c r="W1177" t="str">
        <f t="shared" si="363"/>
        <v xml:space="preserve">              </v>
      </c>
    </row>
    <row r="1178" spans="1:23" customFormat="1" hidden="1">
      <c r="A1178" t="b">
        <f t="shared" si="362"/>
        <v>0</v>
      </c>
      <c r="B1178">
        <f t="shared" si="364"/>
        <v>1177</v>
      </c>
      <c r="C1178" t="s">
        <v>1112</v>
      </c>
      <c r="D1178" t="s">
        <v>1160</v>
      </c>
      <c r="E1178">
        <f t="shared" si="361"/>
        <v>49</v>
      </c>
      <c r="G1178">
        <f t="shared" si="365"/>
        <v>4</v>
      </c>
      <c r="H1178" t="str">
        <f t="shared" si="366"/>
        <v/>
      </c>
      <c r="I1178" t="str">
        <f t="shared" si="367"/>
        <v/>
      </c>
      <c r="J1178" t="str">
        <f t="shared" si="368"/>
        <v/>
      </c>
      <c r="K1178" t="str">
        <f t="shared" si="369"/>
        <v/>
      </c>
      <c r="L1178" t="str">
        <f t="shared" si="370"/>
        <v/>
      </c>
      <c r="M1178" t="str">
        <f t="shared" si="371"/>
        <v/>
      </c>
      <c r="N1178" t="str">
        <f t="shared" si="372"/>
        <v/>
      </c>
      <c r="O1178" t="str">
        <f t="shared" si="373"/>
        <v/>
      </c>
      <c r="P1178" t="str">
        <f t="shared" si="374"/>
        <v/>
      </c>
      <c r="Q1178" t="str">
        <f t="shared" si="375"/>
        <v/>
      </c>
      <c r="R1178" t="str">
        <f t="shared" si="376"/>
        <v/>
      </c>
      <c r="S1178" t="str">
        <f t="shared" si="377"/>
        <v/>
      </c>
      <c r="T1178" t="str">
        <f t="shared" si="378"/>
        <v/>
      </c>
      <c r="U1178" t="str">
        <f t="shared" si="379"/>
        <v/>
      </c>
      <c r="V1178" t="str">
        <f t="shared" si="380"/>
        <v/>
      </c>
      <c r="W1178" t="str">
        <f t="shared" si="363"/>
        <v xml:space="preserve">              </v>
      </c>
    </row>
    <row r="1179" spans="1:23" customFormat="1" hidden="1">
      <c r="A1179" t="b">
        <f t="shared" si="362"/>
        <v>0</v>
      </c>
      <c r="B1179">
        <f t="shared" si="364"/>
        <v>1178</v>
      </c>
      <c r="C1179" t="s">
        <v>1112</v>
      </c>
      <c r="D1179" t="s">
        <v>1161</v>
      </c>
      <c r="E1179">
        <f t="shared" si="361"/>
        <v>33</v>
      </c>
      <c r="G1179">
        <f t="shared" si="365"/>
        <v>5</v>
      </c>
      <c r="H1179" t="str">
        <f t="shared" si="366"/>
        <v/>
      </c>
      <c r="I1179" t="str">
        <f t="shared" si="367"/>
        <v/>
      </c>
      <c r="J1179" t="str">
        <f t="shared" si="368"/>
        <v/>
      </c>
      <c r="K1179" t="str">
        <f t="shared" si="369"/>
        <v/>
      </c>
      <c r="L1179" t="str">
        <f t="shared" si="370"/>
        <v/>
      </c>
      <c r="M1179" t="str">
        <f t="shared" si="371"/>
        <v/>
      </c>
      <c r="N1179" t="str">
        <f t="shared" si="372"/>
        <v/>
      </c>
      <c r="O1179" t="str">
        <f t="shared" si="373"/>
        <v/>
      </c>
      <c r="P1179" t="str">
        <f t="shared" si="374"/>
        <v/>
      </c>
      <c r="Q1179" t="str">
        <f t="shared" si="375"/>
        <v/>
      </c>
      <c r="R1179" t="str">
        <f t="shared" si="376"/>
        <v/>
      </c>
      <c r="S1179" t="str">
        <f t="shared" si="377"/>
        <v/>
      </c>
      <c r="T1179" t="str">
        <f t="shared" si="378"/>
        <v/>
      </c>
      <c r="U1179" t="str">
        <f t="shared" si="379"/>
        <v/>
      </c>
      <c r="V1179" t="str">
        <f t="shared" si="380"/>
        <v/>
      </c>
      <c r="W1179" t="str">
        <f t="shared" si="363"/>
        <v xml:space="preserve">              </v>
      </c>
    </row>
    <row r="1180" spans="1:23" customFormat="1" hidden="1">
      <c r="A1180" t="b">
        <f t="shared" si="362"/>
        <v>0</v>
      </c>
      <c r="B1180">
        <f t="shared" si="364"/>
        <v>1179</v>
      </c>
      <c r="C1180" t="s">
        <v>1112</v>
      </c>
      <c r="D1180" t="s">
        <v>1162</v>
      </c>
      <c r="E1180">
        <f t="shared" si="361"/>
        <v>55</v>
      </c>
      <c r="G1180">
        <f t="shared" si="365"/>
        <v>6</v>
      </c>
      <c r="H1180" t="str">
        <f t="shared" si="366"/>
        <v/>
      </c>
      <c r="I1180" t="str">
        <f t="shared" si="367"/>
        <v/>
      </c>
      <c r="J1180" t="str">
        <f t="shared" si="368"/>
        <v/>
      </c>
      <c r="K1180" t="str">
        <f t="shared" si="369"/>
        <v/>
      </c>
      <c r="L1180" t="str">
        <f t="shared" si="370"/>
        <v/>
      </c>
      <c r="M1180" t="str">
        <f t="shared" si="371"/>
        <v/>
      </c>
      <c r="N1180" t="str">
        <f t="shared" si="372"/>
        <v/>
      </c>
      <c r="O1180" t="str">
        <f t="shared" si="373"/>
        <v/>
      </c>
      <c r="P1180" t="str">
        <f t="shared" si="374"/>
        <v/>
      </c>
      <c r="Q1180" t="str">
        <f t="shared" si="375"/>
        <v/>
      </c>
      <c r="R1180" t="str">
        <f t="shared" si="376"/>
        <v/>
      </c>
      <c r="S1180" t="str">
        <f t="shared" si="377"/>
        <v/>
      </c>
      <c r="T1180" t="str">
        <f t="shared" si="378"/>
        <v/>
      </c>
      <c r="U1180" t="str">
        <f t="shared" si="379"/>
        <v/>
      </c>
      <c r="V1180" t="str">
        <f t="shared" si="380"/>
        <v/>
      </c>
      <c r="W1180" t="str">
        <f t="shared" si="363"/>
        <v xml:space="preserve">              </v>
      </c>
    </row>
    <row r="1181" spans="1:23" hidden="1">
      <c r="A1181" s="71" t="b">
        <f t="shared" si="362"/>
        <v>0</v>
      </c>
      <c r="B1181" s="71">
        <f t="shared" si="364"/>
        <v>1180</v>
      </c>
      <c r="C1181" s="71" t="s">
        <v>1112</v>
      </c>
      <c r="D1181" s="71" t="s">
        <v>1163</v>
      </c>
      <c r="E1181">
        <f t="shared" si="361"/>
        <v>8</v>
      </c>
      <c r="F1181">
        <v>1</v>
      </c>
      <c r="G1181">
        <f t="shared" si="365"/>
        <v>1</v>
      </c>
      <c r="H1181" t="str">
        <f t="shared" si="366"/>
        <v>Feedback</v>
      </c>
      <c r="I1181" t="str">
        <f t="shared" si="367"/>
        <v>The sender confirms that the receiver</v>
      </c>
      <c r="J1181" t="str">
        <f t="shared" si="368"/>
        <v>understands the message by directly asking for a</v>
      </c>
      <c r="K1181" t="str">
        <f t="shared" si="369"/>
        <v>response, questions for clarification, or other</v>
      </c>
      <c r="L1181" t="str">
        <f t="shared" si="370"/>
        <v>confirmation.</v>
      </c>
      <c r="M1181" t="str">
        <f t="shared" si="371"/>
        <v/>
      </c>
      <c r="N1181" t="str">
        <f t="shared" si="372"/>
        <v/>
      </c>
      <c r="O1181" t="str">
        <f t="shared" si="373"/>
        <v/>
      </c>
      <c r="P1181" t="str">
        <f t="shared" si="374"/>
        <v/>
      </c>
      <c r="Q1181" t="str">
        <f t="shared" si="375"/>
        <v/>
      </c>
      <c r="R1181" t="str">
        <f t="shared" si="376"/>
        <v/>
      </c>
      <c r="S1181" t="str">
        <f t="shared" si="377"/>
        <v/>
      </c>
      <c r="T1181" t="str">
        <f t="shared" si="378"/>
        <v/>
      </c>
      <c r="U1181" t="str">
        <f t="shared" si="379"/>
        <v/>
      </c>
      <c r="V1181" t="str">
        <f t="shared" si="380"/>
        <v/>
      </c>
      <c r="W1181" s="71" t="str">
        <f>CONCATENATE(H1181," ",I1181," ",J1181," ",K1181," ",L1181," ",M1181," ",N1181," ",O1181," ",P1181," ",Q1181," ",R1181," ",S1181," ",T1181," ",U1181," ",V1181)</f>
        <v xml:space="preserve">Feedback The sender confirms that the receiver understands the message by directly asking for a response, questions for clarification, or other confirmation.          </v>
      </c>
    </row>
    <row r="1182" spans="1:23" customFormat="1" hidden="1">
      <c r="A1182" t="b">
        <f t="shared" si="362"/>
        <v>0</v>
      </c>
      <c r="B1182">
        <f t="shared" si="364"/>
        <v>1181</v>
      </c>
      <c r="C1182" t="s">
        <v>1112</v>
      </c>
      <c r="D1182" t="s">
        <v>1164</v>
      </c>
      <c r="E1182">
        <f t="shared" si="361"/>
        <v>37</v>
      </c>
      <c r="G1182">
        <f t="shared" si="365"/>
        <v>2</v>
      </c>
      <c r="H1182" t="str">
        <f t="shared" si="366"/>
        <v/>
      </c>
      <c r="I1182" t="str">
        <f t="shared" si="367"/>
        <v/>
      </c>
      <c r="J1182" t="str">
        <f t="shared" si="368"/>
        <v/>
      </c>
      <c r="K1182" t="str">
        <f t="shared" si="369"/>
        <v/>
      </c>
      <c r="L1182" t="str">
        <f t="shared" si="370"/>
        <v/>
      </c>
      <c r="M1182" t="str">
        <f t="shared" si="371"/>
        <v/>
      </c>
      <c r="N1182" t="str">
        <f t="shared" si="372"/>
        <v/>
      </c>
      <c r="O1182" t="str">
        <f t="shared" si="373"/>
        <v/>
      </c>
      <c r="P1182" t="str">
        <f t="shared" si="374"/>
        <v/>
      </c>
      <c r="Q1182" t="str">
        <f t="shared" si="375"/>
        <v/>
      </c>
      <c r="R1182" t="str">
        <f t="shared" si="376"/>
        <v/>
      </c>
      <c r="S1182" t="str">
        <f t="shared" si="377"/>
        <v/>
      </c>
      <c r="T1182" t="str">
        <f t="shared" si="378"/>
        <v/>
      </c>
      <c r="U1182" t="str">
        <f t="shared" si="379"/>
        <v/>
      </c>
      <c r="V1182" t="str">
        <f t="shared" si="380"/>
        <v/>
      </c>
      <c r="W1182" t="str">
        <f t="shared" si="363"/>
        <v xml:space="preserve">              </v>
      </c>
    </row>
    <row r="1183" spans="1:23" customFormat="1" hidden="1">
      <c r="A1183" t="b">
        <f t="shared" si="362"/>
        <v>0</v>
      </c>
      <c r="B1183">
        <f t="shared" si="364"/>
        <v>1182</v>
      </c>
      <c r="C1183" t="s">
        <v>1112</v>
      </c>
      <c r="D1183" t="s">
        <v>1165</v>
      </c>
      <c r="E1183">
        <f t="shared" si="361"/>
        <v>48</v>
      </c>
      <c r="G1183">
        <f t="shared" si="365"/>
        <v>3</v>
      </c>
      <c r="H1183" t="str">
        <f t="shared" si="366"/>
        <v/>
      </c>
      <c r="I1183" t="str">
        <f t="shared" si="367"/>
        <v/>
      </c>
      <c r="J1183" t="str">
        <f t="shared" si="368"/>
        <v/>
      </c>
      <c r="K1183" t="str">
        <f t="shared" si="369"/>
        <v/>
      </c>
      <c r="L1183" t="str">
        <f t="shared" si="370"/>
        <v/>
      </c>
      <c r="M1183" t="str">
        <f t="shared" si="371"/>
        <v/>
      </c>
      <c r="N1183" t="str">
        <f t="shared" si="372"/>
        <v/>
      </c>
      <c r="O1183" t="str">
        <f t="shared" si="373"/>
        <v/>
      </c>
      <c r="P1183" t="str">
        <f t="shared" si="374"/>
        <v/>
      </c>
      <c r="Q1183" t="str">
        <f t="shared" si="375"/>
        <v/>
      </c>
      <c r="R1183" t="str">
        <f t="shared" si="376"/>
        <v/>
      </c>
      <c r="S1183" t="str">
        <f t="shared" si="377"/>
        <v/>
      </c>
      <c r="T1183" t="str">
        <f t="shared" si="378"/>
        <v/>
      </c>
      <c r="U1183" t="str">
        <f t="shared" si="379"/>
        <v/>
      </c>
      <c r="V1183" t="str">
        <f t="shared" si="380"/>
        <v/>
      </c>
      <c r="W1183" t="str">
        <f t="shared" si="363"/>
        <v xml:space="preserve">              </v>
      </c>
    </row>
    <row r="1184" spans="1:23" customFormat="1" hidden="1">
      <c r="A1184" t="b">
        <f t="shared" si="362"/>
        <v>0</v>
      </c>
      <c r="B1184">
        <f t="shared" si="364"/>
        <v>1183</v>
      </c>
      <c r="C1184" t="s">
        <v>1112</v>
      </c>
      <c r="D1184" t="s">
        <v>1166</v>
      </c>
      <c r="E1184">
        <f t="shared" si="361"/>
        <v>47</v>
      </c>
      <c r="G1184">
        <f t="shared" si="365"/>
        <v>4</v>
      </c>
      <c r="H1184" t="str">
        <f t="shared" si="366"/>
        <v/>
      </c>
      <c r="I1184" t="str">
        <f t="shared" si="367"/>
        <v/>
      </c>
      <c r="J1184" t="str">
        <f t="shared" si="368"/>
        <v/>
      </c>
      <c r="K1184" t="str">
        <f t="shared" si="369"/>
        <v/>
      </c>
      <c r="L1184" t="str">
        <f t="shared" si="370"/>
        <v/>
      </c>
      <c r="M1184" t="str">
        <f t="shared" si="371"/>
        <v/>
      </c>
      <c r="N1184" t="str">
        <f t="shared" si="372"/>
        <v/>
      </c>
      <c r="O1184" t="str">
        <f t="shared" si="373"/>
        <v/>
      </c>
      <c r="P1184" t="str">
        <f t="shared" si="374"/>
        <v/>
      </c>
      <c r="Q1184" t="str">
        <f t="shared" si="375"/>
        <v/>
      </c>
      <c r="R1184" t="str">
        <f t="shared" si="376"/>
        <v/>
      </c>
      <c r="S1184" t="str">
        <f t="shared" si="377"/>
        <v/>
      </c>
      <c r="T1184" t="str">
        <f t="shared" si="378"/>
        <v/>
      </c>
      <c r="U1184" t="str">
        <f t="shared" si="379"/>
        <v/>
      </c>
      <c r="V1184" t="str">
        <f t="shared" si="380"/>
        <v/>
      </c>
      <c r="W1184" t="str">
        <f t="shared" si="363"/>
        <v xml:space="preserve">              </v>
      </c>
    </row>
    <row r="1185" spans="1:23" customFormat="1" hidden="1">
      <c r="A1185" t="b">
        <f t="shared" si="362"/>
        <v>0</v>
      </c>
      <c r="B1185">
        <f t="shared" si="364"/>
        <v>1184</v>
      </c>
      <c r="C1185" t="s">
        <v>1112</v>
      </c>
      <c r="D1185" t="s">
        <v>1167</v>
      </c>
      <c r="E1185">
        <f t="shared" si="361"/>
        <v>13</v>
      </c>
      <c r="G1185">
        <f t="shared" si="365"/>
        <v>5</v>
      </c>
      <c r="H1185" t="str">
        <f t="shared" si="366"/>
        <v/>
      </c>
      <c r="I1185" t="str">
        <f t="shared" si="367"/>
        <v/>
      </c>
      <c r="J1185" t="str">
        <f t="shared" si="368"/>
        <v/>
      </c>
      <c r="K1185" t="str">
        <f t="shared" si="369"/>
        <v/>
      </c>
      <c r="L1185" t="str">
        <f t="shared" si="370"/>
        <v/>
      </c>
      <c r="M1185" t="str">
        <f t="shared" si="371"/>
        <v/>
      </c>
      <c r="N1185" t="str">
        <f t="shared" si="372"/>
        <v/>
      </c>
      <c r="O1185" t="str">
        <f t="shared" si="373"/>
        <v/>
      </c>
      <c r="P1185" t="str">
        <f t="shared" si="374"/>
        <v/>
      </c>
      <c r="Q1185" t="str">
        <f t="shared" si="375"/>
        <v/>
      </c>
      <c r="R1185" t="str">
        <f t="shared" si="376"/>
        <v/>
      </c>
      <c r="S1185" t="str">
        <f t="shared" si="377"/>
        <v/>
      </c>
      <c r="T1185" t="str">
        <f t="shared" si="378"/>
        <v/>
      </c>
      <c r="U1185" t="str">
        <f t="shared" si="379"/>
        <v/>
      </c>
      <c r="V1185" t="str">
        <f t="shared" si="380"/>
        <v/>
      </c>
      <c r="W1185" t="str">
        <f t="shared" si="363"/>
        <v xml:space="preserve">              </v>
      </c>
    </row>
    <row r="1186" spans="1:23" hidden="1">
      <c r="A1186" s="71" t="b">
        <f t="shared" si="362"/>
        <v>0</v>
      </c>
      <c r="B1186" s="71">
        <f t="shared" si="364"/>
        <v>1185</v>
      </c>
      <c r="C1186" s="71" t="s">
        <v>1112</v>
      </c>
      <c r="D1186" s="71" t="s">
        <v>1168</v>
      </c>
      <c r="E1186">
        <f t="shared" si="361"/>
        <v>21</v>
      </c>
      <c r="F1186">
        <v>1</v>
      </c>
      <c r="G1186">
        <f t="shared" si="365"/>
        <v>1</v>
      </c>
      <c r="H1186" t="str">
        <f t="shared" si="366"/>
        <v>Influence/impact grid</v>
      </c>
      <c r="I1186" t="str">
        <f t="shared" si="367"/>
        <v>Stakeholders are mapped on a grid based on</v>
      </c>
      <c r="J1186" t="str">
        <f t="shared" si="368"/>
        <v>their influence over the project in relation to</v>
      </c>
      <c r="K1186" t="str">
        <f t="shared" si="369"/>
        <v>their influence over the project execution.</v>
      </c>
      <c r="L1186" t="str">
        <f t="shared" si="370"/>
        <v/>
      </c>
      <c r="M1186" t="str">
        <f t="shared" si="371"/>
        <v/>
      </c>
      <c r="N1186" t="str">
        <f t="shared" si="372"/>
        <v/>
      </c>
      <c r="O1186" t="str">
        <f t="shared" si="373"/>
        <v/>
      </c>
      <c r="P1186" t="str">
        <f t="shared" si="374"/>
        <v/>
      </c>
      <c r="Q1186" t="str">
        <f t="shared" si="375"/>
        <v/>
      </c>
      <c r="R1186" t="str">
        <f t="shared" si="376"/>
        <v/>
      </c>
      <c r="S1186" t="str">
        <f t="shared" si="377"/>
        <v/>
      </c>
      <c r="T1186" t="str">
        <f t="shared" si="378"/>
        <v/>
      </c>
      <c r="U1186" t="str">
        <f t="shared" si="379"/>
        <v/>
      </c>
      <c r="V1186" t="str">
        <f t="shared" si="380"/>
        <v/>
      </c>
      <c r="W1186" s="71" t="str">
        <f>CONCATENATE(H1186," ",I1186," ",J1186," ",K1186," ",L1186," ",M1186," ",N1186," ",O1186," ",P1186," ",Q1186," ",R1186," ",S1186," ",T1186," ",U1186," ",V1186)</f>
        <v xml:space="preserve">Influence/impact grid Stakeholders are mapped on a grid based on their influence over the project in relation to their influence over the project execution.           </v>
      </c>
    </row>
    <row r="1187" spans="1:23" customFormat="1" hidden="1">
      <c r="A1187" t="b">
        <f t="shared" si="362"/>
        <v>0</v>
      </c>
      <c r="B1187">
        <f t="shared" si="364"/>
        <v>1186</v>
      </c>
      <c r="C1187" t="s">
        <v>1112</v>
      </c>
      <c r="D1187" t="s">
        <v>1169</v>
      </c>
      <c r="E1187">
        <f t="shared" si="361"/>
        <v>42</v>
      </c>
      <c r="G1187">
        <f t="shared" si="365"/>
        <v>2</v>
      </c>
      <c r="H1187" t="str">
        <f t="shared" si="366"/>
        <v/>
      </c>
      <c r="I1187" t="str">
        <f t="shared" si="367"/>
        <v/>
      </c>
      <c r="J1187" t="str">
        <f t="shared" si="368"/>
        <v/>
      </c>
      <c r="K1187" t="str">
        <f t="shared" si="369"/>
        <v/>
      </c>
      <c r="L1187" t="str">
        <f t="shared" si="370"/>
        <v/>
      </c>
      <c r="M1187" t="str">
        <f t="shared" si="371"/>
        <v/>
      </c>
      <c r="N1187" t="str">
        <f t="shared" si="372"/>
        <v/>
      </c>
      <c r="O1187" t="str">
        <f t="shared" si="373"/>
        <v/>
      </c>
      <c r="P1187" t="str">
        <f t="shared" si="374"/>
        <v/>
      </c>
      <c r="Q1187" t="str">
        <f t="shared" si="375"/>
        <v/>
      </c>
      <c r="R1187" t="str">
        <f t="shared" si="376"/>
        <v/>
      </c>
      <c r="S1187" t="str">
        <f t="shared" si="377"/>
        <v/>
      </c>
      <c r="T1187" t="str">
        <f t="shared" si="378"/>
        <v/>
      </c>
      <c r="U1187" t="str">
        <f t="shared" si="379"/>
        <v/>
      </c>
      <c r="V1187" t="str">
        <f t="shared" si="380"/>
        <v/>
      </c>
      <c r="W1187" t="str">
        <f t="shared" si="363"/>
        <v xml:space="preserve">              </v>
      </c>
    </row>
    <row r="1188" spans="1:23" customFormat="1" hidden="1">
      <c r="A1188" t="b">
        <f t="shared" si="362"/>
        <v>0</v>
      </c>
      <c r="B1188">
        <f t="shared" si="364"/>
        <v>1187</v>
      </c>
      <c r="C1188" t="s">
        <v>1112</v>
      </c>
      <c r="D1188" t="s">
        <v>1170</v>
      </c>
      <c r="E1188">
        <f t="shared" si="361"/>
        <v>47</v>
      </c>
      <c r="G1188">
        <f t="shared" si="365"/>
        <v>3</v>
      </c>
      <c r="H1188" t="str">
        <f t="shared" si="366"/>
        <v/>
      </c>
      <c r="I1188" t="str">
        <f t="shared" si="367"/>
        <v/>
      </c>
      <c r="J1188" t="str">
        <f t="shared" si="368"/>
        <v/>
      </c>
      <c r="K1188" t="str">
        <f t="shared" si="369"/>
        <v/>
      </c>
      <c r="L1188" t="str">
        <f t="shared" si="370"/>
        <v/>
      </c>
      <c r="M1188" t="str">
        <f t="shared" si="371"/>
        <v/>
      </c>
      <c r="N1188" t="str">
        <f t="shared" si="372"/>
        <v/>
      </c>
      <c r="O1188" t="str">
        <f t="shared" si="373"/>
        <v/>
      </c>
      <c r="P1188" t="str">
        <f t="shared" si="374"/>
        <v/>
      </c>
      <c r="Q1188" t="str">
        <f t="shared" si="375"/>
        <v/>
      </c>
      <c r="R1188" t="str">
        <f t="shared" si="376"/>
        <v/>
      </c>
      <c r="S1188" t="str">
        <f t="shared" si="377"/>
        <v/>
      </c>
      <c r="T1188" t="str">
        <f t="shared" si="378"/>
        <v/>
      </c>
      <c r="U1188" t="str">
        <f t="shared" si="379"/>
        <v/>
      </c>
      <c r="V1188" t="str">
        <f t="shared" si="380"/>
        <v/>
      </c>
      <c r="W1188" t="str">
        <f t="shared" si="363"/>
        <v xml:space="preserve">              </v>
      </c>
    </row>
    <row r="1189" spans="1:23" customFormat="1" hidden="1">
      <c r="A1189" t="b">
        <f t="shared" si="362"/>
        <v>0</v>
      </c>
      <c r="B1189">
        <f t="shared" si="364"/>
        <v>1188</v>
      </c>
      <c r="C1189" t="s">
        <v>1112</v>
      </c>
      <c r="D1189" t="s">
        <v>1171</v>
      </c>
      <c r="E1189">
        <f t="shared" si="361"/>
        <v>43</v>
      </c>
      <c r="G1189">
        <f t="shared" si="365"/>
        <v>4</v>
      </c>
      <c r="H1189" t="str">
        <f t="shared" si="366"/>
        <v/>
      </c>
      <c r="I1189" t="str">
        <f t="shared" si="367"/>
        <v/>
      </c>
      <c r="J1189" t="str">
        <f t="shared" si="368"/>
        <v/>
      </c>
      <c r="K1189" t="str">
        <f t="shared" si="369"/>
        <v/>
      </c>
      <c r="L1189" t="str">
        <f t="shared" si="370"/>
        <v/>
      </c>
      <c r="M1189" t="str">
        <f t="shared" si="371"/>
        <v/>
      </c>
      <c r="N1189" t="str">
        <f t="shared" si="372"/>
        <v/>
      </c>
      <c r="O1189" t="str">
        <f t="shared" si="373"/>
        <v/>
      </c>
      <c r="P1189" t="str">
        <f t="shared" si="374"/>
        <v/>
      </c>
      <c r="Q1189" t="str">
        <f t="shared" si="375"/>
        <v/>
      </c>
      <c r="R1189" t="str">
        <f t="shared" si="376"/>
        <v/>
      </c>
      <c r="S1189" t="str">
        <f t="shared" si="377"/>
        <v/>
      </c>
      <c r="T1189" t="str">
        <f t="shared" si="378"/>
        <v/>
      </c>
      <c r="U1189" t="str">
        <f t="shared" si="379"/>
        <v/>
      </c>
      <c r="V1189" t="str">
        <f t="shared" si="380"/>
        <v/>
      </c>
      <c r="W1189" t="str">
        <f t="shared" si="363"/>
        <v xml:space="preserve">              </v>
      </c>
    </row>
    <row r="1190" spans="1:23" hidden="1">
      <c r="A1190" s="71" t="b">
        <f t="shared" si="362"/>
        <v>0</v>
      </c>
      <c r="B1190" s="71">
        <f t="shared" si="364"/>
        <v>1189</v>
      </c>
      <c r="C1190" s="71" t="s">
        <v>1112</v>
      </c>
      <c r="D1190" s="71" t="s">
        <v>1172</v>
      </c>
      <c r="E1190">
        <f t="shared" si="361"/>
        <v>30</v>
      </c>
      <c r="F1190">
        <v>1</v>
      </c>
      <c r="G1190">
        <f t="shared" si="365"/>
        <v>1</v>
      </c>
      <c r="H1190" t="str">
        <f t="shared" si="366"/>
        <v>Information presentation tools</v>
      </c>
      <c r="I1190" t="str">
        <f t="shared" si="367"/>
        <v>A software package that allows the project</v>
      </c>
      <c r="J1190" t="str">
        <f t="shared" si="368"/>
        <v>management team to present the project’s</v>
      </c>
      <c r="K1190" t="str">
        <f t="shared" si="369"/>
        <v>health through graphics, spreadsheets, and text.</v>
      </c>
      <c r="L1190" t="str">
        <f t="shared" si="370"/>
        <v>(Think of Microsoft Project.)</v>
      </c>
      <c r="M1190" t="str">
        <f t="shared" si="371"/>
        <v/>
      </c>
      <c r="N1190" t="str">
        <f t="shared" si="372"/>
        <v/>
      </c>
      <c r="O1190" t="str">
        <f t="shared" si="373"/>
        <v/>
      </c>
      <c r="P1190" t="str">
        <f t="shared" si="374"/>
        <v/>
      </c>
      <c r="Q1190" t="str">
        <f t="shared" si="375"/>
        <v/>
      </c>
      <c r="R1190" t="str">
        <f t="shared" si="376"/>
        <v/>
      </c>
      <c r="S1190" t="str">
        <f t="shared" si="377"/>
        <v/>
      </c>
      <c r="T1190" t="str">
        <f t="shared" si="378"/>
        <v/>
      </c>
      <c r="U1190" t="str">
        <f t="shared" si="379"/>
        <v/>
      </c>
      <c r="V1190" t="str">
        <f t="shared" si="380"/>
        <v/>
      </c>
      <c r="W1190" s="71" t="str">
        <f>CONCATENATE(H1190," ",I1190," ",J1190," ",K1190," ",L1190," ",M1190," ",N1190," ",O1190," ",P1190," ",Q1190," ",R1190," ",S1190," ",T1190," ",U1190," ",V1190)</f>
        <v xml:space="preserve">Information presentation tools A software package that allows the project management team to present the project’s health through graphics, spreadsheets, and text. (Think of Microsoft Project.)          </v>
      </c>
    </row>
    <row r="1191" spans="1:23" customFormat="1" hidden="1">
      <c r="A1191" t="b">
        <f t="shared" si="362"/>
        <v>0</v>
      </c>
      <c r="B1191">
        <f t="shared" si="364"/>
        <v>1190</v>
      </c>
      <c r="C1191" t="s">
        <v>1112</v>
      </c>
      <c r="D1191" t="s">
        <v>1173</v>
      </c>
      <c r="E1191">
        <f t="shared" si="361"/>
        <v>42</v>
      </c>
      <c r="G1191">
        <f t="shared" si="365"/>
        <v>2</v>
      </c>
      <c r="H1191" t="str">
        <f t="shared" si="366"/>
        <v/>
      </c>
      <c r="I1191" t="str">
        <f t="shared" si="367"/>
        <v/>
      </c>
      <c r="J1191" t="str">
        <f t="shared" si="368"/>
        <v/>
      </c>
      <c r="K1191" t="str">
        <f t="shared" si="369"/>
        <v/>
      </c>
      <c r="L1191" t="str">
        <f t="shared" si="370"/>
        <v/>
      </c>
      <c r="M1191" t="str">
        <f t="shared" si="371"/>
        <v/>
      </c>
      <c r="N1191" t="str">
        <f t="shared" si="372"/>
        <v/>
      </c>
      <c r="O1191" t="str">
        <f t="shared" si="373"/>
        <v/>
      </c>
      <c r="P1191" t="str">
        <f t="shared" si="374"/>
        <v/>
      </c>
      <c r="Q1191" t="str">
        <f t="shared" si="375"/>
        <v/>
      </c>
      <c r="R1191" t="str">
        <f t="shared" si="376"/>
        <v/>
      </c>
      <c r="S1191" t="str">
        <f t="shared" si="377"/>
        <v/>
      </c>
      <c r="T1191" t="str">
        <f t="shared" si="378"/>
        <v/>
      </c>
      <c r="U1191" t="str">
        <f t="shared" si="379"/>
        <v/>
      </c>
      <c r="V1191" t="str">
        <f t="shared" si="380"/>
        <v/>
      </c>
      <c r="W1191" t="str">
        <f t="shared" si="363"/>
        <v xml:space="preserve">              </v>
      </c>
    </row>
    <row r="1192" spans="1:23" customFormat="1" hidden="1">
      <c r="A1192" t="b">
        <f t="shared" si="362"/>
        <v>0</v>
      </c>
      <c r="B1192">
        <f t="shared" si="364"/>
        <v>1191</v>
      </c>
      <c r="C1192" t="s">
        <v>1112</v>
      </c>
      <c r="D1192" t="s">
        <v>1174</v>
      </c>
      <c r="E1192">
        <f t="shared" si="361"/>
        <v>40</v>
      </c>
      <c r="G1192">
        <f t="shared" si="365"/>
        <v>3</v>
      </c>
      <c r="H1192" t="str">
        <f t="shared" si="366"/>
        <v/>
      </c>
      <c r="I1192" t="str">
        <f t="shared" si="367"/>
        <v/>
      </c>
      <c r="J1192" t="str">
        <f t="shared" si="368"/>
        <v/>
      </c>
      <c r="K1192" t="str">
        <f t="shared" si="369"/>
        <v/>
      </c>
      <c r="L1192" t="str">
        <f t="shared" si="370"/>
        <v/>
      </c>
      <c r="M1192" t="str">
        <f t="shared" si="371"/>
        <v/>
      </c>
      <c r="N1192" t="str">
        <f t="shared" si="372"/>
        <v/>
      </c>
      <c r="O1192" t="str">
        <f t="shared" si="373"/>
        <v/>
      </c>
      <c r="P1192" t="str">
        <f t="shared" si="374"/>
        <v/>
      </c>
      <c r="Q1192" t="str">
        <f t="shared" si="375"/>
        <v/>
      </c>
      <c r="R1192" t="str">
        <f t="shared" si="376"/>
        <v/>
      </c>
      <c r="S1192" t="str">
        <f t="shared" si="377"/>
        <v/>
      </c>
      <c r="T1192" t="str">
        <f t="shared" si="378"/>
        <v/>
      </c>
      <c r="U1192" t="str">
        <f t="shared" si="379"/>
        <v/>
      </c>
      <c r="V1192" t="str">
        <f t="shared" si="380"/>
        <v/>
      </c>
      <c r="W1192" t="str">
        <f t="shared" si="363"/>
        <v xml:space="preserve">              </v>
      </c>
    </row>
    <row r="1193" spans="1:23" customFormat="1" hidden="1">
      <c r="A1193" t="b">
        <f t="shared" si="362"/>
        <v>0</v>
      </c>
      <c r="B1193">
        <f t="shared" si="364"/>
        <v>1192</v>
      </c>
      <c r="C1193" t="s">
        <v>1112</v>
      </c>
      <c r="D1193" t="s">
        <v>1175</v>
      </c>
      <c r="E1193">
        <f t="shared" si="361"/>
        <v>48</v>
      </c>
      <c r="G1193">
        <f t="shared" si="365"/>
        <v>4</v>
      </c>
      <c r="H1193" t="str">
        <f t="shared" si="366"/>
        <v/>
      </c>
      <c r="I1193" t="str">
        <f t="shared" si="367"/>
        <v/>
      </c>
      <c r="J1193" t="str">
        <f t="shared" si="368"/>
        <v/>
      </c>
      <c r="K1193" t="str">
        <f t="shared" si="369"/>
        <v/>
      </c>
      <c r="L1193" t="str">
        <f t="shared" si="370"/>
        <v/>
      </c>
      <c r="M1193" t="str">
        <f t="shared" si="371"/>
        <v/>
      </c>
      <c r="N1193" t="str">
        <f t="shared" si="372"/>
        <v/>
      </c>
      <c r="O1193" t="str">
        <f t="shared" si="373"/>
        <v/>
      </c>
      <c r="P1193" t="str">
        <f t="shared" si="374"/>
        <v/>
      </c>
      <c r="Q1193" t="str">
        <f t="shared" si="375"/>
        <v/>
      </c>
      <c r="R1193" t="str">
        <f t="shared" si="376"/>
        <v/>
      </c>
      <c r="S1193" t="str">
        <f t="shared" si="377"/>
        <v/>
      </c>
      <c r="T1193" t="str">
        <f t="shared" si="378"/>
        <v/>
      </c>
      <c r="U1193" t="str">
        <f t="shared" si="379"/>
        <v/>
      </c>
      <c r="V1193" t="str">
        <f t="shared" si="380"/>
        <v/>
      </c>
      <c r="W1193" t="str">
        <f t="shared" si="363"/>
        <v xml:space="preserve">              </v>
      </c>
    </row>
    <row r="1194" spans="1:23" customFormat="1" hidden="1">
      <c r="A1194" t="b">
        <f t="shared" si="362"/>
        <v>0</v>
      </c>
      <c r="B1194">
        <f t="shared" si="364"/>
        <v>1193</v>
      </c>
      <c r="C1194" t="s">
        <v>1112</v>
      </c>
      <c r="D1194" t="s">
        <v>1176</v>
      </c>
      <c r="E1194">
        <f t="shared" si="361"/>
        <v>29</v>
      </c>
      <c r="G1194">
        <f t="shared" si="365"/>
        <v>5</v>
      </c>
      <c r="H1194" t="str">
        <f t="shared" si="366"/>
        <v/>
      </c>
      <c r="I1194" t="str">
        <f t="shared" si="367"/>
        <v/>
      </c>
      <c r="J1194" t="str">
        <f t="shared" si="368"/>
        <v/>
      </c>
      <c r="K1194" t="str">
        <f t="shared" si="369"/>
        <v/>
      </c>
      <c r="L1194" t="str">
        <f t="shared" si="370"/>
        <v/>
      </c>
      <c r="M1194" t="str">
        <f t="shared" si="371"/>
        <v/>
      </c>
      <c r="N1194" t="str">
        <f t="shared" si="372"/>
        <v/>
      </c>
      <c r="O1194" t="str">
        <f t="shared" si="373"/>
        <v/>
      </c>
      <c r="P1194" t="str">
        <f t="shared" si="374"/>
        <v/>
      </c>
      <c r="Q1194" t="str">
        <f t="shared" si="375"/>
        <v/>
      </c>
      <c r="R1194" t="str">
        <f t="shared" si="376"/>
        <v/>
      </c>
      <c r="S1194" t="str">
        <f t="shared" si="377"/>
        <v/>
      </c>
      <c r="T1194" t="str">
        <f t="shared" si="378"/>
        <v/>
      </c>
      <c r="U1194" t="str">
        <f t="shared" si="379"/>
        <v/>
      </c>
      <c r="V1194" t="str">
        <f t="shared" si="380"/>
        <v/>
      </c>
      <c r="W1194" t="str">
        <f t="shared" si="363"/>
        <v xml:space="preserve">              </v>
      </c>
    </row>
    <row r="1195" spans="1:23" hidden="1">
      <c r="A1195" s="71" t="b">
        <f t="shared" si="362"/>
        <v>0</v>
      </c>
      <c r="B1195" s="71">
        <f t="shared" si="364"/>
        <v>1194</v>
      </c>
      <c r="C1195" s="71" t="s">
        <v>1112</v>
      </c>
      <c r="D1195" s="71" t="s">
        <v>1177</v>
      </c>
      <c r="E1195">
        <f t="shared" si="361"/>
        <v>28</v>
      </c>
      <c r="F1195">
        <v>1</v>
      </c>
      <c r="G1195">
        <f t="shared" si="365"/>
        <v>1</v>
      </c>
      <c r="H1195" t="str">
        <f t="shared" si="366"/>
        <v>Information retrieval system</v>
      </c>
      <c r="I1195" t="str">
        <f t="shared" si="367"/>
        <v>A system to quickly and effectively store, archive,</v>
      </c>
      <c r="J1195" t="str">
        <f t="shared" si="368"/>
        <v>and access project information.</v>
      </c>
      <c r="K1195" t="str">
        <f t="shared" si="369"/>
        <v/>
      </c>
      <c r="L1195" t="str">
        <f t="shared" si="370"/>
        <v/>
      </c>
      <c r="M1195" t="str">
        <f t="shared" si="371"/>
        <v/>
      </c>
      <c r="N1195" t="str">
        <f t="shared" si="372"/>
        <v/>
      </c>
      <c r="O1195" t="str">
        <f t="shared" si="373"/>
        <v/>
      </c>
      <c r="P1195" t="str">
        <f t="shared" si="374"/>
        <v/>
      </c>
      <c r="Q1195" t="str">
        <f t="shared" si="375"/>
        <v/>
      </c>
      <c r="R1195" t="str">
        <f t="shared" si="376"/>
        <v/>
      </c>
      <c r="S1195" t="str">
        <f t="shared" si="377"/>
        <v/>
      </c>
      <c r="T1195" t="str">
        <f t="shared" si="378"/>
        <v/>
      </c>
      <c r="U1195" t="str">
        <f t="shared" si="379"/>
        <v/>
      </c>
      <c r="V1195" t="str">
        <f t="shared" si="380"/>
        <v/>
      </c>
      <c r="W1195" s="71" t="str">
        <f>CONCATENATE(H1195," ",I1195," ",J1195," ",K1195," ",L1195," ",M1195," ",N1195," ",O1195," ",P1195," ",Q1195," ",R1195," ",S1195," ",T1195," ",U1195," ",V1195)</f>
        <v xml:space="preserve">Information retrieval system A system to quickly and effectively store, archive, and access project information.            </v>
      </c>
    </row>
    <row r="1196" spans="1:23" customFormat="1" hidden="1">
      <c r="A1196" t="b">
        <f t="shared" si="362"/>
        <v>0</v>
      </c>
      <c r="B1196">
        <f t="shared" si="364"/>
        <v>1195</v>
      </c>
      <c r="C1196" t="s">
        <v>1112</v>
      </c>
      <c r="D1196" t="s">
        <v>1178</v>
      </c>
      <c r="E1196">
        <f t="shared" si="361"/>
        <v>51</v>
      </c>
      <c r="G1196">
        <f t="shared" si="365"/>
        <v>2</v>
      </c>
      <c r="H1196" t="str">
        <f t="shared" si="366"/>
        <v/>
      </c>
      <c r="I1196" t="str">
        <f t="shared" si="367"/>
        <v/>
      </c>
      <c r="J1196" t="str">
        <f t="shared" si="368"/>
        <v/>
      </c>
      <c r="K1196" t="str">
        <f t="shared" si="369"/>
        <v/>
      </c>
      <c r="L1196" t="str">
        <f t="shared" si="370"/>
        <v/>
      </c>
      <c r="M1196" t="str">
        <f t="shared" si="371"/>
        <v/>
      </c>
      <c r="N1196" t="str">
        <f t="shared" si="372"/>
        <v/>
      </c>
      <c r="O1196" t="str">
        <f t="shared" si="373"/>
        <v/>
      </c>
      <c r="P1196" t="str">
        <f t="shared" si="374"/>
        <v/>
      </c>
      <c r="Q1196" t="str">
        <f t="shared" si="375"/>
        <v/>
      </c>
      <c r="R1196" t="str">
        <f t="shared" si="376"/>
        <v/>
      </c>
      <c r="S1196" t="str">
        <f t="shared" si="377"/>
        <v/>
      </c>
      <c r="T1196" t="str">
        <f t="shared" si="378"/>
        <v/>
      </c>
      <c r="U1196" t="str">
        <f t="shared" si="379"/>
        <v/>
      </c>
      <c r="V1196" t="str">
        <f t="shared" si="380"/>
        <v/>
      </c>
      <c r="W1196" t="str">
        <f t="shared" si="363"/>
        <v xml:space="preserve">              </v>
      </c>
    </row>
    <row r="1197" spans="1:23" customFormat="1" hidden="1">
      <c r="A1197" t="b">
        <f t="shared" si="362"/>
        <v>0</v>
      </c>
      <c r="B1197">
        <f t="shared" si="364"/>
        <v>1196</v>
      </c>
      <c r="C1197" t="s">
        <v>1112</v>
      </c>
      <c r="D1197" t="s">
        <v>1179</v>
      </c>
      <c r="E1197">
        <f t="shared" si="361"/>
        <v>31</v>
      </c>
      <c r="G1197">
        <f t="shared" si="365"/>
        <v>3</v>
      </c>
      <c r="H1197" t="str">
        <f t="shared" si="366"/>
        <v/>
      </c>
      <c r="I1197" t="str">
        <f t="shared" si="367"/>
        <v/>
      </c>
      <c r="J1197" t="str">
        <f t="shared" si="368"/>
        <v/>
      </c>
      <c r="K1197" t="str">
        <f t="shared" si="369"/>
        <v/>
      </c>
      <c r="L1197" t="str">
        <f t="shared" si="370"/>
        <v/>
      </c>
      <c r="M1197" t="str">
        <f t="shared" si="371"/>
        <v/>
      </c>
      <c r="N1197" t="str">
        <f t="shared" si="372"/>
        <v/>
      </c>
      <c r="O1197" t="str">
        <f t="shared" si="373"/>
        <v/>
      </c>
      <c r="P1197" t="str">
        <f t="shared" si="374"/>
        <v/>
      </c>
      <c r="Q1197" t="str">
        <f t="shared" si="375"/>
        <v/>
      </c>
      <c r="R1197" t="str">
        <f t="shared" si="376"/>
        <v/>
      </c>
      <c r="S1197" t="str">
        <f t="shared" si="377"/>
        <v/>
      </c>
      <c r="T1197" t="str">
        <f t="shared" si="378"/>
        <v/>
      </c>
      <c r="U1197" t="str">
        <f t="shared" si="379"/>
        <v/>
      </c>
      <c r="V1197" t="str">
        <f t="shared" si="380"/>
        <v/>
      </c>
      <c r="W1197" t="str">
        <f t="shared" si="363"/>
        <v xml:space="preserve">              </v>
      </c>
    </row>
    <row r="1198" spans="1:23" hidden="1">
      <c r="A1198" s="71" t="b">
        <f t="shared" si="362"/>
        <v>0</v>
      </c>
      <c r="B1198" s="71">
        <f t="shared" si="364"/>
        <v>1197</v>
      </c>
      <c r="C1198" s="71" t="s">
        <v>1112</v>
      </c>
      <c r="D1198" s="71" t="s">
        <v>1180</v>
      </c>
      <c r="E1198">
        <f t="shared" si="361"/>
        <v>25</v>
      </c>
      <c r="F1198">
        <v>1</v>
      </c>
      <c r="G1198">
        <f t="shared" si="365"/>
        <v>1</v>
      </c>
      <c r="H1198" t="str">
        <f t="shared" si="366"/>
        <v>Interactive communication</v>
      </c>
      <c r="I1198" t="str">
        <f t="shared" si="367"/>
        <v>This is the most common and most effective</v>
      </c>
      <c r="J1198" t="str">
        <f t="shared" si="368"/>
        <v>approach to communication. It’s where two or</v>
      </c>
      <c r="K1198" t="str">
        <f t="shared" si="369"/>
        <v>more people exchange information. Consider</v>
      </c>
      <c r="L1198" t="str">
        <f t="shared" si="370"/>
        <v>status meetings, ad-hoc meetings, phone calls,</v>
      </c>
      <c r="M1198" t="str">
        <f t="shared" si="371"/>
        <v>and videoconferences.</v>
      </c>
      <c r="N1198" t="str">
        <f t="shared" si="372"/>
        <v/>
      </c>
      <c r="O1198" t="str">
        <f t="shared" si="373"/>
        <v/>
      </c>
      <c r="P1198" t="str">
        <f t="shared" si="374"/>
        <v/>
      </c>
      <c r="Q1198" t="str">
        <f t="shared" si="375"/>
        <v/>
      </c>
      <c r="R1198" t="str">
        <f t="shared" si="376"/>
        <v/>
      </c>
      <c r="S1198" t="str">
        <f t="shared" si="377"/>
        <v/>
      </c>
      <c r="T1198" t="str">
        <f t="shared" si="378"/>
        <v/>
      </c>
      <c r="U1198" t="str">
        <f t="shared" si="379"/>
        <v/>
      </c>
      <c r="V1198" t="str">
        <f t="shared" si="380"/>
        <v/>
      </c>
      <c r="W1198" s="71" t="str">
        <f>CONCATENATE(H1198," ",I1198," ",J1198," ",K1198," ",L1198," ",M1198," ",N1198," ",O1198," ",P1198," ",Q1198," ",R1198," ",S1198," ",T1198," ",U1198," ",V1198)</f>
        <v xml:space="preserve">Interactive communication This is the most common and most effective approach to communication. It’s where two or more people exchange information. Consider status meetings, ad-hoc meetings, phone calls, and videoconferences.         </v>
      </c>
    </row>
    <row r="1199" spans="1:23" customFormat="1" hidden="1">
      <c r="A1199" t="b">
        <f t="shared" si="362"/>
        <v>0</v>
      </c>
      <c r="B1199">
        <f t="shared" si="364"/>
        <v>1198</v>
      </c>
      <c r="C1199" t="s">
        <v>1112</v>
      </c>
      <c r="D1199" t="s">
        <v>1181</v>
      </c>
      <c r="E1199">
        <f t="shared" si="361"/>
        <v>42</v>
      </c>
      <c r="G1199">
        <f t="shared" si="365"/>
        <v>2</v>
      </c>
      <c r="H1199" t="str">
        <f t="shared" si="366"/>
        <v/>
      </c>
      <c r="I1199" t="str">
        <f t="shared" si="367"/>
        <v/>
      </c>
      <c r="J1199" t="str">
        <f t="shared" si="368"/>
        <v/>
      </c>
      <c r="K1199" t="str">
        <f t="shared" si="369"/>
        <v/>
      </c>
      <c r="L1199" t="str">
        <f t="shared" si="370"/>
        <v/>
      </c>
      <c r="M1199" t="str">
        <f t="shared" si="371"/>
        <v/>
      </c>
      <c r="N1199" t="str">
        <f t="shared" si="372"/>
        <v/>
      </c>
      <c r="O1199" t="str">
        <f t="shared" si="373"/>
        <v/>
      </c>
      <c r="P1199" t="str">
        <f t="shared" si="374"/>
        <v/>
      </c>
      <c r="Q1199" t="str">
        <f t="shared" si="375"/>
        <v/>
      </c>
      <c r="R1199" t="str">
        <f t="shared" si="376"/>
        <v/>
      </c>
      <c r="S1199" t="str">
        <f t="shared" si="377"/>
        <v/>
      </c>
      <c r="T1199" t="str">
        <f t="shared" si="378"/>
        <v/>
      </c>
      <c r="U1199" t="str">
        <f t="shared" si="379"/>
        <v/>
      </c>
      <c r="V1199" t="str">
        <f t="shared" si="380"/>
        <v/>
      </c>
      <c r="W1199" t="str">
        <f t="shared" si="363"/>
        <v xml:space="preserve">              </v>
      </c>
    </row>
    <row r="1200" spans="1:23" customFormat="1" hidden="1">
      <c r="A1200" t="b">
        <f t="shared" si="362"/>
        <v>0</v>
      </c>
      <c r="B1200">
        <f t="shared" si="364"/>
        <v>1199</v>
      </c>
      <c r="C1200" t="s">
        <v>1112</v>
      </c>
      <c r="D1200" t="s">
        <v>1182</v>
      </c>
      <c r="E1200">
        <f t="shared" ref="E1200:E1261" si="381">LEN(D1200)</f>
        <v>44</v>
      </c>
      <c r="G1200">
        <f t="shared" si="365"/>
        <v>3</v>
      </c>
      <c r="H1200" t="str">
        <f t="shared" si="366"/>
        <v/>
      </c>
      <c r="I1200" t="str">
        <f t="shared" si="367"/>
        <v/>
      </c>
      <c r="J1200" t="str">
        <f t="shared" si="368"/>
        <v/>
      </c>
      <c r="K1200" t="str">
        <f t="shared" si="369"/>
        <v/>
      </c>
      <c r="L1200" t="str">
        <f t="shared" si="370"/>
        <v/>
      </c>
      <c r="M1200" t="str">
        <f t="shared" si="371"/>
        <v/>
      </c>
      <c r="N1200" t="str">
        <f t="shared" si="372"/>
        <v/>
      </c>
      <c r="O1200" t="str">
        <f t="shared" si="373"/>
        <v/>
      </c>
      <c r="P1200" t="str">
        <f t="shared" si="374"/>
        <v/>
      </c>
      <c r="Q1200" t="str">
        <f t="shared" si="375"/>
        <v/>
      </c>
      <c r="R1200" t="str">
        <f t="shared" si="376"/>
        <v/>
      </c>
      <c r="S1200" t="str">
        <f t="shared" si="377"/>
        <v/>
      </c>
      <c r="T1200" t="str">
        <f t="shared" si="378"/>
        <v/>
      </c>
      <c r="U1200" t="str">
        <f t="shared" si="379"/>
        <v/>
      </c>
      <c r="V1200" t="str">
        <f t="shared" si="380"/>
        <v/>
      </c>
      <c r="W1200" t="str">
        <f t="shared" si="363"/>
        <v xml:space="preserve">              </v>
      </c>
    </row>
    <row r="1201" spans="1:23" customFormat="1" hidden="1">
      <c r="A1201" t="b">
        <f t="shared" si="362"/>
        <v>0</v>
      </c>
      <c r="B1201">
        <f t="shared" si="364"/>
        <v>1200</v>
      </c>
      <c r="C1201" t="s">
        <v>1112</v>
      </c>
      <c r="D1201" t="s">
        <v>1183</v>
      </c>
      <c r="E1201">
        <f t="shared" si="381"/>
        <v>42</v>
      </c>
      <c r="G1201">
        <f t="shared" si="365"/>
        <v>4</v>
      </c>
      <c r="H1201" t="str">
        <f t="shared" si="366"/>
        <v/>
      </c>
      <c r="I1201" t="str">
        <f t="shared" si="367"/>
        <v/>
      </c>
      <c r="J1201" t="str">
        <f t="shared" si="368"/>
        <v/>
      </c>
      <c r="K1201" t="str">
        <f t="shared" si="369"/>
        <v/>
      </c>
      <c r="L1201" t="str">
        <f t="shared" si="370"/>
        <v/>
      </c>
      <c r="M1201" t="str">
        <f t="shared" si="371"/>
        <v/>
      </c>
      <c r="N1201" t="str">
        <f t="shared" si="372"/>
        <v/>
      </c>
      <c r="O1201" t="str">
        <f t="shared" si="373"/>
        <v/>
      </c>
      <c r="P1201" t="str">
        <f t="shared" si="374"/>
        <v/>
      </c>
      <c r="Q1201" t="str">
        <f t="shared" si="375"/>
        <v/>
      </c>
      <c r="R1201" t="str">
        <f t="shared" si="376"/>
        <v/>
      </c>
      <c r="S1201" t="str">
        <f t="shared" si="377"/>
        <v/>
      </c>
      <c r="T1201" t="str">
        <f t="shared" si="378"/>
        <v/>
      </c>
      <c r="U1201" t="str">
        <f t="shared" si="379"/>
        <v/>
      </c>
      <c r="V1201" t="str">
        <f t="shared" si="380"/>
        <v/>
      </c>
      <c r="W1201" t="str">
        <f t="shared" si="363"/>
        <v xml:space="preserve">              </v>
      </c>
    </row>
    <row r="1202" spans="1:23" customFormat="1" hidden="1">
      <c r="A1202" t="b">
        <f t="shared" si="362"/>
        <v>0</v>
      </c>
      <c r="B1202">
        <f t="shared" si="364"/>
        <v>1201</v>
      </c>
      <c r="C1202" t="s">
        <v>1112</v>
      </c>
      <c r="D1202" t="s">
        <v>1184</v>
      </c>
      <c r="E1202">
        <f t="shared" si="381"/>
        <v>46</v>
      </c>
      <c r="G1202">
        <f t="shared" si="365"/>
        <v>5</v>
      </c>
      <c r="H1202" t="str">
        <f t="shared" si="366"/>
        <v/>
      </c>
      <c r="I1202" t="str">
        <f t="shared" si="367"/>
        <v/>
      </c>
      <c r="J1202" t="str">
        <f t="shared" si="368"/>
        <v/>
      </c>
      <c r="K1202" t="str">
        <f t="shared" si="369"/>
        <v/>
      </c>
      <c r="L1202" t="str">
        <f t="shared" si="370"/>
        <v/>
      </c>
      <c r="M1202" t="str">
        <f t="shared" si="371"/>
        <v/>
      </c>
      <c r="N1202" t="str">
        <f t="shared" si="372"/>
        <v/>
      </c>
      <c r="O1202" t="str">
        <f t="shared" si="373"/>
        <v/>
      </c>
      <c r="P1202" t="str">
        <f t="shared" si="374"/>
        <v/>
      </c>
      <c r="Q1202" t="str">
        <f t="shared" si="375"/>
        <v/>
      </c>
      <c r="R1202" t="str">
        <f t="shared" si="376"/>
        <v/>
      </c>
      <c r="S1202" t="str">
        <f t="shared" si="377"/>
        <v/>
      </c>
      <c r="T1202" t="str">
        <f t="shared" si="378"/>
        <v/>
      </c>
      <c r="U1202" t="str">
        <f t="shared" si="379"/>
        <v/>
      </c>
      <c r="V1202" t="str">
        <f t="shared" si="380"/>
        <v/>
      </c>
      <c r="W1202" t="str">
        <f t="shared" si="363"/>
        <v xml:space="preserve">              </v>
      </c>
    </row>
    <row r="1203" spans="1:23" customFormat="1" hidden="1">
      <c r="A1203" t="b">
        <f t="shared" si="362"/>
        <v>0</v>
      </c>
      <c r="B1203">
        <f t="shared" si="364"/>
        <v>1202</v>
      </c>
      <c r="C1203" t="s">
        <v>1112</v>
      </c>
      <c r="D1203" t="s">
        <v>1185</v>
      </c>
      <c r="E1203">
        <f t="shared" si="381"/>
        <v>21</v>
      </c>
      <c r="G1203">
        <f t="shared" si="365"/>
        <v>6</v>
      </c>
      <c r="H1203" t="str">
        <f t="shared" si="366"/>
        <v/>
      </c>
      <c r="I1203" t="str">
        <f t="shared" si="367"/>
        <v/>
      </c>
      <c r="J1203" t="str">
        <f t="shared" si="368"/>
        <v/>
      </c>
      <c r="K1203" t="str">
        <f t="shared" si="369"/>
        <v/>
      </c>
      <c r="L1203" t="str">
        <f t="shared" si="370"/>
        <v/>
      </c>
      <c r="M1203" t="str">
        <f t="shared" si="371"/>
        <v/>
      </c>
      <c r="N1203" t="str">
        <f t="shared" si="372"/>
        <v/>
      </c>
      <c r="O1203" t="str">
        <f t="shared" si="373"/>
        <v/>
      </c>
      <c r="P1203" t="str">
        <f t="shared" si="374"/>
        <v/>
      </c>
      <c r="Q1203" t="str">
        <f t="shared" si="375"/>
        <v/>
      </c>
      <c r="R1203" t="str">
        <f t="shared" si="376"/>
        <v/>
      </c>
      <c r="S1203" t="str">
        <f t="shared" si="377"/>
        <v/>
      </c>
      <c r="T1203" t="str">
        <f t="shared" si="378"/>
        <v/>
      </c>
      <c r="U1203" t="str">
        <f t="shared" si="379"/>
        <v/>
      </c>
      <c r="V1203" t="str">
        <f t="shared" si="380"/>
        <v/>
      </c>
      <c r="W1203" t="str">
        <f t="shared" si="363"/>
        <v xml:space="preserve">              </v>
      </c>
    </row>
    <row r="1204" spans="1:23" hidden="1">
      <c r="A1204" s="71" t="b">
        <f t="shared" si="362"/>
        <v>0</v>
      </c>
      <c r="B1204" s="71">
        <f t="shared" si="364"/>
        <v>1203</v>
      </c>
      <c r="C1204" s="71" t="s">
        <v>1112</v>
      </c>
      <c r="D1204" s="71" t="s">
        <v>1186</v>
      </c>
      <c r="E1204">
        <f t="shared" si="381"/>
        <v>15</v>
      </c>
      <c r="F1204">
        <v>1</v>
      </c>
      <c r="G1204">
        <f t="shared" si="365"/>
        <v>1</v>
      </c>
      <c r="H1204" t="str">
        <f t="shared" si="366"/>
        <v>Lessons learned</v>
      </c>
      <c r="I1204" t="str">
        <f t="shared" si="367"/>
        <v>This is documentation of what did and did not</v>
      </c>
      <c r="J1204" t="str">
        <f t="shared" si="368"/>
        <v>work in the project implementation. Lessons</v>
      </c>
      <c r="K1204" t="str">
        <f t="shared" si="369"/>
        <v>learned documentation is created throughout</v>
      </c>
      <c r="L1204" t="str">
        <f t="shared" si="370"/>
        <v>the project by the entire project team. When</v>
      </c>
      <c r="M1204" t="str">
        <f t="shared" si="371"/>
        <v>lessons learned sessions are completed, they’re</v>
      </c>
      <c r="N1204" t="str">
        <f t="shared" si="372"/>
        <v>available to be used and applied by the entire</v>
      </c>
      <c r="O1204" t="str">
        <f t="shared" si="373"/>
        <v>organization. They are now part of the</v>
      </c>
      <c r="P1204" t="str">
        <f t="shared" si="374"/>
        <v>organizational process assets.</v>
      </c>
      <c r="Q1204" t="str">
        <f t="shared" si="375"/>
        <v/>
      </c>
      <c r="R1204" t="str">
        <f t="shared" si="376"/>
        <v/>
      </c>
      <c r="S1204" t="str">
        <f t="shared" si="377"/>
        <v/>
      </c>
      <c r="T1204" t="str">
        <f t="shared" si="378"/>
        <v/>
      </c>
      <c r="U1204" t="str">
        <f t="shared" si="379"/>
        <v/>
      </c>
      <c r="V1204" t="str">
        <f t="shared" si="380"/>
        <v/>
      </c>
      <c r="W1204" s="71" t="str">
        <f>CONCATENATE(H1204," ",I1204," ",J1204," ",K1204," ",L1204," ",M1204," ",N1204," ",O1204," ",P1204," ",Q1204," ",R1204," ",S1204," ",T1204," ",U1204," ",V1204)</f>
        <v xml:space="preserve">Lessons learned This is documentation of what did and did not work in the project implementation. Lessons learned documentation is created throughout the project by the entire project team. When lessons learned sessions are completed, they’re available to be used and applied by the entire organization. They are now part of the organizational process assets.      </v>
      </c>
    </row>
    <row r="1205" spans="1:23" customFormat="1" hidden="1">
      <c r="A1205" t="b">
        <f t="shared" si="362"/>
        <v>0</v>
      </c>
      <c r="B1205">
        <f t="shared" si="364"/>
        <v>1204</v>
      </c>
      <c r="C1205" t="s">
        <v>1112</v>
      </c>
      <c r="D1205" t="s">
        <v>1187</v>
      </c>
      <c r="E1205">
        <f t="shared" si="381"/>
        <v>45</v>
      </c>
      <c r="G1205">
        <f t="shared" si="365"/>
        <v>2</v>
      </c>
      <c r="H1205" t="str">
        <f t="shared" si="366"/>
        <v/>
      </c>
      <c r="I1205" t="str">
        <f t="shared" si="367"/>
        <v/>
      </c>
      <c r="J1205" t="str">
        <f t="shared" si="368"/>
        <v/>
      </c>
      <c r="K1205" t="str">
        <f t="shared" si="369"/>
        <v/>
      </c>
      <c r="L1205" t="str">
        <f t="shared" si="370"/>
        <v/>
      </c>
      <c r="M1205" t="str">
        <f t="shared" si="371"/>
        <v/>
      </c>
      <c r="N1205" t="str">
        <f t="shared" si="372"/>
        <v/>
      </c>
      <c r="O1205" t="str">
        <f t="shared" si="373"/>
        <v/>
      </c>
      <c r="P1205" t="str">
        <f t="shared" si="374"/>
        <v/>
      </c>
      <c r="Q1205" t="str">
        <f t="shared" si="375"/>
        <v/>
      </c>
      <c r="R1205" t="str">
        <f t="shared" si="376"/>
        <v/>
      </c>
      <c r="S1205" t="str">
        <f t="shared" si="377"/>
        <v/>
      </c>
      <c r="T1205" t="str">
        <f t="shared" si="378"/>
        <v/>
      </c>
      <c r="U1205" t="str">
        <f t="shared" si="379"/>
        <v/>
      </c>
      <c r="V1205" t="str">
        <f t="shared" si="380"/>
        <v/>
      </c>
      <c r="W1205" t="str">
        <f t="shared" si="363"/>
        <v xml:space="preserve">              </v>
      </c>
    </row>
    <row r="1206" spans="1:23" customFormat="1" hidden="1">
      <c r="A1206" t="b">
        <f t="shared" si="362"/>
        <v>0</v>
      </c>
      <c r="B1206">
        <f t="shared" si="364"/>
        <v>1205</v>
      </c>
      <c r="C1206" t="s">
        <v>1112</v>
      </c>
      <c r="D1206" t="s">
        <v>1188</v>
      </c>
      <c r="E1206">
        <f t="shared" si="381"/>
        <v>43</v>
      </c>
      <c r="G1206">
        <f t="shared" si="365"/>
        <v>3</v>
      </c>
      <c r="H1206" t="str">
        <f t="shared" si="366"/>
        <v/>
      </c>
      <c r="I1206" t="str">
        <f t="shared" si="367"/>
        <v/>
      </c>
      <c r="J1206" t="str">
        <f t="shared" si="368"/>
        <v/>
      </c>
      <c r="K1206" t="str">
        <f t="shared" si="369"/>
        <v/>
      </c>
      <c r="L1206" t="str">
        <f t="shared" si="370"/>
        <v/>
      </c>
      <c r="M1206" t="str">
        <f t="shared" si="371"/>
        <v/>
      </c>
      <c r="N1206" t="str">
        <f t="shared" si="372"/>
        <v/>
      </c>
      <c r="O1206" t="str">
        <f t="shared" si="373"/>
        <v/>
      </c>
      <c r="P1206" t="str">
        <f t="shared" si="374"/>
        <v/>
      </c>
      <c r="Q1206" t="str">
        <f t="shared" si="375"/>
        <v/>
      </c>
      <c r="R1206" t="str">
        <f t="shared" si="376"/>
        <v/>
      </c>
      <c r="S1206" t="str">
        <f t="shared" si="377"/>
        <v/>
      </c>
      <c r="T1206" t="str">
        <f t="shared" si="378"/>
        <v/>
      </c>
      <c r="U1206" t="str">
        <f t="shared" si="379"/>
        <v/>
      </c>
      <c r="V1206" t="str">
        <f t="shared" si="380"/>
        <v/>
      </c>
      <c r="W1206" t="str">
        <f t="shared" si="363"/>
        <v xml:space="preserve">              </v>
      </c>
    </row>
    <row r="1207" spans="1:23" customFormat="1" hidden="1">
      <c r="A1207" t="b">
        <f t="shared" si="362"/>
        <v>0</v>
      </c>
      <c r="B1207">
        <f t="shared" si="364"/>
        <v>1206</v>
      </c>
      <c r="C1207" t="s">
        <v>1112</v>
      </c>
      <c r="D1207" t="s">
        <v>1189</v>
      </c>
      <c r="E1207">
        <f t="shared" si="381"/>
        <v>43</v>
      </c>
      <c r="G1207">
        <f t="shared" si="365"/>
        <v>4</v>
      </c>
      <c r="H1207" t="str">
        <f t="shared" si="366"/>
        <v/>
      </c>
      <c r="I1207" t="str">
        <f t="shared" si="367"/>
        <v/>
      </c>
      <c r="J1207" t="str">
        <f t="shared" si="368"/>
        <v/>
      </c>
      <c r="K1207" t="str">
        <f t="shared" si="369"/>
        <v/>
      </c>
      <c r="L1207" t="str">
        <f t="shared" si="370"/>
        <v/>
      </c>
      <c r="M1207" t="str">
        <f t="shared" si="371"/>
        <v/>
      </c>
      <c r="N1207" t="str">
        <f t="shared" si="372"/>
        <v/>
      </c>
      <c r="O1207" t="str">
        <f t="shared" si="373"/>
        <v/>
      </c>
      <c r="P1207" t="str">
        <f t="shared" si="374"/>
        <v/>
      </c>
      <c r="Q1207" t="str">
        <f t="shared" si="375"/>
        <v/>
      </c>
      <c r="R1207" t="str">
        <f t="shared" si="376"/>
        <v/>
      </c>
      <c r="S1207" t="str">
        <f t="shared" si="377"/>
        <v/>
      </c>
      <c r="T1207" t="str">
        <f t="shared" si="378"/>
        <v/>
      </c>
      <c r="U1207" t="str">
        <f t="shared" si="379"/>
        <v/>
      </c>
      <c r="V1207" t="str">
        <f t="shared" si="380"/>
        <v/>
      </c>
      <c r="W1207" t="str">
        <f t="shared" si="363"/>
        <v xml:space="preserve">              </v>
      </c>
    </row>
    <row r="1208" spans="1:23" customFormat="1" hidden="1">
      <c r="A1208" t="b">
        <f t="shared" si="362"/>
        <v>0</v>
      </c>
      <c r="B1208">
        <f t="shared" si="364"/>
        <v>1207</v>
      </c>
      <c r="C1208" t="s">
        <v>1112</v>
      </c>
      <c r="D1208" t="s">
        <v>1190</v>
      </c>
      <c r="E1208">
        <f t="shared" si="381"/>
        <v>44</v>
      </c>
      <c r="G1208">
        <f t="shared" si="365"/>
        <v>5</v>
      </c>
      <c r="H1208" t="str">
        <f t="shared" si="366"/>
        <v/>
      </c>
      <c r="I1208" t="str">
        <f t="shared" si="367"/>
        <v/>
      </c>
      <c r="J1208" t="str">
        <f t="shared" si="368"/>
        <v/>
      </c>
      <c r="K1208" t="str">
        <f t="shared" si="369"/>
        <v/>
      </c>
      <c r="L1208" t="str">
        <f t="shared" si="370"/>
        <v/>
      </c>
      <c r="M1208" t="str">
        <f t="shared" si="371"/>
        <v/>
      </c>
      <c r="N1208" t="str">
        <f t="shared" si="372"/>
        <v/>
      </c>
      <c r="O1208" t="str">
        <f t="shared" si="373"/>
        <v/>
      </c>
      <c r="P1208" t="str">
        <f t="shared" si="374"/>
        <v/>
      </c>
      <c r="Q1208" t="str">
        <f t="shared" si="375"/>
        <v/>
      </c>
      <c r="R1208" t="str">
        <f t="shared" si="376"/>
        <v/>
      </c>
      <c r="S1208" t="str">
        <f t="shared" si="377"/>
        <v/>
      </c>
      <c r="T1208" t="str">
        <f t="shared" si="378"/>
        <v/>
      </c>
      <c r="U1208" t="str">
        <f t="shared" si="379"/>
        <v/>
      </c>
      <c r="V1208" t="str">
        <f t="shared" si="380"/>
        <v/>
      </c>
      <c r="W1208" t="str">
        <f t="shared" si="363"/>
        <v xml:space="preserve">              </v>
      </c>
    </row>
    <row r="1209" spans="1:23" customFormat="1" hidden="1">
      <c r="A1209" t="b">
        <f t="shared" si="362"/>
        <v>0</v>
      </c>
      <c r="B1209">
        <f t="shared" si="364"/>
        <v>1208</v>
      </c>
      <c r="C1209" t="s">
        <v>1112</v>
      </c>
      <c r="D1209" t="s">
        <v>1191</v>
      </c>
      <c r="E1209">
        <f t="shared" si="381"/>
        <v>47</v>
      </c>
      <c r="G1209">
        <f t="shared" si="365"/>
        <v>6</v>
      </c>
      <c r="H1209" t="str">
        <f t="shared" si="366"/>
        <v/>
      </c>
      <c r="I1209" t="str">
        <f t="shared" si="367"/>
        <v/>
      </c>
      <c r="J1209" t="str">
        <f t="shared" si="368"/>
        <v/>
      </c>
      <c r="K1209" t="str">
        <f t="shared" si="369"/>
        <v/>
      </c>
      <c r="L1209" t="str">
        <f t="shared" si="370"/>
        <v/>
      </c>
      <c r="M1209" t="str">
        <f t="shared" si="371"/>
        <v/>
      </c>
      <c r="N1209" t="str">
        <f t="shared" si="372"/>
        <v/>
      </c>
      <c r="O1209" t="str">
        <f t="shared" si="373"/>
        <v/>
      </c>
      <c r="P1209" t="str">
        <f t="shared" si="374"/>
        <v/>
      </c>
      <c r="Q1209" t="str">
        <f t="shared" si="375"/>
        <v/>
      </c>
      <c r="R1209" t="str">
        <f t="shared" si="376"/>
        <v/>
      </c>
      <c r="S1209" t="str">
        <f t="shared" si="377"/>
        <v/>
      </c>
      <c r="T1209" t="str">
        <f t="shared" si="378"/>
        <v/>
      </c>
      <c r="U1209" t="str">
        <f t="shared" si="379"/>
        <v/>
      </c>
      <c r="V1209" t="str">
        <f t="shared" si="380"/>
        <v/>
      </c>
      <c r="W1209" t="str">
        <f t="shared" si="363"/>
        <v xml:space="preserve">              </v>
      </c>
    </row>
    <row r="1210" spans="1:23" customFormat="1" hidden="1">
      <c r="A1210" t="b">
        <f t="shared" si="362"/>
        <v>0</v>
      </c>
      <c r="B1210">
        <f t="shared" si="364"/>
        <v>1209</v>
      </c>
      <c r="C1210" t="s">
        <v>1112</v>
      </c>
      <c r="D1210" t="s">
        <v>1192</v>
      </c>
      <c r="E1210">
        <f t="shared" si="381"/>
        <v>46</v>
      </c>
      <c r="G1210">
        <f t="shared" si="365"/>
        <v>7</v>
      </c>
      <c r="H1210" t="str">
        <f t="shared" si="366"/>
        <v/>
      </c>
      <c r="I1210" t="str">
        <f t="shared" si="367"/>
        <v/>
      </c>
      <c r="J1210" t="str">
        <f t="shared" si="368"/>
        <v/>
      </c>
      <c r="K1210" t="str">
        <f t="shared" si="369"/>
        <v/>
      </c>
      <c r="L1210" t="str">
        <f t="shared" si="370"/>
        <v/>
      </c>
      <c r="M1210" t="str">
        <f t="shared" si="371"/>
        <v/>
      </c>
      <c r="N1210" t="str">
        <f t="shared" si="372"/>
        <v/>
      </c>
      <c r="O1210" t="str">
        <f t="shared" si="373"/>
        <v/>
      </c>
      <c r="P1210" t="str">
        <f t="shared" si="374"/>
        <v/>
      </c>
      <c r="Q1210" t="str">
        <f t="shared" si="375"/>
        <v/>
      </c>
      <c r="R1210" t="str">
        <f t="shared" si="376"/>
        <v/>
      </c>
      <c r="S1210" t="str">
        <f t="shared" si="377"/>
        <v/>
      </c>
      <c r="T1210" t="str">
        <f t="shared" si="378"/>
        <v/>
      </c>
      <c r="U1210" t="str">
        <f t="shared" si="379"/>
        <v/>
      </c>
      <c r="V1210" t="str">
        <f t="shared" si="380"/>
        <v/>
      </c>
      <c r="W1210" t="str">
        <f t="shared" si="363"/>
        <v xml:space="preserve">              </v>
      </c>
    </row>
    <row r="1211" spans="1:23" customFormat="1" hidden="1">
      <c r="A1211" t="b">
        <f t="shared" si="362"/>
        <v>0</v>
      </c>
      <c r="B1211">
        <f t="shared" si="364"/>
        <v>1210</v>
      </c>
      <c r="C1211" t="s">
        <v>1112</v>
      </c>
      <c r="D1211" t="s">
        <v>1193</v>
      </c>
      <c r="E1211">
        <f t="shared" si="381"/>
        <v>38</v>
      </c>
      <c r="G1211">
        <f t="shared" si="365"/>
        <v>8</v>
      </c>
      <c r="H1211" t="str">
        <f t="shared" si="366"/>
        <v/>
      </c>
      <c r="I1211" t="str">
        <f t="shared" si="367"/>
        <v/>
      </c>
      <c r="J1211" t="str">
        <f t="shared" si="368"/>
        <v/>
      </c>
      <c r="K1211" t="str">
        <f t="shared" si="369"/>
        <v/>
      </c>
      <c r="L1211" t="str">
        <f t="shared" si="370"/>
        <v/>
      </c>
      <c r="M1211" t="str">
        <f t="shared" si="371"/>
        <v/>
      </c>
      <c r="N1211" t="str">
        <f t="shared" si="372"/>
        <v/>
      </c>
      <c r="O1211" t="str">
        <f t="shared" si="373"/>
        <v/>
      </c>
      <c r="P1211" t="str">
        <f t="shared" si="374"/>
        <v/>
      </c>
      <c r="Q1211" t="str">
        <f t="shared" si="375"/>
        <v/>
      </c>
      <c r="R1211" t="str">
        <f t="shared" si="376"/>
        <v/>
      </c>
      <c r="S1211" t="str">
        <f t="shared" si="377"/>
        <v/>
      </c>
      <c r="T1211" t="str">
        <f t="shared" si="378"/>
        <v/>
      </c>
      <c r="U1211" t="str">
        <f t="shared" si="379"/>
        <v/>
      </c>
      <c r="V1211" t="str">
        <f t="shared" si="380"/>
        <v/>
      </c>
      <c r="W1211" t="str">
        <f t="shared" si="363"/>
        <v xml:space="preserve">              </v>
      </c>
    </row>
    <row r="1212" spans="1:23" customFormat="1" hidden="1">
      <c r="A1212" t="b">
        <f t="shared" si="362"/>
        <v>0</v>
      </c>
      <c r="B1212">
        <f t="shared" si="364"/>
        <v>1211</v>
      </c>
      <c r="C1212" t="s">
        <v>1112</v>
      </c>
      <c r="D1212" t="s">
        <v>1194</v>
      </c>
      <c r="E1212">
        <f t="shared" si="381"/>
        <v>30</v>
      </c>
      <c r="G1212">
        <f t="shared" si="365"/>
        <v>9</v>
      </c>
      <c r="H1212" t="str">
        <f t="shared" si="366"/>
        <v/>
      </c>
      <c r="I1212" t="str">
        <f t="shared" si="367"/>
        <v/>
      </c>
      <c r="J1212" t="str">
        <f t="shared" si="368"/>
        <v/>
      </c>
      <c r="K1212" t="str">
        <f t="shared" si="369"/>
        <v/>
      </c>
      <c r="L1212" t="str">
        <f t="shared" si="370"/>
        <v/>
      </c>
      <c r="M1212" t="str">
        <f t="shared" si="371"/>
        <v/>
      </c>
      <c r="N1212" t="str">
        <f t="shared" si="372"/>
        <v/>
      </c>
      <c r="O1212" t="str">
        <f t="shared" si="373"/>
        <v/>
      </c>
      <c r="P1212" t="str">
        <f t="shared" si="374"/>
        <v/>
      </c>
      <c r="Q1212" t="str">
        <f t="shared" si="375"/>
        <v/>
      </c>
      <c r="R1212" t="str">
        <f t="shared" si="376"/>
        <v/>
      </c>
      <c r="S1212" t="str">
        <f t="shared" si="377"/>
        <v/>
      </c>
      <c r="T1212" t="str">
        <f t="shared" si="378"/>
        <v/>
      </c>
      <c r="U1212" t="str">
        <f t="shared" si="379"/>
        <v/>
      </c>
      <c r="V1212" t="str">
        <f t="shared" si="380"/>
        <v/>
      </c>
      <c r="W1212" t="str">
        <f t="shared" si="363"/>
        <v xml:space="preserve">              </v>
      </c>
    </row>
    <row r="1213" spans="1:23" hidden="1">
      <c r="A1213" s="71" t="b">
        <f t="shared" si="362"/>
        <v>0</v>
      </c>
      <c r="B1213" s="71">
        <f t="shared" si="364"/>
        <v>1212</v>
      </c>
      <c r="C1213" s="71" t="s">
        <v>1112</v>
      </c>
      <c r="D1213" s="71" t="s">
        <v>1195</v>
      </c>
      <c r="E1213">
        <f t="shared" si="381"/>
        <v>6</v>
      </c>
      <c r="F1213">
        <v>1</v>
      </c>
      <c r="G1213">
        <f t="shared" si="365"/>
        <v>1</v>
      </c>
      <c r="H1213" t="str">
        <f t="shared" si="366"/>
        <v>Medium</v>
      </c>
      <c r="I1213" t="str">
        <f t="shared" si="367"/>
        <v>The device or technology that transports a</v>
      </c>
      <c r="J1213" t="str">
        <f t="shared" si="368"/>
        <v>message.</v>
      </c>
      <c r="K1213" t="str">
        <f t="shared" si="369"/>
        <v/>
      </c>
      <c r="L1213" t="str">
        <f t="shared" si="370"/>
        <v/>
      </c>
      <c r="M1213" t="str">
        <f t="shared" si="371"/>
        <v/>
      </c>
      <c r="N1213" t="str">
        <f t="shared" si="372"/>
        <v/>
      </c>
      <c r="O1213" t="str">
        <f t="shared" si="373"/>
        <v/>
      </c>
      <c r="P1213" t="str">
        <f t="shared" si="374"/>
        <v/>
      </c>
      <c r="Q1213" t="str">
        <f t="shared" si="375"/>
        <v/>
      </c>
      <c r="R1213" t="str">
        <f t="shared" si="376"/>
        <v/>
      </c>
      <c r="S1213" t="str">
        <f t="shared" si="377"/>
        <v/>
      </c>
      <c r="T1213" t="str">
        <f t="shared" si="378"/>
        <v/>
      </c>
      <c r="U1213" t="str">
        <f t="shared" si="379"/>
        <v/>
      </c>
      <c r="V1213" t="str">
        <f t="shared" si="380"/>
        <v/>
      </c>
      <c r="W1213" s="71" t="str">
        <f>CONCATENATE(H1213," ",I1213," ",J1213," ",K1213," ",L1213," ",M1213," ",N1213," ",O1213," ",P1213," ",Q1213," ",R1213," ",S1213," ",T1213," ",U1213," ",V1213)</f>
        <v xml:space="preserve">Medium The device or technology that transports a message.            </v>
      </c>
    </row>
    <row r="1214" spans="1:23" customFormat="1" hidden="1">
      <c r="A1214" t="b">
        <f t="shared" ref="A1214:A1276" si="382">C1214=D1214</f>
        <v>0</v>
      </c>
      <c r="B1214">
        <f t="shared" si="364"/>
        <v>1213</v>
      </c>
      <c r="C1214" t="s">
        <v>1112</v>
      </c>
      <c r="D1214" t="s">
        <v>1196</v>
      </c>
      <c r="E1214">
        <f t="shared" si="381"/>
        <v>42</v>
      </c>
      <c r="G1214">
        <f t="shared" si="365"/>
        <v>2</v>
      </c>
      <c r="H1214" t="str">
        <f t="shared" si="366"/>
        <v/>
      </c>
      <c r="I1214" t="str">
        <f t="shared" si="367"/>
        <v/>
      </c>
      <c r="J1214" t="str">
        <f t="shared" si="368"/>
        <v/>
      </c>
      <c r="K1214" t="str">
        <f t="shared" si="369"/>
        <v/>
      </c>
      <c r="L1214" t="str">
        <f t="shared" si="370"/>
        <v/>
      </c>
      <c r="M1214" t="str">
        <f t="shared" si="371"/>
        <v/>
      </c>
      <c r="N1214" t="str">
        <f t="shared" si="372"/>
        <v/>
      </c>
      <c r="O1214" t="str">
        <f t="shared" si="373"/>
        <v/>
      </c>
      <c r="P1214" t="str">
        <f t="shared" si="374"/>
        <v/>
      </c>
      <c r="Q1214" t="str">
        <f t="shared" si="375"/>
        <v/>
      </c>
      <c r="R1214" t="str">
        <f t="shared" si="376"/>
        <v/>
      </c>
      <c r="S1214" t="str">
        <f t="shared" si="377"/>
        <v/>
      </c>
      <c r="T1214" t="str">
        <f t="shared" si="378"/>
        <v/>
      </c>
      <c r="U1214" t="str">
        <f t="shared" si="379"/>
        <v/>
      </c>
      <c r="V1214" t="str">
        <f t="shared" si="380"/>
        <v/>
      </c>
      <c r="W1214" t="str">
        <f t="shared" ref="W1214:W1276" si="383">CONCATENATE(H1214," ",I1214," ",J1214," ",K1214," ",L1214," ",M1214," ",N1214," ",O1214," ",P1214," ",Q1214," ",R1214," ",S1214," ",T1214," ",U1214," ",V1214)</f>
        <v xml:space="preserve">              </v>
      </c>
    </row>
    <row r="1215" spans="1:23" customFormat="1" hidden="1">
      <c r="A1215" t="b">
        <f t="shared" si="382"/>
        <v>0</v>
      </c>
      <c r="B1215">
        <f t="shared" si="364"/>
        <v>1214</v>
      </c>
      <c r="C1215" t="s">
        <v>1112</v>
      </c>
      <c r="D1215" t="s">
        <v>1197</v>
      </c>
      <c r="E1215">
        <f t="shared" si="381"/>
        <v>8</v>
      </c>
      <c r="G1215">
        <f t="shared" si="365"/>
        <v>3</v>
      </c>
      <c r="H1215" t="str">
        <f t="shared" si="366"/>
        <v/>
      </c>
      <c r="I1215" t="str">
        <f t="shared" si="367"/>
        <v/>
      </c>
      <c r="J1215" t="str">
        <f t="shared" si="368"/>
        <v/>
      </c>
      <c r="K1215" t="str">
        <f t="shared" si="369"/>
        <v/>
      </c>
      <c r="L1215" t="str">
        <f t="shared" si="370"/>
        <v/>
      </c>
      <c r="M1215" t="str">
        <f t="shared" si="371"/>
        <v/>
      </c>
      <c r="N1215" t="str">
        <f t="shared" si="372"/>
        <v/>
      </c>
      <c r="O1215" t="str">
        <f t="shared" si="373"/>
        <v/>
      </c>
      <c r="P1215" t="str">
        <f t="shared" si="374"/>
        <v/>
      </c>
      <c r="Q1215" t="str">
        <f t="shared" si="375"/>
        <v/>
      </c>
      <c r="R1215" t="str">
        <f t="shared" si="376"/>
        <v/>
      </c>
      <c r="S1215" t="str">
        <f t="shared" si="377"/>
        <v/>
      </c>
      <c r="T1215" t="str">
        <f t="shared" si="378"/>
        <v/>
      </c>
      <c r="U1215" t="str">
        <f t="shared" si="379"/>
        <v/>
      </c>
      <c r="V1215" t="str">
        <f t="shared" si="380"/>
        <v/>
      </c>
      <c r="W1215" t="str">
        <f t="shared" si="383"/>
        <v xml:space="preserve">              </v>
      </c>
    </row>
    <row r="1216" spans="1:23" hidden="1">
      <c r="A1216" s="71" t="b">
        <f t="shared" si="382"/>
        <v>0</v>
      </c>
      <c r="B1216" s="71">
        <f t="shared" si="364"/>
        <v>1215</v>
      </c>
      <c r="C1216" s="71" t="s">
        <v>1112</v>
      </c>
      <c r="D1216" s="71" t="s">
        <v>1198</v>
      </c>
      <c r="E1216">
        <f t="shared" si="381"/>
        <v>5</v>
      </c>
      <c r="F1216">
        <v>1</v>
      </c>
      <c r="G1216">
        <f t="shared" si="365"/>
        <v>1</v>
      </c>
      <c r="H1216" t="str">
        <f t="shared" si="366"/>
        <v>Noise</v>
      </c>
      <c r="I1216" t="str">
        <f t="shared" si="367"/>
        <v>Anything that interferes with or disrupts a</v>
      </c>
      <c r="J1216" t="str">
        <f t="shared" si="368"/>
        <v>message.</v>
      </c>
      <c r="K1216" t="str">
        <f t="shared" si="369"/>
        <v/>
      </c>
      <c r="L1216" t="str">
        <f t="shared" si="370"/>
        <v/>
      </c>
      <c r="M1216" t="str">
        <f t="shared" si="371"/>
        <v/>
      </c>
      <c r="N1216" t="str">
        <f t="shared" si="372"/>
        <v/>
      </c>
      <c r="O1216" t="str">
        <f t="shared" si="373"/>
        <v/>
      </c>
      <c r="P1216" t="str">
        <f t="shared" si="374"/>
        <v/>
      </c>
      <c r="Q1216" t="str">
        <f t="shared" si="375"/>
        <v/>
      </c>
      <c r="R1216" t="str">
        <f t="shared" si="376"/>
        <v/>
      </c>
      <c r="S1216" t="str">
        <f t="shared" si="377"/>
        <v/>
      </c>
      <c r="T1216" t="str">
        <f t="shared" si="378"/>
        <v/>
      </c>
      <c r="U1216" t="str">
        <f t="shared" si="379"/>
        <v/>
      </c>
      <c r="V1216" t="str">
        <f t="shared" si="380"/>
        <v/>
      </c>
      <c r="W1216" s="71" t="str">
        <f>CONCATENATE(H1216," ",I1216," ",J1216," ",K1216," ",L1216," ",M1216," ",N1216," ",O1216," ",P1216," ",Q1216," ",R1216," ",S1216," ",T1216," ",U1216," ",V1216)</f>
        <v xml:space="preserve">Noise Anything that interferes with or disrupts a message.            </v>
      </c>
    </row>
    <row r="1217" spans="1:23" customFormat="1" hidden="1">
      <c r="A1217" t="b">
        <f t="shared" si="382"/>
        <v>0</v>
      </c>
      <c r="B1217">
        <f t="shared" si="364"/>
        <v>1216</v>
      </c>
      <c r="C1217" t="s">
        <v>1112</v>
      </c>
      <c r="D1217" t="s">
        <v>1199</v>
      </c>
      <c r="E1217">
        <f t="shared" si="381"/>
        <v>43</v>
      </c>
      <c r="G1217">
        <f t="shared" si="365"/>
        <v>2</v>
      </c>
      <c r="H1217" t="str">
        <f t="shared" si="366"/>
        <v/>
      </c>
      <c r="I1217" t="str">
        <f t="shared" si="367"/>
        <v/>
      </c>
      <c r="J1217" t="str">
        <f t="shared" si="368"/>
        <v/>
      </c>
      <c r="K1217" t="str">
        <f t="shared" si="369"/>
        <v/>
      </c>
      <c r="L1217" t="str">
        <f t="shared" si="370"/>
        <v/>
      </c>
      <c r="M1217" t="str">
        <f t="shared" si="371"/>
        <v/>
      </c>
      <c r="N1217" t="str">
        <f t="shared" si="372"/>
        <v/>
      </c>
      <c r="O1217" t="str">
        <f t="shared" si="373"/>
        <v/>
      </c>
      <c r="P1217" t="str">
        <f t="shared" si="374"/>
        <v/>
      </c>
      <c r="Q1217" t="str">
        <f t="shared" si="375"/>
        <v/>
      </c>
      <c r="R1217" t="str">
        <f t="shared" si="376"/>
        <v/>
      </c>
      <c r="S1217" t="str">
        <f t="shared" si="377"/>
        <v/>
      </c>
      <c r="T1217" t="str">
        <f t="shared" si="378"/>
        <v/>
      </c>
      <c r="U1217" t="str">
        <f t="shared" si="379"/>
        <v/>
      </c>
      <c r="V1217" t="str">
        <f t="shared" si="380"/>
        <v/>
      </c>
      <c r="W1217" t="str">
        <f t="shared" si="383"/>
        <v xml:space="preserve">              </v>
      </c>
    </row>
    <row r="1218" spans="1:23" customFormat="1" hidden="1">
      <c r="A1218" t="b">
        <f t="shared" si="382"/>
        <v>0</v>
      </c>
      <c r="B1218">
        <f t="shared" si="364"/>
        <v>1217</v>
      </c>
      <c r="C1218" t="s">
        <v>1112</v>
      </c>
      <c r="D1218" t="s">
        <v>1197</v>
      </c>
      <c r="E1218">
        <f t="shared" si="381"/>
        <v>8</v>
      </c>
      <c r="G1218">
        <f t="shared" si="365"/>
        <v>3</v>
      </c>
      <c r="H1218" t="str">
        <f t="shared" si="366"/>
        <v/>
      </c>
      <c r="I1218" t="str">
        <f t="shared" si="367"/>
        <v/>
      </c>
      <c r="J1218" t="str">
        <f t="shared" si="368"/>
        <v/>
      </c>
      <c r="K1218" t="str">
        <f t="shared" si="369"/>
        <v/>
      </c>
      <c r="L1218" t="str">
        <f t="shared" si="370"/>
        <v/>
      </c>
      <c r="M1218" t="str">
        <f t="shared" si="371"/>
        <v/>
      </c>
      <c r="N1218" t="str">
        <f t="shared" si="372"/>
        <v/>
      </c>
      <c r="O1218" t="str">
        <f t="shared" si="373"/>
        <v/>
      </c>
      <c r="P1218" t="str">
        <f t="shared" si="374"/>
        <v/>
      </c>
      <c r="Q1218" t="str">
        <f t="shared" si="375"/>
        <v/>
      </c>
      <c r="R1218" t="str">
        <f t="shared" si="376"/>
        <v/>
      </c>
      <c r="S1218" t="str">
        <f t="shared" si="377"/>
        <v/>
      </c>
      <c r="T1218" t="str">
        <f t="shared" si="378"/>
        <v/>
      </c>
      <c r="U1218" t="str">
        <f t="shared" si="379"/>
        <v/>
      </c>
      <c r="V1218" t="str">
        <f t="shared" si="380"/>
        <v/>
      </c>
      <c r="W1218" t="str">
        <f t="shared" si="383"/>
        <v xml:space="preserve">              </v>
      </c>
    </row>
    <row r="1219" spans="1:23" hidden="1">
      <c r="A1219" s="71" t="b">
        <f t="shared" si="382"/>
        <v>0</v>
      </c>
      <c r="B1219" s="71">
        <f t="shared" si="364"/>
        <v>1218</v>
      </c>
      <c r="C1219" s="71" t="s">
        <v>1112</v>
      </c>
      <c r="D1219" s="71" t="s">
        <v>1200</v>
      </c>
      <c r="E1219">
        <f t="shared" si="381"/>
        <v>9</v>
      </c>
      <c r="F1219">
        <v>1</v>
      </c>
      <c r="G1219">
        <f t="shared" si="365"/>
        <v>1</v>
      </c>
      <c r="H1219" t="str">
        <f t="shared" si="366"/>
        <v>Nonverbal</v>
      </c>
      <c r="I1219" t="str">
        <f t="shared" si="367"/>
        <v>Facial expressions, hand gestures, and body</v>
      </c>
      <c r="J1219" t="str">
        <f t="shared" si="368"/>
        <v>language are nonverbal cues that contribute to a</v>
      </c>
      <c r="K1219" t="str">
        <f t="shared" si="369"/>
        <v>message. Approximately 55 percent of</v>
      </c>
      <c r="L1219" t="str">
        <f t="shared" si="370"/>
        <v>communication is nonverbal.</v>
      </c>
      <c r="M1219" t="str">
        <f t="shared" si="371"/>
        <v/>
      </c>
      <c r="N1219" t="str">
        <f t="shared" si="372"/>
        <v/>
      </c>
      <c r="O1219" t="str">
        <f t="shared" si="373"/>
        <v/>
      </c>
      <c r="P1219" t="str">
        <f t="shared" si="374"/>
        <v/>
      </c>
      <c r="Q1219" t="str">
        <f t="shared" si="375"/>
        <v/>
      </c>
      <c r="R1219" t="str">
        <f t="shared" si="376"/>
        <v/>
      </c>
      <c r="S1219" t="str">
        <f t="shared" si="377"/>
        <v/>
      </c>
      <c r="T1219" t="str">
        <f t="shared" si="378"/>
        <v/>
      </c>
      <c r="U1219" t="str">
        <f t="shared" si="379"/>
        <v/>
      </c>
      <c r="V1219" t="str">
        <f t="shared" si="380"/>
        <v/>
      </c>
      <c r="W1219" s="71" t="str">
        <f>CONCATENATE(H1219," ",I1219," ",J1219," ",K1219," ",L1219," ",M1219," ",N1219," ",O1219," ",P1219," ",Q1219," ",R1219," ",S1219," ",T1219," ",U1219," ",V1219)</f>
        <v xml:space="preserve">Nonverbal Facial expressions, hand gestures, and body language are nonverbal cues that contribute to a message. Approximately 55 percent of communication is nonverbal.          </v>
      </c>
    </row>
    <row r="1220" spans="1:23" customFormat="1" hidden="1">
      <c r="A1220" t="b">
        <f t="shared" si="382"/>
        <v>0</v>
      </c>
      <c r="B1220">
        <f t="shared" ref="B1220:B1283" si="384">B1219+1</f>
        <v>1219</v>
      </c>
      <c r="C1220" t="s">
        <v>1112</v>
      </c>
      <c r="D1220" t="s">
        <v>1201</v>
      </c>
      <c r="E1220">
        <f t="shared" si="381"/>
        <v>43</v>
      </c>
      <c r="G1220">
        <f t="shared" ref="G1220:G1283" si="385">IF(F1220=1,1,G1219+1)</f>
        <v>2</v>
      </c>
      <c r="H1220" t="str">
        <f t="shared" ref="H1220:H1283" si="386">IF($G1220=H$1,$D1220,"")</f>
        <v/>
      </c>
      <c r="I1220" t="str">
        <f t="shared" ref="I1220:I1283" si="387">IF($G1221=I$1,$D1221,"")</f>
        <v/>
      </c>
      <c r="J1220" t="str">
        <f t="shared" ref="J1220:J1283" si="388">IF($G1222=J$1,$D1222,"")</f>
        <v/>
      </c>
      <c r="K1220" t="str">
        <f t="shared" ref="K1220:K1283" si="389">IF($G1223=K$1,$D1223,"")</f>
        <v/>
      </c>
      <c r="L1220" t="str">
        <f t="shared" ref="L1220:L1283" si="390">IF($G1224=L$1,$D1224,"")</f>
        <v/>
      </c>
      <c r="M1220" t="str">
        <f t="shared" ref="M1220:M1283" si="391">IF($G1225=M$1,$D1225,"")</f>
        <v/>
      </c>
      <c r="N1220" t="str">
        <f t="shared" ref="N1220:N1283" si="392">IF($G1226=N$1,$D1226,"")</f>
        <v/>
      </c>
      <c r="O1220" t="str">
        <f t="shared" ref="O1220:O1283" si="393">IF($G1227=O$1,$D1227,"")</f>
        <v/>
      </c>
      <c r="P1220" t="str">
        <f t="shared" ref="P1220:P1283" si="394">IF($G1228=P$1,$D1228,"")</f>
        <v/>
      </c>
      <c r="Q1220" t="str">
        <f t="shared" ref="Q1220:Q1283" si="395">IF($G1229=Q$1,$D1229,"")</f>
        <v/>
      </c>
      <c r="R1220" t="str">
        <f t="shared" ref="R1220:R1283" si="396">IF($G1230=R$1,$D1230,"")</f>
        <v/>
      </c>
      <c r="S1220" t="str">
        <f t="shared" ref="S1220:S1283" si="397">IF($G1231=S$1,$D1231,"")</f>
        <v/>
      </c>
      <c r="T1220" t="str">
        <f t="shared" ref="T1220:T1283" si="398">IF($G1232=T$1,$D1232,"")</f>
        <v/>
      </c>
      <c r="U1220" t="str">
        <f t="shared" ref="U1220:U1283" si="399">IF($G1233=U$1,$D1233,"")</f>
        <v/>
      </c>
      <c r="V1220" t="str">
        <f t="shared" ref="V1220:V1283" si="400">IF($G1234=V$1,$D1234,"")</f>
        <v/>
      </c>
      <c r="W1220" t="str">
        <f t="shared" si="383"/>
        <v xml:space="preserve">              </v>
      </c>
    </row>
    <row r="1221" spans="1:23" customFormat="1" hidden="1">
      <c r="A1221" t="b">
        <f t="shared" si="382"/>
        <v>0</v>
      </c>
      <c r="B1221">
        <f t="shared" si="384"/>
        <v>1220</v>
      </c>
      <c r="C1221" t="s">
        <v>1112</v>
      </c>
      <c r="D1221" t="s">
        <v>1202</v>
      </c>
      <c r="E1221">
        <f t="shared" si="381"/>
        <v>48</v>
      </c>
      <c r="G1221">
        <f t="shared" si="385"/>
        <v>3</v>
      </c>
      <c r="H1221" t="str">
        <f t="shared" si="386"/>
        <v/>
      </c>
      <c r="I1221" t="str">
        <f t="shared" si="387"/>
        <v/>
      </c>
      <c r="J1221" t="str">
        <f t="shared" si="388"/>
        <v/>
      </c>
      <c r="K1221" t="str">
        <f t="shared" si="389"/>
        <v/>
      </c>
      <c r="L1221" t="str">
        <f t="shared" si="390"/>
        <v/>
      </c>
      <c r="M1221" t="str">
        <f t="shared" si="391"/>
        <v/>
      </c>
      <c r="N1221" t="str">
        <f t="shared" si="392"/>
        <v/>
      </c>
      <c r="O1221" t="str">
        <f t="shared" si="393"/>
        <v/>
      </c>
      <c r="P1221" t="str">
        <f t="shared" si="394"/>
        <v/>
      </c>
      <c r="Q1221" t="str">
        <f t="shared" si="395"/>
        <v/>
      </c>
      <c r="R1221" t="str">
        <f t="shared" si="396"/>
        <v/>
      </c>
      <c r="S1221" t="str">
        <f t="shared" si="397"/>
        <v/>
      </c>
      <c r="T1221" t="str">
        <f t="shared" si="398"/>
        <v/>
      </c>
      <c r="U1221" t="str">
        <f t="shared" si="399"/>
        <v/>
      </c>
      <c r="V1221" t="str">
        <f t="shared" si="400"/>
        <v/>
      </c>
      <c r="W1221" t="str">
        <f t="shared" si="383"/>
        <v xml:space="preserve">              </v>
      </c>
    </row>
    <row r="1222" spans="1:23" customFormat="1" hidden="1">
      <c r="A1222" t="b">
        <f t="shared" si="382"/>
        <v>0</v>
      </c>
      <c r="B1222">
        <f t="shared" si="384"/>
        <v>1221</v>
      </c>
      <c r="C1222" t="s">
        <v>1112</v>
      </c>
      <c r="D1222" t="s">
        <v>1203</v>
      </c>
      <c r="E1222">
        <f t="shared" si="381"/>
        <v>36</v>
      </c>
      <c r="G1222">
        <f t="shared" si="385"/>
        <v>4</v>
      </c>
      <c r="H1222" t="str">
        <f t="shared" si="386"/>
        <v/>
      </c>
      <c r="I1222" t="str">
        <f t="shared" si="387"/>
        <v/>
      </c>
      <c r="J1222" t="str">
        <f t="shared" si="388"/>
        <v/>
      </c>
      <c r="K1222" t="str">
        <f t="shared" si="389"/>
        <v/>
      </c>
      <c r="L1222" t="str">
        <f t="shared" si="390"/>
        <v/>
      </c>
      <c r="M1222" t="str">
        <f t="shared" si="391"/>
        <v/>
      </c>
      <c r="N1222" t="str">
        <f t="shared" si="392"/>
        <v/>
      </c>
      <c r="O1222" t="str">
        <f t="shared" si="393"/>
        <v/>
      </c>
      <c r="P1222" t="str">
        <f t="shared" si="394"/>
        <v/>
      </c>
      <c r="Q1222" t="str">
        <f t="shared" si="395"/>
        <v/>
      </c>
      <c r="R1222" t="str">
        <f t="shared" si="396"/>
        <v/>
      </c>
      <c r="S1222" t="str">
        <f t="shared" si="397"/>
        <v/>
      </c>
      <c r="T1222" t="str">
        <f t="shared" si="398"/>
        <v/>
      </c>
      <c r="U1222" t="str">
        <f t="shared" si="399"/>
        <v/>
      </c>
      <c r="V1222" t="str">
        <f t="shared" si="400"/>
        <v/>
      </c>
      <c r="W1222" t="str">
        <f t="shared" si="383"/>
        <v xml:space="preserve">              </v>
      </c>
    </row>
    <row r="1223" spans="1:23" customFormat="1" hidden="1">
      <c r="A1223" t="b">
        <f t="shared" si="382"/>
        <v>0</v>
      </c>
      <c r="B1223">
        <f t="shared" si="384"/>
        <v>1222</v>
      </c>
      <c r="C1223" t="s">
        <v>1112</v>
      </c>
      <c r="D1223" t="s">
        <v>1204</v>
      </c>
      <c r="E1223">
        <f t="shared" si="381"/>
        <v>27</v>
      </c>
      <c r="G1223">
        <f t="shared" si="385"/>
        <v>5</v>
      </c>
      <c r="H1223" t="str">
        <f t="shared" si="386"/>
        <v/>
      </c>
      <c r="I1223" t="str">
        <f t="shared" si="387"/>
        <v/>
      </c>
      <c r="J1223" t="str">
        <f t="shared" si="388"/>
        <v/>
      </c>
      <c r="K1223" t="str">
        <f t="shared" si="389"/>
        <v/>
      </c>
      <c r="L1223" t="str">
        <f t="shared" si="390"/>
        <v/>
      </c>
      <c r="M1223" t="str">
        <f t="shared" si="391"/>
        <v/>
      </c>
      <c r="N1223" t="str">
        <f t="shared" si="392"/>
        <v/>
      </c>
      <c r="O1223" t="str">
        <f t="shared" si="393"/>
        <v/>
      </c>
      <c r="P1223" t="str">
        <f t="shared" si="394"/>
        <v/>
      </c>
      <c r="Q1223" t="str">
        <f t="shared" si="395"/>
        <v/>
      </c>
      <c r="R1223" t="str">
        <f t="shared" si="396"/>
        <v/>
      </c>
      <c r="S1223" t="str">
        <f t="shared" si="397"/>
        <v/>
      </c>
      <c r="T1223" t="str">
        <f t="shared" si="398"/>
        <v/>
      </c>
      <c r="U1223" t="str">
        <f t="shared" si="399"/>
        <v/>
      </c>
      <c r="V1223" t="str">
        <f t="shared" si="400"/>
        <v/>
      </c>
      <c r="W1223" t="str">
        <f t="shared" si="383"/>
        <v xml:space="preserve">              </v>
      </c>
    </row>
    <row r="1224" spans="1:23" hidden="1">
      <c r="A1224" s="71" t="b">
        <f t="shared" si="382"/>
        <v>0</v>
      </c>
      <c r="B1224" s="71">
        <f t="shared" si="384"/>
        <v>1223</v>
      </c>
      <c r="C1224" s="71" t="s">
        <v>1112</v>
      </c>
      <c r="D1224" s="71" t="s">
        <v>1205</v>
      </c>
      <c r="E1224">
        <f t="shared" si="381"/>
        <v>11</v>
      </c>
      <c r="F1224">
        <v>1</v>
      </c>
      <c r="G1224">
        <f t="shared" si="385"/>
        <v>1</v>
      </c>
      <c r="H1224" t="str">
        <f t="shared" si="386"/>
        <v>Paralingual</v>
      </c>
      <c r="I1224" t="str">
        <f t="shared" si="387"/>
        <v>The pitch, tone, and inflections in the sender’s</v>
      </c>
      <c r="J1224" t="str">
        <f t="shared" si="388"/>
        <v>voice affecting the message being sent.</v>
      </c>
      <c r="K1224" t="str">
        <f t="shared" si="389"/>
        <v/>
      </c>
      <c r="L1224" t="str">
        <f t="shared" si="390"/>
        <v/>
      </c>
      <c r="M1224" t="str">
        <f t="shared" si="391"/>
        <v/>
      </c>
      <c r="N1224" t="str">
        <f t="shared" si="392"/>
        <v/>
      </c>
      <c r="O1224" t="str">
        <f t="shared" si="393"/>
        <v/>
      </c>
      <c r="P1224" t="str">
        <f t="shared" si="394"/>
        <v/>
      </c>
      <c r="Q1224" t="str">
        <f t="shared" si="395"/>
        <v/>
      </c>
      <c r="R1224" t="str">
        <f t="shared" si="396"/>
        <v/>
      </c>
      <c r="S1224" t="str">
        <f t="shared" si="397"/>
        <v/>
      </c>
      <c r="T1224" t="str">
        <f t="shared" si="398"/>
        <v/>
      </c>
      <c r="U1224" t="str">
        <f t="shared" si="399"/>
        <v/>
      </c>
      <c r="V1224" t="str">
        <f t="shared" si="400"/>
        <v/>
      </c>
      <c r="W1224" s="71" t="str">
        <f>CONCATENATE(H1224," ",I1224," ",J1224," ",K1224," ",L1224," ",M1224," ",N1224," ",O1224," ",P1224," ",Q1224," ",R1224," ",S1224," ",T1224," ",U1224," ",V1224)</f>
        <v xml:space="preserve">Paralingual The pitch, tone, and inflections in the sender’s voice affecting the message being sent.            </v>
      </c>
    </row>
    <row r="1225" spans="1:23" customFormat="1" hidden="1">
      <c r="A1225" t="b">
        <f t="shared" si="382"/>
        <v>0</v>
      </c>
      <c r="B1225">
        <f t="shared" si="384"/>
        <v>1224</v>
      </c>
      <c r="C1225" t="s">
        <v>1112</v>
      </c>
      <c r="D1225" t="s">
        <v>1206</v>
      </c>
      <c r="E1225">
        <f t="shared" si="381"/>
        <v>48</v>
      </c>
      <c r="G1225">
        <f t="shared" si="385"/>
        <v>2</v>
      </c>
      <c r="H1225" t="str">
        <f t="shared" si="386"/>
        <v/>
      </c>
      <c r="I1225" t="str">
        <f t="shared" si="387"/>
        <v/>
      </c>
      <c r="J1225" t="str">
        <f t="shared" si="388"/>
        <v/>
      </c>
      <c r="K1225" t="str">
        <f t="shared" si="389"/>
        <v/>
      </c>
      <c r="L1225" t="str">
        <f t="shared" si="390"/>
        <v/>
      </c>
      <c r="M1225" t="str">
        <f t="shared" si="391"/>
        <v/>
      </c>
      <c r="N1225" t="str">
        <f t="shared" si="392"/>
        <v/>
      </c>
      <c r="O1225" t="str">
        <f t="shared" si="393"/>
        <v/>
      </c>
      <c r="P1225" t="str">
        <f t="shared" si="394"/>
        <v/>
      </c>
      <c r="Q1225" t="str">
        <f t="shared" si="395"/>
        <v/>
      </c>
      <c r="R1225" t="str">
        <f t="shared" si="396"/>
        <v/>
      </c>
      <c r="S1225" t="str">
        <f t="shared" si="397"/>
        <v/>
      </c>
      <c r="T1225" t="str">
        <f t="shared" si="398"/>
        <v/>
      </c>
      <c r="U1225" t="str">
        <f t="shared" si="399"/>
        <v/>
      </c>
      <c r="V1225" t="str">
        <f t="shared" si="400"/>
        <v/>
      </c>
      <c r="W1225" t="str">
        <f t="shared" si="383"/>
        <v xml:space="preserve">              </v>
      </c>
    </row>
    <row r="1226" spans="1:23" customFormat="1" hidden="1">
      <c r="A1226" t="b">
        <f t="shared" si="382"/>
        <v>0</v>
      </c>
      <c r="B1226">
        <f t="shared" si="384"/>
        <v>1225</v>
      </c>
      <c r="C1226" t="s">
        <v>1112</v>
      </c>
      <c r="D1226" t="s">
        <v>1207</v>
      </c>
      <c r="E1226">
        <f t="shared" si="381"/>
        <v>39</v>
      </c>
      <c r="G1226">
        <f t="shared" si="385"/>
        <v>3</v>
      </c>
      <c r="H1226" t="str">
        <f t="shared" si="386"/>
        <v/>
      </c>
      <c r="I1226" t="str">
        <f t="shared" si="387"/>
        <v/>
      </c>
      <c r="J1226" t="str">
        <f t="shared" si="388"/>
        <v/>
      </c>
      <c r="K1226" t="str">
        <f t="shared" si="389"/>
        <v/>
      </c>
      <c r="L1226" t="str">
        <f t="shared" si="390"/>
        <v/>
      </c>
      <c r="M1226" t="str">
        <f t="shared" si="391"/>
        <v/>
      </c>
      <c r="N1226" t="str">
        <f t="shared" si="392"/>
        <v/>
      </c>
      <c r="O1226" t="str">
        <f t="shared" si="393"/>
        <v/>
      </c>
      <c r="P1226" t="str">
        <f t="shared" si="394"/>
        <v/>
      </c>
      <c r="Q1226" t="str">
        <f t="shared" si="395"/>
        <v/>
      </c>
      <c r="R1226" t="str">
        <f t="shared" si="396"/>
        <v/>
      </c>
      <c r="S1226" t="str">
        <f t="shared" si="397"/>
        <v/>
      </c>
      <c r="T1226" t="str">
        <f t="shared" si="398"/>
        <v/>
      </c>
      <c r="U1226" t="str">
        <f t="shared" si="399"/>
        <v/>
      </c>
      <c r="V1226" t="str">
        <f t="shared" si="400"/>
        <v/>
      </c>
      <c r="W1226" t="str">
        <f t="shared" si="383"/>
        <v xml:space="preserve">              </v>
      </c>
    </row>
    <row r="1227" spans="1:23" hidden="1">
      <c r="A1227" s="71" t="b">
        <f t="shared" si="382"/>
        <v>0</v>
      </c>
      <c r="B1227" s="71">
        <f t="shared" si="384"/>
        <v>1226</v>
      </c>
      <c r="C1227" s="71" t="s">
        <v>1112</v>
      </c>
      <c r="D1227" s="71" t="s">
        <v>1208</v>
      </c>
      <c r="E1227">
        <f t="shared" si="381"/>
        <v>18</v>
      </c>
      <c r="F1227">
        <v>1</v>
      </c>
      <c r="G1227">
        <f t="shared" si="385"/>
        <v>1</v>
      </c>
      <c r="H1227" t="str">
        <f t="shared" si="386"/>
        <v>Performance report</v>
      </c>
      <c r="I1227" t="str">
        <f t="shared" si="387"/>
        <v>A report that depicts how well a project is</v>
      </c>
      <c r="J1227" t="str">
        <f t="shared" si="388"/>
        <v>performing. Often, the performance report is</v>
      </c>
      <c r="K1227" t="str">
        <f t="shared" si="389"/>
        <v>based on earned value management and may</v>
      </c>
      <c r="L1227" t="str">
        <f t="shared" si="390"/>
        <v>include cost or schedule variance reports.</v>
      </c>
      <c r="M1227" t="str">
        <f t="shared" si="391"/>
        <v/>
      </c>
      <c r="N1227" t="str">
        <f t="shared" si="392"/>
        <v/>
      </c>
      <c r="O1227" t="str">
        <f t="shared" si="393"/>
        <v/>
      </c>
      <c r="P1227" t="str">
        <f t="shared" si="394"/>
        <v/>
      </c>
      <c r="Q1227" t="str">
        <f t="shared" si="395"/>
        <v/>
      </c>
      <c r="R1227" t="str">
        <f t="shared" si="396"/>
        <v/>
      </c>
      <c r="S1227" t="str">
        <f t="shared" si="397"/>
        <v/>
      </c>
      <c r="T1227" t="str">
        <f t="shared" si="398"/>
        <v/>
      </c>
      <c r="U1227" t="str">
        <f t="shared" si="399"/>
        <v/>
      </c>
      <c r="V1227" t="str">
        <f t="shared" si="400"/>
        <v/>
      </c>
      <c r="W1227" s="71" t="str">
        <f>CONCATENATE(H1227," ",I1227," ",J1227," ",K1227," ",L1227," ",M1227," ",N1227," ",O1227," ",P1227," ",Q1227," ",R1227," ",S1227," ",T1227," ",U1227," ",V1227)</f>
        <v xml:space="preserve">Performance report A report that depicts how well a project is performing. Often, the performance report is based on earned value management and may include cost or schedule variance reports.          </v>
      </c>
    </row>
    <row r="1228" spans="1:23" customFormat="1" hidden="1">
      <c r="A1228" t="b">
        <f t="shared" si="382"/>
        <v>0</v>
      </c>
      <c r="B1228">
        <f t="shared" si="384"/>
        <v>1227</v>
      </c>
      <c r="C1228" t="s">
        <v>1112</v>
      </c>
      <c r="D1228" t="s">
        <v>1209</v>
      </c>
      <c r="E1228">
        <f t="shared" si="381"/>
        <v>43</v>
      </c>
      <c r="G1228">
        <f t="shared" si="385"/>
        <v>2</v>
      </c>
      <c r="H1228" t="str">
        <f t="shared" si="386"/>
        <v/>
      </c>
      <c r="I1228" t="str">
        <f t="shared" si="387"/>
        <v/>
      </c>
      <c r="J1228" t="str">
        <f t="shared" si="388"/>
        <v/>
      </c>
      <c r="K1228" t="str">
        <f t="shared" si="389"/>
        <v/>
      </c>
      <c r="L1228" t="str">
        <f t="shared" si="390"/>
        <v/>
      </c>
      <c r="M1228" t="str">
        <f t="shared" si="391"/>
        <v/>
      </c>
      <c r="N1228" t="str">
        <f t="shared" si="392"/>
        <v/>
      </c>
      <c r="O1228" t="str">
        <f t="shared" si="393"/>
        <v/>
      </c>
      <c r="P1228" t="str">
        <f t="shared" si="394"/>
        <v/>
      </c>
      <c r="Q1228" t="str">
        <f t="shared" si="395"/>
        <v/>
      </c>
      <c r="R1228" t="str">
        <f t="shared" si="396"/>
        <v/>
      </c>
      <c r="S1228" t="str">
        <f t="shared" si="397"/>
        <v/>
      </c>
      <c r="T1228" t="str">
        <f t="shared" si="398"/>
        <v/>
      </c>
      <c r="U1228" t="str">
        <f t="shared" si="399"/>
        <v/>
      </c>
      <c r="V1228" t="str">
        <f t="shared" si="400"/>
        <v/>
      </c>
      <c r="W1228" t="str">
        <f t="shared" si="383"/>
        <v xml:space="preserve">              </v>
      </c>
    </row>
    <row r="1229" spans="1:23" customFormat="1" hidden="1">
      <c r="A1229" t="b">
        <f t="shared" si="382"/>
        <v>0</v>
      </c>
      <c r="B1229">
        <f t="shared" si="384"/>
        <v>1228</v>
      </c>
      <c r="C1229" t="s">
        <v>1112</v>
      </c>
      <c r="D1229" t="s">
        <v>1210</v>
      </c>
      <c r="E1229">
        <f t="shared" si="381"/>
        <v>44</v>
      </c>
      <c r="G1229">
        <f t="shared" si="385"/>
        <v>3</v>
      </c>
      <c r="H1229" t="str">
        <f t="shared" si="386"/>
        <v/>
      </c>
      <c r="I1229" t="str">
        <f t="shared" si="387"/>
        <v/>
      </c>
      <c r="J1229" t="str">
        <f t="shared" si="388"/>
        <v/>
      </c>
      <c r="K1229" t="str">
        <f t="shared" si="389"/>
        <v/>
      </c>
      <c r="L1229" t="str">
        <f t="shared" si="390"/>
        <v/>
      </c>
      <c r="M1229" t="str">
        <f t="shared" si="391"/>
        <v/>
      </c>
      <c r="N1229" t="str">
        <f t="shared" si="392"/>
        <v/>
      </c>
      <c r="O1229" t="str">
        <f t="shared" si="393"/>
        <v/>
      </c>
      <c r="P1229" t="str">
        <f t="shared" si="394"/>
        <v/>
      </c>
      <c r="Q1229" t="str">
        <f t="shared" si="395"/>
        <v/>
      </c>
      <c r="R1229" t="str">
        <f t="shared" si="396"/>
        <v/>
      </c>
      <c r="S1229" t="str">
        <f t="shared" si="397"/>
        <v/>
      </c>
      <c r="T1229" t="str">
        <f t="shared" si="398"/>
        <v/>
      </c>
      <c r="U1229" t="str">
        <f t="shared" si="399"/>
        <v/>
      </c>
      <c r="V1229" t="str">
        <f t="shared" si="400"/>
        <v/>
      </c>
      <c r="W1229" t="str">
        <f t="shared" si="383"/>
        <v xml:space="preserve">              </v>
      </c>
    </row>
    <row r="1230" spans="1:23" customFormat="1" hidden="1">
      <c r="A1230" t="b">
        <f t="shared" si="382"/>
        <v>0</v>
      </c>
      <c r="B1230">
        <f t="shared" si="384"/>
        <v>1229</v>
      </c>
      <c r="C1230" t="s">
        <v>1112</v>
      </c>
      <c r="D1230" t="s">
        <v>1211</v>
      </c>
      <c r="E1230">
        <f t="shared" si="381"/>
        <v>40</v>
      </c>
      <c r="G1230">
        <f t="shared" si="385"/>
        <v>4</v>
      </c>
      <c r="H1230" t="str">
        <f t="shared" si="386"/>
        <v/>
      </c>
      <c r="I1230" t="str">
        <f t="shared" si="387"/>
        <v/>
      </c>
      <c r="J1230" t="str">
        <f t="shared" si="388"/>
        <v/>
      </c>
      <c r="K1230" t="str">
        <f t="shared" si="389"/>
        <v/>
      </c>
      <c r="L1230" t="str">
        <f t="shared" si="390"/>
        <v/>
      </c>
      <c r="M1230" t="str">
        <f t="shared" si="391"/>
        <v/>
      </c>
      <c r="N1230" t="str">
        <f t="shared" si="392"/>
        <v/>
      </c>
      <c r="O1230" t="str">
        <f t="shared" si="393"/>
        <v/>
      </c>
      <c r="P1230" t="str">
        <f t="shared" si="394"/>
        <v/>
      </c>
      <c r="Q1230" t="str">
        <f t="shared" si="395"/>
        <v/>
      </c>
      <c r="R1230" t="str">
        <f t="shared" si="396"/>
        <v/>
      </c>
      <c r="S1230" t="str">
        <f t="shared" si="397"/>
        <v/>
      </c>
      <c r="T1230" t="str">
        <f t="shared" si="398"/>
        <v/>
      </c>
      <c r="U1230" t="str">
        <f t="shared" si="399"/>
        <v/>
      </c>
      <c r="V1230" t="str">
        <f t="shared" si="400"/>
        <v/>
      </c>
      <c r="W1230" t="str">
        <f t="shared" si="383"/>
        <v xml:space="preserve">              </v>
      </c>
    </row>
    <row r="1231" spans="1:23" customFormat="1" hidden="1">
      <c r="A1231" t="b">
        <f t="shared" si="382"/>
        <v>0</v>
      </c>
      <c r="B1231">
        <f t="shared" si="384"/>
        <v>1230</v>
      </c>
      <c r="C1231" t="s">
        <v>1112</v>
      </c>
      <c r="D1231" t="s">
        <v>1212</v>
      </c>
      <c r="E1231">
        <f t="shared" si="381"/>
        <v>42</v>
      </c>
      <c r="G1231">
        <f t="shared" si="385"/>
        <v>5</v>
      </c>
      <c r="H1231" t="str">
        <f t="shared" si="386"/>
        <v/>
      </c>
      <c r="I1231" t="str">
        <f t="shared" si="387"/>
        <v/>
      </c>
      <c r="J1231" t="str">
        <f t="shared" si="388"/>
        <v/>
      </c>
      <c r="K1231" t="str">
        <f t="shared" si="389"/>
        <v/>
      </c>
      <c r="L1231" t="str">
        <f t="shared" si="390"/>
        <v/>
      </c>
      <c r="M1231" t="str">
        <f t="shared" si="391"/>
        <v/>
      </c>
      <c r="N1231" t="str">
        <f t="shared" si="392"/>
        <v/>
      </c>
      <c r="O1231" t="str">
        <f t="shared" si="393"/>
        <v/>
      </c>
      <c r="P1231" t="str">
        <f t="shared" si="394"/>
        <v/>
      </c>
      <c r="Q1231" t="str">
        <f t="shared" si="395"/>
        <v/>
      </c>
      <c r="R1231" t="str">
        <f t="shared" si="396"/>
        <v/>
      </c>
      <c r="S1231" t="str">
        <f t="shared" si="397"/>
        <v/>
      </c>
      <c r="T1231" t="str">
        <f t="shared" si="398"/>
        <v/>
      </c>
      <c r="U1231" t="str">
        <f t="shared" si="399"/>
        <v/>
      </c>
      <c r="V1231" t="str">
        <f t="shared" si="400"/>
        <v/>
      </c>
      <c r="W1231" t="str">
        <f t="shared" si="383"/>
        <v xml:space="preserve">              </v>
      </c>
    </row>
    <row r="1232" spans="1:23" hidden="1">
      <c r="A1232" s="71" t="b">
        <f t="shared" si="382"/>
        <v>0</v>
      </c>
      <c r="B1232" s="71">
        <f t="shared" si="384"/>
        <v>1231</v>
      </c>
      <c r="C1232" s="71" t="s">
        <v>1112</v>
      </c>
      <c r="D1232" s="71" t="s">
        <v>1213</v>
      </c>
      <c r="E1232">
        <f t="shared" si="381"/>
        <v>21</v>
      </c>
      <c r="F1232">
        <v>1</v>
      </c>
      <c r="G1232">
        <f t="shared" si="385"/>
        <v>1</v>
      </c>
      <c r="H1232" t="str">
        <f t="shared" si="386"/>
        <v>Project presentations</v>
      </c>
      <c r="I1232" t="str">
        <f t="shared" si="387"/>
        <v>Presentations are useful in providing information</v>
      </c>
      <c r="J1232" t="str">
        <f t="shared" si="388"/>
        <v>to customers, management, the project team,</v>
      </c>
      <c r="K1232" t="str">
        <f t="shared" si="389"/>
        <v>and other stakeholders.</v>
      </c>
      <c r="L1232" t="str">
        <f t="shared" si="390"/>
        <v/>
      </c>
      <c r="M1232" t="str">
        <f t="shared" si="391"/>
        <v/>
      </c>
      <c r="N1232" t="str">
        <f t="shared" si="392"/>
        <v/>
      </c>
      <c r="O1232" t="str">
        <f t="shared" si="393"/>
        <v/>
      </c>
      <c r="P1232" t="str">
        <f t="shared" si="394"/>
        <v/>
      </c>
      <c r="Q1232" t="str">
        <f t="shared" si="395"/>
        <v/>
      </c>
      <c r="R1232" t="str">
        <f t="shared" si="396"/>
        <v/>
      </c>
      <c r="S1232" t="str">
        <f t="shared" si="397"/>
        <v/>
      </c>
      <c r="T1232" t="str">
        <f t="shared" si="398"/>
        <v/>
      </c>
      <c r="U1232" t="str">
        <f t="shared" si="399"/>
        <v/>
      </c>
      <c r="V1232" t="str">
        <f t="shared" si="400"/>
        <v/>
      </c>
      <c r="W1232" s="71" t="str">
        <f>CONCATENATE(H1232," ",I1232," ",J1232," ",K1232," ",L1232," ",M1232," ",N1232," ",O1232," ",P1232," ",Q1232," ",R1232," ",S1232," ",T1232," ",U1232," ",V1232)</f>
        <v xml:space="preserve">Project presentations Presentations are useful in providing information to customers, management, the project team, and other stakeholders.           </v>
      </c>
    </row>
    <row r="1233" spans="1:23" customFormat="1" hidden="1">
      <c r="A1233" t="b">
        <f t="shared" si="382"/>
        <v>0</v>
      </c>
      <c r="B1233">
        <f t="shared" si="384"/>
        <v>1232</v>
      </c>
      <c r="C1233" t="s">
        <v>1112</v>
      </c>
      <c r="D1233" t="s">
        <v>1214</v>
      </c>
      <c r="E1233">
        <f t="shared" si="381"/>
        <v>49</v>
      </c>
      <c r="G1233">
        <f t="shared" si="385"/>
        <v>2</v>
      </c>
      <c r="H1233" t="str">
        <f t="shared" si="386"/>
        <v/>
      </c>
      <c r="I1233" t="str">
        <f t="shared" si="387"/>
        <v/>
      </c>
      <c r="J1233" t="str">
        <f t="shared" si="388"/>
        <v/>
      </c>
      <c r="K1233" t="str">
        <f t="shared" si="389"/>
        <v/>
      </c>
      <c r="L1233" t="str">
        <f t="shared" si="390"/>
        <v/>
      </c>
      <c r="M1233" t="str">
        <f t="shared" si="391"/>
        <v/>
      </c>
      <c r="N1233" t="str">
        <f t="shared" si="392"/>
        <v/>
      </c>
      <c r="O1233" t="str">
        <f t="shared" si="393"/>
        <v/>
      </c>
      <c r="P1233" t="str">
        <f t="shared" si="394"/>
        <v/>
      </c>
      <c r="Q1233" t="str">
        <f t="shared" si="395"/>
        <v/>
      </c>
      <c r="R1233" t="str">
        <f t="shared" si="396"/>
        <v/>
      </c>
      <c r="S1233" t="str">
        <f t="shared" si="397"/>
        <v/>
      </c>
      <c r="T1233" t="str">
        <f t="shared" si="398"/>
        <v/>
      </c>
      <c r="U1233" t="str">
        <f t="shared" si="399"/>
        <v/>
      </c>
      <c r="V1233" t="str">
        <f t="shared" si="400"/>
        <v/>
      </c>
      <c r="W1233" t="str">
        <f t="shared" si="383"/>
        <v xml:space="preserve">              </v>
      </c>
    </row>
    <row r="1234" spans="1:23" customFormat="1" hidden="1">
      <c r="A1234" t="b">
        <f t="shared" si="382"/>
        <v>0</v>
      </c>
      <c r="B1234">
        <f t="shared" si="384"/>
        <v>1233</v>
      </c>
      <c r="C1234" t="s">
        <v>1112</v>
      </c>
      <c r="D1234" t="s">
        <v>1215</v>
      </c>
      <c r="E1234">
        <f t="shared" si="381"/>
        <v>43</v>
      </c>
      <c r="G1234">
        <f t="shared" si="385"/>
        <v>3</v>
      </c>
      <c r="H1234" t="str">
        <f t="shared" si="386"/>
        <v/>
      </c>
      <c r="I1234" t="str">
        <f t="shared" si="387"/>
        <v/>
      </c>
      <c r="J1234" t="str">
        <f t="shared" si="388"/>
        <v/>
      </c>
      <c r="K1234" t="str">
        <f t="shared" si="389"/>
        <v/>
      </c>
      <c r="L1234" t="str">
        <f t="shared" si="390"/>
        <v/>
      </c>
      <c r="M1234" t="str">
        <f t="shared" si="391"/>
        <v/>
      </c>
      <c r="N1234" t="str">
        <f t="shared" si="392"/>
        <v/>
      </c>
      <c r="O1234" t="str">
        <f t="shared" si="393"/>
        <v/>
      </c>
      <c r="P1234" t="str">
        <f t="shared" si="394"/>
        <v/>
      </c>
      <c r="Q1234" t="str">
        <f t="shared" si="395"/>
        <v/>
      </c>
      <c r="R1234" t="str">
        <f t="shared" si="396"/>
        <v/>
      </c>
      <c r="S1234" t="str">
        <f t="shared" si="397"/>
        <v/>
      </c>
      <c r="T1234" t="str">
        <f t="shared" si="398"/>
        <v/>
      </c>
      <c r="U1234" t="str">
        <f t="shared" si="399"/>
        <v/>
      </c>
      <c r="V1234" t="str">
        <f t="shared" si="400"/>
        <v/>
      </c>
      <c r="W1234" t="str">
        <f t="shared" si="383"/>
        <v xml:space="preserve">              </v>
      </c>
    </row>
    <row r="1235" spans="1:23" customFormat="1" hidden="1">
      <c r="A1235" t="b">
        <f t="shared" si="382"/>
        <v>0</v>
      </c>
      <c r="B1235">
        <f t="shared" si="384"/>
        <v>1234</v>
      </c>
      <c r="C1235" t="s">
        <v>1112</v>
      </c>
      <c r="D1235" t="s">
        <v>1216</v>
      </c>
      <c r="E1235">
        <f t="shared" si="381"/>
        <v>23</v>
      </c>
      <c r="G1235">
        <f t="shared" si="385"/>
        <v>4</v>
      </c>
      <c r="H1235" t="str">
        <f t="shared" si="386"/>
        <v/>
      </c>
      <c r="I1235" t="str">
        <f t="shared" si="387"/>
        <v/>
      </c>
      <c r="J1235" t="str">
        <f t="shared" si="388"/>
        <v/>
      </c>
      <c r="K1235" t="str">
        <f t="shared" si="389"/>
        <v/>
      </c>
      <c r="L1235" t="str">
        <f t="shared" si="390"/>
        <v/>
      </c>
      <c r="M1235" t="str">
        <f t="shared" si="391"/>
        <v/>
      </c>
      <c r="N1235" t="str">
        <f t="shared" si="392"/>
        <v/>
      </c>
      <c r="O1235" t="str">
        <f t="shared" si="393"/>
        <v/>
      </c>
      <c r="P1235" t="str">
        <f t="shared" si="394"/>
        <v/>
      </c>
      <c r="Q1235" t="str">
        <f t="shared" si="395"/>
        <v/>
      </c>
      <c r="R1235" t="str">
        <f t="shared" si="396"/>
        <v/>
      </c>
      <c r="S1235" t="str">
        <f t="shared" si="397"/>
        <v/>
      </c>
      <c r="T1235" t="str">
        <f t="shared" si="398"/>
        <v/>
      </c>
      <c r="U1235" t="str">
        <f t="shared" si="399"/>
        <v/>
      </c>
      <c r="V1235" t="str">
        <f t="shared" si="400"/>
        <v/>
      </c>
      <c r="W1235" t="str">
        <f t="shared" si="383"/>
        <v xml:space="preserve">              </v>
      </c>
    </row>
    <row r="1236" spans="1:23" hidden="1">
      <c r="A1236" s="71" t="b">
        <f t="shared" si="382"/>
        <v>0</v>
      </c>
      <c r="B1236" s="71">
        <f t="shared" si="384"/>
        <v>1235</v>
      </c>
      <c r="C1236" s="71" t="s">
        <v>1112</v>
      </c>
      <c r="D1236" s="71" t="s">
        <v>1217</v>
      </c>
      <c r="E1236">
        <f t="shared" si="381"/>
        <v>15</v>
      </c>
      <c r="F1236">
        <v>1</v>
      </c>
      <c r="G1236">
        <f t="shared" si="385"/>
        <v>1</v>
      </c>
      <c r="H1236" t="str">
        <f t="shared" si="386"/>
        <v>Project records</v>
      </c>
      <c r="I1236" t="str">
        <f t="shared" si="387"/>
        <v>All the business of the project communications is</v>
      </c>
      <c r="J1236" t="str">
        <f t="shared" si="388"/>
        <v>also part of the organizational process assets.</v>
      </c>
      <c r="K1236" t="str">
        <f t="shared" si="389"/>
        <v>This includes e-mails, memos, letters, and faxes.</v>
      </c>
      <c r="L1236" t="str">
        <f t="shared" si="390"/>
        <v/>
      </c>
      <c r="M1236" t="str">
        <f t="shared" si="391"/>
        <v/>
      </c>
      <c r="N1236" t="str">
        <f t="shared" si="392"/>
        <v/>
      </c>
      <c r="O1236" t="str">
        <f t="shared" si="393"/>
        <v/>
      </c>
      <c r="P1236" t="str">
        <f t="shared" si="394"/>
        <v/>
      </c>
      <c r="Q1236" t="str">
        <f t="shared" si="395"/>
        <v/>
      </c>
      <c r="R1236" t="str">
        <f t="shared" si="396"/>
        <v/>
      </c>
      <c r="S1236" t="str">
        <f t="shared" si="397"/>
        <v/>
      </c>
      <c r="T1236" t="str">
        <f t="shared" si="398"/>
        <v/>
      </c>
      <c r="U1236" t="str">
        <f t="shared" si="399"/>
        <v/>
      </c>
      <c r="V1236" t="str">
        <f t="shared" si="400"/>
        <v/>
      </c>
      <c r="W1236" s="71" t="str">
        <f>CONCATENATE(H1236," ",I1236," ",J1236," ",K1236," ",L1236," ",M1236," ",N1236," ",O1236," ",P1236," ",Q1236," ",R1236," ",S1236," ",T1236," ",U1236," ",V1236)</f>
        <v xml:space="preserve">Project records All the business of the project communications is also part of the organizational process assets. This includes e-mails, memos, letters, and faxes.           </v>
      </c>
    </row>
    <row r="1237" spans="1:23" customFormat="1" hidden="1">
      <c r="A1237" t="b">
        <f t="shared" si="382"/>
        <v>0</v>
      </c>
      <c r="B1237">
        <f t="shared" si="384"/>
        <v>1236</v>
      </c>
      <c r="C1237" t="s">
        <v>1112</v>
      </c>
      <c r="D1237" t="s">
        <v>1218</v>
      </c>
      <c r="E1237">
        <f t="shared" si="381"/>
        <v>49</v>
      </c>
      <c r="G1237">
        <f t="shared" si="385"/>
        <v>2</v>
      </c>
      <c r="H1237" t="str">
        <f t="shared" si="386"/>
        <v/>
      </c>
      <c r="I1237" t="str">
        <f t="shared" si="387"/>
        <v/>
      </c>
      <c r="J1237" t="str">
        <f t="shared" si="388"/>
        <v/>
      </c>
      <c r="K1237" t="str">
        <f t="shared" si="389"/>
        <v/>
      </c>
      <c r="L1237" t="str">
        <f t="shared" si="390"/>
        <v/>
      </c>
      <c r="M1237" t="str">
        <f t="shared" si="391"/>
        <v/>
      </c>
      <c r="N1237" t="str">
        <f t="shared" si="392"/>
        <v/>
      </c>
      <c r="O1237" t="str">
        <f t="shared" si="393"/>
        <v/>
      </c>
      <c r="P1237" t="str">
        <f t="shared" si="394"/>
        <v/>
      </c>
      <c r="Q1237" t="str">
        <f t="shared" si="395"/>
        <v/>
      </c>
      <c r="R1237" t="str">
        <f t="shared" si="396"/>
        <v/>
      </c>
      <c r="S1237" t="str">
        <f t="shared" si="397"/>
        <v/>
      </c>
      <c r="T1237" t="str">
        <f t="shared" si="398"/>
        <v/>
      </c>
      <c r="U1237" t="str">
        <f t="shared" si="399"/>
        <v/>
      </c>
      <c r="V1237" t="str">
        <f t="shared" si="400"/>
        <v/>
      </c>
      <c r="W1237" t="str">
        <f t="shared" si="383"/>
        <v xml:space="preserve">              </v>
      </c>
    </row>
    <row r="1238" spans="1:23" customFormat="1" hidden="1">
      <c r="A1238" t="b">
        <f t="shared" si="382"/>
        <v>0</v>
      </c>
      <c r="B1238">
        <f t="shared" si="384"/>
        <v>1237</v>
      </c>
      <c r="C1238" t="s">
        <v>1112</v>
      </c>
      <c r="D1238" t="s">
        <v>1219</v>
      </c>
      <c r="E1238">
        <f t="shared" si="381"/>
        <v>47</v>
      </c>
      <c r="G1238">
        <f t="shared" si="385"/>
        <v>3</v>
      </c>
      <c r="H1238" t="str">
        <f t="shared" si="386"/>
        <v/>
      </c>
      <c r="I1238" t="str">
        <f t="shared" si="387"/>
        <v/>
      </c>
      <c r="J1238" t="str">
        <f t="shared" si="388"/>
        <v/>
      </c>
      <c r="K1238" t="str">
        <f t="shared" si="389"/>
        <v/>
      </c>
      <c r="L1238" t="str">
        <f t="shared" si="390"/>
        <v/>
      </c>
      <c r="M1238" t="str">
        <f t="shared" si="391"/>
        <v/>
      </c>
      <c r="N1238" t="str">
        <f t="shared" si="392"/>
        <v/>
      </c>
      <c r="O1238" t="str">
        <f t="shared" si="393"/>
        <v/>
      </c>
      <c r="P1238" t="str">
        <f t="shared" si="394"/>
        <v/>
      </c>
      <c r="Q1238" t="str">
        <f t="shared" si="395"/>
        <v/>
      </c>
      <c r="R1238" t="str">
        <f t="shared" si="396"/>
        <v/>
      </c>
      <c r="S1238" t="str">
        <f t="shared" si="397"/>
        <v/>
      </c>
      <c r="T1238" t="str">
        <f t="shared" si="398"/>
        <v/>
      </c>
      <c r="U1238" t="str">
        <f t="shared" si="399"/>
        <v/>
      </c>
      <c r="V1238" t="str">
        <f t="shared" si="400"/>
        <v/>
      </c>
      <c r="W1238" t="str">
        <f t="shared" si="383"/>
        <v xml:space="preserve">              </v>
      </c>
    </row>
    <row r="1239" spans="1:23" customFormat="1" hidden="1">
      <c r="A1239" t="b">
        <f t="shared" si="382"/>
        <v>0</v>
      </c>
      <c r="B1239">
        <f t="shared" si="384"/>
        <v>1238</v>
      </c>
      <c r="C1239" t="s">
        <v>1112</v>
      </c>
      <c r="D1239" t="s">
        <v>1220</v>
      </c>
      <c r="E1239">
        <f t="shared" si="381"/>
        <v>49</v>
      </c>
      <c r="G1239">
        <f t="shared" si="385"/>
        <v>4</v>
      </c>
      <c r="H1239" t="str">
        <f t="shared" si="386"/>
        <v/>
      </c>
      <c r="I1239" t="str">
        <f t="shared" si="387"/>
        <v/>
      </c>
      <c r="J1239" t="str">
        <f t="shared" si="388"/>
        <v/>
      </c>
      <c r="K1239" t="str">
        <f t="shared" si="389"/>
        <v/>
      </c>
      <c r="L1239" t="str">
        <f t="shared" si="390"/>
        <v/>
      </c>
      <c r="M1239" t="str">
        <f t="shared" si="391"/>
        <v/>
      </c>
      <c r="N1239" t="str">
        <f t="shared" si="392"/>
        <v/>
      </c>
      <c r="O1239" t="str">
        <f t="shared" si="393"/>
        <v/>
      </c>
      <c r="P1239" t="str">
        <f t="shared" si="394"/>
        <v/>
      </c>
      <c r="Q1239" t="str">
        <f t="shared" si="395"/>
        <v/>
      </c>
      <c r="R1239" t="str">
        <f t="shared" si="396"/>
        <v/>
      </c>
      <c r="S1239" t="str">
        <f t="shared" si="397"/>
        <v/>
      </c>
      <c r="T1239" t="str">
        <f t="shared" si="398"/>
        <v/>
      </c>
      <c r="U1239" t="str">
        <f t="shared" si="399"/>
        <v/>
      </c>
      <c r="V1239" t="str">
        <f t="shared" si="400"/>
        <v/>
      </c>
      <c r="W1239" t="str">
        <f t="shared" si="383"/>
        <v xml:space="preserve">              </v>
      </c>
    </row>
    <row r="1240" spans="1:23" hidden="1">
      <c r="A1240" s="71" t="b">
        <f t="shared" si="382"/>
        <v>0</v>
      </c>
      <c r="B1240" s="71">
        <f t="shared" si="384"/>
        <v>1239</v>
      </c>
      <c r="C1240" s="71" t="s">
        <v>1112</v>
      </c>
      <c r="D1240" s="71" t="s">
        <v>1221</v>
      </c>
      <c r="E1240">
        <f t="shared" si="381"/>
        <v>15</v>
      </c>
      <c r="F1240">
        <v>1</v>
      </c>
      <c r="G1240">
        <f t="shared" si="385"/>
        <v>1</v>
      </c>
      <c r="H1240" t="str">
        <f t="shared" si="386"/>
        <v>Project reports</v>
      </c>
      <c r="I1240" t="str">
        <f t="shared" si="387"/>
        <v>Reports are formal communications on project</v>
      </c>
      <c r="J1240" t="str">
        <f t="shared" si="388"/>
        <v>activities, their status, and conditions.</v>
      </c>
      <c r="K1240" t="str">
        <f t="shared" si="389"/>
        <v/>
      </c>
      <c r="L1240" t="str">
        <f t="shared" si="390"/>
        <v/>
      </c>
      <c r="M1240" t="str">
        <f t="shared" si="391"/>
        <v/>
      </c>
      <c r="N1240" t="str">
        <f t="shared" si="392"/>
        <v/>
      </c>
      <c r="O1240" t="str">
        <f t="shared" si="393"/>
        <v/>
      </c>
      <c r="P1240" t="str">
        <f t="shared" si="394"/>
        <v/>
      </c>
      <c r="Q1240" t="str">
        <f t="shared" si="395"/>
        <v/>
      </c>
      <c r="R1240" t="str">
        <f t="shared" si="396"/>
        <v/>
      </c>
      <c r="S1240" t="str">
        <f t="shared" si="397"/>
        <v/>
      </c>
      <c r="T1240" t="str">
        <f t="shared" si="398"/>
        <v/>
      </c>
      <c r="U1240" t="str">
        <f t="shared" si="399"/>
        <v/>
      </c>
      <c r="V1240" t="str">
        <f t="shared" si="400"/>
        <v/>
      </c>
      <c r="W1240" s="71" t="str">
        <f>CONCATENATE(H1240," ",I1240," ",J1240," ",K1240," ",L1240," ",M1240," ",N1240," ",O1240," ",P1240," ",Q1240," ",R1240," ",S1240," ",T1240," ",U1240," ",V1240)</f>
        <v xml:space="preserve">Project reports Reports are formal communications on project activities, their status, and conditions.            </v>
      </c>
    </row>
    <row r="1241" spans="1:23" customFormat="1" hidden="1">
      <c r="A1241" t="b">
        <f t="shared" si="382"/>
        <v>0</v>
      </c>
      <c r="B1241">
        <f t="shared" si="384"/>
        <v>1240</v>
      </c>
      <c r="C1241" t="s">
        <v>1112</v>
      </c>
      <c r="D1241" t="s">
        <v>1222</v>
      </c>
      <c r="E1241">
        <f t="shared" si="381"/>
        <v>44</v>
      </c>
      <c r="G1241">
        <f t="shared" si="385"/>
        <v>2</v>
      </c>
      <c r="H1241" t="str">
        <f t="shared" si="386"/>
        <v/>
      </c>
      <c r="I1241" t="str">
        <f t="shared" si="387"/>
        <v/>
      </c>
      <c r="J1241" t="str">
        <f t="shared" si="388"/>
        <v/>
      </c>
      <c r="K1241" t="str">
        <f t="shared" si="389"/>
        <v/>
      </c>
      <c r="L1241" t="str">
        <f t="shared" si="390"/>
        <v/>
      </c>
      <c r="M1241" t="str">
        <f t="shared" si="391"/>
        <v/>
      </c>
      <c r="N1241" t="str">
        <f t="shared" si="392"/>
        <v/>
      </c>
      <c r="O1241" t="str">
        <f t="shared" si="393"/>
        <v/>
      </c>
      <c r="P1241" t="str">
        <f t="shared" si="394"/>
        <v/>
      </c>
      <c r="Q1241" t="str">
        <f t="shared" si="395"/>
        <v/>
      </c>
      <c r="R1241" t="str">
        <f t="shared" si="396"/>
        <v/>
      </c>
      <c r="S1241" t="str">
        <f t="shared" si="397"/>
        <v/>
      </c>
      <c r="T1241" t="str">
        <f t="shared" si="398"/>
        <v/>
      </c>
      <c r="U1241" t="str">
        <f t="shared" si="399"/>
        <v/>
      </c>
      <c r="V1241" t="str">
        <f t="shared" si="400"/>
        <v/>
      </c>
      <c r="W1241" t="str">
        <f t="shared" si="383"/>
        <v xml:space="preserve">              </v>
      </c>
    </row>
    <row r="1242" spans="1:23" customFormat="1" hidden="1">
      <c r="A1242" t="b">
        <f t="shared" si="382"/>
        <v>0</v>
      </c>
      <c r="B1242">
        <f t="shared" si="384"/>
        <v>1241</v>
      </c>
      <c r="C1242" t="s">
        <v>1112</v>
      </c>
      <c r="D1242" t="s">
        <v>1223</v>
      </c>
      <c r="E1242">
        <f t="shared" si="381"/>
        <v>41</v>
      </c>
      <c r="G1242">
        <f t="shared" si="385"/>
        <v>3</v>
      </c>
      <c r="H1242" t="str">
        <f t="shared" si="386"/>
        <v/>
      </c>
      <c r="I1242" t="str">
        <f t="shared" si="387"/>
        <v/>
      </c>
      <c r="J1242" t="str">
        <f t="shared" si="388"/>
        <v/>
      </c>
      <c r="K1242" t="str">
        <f t="shared" si="389"/>
        <v/>
      </c>
      <c r="L1242" t="str">
        <f t="shared" si="390"/>
        <v/>
      </c>
      <c r="M1242" t="str">
        <f t="shared" si="391"/>
        <v/>
      </c>
      <c r="N1242" t="str">
        <f t="shared" si="392"/>
        <v/>
      </c>
      <c r="O1242" t="str">
        <f t="shared" si="393"/>
        <v/>
      </c>
      <c r="P1242" t="str">
        <f t="shared" si="394"/>
        <v/>
      </c>
      <c r="Q1242" t="str">
        <f t="shared" si="395"/>
        <v/>
      </c>
      <c r="R1242" t="str">
        <f t="shared" si="396"/>
        <v/>
      </c>
      <c r="S1242" t="str">
        <f t="shared" si="397"/>
        <v/>
      </c>
      <c r="T1242" t="str">
        <f t="shared" si="398"/>
        <v/>
      </c>
      <c r="U1242" t="str">
        <f t="shared" si="399"/>
        <v/>
      </c>
      <c r="V1242" t="str">
        <f t="shared" si="400"/>
        <v/>
      </c>
      <c r="W1242" t="str">
        <f t="shared" si="383"/>
        <v xml:space="preserve">              </v>
      </c>
    </row>
    <row r="1243" spans="1:23" hidden="1">
      <c r="A1243" s="71" t="b">
        <f t="shared" si="382"/>
        <v>0</v>
      </c>
      <c r="B1243" s="71">
        <f t="shared" si="384"/>
        <v>1242</v>
      </c>
      <c r="C1243" s="71" t="s">
        <v>1112</v>
      </c>
      <c r="D1243" s="71" t="s">
        <v>1224</v>
      </c>
      <c r="E1243">
        <f t="shared" si="381"/>
        <v>18</v>
      </c>
      <c r="F1243">
        <v>1</v>
      </c>
      <c r="G1243">
        <f t="shared" si="385"/>
        <v>1</v>
      </c>
      <c r="H1243" t="str">
        <f t="shared" si="386"/>
        <v>Pull communication</v>
      </c>
      <c r="I1243" t="str">
        <f t="shared" si="387"/>
        <v>This approach pulls the information from a</v>
      </c>
      <c r="J1243" t="str">
        <f t="shared" si="388"/>
        <v>central repository, like a database of information.</v>
      </c>
      <c r="K1243" t="str">
        <f t="shared" si="389"/>
        <v>Pull communications are good for large groups of</v>
      </c>
      <c r="L1243" t="str">
        <f t="shared" si="390"/>
        <v>stakeholders who want to access project</v>
      </c>
      <c r="M1243" t="str">
        <f t="shared" si="391"/>
        <v>information at their discretion. Consider a project</v>
      </c>
      <c r="N1243" t="str">
        <f t="shared" si="392"/>
        <v>web site where stakeholders can periodically</v>
      </c>
      <c r="O1243" t="str">
        <f t="shared" si="393"/>
        <v>drop by for a quick update on the project status.</v>
      </c>
      <c r="P1243" t="str">
        <f t="shared" si="394"/>
        <v/>
      </c>
      <c r="Q1243" t="str">
        <f t="shared" si="395"/>
        <v/>
      </c>
      <c r="R1243" t="str">
        <f t="shared" si="396"/>
        <v/>
      </c>
      <c r="S1243" t="str">
        <f t="shared" si="397"/>
        <v/>
      </c>
      <c r="T1243" t="str">
        <f t="shared" si="398"/>
        <v/>
      </c>
      <c r="U1243" t="str">
        <f t="shared" si="399"/>
        <v/>
      </c>
      <c r="V1243" t="str">
        <f t="shared" si="400"/>
        <v/>
      </c>
      <c r="W1243" s="71" t="str">
        <f>CONCATENATE(H1243," ",I1243," ",J1243," ",K1243," ",L1243," ",M1243," ",N1243," ",O1243," ",P1243," ",Q1243," ",R1243," ",S1243," ",T1243," ",U1243," ",V1243)</f>
        <v xml:space="preserve">Pull communication This approach pulls the information from a central repository, like a database of information. Pull communications are good for large groups of stakeholders who want to access project information at their discretion. Consider a project web site where stakeholders can periodically drop by for a quick update on the project status.       </v>
      </c>
    </row>
    <row r="1244" spans="1:23" customFormat="1" hidden="1">
      <c r="A1244" t="b">
        <f t="shared" si="382"/>
        <v>0</v>
      </c>
      <c r="B1244">
        <f t="shared" si="384"/>
        <v>1243</v>
      </c>
      <c r="C1244" t="s">
        <v>1112</v>
      </c>
      <c r="D1244" t="s">
        <v>1225</v>
      </c>
      <c r="E1244">
        <f t="shared" si="381"/>
        <v>42</v>
      </c>
      <c r="G1244">
        <f t="shared" si="385"/>
        <v>2</v>
      </c>
      <c r="H1244" t="str">
        <f t="shared" si="386"/>
        <v/>
      </c>
      <c r="I1244" t="str">
        <f t="shared" si="387"/>
        <v/>
      </c>
      <c r="J1244" t="str">
        <f t="shared" si="388"/>
        <v/>
      </c>
      <c r="K1244" t="str">
        <f t="shared" si="389"/>
        <v/>
      </c>
      <c r="L1244" t="str">
        <f t="shared" si="390"/>
        <v/>
      </c>
      <c r="M1244" t="str">
        <f t="shared" si="391"/>
        <v/>
      </c>
      <c r="N1244" t="str">
        <f t="shared" si="392"/>
        <v/>
      </c>
      <c r="O1244" t="str">
        <f t="shared" si="393"/>
        <v/>
      </c>
      <c r="P1244" t="str">
        <f t="shared" si="394"/>
        <v/>
      </c>
      <c r="Q1244" t="str">
        <f t="shared" si="395"/>
        <v/>
      </c>
      <c r="R1244" t="str">
        <f t="shared" si="396"/>
        <v/>
      </c>
      <c r="S1244" t="str">
        <f t="shared" si="397"/>
        <v/>
      </c>
      <c r="T1244" t="str">
        <f t="shared" si="398"/>
        <v/>
      </c>
      <c r="U1244" t="str">
        <f t="shared" si="399"/>
        <v/>
      </c>
      <c r="V1244" t="str">
        <f t="shared" si="400"/>
        <v/>
      </c>
      <c r="W1244" t="str">
        <f t="shared" si="383"/>
        <v xml:space="preserve">              </v>
      </c>
    </row>
    <row r="1245" spans="1:23" customFormat="1" hidden="1">
      <c r="A1245" t="b">
        <f t="shared" si="382"/>
        <v>0</v>
      </c>
      <c r="B1245">
        <f t="shared" si="384"/>
        <v>1244</v>
      </c>
      <c r="C1245" t="s">
        <v>1112</v>
      </c>
      <c r="D1245" t="s">
        <v>1226</v>
      </c>
      <c r="E1245">
        <f t="shared" si="381"/>
        <v>51</v>
      </c>
      <c r="G1245">
        <f t="shared" si="385"/>
        <v>3</v>
      </c>
      <c r="H1245" t="str">
        <f t="shared" si="386"/>
        <v/>
      </c>
      <c r="I1245" t="str">
        <f t="shared" si="387"/>
        <v/>
      </c>
      <c r="J1245" t="str">
        <f t="shared" si="388"/>
        <v/>
      </c>
      <c r="K1245" t="str">
        <f t="shared" si="389"/>
        <v/>
      </c>
      <c r="L1245" t="str">
        <f t="shared" si="390"/>
        <v/>
      </c>
      <c r="M1245" t="str">
        <f t="shared" si="391"/>
        <v/>
      </c>
      <c r="N1245" t="str">
        <f t="shared" si="392"/>
        <v/>
      </c>
      <c r="O1245" t="str">
        <f t="shared" si="393"/>
        <v/>
      </c>
      <c r="P1245" t="str">
        <f t="shared" si="394"/>
        <v/>
      </c>
      <c r="Q1245" t="str">
        <f t="shared" si="395"/>
        <v/>
      </c>
      <c r="R1245" t="str">
        <f t="shared" si="396"/>
        <v/>
      </c>
      <c r="S1245" t="str">
        <f t="shared" si="397"/>
        <v/>
      </c>
      <c r="T1245" t="str">
        <f t="shared" si="398"/>
        <v/>
      </c>
      <c r="U1245" t="str">
        <f t="shared" si="399"/>
        <v/>
      </c>
      <c r="V1245" t="str">
        <f t="shared" si="400"/>
        <v/>
      </c>
      <c r="W1245" t="str">
        <f t="shared" si="383"/>
        <v xml:space="preserve">              </v>
      </c>
    </row>
    <row r="1246" spans="1:23" customFormat="1" hidden="1">
      <c r="A1246" t="b">
        <f t="shared" si="382"/>
        <v>0</v>
      </c>
      <c r="B1246">
        <f t="shared" si="384"/>
        <v>1245</v>
      </c>
      <c r="C1246" t="s">
        <v>1112</v>
      </c>
      <c r="D1246" t="s">
        <v>1227</v>
      </c>
      <c r="E1246">
        <f t="shared" si="381"/>
        <v>48</v>
      </c>
      <c r="G1246">
        <f t="shared" si="385"/>
        <v>4</v>
      </c>
      <c r="H1246" t="str">
        <f t="shared" si="386"/>
        <v/>
      </c>
      <c r="I1246" t="str">
        <f t="shared" si="387"/>
        <v/>
      </c>
      <c r="J1246" t="str">
        <f t="shared" si="388"/>
        <v/>
      </c>
      <c r="K1246" t="str">
        <f t="shared" si="389"/>
        <v/>
      </c>
      <c r="L1246" t="str">
        <f t="shared" si="390"/>
        <v/>
      </c>
      <c r="M1246" t="str">
        <f t="shared" si="391"/>
        <v/>
      </c>
      <c r="N1246" t="str">
        <f t="shared" si="392"/>
        <v/>
      </c>
      <c r="O1246" t="str">
        <f t="shared" si="393"/>
        <v/>
      </c>
      <c r="P1246" t="str">
        <f t="shared" si="394"/>
        <v/>
      </c>
      <c r="Q1246" t="str">
        <f t="shared" si="395"/>
        <v/>
      </c>
      <c r="R1246" t="str">
        <f t="shared" si="396"/>
        <v/>
      </c>
      <c r="S1246" t="str">
        <f t="shared" si="397"/>
        <v/>
      </c>
      <c r="T1246" t="str">
        <f t="shared" si="398"/>
        <v/>
      </c>
      <c r="U1246" t="str">
        <f t="shared" si="399"/>
        <v/>
      </c>
      <c r="V1246" t="str">
        <f t="shared" si="400"/>
        <v/>
      </c>
      <c r="W1246" t="str">
        <f t="shared" si="383"/>
        <v xml:space="preserve">              </v>
      </c>
    </row>
    <row r="1247" spans="1:23" customFormat="1" hidden="1">
      <c r="A1247" t="b">
        <f t="shared" si="382"/>
        <v>0</v>
      </c>
      <c r="B1247">
        <f t="shared" si="384"/>
        <v>1246</v>
      </c>
      <c r="C1247" t="s">
        <v>1112</v>
      </c>
      <c r="D1247" t="s">
        <v>1228</v>
      </c>
      <c r="E1247">
        <f t="shared" si="381"/>
        <v>39</v>
      </c>
      <c r="G1247">
        <f t="shared" si="385"/>
        <v>5</v>
      </c>
      <c r="H1247" t="str">
        <f t="shared" si="386"/>
        <v/>
      </c>
      <c r="I1247" t="str">
        <f t="shared" si="387"/>
        <v/>
      </c>
      <c r="J1247" t="str">
        <f t="shared" si="388"/>
        <v/>
      </c>
      <c r="K1247" t="str">
        <f t="shared" si="389"/>
        <v/>
      </c>
      <c r="L1247" t="str">
        <f t="shared" si="390"/>
        <v/>
      </c>
      <c r="M1247" t="str">
        <f t="shared" si="391"/>
        <v/>
      </c>
      <c r="N1247" t="str">
        <f t="shared" si="392"/>
        <v/>
      </c>
      <c r="O1247" t="str">
        <f t="shared" si="393"/>
        <v/>
      </c>
      <c r="P1247" t="str">
        <f t="shared" si="394"/>
        <v/>
      </c>
      <c r="Q1247" t="str">
        <f t="shared" si="395"/>
        <v/>
      </c>
      <c r="R1247" t="str">
        <f t="shared" si="396"/>
        <v/>
      </c>
      <c r="S1247" t="str">
        <f t="shared" si="397"/>
        <v/>
      </c>
      <c r="T1247" t="str">
        <f t="shared" si="398"/>
        <v/>
      </c>
      <c r="U1247" t="str">
        <f t="shared" si="399"/>
        <v/>
      </c>
      <c r="V1247" t="str">
        <f t="shared" si="400"/>
        <v/>
      </c>
      <c r="W1247" t="str">
        <f t="shared" si="383"/>
        <v xml:space="preserve">              </v>
      </c>
    </row>
    <row r="1248" spans="1:23" customFormat="1" hidden="1">
      <c r="A1248" t="b">
        <f t="shared" si="382"/>
        <v>0</v>
      </c>
      <c r="B1248">
        <f t="shared" si="384"/>
        <v>1247</v>
      </c>
      <c r="C1248" t="s">
        <v>1112</v>
      </c>
      <c r="D1248" t="s">
        <v>1229</v>
      </c>
      <c r="E1248">
        <f t="shared" si="381"/>
        <v>51</v>
      </c>
      <c r="G1248">
        <f t="shared" si="385"/>
        <v>6</v>
      </c>
      <c r="H1248" t="str">
        <f t="shared" si="386"/>
        <v/>
      </c>
      <c r="I1248" t="str">
        <f t="shared" si="387"/>
        <v/>
      </c>
      <c r="J1248" t="str">
        <f t="shared" si="388"/>
        <v/>
      </c>
      <c r="K1248" t="str">
        <f t="shared" si="389"/>
        <v/>
      </c>
      <c r="L1248" t="str">
        <f t="shared" si="390"/>
        <v/>
      </c>
      <c r="M1248" t="str">
        <f t="shared" si="391"/>
        <v/>
      </c>
      <c r="N1248" t="str">
        <f t="shared" si="392"/>
        <v/>
      </c>
      <c r="O1248" t="str">
        <f t="shared" si="393"/>
        <v/>
      </c>
      <c r="P1248" t="str">
        <f t="shared" si="394"/>
        <v/>
      </c>
      <c r="Q1248" t="str">
        <f t="shared" si="395"/>
        <v/>
      </c>
      <c r="R1248" t="str">
        <f t="shared" si="396"/>
        <v/>
      </c>
      <c r="S1248" t="str">
        <f t="shared" si="397"/>
        <v/>
      </c>
      <c r="T1248" t="str">
        <f t="shared" si="398"/>
        <v/>
      </c>
      <c r="U1248" t="str">
        <f t="shared" si="399"/>
        <v/>
      </c>
      <c r="V1248" t="str">
        <f t="shared" si="400"/>
        <v/>
      </c>
      <c r="W1248" t="str">
        <f t="shared" si="383"/>
        <v xml:space="preserve">              </v>
      </c>
    </row>
    <row r="1249" spans="1:23" customFormat="1" hidden="1">
      <c r="A1249" t="b">
        <f t="shared" si="382"/>
        <v>0</v>
      </c>
      <c r="B1249">
        <f t="shared" si="384"/>
        <v>1248</v>
      </c>
      <c r="C1249" t="s">
        <v>1112</v>
      </c>
      <c r="D1249" t="s">
        <v>1230</v>
      </c>
      <c r="E1249">
        <f t="shared" si="381"/>
        <v>44</v>
      </c>
      <c r="G1249">
        <f t="shared" si="385"/>
        <v>7</v>
      </c>
      <c r="H1249" t="str">
        <f t="shared" si="386"/>
        <v/>
      </c>
      <c r="I1249" t="str">
        <f t="shared" si="387"/>
        <v/>
      </c>
      <c r="J1249" t="str">
        <f t="shared" si="388"/>
        <v/>
      </c>
      <c r="K1249" t="str">
        <f t="shared" si="389"/>
        <v/>
      </c>
      <c r="L1249" t="str">
        <f t="shared" si="390"/>
        <v/>
      </c>
      <c r="M1249" t="str">
        <f t="shared" si="391"/>
        <v/>
      </c>
      <c r="N1249" t="str">
        <f t="shared" si="392"/>
        <v/>
      </c>
      <c r="O1249" t="str">
        <f t="shared" si="393"/>
        <v/>
      </c>
      <c r="P1249" t="str">
        <f t="shared" si="394"/>
        <v/>
      </c>
      <c r="Q1249" t="str">
        <f t="shared" si="395"/>
        <v/>
      </c>
      <c r="R1249" t="str">
        <f t="shared" si="396"/>
        <v/>
      </c>
      <c r="S1249" t="str">
        <f t="shared" si="397"/>
        <v/>
      </c>
      <c r="T1249" t="str">
        <f t="shared" si="398"/>
        <v/>
      </c>
      <c r="U1249" t="str">
        <f t="shared" si="399"/>
        <v/>
      </c>
      <c r="V1249" t="str">
        <f t="shared" si="400"/>
        <v/>
      </c>
      <c r="W1249" t="str">
        <f t="shared" si="383"/>
        <v xml:space="preserve">              </v>
      </c>
    </row>
    <row r="1250" spans="1:23" customFormat="1" hidden="1">
      <c r="A1250" t="b">
        <f t="shared" si="382"/>
        <v>0</v>
      </c>
      <c r="B1250">
        <f t="shared" si="384"/>
        <v>1249</v>
      </c>
      <c r="C1250" t="s">
        <v>1112</v>
      </c>
      <c r="D1250" t="s">
        <v>1231</v>
      </c>
      <c r="E1250">
        <f t="shared" si="381"/>
        <v>49</v>
      </c>
      <c r="G1250">
        <f t="shared" si="385"/>
        <v>8</v>
      </c>
      <c r="H1250" t="str">
        <f t="shared" si="386"/>
        <v/>
      </c>
      <c r="I1250" t="str">
        <f t="shared" si="387"/>
        <v/>
      </c>
      <c r="J1250" t="str">
        <f t="shared" si="388"/>
        <v/>
      </c>
      <c r="K1250" t="str">
        <f t="shared" si="389"/>
        <v/>
      </c>
      <c r="L1250" t="str">
        <f t="shared" si="390"/>
        <v/>
      </c>
      <c r="M1250" t="str">
        <f t="shared" si="391"/>
        <v/>
      </c>
      <c r="N1250" t="str">
        <f t="shared" si="392"/>
        <v/>
      </c>
      <c r="O1250" t="str">
        <f t="shared" si="393"/>
        <v/>
      </c>
      <c r="P1250" t="str">
        <f t="shared" si="394"/>
        <v/>
      </c>
      <c r="Q1250" t="str">
        <f t="shared" si="395"/>
        <v/>
      </c>
      <c r="R1250" t="str">
        <f t="shared" si="396"/>
        <v/>
      </c>
      <c r="S1250" t="str">
        <f t="shared" si="397"/>
        <v/>
      </c>
      <c r="T1250" t="str">
        <f t="shared" si="398"/>
        <v/>
      </c>
      <c r="U1250" t="str">
        <f t="shared" si="399"/>
        <v/>
      </c>
      <c r="V1250" t="str">
        <f t="shared" si="400"/>
        <v/>
      </c>
      <c r="W1250" t="str">
        <f t="shared" si="383"/>
        <v xml:space="preserve">              </v>
      </c>
    </row>
    <row r="1251" spans="1:23" hidden="1">
      <c r="A1251" s="71" t="b">
        <f t="shared" si="382"/>
        <v>0</v>
      </c>
      <c r="B1251" s="71">
        <f t="shared" si="384"/>
        <v>1250</v>
      </c>
      <c r="C1251" s="71" t="s">
        <v>1112</v>
      </c>
      <c r="D1251" s="71" t="s">
        <v>1232</v>
      </c>
      <c r="E1251">
        <f t="shared" si="381"/>
        <v>18</v>
      </c>
      <c r="F1251">
        <v>1</v>
      </c>
      <c r="G1251">
        <f t="shared" si="385"/>
        <v>1</v>
      </c>
      <c r="H1251" t="str">
        <f t="shared" si="386"/>
        <v>Push communication</v>
      </c>
      <c r="I1251" t="str">
        <f t="shared" si="387"/>
        <v>This approach pushes the information from the</v>
      </c>
      <c r="J1251" t="str">
        <f t="shared" si="388"/>
        <v>sender to the receiver without any real</v>
      </c>
      <c r="K1251" t="str">
        <f t="shared" si="389"/>
        <v>acknowledgment that the information was really</v>
      </c>
      <c r="L1251" t="str">
        <f t="shared" si="390"/>
        <v>received or understood. Consider letters, faxes,</v>
      </c>
      <c r="M1251" t="str">
        <f t="shared" si="391"/>
        <v>voicemail messages, e-mails, and other</v>
      </c>
      <c r="N1251" t="str">
        <f t="shared" si="392"/>
        <v>communications modalities that the sender</v>
      </c>
      <c r="O1251" t="str">
        <f t="shared" si="393"/>
        <v>packages and sends to receivers through some</v>
      </c>
      <c r="P1251" t="str">
        <f t="shared" si="394"/>
        <v>intermediary network.</v>
      </c>
      <c r="Q1251" t="str">
        <f t="shared" si="395"/>
        <v>Receiver The person who receives the message.</v>
      </c>
      <c r="R1251" t="str">
        <f t="shared" si="396"/>
        <v>Sender The person who is sending the message. Sender–receiver models Feedback loops and barriers to communications. Stakeholder notifications Notices to the stakeholders about resolved issues, approved changes, and the overall health of the project. Status review meeting A regularly scheduled meeting to discuss the status of the project and its progress toward completing the project scope statement. Time reporting system A system to record the actual time to complete project activities.</v>
      </c>
      <c r="S1251" t="str">
        <f t="shared" si="397"/>
        <v/>
      </c>
      <c r="T1251" t="str">
        <f t="shared" si="398"/>
        <v/>
      </c>
      <c r="U1251" t="str">
        <f t="shared" si="399"/>
        <v/>
      </c>
      <c r="V1251" t="str">
        <f t="shared" si="400"/>
        <v/>
      </c>
      <c r="W1251" s="71" t="str">
        <f>CONCATENATE(H1251," ",I1251," ",J1251," ",K1251," ",L1251," ",M1251," ",N1251," ",O1251," ",P1251," ",Q1251," ",R1251," ",S1251," ",T1251," ",U1251," ",V1251)</f>
        <v xml:space="preserve">Push communication This approach pushes the information from the sender to the receiver without any real acknowledgment that the information was really received or understood. Consider letters, faxes, voicemail messages, e-mails, and other communications modalities that the sender packages and sends to receivers through some intermediary network. Receiver The person who receives the message. Sender The person who is sending the message. Sender–receiver models Feedback loops and barriers to communications. Stakeholder notifications Notices to the stakeholders about resolved issues, approved changes, and the overall health of the project. Status review meeting A regularly scheduled meeting to discuss the status of the project and its progress toward completing the project scope statement. Time reporting system A system to record the actual time to complete project activities.    </v>
      </c>
    </row>
    <row r="1252" spans="1:23" customFormat="1" hidden="1">
      <c r="A1252" t="b">
        <f t="shared" si="382"/>
        <v>0</v>
      </c>
      <c r="B1252">
        <f t="shared" si="384"/>
        <v>1251</v>
      </c>
      <c r="C1252" t="s">
        <v>1112</v>
      </c>
      <c r="D1252" t="s">
        <v>1233</v>
      </c>
      <c r="E1252">
        <f t="shared" si="381"/>
        <v>45</v>
      </c>
      <c r="G1252">
        <f t="shared" si="385"/>
        <v>2</v>
      </c>
      <c r="H1252" t="str">
        <f t="shared" si="386"/>
        <v/>
      </c>
      <c r="I1252" t="str">
        <f t="shared" si="387"/>
        <v/>
      </c>
      <c r="J1252" t="str">
        <f t="shared" si="388"/>
        <v/>
      </c>
      <c r="K1252" t="str">
        <f t="shared" si="389"/>
        <v/>
      </c>
      <c r="L1252" t="str">
        <f t="shared" si="390"/>
        <v/>
      </c>
      <c r="M1252" t="str">
        <f t="shared" si="391"/>
        <v/>
      </c>
      <c r="N1252" t="str">
        <f t="shared" si="392"/>
        <v/>
      </c>
      <c r="O1252" t="str">
        <f t="shared" si="393"/>
        <v/>
      </c>
      <c r="P1252" t="str">
        <f t="shared" si="394"/>
        <v/>
      </c>
      <c r="Q1252" t="str">
        <f t="shared" si="395"/>
        <v/>
      </c>
      <c r="R1252" t="str">
        <f t="shared" si="396"/>
        <v/>
      </c>
      <c r="S1252" t="str">
        <f t="shared" si="397"/>
        <v/>
      </c>
      <c r="T1252" t="str">
        <f t="shared" si="398"/>
        <v/>
      </c>
      <c r="U1252" t="str">
        <f t="shared" si="399"/>
        <v/>
      </c>
      <c r="V1252" t="str">
        <f t="shared" si="400"/>
        <v/>
      </c>
      <c r="W1252" t="str">
        <f t="shared" si="383"/>
        <v xml:space="preserve">              </v>
      </c>
    </row>
    <row r="1253" spans="1:23" customFormat="1" hidden="1">
      <c r="A1253" t="b">
        <f t="shared" si="382"/>
        <v>0</v>
      </c>
      <c r="B1253">
        <f t="shared" si="384"/>
        <v>1252</v>
      </c>
      <c r="C1253" t="s">
        <v>1112</v>
      </c>
      <c r="D1253" t="s">
        <v>1234</v>
      </c>
      <c r="E1253">
        <f t="shared" si="381"/>
        <v>39</v>
      </c>
      <c r="G1253">
        <f t="shared" si="385"/>
        <v>3</v>
      </c>
      <c r="H1253" t="str">
        <f t="shared" si="386"/>
        <v/>
      </c>
      <c r="I1253" t="str">
        <f t="shared" si="387"/>
        <v/>
      </c>
      <c r="J1253" t="str">
        <f t="shared" si="388"/>
        <v/>
      </c>
      <c r="K1253" t="str">
        <f t="shared" si="389"/>
        <v/>
      </c>
      <c r="L1253" t="str">
        <f t="shared" si="390"/>
        <v/>
      </c>
      <c r="M1253" t="str">
        <f t="shared" si="391"/>
        <v/>
      </c>
      <c r="N1253" t="str">
        <f t="shared" si="392"/>
        <v/>
      </c>
      <c r="O1253" t="str">
        <f t="shared" si="393"/>
        <v/>
      </c>
      <c r="P1253" t="str">
        <f t="shared" si="394"/>
        <v/>
      </c>
      <c r="Q1253" t="str">
        <f t="shared" si="395"/>
        <v/>
      </c>
      <c r="R1253" t="str">
        <f t="shared" si="396"/>
        <v/>
      </c>
      <c r="S1253" t="str">
        <f t="shared" si="397"/>
        <v/>
      </c>
      <c r="T1253" t="str">
        <f t="shared" si="398"/>
        <v/>
      </c>
      <c r="U1253" t="str">
        <f t="shared" si="399"/>
        <v/>
      </c>
      <c r="V1253" t="str">
        <f t="shared" si="400"/>
        <v/>
      </c>
      <c r="W1253" t="str">
        <f t="shared" si="383"/>
        <v xml:space="preserve">              </v>
      </c>
    </row>
    <row r="1254" spans="1:23" customFormat="1" hidden="1">
      <c r="A1254" t="b">
        <f t="shared" si="382"/>
        <v>0</v>
      </c>
      <c r="B1254">
        <f t="shared" si="384"/>
        <v>1253</v>
      </c>
      <c r="C1254" t="s">
        <v>1112</v>
      </c>
      <c r="D1254" t="s">
        <v>1235</v>
      </c>
      <c r="E1254">
        <f t="shared" si="381"/>
        <v>46</v>
      </c>
      <c r="G1254">
        <f t="shared" si="385"/>
        <v>4</v>
      </c>
      <c r="H1254" t="str">
        <f t="shared" si="386"/>
        <v/>
      </c>
      <c r="I1254" t="str">
        <f t="shared" si="387"/>
        <v/>
      </c>
      <c r="J1254" t="str">
        <f t="shared" si="388"/>
        <v/>
      </c>
      <c r="K1254" t="str">
        <f t="shared" si="389"/>
        <v/>
      </c>
      <c r="L1254" t="str">
        <f t="shared" si="390"/>
        <v/>
      </c>
      <c r="M1254" t="str">
        <f t="shared" si="391"/>
        <v/>
      </c>
      <c r="N1254" t="str">
        <f t="shared" si="392"/>
        <v/>
      </c>
      <c r="O1254" t="str">
        <f t="shared" si="393"/>
        <v/>
      </c>
      <c r="P1254" t="str">
        <f t="shared" si="394"/>
        <v/>
      </c>
      <c r="Q1254" t="str">
        <f t="shared" si="395"/>
        <v/>
      </c>
      <c r="R1254" t="str">
        <f t="shared" si="396"/>
        <v/>
      </c>
      <c r="S1254" t="str">
        <f t="shared" si="397"/>
        <v/>
      </c>
      <c r="T1254" t="str">
        <f t="shared" si="398"/>
        <v/>
      </c>
      <c r="U1254" t="str">
        <f t="shared" si="399"/>
        <v/>
      </c>
      <c r="V1254" t="str">
        <f t="shared" si="400"/>
        <v/>
      </c>
      <c r="W1254" t="str">
        <f t="shared" si="383"/>
        <v xml:space="preserve">              </v>
      </c>
    </row>
    <row r="1255" spans="1:23" customFormat="1" hidden="1">
      <c r="A1255" t="b">
        <f t="shared" si="382"/>
        <v>0</v>
      </c>
      <c r="B1255">
        <f t="shared" si="384"/>
        <v>1254</v>
      </c>
      <c r="C1255" t="s">
        <v>1112</v>
      </c>
      <c r="D1255" t="s">
        <v>1236</v>
      </c>
      <c r="E1255">
        <f t="shared" si="381"/>
        <v>48</v>
      </c>
      <c r="G1255">
        <f t="shared" si="385"/>
        <v>5</v>
      </c>
      <c r="H1255" t="str">
        <f t="shared" si="386"/>
        <v/>
      </c>
      <c r="I1255" t="str">
        <f t="shared" si="387"/>
        <v/>
      </c>
      <c r="J1255" t="str">
        <f t="shared" si="388"/>
        <v/>
      </c>
      <c r="K1255" t="str">
        <f t="shared" si="389"/>
        <v/>
      </c>
      <c r="L1255" t="str">
        <f t="shared" si="390"/>
        <v/>
      </c>
      <c r="M1255" t="str">
        <f t="shared" si="391"/>
        <v/>
      </c>
      <c r="N1255" t="str">
        <f t="shared" si="392"/>
        <v/>
      </c>
      <c r="O1255" t="str">
        <f t="shared" si="393"/>
        <v/>
      </c>
      <c r="P1255" t="str">
        <f t="shared" si="394"/>
        <v/>
      </c>
      <c r="Q1255" t="str">
        <f t="shared" si="395"/>
        <v/>
      </c>
      <c r="R1255" t="str">
        <f t="shared" si="396"/>
        <v/>
      </c>
      <c r="S1255" t="str">
        <f t="shared" si="397"/>
        <v/>
      </c>
      <c r="T1255" t="str">
        <f t="shared" si="398"/>
        <v/>
      </c>
      <c r="U1255" t="str">
        <f t="shared" si="399"/>
        <v/>
      </c>
      <c r="V1255" t="str">
        <f t="shared" si="400"/>
        <v/>
      </c>
      <c r="W1255" t="str">
        <f t="shared" si="383"/>
        <v xml:space="preserve">              </v>
      </c>
    </row>
    <row r="1256" spans="1:23" customFormat="1" hidden="1">
      <c r="A1256" t="b">
        <f t="shared" si="382"/>
        <v>0</v>
      </c>
      <c r="B1256">
        <f t="shared" si="384"/>
        <v>1255</v>
      </c>
      <c r="C1256" t="s">
        <v>1112</v>
      </c>
      <c r="D1256" t="s">
        <v>1237</v>
      </c>
      <c r="E1256">
        <f t="shared" si="381"/>
        <v>38</v>
      </c>
      <c r="G1256">
        <f t="shared" si="385"/>
        <v>6</v>
      </c>
      <c r="H1256" t="str">
        <f t="shared" si="386"/>
        <v/>
      </c>
      <c r="I1256" t="str">
        <f t="shared" si="387"/>
        <v/>
      </c>
      <c r="J1256" t="str">
        <f t="shared" si="388"/>
        <v/>
      </c>
      <c r="K1256" t="str">
        <f t="shared" si="389"/>
        <v/>
      </c>
      <c r="L1256" t="str">
        <f t="shared" si="390"/>
        <v/>
      </c>
      <c r="M1256" t="str">
        <f t="shared" si="391"/>
        <v/>
      </c>
      <c r="N1256" t="str">
        <f t="shared" si="392"/>
        <v/>
      </c>
      <c r="O1256" t="str">
        <f t="shared" si="393"/>
        <v/>
      </c>
      <c r="P1256" t="str">
        <f t="shared" si="394"/>
        <v/>
      </c>
      <c r="Q1256" t="str">
        <f t="shared" si="395"/>
        <v/>
      </c>
      <c r="R1256" t="str">
        <f t="shared" si="396"/>
        <v/>
      </c>
      <c r="S1256" t="str">
        <f t="shared" si="397"/>
        <v/>
      </c>
      <c r="T1256" t="str">
        <f t="shared" si="398"/>
        <v/>
      </c>
      <c r="U1256" t="str">
        <f t="shared" si="399"/>
        <v/>
      </c>
      <c r="V1256" t="str">
        <f t="shared" si="400"/>
        <v/>
      </c>
      <c r="W1256" t="str">
        <f t="shared" si="383"/>
        <v xml:space="preserve">              </v>
      </c>
    </row>
    <row r="1257" spans="1:23" customFormat="1" hidden="1">
      <c r="A1257" t="b">
        <f t="shared" si="382"/>
        <v>0</v>
      </c>
      <c r="B1257">
        <f t="shared" si="384"/>
        <v>1256</v>
      </c>
      <c r="C1257" t="s">
        <v>1112</v>
      </c>
      <c r="D1257" t="s">
        <v>1238</v>
      </c>
      <c r="E1257">
        <f t="shared" si="381"/>
        <v>41</v>
      </c>
      <c r="G1257">
        <f t="shared" si="385"/>
        <v>7</v>
      </c>
      <c r="H1257" t="str">
        <f t="shared" si="386"/>
        <v/>
      </c>
      <c r="I1257" t="str">
        <f t="shared" si="387"/>
        <v/>
      </c>
      <c r="J1257" t="str">
        <f t="shared" si="388"/>
        <v/>
      </c>
      <c r="K1257" t="str">
        <f t="shared" si="389"/>
        <v/>
      </c>
      <c r="L1257" t="str">
        <f t="shared" si="390"/>
        <v/>
      </c>
      <c r="M1257" t="str">
        <f t="shared" si="391"/>
        <v/>
      </c>
      <c r="N1257" t="str">
        <f t="shared" si="392"/>
        <v/>
      </c>
      <c r="O1257" t="str">
        <f t="shared" si="393"/>
        <v/>
      </c>
      <c r="P1257" t="str">
        <f t="shared" si="394"/>
        <v/>
      </c>
      <c r="Q1257" t="str">
        <f t="shared" si="395"/>
        <v/>
      </c>
      <c r="R1257" t="str">
        <f t="shared" si="396"/>
        <v/>
      </c>
      <c r="S1257" t="str">
        <f t="shared" si="397"/>
        <v/>
      </c>
      <c r="T1257" t="str">
        <f t="shared" si="398"/>
        <v/>
      </c>
      <c r="U1257" t="str">
        <f t="shared" si="399"/>
        <v/>
      </c>
      <c r="V1257" t="str">
        <f t="shared" si="400"/>
        <v/>
      </c>
      <c r="W1257" t="str">
        <f t="shared" si="383"/>
        <v xml:space="preserve">              </v>
      </c>
    </row>
    <row r="1258" spans="1:23" customFormat="1" hidden="1">
      <c r="A1258" t="b">
        <f t="shared" si="382"/>
        <v>0</v>
      </c>
      <c r="B1258">
        <f t="shared" si="384"/>
        <v>1257</v>
      </c>
      <c r="C1258" t="s">
        <v>1112</v>
      </c>
      <c r="D1258" t="s">
        <v>1239</v>
      </c>
      <c r="E1258">
        <f t="shared" si="381"/>
        <v>44</v>
      </c>
      <c r="G1258">
        <f t="shared" si="385"/>
        <v>8</v>
      </c>
      <c r="H1258" t="str">
        <f t="shared" si="386"/>
        <v/>
      </c>
      <c r="I1258" t="str">
        <f t="shared" si="387"/>
        <v/>
      </c>
      <c r="J1258" t="str">
        <f t="shared" si="388"/>
        <v/>
      </c>
      <c r="K1258" t="str">
        <f t="shared" si="389"/>
        <v/>
      </c>
      <c r="L1258" t="str">
        <f t="shared" si="390"/>
        <v/>
      </c>
      <c r="M1258" t="str">
        <f t="shared" si="391"/>
        <v/>
      </c>
      <c r="N1258" t="str">
        <f t="shared" si="392"/>
        <v/>
      </c>
      <c r="O1258" t="str">
        <f t="shared" si="393"/>
        <v/>
      </c>
      <c r="P1258" t="str">
        <f t="shared" si="394"/>
        <v/>
      </c>
      <c r="Q1258" t="str">
        <f t="shared" si="395"/>
        <v/>
      </c>
      <c r="R1258" t="str">
        <f t="shared" si="396"/>
        <v/>
      </c>
      <c r="S1258" t="str">
        <f t="shared" si="397"/>
        <v/>
      </c>
      <c r="T1258" t="str">
        <f t="shared" si="398"/>
        <v/>
      </c>
      <c r="U1258" t="str">
        <f t="shared" si="399"/>
        <v/>
      </c>
      <c r="V1258" t="str">
        <f t="shared" si="400"/>
        <v/>
      </c>
      <c r="W1258" t="str">
        <f t="shared" si="383"/>
        <v xml:space="preserve">              </v>
      </c>
    </row>
    <row r="1259" spans="1:23" customFormat="1" hidden="1">
      <c r="A1259" t="b">
        <f t="shared" si="382"/>
        <v>0</v>
      </c>
      <c r="B1259">
        <f t="shared" si="384"/>
        <v>1258</v>
      </c>
      <c r="C1259" t="s">
        <v>1112</v>
      </c>
      <c r="D1259" t="s">
        <v>1240</v>
      </c>
      <c r="E1259">
        <f t="shared" si="381"/>
        <v>21</v>
      </c>
      <c r="G1259">
        <f t="shared" si="385"/>
        <v>9</v>
      </c>
      <c r="H1259" t="str">
        <f t="shared" si="386"/>
        <v/>
      </c>
      <c r="I1259" t="str">
        <f t="shared" si="387"/>
        <v/>
      </c>
      <c r="J1259" t="str">
        <f t="shared" si="388"/>
        <v/>
      </c>
      <c r="K1259" t="str">
        <f t="shared" si="389"/>
        <v/>
      </c>
      <c r="L1259" t="str">
        <f t="shared" si="390"/>
        <v/>
      </c>
      <c r="M1259" t="str">
        <f t="shared" si="391"/>
        <v/>
      </c>
      <c r="N1259" t="str">
        <f t="shared" si="392"/>
        <v/>
      </c>
      <c r="O1259" t="str">
        <f t="shared" si="393"/>
        <v/>
      </c>
      <c r="P1259" t="str">
        <f t="shared" si="394"/>
        <v/>
      </c>
      <c r="Q1259" t="str">
        <f t="shared" si="395"/>
        <v/>
      </c>
      <c r="R1259" t="str">
        <f t="shared" si="396"/>
        <v/>
      </c>
      <c r="S1259" t="str">
        <f t="shared" si="397"/>
        <v/>
      </c>
      <c r="T1259" t="str">
        <f t="shared" si="398"/>
        <v/>
      </c>
      <c r="U1259" t="str">
        <f t="shared" si="399"/>
        <v/>
      </c>
      <c r="V1259" t="str">
        <f t="shared" si="400"/>
        <v/>
      </c>
      <c r="W1259" t="str">
        <f t="shared" si="383"/>
        <v xml:space="preserve">              </v>
      </c>
    </row>
    <row r="1260" spans="1:23" customFormat="1" hidden="1">
      <c r="A1260" t="b">
        <f t="shared" si="382"/>
        <v>0</v>
      </c>
      <c r="B1260">
        <f t="shared" si="384"/>
        <v>1259</v>
      </c>
      <c r="C1260" t="s">
        <v>1112</v>
      </c>
      <c r="D1260" t="s">
        <v>1241</v>
      </c>
      <c r="E1260">
        <f t="shared" si="381"/>
        <v>45</v>
      </c>
      <c r="G1260">
        <f t="shared" si="385"/>
        <v>10</v>
      </c>
      <c r="H1260" t="str">
        <f t="shared" si="386"/>
        <v/>
      </c>
      <c r="I1260" t="str">
        <f t="shared" si="387"/>
        <v/>
      </c>
      <c r="J1260" t="str">
        <f t="shared" si="388"/>
        <v/>
      </c>
      <c r="K1260" t="str">
        <f t="shared" si="389"/>
        <v/>
      </c>
      <c r="L1260" t="str">
        <f t="shared" si="390"/>
        <v/>
      </c>
      <c r="M1260" t="str">
        <f t="shared" si="391"/>
        <v/>
      </c>
      <c r="N1260" t="str">
        <f t="shared" si="392"/>
        <v/>
      </c>
      <c r="O1260" t="str">
        <f t="shared" si="393"/>
        <v/>
      </c>
      <c r="P1260" t="str">
        <f t="shared" si="394"/>
        <v/>
      </c>
      <c r="Q1260" t="str">
        <f t="shared" si="395"/>
        <v/>
      </c>
      <c r="R1260" t="str">
        <f t="shared" si="396"/>
        <v/>
      </c>
      <c r="S1260" t="str">
        <f t="shared" si="397"/>
        <v/>
      </c>
      <c r="T1260" t="str">
        <f t="shared" si="398"/>
        <v/>
      </c>
      <c r="U1260" t="str">
        <f t="shared" si="399"/>
        <v/>
      </c>
      <c r="V1260" t="str">
        <f t="shared" si="400"/>
        <v/>
      </c>
      <c r="W1260" t="str">
        <f t="shared" si="383"/>
        <v xml:space="preserve">              </v>
      </c>
    </row>
    <row r="1261" spans="1:23" customFormat="1" hidden="1">
      <c r="A1261" t="b">
        <f t="shared" si="382"/>
        <v>0</v>
      </c>
      <c r="B1261">
        <f t="shared" si="384"/>
        <v>1260</v>
      </c>
      <c r="C1261" t="s">
        <v>1112</v>
      </c>
      <c r="D1261" t="s">
        <v>1242</v>
      </c>
      <c r="E1261">
        <f t="shared" si="381"/>
        <v>491</v>
      </c>
      <c r="G1261">
        <f t="shared" si="385"/>
        <v>11</v>
      </c>
      <c r="H1261" t="str">
        <f t="shared" si="386"/>
        <v/>
      </c>
      <c r="I1261" t="str">
        <f t="shared" si="387"/>
        <v/>
      </c>
      <c r="J1261" t="str">
        <f t="shared" si="388"/>
        <v/>
      </c>
      <c r="K1261" t="str">
        <f t="shared" si="389"/>
        <v/>
      </c>
      <c r="L1261" t="str">
        <f t="shared" si="390"/>
        <v/>
      </c>
      <c r="M1261" t="str">
        <f t="shared" si="391"/>
        <v/>
      </c>
      <c r="N1261" t="str">
        <f t="shared" si="392"/>
        <v/>
      </c>
      <c r="O1261" t="str">
        <f t="shared" si="393"/>
        <v/>
      </c>
      <c r="P1261" t="str">
        <f t="shared" si="394"/>
        <v/>
      </c>
      <c r="Q1261" t="str">
        <f t="shared" si="395"/>
        <v/>
      </c>
      <c r="R1261" t="str">
        <f t="shared" si="396"/>
        <v/>
      </c>
      <c r="S1261" t="str">
        <f t="shared" si="397"/>
        <v/>
      </c>
      <c r="T1261" t="str">
        <f t="shared" si="398"/>
        <v/>
      </c>
      <c r="U1261" t="str">
        <f t="shared" si="399"/>
        <v/>
      </c>
      <c r="V1261" t="str">
        <f t="shared" si="400"/>
        <v/>
      </c>
      <c r="W1261" t="str">
        <f t="shared" si="383"/>
        <v xml:space="preserve">              </v>
      </c>
    </row>
    <row r="1262" spans="1:23" hidden="1">
      <c r="A1262" s="71" t="b">
        <f t="shared" si="382"/>
        <v>0</v>
      </c>
      <c r="B1262" s="71">
        <f t="shared" si="384"/>
        <v>1261</v>
      </c>
      <c r="C1262" s="71" t="s">
        <v>1243</v>
      </c>
      <c r="D1262" s="71" t="s">
        <v>1244</v>
      </c>
      <c r="E1262">
        <f t="shared" ref="E1262:E1317" si="401">LEN(D1262)</f>
        <v>10</v>
      </c>
      <c r="F1262">
        <v>1</v>
      </c>
      <c r="G1262">
        <f t="shared" si="385"/>
        <v>1</v>
      </c>
      <c r="H1262" t="str">
        <f t="shared" si="386"/>
        <v>Acceptance</v>
      </c>
      <c r="I1262" t="str">
        <f t="shared" si="387"/>
        <v>A risk response appropriate for both positive and</v>
      </c>
      <c r="J1262" t="str">
        <f t="shared" si="388"/>
        <v>negative risks, but often used for smaller risks</v>
      </c>
      <c r="K1262" t="str">
        <f t="shared" si="389"/>
        <v>within a project.</v>
      </c>
      <c r="L1262" t="str">
        <f t="shared" si="390"/>
        <v/>
      </c>
      <c r="M1262" t="str">
        <f t="shared" si="391"/>
        <v/>
      </c>
      <c r="N1262" t="str">
        <f t="shared" si="392"/>
        <v/>
      </c>
      <c r="O1262" t="str">
        <f t="shared" si="393"/>
        <v/>
      </c>
      <c r="P1262" t="str">
        <f t="shared" si="394"/>
        <v/>
      </c>
      <c r="Q1262" t="str">
        <f t="shared" si="395"/>
        <v/>
      </c>
      <c r="R1262" t="str">
        <f t="shared" si="396"/>
        <v/>
      </c>
      <c r="S1262" t="str">
        <f t="shared" si="397"/>
        <v/>
      </c>
      <c r="T1262" t="str">
        <f t="shared" si="398"/>
        <v/>
      </c>
      <c r="U1262" t="str">
        <f t="shared" si="399"/>
        <v/>
      </c>
      <c r="V1262" t="str">
        <f t="shared" si="400"/>
        <v/>
      </c>
      <c r="W1262" s="71" t="str">
        <f>CONCATENATE(H1262," ",I1262," ",J1262," ",K1262," ",L1262," ",M1262," ",N1262," ",O1262," ",P1262," ",Q1262," ",R1262," ",S1262," ",T1262," ",U1262," ",V1262)</f>
        <v xml:space="preserve">Acceptance A risk response appropriate for both positive and negative risks, but often used for smaller risks within a project.           </v>
      </c>
    </row>
    <row r="1263" spans="1:23" customFormat="1" hidden="1">
      <c r="A1263" t="b">
        <f t="shared" si="382"/>
        <v>0</v>
      </c>
      <c r="B1263">
        <f t="shared" si="384"/>
        <v>1262</v>
      </c>
      <c r="C1263" t="s">
        <v>1243</v>
      </c>
      <c r="D1263" t="s">
        <v>1245</v>
      </c>
      <c r="E1263">
        <f t="shared" si="401"/>
        <v>49</v>
      </c>
      <c r="G1263">
        <f t="shared" si="385"/>
        <v>2</v>
      </c>
      <c r="H1263" t="str">
        <f t="shared" si="386"/>
        <v/>
      </c>
      <c r="I1263" t="str">
        <f t="shared" si="387"/>
        <v/>
      </c>
      <c r="J1263" t="str">
        <f t="shared" si="388"/>
        <v/>
      </c>
      <c r="K1263" t="str">
        <f t="shared" si="389"/>
        <v/>
      </c>
      <c r="L1263" t="str">
        <f t="shared" si="390"/>
        <v/>
      </c>
      <c r="M1263" t="str">
        <f t="shared" si="391"/>
        <v/>
      </c>
      <c r="N1263" t="str">
        <f t="shared" si="392"/>
        <v/>
      </c>
      <c r="O1263" t="str">
        <f t="shared" si="393"/>
        <v/>
      </c>
      <c r="P1263" t="str">
        <f t="shared" si="394"/>
        <v/>
      </c>
      <c r="Q1263" t="str">
        <f t="shared" si="395"/>
        <v/>
      </c>
      <c r="R1263" t="str">
        <f t="shared" si="396"/>
        <v/>
      </c>
      <c r="S1263" t="str">
        <f t="shared" si="397"/>
        <v/>
      </c>
      <c r="T1263" t="str">
        <f t="shared" si="398"/>
        <v/>
      </c>
      <c r="U1263" t="str">
        <f t="shared" si="399"/>
        <v/>
      </c>
      <c r="V1263" t="str">
        <f t="shared" si="400"/>
        <v/>
      </c>
      <c r="W1263" t="str">
        <f t="shared" si="383"/>
        <v xml:space="preserve">              </v>
      </c>
    </row>
    <row r="1264" spans="1:23" customFormat="1" hidden="1">
      <c r="A1264" t="b">
        <f t="shared" si="382"/>
        <v>0</v>
      </c>
      <c r="B1264">
        <f t="shared" si="384"/>
        <v>1263</v>
      </c>
      <c r="C1264" t="s">
        <v>1243</v>
      </c>
      <c r="D1264" t="s">
        <v>1246</v>
      </c>
      <c r="E1264">
        <f t="shared" si="401"/>
        <v>48</v>
      </c>
      <c r="G1264">
        <f t="shared" si="385"/>
        <v>3</v>
      </c>
      <c r="H1264" t="str">
        <f t="shared" si="386"/>
        <v/>
      </c>
      <c r="I1264" t="str">
        <f t="shared" si="387"/>
        <v/>
      </c>
      <c r="J1264" t="str">
        <f t="shared" si="388"/>
        <v/>
      </c>
      <c r="K1264" t="str">
        <f t="shared" si="389"/>
        <v/>
      </c>
      <c r="L1264" t="str">
        <f t="shared" si="390"/>
        <v/>
      </c>
      <c r="M1264" t="str">
        <f t="shared" si="391"/>
        <v/>
      </c>
      <c r="N1264" t="str">
        <f t="shared" si="392"/>
        <v/>
      </c>
      <c r="O1264" t="str">
        <f t="shared" si="393"/>
        <v/>
      </c>
      <c r="P1264" t="str">
        <f t="shared" si="394"/>
        <v/>
      </c>
      <c r="Q1264" t="str">
        <f t="shared" si="395"/>
        <v/>
      </c>
      <c r="R1264" t="str">
        <f t="shared" si="396"/>
        <v/>
      </c>
      <c r="S1264" t="str">
        <f t="shared" si="397"/>
        <v/>
      </c>
      <c r="T1264" t="str">
        <f t="shared" si="398"/>
        <v/>
      </c>
      <c r="U1264" t="str">
        <f t="shared" si="399"/>
        <v/>
      </c>
      <c r="V1264" t="str">
        <f t="shared" si="400"/>
        <v/>
      </c>
      <c r="W1264" t="str">
        <f t="shared" si="383"/>
        <v xml:space="preserve">              </v>
      </c>
    </row>
    <row r="1265" spans="1:23" customFormat="1" hidden="1">
      <c r="A1265" t="b">
        <f t="shared" si="382"/>
        <v>0</v>
      </c>
      <c r="B1265">
        <f t="shared" si="384"/>
        <v>1264</v>
      </c>
      <c r="C1265" t="s">
        <v>1243</v>
      </c>
      <c r="D1265" t="s">
        <v>1247</v>
      </c>
      <c r="E1265">
        <f t="shared" si="401"/>
        <v>17</v>
      </c>
      <c r="G1265">
        <f t="shared" si="385"/>
        <v>4</v>
      </c>
      <c r="H1265" t="str">
        <f t="shared" si="386"/>
        <v/>
      </c>
      <c r="I1265" t="str">
        <f t="shared" si="387"/>
        <v/>
      </c>
      <c r="J1265" t="str">
        <f t="shared" si="388"/>
        <v/>
      </c>
      <c r="K1265" t="str">
        <f t="shared" si="389"/>
        <v/>
      </c>
      <c r="L1265" t="str">
        <f t="shared" si="390"/>
        <v/>
      </c>
      <c r="M1265" t="str">
        <f t="shared" si="391"/>
        <v/>
      </c>
      <c r="N1265" t="str">
        <f t="shared" si="392"/>
        <v/>
      </c>
      <c r="O1265" t="str">
        <f t="shared" si="393"/>
        <v/>
      </c>
      <c r="P1265" t="str">
        <f t="shared" si="394"/>
        <v/>
      </c>
      <c r="Q1265" t="str">
        <f t="shared" si="395"/>
        <v/>
      </c>
      <c r="R1265" t="str">
        <f t="shared" si="396"/>
        <v/>
      </c>
      <c r="S1265" t="str">
        <f t="shared" si="397"/>
        <v/>
      </c>
      <c r="T1265" t="str">
        <f t="shared" si="398"/>
        <v/>
      </c>
      <c r="U1265" t="str">
        <f t="shared" si="399"/>
        <v/>
      </c>
      <c r="V1265" t="str">
        <f t="shared" si="400"/>
        <v/>
      </c>
      <c r="W1265" t="str">
        <f t="shared" si="383"/>
        <v xml:space="preserve">              </v>
      </c>
    </row>
    <row r="1266" spans="1:23" hidden="1">
      <c r="A1266" s="71" t="b">
        <f t="shared" si="382"/>
        <v>0</v>
      </c>
      <c r="B1266" s="71">
        <f t="shared" si="384"/>
        <v>1265</v>
      </c>
      <c r="C1266" s="71" t="s">
        <v>1243</v>
      </c>
      <c r="D1266" s="71" t="s">
        <v>1248</v>
      </c>
      <c r="E1266">
        <f t="shared" si="401"/>
        <v>15</v>
      </c>
      <c r="F1266">
        <v>1</v>
      </c>
      <c r="G1266">
        <f t="shared" si="385"/>
        <v>1</v>
      </c>
      <c r="H1266" t="str">
        <f t="shared" si="386"/>
        <v>Ambiguity risks</v>
      </c>
      <c r="I1266" t="str">
        <f t="shared" si="387"/>
        <v>Risks that have an uncertain, unclear nature, such</v>
      </c>
      <c r="J1266" t="str">
        <f t="shared" si="388"/>
        <v>as new laws or regulations, the marketplace</v>
      </c>
      <c r="K1266" t="str">
        <f t="shared" si="389"/>
        <v>conditions, and other risks that are nearly</v>
      </c>
      <c r="L1266" t="str">
        <f t="shared" si="390"/>
        <v>impossible to predict.</v>
      </c>
      <c r="M1266" t="str">
        <f t="shared" si="391"/>
        <v>Avoidance A risk response to avoid the risk.</v>
      </c>
      <c r="N1266" t="str">
        <f t="shared" si="392"/>
        <v/>
      </c>
      <c r="O1266" t="str">
        <f t="shared" si="393"/>
        <v/>
      </c>
      <c r="P1266" t="str">
        <f t="shared" si="394"/>
        <v/>
      </c>
      <c r="Q1266" t="str">
        <f t="shared" si="395"/>
        <v/>
      </c>
      <c r="R1266" t="str">
        <f t="shared" si="396"/>
        <v/>
      </c>
      <c r="S1266" t="str">
        <f t="shared" si="397"/>
        <v/>
      </c>
      <c r="T1266" t="str">
        <f t="shared" si="398"/>
        <v/>
      </c>
      <c r="U1266" t="str">
        <f t="shared" si="399"/>
        <v/>
      </c>
      <c r="V1266" t="str">
        <f t="shared" si="400"/>
        <v/>
      </c>
      <c r="W1266" s="71" t="str">
        <f>CONCATENATE(H1266," ",I1266," ",J1266," ",K1266," ",L1266," ",M1266," ",N1266," ",O1266," ",P1266," ",Q1266," ",R1266," ",S1266," ",T1266," ",U1266," ",V1266)</f>
        <v xml:space="preserve">Ambiguity risks Risks that have an uncertain, unclear nature, such as new laws or regulations, the marketplace conditions, and other risks that are nearly impossible to predict. Avoidance A risk response to avoid the risk.         </v>
      </c>
    </row>
    <row r="1267" spans="1:23" customFormat="1" hidden="1">
      <c r="A1267" t="b">
        <f t="shared" si="382"/>
        <v>0</v>
      </c>
      <c r="B1267">
        <f t="shared" si="384"/>
        <v>1266</v>
      </c>
      <c r="C1267" t="s">
        <v>1243</v>
      </c>
      <c r="D1267" t="s">
        <v>1249</v>
      </c>
      <c r="E1267">
        <f t="shared" si="401"/>
        <v>50</v>
      </c>
      <c r="G1267">
        <f t="shared" si="385"/>
        <v>2</v>
      </c>
      <c r="H1267" t="str">
        <f t="shared" si="386"/>
        <v/>
      </c>
      <c r="I1267" t="str">
        <f t="shared" si="387"/>
        <v/>
      </c>
      <c r="J1267" t="str">
        <f t="shared" si="388"/>
        <v/>
      </c>
      <c r="K1267" t="str">
        <f t="shared" si="389"/>
        <v/>
      </c>
      <c r="L1267" t="str">
        <f t="shared" si="390"/>
        <v/>
      </c>
      <c r="M1267" t="str">
        <f t="shared" si="391"/>
        <v/>
      </c>
      <c r="N1267" t="str">
        <f t="shared" si="392"/>
        <v/>
      </c>
      <c r="O1267" t="str">
        <f t="shared" si="393"/>
        <v/>
      </c>
      <c r="P1267" t="str">
        <f t="shared" si="394"/>
        <v/>
      </c>
      <c r="Q1267" t="str">
        <f t="shared" si="395"/>
        <v/>
      </c>
      <c r="R1267" t="str">
        <f t="shared" si="396"/>
        <v/>
      </c>
      <c r="S1267" t="str">
        <f t="shared" si="397"/>
        <v/>
      </c>
      <c r="T1267" t="str">
        <f t="shared" si="398"/>
        <v/>
      </c>
      <c r="U1267" t="str">
        <f t="shared" si="399"/>
        <v/>
      </c>
      <c r="V1267" t="str">
        <f t="shared" si="400"/>
        <v/>
      </c>
      <c r="W1267" t="str">
        <f t="shared" si="383"/>
        <v xml:space="preserve">              </v>
      </c>
    </row>
    <row r="1268" spans="1:23" customFormat="1" hidden="1">
      <c r="A1268" t="b">
        <f t="shared" si="382"/>
        <v>0</v>
      </c>
      <c r="B1268">
        <f t="shared" si="384"/>
        <v>1267</v>
      </c>
      <c r="C1268" t="s">
        <v>1243</v>
      </c>
      <c r="D1268" t="s">
        <v>1250</v>
      </c>
      <c r="E1268">
        <f t="shared" si="401"/>
        <v>43</v>
      </c>
      <c r="G1268">
        <f t="shared" si="385"/>
        <v>3</v>
      </c>
      <c r="H1268" t="str">
        <f t="shared" si="386"/>
        <v/>
      </c>
      <c r="I1268" t="str">
        <f t="shared" si="387"/>
        <v/>
      </c>
      <c r="J1268" t="str">
        <f t="shared" si="388"/>
        <v/>
      </c>
      <c r="K1268" t="str">
        <f t="shared" si="389"/>
        <v/>
      </c>
      <c r="L1268" t="str">
        <f t="shared" si="390"/>
        <v/>
      </c>
      <c r="M1268" t="str">
        <f t="shared" si="391"/>
        <v/>
      </c>
      <c r="N1268" t="str">
        <f t="shared" si="392"/>
        <v/>
      </c>
      <c r="O1268" t="str">
        <f t="shared" si="393"/>
        <v/>
      </c>
      <c r="P1268" t="str">
        <f t="shared" si="394"/>
        <v/>
      </c>
      <c r="Q1268" t="str">
        <f t="shared" si="395"/>
        <v/>
      </c>
      <c r="R1268" t="str">
        <f t="shared" si="396"/>
        <v/>
      </c>
      <c r="S1268" t="str">
        <f t="shared" si="397"/>
        <v/>
      </c>
      <c r="T1268" t="str">
        <f t="shared" si="398"/>
        <v/>
      </c>
      <c r="U1268" t="str">
        <f t="shared" si="399"/>
        <v/>
      </c>
      <c r="V1268" t="str">
        <f t="shared" si="400"/>
        <v/>
      </c>
      <c r="W1268" t="str">
        <f t="shared" si="383"/>
        <v xml:space="preserve">              </v>
      </c>
    </row>
    <row r="1269" spans="1:23" customFormat="1" hidden="1">
      <c r="A1269" t="b">
        <f t="shared" si="382"/>
        <v>0</v>
      </c>
      <c r="B1269">
        <f t="shared" si="384"/>
        <v>1268</v>
      </c>
      <c r="C1269" t="s">
        <v>1243</v>
      </c>
      <c r="D1269" t="s">
        <v>1251</v>
      </c>
      <c r="E1269">
        <f t="shared" si="401"/>
        <v>43</v>
      </c>
      <c r="G1269">
        <f t="shared" si="385"/>
        <v>4</v>
      </c>
      <c r="H1269" t="str">
        <f t="shared" si="386"/>
        <v/>
      </c>
      <c r="I1269" t="str">
        <f t="shared" si="387"/>
        <v/>
      </c>
      <c r="J1269" t="str">
        <f t="shared" si="388"/>
        <v/>
      </c>
      <c r="K1269" t="str">
        <f t="shared" si="389"/>
        <v/>
      </c>
      <c r="L1269" t="str">
        <f t="shared" si="390"/>
        <v/>
      </c>
      <c r="M1269" t="str">
        <f t="shared" si="391"/>
        <v/>
      </c>
      <c r="N1269" t="str">
        <f t="shared" si="392"/>
        <v/>
      </c>
      <c r="O1269" t="str">
        <f t="shared" si="393"/>
        <v/>
      </c>
      <c r="P1269" t="str">
        <f t="shared" si="394"/>
        <v/>
      </c>
      <c r="Q1269" t="str">
        <f t="shared" si="395"/>
        <v/>
      </c>
      <c r="R1269" t="str">
        <f t="shared" si="396"/>
        <v/>
      </c>
      <c r="S1269" t="str">
        <f t="shared" si="397"/>
        <v/>
      </c>
      <c r="T1269" t="str">
        <f t="shared" si="398"/>
        <v/>
      </c>
      <c r="U1269" t="str">
        <f t="shared" si="399"/>
        <v/>
      </c>
      <c r="V1269" t="str">
        <f t="shared" si="400"/>
        <v/>
      </c>
      <c r="W1269" t="str">
        <f t="shared" si="383"/>
        <v xml:space="preserve">              </v>
      </c>
    </row>
    <row r="1270" spans="1:23" customFormat="1" hidden="1">
      <c r="A1270" t="b">
        <f t="shared" si="382"/>
        <v>0</v>
      </c>
      <c r="B1270">
        <f t="shared" si="384"/>
        <v>1269</v>
      </c>
      <c r="C1270" t="s">
        <v>1243</v>
      </c>
      <c r="D1270" t="s">
        <v>1252</v>
      </c>
      <c r="E1270">
        <f t="shared" si="401"/>
        <v>22</v>
      </c>
      <c r="G1270">
        <f t="shared" si="385"/>
        <v>5</v>
      </c>
      <c r="H1270" t="str">
        <f t="shared" si="386"/>
        <v/>
      </c>
      <c r="I1270" t="str">
        <f t="shared" si="387"/>
        <v/>
      </c>
      <c r="J1270" t="str">
        <f t="shared" si="388"/>
        <v/>
      </c>
      <c r="K1270" t="str">
        <f t="shared" si="389"/>
        <v/>
      </c>
      <c r="L1270" t="str">
        <f t="shared" si="390"/>
        <v/>
      </c>
      <c r="M1270" t="str">
        <f t="shared" si="391"/>
        <v/>
      </c>
      <c r="N1270" t="str">
        <f t="shared" si="392"/>
        <v/>
      </c>
      <c r="O1270" t="str">
        <f t="shared" si="393"/>
        <v/>
      </c>
      <c r="P1270" t="str">
        <f t="shared" si="394"/>
        <v/>
      </c>
      <c r="Q1270" t="str">
        <f t="shared" si="395"/>
        <v/>
      </c>
      <c r="R1270" t="str">
        <f t="shared" si="396"/>
        <v/>
      </c>
      <c r="S1270" t="str">
        <f t="shared" si="397"/>
        <v/>
      </c>
      <c r="T1270" t="str">
        <f t="shared" si="398"/>
        <v/>
      </c>
      <c r="U1270" t="str">
        <f t="shared" si="399"/>
        <v/>
      </c>
      <c r="V1270" t="str">
        <f t="shared" si="400"/>
        <v/>
      </c>
      <c r="W1270" t="str">
        <f t="shared" si="383"/>
        <v xml:space="preserve">              </v>
      </c>
    </row>
    <row r="1271" spans="1:23" customFormat="1" hidden="1">
      <c r="A1271" t="b">
        <f t="shared" si="382"/>
        <v>0</v>
      </c>
      <c r="B1271">
        <f t="shared" si="384"/>
        <v>1270</v>
      </c>
      <c r="C1271" t="s">
        <v>1243</v>
      </c>
      <c r="D1271" t="s">
        <v>1253</v>
      </c>
      <c r="E1271">
        <f t="shared" si="401"/>
        <v>44</v>
      </c>
      <c r="G1271">
        <f t="shared" si="385"/>
        <v>6</v>
      </c>
      <c r="H1271" t="str">
        <f t="shared" si="386"/>
        <v/>
      </c>
      <c r="I1271" t="str">
        <f t="shared" si="387"/>
        <v/>
      </c>
      <c r="J1271" t="str">
        <f t="shared" si="388"/>
        <v/>
      </c>
      <c r="K1271" t="str">
        <f t="shared" si="389"/>
        <v/>
      </c>
      <c r="L1271" t="str">
        <f t="shared" si="390"/>
        <v/>
      </c>
      <c r="M1271" t="str">
        <f t="shared" si="391"/>
        <v/>
      </c>
      <c r="N1271" t="str">
        <f t="shared" si="392"/>
        <v/>
      </c>
      <c r="O1271" t="str">
        <f t="shared" si="393"/>
        <v/>
      </c>
      <c r="P1271" t="str">
        <f t="shared" si="394"/>
        <v/>
      </c>
      <c r="Q1271" t="str">
        <f t="shared" si="395"/>
        <v/>
      </c>
      <c r="R1271" t="str">
        <f t="shared" si="396"/>
        <v/>
      </c>
      <c r="S1271" t="str">
        <f t="shared" si="397"/>
        <v/>
      </c>
      <c r="T1271" t="str">
        <f t="shared" si="398"/>
        <v/>
      </c>
      <c r="U1271" t="str">
        <f t="shared" si="399"/>
        <v/>
      </c>
      <c r="V1271" t="str">
        <f t="shared" si="400"/>
        <v/>
      </c>
      <c r="W1271" t="str">
        <f t="shared" si="383"/>
        <v xml:space="preserve">              </v>
      </c>
    </row>
    <row r="1272" spans="1:23" hidden="1">
      <c r="A1272" s="71" t="b">
        <f t="shared" si="382"/>
        <v>0</v>
      </c>
      <c r="B1272" s="71">
        <f t="shared" si="384"/>
        <v>1271</v>
      </c>
      <c r="C1272" s="71" t="s">
        <v>1243</v>
      </c>
      <c r="D1272" s="71" t="s">
        <v>414</v>
      </c>
      <c r="E1272">
        <f t="shared" si="401"/>
        <v>13</v>
      </c>
      <c r="F1272">
        <v>1</v>
      </c>
      <c r="G1272">
        <f t="shared" si="385"/>
        <v>1</v>
      </c>
      <c r="H1272" t="str">
        <f t="shared" si="386"/>
        <v>Brainstorming</v>
      </c>
      <c r="I1272" t="str">
        <f t="shared" si="387"/>
        <v>The most common approach to risk</v>
      </c>
      <c r="J1272" t="str">
        <f t="shared" si="388"/>
        <v>identification; usually completed by a project</v>
      </c>
      <c r="K1272" t="str">
        <f t="shared" si="389"/>
        <v>team with subject matter experts to identify the</v>
      </c>
      <c r="L1272" t="str">
        <f t="shared" si="390"/>
        <v>risks within the project.</v>
      </c>
      <c r="M1272" t="str">
        <f t="shared" si="391"/>
        <v/>
      </c>
      <c r="N1272" t="str">
        <f t="shared" si="392"/>
        <v/>
      </c>
      <c r="O1272" t="str">
        <f t="shared" si="393"/>
        <v/>
      </c>
      <c r="P1272" t="str">
        <f t="shared" si="394"/>
        <v/>
      </c>
      <c r="Q1272" t="str">
        <f t="shared" si="395"/>
        <v/>
      </c>
      <c r="R1272" t="str">
        <f t="shared" si="396"/>
        <v/>
      </c>
      <c r="S1272" t="str">
        <f t="shared" si="397"/>
        <v/>
      </c>
      <c r="T1272" t="str">
        <f t="shared" si="398"/>
        <v/>
      </c>
      <c r="U1272" t="str">
        <f t="shared" si="399"/>
        <v/>
      </c>
      <c r="V1272" t="str">
        <f t="shared" si="400"/>
        <v/>
      </c>
      <c r="W1272" s="71" t="str">
        <f>CONCATENATE(H1272," ",I1272," ",J1272," ",K1272," ",L1272," ",M1272," ",N1272," ",O1272," ",P1272," ",Q1272," ",R1272," ",S1272," ",T1272," ",U1272," ",V1272)</f>
        <v xml:space="preserve">Brainstorming The most common approach to risk identification; usually completed by a project team with subject matter experts to identify the risks within the project.          </v>
      </c>
    </row>
    <row r="1273" spans="1:23" customFormat="1" hidden="1">
      <c r="A1273" t="b">
        <f t="shared" si="382"/>
        <v>0</v>
      </c>
      <c r="B1273">
        <f t="shared" si="384"/>
        <v>1272</v>
      </c>
      <c r="C1273" t="s">
        <v>1243</v>
      </c>
      <c r="D1273" t="s">
        <v>1254</v>
      </c>
      <c r="E1273">
        <f t="shared" si="401"/>
        <v>32</v>
      </c>
      <c r="G1273">
        <f t="shared" si="385"/>
        <v>2</v>
      </c>
      <c r="H1273" t="str">
        <f t="shared" si="386"/>
        <v/>
      </c>
      <c r="I1273" t="str">
        <f t="shared" si="387"/>
        <v/>
      </c>
      <c r="J1273" t="str">
        <f t="shared" si="388"/>
        <v/>
      </c>
      <c r="K1273" t="str">
        <f t="shared" si="389"/>
        <v/>
      </c>
      <c r="L1273" t="str">
        <f t="shared" si="390"/>
        <v/>
      </c>
      <c r="M1273" t="str">
        <f t="shared" si="391"/>
        <v/>
      </c>
      <c r="N1273" t="str">
        <f t="shared" si="392"/>
        <v/>
      </c>
      <c r="O1273" t="str">
        <f t="shared" si="393"/>
        <v/>
      </c>
      <c r="P1273" t="str">
        <f t="shared" si="394"/>
        <v/>
      </c>
      <c r="Q1273" t="str">
        <f t="shared" si="395"/>
        <v/>
      </c>
      <c r="R1273" t="str">
        <f t="shared" si="396"/>
        <v/>
      </c>
      <c r="S1273" t="str">
        <f t="shared" si="397"/>
        <v/>
      </c>
      <c r="T1273" t="str">
        <f t="shared" si="398"/>
        <v/>
      </c>
      <c r="U1273" t="str">
        <f t="shared" si="399"/>
        <v/>
      </c>
      <c r="V1273" t="str">
        <f t="shared" si="400"/>
        <v/>
      </c>
      <c r="W1273" t="str">
        <f t="shared" si="383"/>
        <v xml:space="preserve">              </v>
      </c>
    </row>
    <row r="1274" spans="1:23" customFormat="1" hidden="1">
      <c r="A1274" t="b">
        <f t="shared" si="382"/>
        <v>0</v>
      </c>
      <c r="B1274">
        <f t="shared" si="384"/>
        <v>1273</v>
      </c>
      <c r="C1274" t="s">
        <v>1243</v>
      </c>
      <c r="D1274" t="s">
        <v>1255</v>
      </c>
      <c r="E1274">
        <f t="shared" si="401"/>
        <v>46</v>
      </c>
      <c r="G1274">
        <f t="shared" si="385"/>
        <v>3</v>
      </c>
      <c r="H1274" t="str">
        <f t="shared" si="386"/>
        <v/>
      </c>
      <c r="I1274" t="str">
        <f t="shared" si="387"/>
        <v/>
      </c>
      <c r="J1274" t="str">
        <f t="shared" si="388"/>
        <v/>
      </c>
      <c r="K1274" t="str">
        <f t="shared" si="389"/>
        <v/>
      </c>
      <c r="L1274" t="str">
        <f t="shared" si="390"/>
        <v/>
      </c>
      <c r="M1274" t="str">
        <f t="shared" si="391"/>
        <v/>
      </c>
      <c r="N1274" t="str">
        <f t="shared" si="392"/>
        <v/>
      </c>
      <c r="O1274" t="str">
        <f t="shared" si="393"/>
        <v/>
      </c>
      <c r="P1274" t="str">
        <f t="shared" si="394"/>
        <v/>
      </c>
      <c r="Q1274" t="str">
        <f t="shared" si="395"/>
        <v/>
      </c>
      <c r="R1274" t="str">
        <f t="shared" si="396"/>
        <v/>
      </c>
      <c r="S1274" t="str">
        <f t="shared" si="397"/>
        <v/>
      </c>
      <c r="T1274" t="str">
        <f t="shared" si="398"/>
        <v/>
      </c>
      <c r="U1274" t="str">
        <f t="shared" si="399"/>
        <v/>
      </c>
      <c r="V1274" t="str">
        <f t="shared" si="400"/>
        <v/>
      </c>
      <c r="W1274" t="str">
        <f t="shared" si="383"/>
        <v xml:space="preserve">              </v>
      </c>
    </row>
    <row r="1275" spans="1:23" customFormat="1" hidden="1">
      <c r="A1275" t="b">
        <f t="shared" si="382"/>
        <v>0</v>
      </c>
      <c r="B1275">
        <f t="shared" si="384"/>
        <v>1274</v>
      </c>
      <c r="C1275" t="s">
        <v>1243</v>
      </c>
      <c r="D1275" t="s">
        <v>1256</v>
      </c>
      <c r="E1275">
        <f t="shared" si="401"/>
        <v>48</v>
      </c>
      <c r="G1275">
        <f t="shared" si="385"/>
        <v>4</v>
      </c>
      <c r="H1275" t="str">
        <f t="shared" si="386"/>
        <v/>
      </c>
      <c r="I1275" t="str">
        <f t="shared" si="387"/>
        <v/>
      </c>
      <c r="J1275" t="str">
        <f t="shared" si="388"/>
        <v/>
      </c>
      <c r="K1275" t="str">
        <f t="shared" si="389"/>
        <v/>
      </c>
      <c r="L1275" t="str">
        <f t="shared" si="390"/>
        <v/>
      </c>
      <c r="M1275" t="str">
        <f t="shared" si="391"/>
        <v/>
      </c>
      <c r="N1275" t="str">
        <f t="shared" si="392"/>
        <v/>
      </c>
      <c r="O1275" t="str">
        <f t="shared" si="393"/>
        <v/>
      </c>
      <c r="P1275" t="str">
        <f t="shared" si="394"/>
        <v/>
      </c>
      <c r="Q1275" t="str">
        <f t="shared" si="395"/>
        <v/>
      </c>
      <c r="R1275" t="str">
        <f t="shared" si="396"/>
        <v/>
      </c>
      <c r="S1275" t="str">
        <f t="shared" si="397"/>
        <v/>
      </c>
      <c r="T1275" t="str">
        <f t="shared" si="398"/>
        <v/>
      </c>
      <c r="U1275" t="str">
        <f t="shared" si="399"/>
        <v/>
      </c>
      <c r="V1275" t="str">
        <f t="shared" si="400"/>
        <v/>
      </c>
      <c r="W1275" t="str">
        <f t="shared" si="383"/>
        <v xml:space="preserve">              </v>
      </c>
    </row>
    <row r="1276" spans="1:23" customFormat="1" hidden="1">
      <c r="A1276" t="b">
        <f t="shared" si="382"/>
        <v>0</v>
      </c>
      <c r="B1276">
        <f t="shared" si="384"/>
        <v>1275</v>
      </c>
      <c r="C1276" t="s">
        <v>1243</v>
      </c>
      <c r="D1276" t="s">
        <v>1257</v>
      </c>
      <c r="E1276">
        <f t="shared" si="401"/>
        <v>25</v>
      </c>
      <c r="G1276">
        <f t="shared" si="385"/>
        <v>5</v>
      </c>
      <c r="H1276" t="str">
        <f t="shared" si="386"/>
        <v/>
      </c>
      <c r="I1276" t="str">
        <f t="shared" si="387"/>
        <v/>
      </c>
      <c r="J1276" t="str">
        <f t="shared" si="388"/>
        <v/>
      </c>
      <c r="K1276" t="str">
        <f t="shared" si="389"/>
        <v/>
      </c>
      <c r="L1276" t="str">
        <f t="shared" si="390"/>
        <v/>
      </c>
      <c r="M1276" t="str">
        <f t="shared" si="391"/>
        <v/>
      </c>
      <c r="N1276" t="str">
        <f t="shared" si="392"/>
        <v/>
      </c>
      <c r="O1276" t="str">
        <f t="shared" si="393"/>
        <v/>
      </c>
      <c r="P1276" t="str">
        <f t="shared" si="394"/>
        <v/>
      </c>
      <c r="Q1276" t="str">
        <f t="shared" si="395"/>
        <v/>
      </c>
      <c r="R1276" t="str">
        <f t="shared" si="396"/>
        <v/>
      </c>
      <c r="S1276" t="str">
        <f t="shared" si="397"/>
        <v/>
      </c>
      <c r="T1276" t="str">
        <f t="shared" si="398"/>
        <v/>
      </c>
      <c r="U1276" t="str">
        <f t="shared" si="399"/>
        <v/>
      </c>
      <c r="V1276" t="str">
        <f t="shared" si="400"/>
        <v/>
      </c>
      <c r="W1276" t="str">
        <f t="shared" si="383"/>
        <v xml:space="preserve">              </v>
      </c>
    </row>
    <row r="1277" spans="1:23" hidden="1">
      <c r="A1277" s="71" t="b">
        <f t="shared" ref="A1277:A1340" si="402">C1277=D1277</f>
        <v>0</v>
      </c>
      <c r="B1277" s="71">
        <f t="shared" si="384"/>
        <v>1276</v>
      </c>
      <c r="C1277" s="71" t="s">
        <v>1243</v>
      </c>
      <c r="D1277" s="71" t="s">
        <v>1258</v>
      </c>
      <c r="E1277">
        <f t="shared" si="401"/>
        <v>14</v>
      </c>
      <c r="F1277">
        <v>1</v>
      </c>
      <c r="G1277">
        <f t="shared" si="385"/>
        <v>1</v>
      </c>
      <c r="H1277" t="str">
        <f t="shared" si="386"/>
        <v>Business risks</v>
      </c>
      <c r="I1277" t="str">
        <f t="shared" si="387"/>
        <v>These risks may have negative or positive</v>
      </c>
      <c r="J1277" t="str">
        <f t="shared" si="388"/>
        <v>outcomes. Examples include using a less</v>
      </c>
      <c r="K1277" t="str">
        <f t="shared" si="389"/>
        <v>experienced worker to complete a task, allowing</v>
      </c>
      <c r="L1277" t="str">
        <f t="shared" si="390"/>
        <v>phases or activities to overlap, or forgoing the</v>
      </c>
      <c r="M1277" t="str">
        <f t="shared" si="391"/>
        <v>expense of formal training for on-the-job</v>
      </c>
      <c r="N1277" t="str">
        <f t="shared" si="392"/>
        <v>education.</v>
      </c>
      <c r="O1277" t="str">
        <f t="shared" si="393"/>
        <v/>
      </c>
      <c r="P1277" t="str">
        <f t="shared" si="394"/>
        <v/>
      </c>
      <c r="Q1277" t="str">
        <f t="shared" si="395"/>
        <v/>
      </c>
      <c r="R1277" t="str">
        <f t="shared" si="396"/>
        <v/>
      </c>
      <c r="S1277" t="str">
        <f t="shared" si="397"/>
        <v/>
      </c>
      <c r="T1277" t="str">
        <f t="shared" si="398"/>
        <v/>
      </c>
      <c r="U1277" t="str">
        <f t="shared" si="399"/>
        <v/>
      </c>
      <c r="V1277" t="str">
        <f t="shared" si="400"/>
        <v/>
      </c>
      <c r="W1277" s="71" t="str">
        <f>CONCATENATE(H1277," ",I1277," ",J1277," ",K1277," ",L1277," ",M1277," ",N1277," ",O1277," ",P1277," ",Q1277," ",R1277," ",S1277," ",T1277," ",U1277," ",V1277)</f>
        <v xml:space="preserve">Business risks These risks may have negative or positive outcomes. Examples include using a less experienced worker to complete a task, allowing phases or activities to overlap, or forgoing the expense of formal training for on-the-job education.        </v>
      </c>
    </row>
    <row r="1278" spans="1:23" customFormat="1" hidden="1">
      <c r="A1278" t="b">
        <f t="shared" si="402"/>
        <v>0</v>
      </c>
      <c r="B1278">
        <f t="shared" si="384"/>
        <v>1277</v>
      </c>
      <c r="C1278" t="s">
        <v>1243</v>
      </c>
      <c r="D1278" t="s">
        <v>1259</v>
      </c>
      <c r="E1278">
        <f t="shared" si="401"/>
        <v>41</v>
      </c>
      <c r="G1278">
        <f t="shared" si="385"/>
        <v>2</v>
      </c>
      <c r="H1278" t="str">
        <f t="shared" si="386"/>
        <v/>
      </c>
      <c r="I1278" t="str">
        <f t="shared" si="387"/>
        <v/>
      </c>
      <c r="J1278" t="str">
        <f t="shared" si="388"/>
        <v/>
      </c>
      <c r="K1278" t="str">
        <f t="shared" si="389"/>
        <v/>
      </c>
      <c r="L1278" t="str">
        <f t="shared" si="390"/>
        <v/>
      </c>
      <c r="M1278" t="str">
        <f t="shared" si="391"/>
        <v/>
      </c>
      <c r="N1278" t="str">
        <f t="shared" si="392"/>
        <v/>
      </c>
      <c r="O1278" t="str">
        <f t="shared" si="393"/>
        <v/>
      </c>
      <c r="P1278" t="str">
        <f t="shared" si="394"/>
        <v/>
      </c>
      <c r="Q1278" t="str">
        <f t="shared" si="395"/>
        <v/>
      </c>
      <c r="R1278" t="str">
        <f t="shared" si="396"/>
        <v/>
      </c>
      <c r="S1278" t="str">
        <f t="shared" si="397"/>
        <v/>
      </c>
      <c r="T1278" t="str">
        <f t="shared" si="398"/>
        <v/>
      </c>
      <c r="U1278" t="str">
        <f t="shared" si="399"/>
        <v/>
      </c>
      <c r="V1278" t="str">
        <f t="shared" si="400"/>
        <v/>
      </c>
      <c r="W1278" t="str">
        <f t="shared" ref="W1278:W1340" si="403">CONCATENATE(H1278," ",I1278," ",J1278," ",K1278," ",L1278," ",M1278," ",N1278," ",O1278," ",P1278," ",Q1278," ",R1278," ",S1278," ",T1278," ",U1278," ",V1278)</f>
        <v xml:space="preserve">              </v>
      </c>
    </row>
    <row r="1279" spans="1:23" customFormat="1" hidden="1">
      <c r="A1279" t="b">
        <f t="shared" si="402"/>
        <v>0</v>
      </c>
      <c r="B1279">
        <f t="shared" si="384"/>
        <v>1278</v>
      </c>
      <c r="C1279" t="s">
        <v>1243</v>
      </c>
      <c r="D1279" t="s">
        <v>1260</v>
      </c>
      <c r="E1279">
        <f t="shared" si="401"/>
        <v>39</v>
      </c>
      <c r="G1279">
        <f t="shared" si="385"/>
        <v>3</v>
      </c>
      <c r="H1279" t="str">
        <f t="shared" si="386"/>
        <v/>
      </c>
      <c r="I1279" t="str">
        <f t="shared" si="387"/>
        <v/>
      </c>
      <c r="J1279" t="str">
        <f t="shared" si="388"/>
        <v/>
      </c>
      <c r="K1279" t="str">
        <f t="shared" si="389"/>
        <v/>
      </c>
      <c r="L1279" t="str">
        <f t="shared" si="390"/>
        <v/>
      </c>
      <c r="M1279" t="str">
        <f t="shared" si="391"/>
        <v/>
      </c>
      <c r="N1279" t="str">
        <f t="shared" si="392"/>
        <v/>
      </c>
      <c r="O1279" t="str">
        <f t="shared" si="393"/>
        <v/>
      </c>
      <c r="P1279" t="str">
        <f t="shared" si="394"/>
        <v/>
      </c>
      <c r="Q1279" t="str">
        <f t="shared" si="395"/>
        <v/>
      </c>
      <c r="R1279" t="str">
        <f t="shared" si="396"/>
        <v/>
      </c>
      <c r="S1279" t="str">
        <f t="shared" si="397"/>
        <v/>
      </c>
      <c r="T1279" t="str">
        <f t="shared" si="398"/>
        <v/>
      </c>
      <c r="U1279" t="str">
        <f t="shared" si="399"/>
        <v/>
      </c>
      <c r="V1279" t="str">
        <f t="shared" si="400"/>
        <v/>
      </c>
      <c r="W1279" t="str">
        <f t="shared" si="403"/>
        <v xml:space="preserve">              </v>
      </c>
    </row>
    <row r="1280" spans="1:23" customFormat="1" hidden="1">
      <c r="A1280" t="b">
        <f t="shared" si="402"/>
        <v>0</v>
      </c>
      <c r="B1280">
        <f t="shared" si="384"/>
        <v>1279</v>
      </c>
      <c r="C1280" t="s">
        <v>1243</v>
      </c>
      <c r="D1280" t="s">
        <v>1261</v>
      </c>
      <c r="E1280">
        <f t="shared" si="401"/>
        <v>47</v>
      </c>
      <c r="G1280">
        <f t="shared" si="385"/>
        <v>4</v>
      </c>
      <c r="H1280" t="str">
        <f t="shared" si="386"/>
        <v/>
      </c>
      <c r="I1280" t="str">
        <f t="shared" si="387"/>
        <v/>
      </c>
      <c r="J1280" t="str">
        <f t="shared" si="388"/>
        <v/>
      </c>
      <c r="K1280" t="str">
        <f t="shared" si="389"/>
        <v/>
      </c>
      <c r="L1280" t="str">
        <f t="shared" si="390"/>
        <v/>
      </c>
      <c r="M1280" t="str">
        <f t="shared" si="391"/>
        <v/>
      </c>
      <c r="N1280" t="str">
        <f t="shared" si="392"/>
        <v/>
      </c>
      <c r="O1280" t="str">
        <f t="shared" si="393"/>
        <v/>
      </c>
      <c r="P1280" t="str">
        <f t="shared" si="394"/>
        <v/>
      </c>
      <c r="Q1280" t="str">
        <f t="shared" si="395"/>
        <v/>
      </c>
      <c r="R1280" t="str">
        <f t="shared" si="396"/>
        <v/>
      </c>
      <c r="S1280" t="str">
        <f t="shared" si="397"/>
        <v/>
      </c>
      <c r="T1280" t="str">
        <f t="shared" si="398"/>
        <v/>
      </c>
      <c r="U1280" t="str">
        <f t="shared" si="399"/>
        <v/>
      </c>
      <c r="V1280" t="str">
        <f t="shared" si="400"/>
        <v/>
      </c>
      <c r="W1280" t="str">
        <f t="shared" si="403"/>
        <v xml:space="preserve">              </v>
      </c>
    </row>
    <row r="1281" spans="1:23" customFormat="1" hidden="1">
      <c r="A1281" t="b">
        <f t="shared" si="402"/>
        <v>0</v>
      </c>
      <c r="B1281">
        <f t="shared" si="384"/>
        <v>1280</v>
      </c>
      <c r="C1281" t="s">
        <v>1243</v>
      </c>
      <c r="D1281" t="s">
        <v>1262</v>
      </c>
      <c r="E1281">
        <f t="shared" si="401"/>
        <v>48</v>
      </c>
      <c r="G1281">
        <f t="shared" si="385"/>
        <v>5</v>
      </c>
      <c r="H1281" t="str">
        <f t="shared" si="386"/>
        <v/>
      </c>
      <c r="I1281" t="str">
        <f t="shared" si="387"/>
        <v/>
      </c>
      <c r="J1281" t="str">
        <f t="shared" si="388"/>
        <v/>
      </c>
      <c r="K1281" t="str">
        <f t="shared" si="389"/>
        <v/>
      </c>
      <c r="L1281" t="str">
        <f t="shared" si="390"/>
        <v/>
      </c>
      <c r="M1281" t="str">
        <f t="shared" si="391"/>
        <v/>
      </c>
      <c r="N1281" t="str">
        <f t="shared" si="392"/>
        <v/>
      </c>
      <c r="O1281" t="str">
        <f t="shared" si="393"/>
        <v/>
      </c>
      <c r="P1281" t="str">
        <f t="shared" si="394"/>
        <v/>
      </c>
      <c r="Q1281" t="str">
        <f t="shared" si="395"/>
        <v/>
      </c>
      <c r="R1281" t="str">
        <f t="shared" si="396"/>
        <v/>
      </c>
      <c r="S1281" t="str">
        <f t="shared" si="397"/>
        <v/>
      </c>
      <c r="T1281" t="str">
        <f t="shared" si="398"/>
        <v/>
      </c>
      <c r="U1281" t="str">
        <f t="shared" si="399"/>
        <v/>
      </c>
      <c r="V1281" t="str">
        <f t="shared" si="400"/>
        <v/>
      </c>
      <c r="W1281" t="str">
        <f t="shared" si="403"/>
        <v xml:space="preserve">              </v>
      </c>
    </row>
    <row r="1282" spans="1:23" customFormat="1" hidden="1">
      <c r="A1282" t="b">
        <f t="shared" si="402"/>
        <v>0</v>
      </c>
      <c r="B1282">
        <f t="shared" si="384"/>
        <v>1281</v>
      </c>
      <c r="C1282" t="s">
        <v>1243</v>
      </c>
      <c r="D1282" t="s">
        <v>1263</v>
      </c>
      <c r="E1282">
        <f t="shared" si="401"/>
        <v>41</v>
      </c>
      <c r="G1282">
        <f t="shared" si="385"/>
        <v>6</v>
      </c>
      <c r="H1282" t="str">
        <f t="shared" si="386"/>
        <v/>
      </c>
      <c r="I1282" t="str">
        <f t="shared" si="387"/>
        <v/>
      </c>
      <c r="J1282" t="str">
        <f t="shared" si="388"/>
        <v/>
      </c>
      <c r="K1282" t="str">
        <f t="shared" si="389"/>
        <v/>
      </c>
      <c r="L1282" t="str">
        <f t="shared" si="390"/>
        <v/>
      </c>
      <c r="M1282" t="str">
        <f t="shared" si="391"/>
        <v/>
      </c>
      <c r="N1282" t="str">
        <f t="shared" si="392"/>
        <v/>
      </c>
      <c r="O1282" t="str">
        <f t="shared" si="393"/>
        <v/>
      </c>
      <c r="P1282" t="str">
        <f t="shared" si="394"/>
        <v/>
      </c>
      <c r="Q1282" t="str">
        <f t="shared" si="395"/>
        <v/>
      </c>
      <c r="R1282" t="str">
        <f t="shared" si="396"/>
        <v/>
      </c>
      <c r="S1282" t="str">
        <f t="shared" si="397"/>
        <v/>
      </c>
      <c r="T1282" t="str">
        <f t="shared" si="398"/>
        <v/>
      </c>
      <c r="U1282" t="str">
        <f t="shared" si="399"/>
        <v/>
      </c>
      <c r="V1282" t="str">
        <f t="shared" si="400"/>
        <v/>
      </c>
      <c r="W1282" t="str">
        <f t="shared" si="403"/>
        <v xml:space="preserve">              </v>
      </c>
    </row>
    <row r="1283" spans="1:23" customFormat="1" hidden="1">
      <c r="A1283" t="b">
        <f t="shared" si="402"/>
        <v>0</v>
      </c>
      <c r="B1283">
        <f t="shared" si="384"/>
        <v>1282</v>
      </c>
      <c r="C1283" t="s">
        <v>1243</v>
      </c>
      <c r="D1283" t="s">
        <v>1264</v>
      </c>
      <c r="E1283">
        <f t="shared" si="401"/>
        <v>10</v>
      </c>
      <c r="G1283">
        <f t="shared" si="385"/>
        <v>7</v>
      </c>
      <c r="H1283" t="str">
        <f t="shared" si="386"/>
        <v/>
      </c>
      <c r="I1283" t="str">
        <f t="shared" si="387"/>
        <v/>
      </c>
      <c r="J1283" t="str">
        <f t="shared" si="388"/>
        <v/>
      </c>
      <c r="K1283" t="str">
        <f t="shared" si="389"/>
        <v/>
      </c>
      <c r="L1283" t="str">
        <f t="shared" si="390"/>
        <v/>
      </c>
      <c r="M1283" t="str">
        <f t="shared" si="391"/>
        <v/>
      </c>
      <c r="N1283" t="str">
        <f t="shared" si="392"/>
        <v/>
      </c>
      <c r="O1283" t="str">
        <f t="shared" si="393"/>
        <v/>
      </c>
      <c r="P1283" t="str">
        <f t="shared" si="394"/>
        <v/>
      </c>
      <c r="Q1283" t="str">
        <f t="shared" si="395"/>
        <v/>
      </c>
      <c r="R1283" t="str">
        <f t="shared" si="396"/>
        <v/>
      </c>
      <c r="S1283" t="str">
        <f t="shared" si="397"/>
        <v/>
      </c>
      <c r="T1283" t="str">
        <f t="shared" si="398"/>
        <v/>
      </c>
      <c r="U1283" t="str">
        <f t="shared" si="399"/>
        <v/>
      </c>
      <c r="V1283" t="str">
        <f t="shared" si="400"/>
        <v/>
      </c>
      <c r="W1283" t="str">
        <f t="shared" si="403"/>
        <v xml:space="preserve">              </v>
      </c>
    </row>
    <row r="1284" spans="1:23" hidden="1">
      <c r="A1284" s="71" t="b">
        <f t="shared" si="402"/>
        <v>0</v>
      </c>
      <c r="B1284" s="71">
        <f t="shared" ref="B1284:B1347" si="404">B1283+1</f>
        <v>1283</v>
      </c>
      <c r="C1284" s="71" t="s">
        <v>1243</v>
      </c>
      <c r="D1284" s="71" t="s">
        <v>1265</v>
      </c>
      <c r="E1284">
        <f t="shared" si="401"/>
        <v>15</v>
      </c>
      <c r="F1284">
        <v>1</v>
      </c>
      <c r="G1284">
        <f t="shared" ref="G1284:G1347" si="405">IF(F1284=1,1,G1283+1)</f>
        <v>1</v>
      </c>
      <c r="H1284" t="str">
        <f t="shared" ref="H1284:H1347" si="406">IF($G1284=H$1,$D1284,"")</f>
        <v>Cardinal scales</v>
      </c>
      <c r="I1284" t="str">
        <f t="shared" ref="I1284:I1347" si="407">IF($G1285=I$1,$D1285,"")</f>
        <v>A ranking approach to identify the probability</v>
      </c>
      <c r="J1284" t="str">
        <f t="shared" ref="J1284:J1347" si="408">IF($G1286=J$1,$D1286,"")</f>
        <v>and impact by using a numerical value, from .01</v>
      </c>
      <c r="K1284" t="str">
        <f t="shared" ref="K1284:K1347" si="409">IF($G1287=K$1,$D1287,"")</f>
        <v>(very low) to 1.0 (certain).</v>
      </c>
      <c r="L1284" t="str">
        <f t="shared" ref="L1284:L1347" si="410">IF($G1288=L$1,$D1288,"")</f>
        <v/>
      </c>
      <c r="M1284" t="str">
        <f t="shared" ref="M1284:M1347" si="411">IF($G1289=M$1,$D1289,"")</f>
        <v/>
      </c>
      <c r="N1284" t="str">
        <f t="shared" ref="N1284:N1347" si="412">IF($G1290=N$1,$D1290,"")</f>
        <v/>
      </c>
      <c r="O1284" t="str">
        <f t="shared" ref="O1284:O1347" si="413">IF($G1291=O$1,$D1291,"")</f>
        <v/>
      </c>
      <c r="P1284" t="str">
        <f t="shared" ref="P1284:P1347" si="414">IF($G1292=P$1,$D1292,"")</f>
        <v/>
      </c>
      <c r="Q1284" t="str">
        <f t="shared" ref="Q1284:Q1347" si="415">IF($G1293=Q$1,$D1293,"")</f>
        <v/>
      </c>
      <c r="R1284" t="str">
        <f t="shared" ref="R1284:R1347" si="416">IF($G1294=R$1,$D1294,"")</f>
        <v/>
      </c>
      <c r="S1284" t="str">
        <f t="shared" ref="S1284:S1347" si="417">IF($G1295=S$1,$D1295,"")</f>
        <v/>
      </c>
      <c r="T1284" t="str">
        <f t="shared" ref="T1284:T1347" si="418">IF($G1296=T$1,$D1296,"")</f>
        <v/>
      </c>
      <c r="U1284" t="str">
        <f t="shared" ref="U1284:U1347" si="419">IF($G1297=U$1,$D1297,"")</f>
        <v/>
      </c>
      <c r="V1284" t="str">
        <f t="shared" ref="V1284:V1347" si="420">IF($G1298=V$1,$D1298,"")</f>
        <v/>
      </c>
      <c r="W1284" s="71" t="str">
        <f>CONCATENATE(H1284," ",I1284," ",J1284," ",K1284," ",L1284," ",M1284," ",N1284," ",O1284," ",P1284," ",Q1284," ",R1284," ",S1284," ",T1284," ",U1284," ",V1284)</f>
        <v xml:space="preserve">Cardinal scales A ranking approach to identify the probability and impact by using a numerical value, from .01 (very low) to 1.0 (certain).           </v>
      </c>
    </row>
    <row r="1285" spans="1:23" customFormat="1" hidden="1">
      <c r="A1285" t="b">
        <f t="shared" si="402"/>
        <v>0</v>
      </c>
      <c r="B1285">
        <f t="shared" si="404"/>
        <v>1284</v>
      </c>
      <c r="C1285" t="s">
        <v>1243</v>
      </c>
      <c r="D1285" t="s">
        <v>1266</v>
      </c>
      <c r="E1285">
        <f t="shared" si="401"/>
        <v>46</v>
      </c>
      <c r="G1285">
        <f t="shared" si="405"/>
        <v>2</v>
      </c>
      <c r="H1285" t="str">
        <f t="shared" si="406"/>
        <v/>
      </c>
      <c r="I1285" t="str">
        <f t="shared" si="407"/>
        <v/>
      </c>
      <c r="J1285" t="str">
        <f t="shared" si="408"/>
        <v/>
      </c>
      <c r="K1285" t="str">
        <f t="shared" si="409"/>
        <v/>
      </c>
      <c r="L1285" t="str">
        <f t="shared" si="410"/>
        <v/>
      </c>
      <c r="M1285" t="str">
        <f t="shared" si="411"/>
        <v/>
      </c>
      <c r="N1285" t="str">
        <f t="shared" si="412"/>
        <v/>
      </c>
      <c r="O1285" t="str">
        <f t="shared" si="413"/>
        <v/>
      </c>
      <c r="P1285" t="str">
        <f t="shared" si="414"/>
        <v/>
      </c>
      <c r="Q1285" t="str">
        <f t="shared" si="415"/>
        <v/>
      </c>
      <c r="R1285" t="str">
        <f t="shared" si="416"/>
        <v/>
      </c>
      <c r="S1285" t="str">
        <f t="shared" si="417"/>
        <v/>
      </c>
      <c r="T1285" t="str">
        <f t="shared" si="418"/>
        <v/>
      </c>
      <c r="U1285" t="str">
        <f t="shared" si="419"/>
        <v/>
      </c>
      <c r="V1285" t="str">
        <f t="shared" si="420"/>
        <v/>
      </c>
      <c r="W1285" t="str">
        <f t="shared" si="403"/>
        <v xml:space="preserve">              </v>
      </c>
    </row>
    <row r="1286" spans="1:23" customFormat="1" hidden="1">
      <c r="A1286" t="b">
        <f t="shared" si="402"/>
        <v>0</v>
      </c>
      <c r="B1286">
        <f t="shared" si="404"/>
        <v>1285</v>
      </c>
      <c r="C1286" t="s">
        <v>1243</v>
      </c>
      <c r="D1286" t="s">
        <v>1267</v>
      </c>
      <c r="E1286">
        <f t="shared" si="401"/>
        <v>47</v>
      </c>
      <c r="G1286">
        <f t="shared" si="405"/>
        <v>3</v>
      </c>
      <c r="H1286" t="str">
        <f t="shared" si="406"/>
        <v/>
      </c>
      <c r="I1286" t="str">
        <f t="shared" si="407"/>
        <v/>
      </c>
      <c r="J1286" t="str">
        <f t="shared" si="408"/>
        <v/>
      </c>
      <c r="K1286" t="str">
        <f t="shared" si="409"/>
        <v/>
      </c>
      <c r="L1286" t="str">
        <f t="shared" si="410"/>
        <v/>
      </c>
      <c r="M1286" t="str">
        <f t="shared" si="411"/>
        <v/>
      </c>
      <c r="N1286" t="str">
        <f t="shared" si="412"/>
        <v/>
      </c>
      <c r="O1286" t="str">
        <f t="shared" si="413"/>
        <v/>
      </c>
      <c r="P1286" t="str">
        <f t="shared" si="414"/>
        <v/>
      </c>
      <c r="Q1286" t="str">
        <f t="shared" si="415"/>
        <v/>
      </c>
      <c r="R1286" t="str">
        <f t="shared" si="416"/>
        <v/>
      </c>
      <c r="S1286" t="str">
        <f t="shared" si="417"/>
        <v/>
      </c>
      <c r="T1286" t="str">
        <f t="shared" si="418"/>
        <v/>
      </c>
      <c r="U1286" t="str">
        <f t="shared" si="419"/>
        <v/>
      </c>
      <c r="V1286" t="str">
        <f t="shared" si="420"/>
        <v/>
      </c>
      <c r="W1286" t="str">
        <f t="shared" si="403"/>
        <v xml:space="preserve">              </v>
      </c>
    </row>
    <row r="1287" spans="1:23" customFormat="1" hidden="1">
      <c r="A1287" t="b">
        <f t="shared" si="402"/>
        <v>0</v>
      </c>
      <c r="B1287">
        <f t="shared" si="404"/>
        <v>1286</v>
      </c>
      <c r="C1287" t="s">
        <v>1243</v>
      </c>
      <c r="D1287" t="s">
        <v>1268</v>
      </c>
      <c r="E1287">
        <f t="shared" si="401"/>
        <v>28</v>
      </c>
      <c r="G1287">
        <f t="shared" si="405"/>
        <v>4</v>
      </c>
      <c r="H1287" t="str">
        <f t="shared" si="406"/>
        <v/>
      </c>
      <c r="I1287" t="str">
        <f t="shared" si="407"/>
        <v/>
      </c>
      <c r="J1287" t="str">
        <f t="shared" si="408"/>
        <v/>
      </c>
      <c r="K1287" t="str">
        <f t="shared" si="409"/>
        <v/>
      </c>
      <c r="L1287" t="str">
        <f t="shared" si="410"/>
        <v/>
      </c>
      <c r="M1287" t="str">
        <f t="shared" si="411"/>
        <v/>
      </c>
      <c r="N1287" t="str">
        <f t="shared" si="412"/>
        <v/>
      </c>
      <c r="O1287" t="str">
        <f t="shared" si="413"/>
        <v/>
      </c>
      <c r="P1287" t="str">
        <f t="shared" si="414"/>
        <v/>
      </c>
      <c r="Q1287" t="str">
        <f t="shared" si="415"/>
        <v/>
      </c>
      <c r="R1287" t="str">
        <f t="shared" si="416"/>
        <v/>
      </c>
      <c r="S1287" t="str">
        <f t="shared" si="417"/>
        <v/>
      </c>
      <c r="T1287" t="str">
        <f t="shared" si="418"/>
        <v/>
      </c>
      <c r="U1287" t="str">
        <f t="shared" si="419"/>
        <v/>
      </c>
      <c r="V1287" t="str">
        <f t="shared" si="420"/>
        <v/>
      </c>
      <c r="W1287" t="str">
        <f t="shared" si="403"/>
        <v xml:space="preserve">              </v>
      </c>
    </row>
    <row r="1288" spans="1:23" hidden="1">
      <c r="A1288" s="71" t="b">
        <f t="shared" si="402"/>
        <v>0</v>
      </c>
      <c r="B1288" s="71">
        <f t="shared" si="404"/>
        <v>1287</v>
      </c>
      <c r="C1288" s="71" t="s">
        <v>1243</v>
      </c>
      <c r="D1288" s="71" t="s">
        <v>1269</v>
      </c>
      <c r="E1288">
        <f t="shared" si="401"/>
        <v>10</v>
      </c>
      <c r="F1288">
        <v>1</v>
      </c>
      <c r="G1288">
        <f t="shared" si="405"/>
        <v>1</v>
      </c>
      <c r="H1288" t="str">
        <f t="shared" si="406"/>
        <v>Checklists</v>
      </c>
      <c r="I1288" t="str">
        <f t="shared" si="407"/>
        <v>A quick and cost-effective risk identification</v>
      </c>
      <c r="J1288" t="str">
        <f t="shared" si="408"/>
        <v>approach.</v>
      </c>
      <c r="K1288" t="str">
        <f t="shared" si="409"/>
        <v/>
      </c>
      <c r="L1288" t="str">
        <f t="shared" si="410"/>
        <v/>
      </c>
      <c r="M1288" t="str">
        <f t="shared" si="411"/>
        <v/>
      </c>
      <c r="N1288" t="str">
        <f t="shared" si="412"/>
        <v/>
      </c>
      <c r="O1288" t="str">
        <f t="shared" si="413"/>
        <v/>
      </c>
      <c r="P1288" t="str">
        <f t="shared" si="414"/>
        <v/>
      </c>
      <c r="Q1288" t="str">
        <f t="shared" si="415"/>
        <v/>
      </c>
      <c r="R1288" t="str">
        <f t="shared" si="416"/>
        <v/>
      </c>
      <c r="S1288" t="str">
        <f t="shared" si="417"/>
        <v/>
      </c>
      <c r="T1288" t="str">
        <f t="shared" si="418"/>
        <v/>
      </c>
      <c r="U1288" t="str">
        <f t="shared" si="419"/>
        <v/>
      </c>
      <c r="V1288" t="str">
        <f t="shared" si="420"/>
        <v/>
      </c>
      <c r="W1288" s="71" t="str">
        <f>CONCATENATE(H1288," ",I1288," ",J1288," ",K1288," ",L1288," ",M1288," ",N1288," ",O1288," ",P1288," ",Q1288," ",R1288," ",S1288," ",T1288," ",U1288," ",V1288)</f>
        <v xml:space="preserve">Checklists A quick and cost-effective risk identification approach.            </v>
      </c>
    </row>
    <row r="1289" spans="1:23" customFormat="1" hidden="1">
      <c r="A1289" t="b">
        <f t="shared" si="402"/>
        <v>0</v>
      </c>
      <c r="B1289">
        <f t="shared" si="404"/>
        <v>1288</v>
      </c>
      <c r="C1289" t="s">
        <v>1243</v>
      </c>
      <c r="D1289" t="s">
        <v>1270</v>
      </c>
      <c r="E1289">
        <f t="shared" si="401"/>
        <v>46</v>
      </c>
      <c r="G1289">
        <f t="shared" si="405"/>
        <v>2</v>
      </c>
      <c r="H1289" t="str">
        <f t="shared" si="406"/>
        <v/>
      </c>
      <c r="I1289" t="str">
        <f t="shared" si="407"/>
        <v/>
      </c>
      <c r="J1289" t="str">
        <f t="shared" si="408"/>
        <v/>
      </c>
      <c r="K1289" t="str">
        <f t="shared" si="409"/>
        <v/>
      </c>
      <c r="L1289" t="str">
        <f t="shared" si="410"/>
        <v/>
      </c>
      <c r="M1289" t="str">
        <f t="shared" si="411"/>
        <v/>
      </c>
      <c r="N1289" t="str">
        <f t="shared" si="412"/>
        <v/>
      </c>
      <c r="O1289" t="str">
        <f t="shared" si="413"/>
        <v/>
      </c>
      <c r="P1289" t="str">
        <f t="shared" si="414"/>
        <v/>
      </c>
      <c r="Q1289" t="str">
        <f t="shared" si="415"/>
        <v/>
      </c>
      <c r="R1289" t="str">
        <f t="shared" si="416"/>
        <v/>
      </c>
      <c r="S1289" t="str">
        <f t="shared" si="417"/>
        <v/>
      </c>
      <c r="T1289" t="str">
        <f t="shared" si="418"/>
        <v/>
      </c>
      <c r="U1289" t="str">
        <f t="shared" si="419"/>
        <v/>
      </c>
      <c r="V1289" t="str">
        <f t="shared" si="420"/>
        <v/>
      </c>
      <c r="W1289" t="str">
        <f t="shared" si="403"/>
        <v xml:space="preserve">              </v>
      </c>
    </row>
    <row r="1290" spans="1:23" customFormat="1" hidden="1">
      <c r="A1290" t="b">
        <f t="shared" si="402"/>
        <v>0</v>
      </c>
      <c r="B1290">
        <f t="shared" si="404"/>
        <v>1289</v>
      </c>
      <c r="C1290" t="s">
        <v>1243</v>
      </c>
      <c r="D1290" t="s">
        <v>1271</v>
      </c>
      <c r="E1290">
        <f t="shared" si="401"/>
        <v>9</v>
      </c>
      <c r="G1290">
        <f t="shared" si="405"/>
        <v>3</v>
      </c>
      <c r="H1290" t="str">
        <f t="shared" si="406"/>
        <v/>
      </c>
      <c r="I1290" t="str">
        <f t="shared" si="407"/>
        <v/>
      </c>
      <c r="J1290" t="str">
        <f t="shared" si="408"/>
        <v/>
      </c>
      <c r="K1290" t="str">
        <f t="shared" si="409"/>
        <v/>
      </c>
      <c r="L1290" t="str">
        <f t="shared" si="410"/>
        <v/>
      </c>
      <c r="M1290" t="str">
        <f t="shared" si="411"/>
        <v/>
      </c>
      <c r="N1290" t="str">
        <f t="shared" si="412"/>
        <v/>
      </c>
      <c r="O1290" t="str">
        <f t="shared" si="413"/>
        <v/>
      </c>
      <c r="P1290" t="str">
        <f t="shared" si="414"/>
        <v/>
      </c>
      <c r="Q1290" t="str">
        <f t="shared" si="415"/>
        <v/>
      </c>
      <c r="R1290" t="str">
        <f t="shared" si="416"/>
        <v/>
      </c>
      <c r="S1290" t="str">
        <f t="shared" si="417"/>
        <v/>
      </c>
      <c r="T1290" t="str">
        <f t="shared" si="418"/>
        <v/>
      </c>
      <c r="U1290" t="str">
        <f t="shared" si="419"/>
        <v/>
      </c>
      <c r="V1290" t="str">
        <f t="shared" si="420"/>
        <v/>
      </c>
      <c r="W1290" t="str">
        <f t="shared" si="403"/>
        <v xml:space="preserve">              </v>
      </c>
    </row>
    <row r="1291" spans="1:23" hidden="1">
      <c r="A1291" s="71" t="b">
        <f t="shared" si="402"/>
        <v>0</v>
      </c>
      <c r="B1291" s="71">
        <f t="shared" si="404"/>
        <v>1290</v>
      </c>
      <c r="C1291" s="71" t="s">
        <v>1243</v>
      </c>
      <c r="D1291" s="71" t="s">
        <v>1272</v>
      </c>
      <c r="E1291">
        <f t="shared" si="401"/>
        <v>14</v>
      </c>
      <c r="F1291">
        <v>1</v>
      </c>
      <c r="G1291">
        <f t="shared" si="405"/>
        <v>1</v>
      </c>
      <c r="H1291" t="str">
        <f t="shared" si="406"/>
        <v>Data precision</v>
      </c>
      <c r="I1291" t="str">
        <f t="shared" si="407"/>
        <v>The consideration of the risk ranking scores that</v>
      </c>
      <c r="J1291" t="str">
        <f t="shared" si="408"/>
        <v>takes into account any bias, the accuracy of the</v>
      </c>
      <c r="K1291" t="str">
        <f t="shared" si="409"/>
        <v>data submitted, and the reliability of the nature</v>
      </c>
      <c r="L1291" t="str">
        <f t="shared" si="410"/>
        <v>of the data submitted.</v>
      </c>
      <c r="M1291" t="str">
        <f t="shared" si="411"/>
        <v/>
      </c>
      <c r="N1291" t="str">
        <f t="shared" si="412"/>
        <v/>
      </c>
      <c r="O1291" t="str">
        <f t="shared" si="413"/>
        <v/>
      </c>
      <c r="P1291" t="str">
        <f t="shared" si="414"/>
        <v/>
      </c>
      <c r="Q1291" t="str">
        <f t="shared" si="415"/>
        <v/>
      </c>
      <c r="R1291" t="str">
        <f t="shared" si="416"/>
        <v/>
      </c>
      <c r="S1291" t="str">
        <f t="shared" si="417"/>
        <v/>
      </c>
      <c r="T1291" t="str">
        <f t="shared" si="418"/>
        <v/>
      </c>
      <c r="U1291" t="str">
        <f t="shared" si="419"/>
        <v/>
      </c>
      <c r="V1291" t="str">
        <f t="shared" si="420"/>
        <v/>
      </c>
      <c r="W1291" s="71" t="str">
        <f>CONCATENATE(H1291," ",I1291," ",J1291," ",K1291," ",L1291," ",M1291," ",N1291," ",O1291," ",P1291," ",Q1291," ",R1291," ",S1291," ",T1291," ",U1291," ",V1291)</f>
        <v xml:space="preserve">Data precision The consideration of the risk ranking scores that takes into account any bias, the accuracy of the data submitted, and the reliability of the nature of the data submitted.          </v>
      </c>
    </row>
    <row r="1292" spans="1:23" customFormat="1" hidden="1">
      <c r="A1292" t="b">
        <f t="shared" si="402"/>
        <v>0</v>
      </c>
      <c r="B1292">
        <f t="shared" si="404"/>
        <v>1291</v>
      </c>
      <c r="C1292" t="s">
        <v>1243</v>
      </c>
      <c r="D1292" t="s">
        <v>1273</v>
      </c>
      <c r="E1292">
        <f t="shared" si="401"/>
        <v>49</v>
      </c>
      <c r="G1292">
        <f t="shared" si="405"/>
        <v>2</v>
      </c>
      <c r="H1292" t="str">
        <f t="shared" si="406"/>
        <v/>
      </c>
      <c r="I1292" t="str">
        <f t="shared" si="407"/>
        <v/>
      </c>
      <c r="J1292" t="str">
        <f t="shared" si="408"/>
        <v/>
      </c>
      <c r="K1292" t="str">
        <f t="shared" si="409"/>
        <v/>
      </c>
      <c r="L1292" t="str">
        <f t="shared" si="410"/>
        <v/>
      </c>
      <c r="M1292" t="str">
        <f t="shared" si="411"/>
        <v/>
      </c>
      <c r="N1292" t="str">
        <f t="shared" si="412"/>
        <v/>
      </c>
      <c r="O1292" t="str">
        <f t="shared" si="413"/>
        <v/>
      </c>
      <c r="P1292" t="str">
        <f t="shared" si="414"/>
        <v/>
      </c>
      <c r="Q1292" t="str">
        <f t="shared" si="415"/>
        <v/>
      </c>
      <c r="R1292" t="str">
        <f t="shared" si="416"/>
        <v/>
      </c>
      <c r="S1292" t="str">
        <f t="shared" si="417"/>
        <v/>
      </c>
      <c r="T1292" t="str">
        <f t="shared" si="418"/>
        <v/>
      </c>
      <c r="U1292" t="str">
        <f t="shared" si="419"/>
        <v/>
      </c>
      <c r="V1292" t="str">
        <f t="shared" si="420"/>
        <v/>
      </c>
      <c r="W1292" t="str">
        <f t="shared" si="403"/>
        <v xml:space="preserve">              </v>
      </c>
    </row>
    <row r="1293" spans="1:23" customFormat="1" hidden="1">
      <c r="A1293" t="b">
        <f t="shared" si="402"/>
        <v>0</v>
      </c>
      <c r="B1293">
        <f t="shared" si="404"/>
        <v>1292</v>
      </c>
      <c r="C1293" t="s">
        <v>1243</v>
      </c>
      <c r="D1293" t="s">
        <v>1274</v>
      </c>
      <c r="E1293">
        <f t="shared" si="401"/>
        <v>48</v>
      </c>
      <c r="G1293">
        <f t="shared" si="405"/>
        <v>3</v>
      </c>
      <c r="H1293" t="str">
        <f t="shared" si="406"/>
        <v/>
      </c>
      <c r="I1293" t="str">
        <f t="shared" si="407"/>
        <v/>
      </c>
      <c r="J1293" t="str">
        <f t="shared" si="408"/>
        <v/>
      </c>
      <c r="K1293" t="str">
        <f t="shared" si="409"/>
        <v/>
      </c>
      <c r="L1293" t="str">
        <f t="shared" si="410"/>
        <v/>
      </c>
      <c r="M1293" t="str">
        <f t="shared" si="411"/>
        <v/>
      </c>
      <c r="N1293" t="str">
        <f t="shared" si="412"/>
        <v/>
      </c>
      <c r="O1293" t="str">
        <f t="shared" si="413"/>
        <v/>
      </c>
      <c r="P1293" t="str">
        <f t="shared" si="414"/>
        <v/>
      </c>
      <c r="Q1293" t="str">
        <f t="shared" si="415"/>
        <v/>
      </c>
      <c r="R1293" t="str">
        <f t="shared" si="416"/>
        <v/>
      </c>
      <c r="S1293" t="str">
        <f t="shared" si="417"/>
        <v/>
      </c>
      <c r="T1293" t="str">
        <f t="shared" si="418"/>
        <v/>
      </c>
      <c r="U1293" t="str">
        <f t="shared" si="419"/>
        <v/>
      </c>
      <c r="V1293" t="str">
        <f t="shared" si="420"/>
        <v/>
      </c>
      <c r="W1293" t="str">
        <f t="shared" si="403"/>
        <v xml:space="preserve">              </v>
      </c>
    </row>
    <row r="1294" spans="1:23" customFormat="1" hidden="1">
      <c r="A1294" t="b">
        <f t="shared" si="402"/>
        <v>0</v>
      </c>
      <c r="B1294">
        <f t="shared" si="404"/>
        <v>1293</v>
      </c>
      <c r="C1294" t="s">
        <v>1243</v>
      </c>
      <c r="D1294" t="s">
        <v>1275</v>
      </c>
      <c r="E1294">
        <f t="shared" si="401"/>
        <v>49</v>
      </c>
      <c r="G1294">
        <f t="shared" si="405"/>
        <v>4</v>
      </c>
      <c r="H1294" t="str">
        <f t="shared" si="406"/>
        <v/>
      </c>
      <c r="I1294" t="str">
        <f t="shared" si="407"/>
        <v/>
      </c>
      <c r="J1294" t="str">
        <f t="shared" si="408"/>
        <v/>
      </c>
      <c r="K1294" t="str">
        <f t="shared" si="409"/>
        <v/>
      </c>
      <c r="L1294" t="str">
        <f t="shared" si="410"/>
        <v/>
      </c>
      <c r="M1294" t="str">
        <f t="shared" si="411"/>
        <v/>
      </c>
      <c r="N1294" t="str">
        <f t="shared" si="412"/>
        <v/>
      </c>
      <c r="O1294" t="str">
        <f t="shared" si="413"/>
        <v/>
      </c>
      <c r="P1294" t="str">
        <f t="shared" si="414"/>
        <v/>
      </c>
      <c r="Q1294" t="str">
        <f t="shared" si="415"/>
        <v/>
      </c>
      <c r="R1294" t="str">
        <f t="shared" si="416"/>
        <v/>
      </c>
      <c r="S1294" t="str">
        <f t="shared" si="417"/>
        <v/>
      </c>
      <c r="T1294" t="str">
        <f t="shared" si="418"/>
        <v/>
      </c>
      <c r="U1294" t="str">
        <f t="shared" si="419"/>
        <v/>
      </c>
      <c r="V1294" t="str">
        <f t="shared" si="420"/>
        <v/>
      </c>
      <c r="W1294" t="str">
        <f t="shared" si="403"/>
        <v xml:space="preserve">              </v>
      </c>
    </row>
    <row r="1295" spans="1:23" customFormat="1" hidden="1">
      <c r="A1295" t="b">
        <f t="shared" si="402"/>
        <v>0</v>
      </c>
      <c r="B1295">
        <f t="shared" si="404"/>
        <v>1294</v>
      </c>
      <c r="C1295" t="s">
        <v>1243</v>
      </c>
      <c r="D1295" t="s">
        <v>1276</v>
      </c>
      <c r="E1295">
        <f t="shared" si="401"/>
        <v>22</v>
      </c>
      <c r="G1295">
        <f t="shared" si="405"/>
        <v>5</v>
      </c>
      <c r="H1295" t="str">
        <f t="shared" si="406"/>
        <v/>
      </c>
      <c r="I1295" t="str">
        <f t="shared" si="407"/>
        <v/>
      </c>
      <c r="J1295" t="str">
        <f t="shared" si="408"/>
        <v/>
      </c>
      <c r="K1295" t="str">
        <f t="shared" si="409"/>
        <v/>
      </c>
      <c r="L1295" t="str">
        <f t="shared" si="410"/>
        <v/>
      </c>
      <c r="M1295" t="str">
        <f t="shared" si="411"/>
        <v/>
      </c>
      <c r="N1295" t="str">
        <f t="shared" si="412"/>
        <v/>
      </c>
      <c r="O1295" t="str">
        <f t="shared" si="413"/>
        <v/>
      </c>
      <c r="P1295" t="str">
        <f t="shared" si="414"/>
        <v/>
      </c>
      <c r="Q1295" t="str">
        <f t="shared" si="415"/>
        <v/>
      </c>
      <c r="R1295" t="str">
        <f t="shared" si="416"/>
        <v/>
      </c>
      <c r="S1295" t="str">
        <f t="shared" si="417"/>
        <v/>
      </c>
      <c r="T1295" t="str">
        <f t="shared" si="418"/>
        <v/>
      </c>
      <c r="U1295" t="str">
        <f t="shared" si="419"/>
        <v/>
      </c>
      <c r="V1295" t="str">
        <f t="shared" si="420"/>
        <v/>
      </c>
      <c r="W1295" t="str">
        <f t="shared" si="403"/>
        <v xml:space="preserve">              </v>
      </c>
    </row>
    <row r="1296" spans="1:23" hidden="1">
      <c r="A1296" s="71" t="b">
        <f t="shared" si="402"/>
        <v>0</v>
      </c>
      <c r="B1296" s="71">
        <f t="shared" si="404"/>
        <v>1295</v>
      </c>
      <c r="C1296" s="71" t="s">
        <v>1243</v>
      </c>
      <c r="D1296" s="71" t="s">
        <v>1277</v>
      </c>
      <c r="E1296">
        <f t="shared" si="401"/>
        <v>13</v>
      </c>
      <c r="F1296">
        <v>1</v>
      </c>
      <c r="G1296">
        <f t="shared" si="405"/>
        <v>1</v>
      </c>
      <c r="H1296" t="str">
        <f t="shared" si="406"/>
        <v>Decision tree</v>
      </c>
      <c r="I1296" t="str">
        <f t="shared" si="407"/>
        <v>A method to determine which of two or more</v>
      </c>
      <c r="J1296" t="str">
        <f t="shared" si="408"/>
        <v>decisions is the best one. The model examines</v>
      </c>
      <c r="K1296" t="str">
        <f t="shared" si="409"/>
        <v>the costs and benefits of each decision’s outcome</v>
      </c>
      <c r="L1296" t="str">
        <f t="shared" si="410"/>
        <v>and weighs the probability of success for each of</v>
      </c>
      <c r="M1296" t="str">
        <f t="shared" si="411"/>
        <v>the decisions.</v>
      </c>
      <c r="N1296" t="str">
        <f t="shared" si="412"/>
        <v/>
      </c>
      <c r="O1296" t="str">
        <f t="shared" si="413"/>
        <v/>
      </c>
      <c r="P1296" t="str">
        <f t="shared" si="414"/>
        <v/>
      </c>
      <c r="Q1296" t="str">
        <f t="shared" si="415"/>
        <v/>
      </c>
      <c r="R1296" t="str">
        <f t="shared" si="416"/>
        <v/>
      </c>
      <c r="S1296" t="str">
        <f t="shared" si="417"/>
        <v/>
      </c>
      <c r="T1296" t="str">
        <f t="shared" si="418"/>
        <v/>
      </c>
      <c r="U1296" t="str">
        <f t="shared" si="419"/>
        <v/>
      </c>
      <c r="V1296" t="str">
        <f t="shared" si="420"/>
        <v/>
      </c>
      <c r="W1296" s="71" t="str">
        <f>CONCATENATE(H1296," ",I1296," ",J1296," ",K1296," ",L1296," ",M1296," ",N1296," ",O1296," ",P1296," ",Q1296," ",R1296," ",S1296," ",T1296," ",U1296," ",V1296)</f>
        <v xml:space="preserve">Decision tree A method to determine which of two or more decisions is the best one. The model examines the costs and benefits of each decision’s outcome and weighs the probability of success for each of the decisions.         </v>
      </c>
    </row>
    <row r="1297" spans="1:23" customFormat="1" hidden="1">
      <c r="A1297" t="b">
        <f t="shared" si="402"/>
        <v>0</v>
      </c>
      <c r="B1297">
        <f t="shared" si="404"/>
        <v>1296</v>
      </c>
      <c r="C1297" t="s">
        <v>1243</v>
      </c>
      <c r="D1297" t="s">
        <v>1278</v>
      </c>
      <c r="E1297">
        <f t="shared" si="401"/>
        <v>42</v>
      </c>
      <c r="G1297">
        <f t="shared" si="405"/>
        <v>2</v>
      </c>
      <c r="H1297" t="str">
        <f t="shared" si="406"/>
        <v/>
      </c>
      <c r="I1297" t="str">
        <f t="shared" si="407"/>
        <v/>
      </c>
      <c r="J1297" t="str">
        <f t="shared" si="408"/>
        <v/>
      </c>
      <c r="K1297" t="str">
        <f t="shared" si="409"/>
        <v/>
      </c>
      <c r="L1297" t="str">
        <f t="shared" si="410"/>
        <v/>
      </c>
      <c r="M1297" t="str">
        <f t="shared" si="411"/>
        <v/>
      </c>
      <c r="N1297" t="str">
        <f t="shared" si="412"/>
        <v/>
      </c>
      <c r="O1297" t="str">
        <f t="shared" si="413"/>
        <v/>
      </c>
      <c r="P1297" t="str">
        <f t="shared" si="414"/>
        <v/>
      </c>
      <c r="Q1297" t="str">
        <f t="shared" si="415"/>
        <v/>
      </c>
      <c r="R1297" t="str">
        <f t="shared" si="416"/>
        <v/>
      </c>
      <c r="S1297" t="str">
        <f t="shared" si="417"/>
        <v/>
      </c>
      <c r="T1297" t="str">
        <f t="shared" si="418"/>
        <v/>
      </c>
      <c r="U1297" t="str">
        <f t="shared" si="419"/>
        <v/>
      </c>
      <c r="V1297" t="str">
        <f t="shared" si="420"/>
        <v/>
      </c>
      <c r="W1297" t="str">
        <f t="shared" si="403"/>
        <v xml:space="preserve">              </v>
      </c>
    </row>
    <row r="1298" spans="1:23" customFormat="1" hidden="1">
      <c r="A1298" t="b">
        <f t="shared" si="402"/>
        <v>0</v>
      </c>
      <c r="B1298">
        <f t="shared" si="404"/>
        <v>1297</v>
      </c>
      <c r="C1298" t="s">
        <v>1243</v>
      </c>
      <c r="D1298" t="s">
        <v>1279</v>
      </c>
      <c r="E1298">
        <f t="shared" si="401"/>
        <v>45</v>
      </c>
      <c r="G1298">
        <f t="shared" si="405"/>
        <v>3</v>
      </c>
      <c r="H1298" t="str">
        <f t="shared" si="406"/>
        <v/>
      </c>
      <c r="I1298" t="str">
        <f t="shared" si="407"/>
        <v/>
      </c>
      <c r="J1298" t="str">
        <f t="shared" si="408"/>
        <v/>
      </c>
      <c r="K1298" t="str">
        <f t="shared" si="409"/>
        <v/>
      </c>
      <c r="L1298" t="str">
        <f t="shared" si="410"/>
        <v/>
      </c>
      <c r="M1298" t="str">
        <f t="shared" si="411"/>
        <v/>
      </c>
      <c r="N1298" t="str">
        <f t="shared" si="412"/>
        <v/>
      </c>
      <c r="O1298" t="str">
        <f t="shared" si="413"/>
        <v/>
      </c>
      <c r="P1298" t="str">
        <f t="shared" si="414"/>
        <v/>
      </c>
      <c r="Q1298" t="str">
        <f t="shared" si="415"/>
        <v/>
      </c>
      <c r="R1298" t="str">
        <f t="shared" si="416"/>
        <v/>
      </c>
      <c r="S1298" t="str">
        <f t="shared" si="417"/>
        <v/>
      </c>
      <c r="T1298" t="str">
        <f t="shared" si="418"/>
        <v/>
      </c>
      <c r="U1298" t="str">
        <f t="shared" si="419"/>
        <v/>
      </c>
      <c r="V1298" t="str">
        <f t="shared" si="420"/>
        <v/>
      </c>
      <c r="W1298" t="str">
        <f t="shared" si="403"/>
        <v xml:space="preserve">              </v>
      </c>
    </row>
    <row r="1299" spans="1:23" customFormat="1" hidden="1">
      <c r="A1299" t="b">
        <f t="shared" si="402"/>
        <v>0</v>
      </c>
      <c r="B1299">
        <f t="shared" si="404"/>
        <v>1298</v>
      </c>
      <c r="C1299" t="s">
        <v>1243</v>
      </c>
      <c r="D1299" t="s">
        <v>1280</v>
      </c>
      <c r="E1299">
        <f t="shared" si="401"/>
        <v>49</v>
      </c>
      <c r="G1299">
        <f t="shared" si="405"/>
        <v>4</v>
      </c>
      <c r="H1299" t="str">
        <f t="shared" si="406"/>
        <v/>
      </c>
      <c r="I1299" t="str">
        <f t="shared" si="407"/>
        <v/>
      </c>
      <c r="J1299" t="str">
        <f t="shared" si="408"/>
        <v/>
      </c>
      <c r="K1299" t="str">
        <f t="shared" si="409"/>
        <v/>
      </c>
      <c r="L1299" t="str">
        <f t="shared" si="410"/>
        <v/>
      </c>
      <c r="M1299" t="str">
        <f t="shared" si="411"/>
        <v/>
      </c>
      <c r="N1299" t="str">
        <f t="shared" si="412"/>
        <v/>
      </c>
      <c r="O1299" t="str">
        <f t="shared" si="413"/>
        <v/>
      </c>
      <c r="P1299" t="str">
        <f t="shared" si="414"/>
        <v/>
      </c>
      <c r="Q1299" t="str">
        <f t="shared" si="415"/>
        <v/>
      </c>
      <c r="R1299" t="str">
        <f t="shared" si="416"/>
        <v/>
      </c>
      <c r="S1299" t="str">
        <f t="shared" si="417"/>
        <v/>
      </c>
      <c r="T1299" t="str">
        <f t="shared" si="418"/>
        <v/>
      </c>
      <c r="U1299" t="str">
        <f t="shared" si="419"/>
        <v/>
      </c>
      <c r="V1299" t="str">
        <f t="shared" si="420"/>
        <v/>
      </c>
      <c r="W1299" t="str">
        <f t="shared" si="403"/>
        <v xml:space="preserve">              </v>
      </c>
    </row>
    <row r="1300" spans="1:23" customFormat="1" hidden="1">
      <c r="A1300" t="b">
        <f t="shared" si="402"/>
        <v>0</v>
      </c>
      <c r="B1300">
        <f t="shared" si="404"/>
        <v>1299</v>
      </c>
      <c r="C1300" t="s">
        <v>1243</v>
      </c>
      <c r="D1300" t="s">
        <v>1281</v>
      </c>
      <c r="E1300">
        <f t="shared" si="401"/>
        <v>49</v>
      </c>
      <c r="G1300">
        <f t="shared" si="405"/>
        <v>5</v>
      </c>
      <c r="H1300" t="str">
        <f t="shared" si="406"/>
        <v/>
      </c>
      <c r="I1300" t="str">
        <f t="shared" si="407"/>
        <v/>
      </c>
      <c r="J1300" t="str">
        <f t="shared" si="408"/>
        <v/>
      </c>
      <c r="K1300" t="str">
        <f t="shared" si="409"/>
        <v/>
      </c>
      <c r="L1300" t="str">
        <f t="shared" si="410"/>
        <v/>
      </c>
      <c r="M1300" t="str">
        <f t="shared" si="411"/>
        <v/>
      </c>
      <c r="N1300" t="str">
        <f t="shared" si="412"/>
        <v/>
      </c>
      <c r="O1300" t="str">
        <f t="shared" si="413"/>
        <v/>
      </c>
      <c r="P1300" t="str">
        <f t="shared" si="414"/>
        <v/>
      </c>
      <c r="Q1300" t="str">
        <f t="shared" si="415"/>
        <v/>
      </c>
      <c r="R1300" t="str">
        <f t="shared" si="416"/>
        <v/>
      </c>
      <c r="S1300" t="str">
        <f t="shared" si="417"/>
        <v/>
      </c>
      <c r="T1300" t="str">
        <f t="shared" si="418"/>
        <v/>
      </c>
      <c r="U1300" t="str">
        <f t="shared" si="419"/>
        <v/>
      </c>
      <c r="V1300" t="str">
        <f t="shared" si="420"/>
        <v/>
      </c>
      <c r="W1300" t="str">
        <f t="shared" si="403"/>
        <v xml:space="preserve">              </v>
      </c>
    </row>
    <row r="1301" spans="1:23" customFormat="1" hidden="1">
      <c r="A1301" t="b">
        <f t="shared" si="402"/>
        <v>0</v>
      </c>
      <c r="B1301">
        <f t="shared" si="404"/>
        <v>1300</v>
      </c>
      <c r="C1301" t="s">
        <v>1243</v>
      </c>
      <c r="D1301" t="s">
        <v>1282</v>
      </c>
      <c r="E1301">
        <f t="shared" si="401"/>
        <v>14</v>
      </c>
      <c r="G1301">
        <f t="shared" si="405"/>
        <v>6</v>
      </c>
      <c r="H1301" t="str">
        <f t="shared" si="406"/>
        <v/>
      </c>
      <c r="I1301" t="str">
        <f t="shared" si="407"/>
        <v/>
      </c>
      <c r="J1301" t="str">
        <f t="shared" si="408"/>
        <v/>
      </c>
      <c r="K1301" t="str">
        <f t="shared" si="409"/>
        <v/>
      </c>
      <c r="L1301" t="str">
        <f t="shared" si="410"/>
        <v/>
      </c>
      <c r="M1301" t="str">
        <f t="shared" si="411"/>
        <v/>
      </c>
      <c r="N1301" t="str">
        <f t="shared" si="412"/>
        <v/>
      </c>
      <c r="O1301" t="str">
        <f t="shared" si="413"/>
        <v/>
      </c>
      <c r="P1301" t="str">
        <f t="shared" si="414"/>
        <v/>
      </c>
      <c r="Q1301" t="str">
        <f t="shared" si="415"/>
        <v/>
      </c>
      <c r="R1301" t="str">
        <f t="shared" si="416"/>
        <v/>
      </c>
      <c r="S1301" t="str">
        <f t="shared" si="417"/>
        <v/>
      </c>
      <c r="T1301" t="str">
        <f t="shared" si="418"/>
        <v/>
      </c>
      <c r="U1301" t="str">
        <f t="shared" si="419"/>
        <v/>
      </c>
      <c r="V1301" t="str">
        <f t="shared" si="420"/>
        <v/>
      </c>
      <c r="W1301" t="str">
        <f t="shared" si="403"/>
        <v xml:space="preserve">              </v>
      </c>
    </row>
    <row r="1302" spans="1:23" hidden="1">
      <c r="A1302" s="71" t="b">
        <f t="shared" si="402"/>
        <v>0</v>
      </c>
      <c r="B1302" s="71">
        <f t="shared" si="404"/>
        <v>1301</v>
      </c>
      <c r="C1302" s="71" t="s">
        <v>1243</v>
      </c>
      <c r="D1302" s="71" t="s">
        <v>1283</v>
      </c>
      <c r="E1302">
        <f t="shared" si="401"/>
        <v>16</v>
      </c>
      <c r="F1302">
        <v>1</v>
      </c>
      <c r="G1302">
        <f t="shared" si="405"/>
        <v>1</v>
      </c>
      <c r="H1302" t="str">
        <f t="shared" si="406"/>
        <v>Delphi Technique</v>
      </c>
      <c r="I1302" t="str">
        <f t="shared" si="407"/>
        <v>An anonymous method of querying experts about</v>
      </c>
      <c r="J1302" t="str">
        <f t="shared" si="408"/>
        <v>foreseeable risks within a project, phase, or</v>
      </c>
      <c r="K1302" t="str">
        <f t="shared" si="409"/>
        <v>component of a project. The results of the survey</v>
      </c>
      <c r="L1302" t="str">
        <f t="shared" si="410"/>
        <v>are analyzed by a third party, organized, and then</v>
      </c>
      <c r="M1302" t="str">
        <f t="shared" si="411"/>
        <v>circulated to the experts. There can be several</v>
      </c>
      <c r="N1302" t="str">
        <f t="shared" si="412"/>
        <v>rounds of anonymous discussion with the Delphi</v>
      </c>
      <c r="O1302" t="str">
        <f t="shared" si="413"/>
        <v>Technique, without fear of backlash or offending</v>
      </c>
      <c r="P1302" t="str">
        <f t="shared" si="414"/>
        <v>other participants in the process. The goal is to</v>
      </c>
      <c r="Q1302" t="str">
        <f t="shared" si="415"/>
        <v>gain consensus on project risks within the</v>
      </c>
      <c r="R1302" t="str">
        <f t="shared" si="416"/>
        <v>project.</v>
      </c>
      <c r="S1302" t="str">
        <f t="shared" si="417"/>
        <v/>
      </c>
      <c r="T1302" t="str">
        <f t="shared" si="418"/>
        <v/>
      </c>
      <c r="U1302" t="str">
        <f t="shared" si="419"/>
        <v/>
      </c>
      <c r="V1302" t="str">
        <f t="shared" si="420"/>
        <v/>
      </c>
      <c r="W1302" s="71" t="str">
        <f>CONCATENATE(H1302," ",I1302," ",J1302," ",K1302," ",L1302," ",M1302," ",N1302," ",O1302," ",P1302," ",Q1302," ",R1302," ",S1302," ",T1302," ",U1302," ",V1302)</f>
        <v xml:space="preserve">Delphi Technique An anonymous method of querying experts about foreseeable risks within a project, phase, or component of a project. The results of the survey are analyzed by a third party, organized, and then circulated to the experts. There can be several rounds of anonymous discussion with the Delphi Technique, without fear of backlash or offending other participants in the process. The goal is to gain consensus on project risks within the project.    </v>
      </c>
    </row>
    <row r="1303" spans="1:23" customFormat="1" hidden="1">
      <c r="A1303" t="b">
        <f t="shared" si="402"/>
        <v>0</v>
      </c>
      <c r="B1303">
        <f t="shared" si="404"/>
        <v>1302</v>
      </c>
      <c r="C1303" t="s">
        <v>1243</v>
      </c>
      <c r="D1303" t="s">
        <v>1284</v>
      </c>
      <c r="E1303">
        <f t="shared" si="401"/>
        <v>45</v>
      </c>
      <c r="G1303">
        <f t="shared" si="405"/>
        <v>2</v>
      </c>
      <c r="H1303" t="str">
        <f t="shared" si="406"/>
        <v/>
      </c>
      <c r="I1303" t="str">
        <f t="shared" si="407"/>
        <v/>
      </c>
      <c r="J1303" t="str">
        <f t="shared" si="408"/>
        <v/>
      </c>
      <c r="K1303" t="str">
        <f t="shared" si="409"/>
        <v/>
      </c>
      <c r="L1303" t="str">
        <f t="shared" si="410"/>
        <v/>
      </c>
      <c r="M1303" t="str">
        <f t="shared" si="411"/>
        <v/>
      </c>
      <c r="N1303" t="str">
        <f t="shared" si="412"/>
        <v/>
      </c>
      <c r="O1303" t="str">
        <f t="shared" si="413"/>
        <v/>
      </c>
      <c r="P1303" t="str">
        <f t="shared" si="414"/>
        <v/>
      </c>
      <c r="Q1303" t="str">
        <f t="shared" si="415"/>
        <v/>
      </c>
      <c r="R1303" t="str">
        <f t="shared" si="416"/>
        <v/>
      </c>
      <c r="S1303" t="str">
        <f t="shared" si="417"/>
        <v/>
      </c>
      <c r="T1303" t="str">
        <f t="shared" si="418"/>
        <v/>
      </c>
      <c r="U1303" t="str">
        <f t="shared" si="419"/>
        <v/>
      </c>
      <c r="V1303" t="str">
        <f t="shared" si="420"/>
        <v/>
      </c>
      <c r="W1303" t="str">
        <f t="shared" si="403"/>
        <v xml:space="preserve">              </v>
      </c>
    </row>
    <row r="1304" spans="1:23" customFormat="1" hidden="1">
      <c r="A1304" t="b">
        <f t="shared" si="402"/>
        <v>0</v>
      </c>
      <c r="B1304">
        <f t="shared" si="404"/>
        <v>1303</v>
      </c>
      <c r="C1304" t="s">
        <v>1243</v>
      </c>
      <c r="D1304" t="s">
        <v>1285</v>
      </c>
      <c r="E1304">
        <f t="shared" si="401"/>
        <v>45</v>
      </c>
      <c r="G1304">
        <f t="shared" si="405"/>
        <v>3</v>
      </c>
      <c r="H1304" t="str">
        <f t="shared" si="406"/>
        <v/>
      </c>
      <c r="I1304" t="str">
        <f t="shared" si="407"/>
        <v/>
      </c>
      <c r="J1304" t="str">
        <f t="shared" si="408"/>
        <v/>
      </c>
      <c r="K1304" t="str">
        <f t="shared" si="409"/>
        <v/>
      </c>
      <c r="L1304" t="str">
        <f t="shared" si="410"/>
        <v/>
      </c>
      <c r="M1304" t="str">
        <f t="shared" si="411"/>
        <v/>
      </c>
      <c r="N1304" t="str">
        <f t="shared" si="412"/>
        <v/>
      </c>
      <c r="O1304" t="str">
        <f t="shared" si="413"/>
        <v/>
      </c>
      <c r="P1304" t="str">
        <f t="shared" si="414"/>
        <v/>
      </c>
      <c r="Q1304" t="str">
        <f t="shared" si="415"/>
        <v/>
      </c>
      <c r="R1304" t="str">
        <f t="shared" si="416"/>
        <v/>
      </c>
      <c r="S1304" t="str">
        <f t="shared" si="417"/>
        <v/>
      </c>
      <c r="T1304" t="str">
        <f t="shared" si="418"/>
        <v/>
      </c>
      <c r="U1304" t="str">
        <f t="shared" si="419"/>
        <v/>
      </c>
      <c r="V1304" t="str">
        <f t="shared" si="420"/>
        <v/>
      </c>
      <c r="W1304" t="str">
        <f t="shared" si="403"/>
        <v xml:space="preserve">              </v>
      </c>
    </row>
    <row r="1305" spans="1:23" customFormat="1" hidden="1">
      <c r="A1305" t="b">
        <f t="shared" si="402"/>
        <v>0</v>
      </c>
      <c r="B1305">
        <f t="shared" si="404"/>
        <v>1304</v>
      </c>
      <c r="C1305" t="s">
        <v>1243</v>
      </c>
      <c r="D1305" t="s">
        <v>1286</v>
      </c>
      <c r="E1305">
        <f t="shared" si="401"/>
        <v>49</v>
      </c>
      <c r="G1305">
        <f t="shared" si="405"/>
        <v>4</v>
      </c>
      <c r="H1305" t="str">
        <f t="shared" si="406"/>
        <v/>
      </c>
      <c r="I1305" t="str">
        <f t="shared" si="407"/>
        <v/>
      </c>
      <c r="J1305" t="str">
        <f t="shared" si="408"/>
        <v/>
      </c>
      <c r="K1305" t="str">
        <f t="shared" si="409"/>
        <v/>
      </c>
      <c r="L1305" t="str">
        <f t="shared" si="410"/>
        <v/>
      </c>
      <c r="M1305" t="str">
        <f t="shared" si="411"/>
        <v/>
      </c>
      <c r="N1305" t="str">
        <f t="shared" si="412"/>
        <v/>
      </c>
      <c r="O1305" t="str">
        <f t="shared" si="413"/>
        <v/>
      </c>
      <c r="P1305" t="str">
        <f t="shared" si="414"/>
        <v/>
      </c>
      <c r="Q1305" t="str">
        <f t="shared" si="415"/>
        <v/>
      </c>
      <c r="R1305" t="str">
        <f t="shared" si="416"/>
        <v/>
      </c>
      <c r="S1305" t="str">
        <f t="shared" si="417"/>
        <v/>
      </c>
      <c r="T1305" t="str">
        <f t="shared" si="418"/>
        <v/>
      </c>
      <c r="U1305" t="str">
        <f t="shared" si="419"/>
        <v/>
      </c>
      <c r="V1305" t="str">
        <f t="shared" si="420"/>
        <v/>
      </c>
      <c r="W1305" t="str">
        <f t="shared" si="403"/>
        <v xml:space="preserve">              </v>
      </c>
    </row>
    <row r="1306" spans="1:23" customFormat="1" hidden="1">
      <c r="A1306" t="b">
        <f t="shared" si="402"/>
        <v>0</v>
      </c>
      <c r="B1306">
        <f t="shared" si="404"/>
        <v>1305</v>
      </c>
      <c r="C1306" t="s">
        <v>1243</v>
      </c>
      <c r="D1306" t="s">
        <v>1287</v>
      </c>
      <c r="E1306">
        <f t="shared" si="401"/>
        <v>50</v>
      </c>
      <c r="G1306">
        <f t="shared" si="405"/>
        <v>5</v>
      </c>
      <c r="H1306" t="str">
        <f t="shared" si="406"/>
        <v/>
      </c>
      <c r="I1306" t="str">
        <f t="shared" si="407"/>
        <v/>
      </c>
      <c r="J1306" t="str">
        <f t="shared" si="408"/>
        <v/>
      </c>
      <c r="K1306" t="str">
        <f t="shared" si="409"/>
        <v/>
      </c>
      <c r="L1306" t="str">
        <f t="shared" si="410"/>
        <v/>
      </c>
      <c r="M1306" t="str">
        <f t="shared" si="411"/>
        <v/>
      </c>
      <c r="N1306" t="str">
        <f t="shared" si="412"/>
        <v/>
      </c>
      <c r="O1306" t="str">
        <f t="shared" si="413"/>
        <v/>
      </c>
      <c r="P1306" t="str">
        <f t="shared" si="414"/>
        <v/>
      </c>
      <c r="Q1306" t="str">
        <f t="shared" si="415"/>
        <v/>
      </c>
      <c r="R1306" t="str">
        <f t="shared" si="416"/>
        <v/>
      </c>
      <c r="S1306" t="str">
        <f t="shared" si="417"/>
        <v/>
      </c>
      <c r="T1306" t="str">
        <f t="shared" si="418"/>
        <v/>
      </c>
      <c r="U1306" t="str">
        <f t="shared" si="419"/>
        <v/>
      </c>
      <c r="V1306" t="str">
        <f t="shared" si="420"/>
        <v/>
      </c>
      <c r="W1306" t="str">
        <f t="shared" si="403"/>
        <v xml:space="preserve">              </v>
      </c>
    </row>
    <row r="1307" spans="1:23" customFormat="1" hidden="1">
      <c r="A1307" t="b">
        <f t="shared" si="402"/>
        <v>0</v>
      </c>
      <c r="B1307">
        <f t="shared" si="404"/>
        <v>1306</v>
      </c>
      <c r="C1307" t="s">
        <v>1243</v>
      </c>
      <c r="D1307" t="s">
        <v>1288</v>
      </c>
      <c r="E1307">
        <f t="shared" si="401"/>
        <v>47</v>
      </c>
      <c r="G1307">
        <f t="shared" si="405"/>
        <v>6</v>
      </c>
      <c r="H1307" t="str">
        <f t="shared" si="406"/>
        <v/>
      </c>
      <c r="I1307" t="str">
        <f t="shared" si="407"/>
        <v/>
      </c>
      <c r="J1307" t="str">
        <f t="shared" si="408"/>
        <v/>
      </c>
      <c r="K1307" t="str">
        <f t="shared" si="409"/>
        <v/>
      </c>
      <c r="L1307" t="str">
        <f t="shared" si="410"/>
        <v/>
      </c>
      <c r="M1307" t="str">
        <f t="shared" si="411"/>
        <v/>
      </c>
      <c r="N1307" t="str">
        <f t="shared" si="412"/>
        <v/>
      </c>
      <c r="O1307" t="str">
        <f t="shared" si="413"/>
        <v/>
      </c>
      <c r="P1307" t="str">
        <f t="shared" si="414"/>
        <v/>
      </c>
      <c r="Q1307" t="str">
        <f t="shared" si="415"/>
        <v/>
      </c>
      <c r="R1307" t="str">
        <f t="shared" si="416"/>
        <v/>
      </c>
      <c r="S1307" t="str">
        <f t="shared" si="417"/>
        <v/>
      </c>
      <c r="T1307" t="str">
        <f t="shared" si="418"/>
        <v/>
      </c>
      <c r="U1307" t="str">
        <f t="shared" si="419"/>
        <v/>
      </c>
      <c r="V1307" t="str">
        <f t="shared" si="420"/>
        <v/>
      </c>
      <c r="W1307" t="str">
        <f t="shared" si="403"/>
        <v xml:space="preserve">              </v>
      </c>
    </row>
    <row r="1308" spans="1:23" customFormat="1" hidden="1">
      <c r="A1308" t="b">
        <f t="shared" si="402"/>
        <v>0</v>
      </c>
      <c r="B1308">
        <f t="shared" si="404"/>
        <v>1307</v>
      </c>
      <c r="C1308" t="s">
        <v>1243</v>
      </c>
      <c r="D1308" t="s">
        <v>1289</v>
      </c>
      <c r="E1308">
        <f t="shared" si="401"/>
        <v>46</v>
      </c>
      <c r="G1308">
        <f t="shared" si="405"/>
        <v>7</v>
      </c>
      <c r="H1308" t="str">
        <f t="shared" si="406"/>
        <v/>
      </c>
      <c r="I1308" t="str">
        <f t="shared" si="407"/>
        <v/>
      </c>
      <c r="J1308" t="str">
        <f t="shared" si="408"/>
        <v/>
      </c>
      <c r="K1308" t="str">
        <f t="shared" si="409"/>
        <v/>
      </c>
      <c r="L1308" t="str">
        <f t="shared" si="410"/>
        <v/>
      </c>
      <c r="M1308" t="str">
        <f t="shared" si="411"/>
        <v/>
      </c>
      <c r="N1308" t="str">
        <f t="shared" si="412"/>
        <v/>
      </c>
      <c r="O1308" t="str">
        <f t="shared" si="413"/>
        <v/>
      </c>
      <c r="P1308" t="str">
        <f t="shared" si="414"/>
        <v/>
      </c>
      <c r="Q1308" t="str">
        <f t="shared" si="415"/>
        <v/>
      </c>
      <c r="R1308" t="str">
        <f t="shared" si="416"/>
        <v/>
      </c>
      <c r="S1308" t="str">
        <f t="shared" si="417"/>
        <v/>
      </c>
      <c r="T1308" t="str">
        <f t="shared" si="418"/>
        <v/>
      </c>
      <c r="U1308" t="str">
        <f t="shared" si="419"/>
        <v/>
      </c>
      <c r="V1308" t="str">
        <f t="shared" si="420"/>
        <v/>
      </c>
      <c r="W1308" t="str">
        <f t="shared" si="403"/>
        <v xml:space="preserve">              </v>
      </c>
    </row>
    <row r="1309" spans="1:23" customFormat="1" hidden="1">
      <c r="A1309" t="b">
        <f t="shared" si="402"/>
        <v>0</v>
      </c>
      <c r="B1309">
        <f t="shared" si="404"/>
        <v>1308</v>
      </c>
      <c r="C1309" t="s">
        <v>1243</v>
      </c>
      <c r="D1309" t="s">
        <v>1290</v>
      </c>
      <c r="E1309">
        <f t="shared" si="401"/>
        <v>48</v>
      </c>
      <c r="G1309">
        <f t="shared" si="405"/>
        <v>8</v>
      </c>
      <c r="H1309" t="str">
        <f t="shared" si="406"/>
        <v/>
      </c>
      <c r="I1309" t="str">
        <f t="shared" si="407"/>
        <v/>
      </c>
      <c r="J1309" t="str">
        <f t="shared" si="408"/>
        <v/>
      </c>
      <c r="K1309" t="str">
        <f t="shared" si="409"/>
        <v/>
      </c>
      <c r="L1309" t="str">
        <f t="shared" si="410"/>
        <v/>
      </c>
      <c r="M1309" t="str">
        <f t="shared" si="411"/>
        <v/>
      </c>
      <c r="N1309" t="str">
        <f t="shared" si="412"/>
        <v/>
      </c>
      <c r="O1309" t="str">
        <f t="shared" si="413"/>
        <v/>
      </c>
      <c r="P1309" t="str">
        <f t="shared" si="414"/>
        <v/>
      </c>
      <c r="Q1309" t="str">
        <f t="shared" si="415"/>
        <v/>
      </c>
      <c r="R1309" t="str">
        <f t="shared" si="416"/>
        <v/>
      </c>
      <c r="S1309" t="str">
        <f t="shared" si="417"/>
        <v/>
      </c>
      <c r="T1309" t="str">
        <f t="shared" si="418"/>
        <v/>
      </c>
      <c r="U1309" t="str">
        <f t="shared" si="419"/>
        <v/>
      </c>
      <c r="V1309" t="str">
        <f t="shared" si="420"/>
        <v/>
      </c>
      <c r="W1309" t="str">
        <f t="shared" si="403"/>
        <v xml:space="preserve">              </v>
      </c>
    </row>
    <row r="1310" spans="1:23" customFormat="1" hidden="1">
      <c r="A1310" t="b">
        <f t="shared" si="402"/>
        <v>0</v>
      </c>
      <c r="B1310">
        <f t="shared" si="404"/>
        <v>1309</v>
      </c>
      <c r="C1310" t="s">
        <v>1243</v>
      </c>
      <c r="D1310" t="s">
        <v>1291</v>
      </c>
      <c r="E1310">
        <f t="shared" si="401"/>
        <v>49</v>
      </c>
      <c r="G1310">
        <f t="shared" si="405"/>
        <v>9</v>
      </c>
      <c r="H1310" t="str">
        <f t="shared" si="406"/>
        <v/>
      </c>
      <c r="I1310" t="str">
        <f t="shared" si="407"/>
        <v/>
      </c>
      <c r="J1310" t="str">
        <f t="shared" si="408"/>
        <v/>
      </c>
      <c r="K1310" t="str">
        <f t="shared" si="409"/>
        <v/>
      </c>
      <c r="L1310" t="str">
        <f t="shared" si="410"/>
        <v/>
      </c>
      <c r="M1310" t="str">
        <f t="shared" si="411"/>
        <v/>
      </c>
      <c r="N1310" t="str">
        <f t="shared" si="412"/>
        <v/>
      </c>
      <c r="O1310" t="str">
        <f t="shared" si="413"/>
        <v/>
      </c>
      <c r="P1310" t="str">
        <f t="shared" si="414"/>
        <v/>
      </c>
      <c r="Q1310" t="str">
        <f t="shared" si="415"/>
        <v/>
      </c>
      <c r="R1310" t="str">
        <f t="shared" si="416"/>
        <v/>
      </c>
      <c r="S1310" t="str">
        <f t="shared" si="417"/>
        <v/>
      </c>
      <c r="T1310" t="str">
        <f t="shared" si="418"/>
        <v/>
      </c>
      <c r="U1310" t="str">
        <f t="shared" si="419"/>
        <v/>
      </c>
      <c r="V1310" t="str">
        <f t="shared" si="420"/>
        <v/>
      </c>
      <c r="W1310" t="str">
        <f t="shared" si="403"/>
        <v xml:space="preserve">              </v>
      </c>
    </row>
    <row r="1311" spans="1:23" customFormat="1" hidden="1">
      <c r="A1311" t="b">
        <f t="shared" si="402"/>
        <v>0</v>
      </c>
      <c r="B1311">
        <f t="shared" si="404"/>
        <v>1310</v>
      </c>
      <c r="C1311" t="s">
        <v>1243</v>
      </c>
      <c r="D1311" t="s">
        <v>1292</v>
      </c>
      <c r="E1311">
        <f t="shared" si="401"/>
        <v>42</v>
      </c>
      <c r="G1311">
        <f t="shared" si="405"/>
        <v>10</v>
      </c>
      <c r="H1311" t="str">
        <f t="shared" si="406"/>
        <v/>
      </c>
      <c r="I1311" t="str">
        <f t="shared" si="407"/>
        <v/>
      </c>
      <c r="J1311" t="str">
        <f t="shared" si="408"/>
        <v/>
      </c>
      <c r="K1311" t="str">
        <f t="shared" si="409"/>
        <v/>
      </c>
      <c r="L1311" t="str">
        <f t="shared" si="410"/>
        <v/>
      </c>
      <c r="M1311" t="str">
        <f t="shared" si="411"/>
        <v/>
      </c>
      <c r="N1311" t="str">
        <f t="shared" si="412"/>
        <v/>
      </c>
      <c r="O1311" t="str">
        <f t="shared" si="413"/>
        <v/>
      </c>
      <c r="P1311" t="str">
        <f t="shared" si="414"/>
        <v/>
      </c>
      <c r="Q1311" t="str">
        <f t="shared" si="415"/>
        <v/>
      </c>
      <c r="R1311" t="str">
        <f t="shared" si="416"/>
        <v/>
      </c>
      <c r="S1311" t="str">
        <f t="shared" si="417"/>
        <v/>
      </c>
      <c r="T1311" t="str">
        <f t="shared" si="418"/>
        <v/>
      </c>
      <c r="U1311" t="str">
        <f t="shared" si="419"/>
        <v/>
      </c>
      <c r="V1311" t="str">
        <f t="shared" si="420"/>
        <v/>
      </c>
      <c r="W1311" t="str">
        <f t="shared" si="403"/>
        <v xml:space="preserve">              </v>
      </c>
    </row>
    <row r="1312" spans="1:23" customFormat="1" hidden="1">
      <c r="A1312" t="b">
        <f t="shared" si="402"/>
        <v>0</v>
      </c>
      <c r="B1312">
        <f t="shared" si="404"/>
        <v>1311</v>
      </c>
      <c r="C1312" t="s">
        <v>1243</v>
      </c>
      <c r="D1312" t="s">
        <v>131</v>
      </c>
      <c r="E1312">
        <f t="shared" si="401"/>
        <v>8</v>
      </c>
      <c r="G1312">
        <f t="shared" si="405"/>
        <v>11</v>
      </c>
      <c r="H1312" t="str">
        <f t="shared" si="406"/>
        <v/>
      </c>
      <c r="I1312" t="str">
        <f t="shared" si="407"/>
        <v/>
      </c>
      <c r="J1312" t="str">
        <f t="shared" si="408"/>
        <v/>
      </c>
      <c r="K1312" t="str">
        <f t="shared" si="409"/>
        <v/>
      </c>
      <c r="L1312" t="str">
        <f t="shared" si="410"/>
        <v/>
      </c>
      <c r="M1312" t="str">
        <f t="shared" si="411"/>
        <v/>
      </c>
      <c r="N1312" t="str">
        <f t="shared" si="412"/>
        <v/>
      </c>
      <c r="O1312" t="str">
        <f t="shared" si="413"/>
        <v/>
      </c>
      <c r="P1312" t="str">
        <f t="shared" si="414"/>
        <v/>
      </c>
      <c r="Q1312" t="str">
        <f t="shared" si="415"/>
        <v/>
      </c>
      <c r="R1312" t="str">
        <f t="shared" si="416"/>
        <v/>
      </c>
      <c r="S1312" t="str">
        <f t="shared" si="417"/>
        <v/>
      </c>
      <c r="T1312" t="str">
        <f t="shared" si="418"/>
        <v/>
      </c>
      <c r="U1312" t="str">
        <f t="shared" si="419"/>
        <v/>
      </c>
      <c r="V1312" t="str">
        <f t="shared" si="420"/>
        <v/>
      </c>
      <c r="W1312" t="str">
        <f t="shared" si="403"/>
        <v xml:space="preserve">              </v>
      </c>
    </row>
    <row r="1313" spans="1:23" hidden="1">
      <c r="A1313" s="71" t="b">
        <f t="shared" si="402"/>
        <v>0</v>
      </c>
      <c r="B1313" s="71">
        <f t="shared" si="404"/>
        <v>1312</v>
      </c>
      <c r="C1313" s="71" t="s">
        <v>1243</v>
      </c>
      <c r="D1313" s="71" t="s">
        <v>1293</v>
      </c>
      <c r="E1313">
        <f t="shared" si="401"/>
        <v>9</v>
      </c>
      <c r="F1313">
        <v>1</v>
      </c>
      <c r="G1313">
        <f t="shared" si="405"/>
        <v>1</v>
      </c>
      <c r="H1313" t="str">
        <f t="shared" si="406"/>
        <v>Enhancing</v>
      </c>
      <c r="I1313" t="str">
        <f t="shared" si="407"/>
        <v>A risk response that attempts to enhance the</v>
      </c>
      <c r="J1313" t="str">
        <f t="shared" si="408"/>
        <v>conditions to ensure that a positive risk event will</v>
      </c>
      <c r="K1313" t="str">
        <f t="shared" si="409"/>
        <v>likely happen.</v>
      </c>
      <c r="L1313" t="str">
        <f t="shared" si="410"/>
        <v/>
      </c>
      <c r="M1313" t="str">
        <f t="shared" si="411"/>
        <v/>
      </c>
      <c r="N1313" t="str">
        <f t="shared" si="412"/>
        <v/>
      </c>
      <c r="O1313" t="str">
        <f t="shared" si="413"/>
        <v/>
      </c>
      <c r="P1313" t="str">
        <f t="shared" si="414"/>
        <v/>
      </c>
      <c r="Q1313" t="str">
        <f t="shared" si="415"/>
        <v/>
      </c>
      <c r="R1313" t="str">
        <f t="shared" si="416"/>
        <v/>
      </c>
      <c r="S1313" t="str">
        <f t="shared" si="417"/>
        <v/>
      </c>
      <c r="T1313" t="str">
        <f t="shared" si="418"/>
        <v/>
      </c>
      <c r="U1313" t="str">
        <f t="shared" si="419"/>
        <v/>
      </c>
      <c r="V1313" t="str">
        <f t="shared" si="420"/>
        <v/>
      </c>
      <c r="W1313" s="71" t="str">
        <f>CONCATENATE(H1313," ",I1313," ",J1313," ",K1313," ",L1313," ",M1313," ",N1313," ",O1313," ",P1313," ",Q1313," ",R1313," ",S1313," ",T1313," ",U1313," ",V1313)</f>
        <v xml:space="preserve">Enhancing A risk response that attempts to enhance the conditions to ensure that a positive risk event will likely happen.           </v>
      </c>
    </row>
    <row r="1314" spans="1:23" customFormat="1" hidden="1">
      <c r="A1314" t="b">
        <f t="shared" si="402"/>
        <v>0</v>
      </c>
      <c r="B1314">
        <f t="shared" si="404"/>
        <v>1313</v>
      </c>
      <c r="C1314" t="s">
        <v>1243</v>
      </c>
      <c r="D1314" t="s">
        <v>1294</v>
      </c>
      <c r="E1314">
        <f t="shared" si="401"/>
        <v>44</v>
      </c>
      <c r="G1314">
        <f t="shared" si="405"/>
        <v>2</v>
      </c>
      <c r="H1314" t="str">
        <f t="shared" si="406"/>
        <v/>
      </c>
      <c r="I1314" t="str">
        <f t="shared" si="407"/>
        <v/>
      </c>
      <c r="J1314" t="str">
        <f t="shared" si="408"/>
        <v/>
      </c>
      <c r="K1314" t="str">
        <f t="shared" si="409"/>
        <v/>
      </c>
      <c r="L1314" t="str">
        <f t="shared" si="410"/>
        <v/>
      </c>
      <c r="M1314" t="str">
        <f t="shared" si="411"/>
        <v/>
      </c>
      <c r="N1314" t="str">
        <f t="shared" si="412"/>
        <v/>
      </c>
      <c r="O1314" t="str">
        <f t="shared" si="413"/>
        <v/>
      </c>
      <c r="P1314" t="str">
        <f t="shared" si="414"/>
        <v/>
      </c>
      <c r="Q1314" t="str">
        <f t="shared" si="415"/>
        <v/>
      </c>
      <c r="R1314" t="str">
        <f t="shared" si="416"/>
        <v/>
      </c>
      <c r="S1314" t="str">
        <f t="shared" si="417"/>
        <v/>
      </c>
      <c r="T1314" t="str">
        <f t="shared" si="418"/>
        <v/>
      </c>
      <c r="U1314" t="str">
        <f t="shared" si="419"/>
        <v/>
      </c>
      <c r="V1314" t="str">
        <f t="shared" si="420"/>
        <v/>
      </c>
      <c r="W1314" t="str">
        <f t="shared" si="403"/>
        <v xml:space="preserve">              </v>
      </c>
    </row>
    <row r="1315" spans="1:23" customFormat="1" hidden="1">
      <c r="A1315" t="b">
        <f t="shared" si="402"/>
        <v>0</v>
      </c>
      <c r="B1315">
        <f t="shared" si="404"/>
        <v>1314</v>
      </c>
      <c r="C1315" t="s">
        <v>1243</v>
      </c>
      <c r="D1315" t="s">
        <v>1295</v>
      </c>
      <c r="E1315">
        <f t="shared" si="401"/>
        <v>52</v>
      </c>
      <c r="G1315">
        <f t="shared" si="405"/>
        <v>3</v>
      </c>
      <c r="H1315" t="str">
        <f t="shared" si="406"/>
        <v/>
      </c>
      <c r="I1315" t="str">
        <f t="shared" si="407"/>
        <v/>
      </c>
      <c r="J1315" t="str">
        <f t="shared" si="408"/>
        <v/>
      </c>
      <c r="K1315" t="str">
        <f t="shared" si="409"/>
        <v/>
      </c>
      <c r="L1315" t="str">
        <f t="shared" si="410"/>
        <v/>
      </c>
      <c r="M1315" t="str">
        <f t="shared" si="411"/>
        <v/>
      </c>
      <c r="N1315" t="str">
        <f t="shared" si="412"/>
        <v/>
      </c>
      <c r="O1315" t="str">
        <f t="shared" si="413"/>
        <v/>
      </c>
      <c r="P1315" t="str">
        <f t="shared" si="414"/>
        <v/>
      </c>
      <c r="Q1315" t="str">
        <f t="shared" si="415"/>
        <v/>
      </c>
      <c r="R1315" t="str">
        <f t="shared" si="416"/>
        <v/>
      </c>
      <c r="S1315" t="str">
        <f t="shared" si="417"/>
        <v/>
      </c>
      <c r="T1315" t="str">
        <f t="shared" si="418"/>
        <v/>
      </c>
      <c r="U1315" t="str">
        <f t="shared" si="419"/>
        <v/>
      </c>
      <c r="V1315" t="str">
        <f t="shared" si="420"/>
        <v/>
      </c>
      <c r="W1315" t="str">
        <f t="shared" si="403"/>
        <v xml:space="preserve">              </v>
      </c>
    </row>
    <row r="1316" spans="1:23" customFormat="1" hidden="1">
      <c r="A1316" t="b">
        <f t="shared" si="402"/>
        <v>0</v>
      </c>
      <c r="B1316">
        <f t="shared" si="404"/>
        <v>1315</v>
      </c>
      <c r="C1316" t="s">
        <v>1243</v>
      </c>
      <c r="D1316" t="s">
        <v>1296</v>
      </c>
      <c r="E1316">
        <f t="shared" si="401"/>
        <v>14</v>
      </c>
      <c r="G1316">
        <f t="shared" si="405"/>
        <v>4</v>
      </c>
      <c r="H1316" t="str">
        <f t="shared" si="406"/>
        <v/>
      </c>
      <c r="I1316" t="str">
        <f t="shared" si="407"/>
        <v/>
      </c>
      <c r="J1316" t="str">
        <f t="shared" si="408"/>
        <v/>
      </c>
      <c r="K1316" t="str">
        <f t="shared" si="409"/>
        <v/>
      </c>
      <c r="L1316" t="str">
        <f t="shared" si="410"/>
        <v/>
      </c>
      <c r="M1316" t="str">
        <f t="shared" si="411"/>
        <v/>
      </c>
      <c r="N1316" t="str">
        <f t="shared" si="412"/>
        <v/>
      </c>
      <c r="O1316" t="str">
        <f t="shared" si="413"/>
        <v/>
      </c>
      <c r="P1316" t="str">
        <f t="shared" si="414"/>
        <v/>
      </c>
      <c r="Q1316" t="str">
        <f t="shared" si="415"/>
        <v/>
      </c>
      <c r="R1316" t="str">
        <f t="shared" si="416"/>
        <v/>
      </c>
      <c r="S1316" t="str">
        <f t="shared" si="417"/>
        <v/>
      </c>
      <c r="T1316" t="str">
        <f t="shared" si="418"/>
        <v/>
      </c>
      <c r="U1316" t="str">
        <f t="shared" si="419"/>
        <v/>
      </c>
      <c r="V1316" t="str">
        <f t="shared" si="420"/>
        <v/>
      </c>
      <c r="W1316" t="str">
        <f t="shared" si="403"/>
        <v xml:space="preserve">              </v>
      </c>
    </row>
    <row r="1317" spans="1:23" hidden="1">
      <c r="A1317" s="71" t="b">
        <f t="shared" si="402"/>
        <v>0</v>
      </c>
      <c r="B1317" s="71">
        <f t="shared" si="404"/>
        <v>1316</v>
      </c>
      <c r="C1317" s="71" t="s">
        <v>1243</v>
      </c>
      <c r="D1317" s="71" t="s">
        <v>1297</v>
      </c>
      <c r="E1317">
        <f t="shared" si="401"/>
        <v>10</v>
      </c>
      <c r="F1317">
        <v>1</v>
      </c>
      <c r="G1317">
        <f t="shared" si="405"/>
        <v>1</v>
      </c>
      <c r="H1317" t="str">
        <f t="shared" si="406"/>
        <v>Escalating</v>
      </c>
      <c r="I1317" t="str">
        <f t="shared" si="407"/>
        <v>A risk response that is appropriate for both</v>
      </c>
      <c r="J1317" t="str">
        <f t="shared" si="408"/>
        <v>positive and negative risk events that may</v>
      </c>
      <c r="K1317" t="str">
        <f t="shared" si="409"/>
        <v>outside of the project manager’s authority to act</v>
      </c>
      <c r="L1317" t="str">
        <f t="shared" si="410"/>
        <v>upon.</v>
      </c>
      <c r="M1317" t="str">
        <f t="shared" si="411"/>
        <v/>
      </c>
      <c r="N1317" t="str">
        <f t="shared" si="412"/>
        <v/>
      </c>
      <c r="O1317" t="str">
        <f t="shared" si="413"/>
        <v/>
      </c>
      <c r="P1317" t="str">
        <f t="shared" si="414"/>
        <v/>
      </c>
      <c r="Q1317" t="str">
        <f t="shared" si="415"/>
        <v/>
      </c>
      <c r="R1317" t="str">
        <f t="shared" si="416"/>
        <v/>
      </c>
      <c r="S1317" t="str">
        <f t="shared" si="417"/>
        <v/>
      </c>
      <c r="T1317" t="str">
        <f t="shared" si="418"/>
        <v/>
      </c>
      <c r="U1317" t="str">
        <f t="shared" si="419"/>
        <v/>
      </c>
      <c r="V1317" t="str">
        <f t="shared" si="420"/>
        <v/>
      </c>
      <c r="W1317" s="71" t="str">
        <f>CONCATENATE(H1317," ",I1317," ",J1317," ",K1317," ",L1317," ",M1317," ",N1317," ",O1317," ",P1317," ",Q1317," ",R1317," ",S1317," ",T1317," ",U1317," ",V1317)</f>
        <v xml:space="preserve">Escalating A risk response that is appropriate for both positive and negative risk events that may outside of the project manager’s authority to act upon.          </v>
      </c>
    </row>
    <row r="1318" spans="1:23" customFormat="1" hidden="1">
      <c r="A1318" t="b">
        <f t="shared" si="402"/>
        <v>0</v>
      </c>
      <c r="B1318">
        <f t="shared" si="404"/>
        <v>1317</v>
      </c>
      <c r="C1318" t="s">
        <v>1243</v>
      </c>
      <c r="D1318" t="s">
        <v>1298</v>
      </c>
      <c r="E1318">
        <f t="shared" ref="E1318:E1380" si="421">LEN(D1318)</f>
        <v>44</v>
      </c>
      <c r="G1318">
        <f t="shared" si="405"/>
        <v>2</v>
      </c>
      <c r="H1318" t="str">
        <f t="shared" si="406"/>
        <v/>
      </c>
      <c r="I1318" t="str">
        <f t="shared" si="407"/>
        <v/>
      </c>
      <c r="J1318" t="str">
        <f t="shared" si="408"/>
        <v/>
      </c>
      <c r="K1318" t="str">
        <f t="shared" si="409"/>
        <v/>
      </c>
      <c r="L1318" t="str">
        <f t="shared" si="410"/>
        <v/>
      </c>
      <c r="M1318" t="str">
        <f t="shared" si="411"/>
        <v/>
      </c>
      <c r="N1318" t="str">
        <f t="shared" si="412"/>
        <v/>
      </c>
      <c r="O1318" t="str">
        <f t="shared" si="413"/>
        <v/>
      </c>
      <c r="P1318" t="str">
        <f t="shared" si="414"/>
        <v/>
      </c>
      <c r="Q1318" t="str">
        <f t="shared" si="415"/>
        <v/>
      </c>
      <c r="R1318" t="str">
        <f t="shared" si="416"/>
        <v/>
      </c>
      <c r="S1318" t="str">
        <f t="shared" si="417"/>
        <v/>
      </c>
      <c r="T1318" t="str">
        <f t="shared" si="418"/>
        <v/>
      </c>
      <c r="U1318" t="str">
        <f t="shared" si="419"/>
        <v/>
      </c>
      <c r="V1318" t="str">
        <f t="shared" si="420"/>
        <v/>
      </c>
      <c r="W1318" t="str">
        <f t="shared" si="403"/>
        <v xml:space="preserve">              </v>
      </c>
    </row>
    <row r="1319" spans="1:23" customFormat="1" hidden="1">
      <c r="A1319" t="b">
        <f t="shared" si="402"/>
        <v>0</v>
      </c>
      <c r="B1319">
        <f t="shared" si="404"/>
        <v>1318</v>
      </c>
      <c r="C1319" t="s">
        <v>1243</v>
      </c>
      <c r="D1319" t="s">
        <v>1299</v>
      </c>
      <c r="E1319">
        <f t="shared" si="421"/>
        <v>42</v>
      </c>
      <c r="G1319">
        <f t="shared" si="405"/>
        <v>3</v>
      </c>
      <c r="H1319" t="str">
        <f t="shared" si="406"/>
        <v/>
      </c>
      <c r="I1319" t="str">
        <f t="shared" si="407"/>
        <v/>
      </c>
      <c r="J1319" t="str">
        <f t="shared" si="408"/>
        <v/>
      </c>
      <c r="K1319" t="str">
        <f t="shared" si="409"/>
        <v/>
      </c>
      <c r="L1319" t="str">
        <f t="shared" si="410"/>
        <v/>
      </c>
      <c r="M1319" t="str">
        <f t="shared" si="411"/>
        <v/>
      </c>
      <c r="N1319" t="str">
        <f t="shared" si="412"/>
        <v/>
      </c>
      <c r="O1319" t="str">
        <f t="shared" si="413"/>
        <v/>
      </c>
      <c r="P1319" t="str">
        <f t="shared" si="414"/>
        <v/>
      </c>
      <c r="Q1319" t="str">
        <f t="shared" si="415"/>
        <v/>
      </c>
      <c r="R1319" t="str">
        <f t="shared" si="416"/>
        <v/>
      </c>
      <c r="S1319" t="str">
        <f t="shared" si="417"/>
        <v/>
      </c>
      <c r="T1319" t="str">
        <f t="shared" si="418"/>
        <v/>
      </c>
      <c r="U1319" t="str">
        <f t="shared" si="419"/>
        <v/>
      </c>
      <c r="V1319" t="str">
        <f t="shared" si="420"/>
        <v/>
      </c>
      <c r="W1319" t="str">
        <f t="shared" si="403"/>
        <v xml:space="preserve">              </v>
      </c>
    </row>
    <row r="1320" spans="1:23" customFormat="1" hidden="1">
      <c r="A1320" t="b">
        <f t="shared" si="402"/>
        <v>0</v>
      </c>
      <c r="B1320">
        <f t="shared" si="404"/>
        <v>1319</v>
      </c>
      <c r="C1320" t="s">
        <v>1243</v>
      </c>
      <c r="D1320" t="s">
        <v>1300</v>
      </c>
      <c r="E1320">
        <f t="shared" si="421"/>
        <v>49</v>
      </c>
      <c r="G1320">
        <f t="shared" si="405"/>
        <v>4</v>
      </c>
      <c r="H1320" t="str">
        <f t="shared" si="406"/>
        <v/>
      </c>
      <c r="I1320" t="str">
        <f t="shared" si="407"/>
        <v/>
      </c>
      <c r="J1320" t="str">
        <f t="shared" si="408"/>
        <v/>
      </c>
      <c r="K1320" t="str">
        <f t="shared" si="409"/>
        <v/>
      </c>
      <c r="L1320" t="str">
        <f t="shared" si="410"/>
        <v/>
      </c>
      <c r="M1320" t="str">
        <f t="shared" si="411"/>
        <v/>
      </c>
      <c r="N1320" t="str">
        <f t="shared" si="412"/>
        <v/>
      </c>
      <c r="O1320" t="str">
        <f t="shared" si="413"/>
        <v/>
      </c>
      <c r="P1320" t="str">
        <f t="shared" si="414"/>
        <v/>
      </c>
      <c r="Q1320" t="str">
        <f t="shared" si="415"/>
        <v/>
      </c>
      <c r="R1320" t="str">
        <f t="shared" si="416"/>
        <v/>
      </c>
      <c r="S1320" t="str">
        <f t="shared" si="417"/>
        <v/>
      </c>
      <c r="T1320" t="str">
        <f t="shared" si="418"/>
        <v/>
      </c>
      <c r="U1320" t="str">
        <f t="shared" si="419"/>
        <v/>
      </c>
      <c r="V1320" t="str">
        <f t="shared" si="420"/>
        <v/>
      </c>
      <c r="W1320" t="str">
        <f t="shared" si="403"/>
        <v xml:space="preserve">              </v>
      </c>
    </row>
    <row r="1321" spans="1:23" customFormat="1" hidden="1">
      <c r="A1321" t="b">
        <f t="shared" si="402"/>
        <v>0</v>
      </c>
      <c r="B1321">
        <f t="shared" si="404"/>
        <v>1320</v>
      </c>
      <c r="C1321" t="s">
        <v>1243</v>
      </c>
      <c r="D1321" t="s">
        <v>1301</v>
      </c>
      <c r="E1321">
        <f t="shared" si="421"/>
        <v>5</v>
      </c>
      <c r="G1321">
        <f t="shared" si="405"/>
        <v>5</v>
      </c>
      <c r="H1321" t="str">
        <f t="shared" si="406"/>
        <v/>
      </c>
      <c r="I1321" t="str">
        <f t="shared" si="407"/>
        <v/>
      </c>
      <c r="J1321" t="str">
        <f t="shared" si="408"/>
        <v/>
      </c>
      <c r="K1321" t="str">
        <f t="shared" si="409"/>
        <v/>
      </c>
      <c r="L1321" t="str">
        <f t="shared" si="410"/>
        <v/>
      </c>
      <c r="M1321" t="str">
        <f t="shared" si="411"/>
        <v/>
      </c>
      <c r="N1321" t="str">
        <f t="shared" si="412"/>
        <v/>
      </c>
      <c r="O1321" t="str">
        <f t="shared" si="413"/>
        <v/>
      </c>
      <c r="P1321" t="str">
        <f t="shared" si="414"/>
        <v/>
      </c>
      <c r="Q1321" t="str">
        <f t="shared" si="415"/>
        <v/>
      </c>
      <c r="R1321" t="str">
        <f t="shared" si="416"/>
        <v/>
      </c>
      <c r="S1321" t="str">
        <f t="shared" si="417"/>
        <v/>
      </c>
      <c r="T1321" t="str">
        <f t="shared" si="418"/>
        <v/>
      </c>
      <c r="U1321" t="str">
        <f t="shared" si="419"/>
        <v/>
      </c>
      <c r="V1321" t="str">
        <f t="shared" si="420"/>
        <v/>
      </c>
      <c r="W1321" t="str">
        <f t="shared" si="403"/>
        <v xml:space="preserve">              </v>
      </c>
    </row>
    <row r="1322" spans="1:23" hidden="1">
      <c r="A1322" s="71" t="b">
        <f t="shared" si="402"/>
        <v>0</v>
      </c>
      <c r="B1322" s="71">
        <f t="shared" si="404"/>
        <v>1321</v>
      </c>
      <c r="C1322" s="71" t="s">
        <v>1243</v>
      </c>
      <c r="D1322" s="71" t="s">
        <v>1302</v>
      </c>
      <c r="E1322">
        <f t="shared" si="421"/>
        <v>29</v>
      </c>
      <c r="F1322">
        <v>1</v>
      </c>
      <c r="G1322">
        <f t="shared" si="405"/>
        <v>1</v>
      </c>
      <c r="H1322" t="str">
        <f t="shared" si="406"/>
        <v>Expected monetary value (EMV)</v>
      </c>
      <c r="I1322" t="str">
        <f t="shared" si="407"/>
        <v>The monetary value of a risk exposure based on</v>
      </c>
      <c r="J1322" t="str">
        <f t="shared" si="408"/>
        <v>the risk’s probability and impact in the risk</v>
      </c>
      <c r="K1322" t="str">
        <f t="shared" si="409"/>
        <v>matrix. This approach is typically used in</v>
      </c>
      <c r="L1322" t="str">
        <f t="shared" si="410"/>
        <v>quantitative risk analysis because it quantifies the</v>
      </c>
      <c r="M1322" t="str">
        <f t="shared" si="411"/>
        <v>risk exposure.</v>
      </c>
      <c r="N1322" t="str">
        <f t="shared" si="412"/>
        <v/>
      </c>
      <c r="O1322" t="str">
        <f t="shared" si="413"/>
        <v/>
      </c>
      <c r="P1322" t="str">
        <f t="shared" si="414"/>
        <v/>
      </c>
      <c r="Q1322" t="str">
        <f t="shared" si="415"/>
        <v/>
      </c>
      <c r="R1322" t="str">
        <f t="shared" si="416"/>
        <v/>
      </c>
      <c r="S1322" t="str">
        <f t="shared" si="417"/>
        <v/>
      </c>
      <c r="T1322" t="str">
        <f t="shared" si="418"/>
        <v/>
      </c>
      <c r="U1322" t="str">
        <f t="shared" si="419"/>
        <v/>
      </c>
      <c r="V1322" t="str">
        <f t="shared" si="420"/>
        <v/>
      </c>
      <c r="W1322" s="71" t="str">
        <f>CONCATENATE(H1322," ",I1322," ",J1322," ",K1322," ",L1322," ",M1322," ",N1322," ",O1322," ",P1322," ",Q1322," ",R1322," ",S1322," ",T1322," ",U1322," ",V1322)</f>
        <v xml:space="preserve">Expected monetary value (EMV) The monetary value of a risk exposure based on the risk’s probability and impact in the risk matrix. This approach is typically used in quantitative risk analysis because it quantifies the risk exposure.         </v>
      </c>
    </row>
    <row r="1323" spans="1:23" customFormat="1" hidden="1">
      <c r="A1323" t="b">
        <f t="shared" si="402"/>
        <v>0</v>
      </c>
      <c r="B1323">
        <f t="shared" si="404"/>
        <v>1322</v>
      </c>
      <c r="C1323" t="s">
        <v>1243</v>
      </c>
      <c r="D1323" t="s">
        <v>1303</v>
      </c>
      <c r="E1323">
        <f t="shared" si="421"/>
        <v>46</v>
      </c>
      <c r="G1323">
        <f t="shared" si="405"/>
        <v>2</v>
      </c>
      <c r="H1323" t="str">
        <f t="shared" si="406"/>
        <v/>
      </c>
      <c r="I1323" t="str">
        <f t="shared" si="407"/>
        <v/>
      </c>
      <c r="J1323" t="str">
        <f t="shared" si="408"/>
        <v/>
      </c>
      <c r="K1323" t="str">
        <f t="shared" si="409"/>
        <v/>
      </c>
      <c r="L1323" t="str">
        <f t="shared" si="410"/>
        <v/>
      </c>
      <c r="M1323" t="str">
        <f t="shared" si="411"/>
        <v/>
      </c>
      <c r="N1323" t="str">
        <f t="shared" si="412"/>
        <v/>
      </c>
      <c r="O1323" t="str">
        <f t="shared" si="413"/>
        <v/>
      </c>
      <c r="P1323" t="str">
        <f t="shared" si="414"/>
        <v/>
      </c>
      <c r="Q1323" t="str">
        <f t="shared" si="415"/>
        <v/>
      </c>
      <c r="R1323" t="str">
        <f t="shared" si="416"/>
        <v/>
      </c>
      <c r="S1323" t="str">
        <f t="shared" si="417"/>
        <v/>
      </c>
      <c r="T1323" t="str">
        <f t="shared" si="418"/>
        <v/>
      </c>
      <c r="U1323" t="str">
        <f t="shared" si="419"/>
        <v/>
      </c>
      <c r="V1323" t="str">
        <f t="shared" si="420"/>
        <v/>
      </c>
      <c r="W1323" t="str">
        <f t="shared" si="403"/>
        <v xml:space="preserve">              </v>
      </c>
    </row>
    <row r="1324" spans="1:23" customFormat="1" hidden="1">
      <c r="A1324" t="b">
        <f t="shared" si="402"/>
        <v>0</v>
      </c>
      <c r="B1324">
        <f t="shared" si="404"/>
        <v>1323</v>
      </c>
      <c r="C1324" t="s">
        <v>1243</v>
      </c>
      <c r="D1324" t="s">
        <v>1304</v>
      </c>
      <c r="E1324">
        <f t="shared" si="421"/>
        <v>45</v>
      </c>
      <c r="G1324">
        <f t="shared" si="405"/>
        <v>3</v>
      </c>
      <c r="H1324" t="str">
        <f t="shared" si="406"/>
        <v/>
      </c>
      <c r="I1324" t="str">
        <f t="shared" si="407"/>
        <v/>
      </c>
      <c r="J1324" t="str">
        <f t="shared" si="408"/>
        <v/>
      </c>
      <c r="K1324" t="str">
        <f t="shared" si="409"/>
        <v/>
      </c>
      <c r="L1324" t="str">
        <f t="shared" si="410"/>
        <v/>
      </c>
      <c r="M1324" t="str">
        <f t="shared" si="411"/>
        <v/>
      </c>
      <c r="N1324" t="str">
        <f t="shared" si="412"/>
        <v/>
      </c>
      <c r="O1324" t="str">
        <f t="shared" si="413"/>
        <v/>
      </c>
      <c r="P1324" t="str">
        <f t="shared" si="414"/>
        <v/>
      </c>
      <c r="Q1324" t="str">
        <f t="shared" si="415"/>
        <v/>
      </c>
      <c r="R1324" t="str">
        <f t="shared" si="416"/>
        <v/>
      </c>
      <c r="S1324" t="str">
        <f t="shared" si="417"/>
        <v/>
      </c>
      <c r="T1324" t="str">
        <f t="shared" si="418"/>
        <v/>
      </c>
      <c r="U1324" t="str">
        <f t="shared" si="419"/>
        <v/>
      </c>
      <c r="V1324" t="str">
        <f t="shared" si="420"/>
        <v/>
      </c>
      <c r="W1324" t="str">
        <f t="shared" si="403"/>
        <v xml:space="preserve">              </v>
      </c>
    </row>
    <row r="1325" spans="1:23" customFormat="1" hidden="1">
      <c r="A1325" t="b">
        <f t="shared" si="402"/>
        <v>0</v>
      </c>
      <c r="B1325">
        <f t="shared" si="404"/>
        <v>1324</v>
      </c>
      <c r="C1325" t="s">
        <v>1243</v>
      </c>
      <c r="D1325" t="s">
        <v>1305</v>
      </c>
      <c r="E1325">
        <f t="shared" si="421"/>
        <v>42</v>
      </c>
      <c r="G1325">
        <f t="shared" si="405"/>
        <v>4</v>
      </c>
      <c r="H1325" t="str">
        <f t="shared" si="406"/>
        <v/>
      </c>
      <c r="I1325" t="str">
        <f t="shared" si="407"/>
        <v/>
      </c>
      <c r="J1325" t="str">
        <f t="shared" si="408"/>
        <v/>
      </c>
      <c r="K1325" t="str">
        <f t="shared" si="409"/>
        <v/>
      </c>
      <c r="L1325" t="str">
        <f t="shared" si="410"/>
        <v/>
      </c>
      <c r="M1325" t="str">
        <f t="shared" si="411"/>
        <v/>
      </c>
      <c r="N1325" t="str">
        <f t="shared" si="412"/>
        <v/>
      </c>
      <c r="O1325" t="str">
        <f t="shared" si="413"/>
        <v/>
      </c>
      <c r="P1325" t="str">
        <f t="shared" si="414"/>
        <v/>
      </c>
      <c r="Q1325" t="str">
        <f t="shared" si="415"/>
        <v/>
      </c>
      <c r="R1325" t="str">
        <f t="shared" si="416"/>
        <v/>
      </c>
      <c r="S1325" t="str">
        <f t="shared" si="417"/>
        <v/>
      </c>
      <c r="T1325" t="str">
        <f t="shared" si="418"/>
        <v/>
      </c>
      <c r="U1325" t="str">
        <f t="shared" si="419"/>
        <v/>
      </c>
      <c r="V1325" t="str">
        <f t="shared" si="420"/>
        <v/>
      </c>
      <c r="W1325" t="str">
        <f t="shared" si="403"/>
        <v xml:space="preserve">              </v>
      </c>
    </row>
    <row r="1326" spans="1:23" customFormat="1" hidden="1">
      <c r="A1326" t="b">
        <f t="shared" si="402"/>
        <v>0</v>
      </c>
      <c r="B1326">
        <f t="shared" si="404"/>
        <v>1325</v>
      </c>
      <c r="C1326" t="s">
        <v>1243</v>
      </c>
      <c r="D1326" t="s">
        <v>1306</v>
      </c>
      <c r="E1326">
        <f t="shared" si="421"/>
        <v>52</v>
      </c>
      <c r="G1326">
        <f t="shared" si="405"/>
        <v>5</v>
      </c>
      <c r="H1326" t="str">
        <f t="shared" si="406"/>
        <v/>
      </c>
      <c r="I1326" t="str">
        <f t="shared" si="407"/>
        <v/>
      </c>
      <c r="J1326" t="str">
        <f t="shared" si="408"/>
        <v/>
      </c>
      <c r="K1326" t="str">
        <f t="shared" si="409"/>
        <v/>
      </c>
      <c r="L1326" t="str">
        <f t="shared" si="410"/>
        <v/>
      </c>
      <c r="M1326" t="str">
        <f t="shared" si="411"/>
        <v/>
      </c>
      <c r="N1326" t="str">
        <f t="shared" si="412"/>
        <v/>
      </c>
      <c r="O1326" t="str">
        <f t="shared" si="413"/>
        <v/>
      </c>
      <c r="P1326" t="str">
        <f t="shared" si="414"/>
        <v/>
      </c>
      <c r="Q1326" t="str">
        <f t="shared" si="415"/>
        <v/>
      </c>
      <c r="R1326" t="str">
        <f t="shared" si="416"/>
        <v/>
      </c>
      <c r="S1326" t="str">
        <f t="shared" si="417"/>
        <v/>
      </c>
      <c r="T1326" t="str">
        <f t="shared" si="418"/>
        <v/>
      </c>
      <c r="U1326" t="str">
        <f t="shared" si="419"/>
        <v/>
      </c>
      <c r="V1326" t="str">
        <f t="shared" si="420"/>
        <v/>
      </c>
      <c r="W1326" t="str">
        <f t="shared" si="403"/>
        <v xml:space="preserve">              </v>
      </c>
    </row>
    <row r="1327" spans="1:23" customFormat="1" hidden="1">
      <c r="A1327" t="b">
        <f t="shared" si="402"/>
        <v>0</v>
      </c>
      <c r="B1327">
        <f t="shared" si="404"/>
        <v>1326</v>
      </c>
      <c r="C1327" t="s">
        <v>1243</v>
      </c>
      <c r="D1327" t="s">
        <v>1307</v>
      </c>
      <c r="E1327">
        <f t="shared" si="421"/>
        <v>14</v>
      </c>
      <c r="G1327">
        <f t="shared" si="405"/>
        <v>6</v>
      </c>
      <c r="H1327" t="str">
        <f t="shared" si="406"/>
        <v/>
      </c>
      <c r="I1327" t="str">
        <f t="shared" si="407"/>
        <v/>
      </c>
      <c r="J1327" t="str">
        <f t="shared" si="408"/>
        <v/>
      </c>
      <c r="K1327" t="str">
        <f t="shared" si="409"/>
        <v/>
      </c>
      <c r="L1327" t="str">
        <f t="shared" si="410"/>
        <v/>
      </c>
      <c r="M1327" t="str">
        <f t="shared" si="411"/>
        <v/>
      </c>
      <c r="N1327" t="str">
        <f t="shared" si="412"/>
        <v/>
      </c>
      <c r="O1327" t="str">
        <f t="shared" si="413"/>
        <v/>
      </c>
      <c r="P1327" t="str">
        <f t="shared" si="414"/>
        <v/>
      </c>
      <c r="Q1327" t="str">
        <f t="shared" si="415"/>
        <v/>
      </c>
      <c r="R1327" t="str">
        <f t="shared" si="416"/>
        <v/>
      </c>
      <c r="S1327" t="str">
        <f t="shared" si="417"/>
        <v/>
      </c>
      <c r="T1327" t="str">
        <f t="shared" si="418"/>
        <v/>
      </c>
      <c r="U1327" t="str">
        <f t="shared" si="419"/>
        <v/>
      </c>
      <c r="V1327" t="str">
        <f t="shared" si="420"/>
        <v/>
      </c>
      <c r="W1327" t="str">
        <f t="shared" si="403"/>
        <v xml:space="preserve">              </v>
      </c>
    </row>
    <row r="1328" spans="1:23" hidden="1">
      <c r="A1328" s="71" t="b">
        <f t="shared" si="402"/>
        <v>0</v>
      </c>
      <c r="B1328" s="71">
        <f t="shared" si="404"/>
        <v>1327</v>
      </c>
      <c r="C1328" s="71" t="s">
        <v>1243</v>
      </c>
      <c r="D1328" s="71" t="s">
        <v>1308</v>
      </c>
      <c r="E1328">
        <f t="shared" si="421"/>
        <v>7</v>
      </c>
      <c r="F1328">
        <v>1</v>
      </c>
      <c r="G1328">
        <f t="shared" si="405"/>
        <v>1</v>
      </c>
      <c r="H1328" t="str">
        <f t="shared" si="406"/>
        <v>Exploit</v>
      </c>
      <c r="I1328" t="str">
        <f t="shared" si="407"/>
        <v>A risk response that takes advantage of the</v>
      </c>
      <c r="J1328" t="str">
        <f t="shared" si="408"/>
        <v>positive risks within a project.</v>
      </c>
      <c r="K1328" t="str">
        <f t="shared" si="409"/>
        <v/>
      </c>
      <c r="L1328" t="str">
        <f t="shared" si="410"/>
        <v/>
      </c>
      <c r="M1328" t="str">
        <f t="shared" si="411"/>
        <v/>
      </c>
      <c r="N1328" t="str">
        <f t="shared" si="412"/>
        <v/>
      </c>
      <c r="O1328" t="str">
        <f t="shared" si="413"/>
        <v/>
      </c>
      <c r="P1328" t="str">
        <f t="shared" si="414"/>
        <v/>
      </c>
      <c r="Q1328" t="str">
        <f t="shared" si="415"/>
        <v/>
      </c>
      <c r="R1328" t="str">
        <f t="shared" si="416"/>
        <v/>
      </c>
      <c r="S1328" t="str">
        <f t="shared" si="417"/>
        <v/>
      </c>
      <c r="T1328" t="str">
        <f t="shared" si="418"/>
        <v/>
      </c>
      <c r="U1328" t="str">
        <f t="shared" si="419"/>
        <v/>
      </c>
      <c r="V1328" t="str">
        <f t="shared" si="420"/>
        <v/>
      </c>
      <c r="W1328" s="71" t="str">
        <f>CONCATENATE(H1328," ",I1328," ",J1328," ",K1328," ",L1328," ",M1328," ",N1328," ",O1328," ",P1328," ",Q1328," ",R1328," ",S1328," ",T1328," ",U1328," ",V1328)</f>
        <v xml:space="preserve">Exploit A risk response that takes advantage of the positive risks within a project.            </v>
      </c>
    </row>
    <row r="1329" spans="1:23" customFormat="1" hidden="1">
      <c r="A1329" t="b">
        <f t="shared" si="402"/>
        <v>0</v>
      </c>
      <c r="B1329">
        <f t="shared" si="404"/>
        <v>1328</v>
      </c>
      <c r="C1329" t="s">
        <v>1243</v>
      </c>
      <c r="D1329" t="s">
        <v>1309</v>
      </c>
      <c r="E1329">
        <f t="shared" si="421"/>
        <v>43</v>
      </c>
      <c r="G1329">
        <f t="shared" si="405"/>
        <v>2</v>
      </c>
      <c r="H1329" t="str">
        <f t="shared" si="406"/>
        <v/>
      </c>
      <c r="I1329" t="str">
        <f t="shared" si="407"/>
        <v/>
      </c>
      <c r="J1329" t="str">
        <f t="shared" si="408"/>
        <v/>
      </c>
      <c r="K1329" t="str">
        <f t="shared" si="409"/>
        <v/>
      </c>
      <c r="L1329" t="str">
        <f t="shared" si="410"/>
        <v/>
      </c>
      <c r="M1329" t="str">
        <f t="shared" si="411"/>
        <v/>
      </c>
      <c r="N1329" t="str">
        <f t="shared" si="412"/>
        <v/>
      </c>
      <c r="O1329" t="str">
        <f t="shared" si="413"/>
        <v/>
      </c>
      <c r="P1329" t="str">
        <f t="shared" si="414"/>
        <v/>
      </c>
      <c r="Q1329" t="str">
        <f t="shared" si="415"/>
        <v/>
      </c>
      <c r="R1329" t="str">
        <f t="shared" si="416"/>
        <v/>
      </c>
      <c r="S1329" t="str">
        <f t="shared" si="417"/>
        <v/>
      </c>
      <c r="T1329" t="str">
        <f t="shared" si="418"/>
        <v/>
      </c>
      <c r="U1329" t="str">
        <f t="shared" si="419"/>
        <v/>
      </c>
      <c r="V1329" t="str">
        <f t="shared" si="420"/>
        <v/>
      </c>
      <c r="W1329" t="str">
        <f t="shared" si="403"/>
        <v xml:space="preserve">              </v>
      </c>
    </row>
    <row r="1330" spans="1:23" customFormat="1" hidden="1">
      <c r="A1330" t="b">
        <f t="shared" si="402"/>
        <v>0</v>
      </c>
      <c r="B1330">
        <f t="shared" si="404"/>
        <v>1329</v>
      </c>
      <c r="C1330" t="s">
        <v>1243</v>
      </c>
      <c r="D1330" t="s">
        <v>1310</v>
      </c>
      <c r="E1330">
        <f t="shared" si="421"/>
        <v>32</v>
      </c>
      <c r="G1330">
        <f t="shared" si="405"/>
        <v>3</v>
      </c>
      <c r="H1330" t="str">
        <f t="shared" si="406"/>
        <v/>
      </c>
      <c r="I1330" t="str">
        <f t="shared" si="407"/>
        <v/>
      </c>
      <c r="J1330" t="str">
        <f t="shared" si="408"/>
        <v/>
      </c>
      <c r="K1330" t="str">
        <f t="shared" si="409"/>
        <v/>
      </c>
      <c r="L1330" t="str">
        <f t="shared" si="410"/>
        <v/>
      </c>
      <c r="M1330" t="str">
        <f t="shared" si="411"/>
        <v/>
      </c>
      <c r="N1330" t="str">
        <f t="shared" si="412"/>
        <v/>
      </c>
      <c r="O1330" t="str">
        <f t="shared" si="413"/>
        <v/>
      </c>
      <c r="P1330" t="str">
        <f t="shared" si="414"/>
        <v/>
      </c>
      <c r="Q1330" t="str">
        <f t="shared" si="415"/>
        <v/>
      </c>
      <c r="R1330" t="str">
        <f t="shared" si="416"/>
        <v/>
      </c>
      <c r="S1330" t="str">
        <f t="shared" si="417"/>
        <v/>
      </c>
      <c r="T1330" t="str">
        <f t="shared" si="418"/>
        <v/>
      </c>
      <c r="U1330" t="str">
        <f t="shared" si="419"/>
        <v/>
      </c>
      <c r="V1330" t="str">
        <f t="shared" si="420"/>
        <v/>
      </c>
      <c r="W1330" t="str">
        <f t="shared" si="403"/>
        <v xml:space="preserve">              </v>
      </c>
    </row>
    <row r="1331" spans="1:23" hidden="1">
      <c r="A1331" s="71" t="b">
        <f t="shared" si="402"/>
        <v>0</v>
      </c>
      <c r="B1331" s="71">
        <f t="shared" si="404"/>
        <v>1330</v>
      </c>
      <c r="C1331" s="71" t="s">
        <v>1243</v>
      </c>
      <c r="D1331" s="71" t="s">
        <v>1311</v>
      </c>
      <c r="E1331">
        <f t="shared" si="421"/>
        <v>14</v>
      </c>
      <c r="F1331">
        <v>1</v>
      </c>
      <c r="G1331">
        <f t="shared" si="405"/>
        <v>1</v>
      </c>
      <c r="H1331" t="str">
        <f t="shared" si="406"/>
        <v>External risks</v>
      </c>
      <c r="I1331" t="str">
        <f t="shared" si="407"/>
        <v>These risks are outside of the project, but directly</v>
      </c>
      <c r="J1331" t="str">
        <f t="shared" si="408"/>
        <v>affect it—for example, legal issues, labor issues, a</v>
      </c>
      <c r="K1331" t="str">
        <f t="shared" si="409"/>
        <v>shift in project priorities, or weather. “Force</v>
      </c>
      <c r="L1331" t="str">
        <f t="shared" si="410"/>
        <v>majeure” risks call for disaster recovery rather</v>
      </c>
      <c r="M1331" t="str">
        <f t="shared" si="411"/>
        <v>than project management. These are risks caused</v>
      </c>
      <c r="N1331" t="str">
        <f t="shared" si="412"/>
        <v>by earthquakes, tornadoes, floods, civil unrest,</v>
      </c>
      <c r="O1331" t="str">
        <f t="shared" si="413"/>
        <v>and other disasters.</v>
      </c>
      <c r="P1331" t="str">
        <f t="shared" si="414"/>
        <v/>
      </c>
      <c r="Q1331" t="str">
        <f t="shared" si="415"/>
        <v/>
      </c>
      <c r="R1331" t="str">
        <f t="shared" si="416"/>
        <v/>
      </c>
      <c r="S1331" t="str">
        <f t="shared" si="417"/>
        <v/>
      </c>
      <c r="T1331" t="str">
        <f t="shared" si="418"/>
        <v/>
      </c>
      <c r="U1331" t="str">
        <f t="shared" si="419"/>
        <v/>
      </c>
      <c r="V1331" t="str">
        <f t="shared" si="420"/>
        <v/>
      </c>
      <c r="W1331" s="71" t="str">
        <f>CONCATENATE(H1331," ",I1331," ",J1331," ",K1331," ",L1331," ",M1331," ",N1331," ",O1331," ",P1331," ",Q1331," ",R1331," ",S1331," ",T1331," ",U1331," ",V1331)</f>
        <v xml:space="preserve">External risks These risks are outside of the project, but directly affect it—for example, legal issues, labor issues, a shift in project priorities, or weather. “Force majeure” risks call for disaster recovery rather than project management. These are risks caused by earthquakes, tornadoes, floods, civil unrest, and other disasters.       </v>
      </c>
    </row>
    <row r="1332" spans="1:23" customFormat="1" hidden="1">
      <c r="A1332" t="b">
        <f t="shared" si="402"/>
        <v>0</v>
      </c>
      <c r="B1332">
        <f t="shared" si="404"/>
        <v>1331</v>
      </c>
      <c r="C1332" t="s">
        <v>1243</v>
      </c>
      <c r="D1332" t="s">
        <v>1312</v>
      </c>
      <c r="E1332">
        <f t="shared" si="421"/>
        <v>52</v>
      </c>
      <c r="G1332">
        <f t="shared" si="405"/>
        <v>2</v>
      </c>
      <c r="H1332" t="str">
        <f t="shared" si="406"/>
        <v/>
      </c>
      <c r="I1332" t="str">
        <f t="shared" si="407"/>
        <v/>
      </c>
      <c r="J1332" t="str">
        <f t="shared" si="408"/>
        <v/>
      </c>
      <c r="K1332" t="str">
        <f t="shared" si="409"/>
        <v/>
      </c>
      <c r="L1332" t="str">
        <f t="shared" si="410"/>
        <v/>
      </c>
      <c r="M1332" t="str">
        <f t="shared" si="411"/>
        <v/>
      </c>
      <c r="N1332" t="str">
        <f t="shared" si="412"/>
        <v/>
      </c>
      <c r="O1332" t="str">
        <f t="shared" si="413"/>
        <v/>
      </c>
      <c r="P1332" t="str">
        <f t="shared" si="414"/>
        <v/>
      </c>
      <c r="Q1332" t="str">
        <f t="shared" si="415"/>
        <v/>
      </c>
      <c r="R1332" t="str">
        <f t="shared" si="416"/>
        <v/>
      </c>
      <c r="S1332" t="str">
        <f t="shared" si="417"/>
        <v/>
      </c>
      <c r="T1332" t="str">
        <f t="shared" si="418"/>
        <v/>
      </c>
      <c r="U1332" t="str">
        <f t="shared" si="419"/>
        <v/>
      </c>
      <c r="V1332" t="str">
        <f t="shared" si="420"/>
        <v/>
      </c>
      <c r="W1332" t="str">
        <f t="shared" si="403"/>
        <v xml:space="preserve">              </v>
      </c>
    </row>
    <row r="1333" spans="1:23" customFormat="1" hidden="1">
      <c r="A1333" t="b">
        <f t="shared" si="402"/>
        <v>0</v>
      </c>
      <c r="B1333">
        <f t="shared" si="404"/>
        <v>1332</v>
      </c>
      <c r="C1333" t="s">
        <v>1243</v>
      </c>
      <c r="D1333" t="s">
        <v>1313</v>
      </c>
      <c r="E1333">
        <f t="shared" si="421"/>
        <v>52</v>
      </c>
      <c r="G1333">
        <f t="shared" si="405"/>
        <v>3</v>
      </c>
      <c r="H1333" t="str">
        <f t="shared" si="406"/>
        <v/>
      </c>
      <c r="I1333" t="str">
        <f t="shared" si="407"/>
        <v/>
      </c>
      <c r="J1333" t="str">
        <f t="shared" si="408"/>
        <v/>
      </c>
      <c r="K1333" t="str">
        <f t="shared" si="409"/>
        <v/>
      </c>
      <c r="L1333" t="str">
        <f t="shared" si="410"/>
        <v/>
      </c>
      <c r="M1333" t="str">
        <f t="shared" si="411"/>
        <v/>
      </c>
      <c r="N1333" t="str">
        <f t="shared" si="412"/>
        <v/>
      </c>
      <c r="O1333" t="str">
        <f t="shared" si="413"/>
        <v/>
      </c>
      <c r="P1333" t="str">
        <f t="shared" si="414"/>
        <v/>
      </c>
      <c r="Q1333" t="str">
        <f t="shared" si="415"/>
        <v/>
      </c>
      <c r="R1333" t="str">
        <f t="shared" si="416"/>
        <v/>
      </c>
      <c r="S1333" t="str">
        <f t="shared" si="417"/>
        <v/>
      </c>
      <c r="T1333" t="str">
        <f t="shared" si="418"/>
        <v/>
      </c>
      <c r="U1333" t="str">
        <f t="shared" si="419"/>
        <v/>
      </c>
      <c r="V1333" t="str">
        <f t="shared" si="420"/>
        <v/>
      </c>
      <c r="W1333" t="str">
        <f t="shared" si="403"/>
        <v xml:space="preserve">              </v>
      </c>
    </row>
    <row r="1334" spans="1:23" customFormat="1" hidden="1">
      <c r="A1334" t="b">
        <f t="shared" si="402"/>
        <v>0</v>
      </c>
      <c r="B1334">
        <f t="shared" si="404"/>
        <v>1333</v>
      </c>
      <c r="C1334" t="s">
        <v>1243</v>
      </c>
      <c r="D1334" t="s">
        <v>1314</v>
      </c>
      <c r="E1334">
        <f t="shared" si="421"/>
        <v>47</v>
      </c>
      <c r="G1334">
        <f t="shared" si="405"/>
        <v>4</v>
      </c>
      <c r="H1334" t="str">
        <f t="shared" si="406"/>
        <v/>
      </c>
      <c r="I1334" t="str">
        <f t="shared" si="407"/>
        <v/>
      </c>
      <c r="J1334" t="str">
        <f t="shared" si="408"/>
        <v/>
      </c>
      <c r="K1334" t="str">
        <f t="shared" si="409"/>
        <v/>
      </c>
      <c r="L1334" t="str">
        <f t="shared" si="410"/>
        <v/>
      </c>
      <c r="M1334" t="str">
        <f t="shared" si="411"/>
        <v/>
      </c>
      <c r="N1334" t="str">
        <f t="shared" si="412"/>
        <v/>
      </c>
      <c r="O1334" t="str">
        <f t="shared" si="413"/>
        <v/>
      </c>
      <c r="P1334" t="str">
        <f t="shared" si="414"/>
        <v/>
      </c>
      <c r="Q1334" t="str">
        <f t="shared" si="415"/>
        <v/>
      </c>
      <c r="R1334" t="str">
        <f t="shared" si="416"/>
        <v/>
      </c>
      <c r="S1334" t="str">
        <f t="shared" si="417"/>
        <v/>
      </c>
      <c r="T1334" t="str">
        <f t="shared" si="418"/>
        <v/>
      </c>
      <c r="U1334" t="str">
        <f t="shared" si="419"/>
        <v/>
      </c>
      <c r="V1334" t="str">
        <f t="shared" si="420"/>
        <v/>
      </c>
      <c r="W1334" t="str">
        <f t="shared" si="403"/>
        <v xml:space="preserve">              </v>
      </c>
    </row>
    <row r="1335" spans="1:23" customFormat="1" hidden="1">
      <c r="A1335" t="b">
        <f t="shared" si="402"/>
        <v>0</v>
      </c>
      <c r="B1335">
        <f t="shared" si="404"/>
        <v>1334</v>
      </c>
      <c r="C1335" t="s">
        <v>1243</v>
      </c>
      <c r="D1335" t="s">
        <v>1315</v>
      </c>
      <c r="E1335">
        <f t="shared" si="421"/>
        <v>48</v>
      </c>
      <c r="G1335">
        <f t="shared" si="405"/>
        <v>5</v>
      </c>
      <c r="H1335" t="str">
        <f t="shared" si="406"/>
        <v/>
      </c>
      <c r="I1335" t="str">
        <f t="shared" si="407"/>
        <v/>
      </c>
      <c r="J1335" t="str">
        <f t="shared" si="408"/>
        <v/>
      </c>
      <c r="K1335" t="str">
        <f t="shared" si="409"/>
        <v/>
      </c>
      <c r="L1335" t="str">
        <f t="shared" si="410"/>
        <v/>
      </c>
      <c r="M1335" t="str">
        <f t="shared" si="411"/>
        <v/>
      </c>
      <c r="N1335" t="str">
        <f t="shared" si="412"/>
        <v/>
      </c>
      <c r="O1335" t="str">
        <f t="shared" si="413"/>
        <v/>
      </c>
      <c r="P1335" t="str">
        <f t="shared" si="414"/>
        <v/>
      </c>
      <c r="Q1335" t="str">
        <f t="shared" si="415"/>
        <v/>
      </c>
      <c r="R1335" t="str">
        <f t="shared" si="416"/>
        <v/>
      </c>
      <c r="S1335" t="str">
        <f t="shared" si="417"/>
        <v/>
      </c>
      <c r="T1335" t="str">
        <f t="shared" si="418"/>
        <v/>
      </c>
      <c r="U1335" t="str">
        <f t="shared" si="419"/>
        <v/>
      </c>
      <c r="V1335" t="str">
        <f t="shared" si="420"/>
        <v/>
      </c>
      <c r="W1335" t="str">
        <f t="shared" si="403"/>
        <v xml:space="preserve">              </v>
      </c>
    </row>
    <row r="1336" spans="1:23" customFormat="1" hidden="1">
      <c r="A1336" t="b">
        <f t="shared" si="402"/>
        <v>0</v>
      </c>
      <c r="B1336">
        <f t="shared" si="404"/>
        <v>1335</v>
      </c>
      <c r="C1336" t="s">
        <v>1243</v>
      </c>
      <c r="D1336" t="s">
        <v>1316</v>
      </c>
      <c r="E1336">
        <f t="shared" si="421"/>
        <v>47</v>
      </c>
      <c r="G1336">
        <f t="shared" si="405"/>
        <v>6</v>
      </c>
      <c r="H1336" t="str">
        <f t="shared" si="406"/>
        <v/>
      </c>
      <c r="I1336" t="str">
        <f t="shared" si="407"/>
        <v/>
      </c>
      <c r="J1336" t="str">
        <f t="shared" si="408"/>
        <v/>
      </c>
      <c r="K1336" t="str">
        <f t="shared" si="409"/>
        <v/>
      </c>
      <c r="L1336" t="str">
        <f t="shared" si="410"/>
        <v/>
      </c>
      <c r="M1336" t="str">
        <f t="shared" si="411"/>
        <v/>
      </c>
      <c r="N1336" t="str">
        <f t="shared" si="412"/>
        <v/>
      </c>
      <c r="O1336" t="str">
        <f t="shared" si="413"/>
        <v/>
      </c>
      <c r="P1336" t="str">
        <f t="shared" si="414"/>
        <v/>
      </c>
      <c r="Q1336" t="str">
        <f t="shared" si="415"/>
        <v/>
      </c>
      <c r="R1336" t="str">
        <f t="shared" si="416"/>
        <v/>
      </c>
      <c r="S1336" t="str">
        <f t="shared" si="417"/>
        <v/>
      </c>
      <c r="T1336" t="str">
        <f t="shared" si="418"/>
        <v/>
      </c>
      <c r="U1336" t="str">
        <f t="shared" si="419"/>
        <v/>
      </c>
      <c r="V1336" t="str">
        <f t="shared" si="420"/>
        <v/>
      </c>
      <c r="W1336" t="str">
        <f t="shared" si="403"/>
        <v xml:space="preserve">              </v>
      </c>
    </row>
    <row r="1337" spans="1:23" customFormat="1" hidden="1">
      <c r="A1337" t="b">
        <f t="shared" si="402"/>
        <v>0</v>
      </c>
      <c r="B1337">
        <f t="shared" si="404"/>
        <v>1336</v>
      </c>
      <c r="C1337" t="s">
        <v>1243</v>
      </c>
      <c r="D1337" t="s">
        <v>1317</v>
      </c>
      <c r="E1337">
        <f t="shared" si="421"/>
        <v>48</v>
      </c>
      <c r="G1337">
        <f t="shared" si="405"/>
        <v>7</v>
      </c>
      <c r="H1337" t="str">
        <f t="shared" si="406"/>
        <v/>
      </c>
      <c r="I1337" t="str">
        <f t="shared" si="407"/>
        <v/>
      </c>
      <c r="J1337" t="str">
        <f t="shared" si="408"/>
        <v/>
      </c>
      <c r="K1337" t="str">
        <f t="shared" si="409"/>
        <v/>
      </c>
      <c r="L1337" t="str">
        <f t="shared" si="410"/>
        <v/>
      </c>
      <c r="M1337" t="str">
        <f t="shared" si="411"/>
        <v/>
      </c>
      <c r="N1337" t="str">
        <f t="shared" si="412"/>
        <v/>
      </c>
      <c r="O1337" t="str">
        <f t="shared" si="413"/>
        <v/>
      </c>
      <c r="P1337" t="str">
        <f t="shared" si="414"/>
        <v/>
      </c>
      <c r="Q1337" t="str">
        <f t="shared" si="415"/>
        <v/>
      </c>
      <c r="R1337" t="str">
        <f t="shared" si="416"/>
        <v/>
      </c>
      <c r="S1337" t="str">
        <f t="shared" si="417"/>
        <v/>
      </c>
      <c r="T1337" t="str">
        <f t="shared" si="418"/>
        <v/>
      </c>
      <c r="U1337" t="str">
        <f t="shared" si="419"/>
        <v/>
      </c>
      <c r="V1337" t="str">
        <f t="shared" si="420"/>
        <v/>
      </c>
      <c r="W1337" t="str">
        <f t="shared" si="403"/>
        <v xml:space="preserve">              </v>
      </c>
    </row>
    <row r="1338" spans="1:23" customFormat="1" hidden="1">
      <c r="A1338" t="b">
        <f t="shared" si="402"/>
        <v>0</v>
      </c>
      <c r="B1338">
        <f t="shared" si="404"/>
        <v>1337</v>
      </c>
      <c r="C1338" t="s">
        <v>1243</v>
      </c>
      <c r="D1338" t="s">
        <v>1318</v>
      </c>
      <c r="E1338">
        <f t="shared" si="421"/>
        <v>20</v>
      </c>
      <c r="G1338">
        <f t="shared" si="405"/>
        <v>8</v>
      </c>
      <c r="H1338" t="str">
        <f t="shared" si="406"/>
        <v/>
      </c>
      <c r="I1338" t="str">
        <f t="shared" si="407"/>
        <v/>
      </c>
      <c r="J1338" t="str">
        <f t="shared" si="408"/>
        <v/>
      </c>
      <c r="K1338" t="str">
        <f t="shared" si="409"/>
        <v/>
      </c>
      <c r="L1338" t="str">
        <f t="shared" si="410"/>
        <v/>
      </c>
      <c r="M1338" t="str">
        <f t="shared" si="411"/>
        <v/>
      </c>
      <c r="N1338" t="str">
        <f t="shared" si="412"/>
        <v/>
      </c>
      <c r="O1338" t="str">
        <f t="shared" si="413"/>
        <v/>
      </c>
      <c r="P1338" t="str">
        <f t="shared" si="414"/>
        <v/>
      </c>
      <c r="Q1338" t="str">
        <f t="shared" si="415"/>
        <v/>
      </c>
      <c r="R1338" t="str">
        <f t="shared" si="416"/>
        <v/>
      </c>
      <c r="S1338" t="str">
        <f t="shared" si="417"/>
        <v/>
      </c>
      <c r="T1338" t="str">
        <f t="shared" si="418"/>
        <v/>
      </c>
      <c r="U1338" t="str">
        <f t="shared" si="419"/>
        <v/>
      </c>
      <c r="V1338" t="str">
        <f t="shared" si="420"/>
        <v/>
      </c>
      <c r="W1338" t="str">
        <f t="shared" si="403"/>
        <v xml:space="preserve">              </v>
      </c>
    </row>
    <row r="1339" spans="1:23" hidden="1">
      <c r="A1339" s="71" t="b">
        <f t="shared" si="402"/>
        <v>0</v>
      </c>
      <c r="B1339" s="71">
        <f t="shared" si="404"/>
        <v>1338</v>
      </c>
      <c r="C1339" s="71" t="s">
        <v>1243</v>
      </c>
      <c r="D1339" s="71" t="s">
        <v>1319</v>
      </c>
      <c r="E1339">
        <f t="shared" si="421"/>
        <v>10</v>
      </c>
      <c r="F1339">
        <v>1</v>
      </c>
      <c r="G1339">
        <f t="shared" si="405"/>
        <v>1</v>
      </c>
      <c r="H1339" t="str">
        <f t="shared" si="406"/>
        <v>Flowcharts</v>
      </c>
      <c r="I1339" t="str">
        <f t="shared" si="407"/>
        <v>System or process flowcharts show the</v>
      </c>
      <c r="J1339" t="str">
        <f t="shared" si="408"/>
        <v>relationship between components and how the</v>
      </c>
      <c r="K1339" t="str">
        <f t="shared" si="409"/>
        <v>overall process works. These are useful for</v>
      </c>
      <c r="L1339" t="str">
        <f t="shared" si="410"/>
        <v>identifying risks between system components.</v>
      </c>
      <c r="M1339" t="str">
        <f t="shared" si="411"/>
        <v/>
      </c>
      <c r="N1339" t="str">
        <f t="shared" si="412"/>
        <v/>
      </c>
      <c r="O1339" t="str">
        <f t="shared" si="413"/>
        <v/>
      </c>
      <c r="P1339" t="str">
        <f t="shared" si="414"/>
        <v/>
      </c>
      <c r="Q1339" t="str">
        <f t="shared" si="415"/>
        <v/>
      </c>
      <c r="R1339" t="str">
        <f t="shared" si="416"/>
        <v/>
      </c>
      <c r="S1339" t="str">
        <f t="shared" si="417"/>
        <v/>
      </c>
      <c r="T1339" t="str">
        <f t="shared" si="418"/>
        <v/>
      </c>
      <c r="U1339" t="str">
        <f t="shared" si="419"/>
        <v/>
      </c>
      <c r="V1339" t="str">
        <f t="shared" si="420"/>
        <v/>
      </c>
      <c r="W1339" s="71" t="str">
        <f>CONCATENATE(H1339," ",I1339," ",J1339," ",K1339," ",L1339," ",M1339," ",N1339," ",O1339," ",P1339," ",Q1339," ",R1339," ",S1339," ",T1339," ",U1339," ",V1339)</f>
        <v xml:space="preserve">Flowcharts System or process flowcharts show the relationship between components and how the overall process works. These are useful for identifying risks between system components.          </v>
      </c>
    </row>
    <row r="1340" spans="1:23" customFormat="1" hidden="1">
      <c r="A1340" t="b">
        <f t="shared" si="402"/>
        <v>0</v>
      </c>
      <c r="B1340">
        <f t="shared" si="404"/>
        <v>1339</v>
      </c>
      <c r="C1340" t="s">
        <v>1243</v>
      </c>
      <c r="D1340" t="s">
        <v>1320</v>
      </c>
      <c r="E1340">
        <f t="shared" si="421"/>
        <v>37</v>
      </c>
      <c r="G1340">
        <f t="shared" si="405"/>
        <v>2</v>
      </c>
      <c r="H1340" t="str">
        <f t="shared" si="406"/>
        <v/>
      </c>
      <c r="I1340" t="str">
        <f t="shared" si="407"/>
        <v/>
      </c>
      <c r="J1340" t="str">
        <f t="shared" si="408"/>
        <v/>
      </c>
      <c r="K1340" t="str">
        <f t="shared" si="409"/>
        <v/>
      </c>
      <c r="L1340" t="str">
        <f t="shared" si="410"/>
        <v/>
      </c>
      <c r="M1340" t="str">
        <f t="shared" si="411"/>
        <v/>
      </c>
      <c r="N1340" t="str">
        <f t="shared" si="412"/>
        <v/>
      </c>
      <c r="O1340" t="str">
        <f t="shared" si="413"/>
        <v/>
      </c>
      <c r="P1340" t="str">
        <f t="shared" si="414"/>
        <v/>
      </c>
      <c r="Q1340" t="str">
        <f t="shared" si="415"/>
        <v/>
      </c>
      <c r="R1340" t="str">
        <f t="shared" si="416"/>
        <v/>
      </c>
      <c r="S1340" t="str">
        <f t="shared" si="417"/>
        <v/>
      </c>
      <c r="T1340" t="str">
        <f t="shared" si="418"/>
        <v/>
      </c>
      <c r="U1340" t="str">
        <f t="shared" si="419"/>
        <v/>
      </c>
      <c r="V1340" t="str">
        <f t="shared" si="420"/>
        <v/>
      </c>
      <c r="W1340" t="str">
        <f t="shared" si="403"/>
        <v xml:space="preserve">              </v>
      </c>
    </row>
    <row r="1341" spans="1:23" customFormat="1" hidden="1">
      <c r="A1341" t="b">
        <f t="shared" ref="A1341:A1404" si="422">C1341=D1341</f>
        <v>0</v>
      </c>
      <c r="B1341">
        <f t="shared" si="404"/>
        <v>1340</v>
      </c>
      <c r="C1341" t="s">
        <v>1243</v>
      </c>
      <c r="D1341" t="s">
        <v>1321</v>
      </c>
      <c r="E1341">
        <f t="shared" si="421"/>
        <v>43</v>
      </c>
      <c r="G1341">
        <f t="shared" si="405"/>
        <v>3</v>
      </c>
      <c r="H1341" t="str">
        <f t="shared" si="406"/>
        <v/>
      </c>
      <c r="I1341" t="str">
        <f t="shared" si="407"/>
        <v/>
      </c>
      <c r="J1341" t="str">
        <f t="shared" si="408"/>
        <v/>
      </c>
      <c r="K1341" t="str">
        <f t="shared" si="409"/>
        <v/>
      </c>
      <c r="L1341" t="str">
        <f t="shared" si="410"/>
        <v/>
      </c>
      <c r="M1341" t="str">
        <f t="shared" si="411"/>
        <v/>
      </c>
      <c r="N1341" t="str">
        <f t="shared" si="412"/>
        <v/>
      </c>
      <c r="O1341" t="str">
        <f t="shared" si="413"/>
        <v/>
      </c>
      <c r="P1341" t="str">
        <f t="shared" si="414"/>
        <v/>
      </c>
      <c r="Q1341" t="str">
        <f t="shared" si="415"/>
        <v/>
      </c>
      <c r="R1341" t="str">
        <f t="shared" si="416"/>
        <v/>
      </c>
      <c r="S1341" t="str">
        <f t="shared" si="417"/>
        <v/>
      </c>
      <c r="T1341" t="str">
        <f t="shared" si="418"/>
        <v/>
      </c>
      <c r="U1341" t="str">
        <f t="shared" si="419"/>
        <v/>
      </c>
      <c r="V1341" t="str">
        <f t="shared" si="420"/>
        <v/>
      </c>
      <c r="W1341" t="str">
        <f t="shared" ref="W1341:W1404" si="423">CONCATENATE(H1341," ",I1341," ",J1341," ",K1341," ",L1341," ",M1341," ",N1341," ",O1341," ",P1341," ",Q1341," ",R1341," ",S1341," ",T1341," ",U1341," ",V1341)</f>
        <v xml:space="preserve">              </v>
      </c>
    </row>
    <row r="1342" spans="1:23" customFormat="1" hidden="1">
      <c r="A1342" t="b">
        <f t="shared" si="422"/>
        <v>0</v>
      </c>
      <c r="B1342">
        <f t="shared" si="404"/>
        <v>1341</v>
      </c>
      <c r="C1342" t="s">
        <v>1243</v>
      </c>
      <c r="D1342" t="s">
        <v>1322</v>
      </c>
      <c r="E1342">
        <f t="shared" si="421"/>
        <v>43</v>
      </c>
      <c r="G1342">
        <f t="shared" si="405"/>
        <v>4</v>
      </c>
      <c r="H1342" t="str">
        <f t="shared" si="406"/>
        <v/>
      </c>
      <c r="I1342" t="str">
        <f t="shared" si="407"/>
        <v/>
      </c>
      <c r="J1342" t="str">
        <f t="shared" si="408"/>
        <v/>
      </c>
      <c r="K1342" t="str">
        <f t="shared" si="409"/>
        <v/>
      </c>
      <c r="L1342" t="str">
        <f t="shared" si="410"/>
        <v/>
      </c>
      <c r="M1342" t="str">
        <f t="shared" si="411"/>
        <v/>
      </c>
      <c r="N1342" t="str">
        <f t="shared" si="412"/>
        <v/>
      </c>
      <c r="O1342" t="str">
        <f t="shared" si="413"/>
        <v/>
      </c>
      <c r="P1342" t="str">
        <f t="shared" si="414"/>
        <v/>
      </c>
      <c r="Q1342" t="str">
        <f t="shared" si="415"/>
        <v/>
      </c>
      <c r="R1342" t="str">
        <f t="shared" si="416"/>
        <v/>
      </c>
      <c r="S1342" t="str">
        <f t="shared" si="417"/>
        <v/>
      </c>
      <c r="T1342" t="str">
        <f t="shared" si="418"/>
        <v/>
      </c>
      <c r="U1342" t="str">
        <f t="shared" si="419"/>
        <v/>
      </c>
      <c r="V1342" t="str">
        <f t="shared" si="420"/>
        <v/>
      </c>
      <c r="W1342" t="str">
        <f t="shared" si="423"/>
        <v xml:space="preserve">              </v>
      </c>
    </row>
    <row r="1343" spans="1:23" customFormat="1" hidden="1">
      <c r="A1343" t="b">
        <f t="shared" si="422"/>
        <v>0</v>
      </c>
      <c r="B1343">
        <f t="shared" si="404"/>
        <v>1342</v>
      </c>
      <c r="C1343" t="s">
        <v>1243</v>
      </c>
      <c r="D1343" t="s">
        <v>1323</v>
      </c>
      <c r="E1343">
        <f t="shared" si="421"/>
        <v>44</v>
      </c>
      <c r="G1343">
        <f t="shared" si="405"/>
        <v>5</v>
      </c>
      <c r="H1343" t="str">
        <f t="shared" si="406"/>
        <v/>
      </c>
      <c r="I1343" t="str">
        <f t="shared" si="407"/>
        <v/>
      </c>
      <c r="J1343" t="str">
        <f t="shared" si="408"/>
        <v/>
      </c>
      <c r="K1343" t="str">
        <f t="shared" si="409"/>
        <v/>
      </c>
      <c r="L1343" t="str">
        <f t="shared" si="410"/>
        <v/>
      </c>
      <c r="M1343" t="str">
        <f t="shared" si="411"/>
        <v/>
      </c>
      <c r="N1343" t="str">
        <f t="shared" si="412"/>
        <v/>
      </c>
      <c r="O1343" t="str">
        <f t="shared" si="413"/>
        <v/>
      </c>
      <c r="P1343" t="str">
        <f t="shared" si="414"/>
        <v/>
      </c>
      <c r="Q1343" t="str">
        <f t="shared" si="415"/>
        <v/>
      </c>
      <c r="R1343" t="str">
        <f t="shared" si="416"/>
        <v/>
      </c>
      <c r="S1343" t="str">
        <f t="shared" si="417"/>
        <v/>
      </c>
      <c r="T1343" t="str">
        <f t="shared" si="418"/>
        <v/>
      </c>
      <c r="U1343" t="str">
        <f t="shared" si="419"/>
        <v/>
      </c>
      <c r="V1343" t="str">
        <f t="shared" si="420"/>
        <v/>
      </c>
      <c r="W1343" t="str">
        <f t="shared" si="423"/>
        <v xml:space="preserve">              </v>
      </c>
    </row>
    <row r="1344" spans="1:23" hidden="1">
      <c r="A1344" s="71" t="b">
        <f t="shared" si="422"/>
        <v>0</v>
      </c>
      <c r="B1344" s="71">
        <f t="shared" si="404"/>
        <v>1343</v>
      </c>
      <c r="C1344" s="71" t="s">
        <v>1243</v>
      </c>
      <c r="D1344" s="71" t="s">
        <v>1324</v>
      </c>
      <c r="E1344">
        <f t="shared" si="421"/>
        <v>18</v>
      </c>
      <c r="F1344">
        <v>1</v>
      </c>
      <c r="G1344">
        <f t="shared" si="405"/>
        <v>1</v>
      </c>
      <c r="H1344" t="str">
        <f t="shared" si="406"/>
        <v>Influence diagrams</v>
      </c>
      <c r="I1344" t="str">
        <f t="shared" si="407"/>
        <v>An influence diagram charts out a decision</v>
      </c>
      <c r="J1344" t="str">
        <f t="shared" si="408"/>
        <v>problem. It identifies all of the elements,</v>
      </c>
      <c r="K1344" t="str">
        <f t="shared" si="409"/>
        <v>variables, decisions, and objectives and also how</v>
      </c>
      <c r="L1344" t="str">
        <f t="shared" si="410"/>
        <v>each factor may influence another.</v>
      </c>
      <c r="M1344" t="str">
        <f t="shared" si="411"/>
        <v/>
      </c>
      <c r="N1344" t="str">
        <f t="shared" si="412"/>
        <v/>
      </c>
      <c r="O1344" t="str">
        <f t="shared" si="413"/>
        <v/>
      </c>
      <c r="P1344" t="str">
        <f t="shared" si="414"/>
        <v/>
      </c>
      <c r="Q1344" t="str">
        <f t="shared" si="415"/>
        <v/>
      </c>
      <c r="R1344" t="str">
        <f t="shared" si="416"/>
        <v/>
      </c>
      <c r="S1344" t="str">
        <f t="shared" si="417"/>
        <v/>
      </c>
      <c r="T1344" t="str">
        <f t="shared" si="418"/>
        <v/>
      </c>
      <c r="U1344" t="str">
        <f t="shared" si="419"/>
        <v/>
      </c>
      <c r="V1344" t="str">
        <f t="shared" si="420"/>
        <v/>
      </c>
      <c r="W1344" s="71" t="str">
        <f>CONCATENATE(H1344," ",I1344," ",J1344," ",K1344," ",L1344," ",M1344," ",N1344," ",O1344," ",P1344," ",Q1344," ",R1344," ",S1344," ",T1344," ",U1344," ",V1344)</f>
        <v xml:space="preserve">Influence diagrams An influence diagram charts out a decision problem. It identifies all of the elements, variables, decisions, and objectives and also how each factor may influence another.          </v>
      </c>
    </row>
    <row r="1345" spans="1:23" customFormat="1" hidden="1">
      <c r="A1345" t="b">
        <f t="shared" si="422"/>
        <v>0</v>
      </c>
      <c r="B1345">
        <f t="shared" si="404"/>
        <v>1344</v>
      </c>
      <c r="C1345" t="s">
        <v>1243</v>
      </c>
      <c r="D1345" t="s">
        <v>1325</v>
      </c>
      <c r="E1345">
        <f t="shared" si="421"/>
        <v>42</v>
      </c>
      <c r="G1345">
        <f t="shared" si="405"/>
        <v>2</v>
      </c>
      <c r="H1345" t="str">
        <f t="shared" si="406"/>
        <v/>
      </c>
      <c r="I1345" t="str">
        <f t="shared" si="407"/>
        <v/>
      </c>
      <c r="J1345" t="str">
        <f t="shared" si="408"/>
        <v/>
      </c>
      <c r="K1345" t="str">
        <f t="shared" si="409"/>
        <v/>
      </c>
      <c r="L1345" t="str">
        <f t="shared" si="410"/>
        <v/>
      </c>
      <c r="M1345" t="str">
        <f t="shared" si="411"/>
        <v/>
      </c>
      <c r="N1345" t="str">
        <f t="shared" si="412"/>
        <v/>
      </c>
      <c r="O1345" t="str">
        <f t="shared" si="413"/>
        <v/>
      </c>
      <c r="P1345" t="str">
        <f t="shared" si="414"/>
        <v/>
      </c>
      <c r="Q1345" t="str">
        <f t="shared" si="415"/>
        <v/>
      </c>
      <c r="R1345" t="str">
        <f t="shared" si="416"/>
        <v/>
      </c>
      <c r="S1345" t="str">
        <f t="shared" si="417"/>
        <v/>
      </c>
      <c r="T1345" t="str">
        <f t="shared" si="418"/>
        <v/>
      </c>
      <c r="U1345" t="str">
        <f t="shared" si="419"/>
        <v/>
      </c>
      <c r="V1345" t="str">
        <f t="shared" si="420"/>
        <v/>
      </c>
      <c r="W1345" t="str">
        <f t="shared" si="423"/>
        <v xml:space="preserve">              </v>
      </c>
    </row>
    <row r="1346" spans="1:23" customFormat="1" hidden="1">
      <c r="A1346" t="b">
        <f t="shared" si="422"/>
        <v>0</v>
      </c>
      <c r="B1346">
        <f t="shared" si="404"/>
        <v>1345</v>
      </c>
      <c r="C1346" t="s">
        <v>1243</v>
      </c>
      <c r="D1346" t="s">
        <v>1326</v>
      </c>
      <c r="E1346">
        <f t="shared" si="421"/>
        <v>43</v>
      </c>
      <c r="G1346">
        <f t="shared" si="405"/>
        <v>3</v>
      </c>
      <c r="H1346" t="str">
        <f t="shared" si="406"/>
        <v/>
      </c>
      <c r="I1346" t="str">
        <f t="shared" si="407"/>
        <v/>
      </c>
      <c r="J1346" t="str">
        <f t="shared" si="408"/>
        <v/>
      </c>
      <c r="K1346" t="str">
        <f t="shared" si="409"/>
        <v/>
      </c>
      <c r="L1346" t="str">
        <f t="shared" si="410"/>
        <v/>
      </c>
      <c r="M1346" t="str">
        <f t="shared" si="411"/>
        <v/>
      </c>
      <c r="N1346" t="str">
        <f t="shared" si="412"/>
        <v/>
      </c>
      <c r="O1346" t="str">
        <f t="shared" si="413"/>
        <v/>
      </c>
      <c r="P1346" t="str">
        <f t="shared" si="414"/>
        <v/>
      </c>
      <c r="Q1346" t="str">
        <f t="shared" si="415"/>
        <v/>
      </c>
      <c r="R1346" t="str">
        <f t="shared" si="416"/>
        <v/>
      </c>
      <c r="S1346" t="str">
        <f t="shared" si="417"/>
        <v/>
      </c>
      <c r="T1346" t="str">
        <f t="shared" si="418"/>
        <v/>
      </c>
      <c r="U1346" t="str">
        <f t="shared" si="419"/>
        <v/>
      </c>
      <c r="V1346" t="str">
        <f t="shared" si="420"/>
        <v/>
      </c>
      <c r="W1346" t="str">
        <f t="shared" si="423"/>
        <v xml:space="preserve">              </v>
      </c>
    </row>
    <row r="1347" spans="1:23" customFormat="1" hidden="1">
      <c r="A1347" t="b">
        <f t="shared" si="422"/>
        <v>0</v>
      </c>
      <c r="B1347">
        <f t="shared" si="404"/>
        <v>1346</v>
      </c>
      <c r="C1347" t="s">
        <v>1243</v>
      </c>
      <c r="D1347" t="s">
        <v>1327</v>
      </c>
      <c r="E1347">
        <f t="shared" si="421"/>
        <v>49</v>
      </c>
      <c r="G1347">
        <f t="shared" si="405"/>
        <v>4</v>
      </c>
      <c r="H1347" t="str">
        <f t="shared" si="406"/>
        <v/>
      </c>
      <c r="I1347" t="str">
        <f t="shared" si="407"/>
        <v/>
      </c>
      <c r="J1347" t="str">
        <f t="shared" si="408"/>
        <v/>
      </c>
      <c r="K1347" t="str">
        <f t="shared" si="409"/>
        <v/>
      </c>
      <c r="L1347" t="str">
        <f t="shared" si="410"/>
        <v/>
      </c>
      <c r="M1347" t="str">
        <f t="shared" si="411"/>
        <v/>
      </c>
      <c r="N1347" t="str">
        <f t="shared" si="412"/>
        <v/>
      </c>
      <c r="O1347" t="str">
        <f t="shared" si="413"/>
        <v/>
      </c>
      <c r="P1347" t="str">
        <f t="shared" si="414"/>
        <v/>
      </c>
      <c r="Q1347" t="str">
        <f t="shared" si="415"/>
        <v/>
      </c>
      <c r="R1347" t="str">
        <f t="shared" si="416"/>
        <v/>
      </c>
      <c r="S1347" t="str">
        <f t="shared" si="417"/>
        <v/>
      </c>
      <c r="T1347" t="str">
        <f t="shared" si="418"/>
        <v/>
      </c>
      <c r="U1347" t="str">
        <f t="shared" si="419"/>
        <v/>
      </c>
      <c r="V1347" t="str">
        <f t="shared" si="420"/>
        <v/>
      </c>
      <c r="W1347" t="str">
        <f t="shared" si="423"/>
        <v xml:space="preserve">              </v>
      </c>
    </row>
    <row r="1348" spans="1:23" customFormat="1" hidden="1">
      <c r="A1348" t="b">
        <f t="shared" si="422"/>
        <v>0</v>
      </c>
      <c r="B1348">
        <f t="shared" ref="B1348:B1411" si="424">B1347+1</f>
        <v>1347</v>
      </c>
      <c r="C1348" t="s">
        <v>1243</v>
      </c>
      <c r="D1348" t="s">
        <v>1328</v>
      </c>
      <c r="E1348">
        <f t="shared" si="421"/>
        <v>34</v>
      </c>
      <c r="G1348">
        <f t="shared" ref="G1348:G1411" si="425">IF(F1348=1,1,G1347+1)</f>
        <v>5</v>
      </c>
      <c r="H1348" t="str">
        <f t="shared" ref="H1348:H1411" si="426">IF($G1348=H$1,$D1348,"")</f>
        <v/>
      </c>
      <c r="I1348" t="str">
        <f t="shared" ref="I1348:I1411" si="427">IF($G1349=I$1,$D1349,"")</f>
        <v/>
      </c>
      <c r="J1348" t="str">
        <f t="shared" ref="J1348:J1411" si="428">IF($G1350=J$1,$D1350,"")</f>
        <v/>
      </c>
      <c r="K1348" t="str">
        <f t="shared" ref="K1348:K1411" si="429">IF($G1351=K$1,$D1351,"")</f>
        <v/>
      </c>
      <c r="L1348" t="str">
        <f t="shared" ref="L1348:L1411" si="430">IF($G1352=L$1,$D1352,"")</f>
        <v/>
      </c>
      <c r="M1348" t="str">
        <f t="shared" ref="M1348:M1411" si="431">IF($G1353=M$1,$D1353,"")</f>
        <v/>
      </c>
      <c r="N1348" t="str">
        <f t="shared" ref="N1348:N1411" si="432">IF($G1354=N$1,$D1354,"")</f>
        <v/>
      </c>
      <c r="O1348" t="str">
        <f t="shared" ref="O1348:O1411" si="433">IF($G1355=O$1,$D1355,"")</f>
        <v/>
      </c>
      <c r="P1348" t="str">
        <f t="shared" ref="P1348:P1411" si="434">IF($G1356=P$1,$D1356,"")</f>
        <v/>
      </c>
      <c r="Q1348" t="str">
        <f t="shared" ref="Q1348:Q1411" si="435">IF($G1357=Q$1,$D1357,"")</f>
        <v/>
      </c>
      <c r="R1348" t="str">
        <f t="shared" ref="R1348:R1411" si="436">IF($G1358=R$1,$D1358,"")</f>
        <v/>
      </c>
      <c r="S1348" t="str">
        <f t="shared" ref="S1348:S1411" si="437">IF($G1359=S$1,$D1359,"")</f>
        <v/>
      </c>
      <c r="T1348" t="str">
        <f t="shared" ref="T1348:T1411" si="438">IF($G1360=T$1,$D1360,"")</f>
        <v/>
      </c>
      <c r="U1348" t="str">
        <f t="shared" ref="U1348:U1411" si="439">IF($G1361=U$1,$D1361,"")</f>
        <v/>
      </c>
      <c r="V1348" t="str">
        <f t="shared" ref="V1348:V1411" si="440">IF($G1362=V$1,$D1362,"")</f>
        <v/>
      </c>
      <c r="W1348" t="str">
        <f t="shared" si="423"/>
        <v xml:space="preserve">              </v>
      </c>
    </row>
    <row r="1349" spans="1:23" hidden="1">
      <c r="A1349" s="71" t="b">
        <f t="shared" si="422"/>
        <v>0</v>
      </c>
      <c r="B1349" s="71">
        <f t="shared" si="424"/>
        <v>1348</v>
      </c>
      <c r="C1349" s="71" t="s">
        <v>1243</v>
      </c>
      <c r="D1349" s="71" t="s">
        <v>1329</v>
      </c>
      <c r="E1349">
        <f t="shared" si="421"/>
        <v>17</v>
      </c>
      <c r="F1349">
        <v>1</v>
      </c>
      <c r="G1349">
        <f t="shared" si="425"/>
        <v>1</v>
      </c>
      <c r="H1349" t="str">
        <f t="shared" si="426"/>
        <v>Ishikawa diagrams</v>
      </c>
      <c r="I1349" t="str">
        <f t="shared" si="427"/>
        <v>These cause-and-effect diagrams are also called</v>
      </c>
      <c r="J1349" t="str">
        <f t="shared" si="428"/>
        <v>fishbone diagrams and are used to find the root</v>
      </c>
      <c r="K1349" t="str">
        <f t="shared" si="429"/>
        <v>cause of factors that are causing risks within the</v>
      </c>
      <c r="L1349" t="str">
        <f t="shared" si="430"/>
        <v>project.</v>
      </c>
      <c r="M1349" t="str">
        <f t="shared" si="431"/>
        <v/>
      </c>
      <c r="N1349" t="str">
        <f t="shared" si="432"/>
        <v/>
      </c>
      <c r="O1349" t="str">
        <f t="shared" si="433"/>
        <v/>
      </c>
      <c r="P1349" t="str">
        <f t="shared" si="434"/>
        <v/>
      </c>
      <c r="Q1349" t="str">
        <f t="shared" si="435"/>
        <v/>
      </c>
      <c r="R1349" t="str">
        <f t="shared" si="436"/>
        <v/>
      </c>
      <c r="S1349" t="str">
        <f t="shared" si="437"/>
        <v/>
      </c>
      <c r="T1349" t="str">
        <f t="shared" si="438"/>
        <v/>
      </c>
      <c r="U1349" t="str">
        <f t="shared" si="439"/>
        <v/>
      </c>
      <c r="V1349" t="str">
        <f t="shared" si="440"/>
        <v/>
      </c>
      <c r="W1349" s="71" t="str">
        <f>CONCATENATE(H1349," ",I1349," ",J1349," ",K1349," ",L1349," ",M1349," ",N1349," ",O1349," ",P1349," ",Q1349," ",R1349," ",S1349," ",T1349," ",U1349," ",V1349)</f>
        <v xml:space="preserve">Ishikawa diagrams These cause-and-effect diagrams are also called fishbone diagrams and are used to find the root cause of factors that are causing risks within the project.          </v>
      </c>
    </row>
    <row r="1350" spans="1:23" customFormat="1" hidden="1">
      <c r="A1350" t="b">
        <f t="shared" si="422"/>
        <v>0</v>
      </c>
      <c r="B1350">
        <f t="shared" si="424"/>
        <v>1349</v>
      </c>
      <c r="C1350" t="s">
        <v>1243</v>
      </c>
      <c r="D1350" t="s">
        <v>1330</v>
      </c>
      <c r="E1350">
        <f t="shared" si="421"/>
        <v>47</v>
      </c>
      <c r="G1350">
        <f t="shared" si="425"/>
        <v>2</v>
      </c>
      <c r="H1350" t="str">
        <f t="shared" si="426"/>
        <v/>
      </c>
      <c r="I1350" t="str">
        <f t="shared" si="427"/>
        <v/>
      </c>
      <c r="J1350" t="str">
        <f t="shared" si="428"/>
        <v/>
      </c>
      <c r="K1350" t="str">
        <f t="shared" si="429"/>
        <v/>
      </c>
      <c r="L1350" t="str">
        <f t="shared" si="430"/>
        <v/>
      </c>
      <c r="M1350" t="str">
        <f t="shared" si="431"/>
        <v/>
      </c>
      <c r="N1350" t="str">
        <f t="shared" si="432"/>
        <v/>
      </c>
      <c r="O1350" t="str">
        <f t="shared" si="433"/>
        <v/>
      </c>
      <c r="P1350" t="str">
        <f t="shared" si="434"/>
        <v/>
      </c>
      <c r="Q1350" t="str">
        <f t="shared" si="435"/>
        <v/>
      </c>
      <c r="R1350" t="str">
        <f t="shared" si="436"/>
        <v/>
      </c>
      <c r="S1350" t="str">
        <f t="shared" si="437"/>
        <v/>
      </c>
      <c r="T1350" t="str">
        <f t="shared" si="438"/>
        <v/>
      </c>
      <c r="U1350" t="str">
        <f t="shared" si="439"/>
        <v/>
      </c>
      <c r="V1350" t="str">
        <f t="shared" si="440"/>
        <v/>
      </c>
      <c r="W1350" t="str">
        <f t="shared" si="423"/>
        <v xml:space="preserve">              </v>
      </c>
    </row>
    <row r="1351" spans="1:23" customFormat="1" hidden="1">
      <c r="A1351" t="b">
        <f t="shared" si="422"/>
        <v>0</v>
      </c>
      <c r="B1351">
        <f t="shared" si="424"/>
        <v>1350</v>
      </c>
      <c r="C1351" t="s">
        <v>1243</v>
      </c>
      <c r="D1351" t="s">
        <v>1331</v>
      </c>
      <c r="E1351">
        <f t="shared" si="421"/>
        <v>47</v>
      </c>
      <c r="G1351">
        <f t="shared" si="425"/>
        <v>3</v>
      </c>
      <c r="H1351" t="str">
        <f t="shared" si="426"/>
        <v/>
      </c>
      <c r="I1351" t="str">
        <f t="shared" si="427"/>
        <v/>
      </c>
      <c r="J1351" t="str">
        <f t="shared" si="428"/>
        <v/>
      </c>
      <c r="K1351" t="str">
        <f t="shared" si="429"/>
        <v/>
      </c>
      <c r="L1351" t="str">
        <f t="shared" si="430"/>
        <v/>
      </c>
      <c r="M1351" t="str">
        <f t="shared" si="431"/>
        <v/>
      </c>
      <c r="N1351" t="str">
        <f t="shared" si="432"/>
        <v/>
      </c>
      <c r="O1351" t="str">
        <f t="shared" si="433"/>
        <v/>
      </c>
      <c r="P1351" t="str">
        <f t="shared" si="434"/>
        <v/>
      </c>
      <c r="Q1351" t="str">
        <f t="shared" si="435"/>
        <v/>
      </c>
      <c r="R1351" t="str">
        <f t="shared" si="436"/>
        <v/>
      </c>
      <c r="S1351" t="str">
        <f t="shared" si="437"/>
        <v/>
      </c>
      <c r="T1351" t="str">
        <f t="shared" si="438"/>
        <v/>
      </c>
      <c r="U1351" t="str">
        <f t="shared" si="439"/>
        <v/>
      </c>
      <c r="V1351" t="str">
        <f t="shared" si="440"/>
        <v/>
      </c>
      <c r="W1351" t="str">
        <f t="shared" si="423"/>
        <v xml:space="preserve">              </v>
      </c>
    </row>
    <row r="1352" spans="1:23" customFormat="1" hidden="1">
      <c r="A1352" t="b">
        <f t="shared" si="422"/>
        <v>0</v>
      </c>
      <c r="B1352">
        <f t="shared" si="424"/>
        <v>1351</v>
      </c>
      <c r="C1352" t="s">
        <v>1243</v>
      </c>
      <c r="D1352" t="s">
        <v>1332</v>
      </c>
      <c r="E1352">
        <f t="shared" si="421"/>
        <v>50</v>
      </c>
      <c r="G1352">
        <f t="shared" si="425"/>
        <v>4</v>
      </c>
      <c r="H1352" t="str">
        <f t="shared" si="426"/>
        <v/>
      </c>
      <c r="I1352" t="str">
        <f t="shared" si="427"/>
        <v/>
      </c>
      <c r="J1352" t="str">
        <f t="shared" si="428"/>
        <v/>
      </c>
      <c r="K1352" t="str">
        <f t="shared" si="429"/>
        <v/>
      </c>
      <c r="L1352" t="str">
        <f t="shared" si="430"/>
        <v/>
      </c>
      <c r="M1352" t="str">
        <f t="shared" si="431"/>
        <v/>
      </c>
      <c r="N1352" t="str">
        <f t="shared" si="432"/>
        <v/>
      </c>
      <c r="O1352" t="str">
        <f t="shared" si="433"/>
        <v/>
      </c>
      <c r="P1352" t="str">
        <f t="shared" si="434"/>
        <v/>
      </c>
      <c r="Q1352" t="str">
        <f t="shared" si="435"/>
        <v/>
      </c>
      <c r="R1352" t="str">
        <f t="shared" si="436"/>
        <v/>
      </c>
      <c r="S1352" t="str">
        <f t="shared" si="437"/>
        <v/>
      </c>
      <c r="T1352" t="str">
        <f t="shared" si="438"/>
        <v/>
      </c>
      <c r="U1352" t="str">
        <f t="shared" si="439"/>
        <v/>
      </c>
      <c r="V1352" t="str">
        <f t="shared" si="440"/>
        <v/>
      </c>
      <c r="W1352" t="str">
        <f t="shared" si="423"/>
        <v xml:space="preserve">              </v>
      </c>
    </row>
    <row r="1353" spans="1:23" customFormat="1" hidden="1">
      <c r="A1353" t="b">
        <f t="shared" si="422"/>
        <v>0</v>
      </c>
      <c r="B1353">
        <f t="shared" si="424"/>
        <v>1352</v>
      </c>
      <c r="C1353" t="s">
        <v>1243</v>
      </c>
      <c r="D1353" t="s">
        <v>131</v>
      </c>
      <c r="E1353">
        <f t="shared" si="421"/>
        <v>8</v>
      </c>
      <c r="G1353">
        <f t="shared" si="425"/>
        <v>5</v>
      </c>
      <c r="H1353" t="str">
        <f t="shared" si="426"/>
        <v/>
      </c>
      <c r="I1353" t="str">
        <f t="shared" si="427"/>
        <v/>
      </c>
      <c r="J1353" t="str">
        <f t="shared" si="428"/>
        <v/>
      </c>
      <c r="K1353" t="str">
        <f t="shared" si="429"/>
        <v/>
      </c>
      <c r="L1353" t="str">
        <f t="shared" si="430"/>
        <v/>
      </c>
      <c r="M1353" t="str">
        <f t="shared" si="431"/>
        <v/>
      </c>
      <c r="N1353" t="str">
        <f t="shared" si="432"/>
        <v/>
      </c>
      <c r="O1353" t="str">
        <f t="shared" si="433"/>
        <v/>
      </c>
      <c r="P1353" t="str">
        <f t="shared" si="434"/>
        <v/>
      </c>
      <c r="Q1353" t="str">
        <f t="shared" si="435"/>
        <v/>
      </c>
      <c r="R1353" t="str">
        <f t="shared" si="436"/>
        <v/>
      </c>
      <c r="S1353" t="str">
        <f t="shared" si="437"/>
        <v/>
      </c>
      <c r="T1353" t="str">
        <f t="shared" si="438"/>
        <v/>
      </c>
      <c r="U1353" t="str">
        <f t="shared" si="439"/>
        <v/>
      </c>
      <c r="V1353" t="str">
        <f t="shared" si="440"/>
        <v/>
      </c>
      <c r="W1353" t="str">
        <f t="shared" si="423"/>
        <v xml:space="preserve">              </v>
      </c>
    </row>
    <row r="1354" spans="1:23" hidden="1">
      <c r="A1354" s="71" t="b">
        <f t="shared" si="422"/>
        <v>0</v>
      </c>
      <c r="B1354" s="71">
        <f t="shared" si="424"/>
        <v>1353</v>
      </c>
      <c r="C1354" s="71" t="s">
        <v>1243</v>
      </c>
      <c r="D1354" s="71" t="s">
        <v>1333</v>
      </c>
      <c r="E1354">
        <f t="shared" si="421"/>
        <v>28</v>
      </c>
      <c r="F1354">
        <v>1</v>
      </c>
      <c r="G1354">
        <f t="shared" si="425"/>
        <v>1</v>
      </c>
      <c r="H1354" t="str">
        <f t="shared" si="426"/>
        <v>Low-priority risk watch list</v>
      </c>
      <c r="I1354" t="str">
        <f t="shared" si="427"/>
        <v>Low-priority risks are identified and assigned to a</v>
      </c>
      <c r="J1354" t="str">
        <f t="shared" si="428"/>
        <v>watch list for periodic monitoring.</v>
      </c>
      <c r="K1354" t="str">
        <f t="shared" si="429"/>
        <v/>
      </c>
      <c r="L1354" t="str">
        <f t="shared" si="430"/>
        <v/>
      </c>
      <c r="M1354" t="str">
        <f t="shared" si="431"/>
        <v/>
      </c>
      <c r="N1354" t="str">
        <f t="shared" si="432"/>
        <v/>
      </c>
      <c r="O1354" t="str">
        <f t="shared" si="433"/>
        <v/>
      </c>
      <c r="P1354" t="str">
        <f t="shared" si="434"/>
        <v/>
      </c>
      <c r="Q1354" t="str">
        <f t="shared" si="435"/>
        <v/>
      </c>
      <c r="R1354" t="str">
        <f t="shared" si="436"/>
        <v/>
      </c>
      <c r="S1354" t="str">
        <f t="shared" si="437"/>
        <v/>
      </c>
      <c r="T1354" t="str">
        <f t="shared" si="438"/>
        <v/>
      </c>
      <c r="U1354" t="str">
        <f t="shared" si="439"/>
        <v/>
      </c>
      <c r="V1354" t="str">
        <f t="shared" si="440"/>
        <v/>
      </c>
      <c r="W1354" s="71" t="str">
        <f>CONCATENATE(H1354," ",I1354," ",J1354," ",K1354," ",L1354," ",M1354," ",N1354," ",O1354," ",P1354," ",Q1354," ",R1354," ",S1354," ",T1354," ",U1354," ",V1354)</f>
        <v xml:space="preserve">Low-priority risk watch list Low-priority risks are identified and assigned to a watch list for periodic monitoring.            </v>
      </c>
    </row>
    <row r="1355" spans="1:23" customFormat="1" hidden="1">
      <c r="A1355" t="b">
        <f t="shared" si="422"/>
        <v>0</v>
      </c>
      <c r="B1355">
        <f t="shared" si="424"/>
        <v>1354</v>
      </c>
      <c r="C1355" t="s">
        <v>1243</v>
      </c>
      <c r="D1355" t="s">
        <v>1334</v>
      </c>
      <c r="E1355">
        <f t="shared" si="421"/>
        <v>51</v>
      </c>
      <c r="G1355">
        <f t="shared" si="425"/>
        <v>2</v>
      </c>
      <c r="H1355" t="str">
        <f t="shared" si="426"/>
        <v/>
      </c>
      <c r="I1355" t="str">
        <f t="shared" si="427"/>
        <v/>
      </c>
      <c r="J1355" t="str">
        <f t="shared" si="428"/>
        <v/>
      </c>
      <c r="K1355" t="str">
        <f t="shared" si="429"/>
        <v/>
      </c>
      <c r="L1355" t="str">
        <f t="shared" si="430"/>
        <v/>
      </c>
      <c r="M1355" t="str">
        <f t="shared" si="431"/>
        <v/>
      </c>
      <c r="N1355" t="str">
        <f t="shared" si="432"/>
        <v/>
      </c>
      <c r="O1355" t="str">
        <f t="shared" si="433"/>
        <v/>
      </c>
      <c r="P1355" t="str">
        <f t="shared" si="434"/>
        <v/>
      </c>
      <c r="Q1355" t="str">
        <f t="shared" si="435"/>
        <v/>
      </c>
      <c r="R1355" t="str">
        <f t="shared" si="436"/>
        <v/>
      </c>
      <c r="S1355" t="str">
        <f t="shared" si="437"/>
        <v/>
      </c>
      <c r="T1355" t="str">
        <f t="shared" si="438"/>
        <v/>
      </c>
      <c r="U1355" t="str">
        <f t="shared" si="439"/>
        <v/>
      </c>
      <c r="V1355" t="str">
        <f t="shared" si="440"/>
        <v/>
      </c>
      <c r="W1355" t="str">
        <f t="shared" si="423"/>
        <v xml:space="preserve">              </v>
      </c>
    </row>
    <row r="1356" spans="1:23" customFormat="1" hidden="1">
      <c r="A1356" t="b">
        <f t="shared" si="422"/>
        <v>0</v>
      </c>
      <c r="B1356">
        <f t="shared" si="424"/>
        <v>1355</v>
      </c>
      <c r="C1356" t="s">
        <v>1243</v>
      </c>
      <c r="D1356" t="s">
        <v>1335</v>
      </c>
      <c r="E1356">
        <f t="shared" si="421"/>
        <v>35</v>
      </c>
      <c r="G1356">
        <f t="shared" si="425"/>
        <v>3</v>
      </c>
      <c r="H1356" t="str">
        <f t="shared" si="426"/>
        <v/>
      </c>
      <c r="I1356" t="str">
        <f t="shared" si="427"/>
        <v/>
      </c>
      <c r="J1356" t="str">
        <f t="shared" si="428"/>
        <v/>
      </c>
      <c r="K1356" t="str">
        <f t="shared" si="429"/>
        <v/>
      </c>
      <c r="L1356" t="str">
        <f t="shared" si="430"/>
        <v/>
      </c>
      <c r="M1356" t="str">
        <f t="shared" si="431"/>
        <v/>
      </c>
      <c r="N1356" t="str">
        <f t="shared" si="432"/>
        <v/>
      </c>
      <c r="O1356" t="str">
        <f t="shared" si="433"/>
        <v/>
      </c>
      <c r="P1356" t="str">
        <f t="shared" si="434"/>
        <v/>
      </c>
      <c r="Q1356" t="str">
        <f t="shared" si="435"/>
        <v/>
      </c>
      <c r="R1356" t="str">
        <f t="shared" si="436"/>
        <v/>
      </c>
      <c r="S1356" t="str">
        <f t="shared" si="437"/>
        <v/>
      </c>
      <c r="T1356" t="str">
        <f t="shared" si="438"/>
        <v/>
      </c>
      <c r="U1356" t="str">
        <f t="shared" si="439"/>
        <v/>
      </c>
      <c r="V1356" t="str">
        <f t="shared" si="440"/>
        <v/>
      </c>
      <c r="W1356" t="str">
        <f t="shared" si="423"/>
        <v xml:space="preserve">              </v>
      </c>
    </row>
    <row r="1357" spans="1:23" hidden="1">
      <c r="A1357" s="71" t="b">
        <f t="shared" si="422"/>
        <v>0</v>
      </c>
      <c r="B1357" s="71">
        <f t="shared" si="424"/>
        <v>1356</v>
      </c>
      <c r="C1357" s="71" t="s">
        <v>1243</v>
      </c>
      <c r="D1357" s="71" t="s">
        <v>1336</v>
      </c>
      <c r="E1357">
        <f t="shared" si="421"/>
        <v>10</v>
      </c>
      <c r="F1357">
        <v>1</v>
      </c>
      <c r="G1357">
        <f t="shared" si="425"/>
        <v>1</v>
      </c>
      <c r="H1357" t="str">
        <f t="shared" si="426"/>
        <v>Mitigation</v>
      </c>
      <c r="I1357" t="str">
        <f t="shared" si="427"/>
        <v>A risk response effort to reduce the probability</v>
      </c>
      <c r="J1357" t="str">
        <f t="shared" si="428"/>
        <v>and/or impact of an identified risk in the project.</v>
      </c>
      <c r="K1357" t="str">
        <f t="shared" si="429"/>
        <v/>
      </c>
      <c r="L1357" t="str">
        <f t="shared" si="430"/>
        <v/>
      </c>
      <c r="M1357" t="str">
        <f t="shared" si="431"/>
        <v/>
      </c>
      <c r="N1357" t="str">
        <f t="shared" si="432"/>
        <v/>
      </c>
      <c r="O1357" t="str">
        <f t="shared" si="433"/>
        <v/>
      </c>
      <c r="P1357" t="str">
        <f t="shared" si="434"/>
        <v/>
      </c>
      <c r="Q1357" t="str">
        <f t="shared" si="435"/>
        <v/>
      </c>
      <c r="R1357" t="str">
        <f t="shared" si="436"/>
        <v/>
      </c>
      <c r="S1357" t="str">
        <f t="shared" si="437"/>
        <v/>
      </c>
      <c r="T1357" t="str">
        <f t="shared" si="438"/>
        <v/>
      </c>
      <c r="U1357" t="str">
        <f t="shared" si="439"/>
        <v/>
      </c>
      <c r="V1357" t="str">
        <f t="shared" si="440"/>
        <v/>
      </c>
      <c r="W1357" s="71" t="str">
        <f>CONCATENATE(H1357," ",I1357," ",J1357," ",K1357," ",L1357," ",M1357," ",N1357," ",O1357," ",P1357," ",Q1357," ",R1357," ",S1357," ",T1357," ",U1357," ",V1357)</f>
        <v xml:space="preserve">Mitigation A risk response effort to reduce the probability and/or impact of an identified risk in the project.            </v>
      </c>
    </row>
    <row r="1358" spans="1:23" customFormat="1" hidden="1">
      <c r="A1358" t="b">
        <f t="shared" si="422"/>
        <v>0</v>
      </c>
      <c r="B1358">
        <f t="shared" si="424"/>
        <v>1357</v>
      </c>
      <c r="C1358" t="s">
        <v>1243</v>
      </c>
      <c r="D1358" t="s">
        <v>1337</v>
      </c>
      <c r="E1358">
        <f t="shared" si="421"/>
        <v>48</v>
      </c>
      <c r="G1358">
        <f t="shared" si="425"/>
        <v>2</v>
      </c>
      <c r="H1358" t="str">
        <f t="shared" si="426"/>
        <v/>
      </c>
      <c r="I1358" t="str">
        <f t="shared" si="427"/>
        <v/>
      </c>
      <c r="J1358" t="str">
        <f t="shared" si="428"/>
        <v/>
      </c>
      <c r="K1358" t="str">
        <f t="shared" si="429"/>
        <v/>
      </c>
      <c r="L1358" t="str">
        <f t="shared" si="430"/>
        <v/>
      </c>
      <c r="M1358" t="str">
        <f t="shared" si="431"/>
        <v/>
      </c>
      <c r="N1358" t="str">
        <f t="shared" si="432"/>
        <v/>
      </c>
      <c r="O1358" t="str">
        <f t="shared" si="433"/>
        <v/>
      </c>
      <c r="P1358" t="str">
        <f t="shared" si="434"/>
        <v/>
      </c>
      <c r="Q1358" t="str">
        <f t="shared" si="435"/>
        <v/>
      </c>
      <c r="R1358" t="str">
        <f t="shared" si="436"/>
        <v/>
      </c>
      <c r="S1358" t="str">
        <f t="shared" si="437"/>
        <v/>
      </c>
      <c r="T1358" t="str">
        <f t="shared" si="438"/>
        <v/>
      </c>
      <c r="U1358" t="str">
        <f t="shared" si="439"/>
        <v/>
      </c>
      <c r="V1358" t="str">
        <f t="shared" si="440"/>
        <v/>
      </c>
      <c r="W1358" t="str">
        <f t="shared" si="423"/>
        <v xml:space="preserve">              </v>
      </c>
    </row>
    <row r="1359" spans="1:23" customFormat="1" hidden="1">
      <c r="A1359" t="b">
        <f t="shared" si="422"/>
        <v>0</v>
      </c>
      <c r="B1359">
        <f t="shared" si="424"/>
        <v>1358</v>
      </c>
      <c r="C1359" t="s">
        <v>1243</v>
      </c>
      <c r="D1359" t="s">
        <v>1338</v>
      </c>
      <c r="E1359">
        <f t="shared" si="421"/>
        <v>51</v>
      </c>
      <c r="G1359">
        <f t="shared" si="425"/>
        <v>3</v>
      </c>
      <c r="H1359" t="str">
        <f t="shared" si="426"/>
        <v/>
      </c>
      <c r="I1359" t="str">
        <f t="shared" si="427"/>
        <v/>
      </c>
      <c r="J1359" t="str">
        <f t="shared" si="428"/>
        <v/>
      </c>
      <c r="K1359" t="str">
        <f t="shared" si="429"/>
        <v/>
      </c>
      <c r="L1359" t="str">
        <f t="shared" si="430"/>
        <v/>
      </c>
      <c r="M1359" t="str">
        <f t="shared" si="431"/>
        <v/>
      </c>
      <c r="N1359" t="str">
        <f t="shared" si="432"/>
        <v/>
      </c>
      <c r="O1359" t="str">
        <f t="shared" si="433"/>
        <v/>
      </c>
      <c r="P1359" t="str">
        <f t="shared" si="434"/>
        <v/>
      </c>
      <c r="Q1359" t="str">
        <f t="shared" si="435"/>
        <v/>
      </c>
      <c r="R1359" t="str">
        <f t="shared" si="436"/>
        <v/>
      </c>
      <c r="S1359" t="str">
        <f t="shared" si="437"/>
        <v/>
      </c>
      <c r="T1359" t="str">
        <f t="shared" si="438"/>
        <v/>
      </c>
      <c r="U1359" t="str">
        <f t="shared" si="439"/>
        <v/>
      </c>
      <c r="V1359" t="str">
        <f t="shared" si="440"/>
        <v/>
      </c>
      <c r="W1359" t="str">
        <f t="shared" si="423"/>
        <v xml:space="preserve">              </v>
      </c>
    </row>
    <row r="1360" spans="1:23" hidden="1">
      <c r="A1360" s="71" t="b">
        <f t="shared" si="422"/>
        <v>0</v>
      </c>
      <c r="B1360" s="71">
        <f t="shared" si="424"/>
        <v>1359</v>
      </c>
      <c r="C1360" s="71" t="s">
        <v>1243</v>
      </c>
      <c r="D1360" s="71" t="s">
        <v>1339</v>
      </c>
      <c r="E1360">
        <f t="shared" si="421"/>
        <v>21</v>
      </c>
      <c r="F1360">
        <v>1</v>
      </c>
      <c r="G1360">
        <f t="shared" si="425"/>
        <v>1</v>
      </c>
      <c r="H1360" t="str">
        <f t="shared" si="426"/>
        <v>Monte Carlo technique</v>
      </c>
      <c r="I1360" t="str">
        <f t="shared" si="427"/>
        <v>A simulation technique that got its name from</v>
      </c>
      <c r="J1360" t="str">
        <f t="shared" si="428"/>
        <v>the casinos of Monte Carlo, Monaco. The</v>
      </c>
      <c r="K1360" t="str">
        <f t="shared" si="429"/>
        <v>simulation is completed using a computer</v>
      </c>
      <c r="L1360" t="str">
        <f t="shared" si="430"/>
        <v>software program that can simulate a project,</v>
      </c>
      <c r="M1360" t="str">
        <f t="shared" si="431"/>
        <v>using values for all possible variables, to predict</v>
      </c>
      <c r="N1360" t="str">
        <f t="shared" si="432"/>
        <v>the most likely model.</v>
      </c>
      <c r="O1360" t="str">
        <f t="shared" si="433"/>
        <v/>
      </c>
      <c r="P1360" t="str">
        <f t="shared" si="434"/>
        <v/>
      </c>
      <c r="Q1360" t="str">
        <f t="shared" si="435"/>
        <v/>
      </c>
      <c r="R1360" t="str">
        <f t="shared" si="436"/>
        <v/>
      </c>
      <c r="S1360" t="str">
        <f t="shared" si="437"/>
        <v/>
      </c>
      <c r="T1360" t="str">
        <f t="shared" si="438"/>
        <v/>
      </c>
      <c r="U1360" t="str">
        <f t="shared" si="439"/>
        <v/>
      </c>
      <c r="V1360" t="str">
        <f t="shared" si="440"/>
        <v/>
      </c>
      <c r="W1360" s="71" t="str">
        <f>CONCATENATE(H1360," ",I1360," ",J1360," ",K1360," ",L1360," ",M1360," ",N1360," ",O1360," ",P1360," ",Q1360," ",R1360," ",S1360," ",T1360," ",U1360," ",V1360)</f>
        <v xml:space="preserve">Monte Carlo technique A simulation technique that got its name from the casinos of Monte Carlo, Monaco. The simulation is completed using a computer software program that can simulate a project, using values for all possible variables, to predict the most likely model.        </v>
      </c>
    </row>
    <row r="1361" spans="1:23" customFormat="1" hidden="1">
      <c r="A1361" t="b">
        <f t="shared" si="422"/>
        <v>0</v>
      </c>
      <c r="B1361">
        <f t="shared" si="424"/>
        <v>1360</v>
      </c>
      <c r="C1361" t="s">
        <v>1243</v>
      </c>
      <c r="D1361" t="s">
        <v>1340</v>
      </c>
      <c r="E1361">
        <f t="shared" si="421"/>
        <v>45</v>
      </c>
      <c r="G1361">
        <f t="shared" si="425"/>
        <v>2</v>
      </c>
      <c r="H1361" t="str">
        <f t="shared" si="426"/>
        <v/>
      </c>
      <c r="I1361" t="str">
        <f t="shared" si="427"/>
        <v/>
      </c>
      <c r="J1361" t="str">
        <f t="shared" si="428"/>
        <v/>
      </c>
      <c r="K1361" t="str">
        <f t="shared" si="429"/>
        <v/>
      </c>
      <c r="L1361" t="str">
        <f t="shared" si="430"/>
        <v/>
      </c>
      <c r="M1361" t="str">
        <f t="shared" si="431"/>
        <v/>
      </c>
      <c r="N1361" t="str">
        <f t="shared" si="432"/>
        <v/>
      </c>
      <c r="O1361" t="str">
        <f t="shared" si="433"/>
        <v/>
      </c>
      <c r="P1361" t="str">
        <f t="shared" si="434"/>
        <v/>
      </c>
      <c r="Q1361" t="str">
        <f t="shared" si="435"/>
        <v/>
      </c>
      <c r="R1361" t="str">
        <f t="shared" si="436"/>
        <v/>
      </c>
      <c r="S1361" t="str">
        <f t="shared" si="437"/>
        <v/>
      </c>
      <c r="T1361" t="str">
        <f t="shared" si="438"/>
        <v/>
      </c>
      <c r="U1361" t="str">
        <f t="shared" si="439"/>
        <v/>
      </c>
      <c r="V1361" t="str">
        <f t="shared" si="440"/>
        <v/>
      </c>
      <c r="W1361" t="str">
        <f t="shared" si="423"/>
        <v xml:space="preserve">              </v>
      </c>
    </row>
    <row r="1362" spans="1:23" customFormat="1" hidden="1">
      <c r="A1362" t="b">
        <f t="shared" si="422"/>
        <v>0</v>
      </c>
      <c r="B1362">
        <f t="shared" si="424"/>
        <v>1361</v>
      </c>
      <c r="C1362" t="s">
        <v>1243</v>
      </c>
      <c r="D1362" t="s">
        <v>1341</v>
      </c>
      <c r="E1362">
        <f t="shared" si="421"/>
        <v>39</v>
      </c>
      <c r="G1362">
        <f t="shared" si="425"/>
        <v>3</v>
      </c>
      <c r="H1362" t="str">
        <f t="shared" si="426"/>
        <v/>
      </c>
      <c r="I1362" t="str">
        <f t="shared" si="427"/>
        <v/>
      </c>
      <c r="J1362" t="str">
        <f t="shared" si="428"/>
        <v/>
      </c>
      <c r="K1362" t="str">
        <f t="shared" si="429"/>
        <v/>
      </c>
      <c r="L1362" t="str">
        <f t="shared" si="430"/>
        <v/>
      </c>
      <c r="M1362" t="str">
        <f t="shared" si="431"/>
        <v/>
      </c>
      <c r="N1362" t="str">
        <f t="shared" si="432"/>
        <v/>
      </c>
      <c r="O1362" t="str">
        <f t="shared" si="433"/>
        <v/>
      </c>
      <c r="P1362" t="str">
        <f t="shared" si="434"/>
        <v/>
      </c>
      <c r="Q1362" t="str">
        <f t="shared" si="435"/>
        <v/>
      </c>
      <c r="R1362" t="str">
        <f t="shared" si="436"/>
        <v/>
      </c>
      <c r="S1362" t="str">
        <f t="shared" si="437"/>
        <v/>
      </c>
      <c r="T1362" t="str">
        <f t="shared" si="438"/>
        <v/>
      </c>
      <c r="U1362" t="str">
        <f t="shared" si="439"/>
        <v/>
      </c>
      <c r="V1362" t="str">
        <f t="shared" si="440"/>
        <v/>
      </c>
      <c r="W1362" t="str">
        <f t="shared" si="423"/>
        <v xml:space="preserve">              </v>
      </c>
    </row>
    <row r="1363" spans="1:23" customFormat="1" hidden="1">
      <c r="A1363" t="b">
        <f t="shared" si="422"/>
        <v>0</v>
      </c>
      <c r="B1363">
        <f t="shared" si="424"/>
        <v>1362</v>
      </c>
      <c r="C1363" t="s">
        <v>1243</v>
      </c>
      <c r="D1363" t="s">
        <v>1342</v>
      </c>
      <c r="E1363">
        <f t="shared" si="421"/>
        <v>40</v>
      </c>
      <c r="G1363">
        <f t="shared" si="425"/>
        <v>4</v>
      </c>
      <c r="H1363" t="str">
        <f t="shared" si="426"/>
        <v/>
      </c>
      <c r="I1363" t="str">
        <f t="shared" si="427"/>
        <v/>
      </c>
      <c r="J1363" t="str">
        <f t="shared" si="428"/>
        <v/>
      </c>
      <c r="K1363" t="str">
        <f t="shared" si="429"/>
        <v/>
      </c>
      <c r="L1363" t="str">
        <f t="shared" si="430"/>
        <v/>
      </c>
      <c r="M1363" t="str">
        <f t="shared" si="431"/>
        <v/>
      </c>
      <c r="N1363" t="str">
        <f t="shared" si="432"/>
        <v/>
      </c>
      <c r="O1363" t="str">
        <f t="shared" si="433"/>
        <v/>
      </c>
      <c r="P1363" t="str">
        <f t="shared" si="434"/>
        <v/>
      </c>
      <c r="Q1363" t="str">
        <f t="shared" si="435"/>
        <v/>
      </c>
      <c r="R1363" t="str">
        <f t="shared" si="436"/>
        <v/>
      </c>
      <c r="S1363" t="str">
        <f t="shared" si="437"/>
        <v/>
      </c>
      <c r="T1363" t="str">
        <f t="shared" si="438"/>
        <v/>
      </c>
      <c r="U1363" t="str">
        <f t="shared" si="439"/>
        <v/>
      </c>
      <c r="V1363" t="str">
        <f t="shared" si="440"/>
        <v/>
      </c>
      <c r="W1363" t="str">
        <f t="shared" si="423"/>
        <v xml:space="preserve">              </v>
      </c>
    </row>
    <row r="1364" spans="1:23" customFormat="1" hidden="1">
      <c r="A1364" t="b">
        <f t="shared" si="422"/>
        <v>0</v>
      </c>
      <c r="B1364">
        <f t="shared" si="424"/>
        <v>1363</v>
      </c>
      <c r="C1364" t="s">
        <v>1243</v>
      </c>
      <c r="D1364" t="s">
        <v>1343</v>
      </c>
      <c r="E1364">
        <f t="shared" si="421"/>
        <v>45</v>
      </c>
      <c r="G1364">
        <f t="shared" si="425"/>
        <v>5</v>
      </c>
      <c r="H1364" t="str">
        <f t="shared" si="426"/>
        <v/>
      </c>
      <c r="I1364" t="str">
        <f t="shared" si="427"/>
        <v/>
      </c>
      <c r="J1364" t="str">
        <f t="shared" si="428"/>
        <v/>
      </c>
      <c r="K1364" t="str">
        <f t="shared" si="429"/>
        <v/>
      </c>
      <c r="L1364" t="str">
        <f t="shared" si="430"/>
        <v/>
      </c>
      <c r="M1364" t="str">
        <f t="shared" si="431"/>
        <v/>
      </c>
      <c r="N1364" t="str">
        <f t="shared" si="432"/>
        <v/>
      </c>
      <c r="O1364" t="str">
        <f t="shared" si="433"/>
        <v/>
      </c>
      <c r="P1364" t="str">
        <f t="shared" si="434"/>
        <v/>
      </c>
      <c r="Q1364" t="str">
        <f t="shared" si="435"/>
        <v/>
      </c>
      <c r="R1364" t="str">
        <f t="shared" si="436"/>
        <v/>
      </c>
      <c r="S1364" t="str">
        <f t="shared" si="437"/>
        <v/>
      </c>
      <c r="T1364" t="str">
        <f t="shared" si="438"/>
        <v/>
      </c>
      <c r="U1364" t="str">
        <f t="shared" si="439"/>
        <v/>
      </c>
      <c r="V1364" t="str">
        <f t="shared" si="440"/>
        <v/>
      </c>
      <c r="W1364" t="str">
        <f t="shared" si="423"/>
        <v xml:space="preserve">              </v>
      </c>
    </row>
    <row r="1365" spans="1:23" customFormat="1" hidden="1">
      <c r="A1365" t="b">
        <f t="shared" si="422"/>
        <v>0</v>
      </c>
      <c r="B1365">
        <f t="shared" si="424"/>
        <v>1364</v>
      </c>
      <c r="C1365" t="s">
        <v>1243</v>
      </c>
      <c r="D1365" t="s">
        <v>1344</v>
      </c>
      <c r="E1365">
        <f t="shared" si="421"/>
        <v>51</v>
      </c>
      <c r="G1365">
        <f t="shared" si="425"/>
        <v>6</v>
      </c>
      <c r="H1365" t="str">
        <f t="shared" si="426"/>
        <v/>
      </c>
      <c r="I1365" t="str">
        <f t="shared" si="427"/>
        <v/>
      </c>
      <c r="J1365" t="str">
        <f t="shared" si="428"/>
        <v/>
      </c>
      <c r="K1365" t="str">
        <f t="shared" si="429"/>
        <v/>
      </c>
      <c r="L1365" t="str">
        <f t="shared" si="430"/>
        <v/>
      </c>
      <c r="M1365" t="str">
        <f t="shared" si="431"/>
        <v/>
      </c>
      <c r="N1365" t="str">
        <f t="shared" si="432"/>
        <v/>
      </c>
      <c r="O1365" t="str">
        <f t="shared" si="433"/>
        <v/>
      </c>
      <c r="P1365" t="str">
        <f t="shared" si="434"/>
        <v/>
      </c>
      <c r="Q1365" t="str">
        <f t="shared" si="435"/>
        <v/>
      </c>
      <c r="R1365" t="str">
        <f t="shared" si="436"/>
        <v/>
      </c>
      <c r="S1365" t="str">
        <f t="shared" si="437"/>
        <v/>
      </c>
      <c r="T1365" t="str">
        <f t="shared" si="438"/>
        <v/>
      </c>
      <c r="U1365" t="str">
        <f t="shared" si="439"/>
        <v/>
      </c>
      <c r="V1365" t="str">
        <f t="shared" si="440"/>
        <v/>
      </c>
      <c r="W1365" t="str">
        <f t="shared" si="423"/>
        <v xml:space="preserve">              </v>
      </c>
    </row>
    <row r="1366" spans="1:23" customFormat="1" hidden="1">
      <c r="A1366" t="b">
        <f t="shared" si="422"/>
        <v>0</v>
      </c>
      <c r="B1366">
        <f t="shared" si="424"/>
        <v>1365</v>
      </c>
      <c r="C1366" t="s">
        <v>1243</v>
      </c>
      <c r="D1366" t="s">
        <v>1345</v>
      </c>
      <c r="E1366">
        <f t="shared" si="421"/>
        <v>22</v>
      </c>
      <c r="G1366">
        <f t="shared" si="425"/>
        <v>7</v>
      </c>
      <c r="H1366" t="str">
        <f t="shared" si="426"/>
        <v/>
      </c>
      <c r="I1366" t="str">
        <f t="shared" si="427"/>
        <v/>
      </c>
      <c r="J1366" t="str">
        <f t="shared" si="428"/>
        <v/>
      </c>
      <c r="K1366" t="str">
        <f t="shared" si="429"/>
        <v/>
      </c>
      <c r="L1366" t="str">
        <f t="shared" si="430"/>
        <v/>
      </c>
      <c r="M1366" t="str">
        <f t="shared" si="431"/>
        <v/>
      </c>
      <c r="N1366" t="str">
        <f t="shared" si="432"/>
        <v/>
      </c>
      <c r="O1366" t="str">
        <f t="shared" si="433"/>
        <v/>
      </c>
      <c r="P1366" t="str">
        <f t="shared" si="434"/>
        <v/>
      </c>
      <c r="Q1366" t="str">
        <f t="shared" si="435"/>
        <v/>
      </c>
      <c r="R1366" t="str">
        <f t="shared" si="436"/>
        <v/>
      </c>
      <c r="S1366" t="str">
        <f t="shared" si="437"/>
        <v/>
      </c>
      <c r="T1366" t="str">
        <f t="shared" si="438"/>
        <v/>
      </c>
      <c r="U1366" t="str">
        <f t="shared" si="439"/>
        <v/>
      </c>
      <c r="V1366" t="str">
        <f t="shared" si="440"/>
        <v/>
      </c>
      <c r="W1366" t="str">
        <f t="shared" si="423"/>
        <v xml:space="preserve">              </v>
      </c>
    </row>
    <row r="1367" spans="1:23" hidden="1">
      <c r="A1367" s="71" t="b">
        <f t="shared" si="422"/>
        <v>0</v>
      </c>
      <c r="B1367" s="71">
        <f t="shared" si="424"/>
        <v>1366</v>
      </c>
      <c r="C1367" s="71" t="s">
        <v>1243</v>
      </c>
      <c r="D1367" s="71" t="s">
        <v>1346</v>
      </c>
      <c r="E1367">
        <f t="shared" si="421"/>
        <v>14</v>
      </c>
      <c r="F1367">
        <v>1</v>
      </c>
      <c r="G1367">
        <f t="shared" si="425"/>
        <v>1</v>
      </c>
      <c r="H1367" t="str">
        <f t="shared" si="426"/>
        <v>Ordinal scales</v>
      </c>
      <c r="I1367" t="str">
        <f t="shared" si="427"/>
        <v>A ranking approach that identifies and ranks the</v>
      </c>
      <c r="J1367" t="str">
        <f t="shared" si="428"/>
        <v>risks from very high to very unlikely or to some</v>
      </c>
      <c r="K1367" t="str">
        <f t="shared" si="429"/>
        <v>other value.</v>
      </c>
      <c r="L1367" t="str">
        <f t="shared" si="430"/>
        <v/>
      </c>
      <c r="M1367" t="str">
        <f t="shared" si="431"/>
        <v/>
      </c>
      <c r="N1367" t="str">
        <f t="shared" si="432"/>
        <v/>
      </c>
      <c r="O1367" t="str">
        <f t="shared" si="433"/>
        <v/>
      </c>
      <c r="P1367" t="str">
        <f t="shared" si="434"/>
        <v/>
      </c>
      <c r="Q1367" t="str">
        <f t="shared" si="435"/>
        <v/>
      </c>
      <c r="R1367" t="str">
        <f t="shared" si="436"/>
        <v/>
      </c>
      <c r="S1367" t="str">
        <f t="shared" si="437"/>
        <v/>
      </c>
      <c r="T1367" t="str">
        <f t="shared" si="438"/>
        <v/>
      </c>
      <c r="U1367" t="str">
        <f t="shared" si="439"/>
        <v/>
      </c>
      <c r="V1367" t="str">
        <f t="shared" si="440"/>
        <v/>
      </c>
      <c r="W1367" s="71" t="str">
        <f>CONCATENATE(H1367," ",I1367," ",J1367," ",K1367," ",L1367," ",M1367," ",N1367," ",O1367," ",P1367," ",Q1367," ",R1367," ",S1367," ",T1367," ",U1367," ",V1367)</f>
        <v xml:space="preserve">Ordinal scales A ranking approach that identifies and ranks the risks from very high to very unlikely or to some other value.           </v>
      </c>
    </row>
    <row r="1368" spans="1:23" customFormat="1" hidden="1">
      <c r="A1368" t="b">
        <f t="shared" si="422"/>
        <v>0</v>
      </c>
      <c r="B1368">
        <f t="shared" si="424"/>
        <v>1367</v>
      </c>
      <c r="C1368" t="s">
        <v>1243</v>
      </c>
      <c r="D1368" t="s">
        <v>1347</v>
      </c>
      <c r="E1368">
        <f t="shared" si="421"/>
        <v>48</v>
      </c>
      <c r="G1368">
        <f t="shared" si="425"/>
        <v>2</v>
      </c>
      <c r="H1368" t="str">
        <f t="shared" si="426"/>
        <v/>
      </c>
      <c r="I1368" t="str">
        <f t="shared" si="427"/>
        <v/>
      </c>
      <c r="J1368" t="str">
        <f t="shared" si="428"/>
        <v/>
      </c>
      <c r="K1368" t="str">
        <f t="shared" si="429"/>
        <v/>
      </c>
      <c r="L1368" t="str">
        <f t="shared" si="430"/>
        <v/>
      </c>
      <c r="M1368" t="str">
        <f t="shared" si="431"/>
        <v/>
      </c>
      <c r="N1368" t="str">
        <f t="shared" si="432"/>
        <v/>
      </c>
      <c r="O1368" t="str">
        <f t="shared" si="433"/>
        <v/>
      </c>
      <c r="P1368" t="str">
        <f t="shared" si="434"/>
        <v/>
      </c>
      <c r="Q1368" t="str">
        <f t="shared" si="435"/>
        <v/>
      </c>
      <c r="R1368" t="str">
        <f t="shared" si="436"/>
        <v/>
      </c>
      <c r="S1368" t="str">
        <f t="shared" si="437"/>
        <v/>
      </c>
      <c r="T1368" t="str">
        <f t="shared" si="438"/>
        <v/>
      </c>
      <c r="U1368" t="str">
        <f t="shared" si="439"/>
        <v/>
      </c>
      <c r="V1368" t="str">
        <f t="shared" si="440"/>
        <v/>
      </c>
      <c r="W1368" t="str">
        <f t="shared" si="423"/>
        <v xml:space="preserve">              </v>
      </c>
    </row>
    <row r="1369" spans="1:23" customFormat="1" hidden="1">
      <c r="A1369" t="b">
        <f t="shared" si="422"/>
        <v>0</v>
      </c>
      <c r="B1369">
        <f t="shared" si="424"/>
        <v>1368</v>
      </c>
      <c r="C1369" t="s">
        <v>1243</v>
      </c>
      <c r="D1369" t="s">
        <v>1348</v>
      </c>
      <c r="E1369">
        <f t="shared" si="421"/>
        <v>48</v>
      </c>
      <c r="G1369">
        <f t="shared" si="425"/>
        <v>3</v>
      </c>
      <c r="H1369" t="str">
        <f t="shared" si="426"/>
        <v/>
      </c>
      <c r="I1369" t="str">
        <f t="shared" si="427"/>
        <v/>
      </c>
      <c r="J1369" t="str">
        <f t="shared" si="428"/>
        <v/>
      </c>
      <c r="K1369" t="str">
        <f t="shared" si="429"/>
        <v/>
      </c>
      <c r="L1369" t="str">
        <f t="shared" si="430"/>
        <v/>
      </c>
      <c r="M1369" t="str">
        <f t="shared" si="431"/>
        <v/>
      </c>
      <c r="N1369" t="str">
        <f t="shared" si="432"/>
        <v/>
      </c>
      <c r="O1369" t="str">
        <f t="shared" si="433"/>
        <v/>
      </c>
      <c r="P1369" t="str">
        <f t="shared" si="434"/>
        <v/>
      </c>
      <c r="Q1369" t="str">
        <f t="shared" si="435"/>
        <v/>
      </c>
      <c r="R1369" t="str">
        <f t="shared" si="436"/>
        <v/>
      </c>
      <c r="S1369" t="str">
        <f t="shared" si="437"/>
        <v/>
      </c>
      <c r="T1369" t="str">
        <f t="shared" si="438"/>
        <v/>
      </c>
      <c r="U1369" t="str">
        <f t="shared" si="439"/>
        <v/>
      </c>
      <c r="V1369" t="str">
        <f t="shared" si="440"/>
        <v/>
      </c>
      <c r="W1369" t="str">
        <f t="shared" si="423"/>
        <v xml:space="preserve">              </v>
      </c>
    </row>
    <row r="1370" spans="1:23" customFormat="1" hidden="1">
      <c r="A1370" t="b">
        <f t="shared" si="422"/>
        <v>0</v>
      </c>
      <c r="B1370">
        <f t="shared" si="424"/>
        <v>1369</v>
      </c>
      <c r="C1370" t="s">
        <v>1243</v>
      </c>
      <c r="D1370" t="s">
        <v>1349</v>
      </c>
      <c r="E1370">
        <f t="shared" si="421"/>
        <v>12</v>
      </c>
      <c r="G1370">
        <f t="shared" si="425"/>
        <v>4</v>
      </c>
      <c r="H1370" t="str">
        <f t="shared" si="426"/>
        <v/>
      </c>
      <c r="I1370" t="str">
        <f t="shared" si="427"/>
        <v/>
      </c>
      <c r="J1370" t="str">
        <f t="shared" si="428"/>
        <v/>
      </c>
      <c r="K1370" t="str">
        <f t="shared" si="429"/>
        <v/>
      </c>
      <c r="L1370" t="str">
        <f t="shared" si="430"/>
        <v/>
      </c>
      <c r="M1370" t="str">
        <f t="shared" si="431"/>
        <v/>
      </c>
      <c r="N1370" t="str">
        <f t="shared" si="432"/>
        <v/>
      </c>
      <c r="O1370" t="str">
        <f t="shared" si="433"/>
        <v/>
      </c>
      <c r="P1370" t="str">
        <f t="shared" si="434"/>
        <v/>
      </c>
      <c r="Q1370" t="str">
        <f t="shared" si="435"/>
        <v/>
      </c>
      <c r="R1370" t="str">
        <f t="shared" si="436"/>
        <v/>
      </c>
      <c r="S1370" t="str">
        <f t="shared" si="437"/>
        <v/>
      </c>
      <c r="T1370" t="str">
        <f t="shared" si="438"/>
        <v/>
      </c>
      <c r="U1370" t="str">
        <f t="shared" si="439"/>
        <v/>
      </c>
      <c r="V1370" t="str">
        <f t="shared" si="440"/>
        <v/>
      </c>
      <c r="W1370" t="str">
        <f t="shared" si="423"/>
        <v xml:space="preserve">              </v>
      </c>
    </row>
    <row r="1371" spans="1:23" hidden="1">
      <c r="A1371" s="71" t="b">
        <f t="shared" si="422"/>
        <v>0</v>
      </c>
      <c r="B1371" s="71">
        <f t="shared" si="424"/>
        <v>1370</v>
      </c>
      <c r="C1371" s="71" t="s">
        <v>1243</v>
      </c>
      <c r="D1371" s="71" t="s">
        <v>1350</v>
      </c>
      <c r="E1371">
        <f t="shared" si="421"/>
        <v>20</v>
      </c>
      <c r="F1371">
        <v>1</v>
      </c>
      <c r="G1371">
        <f t="shared" si="425"/>
        <v>1</v>
      </c>
      <c r="H1371" t="str">
        <f t="shared" si="426"/>
        <v>Organizational risks</v>
      </c>
      <c r="I1371" t="str">
        <f t="shared" si="427"/>
        <v>The performing organization can contribute to</v>
      </c>
      <c r="J1371" t="str">
        <f t="shared" si="428"/>
        <v>the project’s risks through unreasonable cost,</v>
      </c>
      <c r="K1371" t="str">
        <f t="shared" si="429"/>
        <v>time, and scope expectations; poor project</v>
      </c>
      <c r="L1371" t="str">
        <f t="shared" si="430"/>
        <v>prioritization; inadequate funding or the</v>
      </c>
      <c r="M1371" t="str">
        <f t="shared" si="431"/>
        <v>disruption of funding; and competition with other</v>
      </c>
      <c r="N1371" t="str">
        <f t="shared" si="432"/>
        <v>projects for internal resources.</v>
      </c>
      <c r="O1371" t="str">
        <f t="shared" si="433"/>
        <v/>
      </c>
      <c r="P1371" t="str">
        <f t="shared" si="434"/>
        <v/>
      </c>
      <c r="Q1371" t="str">
        <f t="shared" si="435"/>
        <v/>
      </c>
      <c r="R1371" t="str">
        <f t="shared" si="436"/>
        <v/>
      </c>
      <c r="S1371" t="str">
        <f t="shared" si="437"/>
        <v/>
      </c>
      <c r="T1371" t="str">
        <f t="shared" si="438"/>
        <v/>
      </c>
      <c r="U1371" t="str">
        <f t="shared" si="439"/>
        <v/>
      </c>
      <c r="V1371" t="str">
        <f t="shared" si="440"/>
        <v/>
      </c>
      <c r="W1371" s="71" t="str">
        <f>CONCATENATE(H1371," ",I1371," ",J1371," ",K1371," ",L1371," ",M1371," ",N1371," ",O1371," ",P1371," ",Q1371," ",R1371," ",S1371," ",T1371," ",U1371," ",V1371)</f>
        <v xml:space="preserve">Organizational risks The performing organization can contribute to the project’s risks through unreasonable cost, time, and scope expectations; poor project prioritization; inadequate funding or the disruption of funding; and competition with other projects for internal resources.        </v>
      </c>
    </row>
    <row r="1372" spans="1:23" customFormat="1" hidden="1">
      <c r="A1372" t="b">
        <f t="shared" si="422"/>
        <v>0</v>
      </c>
      <c r="B1372">
        <f t="shared" si="424"/>
        <v>1371</v>
      </c>
      <c r="C1372" t="s">
        <v>1243</v>
      </c>
      <c r="D1372" t="s">
        <v>1351</v>
      </c>
      <c r="E1372">
        <f t="shared" si="421"/>
        <v>45</v>
      </c>
      <c r="G1372">
        <f t="shared" si="425"/>
        <v>2</v>
      </c>
      <c r="H1372" t="str">
        <f t="shared" si="426"/>
        <v/>
      </c>
      <c r="I1372" t="str">
        <f t="shared" si="427"/>
        <v/>
      </c>
      <c r="J1372" t="str">
        <f t="shared" si="428"/>
        <v/>
      </c>
      <c r="K1372" t="str">
        <f t="shared" si="429"/>
        <v/>
      </c>
      <c r="L1372" t="str">
        <f t="shared" si="430"/>
        <v/>
      </c>
      <c r="M1372" t="str">
        <f t="shared" si="431"/>
        <v/>
      </c>
      <c r="N1372" t="str">
        <f t="shared" si="432"/>
        <v/>
      </c>
      <c r="O1372" t="str">
        <f t="shared" si="433"/>
        <v/>
      </c>
      <c r="P1372" t="str">
        <f t="shared" si="434"/>
        <v/>
      </c>
      <c r="Q1372" t="str">
        <f t="shared" si="435"/>
        <v/>
      </c>
      <c r="R1372" t="str">
        <f t="shared" si="436"/>
        <v/>
      </c>
      <c r="S1372" t="str">
        <f t="shared" si="437"/>
        <v/>
      </c>
      <c r="T1372" t="str">
        <f t="shared" si="438"/>
        <v/>
      </c>
      <c r="U1372" t="str">
        <f t="shared" si="439"/>
        <v/>
      </c>
      <c r="V1372" t="str">
        <f t="shared" si="440"/>
        <v/>
      </c>
      <c r="W1372" t="str">
        <f t="shared" si="423"/>
        <v xml:space="preserve">              </v>
      </c>
    </row>
    <row r="1373" spans="1:23" customFormat="1" hidden="1">
      <c r="A1373" t="b">
        <f t="shared" si="422"/>
        <v>0</v>
      </c>
      <c r="B1373">
        <f t="shared" si="424"/>
        <v>1372</v>
      </c>
      <c r="C1373" t="s">
        <v>1243</v>
      </c>
      <c r="D1373" t="s">
        <v>1352</v>
      </c>
      <c r="E1373">
        <f t="shared" si="421"/>
        <v>46</v>
      </c>
      <c r="G1373">
        <f t="shared" si="425"/>
        <v>3</v>
      </c>
      <c r="H1373" t="str">
        <f t="shared" si="426"/>
        <v/>
      </c>
      <c r="I1373" t="str">
        <f t="shared" si="427"/>
        <v/>
      </c>
      <c r="J1373" t="str">
        <f t="shared" si="428"/>
        <v/>
      </c>
      <c r="K1373" t="str">
        <f t="shared" si="429"/>
        <v/>
      </c>
      <c r="L1373" t="str">
        <f t="shared" si="430"/>
        <v/>
      </c>
      <c r="M1373" t="str">
        <f t="shared" si="431"/>
        <v/>
      </c>
      <c r="N1373" t="str">
        <f t="shared" si="432"/>
        <v/>
      </c>
      <c r="O1373" t="str">
        <f t="shared" si="433"/>
        <v/>
      </c>
      <c r="P1373" t="str">
        <f t="shared" si="434"/>
        <v/>
      </c>
      <c r="Q1373" t="str">
        <f t="shared" si="435"/>
        <v/>
      </c>
      <c r="R1373" t="str">
        <f t="shared" si="436"/>
        <v/>
      </c>
      <c r="S1373" t="str">
        <f t="shared" si="437"/>
        <v/>
      </c>
      <c r="T1373" t="str">
        <f t="shared" si="438"/>
        <v/>
      </c>
      <c r="U1373" t="str">
        <f t="shared" si="439"/>
        <v/>
      </c>
      <c r="V1373" t="str">
        <f t="shared" si="440"/>
        <v/>
      </c>
      <c r="W1373" t="str">
        <f t="shared" si="423"/>
        <v xml:space="preserve">              </v>
      </c>
    </row>
    <row r="1374" spans="1:23" customFormat="1" hidden="1">
      <c r="A1374" t="b">
        <f t="shared" si="422"/>
        <v>0</v>
      </c>
      <c r="B1374">
        <f t="shared" si="424"/>
        <v>1373</v>
      </c>
      <c r="C1374" t="s">
        <v>1243</v>
      </c>
      <c r="D1374" t="s">
        <v>1353</v>
      </c>
      <c r="E1374">
        <f t="shared" si="421"/>
        <v>42</v>
      </c>
      <c r="G1374">
        <f t="shared" si="425"/>
        <v>4</v>
      </c>
      <c r="H1374" t="str">
        <f t="shared" si="426"/>
        <v/>
      </c>
      <c r="I1374" t="str">
        <f t="shared" si="427"/>
        <v/>
      </c>
      <c r="J1374" t="str">
        <f t="shared" si="428"/>
        <v/>
      </c>
      <c r="K1374" t="str">
        <f t="shared" si="429"/>
        <v/>
      </c>
      <c r="L1374" t="str">
        <f t="shared" si="430"/>
        <v/>
      </c>
      <c r="M1374" t="str">
        <f t="shared" si="431"/>
        <v/>
      </c>
      <c r="N1374" t="str">
        <f t="shared" si="432"/>
        <v/>
      </c>
      <c r="O1374" t="str">
        <f t="shared" si="433"/>
        <v/>
      </c>
      <c r="P1374" t="str">
        <f t="shared" si="434"/>
        <v/>
      </c>
      <c r="Q1374" t="str">
        <f t="shared" si="435"/>
        <v/>
      </c>
      <c r="R1374" t="str">
        <f t="shared" si="436"/>
        <v/>
      </c>
      <c r="S1374" t="str">
        <f t="shared" si="437"/>
        <v/>
      </c>
      <c r="T1374" t="str">
        <f t="shared" si="438"/>
        <v/>
      </c>
      <c r="U1374" t="str">
        <f t="shared" si="439"/>
        <v/>
      </c>
      <c r="V1374" t="str">
        <f t="shared" si="440"/>
        <v/>
      </c>
      <c r="W1374" t="str">
        <f t="shared" si="423"/>
        <v xml:space="preserve">              </v>
      </c>
    </row>
    <row r="1375" spans="1:23" customFormat="1" hidden="1">
      <c r="A1375" t="b">
        <f t="shared" si="422"/>
        <v>0</v>
      </c>
      <c r="B1375">
        <f t="shared" si="424"/>
        <v>1374</v>
      </c>
      <c r="C1375" t="s">
        <v>1243</v>
      </c>
      <c r="D1375" t="s">
        <v>1354</v>
      </c>
      <c r="E1375">
        <f t="shared" si="421"/>
        <v>41</v>
      </c>
      <c r="G1375">
        <f t="shared" si="425"/>
        <v>5</v>
      </c>
      <c r="H1375" t="str">
        <f t="shared" si="426"/>
        <v/>
      </c>
      <c r="I1375" t="str">
        <f t="shared" si="427"/>
        <v/>
      </c>
      <c r="J1375" t="str">
        <f t="shared" si="428"/>
        <v/>
      </c>
      <c r="K1375" t="str">
        <f t="shared" si="429"/>
        <v/>
      </c>
      <c r="L1375" t="str">
        <f t="shared" si="430"/>
        <v/>
      </c>
      <c r="M1375" t="str">
        <f t="shared" si="431"/>
        <v/>
      </c>
      <c r="N1375" t="str">
        <f t="shared" si="432"/>
        <v/>
      </c>
      <c r="O1375" t="str">
        <f t="shared" si="433"/>
        <v/>
      </c>
      <c r="P1375" t="str">
        <f t="shared" si="434"/>
        <v/>
      </c>
      <c r="Q1375" t="str">
        <f t="shared" si="435"/>
        <v/>
      </c>
      <c r="R1375" t="str">
        <f t="shared" si="436"/>
        <v/>
      </c>
      <c r="S1375" t="str">
        <f t="shared" si="437"/>
        <v/>
      </c>
      <c r="T1375" t="str">
        <f t="shared" si="438"/>
        <v/>
      </c>
      <c r="U1375" t="str">
        <f t="shared" si="439"/>
        <v/>
      </c>
      <c r="V1375" t="str">
        <f t="shared" si="440"/>
        <v/>
      </c>
      <c r="W1375" t="str">
        <f t="shared" si="423"/>
        <v xml:space="preserve">              </v>
      </c>
    </row>
    <row r="1376" spans="1:23" customFormat="1" hidden="1">
      <c r="A1376" t="b">
        <f t="shared" si="422"/>
        <v>0</v>
      </c>
      <c r="B1376">
        <f t="shared" si="424"/>
        <v>1375</v>
      </c>
      <c r="C1376" t="s">
        <v>1243</v>
      </c>
      <c r="D1376" t="s">
        <v>1355</v>
      </c>
      <c r="E1376">
        <f t="shared" si="421"/>
        <v>49</v>
      </c>
      <c r="G1376">
        <f t="shared" si="425"/>
        <v>6</v>
      </c>
      <c r="H1376" t="str">
        <f t="shared" si="426"/>
        <v/>
      </c>
      <c r="I1376" t="str">
        <f t="shared" si="427"/>
        <v/>
      </c>
      <c r="J1376" t="str">
        <f t="shared" si="428"/>
        <v/>
      </c>
      <c r="K1376" t="str">
        <f t="shared" si="429"/>
        <v/>
      </c>
      <c r="L1376" t="str">
        <f t="shared" si="430"/>
        <v/>
      </c>
      <c r="M1376" t="str">
        <f t="shared" si="431"/>
        <v/>
      </c>
      <c r="N1376" t="str">
        <f t="shared" si="432"/>
        <v/>
      </c>
      <c r="O1376" t="str">
        <f t="shared" si="433"/>
        <v/>
      </c>
      <c r="P1376" t="str">
        <f t="shared" si="434"/>
        <v/>
      </c>
      <c r="Q1376" t="str">
        <f t="shared" si="435"/>
        <v/>
      </c>
      <c r="R1376" t="str">
        <f t="shared" si="436"/>
        <v/>
      </c>
      <c r="S1376" t="str">
        <f t="shared" si="437"/>
        <v/>
      </c>
      <c r="T1376" t="str">
        <f t="shared" si="438"/>
        <v/>
      </c>
      <c r="U1376" t="str">
        <f t="shared" si="439"/>
        <v/>
      </c>
      <c r="V1376" t="str">
        <f t="shared" si="440"/>
        <v/>
      </c>
      <c r="W1376" t="str">
        <f t="shared" si="423"/>
        <v xml:space="preserve">              </v>
      </c>
    </row>
    <row r="1377" spans="1:23" customFormat="1" hidden="1">
      <c r="A1377" t="b">
        <f t="shared" si="422"/>
        <v>0</v>
      </c>
      <c r="B1377">
        <f t="shared" si="424"/>
        <v>1376</v>
      </c>
      <c r="C1377" t="s">
        <v>1243</v>
      </c>
      <c r="D1377" t="s">
        <v>1356</v>
      </c>
      <c r="E1377">
        <f t="shared" si="421"/>
        <v>32</v>
      </c>
      <c r="G1377">
        <f t="shared" si="425"/>
        <v>7</v>
      </c>
      <c r="H1377" t="str">
        <f t="shared" si="426"/>
        <v/>
      </c>
      <c r="I1377" t="str">
        <f t="shared" si="427"/>
        <v/>
      </c>
      <c r="J1377" t="str">
        <f t="shared" si="428"/>
        <v/>
      </c>
      <c r="K1377" t="str">
        <f t="shared" si="429"/>
        <v/>
      </c>
      <c r="L1377" t="str">
        <f t="shared" si="430"/>
        <v/>
      </c>
      <c r="M1377" t="str">
        <f t="shared" si="431"/>
        <v/>
      </c>
      <c r="N1377" t="str">
        <f t="shared" si="432"/>
        <v/>
      </c>
      <c r="O1377" t="str">
        <f t="shared" si="433"/>
        <v/>
      </c>
      <c r="P1377" t="str">
        <f t="shared" si="434"/>
        <v/>
      </c>
      <c r="Q1377" t="str">
        <f t="shared" si="435"/>
        <v/>
      </c>
      <c r="R1377" t="str">
        <f t="shared" si="436"/>
        <v/>
      </c>
      <c r="S1377" t="str">
        <f t="shared" si="437"/>
        <v/>
      </c>
      <c r="T1377" t="str">
        <f t="shared" si="438"/>
        <v/>
      </c>
      <c r="U1377" t="str">
        <f t="shared" si="439"/>
        <v/>
      </c>
      <c r="V1377" t="str">
        <f t="shared" si="440"/>
        <v/>
      </c>
      <c r="W1377" t="str">
        <f t="shared" si="423"/>
        <v xml:space="preserve">              </v>
      </c>
    </row>
    <row r="1378" spans="1:23" hidden="1">
      <c r="A1378" s="71" t="b">
        <f t="shared" si="422"/>
        <v>0</v>
      </c>
      <c r="B1378" s="71">
        <f t="shared" si="424"/>
        <v>1377</v>
      </c>
      <c r="C1378" s="71" t="s">
        <v>1243</v>
      </c>
      <c r="D1378" s="71" t="s">
        <v>1357</v>
      </c>
      <c r="E1378">
        <f t="shared" si="421"/>
        <v>6</v>
      </c>
      <c r="F1378">
        <v>1</v>
      </c>
      <c r="G1378">
        <f t="shared" si="425"/>
        <v>1</v>
      </c>
      <c r="H1378" t="str">
        <f t="shared" si="426"/>
        <v>PESTLE</v>
      </c>
      <c r="I1378" t="str">
        <f t="shared" si="427"/>
        <v>A prompt list used for risk identification. PESTLE</v>
      </c>
      <c r="J1378" t="str">
        <f t="shared" si="428"/>
        <v>examines risks in the Political, Economic, Social,</v>
      </c>
      <c r="K1378" t="str">
        <f t="shared" si="429"/>
        <v>Technological, Legal, and Environmental</v>
      </c>
      <c r="L1378" t="str">
        <f t="shared" si="430"/>
        <v>domains.</v>
      </c>
      <c r="M1378" t="str">
        <f t="shared" si="431"/>
        <v/>
      </c>
      <c r="N1378" t="str">
        <f t="shared" si="432"/>
        <v/>
      </c>
      <c r="O1378" t="str">
        <f t="shared" si="433"/>
        <v/>
      </c>
      <c r="P1378" t="str">
        <f t="shared" si="434"/>
        <v/>
      </c>
      <c r="Q1378" t="str">
        <f t="shared" si="435"/>
        <v/>
      </c>
      <c r="R1378" t="str">
        <f t="shared" si="436"/>
        <v/>
      </c>
      <c r="S1378" t="str">
        <f t="shared" si="437"/>
        <v/>
      </c>
      <c r="T1378" t="str">
        <f t="shared" si="438"/>
        <v/>
      </c>
      <c r="U1378" t="str">
        <f t="shared" si="439"/>
        <v/>
      </c>
      <c r="V1378" t="str">
        <f t="shared" si="440"/>
        <v/>
      </c>
      <c r="W1378" s="71" t="str">
        <f>CONCATENATE(H1378," ",I1378," ",J1378," ",K1378," ",L1378," ",M1378," ",N1378," ",O1378," ",P1378," ",Q1378," ",R1378," ",S1378," ",T1378," ",U1378," ",V1378)</f>
        <v xml:space="preserve">PESTLE A prompt list used for risk identification. PESTLE examines risks in the Political, Economic, Social, Technological, Legal, and Environmental domains.          </v>
      </c>
    </row>
    <row r="1379" spans="1:23" customFormat="1" hidden="1">
      <c r="A1379" t="b">
        <f t="shared" si="422"/>
        <v>0</v>
      </c>
      <c r="B1379">
        <f t="shared" si="424"/>
        <v>1378</v>
      </c>
      <c r="C1379" t="s">
        <v>1243</v>
      </c>
      <c r="D1379" t="s">
        <v>1358</v>
      </c>
      <c r="E1379">
        <f t="shared" si="421"/>
        <v>50</v>
      </c>
      <c r="G1379">
        <f t="shared" si="425"/>
        <v>2</v>
      </c>
      <c r="H1379" t="str">
        <f t="shared" si="426"/>
        <v/>
      </c>
      <c r="I1379" t="str">
        <f t="shared" si="427"/>
        <v/>
      </c>
      <c r="J1379" t="str">
        <f t="shared" si="428"/>
        <v/>
      </c>
      <c r="K1379" t="str">
        <f t="shared" si="429"/>
        <v/>
      </c>
      <c r="L1379" t="str">
        <f t="shared" si="430"/>
        <v/>
      </c>
      <c r="M1379" t="str">
        <f t="shared" si="431"/>
        <v/>
      </c>
      <c r="N1379" t="str">
        <f t="shared" si="432"/>
        <v/>
      </c>
      <c r="O1379" t="str">
        <f t="shared" si="433"/>
        <v/>
      </c>
      <c r="P1379" t="str">
        <f t="shared" si="434"/>
        <v/>
      </c>
      <c r="Q1379" t="str">
        <f t="shared" si="435"/>
        <v/>
      </c>
      <c r="R1379" t="str">
        <f t="shared" si="436"/>
        <v/>
      </c>
      <c r="S1379" t="str">
        <f t="shared" si="437"/>
        <v/>
      </c>
      <c r="T1379" t="str">
        <f t="shared" si="438"/>
        <v/>
      </c>
      <c r="U1379" t="str">
        <f t="shared" si="439"/>
        <v/>
      </c>
      <c r="V1379" t="str">
        <f t="shared" si="440"/>
        <v/>
      </c>
      <c r="W1379" t="str">
        <f t="shared" si="423"/>
        <v xml:space="preserve">              </v>
      </c>
    </row>
    <row r="1380" spans="1:23" customFormat="1" hidden="1">
      <c r="A1380" t="b">
        <f t="shared" si="422"/>
        <v>0</v>
      </c>
      <c r="B1380">
        <f t="shared" si="424"/>
        <v>1379</v>
      </c>
      <c r="C1380" t="s">
        <v>1243</v>
      </c>
      <c r="D1380" t="s">
        <v>1359</v>
      </c>
      <c r="E1380">
        <f t="shared" si="421"/>
        <v>50</v>
      </c>
      <c r="G1380">
        <f t="shared" si="425"/>
        <v>3</v>
      </c>
      <c r="H1380" t="str">
        <f t="shared" si="426"/>
        <v/>
      </c>
      <c r="I1380" t="str">
        <f t="shared" si="427"/>
        <v/>
      </c>
      <c r="J1380" t="str">
        <f t="shared" si="428"/>
        <v/>
      </c>
      <c r="K1380" t="str">
        <f t="shared" si="429"/>
        <v/>
      </c>
      <c r="L1380" t="str">
        <f t="shared" si="430"/>
        <v/>
      </c>
      <c r="M1380" t="str">
        <f t="shared" si="431"/>
        <v/>
      </c>
      <c r="N1380" t="str">
        <f t="shared" si="432"/>
        <v/>
      </c>
      <c r="O1380" t="str">
        <f t="shared" si="433"/>
        <v/>
      </c>
      <c r="P1380" t="str">
        <f t="shared" si="434"/>
        <v/>
      </c>
      <c r="Q1380" t="str">
        <f t="shared" si="435"/>
        <v/>
      </c>
      <c r="R1380" t="str">
        <f t="shared" si="436"/>
        <v/>
      </c>
      <c r="S1380" t="str">
        <f t="shared" si="437"/>
        <v/>
      </c>
      <c r="T1380" t="str">
        <f t="shared" si="438"/>
        <v/>
      </c>
      <c r="U1380" t="str">
        <f t="shared" si="439"/>
        <v/>
      </c>
      <c r="V1380" t="str">
        <f t="shared" si="440"/>
        <v/>
      </c>
      <c r="W1380" t="str">
        <f t="shared" si="423"/>
        <v xml:space="preserve">              </v>
      </c>
    </row>
    <row r="1381" spans="1:23" customFormat="1" hidden="1">
      <c r="A1381" t="b">
        <f t="shared" si="422"/>
        <v>0</v>
      </c>
      <c r="B1381">
        <f t="shared" si="424"/>
        <v>1380</v>
      </c>
      <c r="C1381" t="s">
        <v>1243</v>
      </c>
      <c r="D1381" t="s">
        <v>1360</v>
      </c>
      <c r="E1381">
        <f t="shared" ref="E1381:E1443" si="441">LEN(D1381)</f>
        <v>39</v>
      </c>
      <c r="G1381">
        <f t="shared" si="425"/>
        <v>4</v>
      </c>
      <c r="H1381" t="str">
        <f t="shared" si="426"/>
        <v/>
      </c>
      <c r="I1381" t="str">
        <f t="shared" si="427"/>
        <v/>
      </c>
      <c r="J1381" t="str">
        <f t="shared" si="428"/>
        <v/>
      </c>
      <c r="K1381" t="str">
        <f t="shared" si="429"/>
        <v/>
      </c>
      <c r="L1381" t="str">
        <f t="shared" si="430"/>
        <v/>
      </c>
      <c r="M1381" t="str">
        <f t="shared" si="431"/>
        <v/>
      </c>
      <c r="N1381" t="str">
        <f t="shared" si="432"/>
        <v/>
      </c>
      <c r="O1381" t="str">
        <f t="shared" si="433"/>
        <v/>
      </c>
      <c r="P1381" t="str">
        <f t="shared" si="434"/>
        <v/>
      </c>
      <c r="Q1381" t="str">
        <f t="shared" si="435"/>
        <v/>
      </c>
      <c r="R1381" t="str">
        <f t="shared" si="436"/>
        <v/>
      </c>
      <c r="S1381" t="str">
        <f t="shared" si="437"/>
        <v/>
      </c>
      <c r="T1381" t="str">
        <f t="shared" si="438"/>
        <v/>
      </c>
      <c r="U1381" t="str">
        <f t="shared" si="439"/>
        <v/>
      </c>
      <c r="V1381" t="str">
        <f t="shared" si="440"/>
        <v/>
      </c>
      <c r="W1381" t="str">
        <f t="shared" si="423"/>
        <v xml:space="preserve">              </v>
      </c>
    </row>
    <row r="1382" spans="1:23" customFormat="1" hidden="1">
      <c r="A1382" t="b">
        <f t="shared" si="422"/>
        <v>0</v>
      </c>
      <c r="B1382">
        <f t="shared" si="424"/>
        <v>1381</v>
      </c>
      <c r="C1382" t="s">
        <v>1243</v>
      </c>
      <c r="D1382" t="s">
        <v>1361</v>
      </c>
      <c r="E1382">
        <f t="shared" si="441"/>
        <v>8</v>
      </c>
      <c r="G1382">
        <f t="shared" si="425"/>
        <v>5</v>
      </c>
      <c r="H1382" t="str">
        <f t="shared" si="426"/>
        <v/>
      </c>
      <c r="I1382" t="str">
        <f t="shared" si="427"/>
        <v/>
      </c>
      <c r="J1382" t="str">
        <f t="shared" si="428"/>
        <v/>
      </c>
      <c r="K1382" t="str">
        <f t="shared" si="429"/>
        <v/>
      </c>
      <c r="L1382" t="str">
        <f t="shared" si="430"/>
        <v/>
      </c>
      <c r="M1382" t="str">
        <f t="shared" si="431"/>
        <v/>
      </c>
      <c r="N1382" t="str">
        <f t="shared" si="432"/>
        <v/>
      </c>
      <c r="O1382" t="str">
        <f t="shared" si="433"/>
        <v/>
      </c>
      <c r="P1382" t="str">
        <f t="shared" si="434"/>
        <v/>
      </c>
      <c r="Q1382" t="str">
        <f t="shared" si="435"/>
        <v/>
      </c>
      <c r="R1382" t="str">
        <f t="shared" si="436"/>
        <v/>
      </c>
      <c r="S1382" t="str">
        <f t="shared" si="437"/>
        <v/>
      </c>
      <c r="T1382" t="str">
        <f t="shared" si="438"/>
        <v/>
      </c>
      <c r="U1382" t="str">
        <f t="shared" si="439"/>
        <v/>
      </c>
      <c r="V1382" t="str">
        <f t="shared" si="440"/>
        <v/>
      </c>
      <c r="W1382" t="str">
        <f t="shared" si="423"/>
        <v xml:space="preserve">              </v>
      </c>
    </row>
    <row r="1383" spans="1:23" hidden="1">
      <c r="A1383" s="71" t="b">
        <f t="shared" si="422"/>
        <v>0</v>
      </c>
      <c r="B1383" s="71">
        <f t="shared" si="424"/>
        <v>1382</v>
      </c>
      <c r="C1383" s="71" t="s">
        <v>1243</v>
      </c>
      <c r="D1383" s="71" t="s">
        <v>1362</v>
      </c>
      <c r="E1383">
        <f t="shared" si="441"/>
        <v>29</v>
      </c>
      <c r="F1383">
        <v>1</v>
      </c>
      <c r="G1383">
        <f t="shared" si="425"/>
        <v>1</v>
      </c>
      <c r="H1383" t="str">
        <f t="shared" si="426"/>
        <v>Probability and impact matrix</v>
      </c>
      <c r="I1383" t="str">
        <f t="shared" si="427"/>
        <v>A matrix that ranks the probability of a risk event</v>
      </c>
      <c r="J1383" t="str">
        <f t="shared" si="428"/>
        <v>occurring and its impact on the project if the</v>
      </c>
      <c r="K1383" t="str">
        <f t="shared" si="429"/>
        <v>event does happen; used in qualitative and</v>
      </c>
      <c r="L1383" t="str">
        <f t="shared" si="430"/>
        <v>quantitative risk analyses.</v>
      </c>
      <c r="M1383" t="str">
        <f t="shared" si="431"/>
        <v/>
      </c>
      <c r="N1383" t="str">
        <f t="shared" si="432"/>
        <v/>
      </c>
      <c r="O1383" t="str">
        <f t="shared" si="433"/>
        <v/>
      </c>
      <c r="P1383" t="str">
        <f t="shared" si="434"/>
        <v/>
      </c>
      <c r="Q1383" t="str">
        <f t="shared" si="435"/>
        <v/>
      </c>
      <c r="R1383" t="str">
        <f t="shared" si="436"/>
        <v/>
      </c>
      <c r="S1383" t="str">
        <f t="shared" si="437"/>
        <v/>
      </c>
      <c r="T1383" t="str">
        <f t="shared" si="438"/>
        <v/>
      </c>
      <c r="U1383" t="str">
        <f t="shared" si="439"/>
        <v/>
      </c>
      <c r="V1383" t="str">
        <f t="shared" si="440"/>
        <v/>
      </c>
      <c r="W1383" s="71" t="str">
        <f>CONCATENATE(H1383," ",I1383," ",J1383," ",K1383," ",L1383," ",M1383," ",N1383," ",O1383," ",P1383," ",Q1383," ",R1383," ",S1383," ",T1383," ",U1383," ",V1383)</f>
        <v xml:space="preserve">Probability and impact matrix A matrix that ranks the probability of a risk event occurring and its impact on the project if the event does happen; used in qualitative and quantitative risk analyses.          </v>
      </c>
    </row>
    <row r="1384" spans="1:23" customFormat="1" hidden="1">
      <c r="A1384" t="b">
        <f t="shared" si="422"/>
        <v>0</v>
      </c>
      <c r="B1384">
        <f t="shared" si="424"/>
        <v>1383</v>
      </c>
      <c r="C1384" t="s">
        <v>1243</v>
      </c>
      <c r="D1384" t="s">
        <v>1363</v>
      </c>
      <c r="E1384">
        <f t="shared" si="441"/>
        <v>51</v>
      </c>
      <c r="G1384">
        <f t="shared" si="425"/>
        <v>2</v>
      </c>
      <c r="H1384" t="str">
        <f t="shared" si="426"/>
        <v/>
      </c>
      <c r="I1384" t="str">
        <f t="shared" si="427"/>
        <v/>
      </c>
      <c r="J1384" t="str">
        <f t="shared" si="428"/>
        <v/>
      </c>
      <c r="K1384" t="str">
        <f t="shared" si="429"/>
        <v/>
      </c>
      <c r="L1384" t="str">
        <f t="shared" si="430"/>
        <v/>
      </c>
      <c r="M1384" t="str">
        <f t="shared" si="431"/>
        <v/>
      </c>
      <c r="N1384" t="str">
        <f t="shared" si="432"/>
        <v/>
      </c>
      <c r="O1384" t="str">
        <f t="shared" si="433"/>
        <v/>
      </c>
      <c r="P1384" t="str">
        <f t="shared" si="434"/>
        <v/>
      </c>
      <c r="Q1384" t="str">
        <f t="shared" si="435"/>
        <v/>
      </c>
      <c r="R1384" t="str">
        <f t="shared" si="436"/>
        <v/>
      </c>
      <c r="S1384" t="str">
        <f t="shared" si="437"/>
        <v/>
      </c>
      <c r="T1384" t="str">
        <f t="shared" si="438"/>
        <v/>
      </c>
      <c r="U1384" t="str">
        <f t="shared" si="439"/>
        <v/>
      </c>
      <c r="V1384" t="str">
        <f t="shared" si="440"/>
        <v/>
      </c>
      <c r="W1384" t="str">
        <f t="shared" si="423"/>
        <v xml:space="preserve">              </v>
      </c>
    </row>
    <row r="1385" spans="1:23" customFormat="1" hidden="1">
      <c r="A1385" t="b">
        <f t="shared" si="422"/>
        <v>0</v>
      </c>
      <c r="B1385">
        <f t="shared" si="424"/>
        <v>1384</v>
      </c>
      <c r="C1385" t="s">
        <v>1243</v>
      </c>
      <c r="D1385" t="s">
        <v>1364</v>
      </c>
      <c r="E1385">
        <f t="shared" si="441"/>
        <v>46</v>
      </c>
      <c r="G1385">
        <f t="shared" si="425"/>
        <v>3</v>
      </c>
      <c r="H1385" t="str">
        <f t="shared" si="426"/>
        <v/>
      </c>
      <c r="I1385" t="str">
        <f t="shared" si="427"/>
        <v/>
      </c>
      <c r="J1385" t="str">
        <f t="shared" si="428"/>
        <v/>
      </c>
      <c r="K1385" t="str">
        <f t="shared" si="429"/>
        <v/>
      </c>
      <c r="L1385" t="str">
        <f t="shared" si="430"/>
        <v/>
      </c>
      <c r="M1385" t="str">
        <f t="shared" si="431"/>
        <v/>
      </c>
      <c r="N1385" t="str">
        <f t="shared" si="432"/>
        <v/>
      </c>
      <c r="O1385" t="str">
        <f t="shared" si="433"/>
        <v/>
      </c>
      <c r="P1385" t="str">
        <f t="shared" si="434"/>
        <v/>
      </c>
      <c r="Q1385" t="str">
        <f t="shared" si="435"/>
        <v/>
      </c>
      <c r="R1385" t="str">
        <f t="shared" si="436"/>
        <v/>
      </c>
      <c r="S1385" t="str">
        <f t="shared" si="437"/>
        <v/>
      </c>
      <c r="T1385" t="str">
        <f t="shared" si="438"/>
        <v/>
      </c>
      <c r="U1385" t="str">
        <f t="shared" si="439"/>
        <v/>
      </c>
      <c r="V1385" t="str">
        <f t="shared" si="440"/>
        <v/>
      </c>
      <c r="W1385" t="str">
        <f t="shared" si="423"/>
        <v xml:space="preserve">              </v>
      </c>
    </row>
    <row r="1386" spans="1:23" customFormat="1" hidden="1">
      <c r="A1386" t="b">
        <f t="shared" si="422"/>
        <v>0</v>
      </c>
      <c r="B1386">
        <f t="shared" si="424"/>
        <v>1385</v>
      </c>
      <c r="C1386" t="s">
        <v>1243</v>
      </c>
      <c r="D1386" t="s">
        <v>1365</v>
      </c>
      <c r="E1386">
        <f t="shared" si="441"/>
        <v>42</v>
      </c>
      <c r="G1386">
        <f t="shared" si="425"/>
        <v>4</v>
      </c>
      <c r="H1386" t="str">
        <f t="shared" si="426"/>
        <v/>
      </c>
      <c r="I1386" t="str">
        <f t="shared" si="427"/>
        <v/>
      </c>
      <c r="J1386" t="str">
        <f t="shared" si="428"/>
        <v/>
      </c>
      <c r="K1386" t="str">
        <f t="shared" si="429"/>
        <v/>
      </c>
      <c r="L1386" t="str">
        <f t="shared" si="430"/>
        <v/>
      </c>
      <c r="M1386" t="str">
        <f t="shared" si="431"/>
        <v/>
      </c>
      <c r="N1386" t="str">
        <f t="shared" si="432"/>
        <v/>
      </c>
      <c r="O1386" t="str">
        <f t="shared" si="433"/>
        <v/>
      </c>
      <c r="P1386" t="str">
        <f t="shared" si="434"/>
        <v/>
      </c>
      <c r="Q1386" t="str">
        <f t="shared" si="435"/>
        <v/>
      </c>
      <c r="R1386" t="str">
        <f t="shared" si="436"/>
        <v/>
      </c>
      <c r="S1386" t="str">
        <f t="shared" si="437"/>
        <v/>
      </c>
      <c r="T1386" t="str">
        <f t="shared" si="438"/>
        <v/>
      </c>
      <c r="U1386" t="str">
        <f t="shared" si="439"/>
        <v/>
      </c>
      <c r="V1386" t="str">
        <f t="shared" si="440"/>
        <v/>
      </c>
      <c r="W1386" t="str">
        <f t="shared" si="423"/>
        <v xml:space="preserve">              </v>
      </c>
    </row>
    <row r="1387" spans="1:23" customFormat="1" hidden="1">
      <c r="A1387" t="b">
        <f t="shared" si="422"/>
        <v>0</v>
      </c>
      <c r="B1387">
        <f t="shared" si="424"/>
        <v>1386</v>
      </c>
      <c r="C1387" t="s">
        <v>1243</v>
      </c>
      <c r="D1387" t="s">
        <v>1366</v>
      </c>
      <c r="E1387">
        <f t="shared" si="441"/>
        <v>27</v>
      </c>
      <c r="G1387">
        <f t="shared" si="425"/>
        <v>5</v>
      </c>
      <c r="H1387" t="str">
        <f t="shared" si="426"/>
        <v/>
      </c>
      <c r="I1387" t="str">
        <f t="shared" si="427"/>
        <v/>
      </c>
      <c r="J1387" t="str">
        <f t="shared" si="428"/>
        <v/>
      </c>
      <c r="K1387" t="str">
        <f t="shared" si="429"/>
        <v/>
      </c>
      <c r="L1387" t="str">
        <f t="shared" si="430"/>
        <v/>
      </c>
      <c r="M1387" t="str">
        <f t="shared" si="431"/>
        <v/>
      </c>
      <c r="N1387" t="str">
        <f t="shared" si="432"/>
        <v/>
      </c>
      <c r="O1387" t="str">
        <f t="shared" si="433"/>
        <v/>
      </c>
      <c r="P1387" t="str">
        <f t="shared" si="434"/>
        <v/>
      </c>
      <c r="Q1387" t="str">
        <f t="shared" si="435"/>
        <v/>
      </c>
      <c r="R1387" t="str">
        <f t="shared" si="436"/>
        <v/>
      </c>
      <c r="S1387" t="str">
        <f t="shared" si="437"/>
        <v/>
      </c>
      <c r="T1387" t="str">
        <f t="shared" si="438"/>
        <v/>
      </c>
      <c r="U1387" t="str">
        <f t="shared" si="439"/>
        <v/>
      </c>
      <c r="V1387" t="str">
        <f t="shared" si="440"/>
        <v/>
      </c>
      <c r="W1387" t="str">
        <f t="shared" si="423"/>
        <v xml:space="preserve">              </v>
      </c>
    </row>
    <row r="1388" spans="1:23" hidden="1">
      <c r="A1388" s="71" t="b">
        <f t="shared" si="422"/>
        <v>0</v>
      </c>
      <c r="B1388" s="71">
        <f t="shared" si="424"/>
        <v>1387</v>
      </c>
      <c r="C1388" s="71" t="s">
        <v>1243</v>
      </c>
      <c r="D1388" s="71" t="s">
        <v>1367</v>
      </c>
      <c r="E1388">
        <f t="shared" si="441"/>
        <v>24</v>
      </c>
      <c r="F1388">
        <v>1</v>
      </c>
      <c r="G1388">
        <f t="shared" si="425"/>
        <v>1</v>
      </c>
      <c r="H1388" t="str">
        <f t="shared" si="426"/>
        <v>Project management risks</v>
      </c>
      <c r="I1388" t="str">
        <f t="shared" si="427"/>
        <v>These risks deal with faults in the management of</v>
      </c>
      <c r="J1388" t="str">
        <f t="shared" si="428"/>
        <v>the project: the unsuccessful allocation of time,</v>
      </c>
      <c r="K1388" t="str">
        <f t="shared" si="429"/>
        <v>resources, and scheduling; unacceptable work</v>
      </c>
      <c r="L1388" t="str">
        <f t="shared" si="430"/>
        <v>results; and poor project management.</v>
      </c>
      <c r="M1388" t="str">
        <f t="shared" si="431"/>
        <v/>
      </c>
      <c r="N1388" t="str">
        <f t="shared" si="432"/>
        <v/>
      </c>
      <c r="O1388" t="str">
        <f t="shared" si="433"/>
        <v/>
      </c>
      <c r="P1388" t="str">
        <f t="shared" si="434"/>
        <v/>
      </c>
      <c r="Q1388" t="str">
        <f t="shared" si="435"/>
        <v/>
      </c>
      <c r="R1388" t="str">
        <f t="shared" si="436"/>
        <v/>
      </c>
      <c r="S1388" t="str">
        <f t="shared" si="437"/>
        <v/>
      </c>
      <c r="T1388" t="str">
        <f t="shared" si="438"/>
        <v/>
      </c>
      <c r="U1388" t="str">
        <f t="shared" si="439"/>
        <v/>
      </c>
      <c r="V1388" t="str">
        <f t="shared" si="440"/>
        <v/>
      </c>
      <c r="W1388" s="71" t="str">
        <f>CONCATENATE(H1388," ",I1388," ",J1388," ",K1388," ",L1388," ",M1388," ",N1388," ",O1388," ",P1388," ",Q1388," ",R1388," ",S1388," ",T1388," ",U1388," ",V1388)</f>
        <v xml:space="preserve">Project management risks These risks deal with faults in the management of the project: the unsuccessful allocation of time, resources, and scheduling; unacceptable work results; and poor project management.          </v>
      </c>
    </row>
    <row r="1389" spans="1:23" customFormat="1" hidden="1">
      <c r="A1389" t="b">
        <f t="shared" si="422"/>
        <v>0</v>
      </c>
      <c r="B1389">
        <f t="shared" si="424"/>
        <v>1388</v>
      </c>
      <c r="C1389" t="s">
        <v>1243</v>
      </c>
      <c r="D1389" t="s">
        <v>1368</v>
      </c>
      <c r="E1389">
        <f t="shared" si="441"/>
        <v>49</v>
      </c>
      <c r="G1389">
        <f t="shared" si="425"/>
        <v>2</v>
      </c>
      <c r="H1389" t="str">
        <f t="shared" si="426"/>
        <v/>
      </c>
      <c r="I1389" t="str">
        <f t="shared" si="427"/>
        <v/>
      </c>
      <c r="J1389" t="str">
        <f t="shared" si="428"/>
        <v/>
      </c>
      <c r="K1389" t="str">
        <f t="shared" si="429"/>
        <v/>
      </c>
      <c r="L1389" t="str">
        <f t="shared" si="430"/>
        <v/>
      </c>
      <c r="M1389" t="str">
        <f t="shared" si="431"/>
        <v/>
      </c>
      <c r="N1389" t="str">
        <f t="shared" si="432"/>
        <v/>
      </c>
      <c r="O1389" t="str">
        <f t="shared" si="433"/>
        <v/>
      </c>
      <c r="P1389" t="str">
        <f t="shared" si="434"/>
        <v/>
      </c>
      <c r="Q1389" t="str">
        <f t="shared" si="435"/>
        <v/>
      </c>
      <c r="R1389" t="str">
        <f t="shared" si="436"/>
        <v/>
      </c>
      <c r="S1389" t="str">
        <f t="shared" si="437"/>
        <v/>
      </c>
      <c r="T1389" t="str">
        <f t="shared" si="438"/>
        <v/>
      </c>
      <c r="U1389" t="str">
        <f t="shared" si="439"/>
        <v/>
      </c>
      <c r="V1389" t="str">
        <f t="shared" si="440"/>
        <v/>
      </c>
      <c r="W1389" t="str">
        <f t="shared" si="423"/>
        <v xml:space="preserve">              </v>
      </c>
    </row>
    <row r="1390" spans="1:23" customFormat="1" hidden="1">
      <c r="A1390" t="b">
        <f t="shared" si="422"/>
        <v>0</v>
      </c>
      <c r="B1390">
        <f t="shared" si="424"/>
        <v>1389</v>
      </c>
      <c r="C1390" t="s">
        <v>1243</v>
      </c>
      <c r="D1390" t="s">
        <v>1369</v>
      </c>
      <c r="E1390">
        <f t="shared" si="441"/>
        <v>49</v>
      </c>
      <c r="G1390">
        <f t="shared" si="425"/>
        <v>3</v>
      </c>
      <c r="H1390" t="str">
        <f t="shared" si="426"/>
        <v/>
      </c>
      <c r="I1390" t="str">
        <f t="shared" si="427"/>
        <v/>
      </c>
      <c r="J1390" t="str">
        <f t="shared" si="428"/>
        <v/>
      </c>
      <c r="K1390" t="str">
        <f t="shared" si="429"/>
        <v/>
      </c>
      <c r="L1390" t="str">
        <f t="shared" si="430"/>
        <v/>
      </c>
      <c r="M1390" t="str">
        <f t="shared" si="431"/>
        <v/>
      </c>
      <c r="N1390" t="str">
        <f t="shared" si="432"/>
        <v/>
      </c>
      <c r="O1390" t="str">
        <f t="shared" si="433"/>
        <v/>
      </c>
      <c r="P1390" t="str">
        <f t="shared" si="434"/>
        <v/>
      </c>
      <c r="Q1390" t="str">
        <f t="shared" si="435"/>
        <v/>
      </c>
      <c r="R1390" t="str">
        <f t="shared" si="436"/>
        <v/>
      </c>
      <c r="S1390" t="str">
        <f t="shared" si="437"/>
        <v/>
      </c>
      <c r="T1390" t="str">
        <f t="shared" si="438"/>
        <v/>
      </c>
      <c r="U1390" t="str">
        <f t="shared" si="439"/>
        <v/>
      </c>
      <c r="V1390" t="str">
        <f t="shared" si="440"/>
        <v/>
      </c>
      <c r="W1390" t="str">
        <f t="shared" si="423"/>
        <v xml:space="preserve">              </v>
      </c>
    </row>
    <row r="1391" spans="1:23" customFormat="1" hidden="1">
      <c r="A1391" t="b">
        <f t="shared" si="422"/>
        <v>0</v>
      </c>
      <c r="B1391">
        <f t="shared" si="424"/>
        <v>1390</v>
      </c>
      <c r="C1391" t="s">
        <v>1243</v>
      </c>
      <c r="D1391" t="s">
        <v>1370</v>
      </c>
      <c r="E1391">
        <f t="shared" si="441"/>
        <v>44</v>
      </c>
      <c r="G1391">
        <f t="shared" si="425"/>
        <v>4</v>
      </c>
      <c r="H1391" t="str">
        <f t="shared" si="426"/>
        <v/>
      </c>
      <c r="I1391" t="str">
        <f t="shared" si="427"/>
        <v/>
      </c>
      <c r="J1391" t="str">
        <f t="shared" si="428"/>
        <v/>
      </c>
      <c r="K1391" t="str">
        <f t="shared" si="429"/>
        <v/>
      </c>
      <c r="L1391" t="str">
        <f t="shared" si="430"/>
        <v/>
      </c>
      <c r="M1391" t="str">
        <f t="shared" si="431"/>
        <v/>
      </c>
      <c r="N1391" t="str">
        <f t="shared" si="432"/>
        <v/>
      </c>
      <c r="O1391" t="str">
        <f t="shared" si="433"/>
        <v/>
      </c>
      <c r="P1391" t="str">
        <f t="shared" si="434"/>
        <v/>
      </c>
      <c r="Q1391" t="str">
        <f t="shared" si="435"/>
        <v/>
      </c>
      <c r="R1391" t="str">
        <f t="shared" si="436"/>
        <v/>
      </c>
      <c r="S1391" t="str">
        <f t="shared" si="437"/>
        <v/>
      </c>
      <c r="T1391" t="str">
        <f t="shared" si="438"/>
        <v/>
      </c>
      <c r="U1391" t="str">
        <f t="shared" si="439"/>
        <v/>
      </c>
      <c r="V1391" t="str">
        <f t="shared" si="440"/>
        <v/>
      </c>
      <c r="W1391" t="str">
        <f t="shared" si="423"/>
        <v xml:space="preserve">              </v>
      </c>
    </row>
    <row r="1392" spans="1:23" customFormat="1" hidden="1">
      <c r="A1392" t="b">
        <f t="shared" si="422"/>
        <v>0</v>
      </c>
      <c r="B1392">
        <f t="shared" si="424"/>
        <v>1391</v>
      </c>
      <c r="C1392" t="s">
        <v>1243</v>
      </c>
      <c r="D1392" t="s">
        <v>1371</v>
      </c>
      <c r="E1392">
        <f t="shared" si="441"/>
        <v>37</v>
      </c>
      <c r="G1392">
        <f t="shared" si="425"/>
        <v>5</v>
      </c>
      <c r="H1392" t="str">
        <f t="shared" si="426"/>
        <v/>
      </c>
      <c r="I1392" t="str">
        <f t="shared" si="427"/>
        <v/>
      </c>
      <c r="J1392" t="str">
        <f t="shared" si="428"/>
        <v/>
      </c>
      <c r="K1392" t="str">
        <f t="shared" si="429"/>
        <v/>
      </c>
      <c r="L1392" t="str">
        <f t="shared" si="430"/>
        <v/>
      </c>
      <c r="M1392" t="str">
        <f t="shared" si="431"/>
        <v/>
      </c>
      <c r="N1392" t="str">
        <f t="shared" si="432"/>
        <v/>
      </c>
      <c r="O1392" t="str">
        <f t="shared" si="433"/>
        <v/>
      </c>
      <c r="P1392" t="str">
        <f t="shared" si="434"/>
        <v/>
      </c>
      <c r="Q1392" t="str">
        <f t="shared" si="435"/>
        <v/>
      </c>
      <c r="R1392" t="str">
        <f t="shared" si="436"/>
        <v/>
      </c>
      <c r="S1392" t="str">
        <f t="shared" si="437"/>
        <v/>
      </c>
      <c r="T1392" t="str">
        <f t="shared" si="438"/>
        <v/>
      </c>
      <c r="U1392" t="str">
        <f t="shared" si="439"/>
        <v/>
      </c>
      <c r="V1392" t="str">
        <f t="shared" si="440"/>
        <v/>
      </c>
      <c r="W1392" t="str">
        <f t="shared" si="423"/>
        <v xml:space="preserve">              </v>
      </c>
    </row>
    <row r="1393" spans="1:23" hidden="1">
      <c r="A1393" s="71" t="b">
        <f t="shared" si="422"/>
        <v>0</v>
      </c>
      <c r="B1393" s="71">
        <f t="shared" si="424"/>
        <v>1392</v>
      </c>
      <c r="C1393" s="71" t="s">
        <v>1243</v>
      </c>
      <c r="D1393" s="71" t="s">
        <v>1372</v>
      </c>
      <c r="E1393">
        <f t="shared" si="441"/>
        <v>10</v>
      </c>
      <c r="F1393">
        <v>1</v>
      </c>
      <c r="G1393">
        <f t="shared" si="425"/>
        <v>1</v>
      </c>
      <c r="H1393" t="str">
        <f t="shared" si="426"/>
        <v>Pure risks</v>
      </c>
      <c r="I1393" t="str">
        <f t="shared" si="427"/>
        <v>These risks have only a negative outcome.</v>
      </c>
      <c r="J1393" t="str">
        <f t="shared" si="428"/>
        <v>Examples include loss of life or limb, fire, theft,</v>
      </c>
      <c r="K1393" t="str">
        <f t="shared" si="429"/>
        <v>natural disasters, and the like.</v>
      </c>
      <c r="L1393" t="str">
        <f t="shared" si="430"/>
        <v/>
      </c>
      <c r="M1393" t="str">
        <f t="shared" si="431"/>
        <v/>
      </c>
      <c r="N1393" t="str">
        <f t="shared" si="432"/>
        <v/>
      </c>
      <c r="O1393" t="str">
        <f t="shared" si="433"/>
        <v/>
      </c>
      <c r="P1393" t="str">
        <f t="shared" si="434"/>
        <v/>
      </c>
      <c r="Q1393" t="str">
        <f t="shared" si="435"/>
        <v/>
      </c>
      <c r="R1393" t="str">
        <f t="shared" si="436"/>
        <v/>
      </c>
      <c r="S1393" t="str">
        <f t="shared" si="437"/>
        <v/>
      </c>
      <c r="T1393" t="str">
        <f t="shared" si="438"/>
        <v/>
      </c>
      <c r="U1393" t="str">
        <f t="shared" si="439"/>
        <v/>
      </c>
      <c r="V1393" t="str">
        <f t="shared" si="440"/>
        <v/>
      </c>
      <c r="W1393" s="71" t="str">
        <f>CONCATENATE(H1393," ",I1393," ",J1393," ",K1393," ",L1393," ",M1393," ",N1393," ",O1393," ",P1393," ",Q1393," ",R1393," ",S1393," ",T1393," ",U1393," ",V1393)</f>
        <v xml:space="preserve">Pure risks These risks have only a negative outcome. Examples include loss of life or limb, fire, theft, natural disasters, and the like.           </v>
      </c>
    </row>
    <row r="1394" spans="1:23" customFormat="1" hidden="1">
      <c r="A1394" t="b">
        <f t="shared" si="422"/>
        <v>0</v>
      </c>
      <c r="B1394">
        <f t="shared" si="424"/>
        <v>1393</v>
      </c>
      <c r="C1394" t="s">
        <v>1243</v>
      </c>
      <c r="D1394" t="s">
        <v>1373</v>
      </c>
      <c r="E1394">
        <f t="shared" si="441"/>
        <v>41</v>
      </c>
      <c r="G1394">
        <f t="shared" si="425"/>
        <v>2</v>
      </c>
      <c r="H1394" t="str">
        <f t="shared" si="426"/>
        <v/>
      </c>
      <c r="I1394" t="str">
        <f t="shared" si="427"/>
        <v/>
      </c>
      <c r="J1394" t="str">
        <f t="shared" si="428"/>
        <v/>
      </c>
      <c r="K1394" t="str">
        <f t="shared" si="429"/>
        <v/>
      </c>
      <c r="L1394" t="str">
        <f t="shared" si="430"/>
        <v/>
      </c>
      <c r="M1394" t="str">
        <f t="shared" si="431"/>
        <v/>
      </c>
      <c r="N1394" t="str">
        <f t="shared" si="432"/>
        <v/>
      </c>
      <c r="O1394" t="str">
        <f t="shared" si="433"/>
        <v/>
      </c>
      <c r="P1394" t="str">
        <f t="shared" si="434"/>
        <v/>
      </c>
      <c r="Q1394" t="str">
        <f t="shared" si="435"/>
        <v/>
      </c>
      <c r="R1394" t="str">
        <f t="shared" si="436"/>
        <v/>
      </c>
      <c r="S1394" t="str">
        <f t="shared" si="437"/>
        <v/>
      </c>
      <c r="T1394" t="str">
        <f t="shared" si="438"/>
        <v/>
      </c>
      <c r="U1394" t="str">
        <f t="shared" si="439"/>
        <v/>
      </c>
      <c r="V1394" t="str">
        <f t="shared" si="440"/>
        <v/>
      </c>
      <c r="W1394" t="str">
        <f t="shared" si="423"/>
        <v xml:space="preserve">              </v>
      </c>
    </row>
    <row r="1395" spans="1:23" customFormat="1" hidden="1">
      <c r="A1395" t="b">
        <f t="shared" si="422"/>
        <v>0</v>
      </c>
      <c r="B1395">
        <f t="shared" si="424"/>
        <v>1394</v>
      </c>
      <c r="C1395" t="s">
        <v>1243</v>
      </c>
      <c r="D1395" t="s">
        <v>1374</v>
      </c>
      <c r="E1395">
        <f t="shared" si="441"/>
        <v>51</v>
      </c>
      <c r="G1395">
        <f t="shared" si="425"/>
        <v>3</v>
      </c>
      <c r="H1395" t="str">
        <f t="shared" si="426"/>
        <v/>
      </c>
      <c r="I1395" t="str">
        <f t="shared" si="427"/>
        <v/>
      </c>
      <c r="J1395" t="str">
        <f t="shared" si="428"/>
        <v/>
      </c>
      <c r="K1395" t="str">
        <f t="shared" si="429"/>
        <v/>
      </c>
      <c r="L1395" t="str">
        <f t="shared" si="430"/>
        <v/>
      </c>
      <c r="M1395" t="str">
        <f t="shared" si="431"/>
        <v/>
      </c>
      <c r="N1395" t="str">
        <f t="shared" si="432"/>
        <v/>
      </c>
      <c r="O1395" t="str">
        <f t="shared" si="433"/>
        <v/>
      </c>
      <c r="P1395" t="str">
        <f t="shared" si="434"/>
        <v/>
      </c>
      <c r="Q1395" t="str">
        <f t="shared" si="435"/>
        <v/>
      </c>
      <c r="R1395" t="str">
        <f t="shared" si="436"/>
        <v/>
      </c>
      <c r="S1395" t="str">
        <f t="shared" si="437"/>
        <v/>
      </c>
      <c r="T1395" t="str">
        <f t="shared" si="438"/>
        <v/>
      </c>
      <c r="U1395" t="str">
        <f t="shared" si="439"/>
        <v/>
      </c>
      <c r="V1395" t="str">
        <f t="shared" si="440"/>
        <v/>
      </c>
      <c r="W1395" t="str">
        <f t="shared" si="423"/>
        <v xml:space="preserve">              </v>
      </c>
    </row>
    <row r="1396" spans="1:23" customFormat="1" hidden="1">
      <c r="A1396" t="b">
        <f t="shared" si="422"/>
        <v>0</v>
      </c>
      <c r="B1396">
        <f t="shared" si="424"/>
        <v>1395</v>
      </c>
      <c r="C1396" t="s">
        <v>1243</v>
      </c>
      <c r="D1396" t="s">
        <v>1375</v>
      </c>
      <c r="E1396">
        <f t="shared" si="441"/>
        <v>32</v>
      </c>
      <c r="G1396">
        <f t="shared" si="425"/>
        <v>4</v>
      </c>
      <c r="H1396" t="str">
        <f t="shared" si="426"/>
        <v/>
      </c>
      <c r="I1396" t="str">
        <f t="shared" si="427"/>
        <v/>
      </c>
      <c r="J1396" t="str">
        <f t="shared" si="428"/>
        <v/>
      </c>
      <c r="K1396" t="str">
        <f t="shared" si="429"/>
        <v/>
      </c>
      <c r="L1396" t="str">
        <f t="shared" si="430"/>
        <v/>
      </c>
      <c r="M1396" t="str">
        <f t="shared" si="431"/>
        <v/>
      </c>
      <c r="N1396" t="str">
        <f t="shared" si="432"/>
        <v/>
      </c>
      <c r="O1396" t="str">
        <f t="shared" si="433"/>
        <v/>
      </c>
      <c r="P1396" t="str">
        <f t="shared" si="434"/>
        <v/>
      </c>
      <c r="Q1396" t="str">
        <f t="shared" si="435"/>
        <v/>
      </c>
      <c r="R1396" t="str">
        <f t="shared" si="436"/>
        <v/>
      </c>
      <c r="S1396" t="str">
        <f t="shared" si="437"/>
        <v/>
      </c>
      <c r="T1396" t="str">
        <f t="shared" si="438"/>
        <v/>
      </c>
      <c r="U1396" t="str">
        <f t="shared" si="439"/>
        <v/>
      </c>
      <c r="V1396" t="str">
        <f t="shared" si="440"/>
        <v/>
      </c>
      <c r="W1396" t="str">
        <f t="shared" si="423"/>
        <v xml:space="preserve">              </v>
      </c>
    </row>
    <row r="1397" spans="1:23" hidden="1">
      <c r="A1397" s="71" t="b">
        <f t="shared" si="422"/>
        <v>0</v>
      </c>
      <c r="B1397" s="71">
        <f t="shared" si="424"/>
        <v>1396</v>
      </c>
      <c r="C1397" s="71" t="s">
        <v>1243</v>
      </c>
      <c r="D1397" s="71" t="s">
        <v>1376</v>
      </c>
      <c r="E1397">
        <f t="shared" si="441"/>
        <v>25</v>
      </c>
      <c r="F1397">
        <v>1</v>
      </c>
      <c r="G1397">
        <f t="shared" si="425"/>
        <v>1</v>
      </c>
      <c r="H1397" t="str">
        <f t="shared" si="426"/>
        <v>Qualitative risk analysis</v>
      </c>
      <c r="I1397" t="str">
        <f t="shared" si="427"/>
        <v>This approach “qualifies” the risks that have been</v>
      </c>
      <c r="J1397" t="str">
        <f t="shared" si="428"/>
        <v>identified in the project. Specifically, qualitative</v>
      </c>
      <c r="K1397" t="str">
        <f t="shared" si="429"/>
        <v>risk analysis examines and prioritizes risks based</v>
      </c>
      <c r="L1397" t="str">
        <f t="shared" si="430"/>
        <v>on their probability of occurring and their impact</v>
      </c>
      <c r="M1397" t="str">
        <f t="shared" si="431"/>
        <v>on the project should they occur.</v>
      </c>
      <c r="N1397" t="str">
        <f t="shared" si="432"/>
        <v/>
      </c>
      <c r="O1397" t="str">
        <f t="shared" si="433"/>
        <v/>
      </c>
      <c r="P1397" t="str">
        <f t="shared" si="434"/>
        <v/>
      </c>
      <c r="Q1397" t="str">
        <f t="shared" si="435"/>
        <v/>
      </c>
      <c r="R1397" t="str">
        <f t="shared" si="436"/>
        <v/>
      </c>
      <c r="S1397" t="str">
        <f t="shared" si="437"/>
        <v/>
      </c>
      <c r="T1397" t="str">
        <f t="shared" si="438"/>
        <v/>
      </c>
      <c r="U1397" t="str">
        <f t="shared" si="439"/>
        <v/>
      </c>
      <c r="V1397" t="str">
        <f t="shared" si="440"/>
        <v/>
      </c>
      <c r="W1397" s="71" t="str">
        <f>CONCATENATE(H1397," ",I1397," ",J1397," ",K1397," ",L1397," ",M1397," ",N1397," ",O1397," ",P1397," ",Q1397," ",R1397," ",S1397," ",T1397," ",U1397," ",V1397)</f>
        <v xml:space="preserve">Qualitative risk analysis This approach “qualifies” the risks that have been identified in the project. Specifically, qualitative risk analysis examines and prioritizes risks based on their probability of occurring and their impact on the project should they occur.         </v>
      </c>
    </row>
    <row r="1398" spans="1:23" customFormat="1" hidden="1">
      <c r="A1398" t="b">
        <f t="shared" si="422"/>
        <v>0</v>
      </c>
      <c r="B1398">
        <f t="shared" si="424"/>
        <v>1397</v>
      </c>
      <c r="C1398" t="s">
        <v>1243</v>
      </c>
      <c r="D1398" t="s">
        <v>1377</v>
      </c>
      <c r="E1398">
        <f t="shared" si="441"/>
        <v>50</v>
      </c>
      <c r="G1398">
        <f t="shared" si="425"/>
        <v>2</v>
      </c>
      <c r="H1398" t="str">
        <f t="shared" si="426"/>
        <v/>
      </c>
      <c r="I1398" t="str">
        <f t="shared" si="427"/>
        <v/>
      </c>
      <c r="J1398" t="str">
        <f t="shared" si="428"/>
        <v/>
      </c>
      <c r="K1398" t="str">
        <f t="shared" si="429"/>
        <v/>
      </c>
      <c r="L1398" t="str">
        <f t="shared" si="430"/>
        <v/>
      </c>
      <c r="M1398" t="str">
        <f t="shared" si="431"/>
        <v/>
      </c>
      <c r="N1398" t="str">
        <f t="shared" si="432"/>
        <v/>
      </c>
      <c r="O1398" t="str">
        <f t="shared" si="433"/>
        <v/>
      </c>
      <c r="P1398" t="str">
        <f t="shared" si="434"/>
        <v/>
      </c>
      <c r="Q1398" t="str">
        <f t="shared" si="435"/>
        <v/>
      </c>
      <c r="R1398" t="str">
        <f t="shared" si="436"/>
        <v/>
      </c>
      <c r="S1398" t="str">
        <f t="shared" si="437"/>
        <v/>
      </c>
      <c r="T1398" t="str">
        <f t="shared" si="438"/>
        <v/>
      </c>
      <c r="U1398" t="str">
        <f t="shared" si="439"/>
        <v/>
      </c>
      <c r="V1398" t="str">
        <f t="shared" si="440"/>
        <v/>
      </c>
      <c r="W1398" t="str">
        <f t="shared" si="423"/>
        <v xml:space="preserve">              </v>
      </c>
    </row>
    <row r="1399" spans="1:23" customFormat="1" hidden="1">
      <c r="A1399" t="b">
        <f t="shared" si="422"/>
        <v>0</v>
      </c>
      <c r="B1399">
        <f t="shared" si="424"/>
        <v>1398</v>
      </c>
      <c r="C1399" t="s">
        <v>1243</v>
      </c>
      <c r="D1399" t="s">
        <v>1378</v>
      </c>
      <c r="E1399">
        <f t="shared" si="441"/>
        <v>52</v>
      </c>
      <c r="G1399">
        <f t="shared" si="425"/>
        <v>3</v>
      </c>
      <c r="H1399" t="str">
        <f t="shared" si="426"/>
        <v/>
      </c>
      <c r="I1399" t="str">
        <f t="shared" si="427"/>
        <v/>
      </c>
      <c r="J1399" t="str">
        <f t="shared" si="428"/>
        <v/>
      </c>
      <c r="K1399" t="str">
        <f t="shared" si="429"/>
        <v/>
      </c>
      <c r="L1399" t="str">
        <f t="shared" si="430"/>
        <v/>
      </c>
      <c r="M1399" t="str">
        <f t="shared" si="431"/>
        <v/>
      </c>
      <c r="N1399" t="str">
        <f t="shared" si="432"/>
        <v/>
      </c>
      <c r="O1399" t="str">
        <f t="shared" si="433"/>
        <v/>
      </c>
      <c r="P1399" t="str">
        <f t="shared" si="434"/>
        <v/>
      </c>
      <c r="Q1399" t="str">
        <f t="shared" si="435"/>
        <v/>
      </c>
      <c r="R1399" t="str">
        <f t="shared" si="436"/>
        <v/>
      </c>
      <c r="S1399" t="str">
        <f t="shared" si="437"/>
        <v/>
      </c>
      <c r="T1399" t="str">
        <f t="shared" si="438"/>
        <v/>
      </c>
      <c r="U1399" t="str">
        <f t="shared" si="439"/>
        <v/>
      </c>
      <c r="V1399" t="str">
        <f t="shared" si="440"/>
        <v/>
      </c>
      <c r="W1399" t="str">
        <f t="shared" si="423"/>
        <v xml:space="preserve">              </v>
      </c>
    </row>
    <row r="1400" spans="1:23" customFormat="1" hidden="1">
      <c r="A1400" t="b">
        <f t="shared" si="422"/>
        <v>0</v>
      </c>
      <c r="B1400">
        <f t="shared" si="424"/>
        <v>1399</v>
      </c>
      <c r="C1400" t="s">
        <v>1243</v>
      </c>
      <c r="D1400" t="s">
        <v>1379</v>
      </c>
      <c r="E1400">
        <f t="shared" si="441"/>
        <v>50</v>
      </c>
      <c r="G1400">
        <f t="shared" si="425"/>
        <v>4</v>
      </c>
      <c r="H1400" t="str">
        <f t="shared" si="426"/>
        <v/>
      </c>
      <c r="I1400" t="str">
        <f t="shared" si="427"/>
        <v/>
      </c>
      <c r="J1400" t="str">
        <f t="shared" si="428"/>
        <v/>
      </c>
      <c r="K1400" t="str">
        <f t="shared" si="429"/>
        <v/>
      </c>
      <c r="L1400" t="str">
        <f t="shared" si="430"/>
        <v/>
      </c>
      <c r="M1400" t="str">
        <f t="shared" si="431"/>
        <v/>
      </c>
      <c r="N1400" t="str">
        <f t="shared" si="432"/>
        <v/>
      </c>
      <c r="O1400" t="str">
        <f t="shared" si="433"/>
        <v/>
      </c>
      <c r="P1400" t="str">
        <f t="shared" si="434"/>
        <v/>
      </c>
      <c r="Q1400" t="str">
        <f t="shared" si="435"/>
        <v/>
      </c>
      <c r="R1400" t="str">
        <f t="shared" si="436"/>
        <v/>
      </c>
      <c r="S1400" t="str">
        <f t="shared" si="437"/>
        <v/>
      </c>
      <c r="T1400" t="str">
        <f t="shared" si="438"/>
        <v/>
      </c>
      <c r="U1400" t="str">
        <f t="shared" si="439"/>
        <v/>
      </c>
      <c r="V1400" t="str">
        <f t="shared" si="440"/>
        <v/>
      </c>
      <c r="W1400" t="str">
        <f t="shared" si="423"/>
        <v xml:space="preserve">              </v>
      </c>
    </row>
    <row r="1401" spans="1:23" customFormat="1" hidden="1">
      <c r="A1401" t="b">
        <f t="shared" si="422"/>
        <v>0</v>
      </c>
      <c r="B1401">
        <f t="shared" si="424"/>
        <v>1400</v>
      </c>
      <c r="C1401" t="s">
        <v>1243</v>
      </c>
      <c r="D1401" t="s">
        <v>1380</v>
      </c>
      <c r="E1401">
        <f t="shared" si="441"/>
        <v>50</v>
      </c>
      <c r="G1401">
        <f t="shared" si="425"/>
        <v>5</v>
      </c>
      <c r="H1401" t="str">
        <f t="shared" si="426"/>
        <v/>
      </c>
      <c r="I1401" t="str">
        <f t="shared" si="427"/>
        <v/>
      </c>
      <c r="J1401" t="str">
        <f t="shared" si="428"/>
        <v/>
      </c>
      <c r="K1401" t="str">
        <f t="shared" si="429"/>
        <v/>
      </c>
      <c r="L1401" t="str">
        <f t="shared" si="430"/>
        <v/>
      </c>
      <c r="M1401" t="str">
        <f t="shared" si="431"/>
        <v/>
      </c>
      <c r="N1401" t="str">
        <f t="shared" si="432"/>
        <v/>
      </c>
      <c r="O1401" t="str">
        <f t="shared" si="433"/>
        <v/>
      </c>
      <c r="P1401" t="str">
        <f t="shared" si="434"/>
        <v/>
      </c>
      <c r="Q1401" t="str">
        <f t="shared" si="435"/>
        <v/>
      </c>
      <c r="R1401" t="str">
        <f t="shared" si="436"/>
        <v/>
      </c>
      <c r="S1401" t="str">
        <f t="shared" si="437"/>
        <v/>
      </c>
      <c r="T1401" t="str">
        <f t="shared" si="438"/>
        <v/>
      </c>
      <c r="U1401" t="str">
        <f t="shared" si="439"/>
        <v/>
      </c>
      <c r="V1401" t="str">
        <f t="shared" si="440"/>
        <v/>
      </c>
      <c r="W1401" t="str">
        <f t="shared" si="423"/>
        <v xml:space="preserve">              </v>
      </c>
    </row>
    <row r="1402" spans="1:23" customFormat="1" hidden="1">
      <c r="A1402" t="b">
        <f t="shared" si="422"/>
        <v>0</v>
      </c>
      <c r="B1402">
        <f t="shared" si="424"/>
        <v>1401</v>
      </c>
      <c r="C1402" t="s">
        <v>1243</v>
      </c>
      <c r="D1402" t="s">
        <v>1381</v>
      </c>
      <c r="E1402">
        <f t="shared" si="441"/>
        <v>33</v>
      </c>
      <c r="G1402">
        <f t="shared" si="425"/>
        <v>6</v>
      </c>
      <c r="H1402" t="str">
        <f t="shared" si="426"/>
        <v/>
      </c>
      <c r="I1402" t="str">
        <f t="shared" si="427"/>
        <v/>
      </c>
      <c r="J1402" t="str">
        <f t="shared" si="428"/>
        <v/>
      </c>
      <c r="K1402" t="str">
        <f t="shared" si="429"/>
        <v/>
      </c>
      <c r="L1402" t="str">
        <f t="shared" si="430"/>
        <v/>
      </c>
      <c r="M1402" t="str">
        <f t="shared" si="431"/>
        <v/>
      </c>
      <c r="N1402" t="str">
        <f t="shared" si="432"/>
        <v/>
      </c>
      <c r="O1402" t="str">
        <f t="shared" si="433"/>
        <v/>
      </c>
      <c r="P1402" t="str">
        <f t="shared" si="434"/>
        <v/>
      </c>
      <c r="Q1402" t="str">
        <f t="shared" si="435"/>
        <v/>
      </c>
      <c r="R1402" t="str">
        <f t="shared" si="436"/>
        <v/>
      </c>
      <c r="S1402" t="str">
        <f t="shared" si="437"/>
        <v/>
      </c>
      <c r="T1402" t="str">
        <f t="shared" si="438"/>
        <v/>
      </c>
      <c r="U1402" t="str">
        <f t="shared" si="439"/>
        <v/>
      </c>
      <c r="V1402" t="str">
        <f t="shared" si="440"/>
        <v/>
      </c>
      <c r="W1402" t="str">
        <f t="shared" si="423"/>
        <v xml:space="preserve">              </v>
      </c>
    </row>
    <row r="1403" spans="1:23" hidden="1">
      <c r="A1403" s="71" t="b">
        <f t="shared" si="422"/>
        <v>0</v>
      </c>
      <c r="B1403" s="71">
        <f t="shared" si="424"/>
        <v>1402</v>
      </c>
      <c r="C1403" s="71" t="s">
        <v>1243</v>
      </c>
      <c r="D1403" s="71" t="s">
        <v>1382</v>
      </c>
      <c r="E1403">
        <f t="shared" si="441"/>
        <v>26</v>
      </c>
      <c r="F1403">
        <v>1</v>
      </c>
      <c r="G1403">
        <f t="shared" si="425"/>
        <v>1</v>
      </c>
      <c r="H1403" t="str">
        <f t="shared" si="426"/>
        <v>Quantitative risk analysis</v>
      </c>
      <c r="I1403" t="str">
        <f t="shared" si="427"/>
        <v>This approach attempts to numerically assess the</v>
      </c>
      <c r="J1403" t="str">
        <f t="shared" si="428"/>
        <v>probability and impact of the identified risks. It</v>
      </c>
      <c r="K1403" t="str">
        <f t="shared" si="429"/>
        <v>also creates an overall risk score for the project.</v>
      </c>
      <c r="L1403" t="str">
        <f t="shared" si="430"/>
        <v>This method is more in-depth than qualitative</v>
      </c>
      <c r="M1403" t="str">
        <f t="shared" si="431"/>
        <v>risk analysis and relies on several different tools</v>
      </c>
      <c r="N1403" t="str">
        <f t="shared" si="432"/>
        <v>to accomplish its goal.</v>
      </c>
      <c r="O1403" t="str">
        <f t="shared" si="433"/>
        <v/>
      </c>
      <c r="P1403" t="str">
        <f t="shared" si="434"/>
        <v/>
      </c>
      <c r="Q1403" t="str">
        <f t="shared" si="435"/>
        <v/>
      </c>
      <c r="R1403" t="str">
        <f t="shared" si="436"/>
        <v/>
      </c>
      <c r="S1403" t="str">
        <f t="shared" si="437"/>
        <v/>
      </c>
      <c r="T1403" t="str">
        <f t="shared" si="438"/>
        <v/>
      </c>
      <c r="U1403" t="str">
        <f t="shared" si="439"/>
        <v/>
      </c>
      <c r="V1403" t="str">
        <f t="shared" si="440"/>
        <v/>
      </c>
      <c r="W1403" s="71" t="str">
        <f>CONCATENATE(H1403," ",I1403," ",J1403," ",K1403," ",L1403," ",M1403," ",N1403," ",O1403," ",P1403," ",Q1403," ",R1403," ",S1403," ",T1403," ",U1403," ",V1403)</f>
        <v xml:space="preserve">Quantitative risk analysis This approach attempts to numerically assess the probability and impact of the identified risks. It also creates an overall risk score for the project. This method is more in-depth than qualitative risk analysis and relies on several different tools to accomplish its goal.        </v>
      </c>
    </row>
    <row r="1404" spans="1:23" customFormat="1" hidden="1">
      <c r="A1404" t="b">
        <f t="shared" si="422"/>
        <v>0</v>
      </c>
      <c r="B1404">
        <f t="shared" si="424"/>
        <v>1403</v>
      </c>
      <c r="C1404" t="s">
        <v>1243</v>
      </c>
      <c r="D1404" t="s">
        <v>1383</v>
      </c>
      <c r="E1404">
        <f t="shared" si="441"/>
        <v>48</v>
      </c>
      <c r="G1404">
        <f t="shared" si="425"/>
        <v>2</v>
      </c>
      <c r="H1404" t="str">
        <f t="shared" si="426"/>
        <v/>
      </c>
      <c r="I1404" t="str">
        <f t="shared" si="427"/>
        <v/>
      </c>
      <c r="J1404" t="str">
        <f t="shared" si="428"/>
        <v/>
      </c>
      <c r="K1404" t="str">
        <f t="shared" si="429"/>
        <v/>
      </c>
      <c r="L1404" t="str">
        <f t="shared" si="430"/>
        <v/>
      </c>
      <c r="M1404" t="str">
        <f t="shared" si="431"/>
        <v/>
      </c>
      <c r="N1404" t="str">
        <f t="shared" si="432"/>
        <v/>
      </c>
      <c r="O1404" t="str">
        <f t="shared" si="433"/>
        <v/>
      </c>
      <c r="P1404" t="str">
        <f t="shared" si="434"/>
        <v/>
      </c>
      <c r="Q1404" t="str">
        <f t="shared" si="435"/>
        <v/>
      </c>
      <c r="R1404" t="str">
        <f t="shared" si="436"/>
        <v/>
      </c>
      <c r="S1404" t="str">
        <f t="shared" si="437"/>
        <v/>
      </c>
      <c r="T1404" t="str">
        <f t="shared" si="438"/>
        <v/>
      </c>
      <c r="U1404" t="str">
        <f t="shared" si="439"/>
        <v/>
      </c>
      <c r="V1404" t="str">
        <f t="shared" si="440"/>
        <v/>
      </c>
      <c r="W1404" t="str">
        <f t="shared" si="423"/>
        <v xml:space="preserve">              </v>
      </c>
    </row>
    <row r="1405" spans="1:23" customFormat="1" hidden="1">
      <c r="A1405" t="b">
        <f t="shared" ref="A1405:A1468" si="442">C1405=D1405</f>
        <v>0</v>
      </c>
      <c r="B1405">
        <f t="shared" si="424"/>
        <v>1404</v>
      </c>
      <c r="C1405" t="s">
        <v>1243</v>
      </c>
      <c r="D1405" t="s">
        <v>1384</v>
      </c>
      <c r="E1405">
        <f t="shared" si="441"/>
        <v>50</v>
      </c>
      <c r="G1405">
        <f t="shared" si="425"/>
        <v>3</v>
      </c>
      <c r="H1405" t="str">
        <f t="shared" si="426"/>
        <v/>
      </c>
      <c r="I1405" t="str">
        <f t="shared" si="427"/>
        <v/>
      </c>
      <c r="J1405" t="str">
        <f t="shared" si="428"/>
        <v/>
      </c>
      <c r="K1405" t="str">
        <f t="shared" si="429"/>
        <v/>
      </c>
      <c r="L1405" t="str">
        <f t="shared" si="430"/>
        <v/>
      </c>
      <c r="M1405" t="str">
        <f t="shared" si="431"/>
        <v/>
      </c>
      <c r="N1405" t="str">
        <f t="shared" si="432"/>
        <v/>
      </c>
      <c r="O1405" t="str">
        <f t="shared" si="433"/>
        <v/>
      </c>
      <c r="P1405" t="str">
        <f t="shared" si="434"/>
        <v/>
      </c>
      <c r="Q1405" t="str">
        <f t="shared" si="435"/>
        <v/>
      </c>
      <c r="R1405" t="str">
        <f t="shared" si="436"/>
        <v/>
      </c>
      <c r="S1405" t="str">
        <f t="shared" si="437"/>
        <v/>
      </c>
      <c r="T1405" t="str">
        <f t="shared" si="438"/>
        <v/>
      </c>
      <c r="U1405" t="str">
        <f t="shared" si="439"/>
        <v/>
      </c>
      <c r="V1405" t="str">
        <f t="shared" si="440"/>
        <v/>
      </c>
      <c r="W1405" t="str">
        <f t="shared" ref="W1405:W1467" si="443">CONCATENATE(H1405," ",I1405," ",J1405," ",K1405," ",L1405," ",M1405," ",N1405," ",O1405," ",P1405," ",Q1405," ",R1405," ",S1405," ",T1405," ",U1405," ",V1405)</f>
        <v xml:space="preserve">              </v>
      </c>
    </row>
    <row r="1406" spans="1:23" customFormat="1" hidden="1">
      <c r="A1406" t="b">
        <f t="shared" si="442"/>
        <v>0</v>
      </c>
      <c r="B1406">
        <f t="shared" si="424"/>
        <v>1405</v>
      </c>
      <c r="C1406" t="s">
        <v>1243</v>
      </c>
      <c r="D1406" t="s">
        <v>1385</v>
      </c>
      <c r="E1406">
        <f t="shared" si="441"/>
        <v>51</v>
      </c>
      <c r="G1406">
        <f t="shared" si="425"/>
        <v>4</v>
      </c>
      <c r="H1406" t="str">
        <f t="shared" si="426"/>
        <v/>
      </c>
      <c r="I1406" t="str">
        <f t="shared" si="427"/>
        <v/>
      </c>
      <c r="J1406" t="str">
        <f t="shared" si="428"/>
        <v/>
      </c>
      <c r="K1406" t="str">
        <f t="shared" si="429"/>
        <v/>
      </c>
      <c r="L1406" t="str">
        <f t="shared" si="430"/>
        <v/>
      </c>
      <c r="M1406" t="str">
        <f t="shared" si="431"/>
        <v/>
      </c>
      <c r="N1406" t="str">
        <f t="shared" si="432"/>
        <v/>
      </c>
      <c r="O1406" t="str">
        <f t="shared" si="433"/>
        <v/>
      </c>
      <c r="P1406" t="str">
        <f t="shared" si="434"/>
        <v/>
      </c>
      <c r="Q1406" t="str">
        <f t="shared" si="435"/>
        <v/>
      </c>
      <c r="R1406" t="str">
        <f t="shared" si="436"/>
        <v/>
      </c>
      <c r="S1406" t="str">
        <f t="shared" si="437"/>
        <v/>
      </c>
      <c r="T1406" t="str">
        <f t="shared" si="438"/>
        <v/>
      </c>
      <c r="U1406" t="str">
        <f t="shared" si="439"/>
        <v/>
      </c>
      <c r="V1406" t="str">
        <f t="shared" si="440"/>
        <v/>
      </c>
      <c r="W1406" t="str">
        <f t="shared" si="443"/>
        <v xml:space="preserve">              </v>
      </c>
    </row>
    <row r="1407" spans="1:23" customFormat="1" hidden="1">
      <c r="A1407" t="b">
        <f t="shared" si="442"/>
        <v>0</v>
      </c>
      <c r="B1407">
        <f t="shared" si="424"/>
        <v>1406</v>
      </c>
      <c r="C1407" t="s">
        <v>1243</v>
      </c>
      <c r="D1407" t="s">
        <v>1386</v>
      </c>
      <c r="E1407">
        <f t="shared" si="441"/>
        <v>45</v>
      </c>
      <c r="G1407">
        <f t="shared" si="425"/>
        <v>5</v>
      </c>
      <c r="H1407" t="str">
        <f t="shared" si="426"/>
        <v/>
      </c>
      <c r="I1407" t="str">
        <f t="shared" si="427"/>
        <v/>
      </c>
      <c r="J1407" t="str">
        <f t="shared" si="428"/>
        <v/>
      </c>
      <c r="K1407" t="str">
        <f t="shared" si="429"/>
        <v/>
      </c>
      <c r="L1407" t="str">
        <f t="shared" si="430"/>
        <v/>
      </c>
      <c r="M1407" t="str">
        <f t="shared" si="431"/>
        <v/>
      </c>
      <c r="N1407" t="str">
        <f t="shared" si="432"/>
        <v/>
      </c>
      <c r="O1407" t="str">
        <f t="shared" si="433"/>
        <v/>
      </c>
      <c r="P1407" t="str">
        <f t="shared" si="434"/>
        <v/>
      </c>
      <c r="Q1407" t="str">
        <f t="shared" si="435"/>
        <v/>
      </c>
      <c r="R1407" t="str">
        <f t="shared" si="436"/>
        <v/>
      </c>
      <c r="S1407" t="str">
        <f t="shared" si="437"/>
        <v/>
      </c>
      <c r="T1407" t="str">
        <f t="shared" si="438"/>
        <v/>
      </c>
      <c r="U1407" t="str">
        <f t="shared" si="439"/>
        <v/>
      </c>
      <c r="V1407" t="str">
        <f t="shared" si="440"/>
        <v/>
      </c>
      <c r="W1407" t="str">
        <f t="shared" si="443"/>
        <v xml:space="preserve">              </v>
      </c>
    </row>
    <row r="1408" spans="1:23" customFormat="1" hidden="1">
      <c r="A1408" t="b">
        <f t="shared" si="442"/>
        <v>0</v>
      </c>
      <c r="B1408">
        <f t="shared" si="424"/>
        <v>1407</v>
      </c>
      <c r="C1408" t="s">
        <v>1243</v>
      </c>
      <c r="D1408" t="s">
        <v>1387</v>
      </c>
      <c r="E1408">
        <f t="shared" si="441"/>
        <v>51</v>
      </c>
      <c r="G1408">
        <f t="shared" si="425"/>
        <v>6</v>
      </c>
      <c r="H1408" t="str">
        <f t="shared" si="426"/>
        <v/>
      </c>
      <c r="I1408" t="str">
        <f t="shared" si="427"/>
        <v/>
      </c>
      <c r="J1408" t="str">
        <f t="shared" si="428"/>
        <v/>
      </c>
      <c r="K1408" t="str">
        <f t="shared" si="429"/>
        <v/>
      </c>
      <c r="L1408" t="str">
        <f t="shared" si="430"/>
        <v/>
      </c>
      <c r="M1408" t="str">
        <f t="shared" si="431"/>
        <v/>
      </c>
      <c r="N1408" t="str">
        <f t="shared" si="432"/>
        <v/>
      </c>
      <c r="O1408" t="str">
        <f t="shared" si="433"/>
        <v/>
      </c>
      <c r="P1408" t="str">
        <f t="shared" si="434"/>
        <v/>
      </c>
      <c r="Q1408" t="str">
        <f t="shared" si="435"/>
        <v/>
      </c>
      <c r="R1408" t="str">
        <f t="shared" si="436"/>
        <v/>
      </c>
      <c r="S1408" t="str">
        <f t="shared" si="437"/>
        <v/>
      </c>
      <c r="T1408" t="str">
        <f t="shared" si="438"/>
        <v/>
      </c>
      <c r="U1408" t="str">
        <f t="shared" si="439"/>
        <v/>
      </c>
      <c r="V1408" t="str">
        <f t="shared" si="440"/>
        <v/>
      </c>
      <c r="W1408" t="str">
        <f t="shared" si="443"/>
        <v xml:space="preserve">              </v>
      </c>
    </row>
    <row r="1409" spans="1:23" customFormat="1" hidden="1">
      <c r="A1409" t="b">
        <f t="shared" si="442"/>
        <v>0</v>
      </c>
      <c r="B1409">
        <f t="shared" si="424"/>
        <v>1408</v>
      </c>
      <c r="C1409" t="s">
        <v>1243</v>
      </c>
      <c r="D1409" t="s">
        <v>1388</v>
      </c>
      <c r="E1409">
        <f t="shared" si="441"/>
        <v>23</v>
      </c>
      <c r="G1409">
        <f t="shared" si="425"/>
        <v>7</v>
      </c>
      <c r="H1409" t="str">
        <f t="shared" si="426"/>
        <v/>
      </c>
      <c r="I1409" t="str">
        <f t="shared" si="427"/>
        <v/>
      </c>
      <c r="J1409" t="str">
        <f t="shared" si="428"/>
        <v/>
      </c>
      <c r="K1409" t="str">
        <f t="shared" si="429"/>
        <v/>
      </c>
      <c r="L1409" t="str">
        <f t="shared" si="430"/>
        <v/>
      </c>
      <c r="M1409" t="str">
        <f t="shared" si="431"/>
        <v/>
      </c>
      <c r="N1409" t="str">
        <f t="shared" si="432"/>
        <v/>
      </c>
      <c r="O1409" t="str">
        <f t="shared" si="433"/>
        <v/>
      </c>
      <c r="P1409" t="str">
        <f t="shared" si="434"/>
        <v/>
      </c>
      <c r="Q1409" t="str">
        <f t="shared" si="435"/>
        <v/>
      </c>
      <c r="R1409" t="str">
        <f t="shared" si="436"/>
        <v/>
      </c>
      <c r="S1409" t="str">
        <f t="shared" si="437"/>
        <v/>
      </c>
      <c r="T1409" t="str">
        <f t="shared" si="438"/>
        <v/>
      </c>
      <c r="U1409" t="str">
        <f t="shared" si="439"/>
        <v/>
      </c>
      <c r="V1409" t="str">
        <f t="shared" si="440"/>
        <v/>
      </c>
      <c r="W1409" t="str">
        <f t="shared" si="443"/>
        <v xml:space="preserve">              </v>
      </c>
    </row>
    <row r="1410" spans="1:23" hidden="1">
      <c r="A1410" s="71" t="b">
        <f t="shared" si="442"/>
        <v>0</v>
      </c>
      <c r="B1410" s="71">
        <f t="shared" si="424"/>
        <v>1409</v>
      </c>
      <c r="C1410" s="71" t="s">
        <v>1243</v>
      </c>
      <c r="D1410" s="71" t="s">
        <v>1389</v>
      </c>
      <c r="E1410">
        <f t="shared" si="441"/>
        <v>10</v>
      </c>
      <c r="F1410">
        <v>1</v>
      </c>
      <c r="G1410">
        <f t="shared" si="425"/>
        <v>1</v>
      </c>
      <c r="H1410" t="str">
        <f t="shared" si="426"/>
        <v>RAG rating</v>
      </c>
      <c r="I1410" t="str">
        <f t="shared" si="427"/>
        <v>An ordinal scale that uses red, amber, and green</v>
      </c>
      <c r="J1410" t="str">
        <f t="shared" si="428"/>
        <v>(RAG) to capture the probability, impact, and risk</v>
      </c>
      <c r="K1410" t="str">
        <f t="shared" si="429"/>
        <v>score.</v>
      </c>
      <c r="L1410" t="str">
        <f t="shared" si="430"/>
        <v/>
      </c>
      <c r="M1410" t="str">
        <f t="shared" si="431"/>
        <v/>
      </c>
      <c r="N1410" t="str">
        <f t="shared" si="432"/>
        <v/>
      </c>
      <c r="O1410" t="str">
        <f t="shared" si="433"/>
        <v/>
      </c>
      <c r="P1410" t="str">
        <f t="shared" si="434"/>
        <v/>
      </c>
      <c r="Q1410" t="str">
        <f t="shared" si="435"/>
        <v/>
      </c>
      <c r="R1410" t="str">
        <f t="shared" si="436"/>
        <v/>
      </c>
      <c r="S1410" t="str">
        <f t="shared" si="437"/>
        <v/>
      </c>
      <c r="T1410" t="str">
        <f t="shared" si="438"/>
        <v/>
      </c>
      <c r="U1410" t="str">
        <f t="shared" si="439"/>
        <v/>
      </c>
      <c r="V1410" t="str">
        <f t="shared" si="440"/>
        <v/>
      </c>
      <c r="W1410" s="71" t="str">
        <f>CONCATENATE(H1410," ",I1410," ",J1410," ",K1410," ",L1410," ",M1410," ",N1410," ",O1410," ",P1410," ",Q1410," ",R1410," ",S1410," ",T1410," ",U1410," ",V1410)</f>
        <v xml:space="preserve">RAG rating An ordinal scale that uses red, amber, and green (RAG) to capture the probability, impact, and risk score.           </v>
      </c>
    </row>
    <row r="1411" spans="1:23" customFormat="1" hidden="1">
      <c r="A1411" t="b">
        <f t="shared" si="442"/>
        <v>0</v>
      </c>
      <c r="B1411">
        <f t="shared" si="424"/>
        <v>1410</v>
      </c>
      <c r="C1411" t="s">
        <v>1243</v>
      </c>
      <c r="D1411" t="s">
        <v>1390</v>
      </c>
      <c r="E1411">
        <f t="shared" si="441"/>
        <v>48</v>
      </c>
      <c r="G1411">
        <f t="shared" si="425"/>
        <v>2</v>
      </c>
      <c r="H1411" t="str">
        <f t="shared" si="426"/>
        <v/>
      </c>
      <c r="I1411" t="str">
        <f t="shared" si="427"/>
        <v/>
      </c>
      <c r="J1411" t="str">
        <f t="shared" si="428"/>
        <v/>
      </c>
      <c r="K1411" t="str">
        <f t="shared" si="429"/>
        <v/>
      </c>
      <c r="L1411" t="str">
        <f t="shared" si="430"/>
        <v/>
      </c>
      <c r="M1411" t="str">
        <f t="shared" si="431"/>
        <v/>
      </c>
      <c r="N1411" t="str">
        <f t="shared" si="432"/>
        <v/>
      </c>
      <c r="O1411" t="str">
        <f t="shared" si="433"/>
        <v/>
      </c>
      <c r="P1411" t="str">
        <f t="shared" si="434"/>
        <v/>
      </c>
      <c r="Q1411" t="str">
        <f t="shared" si="435"/>
        <v/>
      </c>
      <c r="R1411" t="str">
        <f t="shared" si="436"/>
        <v/>
      </c>
      <c r="S1411" t="str">
        <f t="shared" si="437"/>
        <v/>
      </c>
      <c r="T1411" t="str">
        <f t="shared" si="438"/>
        <v/>
      </c>
      <c r="U1411" t="str">
        <f t="shared" si="439"/>
        <v/>
      </c>
      <c r="V1411" t="str">
        <f t="shared" si="440"/>
        <v/>
      </c>
      <c r="W1411" t="str">
        <f t="shared" si="443"/>
        <v xml:space="preserve">              </v>
      </c>
    </row>
    <row r="1412" spans="1:23" customFormat="1" hidden="1">
      <c r="A1412" t="b">
        <f t="shared" si="442"/>
        <v>0</v>
      </c>
      <c r="B1412">
        <f t="shared" ref="B1412:B1475" si="444">B1411+1</f>
        <v>1411</v>
      </c>
      <c r="C1412" t="s">
        <v>1243</v>
      </c>
      <c r="D1412" t="s">
        <v>1391</v>
      </c>
      <c r="E1412">
        <f t="shared" si="441"/>
        <v>50</v>
      </c>
      <c r="G1412">
        <f t="shared" ref="G1412:G1475" si="445">IF(F1412=1,1,G1411+1)</f>
        <v>3</v>
      </c>
      <c r="H1412" t="str">
        <f t="shared" ref="H1412:H1475" si="446">IF($G1412=H$1,$D1412,"")</f>
        <v/>
      </c>
      <c r="I1412" t="str">
        <f t="shared" ref="I1412:I1475" si="447">IF($G1413=I$1,$D1413,"")</f>
        <v/>
      </c>
      <c r="J1412" t="str">
        <f t="shared" ref="J1412:J1475" si="448">IF($G1414=J$1,$D1414,"")</f>
        <v/>
      </c>
      <c r="K1412" t="str">
        <f t="shared" ref="K1412:K1475" si="449">IF($G1415=K$1,$D1415,"")</f>
        <v/>
      </c>
      <c r="L1412" t="str">
        <f t="shared" ref="L1412:L1475" si="450">IF($G1416=L$1,$D1416,"")</f>
        <v/>
      </c>
      <c r="M1412" t="str">
        <f t="shared" ref="M1412:M1475" si="451">IF($G1417=M$1,$D1417,"")</f>
        <v/>
      </c>
      <c r="N1412" t="str">
        <f t="shared" ref="N1412:N1475" si="452">IF($G1418=N$1,$D1418,"")</f>
        <v/>
      </c>
      <c r="O1412" t="str">
        <f t="shared" ref="O1412:O1475" si="453">IF($G1419=O$1,$D1419,"")</f>
        <v/>
      </c>
      <c r="P1412" t="str">
        <f t="shared" ref="P1412:P1475" si="454">IF($G1420=P$1,$D1420,"")</f>
        <v/>
      </c>
      <c r="Q1412" t="str">
        <f t="shared" ref="Q1412:Q1475" si="455">IF($G1421=Q$1,$D1421,"")</f>
        <v/>
      </c>
      <c r="R1412" t="str">
        <f t="shared" ref="R1412:R1475" si="456">IF($G1422=R$1,$D1422,"")</f>
        <v/>
      </c>
      <c r="S1412" t="str">
        <f t="shared" ref="S1412:S1475" si="457">IF($G1423=S$1,$D1423,"")</f>
        <v/>
      </c>
      <c r="T1412" t="str">
        <f t="shared" ref="T1412:T1475" si="458">IF($G1424=T$1,$D1424,"")</f>
        <v/>
      </c>
      <c r="U1412" t="str">
        <f t="shared" ref="U1412:U1475" si="459">IF($G1425=U$1,$D1425,"")</f>
        <v/>
      </c>
      <c r="V1412" t="str">
        <f t="shared" ref="V1412:V1475" si="460">IF($G1426=V$1,$D1426,"")</f>
        <v/>
      </c>
      <c r="W1412" t="str">
        <f t="shared" si="443"/>
        <v xml:space="preserve">              </v>
      </c>
    </row>
    <row r="1413" spans="1:23" customFormat="1" hidden="1">
      <c r="A1413" t="b">
        <f t="shared" si="442"/>
        <v>0</v>
      </c>
      <c r="B1413">
        <f t="shared" si="444"/>
        <v>1412</v>
      </c>
      <c r="C1413" t="s">
        <v>1243</v>
      </c>
      <c r="D1413" t="s">
        <v>1392</v>
      </c>
      <c r="E1413">
        <f t="shared" si="441"/>
        <v>6</v>
      </c>
      <c r="G1413">
        <f t="shared" si="445"/>
        <v>4</v>
      </c>
      <c r="H1413" t="str">
        <f t="shared" si="446"/>
        <v/>
      </c>
      <c r="I1413" t="str">
        <f t="shared" si="447"/>
        <v/>
      </c>
      <c r="J1413" t="str">
        <f t="shared" si="448"/>
        <v/>
      </c>
      <c r="K1413" t="str">
        <f t="shared" si="449"/>
        <v/>
      </c>
      <c r="L1413" t="str">
        <f t="shared" si="450"/>
        <v/>
      </c>
      <c r="M1413" t="str">
        <f t="shared" si="451"/>
        <v/>
      </c>
      <c r="N1413" t="str">
        <f t="shared" si="452"/>
        <v/>
      </c>
      <c r="O1413" t="str">
        <f t="shared" si="453"/>
        <v/>
      </c>
      <c r="P1413" t="str">
        <f t="shared" si="454"/>
        <v/>
      </c>
      <c r="Q1413" t="str">
        <f t="shared" si="455"/>
        <v/>
      </c>
      <c r="R1413" t="str">
        <f t="shared" si="456"/>
        <v/>
      </c>
      <c r="S1413" t="str">
        <f t="shared" si="457"/>
        <v/>
      </c>
      <c r="T1413" t="str">
        <f t="shared" si="458"/>
        <v/>
      </c>
      <c r="U1413" t="str">
        <f t="shared" si="459"/>
        <v/>
      </c>
      <c r="V1413" t="str">
        <f t="shared" si="460"/>
        <v/>
      </c>
      <c r="W1413" t="str">
        <f t="shared" si="443"/>
        <v xml:space="preserve">              </v>
      </c>
    </row>
    <row r="1414" spans="1:23" hidden="1">
      <c r="A1414" s="71" t="b">
        <f t="shared" si="442"/>
        <v>0</v>
      </c>
      <c r="B1414" s="71">
        <f t="shared" si="444"/>
        <v>1413</v>
      </c>
      <c r="C1414" s="71" t="s">
        <v>1243</v>
      </c>
      <c r="D1414" s="71" t="s">
        <v>1393</v>
      </c>
      <c r="E1414">
        <f t="shared" si="441"/>
        <v>14</v>
      </c>
      <c r="F1414">
        <v>1</v>
      </c>
      <c r="G1414">
        <f t="shared" si="445"/>
        <v>1</v>
      </c>
      <c r="H1414" t="str">
        <f t="shared" si="446"/>
        <v>Residual risks</v>
      </c>
      <c r="I1414" t="str">
        <f t="shared" si="447"/>
        <v>Risks that are expected to remain after a risk</v>
      </c>
      <c r="J1414" t="str">
        <f t="shared" si="448"/>
        <v>response.</v>
      </c>
      <c r="K1414" t="str">
        <f t="shared" si="449"/>
        <v/>
      </c>
      <c r="L1414" t="str">
        <f t="shared" si="450"/>
        <v/>
      </c>
      <c r="M1414" t="str">
        <f t="shared" si="451"/>
        <v/>
      </c>
      <c r="N1414" t="str">
        <f t="shared" si="452"/>
        <v/>
      </c>
      <c r="O1414" t="str">
        <f t="shared" si="453"/>
        <v/>
      </c>
      <c r="P1414" t="str">
        <f t="shared" si="454"/>
        <v/>
      </c>
      <c r="Q1414" t="str">
        <f t="shared" si="455"/>
        <v/>
      </c>
      <c r="R1414" t="str">
        <f t="shared" si="456"/>
        <v/>
      </c>
      <c r="S1414" t="str">
        <f t="shared" si="457"/>
        <v/>
      </c>
      <c r="T1414" t="str">
        <f t="shared" si="458"/>
        <v/>
      </c>
      <c r="U1414" t="str">
        <f t="shared" si="459"/>
        <v/>
      </c>
      <c r="V1414" t="str">
        <f t="shared" si="460"/>
        <v/>
      </c>
      <c r="W1414" s="71" t="str">
        <f>CONCATENATE(H1414," ",I1414," ",J1414," ",K1414," ",L1414," ",M1414," ",N1414," ",O1414," ",P1414," ",Q1414," ",R1414," ",S1414," ",T1414," ",U1414," ",V1414)</f>
        <v xml:space="preserve">Residual risks Risks that are expected to remain after a risk response.            </v>
      </c>
    </row>
    <row r="1415" spans="1:23" customFormat="1" hidden="1">
      <c r="A1415" t="b">
        <f t="shared" si="442"/>
        <v>0</v>
      </c>
      <c r="B1415">
        <f t="shared" si="444"/>
        <v>1414</v>
      </c>
      <c r="C1415" t="s">
        <v>1243</v>
      </c>
      <c r="D1415" t="s">
        <v>1394</v>
      </c>
      <c r="E1415">
        <f t="shared" si="441"/>
        <v>46</v>
      </c>
      <c r="G1415">
        <f t="shared" si="445"/>
        <v>2</v>
      </c>
      <c r="H1415" t="str">
        <f t="shared" si="446"/>
        <v/>
      </c>
      <c r="I1415" t="str">
        <f t="shared" si="447"/>
        <v/>
      </c>
      <c r="J1415" t="str">
        <f t="shared" si="448"/>
        <v/>
      </c>
      <c r="K1415" t="str">
        <f t="shared" si="449"/>
        <v/>
      </c>
      <c r="L1415" t="str">
        <f t="shared" si="450"/>
        <v/>
      </c>
      <c r="M1415" t="str">
        <f t="shared" si="451"/>
        <v/>
      </c>
      <c r="N1415" t="str">
        <f t="shared" si="452"/>
        <v/>
      </c>
      <c r="O1415" t="str">
        <f t="shared" si="453"/>
        <v/>
      </c>
      <c r="P1415" t="str">
        <f t="shared" si="454"/>
        <v/>
      </c>
      <c r="Q1415" t="str">
        <f t="shared" si="455"/>
        <v/>
      </c>
      <c r="R1415" t="str">
        <f t="shared" si="456"/>
        <v/>
      </c>
      <c r="S1415" t="str">
        <f t="shared" si="457"/>
        <v/>
      </c>
      <c r="T1415" t="str">
        <f t="shared" si="458"/>
        <v/>
      </c>
      <c r="U1415" t="str">
        <f t="shared" si="459"/>
        <v/>
      </c>
      <c r="V1415" t="str">
        <f t="shared" si="460"/>
        <v/>
      </c>
      <c r="W1415" t="str">
        <f t="shared" si="443"/>
        <v xml:space="preserve">              </v>
      </c>
    </row>
    <row r="1416" spans="1:23" customFormat="1" hidden="1">
      <c r="A1416" t="b">
        <f t="shared" si="442"/>
        <v>0</v>
      </c>
      <c r="B1416">
        <f t="shared" si="444"/>
        <v>1415</v>
      </c>
      <c r="C1416" t="s">
        <v>1243</v>
      </c>
      <c r="D1416" t="s">
        <v>1395</v>
      </c>
      <c r="E1416">
        <f t="shared" si="441"/>
        <v>9</v>
      </c>
      <c r="G1416">
        <f t="shared" si="445"/>
        <v>3</v>
      </c>
      <c r="H1416" t="str">
        <f t="shared" si="446"/>
        <v/>
      </c>
      <c r="I1416" t="str">
        <f t="shared" si="447"/>
        <v/>
      </c>
      <c r="J1416" t="str">
        <f t="shared" si="448"/>
        <v/>
      </c>
      <c r="K1416" t="str">
        <f t="shared" si="449"/>
        <v/>
      </c>
      <c r="L1416" t="str">
        <f t="shared" si="450"/>
        <v/>
      </c>
      <c r="M1416" t="str">
        <f t="shared" si="451"/>
        <v/>
      </c>
      <c r="N1416" t="str">
        <f t="shared" si="452"/>
        <v/>
      </c>
      <c r="O1416" t="str">
        <f t="shared" si="453"/>
        <v/>
      </c>
      <c r="P1416" t="str">
        <f t="shared" si="454"/>
        <v/>
      </c>
      <c r="Q1416" t="str">
        <f t="shared" si="455"/>
        <v/>
      </c>
      <c r="R1416" t="str">
        <f t="shared" si="456"/>
        <v/>
      </c>
      <c r="S1416" t="str">
        <f t="shared" si="457"/>
        <v/>
      </c>
      <c r="T1416" t="str">
        <f t="shared" si="458"/>
        <v/>
      </c>
      <c r="U1416" t="str">
        <f t="shared" si="459"/>
        <v/>
      </c>
      <c r="V1416" t="str">
        <f t="shared" si="460"/>
        <v/>
      </c>
      <c r="W1416" t="str">
        <f t="shared" si="443"/>
        <v xml:space="preserve">              </v>
      </c>
    </row>
    <row r="1417" spans="1:23" hidden="1">
      <c r="A1417" s="71" t="b">
        <f t="shared" si="442"/>
        <v>0</v>
      </c>
      <c r="B1417" s="71">
        <f t="shared" si="444"/>
        <v>1416</v>
      </c>
      <c r="C1417" s="71" t="s">
        <v>1243</v>
      </c>
      <c r="D1417" s="71" t="s">
        <v>1396</v>
      </c>
      <c r="E1417">
        <f t="shared" si="441"/>
        <v>4</v>
      </c>
      <c r="F1417">
        <v>1</v>
      </c>
      <c r="G1417">
        <f t="shared" si="445"/>
        <v>1</v>
      </c>
      <c r="H1417" t="str">
        <f t="shared" si="446"/>
        <v>Risk</v>
      </c>
      <c r="I1417" t="str">
        <f t="shared" si="447"/>
        <v>A project risk is an uncertain event or condition</v>
      </c>
      <c r="J1417" t="str">
        <f t="shared" si="448"/>
        <v>that can have a positive or negative impact on</v>
      </c>
      <c r="K1417" t="str">
        <f t="shared" si="449"/>
        <v>the project.</v>
      </c>
      <c r="L1417" t="str">
        <f t="shared" si="450"/>
        <v/>
      </c>
      <c r="M1417" t="str">
        <f t="shared" si="451"/>
        <v/>
      </c>
      <c r="N1417" t="str">
        <f t="shared" si="452"/>
        <v/>
      </c>
      <c r="O1417" t="str">
        <f t="shared" si="453"/>
        <v/>
      </c>
      <c r="P1417" t="str">
        <f t="shared" si="454"/>
        <v/>
      </c>
      <c r="Q1417" t="str">
        <f t="shared" si="455"/>
        <v/>
      </c>
      <c r="R1417" t="str">
        <f t="shared" si="456"/>
        <v/>
      </c>
      <c r="S1417" t="str">
        <f t="shared" si="457"/>
        <v/>
      </c>
      <c r="T1417" t="str">
        <f t="shared" si="458"/>
        <v/>
      </c>
      <c r="U1417" t="str">
        <f t="shared" si="459"/>
        <v/>
      </c>
      <c r="V1417" t="str">
        <f t="shared" si="460"/>
        <v/>
      </c>
      <c r="W1417" s="71" t="str">
        <f>CONCATENATE(H1417," ",I1417," ",J1417," ",K1417," ",L1417," ",M1417," ",N1417," ",O1417," ",P1417," ",Q1417," ",R1417," ",S1417," ",T1417," ",U1417," ",V1417)</f>
        <v xml:space="preserve">Risk A project risk is an uncertain event or condition that can have a positive or negative impact on the project.           </v>
      </c>
    </row>
    <row r="1418" spans="1:23" customFormat="1" hidden="1">
      <c r="A1418" t="b">
        <f t="shared" si="442"/>
        <v>0</v>
      </c>
      <c r="B1418">
        <f t="shared" si="444"/>
        <v>1417</v>
      </c>
      <c r="C1418" t="s">
        <v>1243</v>
      </c>
      <c r="D1418" t="s">
        <v>1397</v>
      </c>
      <c r="E1418">
        <f t="shared" si="441"/>
        <v>49</v>
      </c>
      <c r="G1418">
        <f t="shared" si="445"/>
        <v>2</v>
      </c>
      <c r="H1418" t="str">
        <f t="shared" si="446"/>
        <v/>
      </c>
      <c r="I1418" t="str">
        <f t="shared" si="447"/>
        <v/>
      </c>
      <c r="J1418" t="str">
        <f t="shared" si="448"/>
        <v/>
      </c>
      <c r="K1418" t="str">
        <f t="shared" si="449"/>
        <v/>
      </c>
      <c r="L1418" t="str">
        <f t="shared" si="450"/>
        <v/>
      </c>
      <c r="M1418" t="str">
        <f t="shared" si="451"/>
        <v/>
      </c>
      <c r="N1418" t="str">
        <f t="shared" si="452"/>
        <v/>
      </c>
      <c r="O1418" t="str">
        <f t="shared" si="453"/>
        <v/>
      </c>
      <c r="P1418" t="str">
        <f t="shared" si="454"/>
        <v/>
      </c>
      <c r="Q1418" t="str">
        <f t="shared" si="455"/>
        <v/>
      </c>
      <c r="R1418" t="str">
        <f t="shared" si="456"/>
        <v/>
      </c>
      <c r="S1418" t="str">
        <f t="shared" si="457"/>
        <v/>
      </c>
      <c r="T1418" t="str">
        <f t="shared" si="458"/>
        <v/>
      </c>
      <c r="U1418" t="str">
        <f t="shared" si="459"/>
        <v/>
      </c>
      <c r="V1418" t="str">
        <f t="shared" si="460"/>
        <v/>
      </c>
      <c r="W1418" t="str">
        <f t="shared" si="443"/>
        <v xml:space="preserve">              </v>
      </c>
    </row>
    <row r="1419" spans="1:23" customFormat="1" hidden="1">
      <c r="A1419" t="b">
        <f t="shared" si="442"/>
        <v>0</v>
      </c>
      <c r="B1419">
        <f t="shared" si="444"/>
        <v>1418</v>
      </c>
      <c r="C1419" t="s">
        <v>1243</v>
      </c>
      <c r="D1419" t="s">
        <v>1398</v>
      </c>
      <c r="E1419">
        <f t="shared" si="441"/>
        <v>46</v>
      </c>
      <c r="G1419">
        <f t="shared" si="445"/>
        <v>3</v>
      </c>
      <c r="H1419" t="str">
        <f t="shared" si="446"/>
        <v/>
      </c>
      <c r="I1419" t="str">
        <f t="shared" si="447"/>
        <v/>
      </c>
      <c r="J1419" t="str">
        <f t="shared" si="448"/>
        <v/>
      </c>
      <c r="K1419" t="str">
        <f t="shared" si="449"/>
        <v/>
      </c>
      <c r="L1419" t="str">
        <f t="shared" si="450"/>
        <v/>
      </c>
      <c r="M1419" t="str">
        <f t="shared" si="451"/>
        <v/>
      </c>
      <c r="N1419" t="str">
        <f t="shared" si="452"/>
        <v/>
      </c>
      <c r="O1419" t="str">
        <f t="shared" si="453"/>
        <v/>
      </c>
      <c r="P1419" t="str">
        <f t="shared" si="454"/>
        <v/>
      </c>
      <c r="Q1419" t="str">
        <f t="shared" si="455"/>
        <v/>
      </c>
      <c r="R1419" t="str">
        <f t="shared" si="456"/>
        <v/>
      </c>
      <c r="S1419" t="str">
        <f t="shared" si="457"/>
        <v/>
      </c>
      <c r="T1419" t="str">
        <f t="shared" si="458"/>
        <v/>
      </c>
      <c r="U1419" t="str">
        <f t="shared" si="459"/>
        <v/>
      </c>
      <c r="V1419" t="str">
        <f t="shared" si="460"/>
        <v/>
      </c>
      <c r="W1419" t="str">
        <f t="shared" si="443"/>
        <v xml:space="preserve">              </v>
      </c>
    </row>
    <row r="1420" spans="1:23" customFormat="1" hidden="1">
      <c r="A1420" t="b">
        <f t="shared" si="442"/>
        <v>0</v>
      </c>
      <c r="B1420">
        <f t="shared" si="444"/>
        <v>1419</v>
      </c>
      <c r="C1420" t="s">
        <v>1243</v>
      </c>
      <c r="D1420" t="s">
        <v>206</v>
      </c>
      <c r="E1420">
        <f t="shared" si="441"/>
        <v>12</v>
      </c>
      <c r="G1420">
        <f t="shared" si="445"/>
        <v>4</v>
      </c>
      <c r="H1420" t="str">
        <f t="shared" si="446"/>
        <v/>
      </c>
      <c r="I1420" t="str">
        <f t="shared" si="447"/>
        <v/>
      </c>
      <c r="J1420" t="str">
        <f t="shared" si="448"/>
        <v/>
      </c>
      <c r="K1420" t="str">
        <f t="shared" si="449"/>
        <v/>
      </c>
      <c r="L1420" t="str">
        <f t="shared" si="450"/>
        <v/>
      </c>
      <c r="M1420" t="str">
        <f t="shared" si="451"/>
        <v/>
      </c>
      <c r="N1420" t="str">
        <f t="shared" si="452"/>
        <v/>
      </c>
      <c r="O1420" t="str">
        <f t="shared" si="453"/>
        <v/>
      </c>
      <c r="P1420" t="str">
        <f t="shared" si="454"/>
        <v/>
      </c>
      <c r="Q1420" t="str">
        <f t="shared" si="455"/>
        <v/>
      </c>
      <c r="R1420" t="str">
        <f t="shared" si="456"/>
        <v/>
      </c>
      <c r="S1420" t="str">
        <f t="shared" si="457"/>
        <v/>
      </c>
      <c r="T1420" t="str">
        <f t="shared" si="458"/>
        <v/>
      </c>
      <c r="U1420" t="str">
        <f t="shared" si="459"/>
        <v/>
      </c>
      <c r="V1420" t="str">
        <f t="shared" si="460"/>
        <v/>
      </c>
      <c r="W1420" t="str">
        <f t="shared" si="443"/>
        <v xml:space="preserve">              </v>
      </c>
    </row>
    <row r="1421" spans="1:23" hidden="1">
      <c r="A1421" s="71" t="b">
        <f t="shared" si="442"/>
        <v>0</v>
      </c>
      <c r="B1421" s="71">
        <f t="shared" si="444"/>
        <v>1420</v>
      </c>
      <c r="C1421" s="71" t="s">
        <v>1243</v>
      </c>
      <c r="D1421" s="71" t="s">
        <v>1399</v>
      </c>
      <c r="E1421">
        <f t="shared" si="441"/>
        <v>19</v>
      </c>
      <c r="F1421">
        <v>1</v>
      </c>
      <c r="G1421">
        <f t="shared" si="445"/>
        <v>1</v>
      </c>
      <c r="H1421" t="str">
        <f t="shared" si="446"/>
        <v>Risk identification</v>
      </c>
      <c r="I1421" t="str">
        <f t="shared" si="447"/>
        <v>The systematic process of combing through the</v>
      </c>
      <c r="J1421" t="str">
        <f t="shared" si="448"/>
        <v>project, the project plan, the work breakdown</v>
      </c>
      <c r="K1421" t="str">
        <f t="shared" si="449"/>
        <v>structure, and all supporting documentation to</v>
      </c>
      <c r="L1421" t="str">
        <f t="shared" si="450"/>
        <v>identify as many risks that may affect the project</v>
      </c>
      <c r="M1421" t="str">
        <f t="shared" si="451"/>
        <v>as possible.</v>
      </c>
      <c r="N1421" t="str">
        <f t="shared" si="452"/>
        <v/>
      </c>
      <c r="O1421" t="str">
        <f t="shared" si="453"/>
        <v/>
      </c>
      <c r="P1421" t="str">
        <f t="shared" si="454"/>
        <v/>
      </c>
      <c r="Q1421" t="str">
        <f t="shared" si="455"/>
        <v/>
      </c>
      <c r="R1421" t="str">
        <f t="shared" si="456"/>
        <v/>
      </c>
      <c r="S1421" t="str">
        <f t="shared" si="457"/>
        <v/>
      </c>
      <c r="T1421" t="str">
        <f t="shared" si="458"/>
        <v/>
      </c>
      <c r="U1421" t="str">
        <f t="shared" si="459"/>
        <v/>
      </c>
      <c r="V1421" t="str">
        <f t="shared" si="460"/>
        <v/>
      </c>
      <c r="W1421" s="71" t="str">
        <f>CONCATENATE(H1421," ",I1421," ",J1421," ",K1421," ",L1421," ",M1421," ",N1421," ",O1421," ",P1421," ",Q1421," ",R1421," ",S1421," ",T1421," ",U1421," ",V1421)</f>
        <v xml:space="preserve">Risk identification The systematic process of combing through the project, the project plan, the work breakdown structure, and all supporting documentation to identify as many risks that may affect the project as possible.         </v>
      </c>
    </row>
    <row r="1422" spans="1:23" customFormat="1" hidden="1">
      <c r="A1422" t="b">
        <f t="shared" si="442"/>
        <v>0</v>
      </c>
      <c r="B1422">
        <f t="shared" si="444"/>
        <v>1421</v>
      </c>
      <c r="C1422" t="s">
        <v>1243</v>
      </c>
      <c r="D1422" t="s">
        <v>1400</v>
      </c>
      <c r="E1422">
        <f t="shared" si="441"/>
        <v>45</v>
      </c>
      <c r="G1422">
        <f t="shared" si="445"/>
        <v>2</v>
      </c>
      <c r="H1422" t="str">
        <f t="shared" si="446"/>
        <v/>
      </c>
      <c r="I1422" t="str">
        <f t="shared" si="447"/>
        <v/>
      </c>
      <c r="J1422" t="str">
        <f t="shared" si="448"/>
        <v/>
      </c>
      <c r="K1422" t="str">
        <f t="shared" si="449"/>
        <v/>
      </c>
      <c r="L1422" t="str">
        <f t="shared" si="450"/>
        <v/>
      </c>
      <c r="M1422" t="str">
        <f t="shared" si="451"/>
        <v/>
      </c>
      <c r="N1422" t="str">
        <f t="shared" si="452"/>
        <v/>
      </c>
      <c r="O1422" t="str">
        <f t="shared" si="453"/>
        <v/>
      </c>
      <c r="P1422" t="str">
        <f t="shared" si="454"/>
        <v/>
      </c>
      <c r="Q1422" t="str">
        <f t="shared" si="455"/>
        <v/>
      </c>
      <c r="R1422" t="str">
        <f t="shared" si="456"/>
        <v/>
      </c>
      <c r="S1422" t="str">
        <f t="shared" si="457"/>
        <v/>
      </c>
      <c r="T1422" t="str">
        <f t="shared" si="458"/>
        <v/>
      </c>
      <c r="U1422" t="str">
        <f t="shared" si="459"/>
        <v/>
      </c>
      <c r="V1422" t="str">
        <f t="shared" si="460"/>
        <v/>
      </c>
      <c r="W1422" t="str">
        <f t="shared" si="443"/>
        <v xml:space="preserve">              </v>
      </c>
    </row>
    <row r="1423" spans="1:23" customFormat="1" hidden="1">
      <c r="A1423" t="b">
        <f t="shared" si="442"/>
        <v>0</v>
      </c>
      <c r="B1423">
        <f t="shared" si="444"/>
        <v>1422</v>
      </c>
      <c r="C1423" t="s">
        <v>1243</v>
      </c>
      <c r="D1423" t="s">
        <v>1401</v>
      </c>
      <c r="E1423">
        <f t="shared" si="441"/>
        <v>45</v>
      </c>
      <c r="G1423">
        <f t="shared" si="445"/>
        <v>3</v>
      </c>
      <c r="H1423" t="str">
        <f t="shared" si="446"/>
        <v/>
      </c>
      <c r="I1423" t="str">
        <f t="shared" si="447"/>
        <v/>
      </c>
      <c r="J1423" t="str">
        <f t="shared" si="448"/>
        <v/>
      </c>
      <c r="K1423" t="str">
        <f t="shared" si="449"/>
        <v/>
      </c>
      <c r="L1423" t="str">
        <f t="shared" si="450"/>
        <v/>
      </c>
      <c r="M1423" t="str">
        <f t="shared" si="451"/>
        <v/>
      </c>
      <c r="N1423" t="str">
        <f t="shared" si="452"/>
        <v/>
      </c>
      <c r="O1423" t="str">
        <f t="shared" si="453"/>
        <v/>
      </c>
      <c r="P1423" t="str">
        <f t="shared" si="454"/>
        <v/>
      </c>
      <c r="Q1423" t="str">
        <f t="shared" si="455"/>
        <v/>
      </c>
      <c r="R1423" t="str">
        <f t="shared" si="456"/>
        <v/>
      </c>
      <c r="S1423" t="str">
        <f t="shared" si="457"/>
        <v/>
      </c>
      <c r="T1423" t="str">
        <f t="shared" si="458"/>
        <v/>
      </c>
      <c r="U1423" t="str">
        <f t="shared" si="459"/>
        <v/>
      </c>
      <c r="V1423" t="str">
        <f t="shared" si="460"/>
        <v/>
      </c>
      <c r="W1423" t="str">
        <f t="shared" si="443"/>
        <v xml:space="preserve">              </v>
      </c>
    </row>
    <row r="1424" spans="1:23" customFormat="1" hidden="1">
      <c r="A1424" t="b">
        <f t="shared" si="442"/>
        <v>0</v>
      </c>
      <c r="B1424">
        <f t="shared" si="444"/>
        <v>1423</v>
      </c>
      <c r="C1424" t="s">
        <v>1243</v>
      </c>
      <c r="D1424" t="s">
        <v>1402</v>
      </c>
      <c r="E1424">
        <f t="shared" si="441"/>
        <v>46</v>
      </c>
      <c r="G1424">
        <f t="shared" si="445"/>
        <v>4</v>
      </c>
      <c r="H1424" t="str">
        <f t="shared" si="446"/>
        <v/>
      </c>
      <c r="I1424" t="str">
        <f t="shared" si="447"/>
        <v/>
      </c>
      <c r="J1424" t="str">
        <f t="shared" si="448"/>
        <v/>
      </c>
      <c r="K1424" t="str">
        <f t="shared" si="449"/>
        <v/>
      </c>
      <c r="L1424" t="str">
        <f t="shared" si="450"/>
        <v/>
      </c>
      <c r="M1424" t="str">
        <f t="shared" si="451"/>
        <v/>
      </c>
      <c r="N1424" t="str">
        <f t="shared" si="452"/>
        <v/>
      </c>
      <c r="O1424" t="str">
        <f t="shared" si="453"/>
        <v/>
      </c>
      <c r="P1424" t="str">
        <f t="shared" si="454"/>
        <v/>
      </c>
      <c r="Q1424" t="str">
        <f t="shared" si="455"/>
        <v/>
      </c>
      <c r="R1424" t="str">
        <f t="shared" si="456"/>
        <v/>
      </c>
      <c r="S1424" t="str">
        <f t="shared" si="457"/>
        <v/>
      </c>
      <c r="T1424" t="str">
        <f t="shared" si="458"/>
        <v/>
      </c>
      <c r="U1424" t="str">
        <f t="shared" si="459"/>
        <v/>
      </c>
      <c r="V1424" t="str">
        <f t="shared" si="460"/>
        <v/>
      </c>
      <c r="W1424" t="str">
        <f t="shared" si="443"/>
        <v xml:space="preserve">              </v>
      </c>
    </row>
    <row r="1425" spans="1:23" customFormat="1" hidden="1">
      <c r="A1425" t="b">
        <f t="shared" si="442"/>
        <v>0</v>
      </c>
      <c r="B1425">
        <f t="shared" si="444"/>
        <v>1424</v>
      </c>
      <c r="C1425" t="s">
        <v>1243</v>
      </c>
      <c r="D1425" t="s">
        <v>1403</v>
      </c>
      <c r="E1425">
        <f t="shared" si="441"/>
        <v>50</v>
      </c>
      <c r="G1425">
        <f t="shared" si="445"/>
        <v>5</v>
      </c>
      <c r="H1425" t="str">
        <f t="shared" si="446"/>
        <v/>
      </c>
      <c r="I1425" t="str">
        <f t="shared" si="447"/>
        <v/>
      </c>
      <c r="J1425" t="str">
        <f t="shared" si="448"/>
        <v/>
      </c>
      <c r="K1425" t="str">
        <f t="shared" si="449"/>
        <v/>
      </c>
      <c r="L1425" t="str">
        <f t="shared" si="450"/>
        <v/>
      </c>
      <c r="M1425" t="str">
        <f t="shared" si="451"/>
        <v/>
      </c>
      <c r="N1425" t="str">
        <f t="shared" si="452"/>
        <v/>
      </c>
      <c r="O1425" t="str">
        <f t="shared" si="453"/>
        <v/>
      </c>
      <c r="P1425" t="str">
        <f t="shared" si="454"/>
        <v/>
      </c>
      <c r="Q1425" t="str">
        <f t="shared" si="455"/>
        <v/>
      </c>
      <c r="R1425" t="str">
        <f t="shared" si="456"/>
        <v/>
      </c>
      <c r="S1425" t="str">
        <f t="shared" si="457"/>
        <v/>
      </c>
      <c r="T1425" t="str">
        <f t="shared" si="458"/>
        <v/>
      </c>
      <c r="U1425" t="str">
        <f t="shared" si="459"/>
        <v/>
      </c>
      <c r="V1425" t="str">
        <f t="shared" si="460"/>
        <v/>
      </c>
      <c r="W1425" t="str">
        <f t="shared" si="443"/>
        <v xml:space="preserve">              </v>
      </c>
    </row>
    <row r="1426" spans="1:23" customFormat="1" hidden="1">
      <c r="A1426" t="b">
        <f t="shared" si="442"/>
        <v>0</v>
      </c>
      <c r="B1426">
        <f t="shared" si="444"/>
        <v>1425</v>
      </c>
      <c r="C1426" t="s">
        <v>1243</v>
      </c>
      <c r="D1426" t="s">
        <v>1404</v>
      </c>
      <c r="E1426">
        <f t="shared" si="441"/>
        <v>12</v>
      </c>
      <c r="G1426">
        <f t="shared" si="445"/>
        <v>6</v>
      </c>
      <c r="H1426" t="str">
        <f t="shared" si="446"/>
        <v/>
      </c>
      <c r="I1426" t="str">
        <f t="shared" si="447"/>
        <v/>
      </c>
      <c r="J1426" t="str">
        <f t="shared" si="448"/>
        <v/>
      </c>
      <c r="K1426" t="str">
        <f t="shared" si="449"/>
        <v/>
      </c>
      <c r="L1426" t="str">
        <f t="shared" si="450"/>
        <v/>
      </c>
      <c r="M1426" t="str">
        <f t="shared" si="451"/>
        <v/>
      </c>
      <c r="N1426" t="str">
        <f t="shared" si="452"/>
        <v/>
      </c>
      <c r="O1426" t="str">
        <f t="shared" si="453"/>
        <v/>
      </c>
      <c r="P1426" t="str">
        <f t="shared" si="454"/>
        <v/>
      </c>
      <c r="Q1426" t="str">
        <f t="shared" si="455"/>
        <v/>
      </c>
      <c r="R1426" t="str">
        <f t="shared" si="456"/>
        <v/>
      </c>
      <c r="S1426" t="str">
        <f t="shared" si="457"/>
        <v/>
      </c>
      <c r="T1426" t="str">
        <f t="shared" si="458"/>
        <v/>
      </c>
      <c r="U1426" t="str">
        <f t="shared" si="459"/>
        <v/>
      </c>
      <c r="V1426" t="str">
        <f t="shared" si="460"/>
        <v/>
      </c>
      <c r="W1426" t="str">
        <f t="shared" si="443"/>
        <v xml:space="preserve">              </v>
      </c>
    </row>
    <row r="1427" spans="1:23" hidden="1">
      <c r="A1427" s="71" t="b">
        <f t="shared" si="442"/>
        <v>0</v>
      </c>
      <c r="B1427" s="71">
        <f t="shared" si="444"/>
        <v>1426</v>
      </c>
      <c r="C1427" s="71" t="s">
        <v>1243</v>
      </c>
      <c r="D1427" s="71" t="s">
        <v>340</v>
      </c>
      <c r="E1427">
        <f t="shared" si="441"/>
        <v>20</v>
      </c>
      <c r="F1427">
        <v>1</v>
      </c>
      <c r="G1427">
        <f t="shared" si="445"/>
        <v>1</v>
      </c>
      <c r="H1427" t="str">
        <f t="shared" si="446"/>
        <v>Risk management plan</v>
      </c>
      <c r="I1427" t="str">
        <f t="shared" si="447"/>
        <v>A project management subsidiary plan that</v>
      </c>
      <c r="J1427" t="str">
        <f t="shared" si="448"/>
        <v>defines how risks will be identified, analyzed,</v>
      </c>
      <c r="K1427" t="str">
        <f t="shared" si="449"/>
        <v>responded to, and monitored within the project.</v>
      </c>
      <c r="L1427" t="str">
        <f t="shared" si="450"/>
        <v>The plan also defines the iterative risk</v>
      </c>
      <c r="M1427" t="str">
        <f t="shared" si="451"/>
        <v>management process that the project is expected</v>
      </c>
      <c r="N1427" t="str">
        <f t="shared" si="452"/>
        <v>to adhere to.</v>
      </c>
      <c r="O1427" t="str">
        <f t="shared" si="453"/>
        <v/>
      </c>
      <c r="P1427" t="str">
        <f t="shared" si="454"/>
        <v/>
      </c>
      <c r="Q1427" t="str">
        <f t="shared" si="455"/>
        <v/>
      </c>
      <c r="R1427" t="str">
        <f t="shared" si="456"/>
        <v/>
      </c>
      <c r="S1427" t="str">
        <f t="shared" si="457"/>
        <v/>
      </c>
      <c r="T1427" t="str">
        <f t="shared" si="458"/>
        <v/>
      </c>
      <c r="U1427" t="str">
        <f t="shared" si="459"/>
        <v/>
      </c>
      <c r="V1427" t="str">
        <f t="shared" si="460"/>
        <v/>
      </c>
      <c r="W1427" s="71" t="str">
        <f>CONCATENATE(H1427," ",I1427," ",J1427," ",K1427," ",L1427," ",M1427," ",N1427," ",O1427," ",P1427," ",Q1427," ",R1427," ",S1427," ",T1427," ",U1427," ",V1427)</f>
        <v xml:space="preserve">Risk management plan A project management subsidiary plan that defines how risks will be identified, analyzed, responded to, and monitored within the project. The plan also defines the iterative risk management process that the project is expected to adhere to.        </v>
      </c>
    </row>
    <row r="1428" spans="1:23" customFormat="1" hidden="1">
      <c r="A1428" t="b">
        <f t="shared" si="442"/>
        <v>0</v>
      </c>
      <c r="B1428">
        <f t="shared" si="444"/>
        <v>1427</v>
      </c>
      <c r="C1428" t="s">
        <v>1243</v>
      </c>
      <c r="D1428" t="s">
        <v>1148</v>
      </c>
      <c r="E1428">
        <f t="shared" si="441"/>
        <v>41</v>
      </c>
      <c r="G1428">
        <f t="shared" si="445"/>
        <v>2</v>
      </c>
      <c r="H1428" t="str">
        <f t="shared" si="446"/>
        <v/>
      </c>
      <c r="I1428" t="str">
        <f t="shared" si="447"/>
        <v/>
      </c>
      <c r="J1428" t="str">
        <f t="shared" si="448"/>
        <v/>
      </c>
      <c r="K1428" t="str">
        <f t="shared" si="449"/>
        <v/>
      </c>
      <c r="L1428" t="str">
        <f t="shared" si="450"/>
        <v/>
      </c>
      <c r="M1428" t="str">
        <f t="shared" si="451"/>
        <v/>
      </c>
      <c r="N1428" t="str">
        <f t="shared" si="452"/>
        <v/>
      </c>
      <c r="O1428" t="str">
        <f t="shared" si="453"/>
        <v/>
      </c>
      <c r="P1428" t="str">
        <f t="shared" si="454"/>
        <v/>
      </c>
      <c r="Q1428" t="str">
        <f t="shared" si="455"/>
        <v/>
      </c>
      <c r="R1428" t="str">
        <f t="shared" si="456"/>
        <v/>
      </c>
      <c r="S1428" t="str">
        <f t="shared" si="457"/>
        <v/>
      </c>
      <c r="T1428" t="str">
        <f t="shared" si="458"/>
        <v/>
      </c>
      <c r="U1428" t="str">
        <f t="shared" si="459"/>
        <v/>
      </c>
      <c r="V1428" t="str">
        <f t="shared" si="460"/>
        <v/>
      </c>
      <c r="W1428" t="str">
        <f t="shared" si="443"/>
        <v xml:space="preserve">              </v>
      </c>
    </row>
    <row r="1429" spans="1:23" customFormat="1" hidden="1">
      <c r="A1429" t="b">
        <f t="shared" si="442"/>
        <v>0</v>
      </c>
      <c r="B1429">
        <f t="shared" si="444"/>
        <v>1428</v>
      </c>
      <c r="C1429" t="s">
        <v>1243</v>
      </c>
      <c r="D1429" t="s">
        <v>1405</v>
      </c>
      <c r="E1429">
        <f t="shared" si="441"/>
        <v>47</v>
      </c>
      <c r="G1429">
        <f t="shared" si="445"/>
        <v>3</v>
      </c>
      <c r="H1429" t="str">
        <f t="shared" si="446"/>
        <v/>
      </c>
      <c r="I1429" t="str">
        <f t="shared" si="447"/>
        <v/>
      </c>
      <c r="J1429" t="str">
        <f t="shared" si="448"/>
        <v/>
      </c>
      <c r="K1429" t="str">
        <f t="shared" si="449"/>
        <v/>
      </c>
      <c r="L1429" t="str">
        <f t="shared" si="450"/>
        <v/>
      </c>
      <c r="M1429" t="str">
        <f t="shared" si="451"/>
        <v/>
      </c>
      <c r="N1429" t="str">
        <f t="shared" si="452"/>
        <v/>
      </c>
      <c r="O1429" t="str">
        <f t="shared" si="453"/>
        <v/>
      </c>
      <c r="P1429" t="str">
        <f t="shared" si="454"/>
        <v/>
      </c>
      <c r="Q1429" t="str">
        <f t="shared" si="455"/>
        <v/>
      </c>
      <c r="R1429" t="str">
        <f t="shared" si="456"/>
        <v/>
      </c>
      <c r="S1429" t="str">
        <f t="shared" si="457"/>
        <v/>
      </c>
      <c r="T1429" t="str">
        <f t="shared" si="458"/>
        <v/>
      </c>
      <c r="U1429" t="str">
        <f t="shared" si="459"/>
        <v/>
      </c>
      <c r="V1429" t="str">
        <f t="shared" si="460"/>
        <v/>
      </c>
      <c r="W1429" t="str">
        <f t="shared" si="443"/>
        <v xml:space="preserve">              </v>
      </c>
    </row>
    <row r="1430" spans="1:23" customFormat="1" hidden="1">
      <c r="A1430" t="b">
        <f t="shared" si="442"/>
        <v>0</v>
      </c>
      <c r="B1430">
        <f t="shared" si="444"/>
        <v>1429</v>
      </c>
      <c r="C1430" t="s">
        <v>1243</v>
      </c>
      <c r="D1430" t="s">
        <v>1406</v>
      </c>
      <c r="E1430">
        <f t="shared" si="441"/>
        <v>47</v>
      </c>
      <c r="G1430">
        <f t="shared" si="445"/>
        <v>4</v>
      </c>
      <c r="H1430" t="str">
        <f t="shared" si="446"/>
        <v/>
      </c>
      <c r="I1430" t="str">
        <f t="shared" si="447"/>
        <v/>
      </c>
      <c r="J1430" t="str">
        <f t="shared" si="448"/>
        <v/>
      </c>
      <c r="K1430" t="str">
        <f t="shared" si="449"/>
        <v/>
      </c>
      <c r="L1430" t="str">
        <f t="shared" si="450"/>
        <v/>
      </c>
      <c r="M1430" t="str">
        <f t="shared" si="451"/>
        <v/>
      </c>
      <c r="N1430" t="str">
        <f t="shared" si="452"/>
        <v/>
      </c>
      <c r="O1430" t="str">
        <f t="shared" si="453"/>
        <v/>
      </c>
      <c r="P1430" t="str">
        <f t="shared" si="454"/>
        <v/>
      </c>
      <c r="Q1430" t="str">
        <f t="shared" si="455"/>
        <v/>
      </c>
      <c r="R1430" t="str">
        <f t="shared" si="456"/>
        <v/>
      </c>
      <c r="S1430" t="str">
        <f t="shared" si="457"/>
        <v/>
      </c>
      <c r="T1430" t="str">
        <f t="shared" si="458"/>
        <v/>
      </c>
      <c r="U1430" t="str">
        <f t="shared" si="459"/>
        <v/>
      </c>
      <c r="V1430" t="str">
        <f t="shared" si="460"/>
        <v/>
      </c>
      <c r="W1430" t="str">
        <f t="shared" si="443"/>
        <v xml:space="preserve">              </v>
      </c>
    </row>
    <row r="1431" spans="1:23" customFormat="1" hidden="1">
      <c r="A1431" t="b">
        <f t="shared" si="442"/>
        <v>0</v>
      </c>
      <c r="B1431">
        <f t="shared" si="444"/>
        <v>1430</v>
      </c>
      <c r="C1431" t="s">
        <v>1243</v>
      </c>
      <c r="D1431" t="s">
        <v>1407</v>
      </c>
      <c r="E1431">
        <f t="shared" si="441"/>
        <v>40</v>
      </c>
      <c r="G1431">
        <f t="shared" si="445"/>
        <v>5</v>
      </c>
      <c r="H1431" t="str">
        <f t="shared" si="446"/>
        <v/>
      </c>
      <c r="I1431" t="str">
        <f t="shared" si="447"/>
        <v/>
      </c>
      <c r="J1431" t="str">
        <f t="shared" si="448"/>
        <v/>
      </c>
      <c r="K1431" t="str">
        <f t="shared" si="449"/>
        <v/>
      </c>
      <c r="L1431" t="str">
        <f t="shared" si="450"/>
        <v/>
      </c>
      <c r="M1431" t="str">
        <f t="shared" si="451"/>
        <v/>
      </c>
      <c r="N1431" t="str">
        <f t="shared" si="452"/>
        <v/>
      </c>
      <c r="O1431" t="str">
        <f t="shared" si="453"/>
        <v/>
      </c>
      <c r="P1431" t="str">
        <f t="shared" si="454"/>
        <v/>
      </c>
      <c r="Q1431" t="str">
        <f t="shared" si="455"/>
        <v/>
      </c>
      <c r="R1431" t="str">
        <f t="shared" si="456"/>
        <v/>
      </c>
      <c r="S1431" t="str">
        <f t="shared" si="457"/>
        <v/>
      </c>
      <c r="T1431" t="str">
        <f t="shared" si="458"/>
        <v/>
      </c>
      <c r="U1431" t="str">
        <f t="shared" si="459"/>
        <v/>
      </c>
      <c r="V1431" t="str">
        <f t="shared" si="460"/>
        <v/>
      </c>
      <c r="W1431" t="str">
        <f t="shared" si="443"/>
        <v xml:space="preserve">              </v>
      </c>
    </row>
    <row r="1432" spans="1:23" customFormat="1" hidden="1">
      <c r="A1432" t="b">
        <f t="shared" si="442"/>
        <v>0</v>
      </c>
      <c r="B1432">
        <f t="shared" si="444"/>
        <v>1431</v>
      </c>
      <c r="C1432" t="s">
        <v>1243</v>
      </c>
      <c r="D1432" t="s">
        <v>1408</v>
      </c>
      <c r="E1432">
        <f t="shared" si="441"/>
        <v>47</v>
      </c>
      <c r="G1432">
        <f t="shared" si="445"/>
        <v>6</v>
      </c>
      <c r="H1432" t="str">
        <f t="shared" si="446"/>
        <v/>
      </c>
      <c r="I1432" t="str">
        <f t="shared" si="447"/>
        <v/>
      </c>
      <c r="J1432" t="str">
        <f t="shared" si="448"/>
        <v/>
      </c>
      <c r="K1432" t="str">
        <f t="shared" si="449"/>
        <v/>
      </c>
      <c r="L1432" t="str">
        <f t="shared" si="450"/>
        <v/>
      </c>
      <c r="M1432" t="str">
        <f t="shared" si="451"/>
        <v/>
      </c>
      <c r="N1432" t="str">
        <f t="shared" si="452"/>
        <v/>
      </c>
      <c r="O1432" t="str">
        <f t="shared" si="453"/>
        <v/>
      </c>
      <c r="P1432" t="str">
        <f t="shared" si="454"/>
        <v/>
      </c>
      <c r="Q1432" t="str">
        <f t="shared" si="455"/>
        <v/>
      </c>
      <c r="R1432" t="str">
        <f t="shared" si="456"/>
        <v/>
      </c>
      <c r="S1432" t="str">
        <f t="shared" si="457"/>
        <v/>
      </c>
      <c r="T1432" t="str">
        <f t="shared" si="458"/>
        <v/>
      </c>
      <c r="U1432" t="str">
        <f t="shared" si="459"/>
        <v/>
      </c>
      <c r="V1432" t="str">
        <f t="shared" si="460"/>
        <v/>
      </c>
      <c r="W1432" t="str">
        <f t="shared" si="443"/>
        <v xml:space="preserve">              </v>
      </c>
    </row>
    <row r="1433" spans="1:23" customFormat="1" hidden="1">
      <c r="A1433" t="b">
        <f t="shared" si="442"/>
        <v>0</v>
      </c>
      <c r="B1433">
        <f t="shared" si="444"/>
        <v>1432</v>
      </c>
      <c r="C1433" t="s">
        <v>1243</v>
      </c>
      <c r="D1433" t="s">
        <v>1409</v>
      </c>
      <c r="E1433">
        <f t="shared" si="441"/>
        <v>13</v>
      </c>
      <c r="G1433">
        <f t="shared" si="445"/>
        <v>7</v>
      </c>
      <c r="H1433" t="str">
        <f t="shared" si="446"/>
        <v/>
      </c>
      <c r="I1433" t="str">
        <f t="shared" si="447"/>
        <v/>
      </c>
      <c r="J1433" t="str">
        <f t="shared" si="448"/>
        <v/>
      </c>
      <c r="K1433" t="str">
        <f t="shared" si="449"/>
        <v/>
      </c>
      <c r="L1433" t="str">
        <f t="shared" si="450"/>
        <v/>
      </c>
      <c r="M1433" t="str">
        <f t="shared" si="451"/>
        <v/>
      </c>
      <c r="N1433" t="str">
        <f t="shared" si="452"/>
        <v/>
      </c>
      <c r="O1433" t="str">
        <f t="shared" si="453"/>
        <v/>
      </c>
      <c r="P1433" t="str">
        <f t="shared" si="454"/>
        <v/>
      </c>
      <c r="Q1433" t="str">
        <f t="shared" si="455"/>
        <v/>
      </c>
      <c r="R1433" t="str">
        <f t="shared" si="456"/>
        <v/>
      </c>
      <c r="S1433" t="str">
        <f t="shared" si="457"/>
        <v/>
      </c>
      <c r="T1433" t="str">
        <f t="shared" si="458"/>
        <v/>
      </c>
      <c r="U1433" t="str">
        <f t="shared" si="459"/>
        <v/>
      </c>
      <c r="V1433" t="str">
        <f t="shared" si="460"/>
        <v/>
      </c>
      <c r="W1433" t="str">
        <f t="shared" si="443"/>
        <v xml:space="preserve">              </v>
      </c>
    </row>
    <row r="1434" spans="1:23" hidden="1">
      <c r="A1434" s="71" t="b">
        <f t="shared" si="442"/>
        <v>0</v>
      </c>
      <c r="B1434" s="71">
        <f t="shared" si="444"/>
        <v>1433</v>
      </c>
      <c r="C1434" s="71" t="s">
        <v>1243</v>
      </c>
      <c r="D1434" s="71" t="s">
        <v>1410</v>
      </c>
      <c r="E1434">
        <f t="shared" si="441"/>
        <v>24</v>
      </c>
      <c r="F1434">
        <v>1</v>
      </c>
      <c r="G1434">
        <f t="shared" si="445"/>
        <v>1</v>
      </c>
      <c r="H1434" t="str">
        <f t="shared" si="446"/>
        <v>Risk management planning</v>
      </c>
      <c r="I1434" t="str">
        <f t="shared" si="447"/>
        <v>The agreed-upon approach to the management</v>
      </c>
      <c r="J1434" t="str">
        <f t="shared" si="448"/>
        <v>of the project risk processes.</v>
      </c>
      <c r="K1434" t="str">
        <f t="shared" si="449"/>
        <v/>
      </c>
      <c r="L1434" t="str">
        <f t="shared" si="450"/>
        <v/>
      </c>
      <c r="M1434" t="str">
        <f t="shared" si="451"/>
        <v/>
      </c>
      <c r="N1434" t="str">
        <f t="shared" si="452"/>
        <v/>
      </c>
      <c r="O1434" t="str">
        <f t="shared" si="453"/>
        <v/>
      </c>
      <c r="P1434" t="str">
        <f t="shared" si="454"/>
        <v/>
      </c>
      <c r="Q1434" t="str">
        <f t="shared" si="455"/>
        <v/>
      </c>
      <c r="R1434" t="str">
        <f t="shared" si="456"/>
        <v/>
      </c>
      <c r="S1434" t="str">
        <f t="shared" si="457"/>
        <v/>
      </c>
      <c r="T1434" t="str">
        <f t="shared" si="458"/>
        <v/>
      </c>
      <c r="U1434" t="str">
        <f t="shared" si="459"/>
        <v/>
      </c>
      <c r="V1434" t="str">
        <f t="shared" si="460"/>
        <v/>
      </c>
      <c r="W1434" s="71" t="str">
        <f>CONCATENATE(H1434," ",I1434," ",J1434," ",K1434," ",L1434," ",M1434," ",N1434," ",O1434," ",P1434," ",Q1434," ",R1434," ",S1434," ",T1434," ",U1434," ",V1434)</f>
        <v xml:space="preserve">Risk management planning The agreed-upon approach to the management of the project risk processes.            </v>
      </c>
    </row>
    <row r="1435" spans="1:23" customFormat="1" hidden="1">
      <c r="A1435" t="b">
        <f t="shared" si="442"/>
        <v>0</v>
      </c>
      <c r="B1435">
        <f t="shared" si="444"/>
        <v>1434</v>
      </c>
      <c r="C1435" t="s">
        <v>1243</v>
      </c>
      <c r="D1435" t="s">
        <v>1411</v>
      </c>
      <c r="E1435">
        <f t="shared" si="441"/>
        <v>42</v>
      </c>
      <c r="G1435">
        <f t="shared" si="445"/>
        <v>2</v>
      </c>
      <c r="H1435" t="str">
        <f t="shared" si="446"/>
        <v/>
      </c>
      <c r="I1435" t="str">
        <f t="shared" si="447"/>
        <v/>
      </c>
      <c r="J1435" t="str">
        <f t="shared" si="448"/>
        <v/>
      </c>
      <c r="K1435" t="str">
        <f t="shared" si="449"/>
        <v/>
      </c>
      <c r="L1435" t="str">
        <f t="shared" si="450"/>
        <v/>
      </c>
      <c r="M1435" t="str">
        <f t="shared" si="451"/>
        <v/>
      </c>
      <c r="N1435" t="str">
        <f t="shared" si="452"/>
        <v/>
      </c>
      <c r="O1435" t="str">
        <f t="shared" si="453"/>
        <v/>
      </c>
      <c r="P1435" t="str">
        <f t="shared" si="454"/>
        <v/>
      </c>
      <c r="Q1435" t="str">
        <f t="shared" si="455"/>
        <v/>
      </c>
      <c r="R1435" t="str">
        <f t="shared" si="456"/>
        <v/>
      </c>
      <c r="S1435" t="str">
        <f t="shared" si="457"/>
        <v/>
      </c>
      <c r="T1435" t="str">
        <f t="shared" si="458"/>
        <v/>
      </c>
      <c r="U1435" t="str">
        <f t="shared" si="459"/>
        <v/>
      </c>
      <c r="V1435" t="str">
        <f t="shared" si="460"/>
        <v/>
      </c>
      <c r="W1435" t="str">
        <f t="shared" si="443"/>
        <v xml:space="preserve">              </v>
      </c>
    </row>
    <row r="1436" spans="1:23" customFormat="1" hidden="1">
      <c r="A1436" t="b">
        <f t="shared" si="442"/>
        <v>0</v>
      </c>
      <c r="B1436">
        <f t="shared" si="444"/>
        <v>1435</v>
      </c>
      <c r="C1436" t="s">
        <v>1243</v>
      </c>
      <c r="D1436" t="s">
        <v>1412</v>
      </c>
      <c r="E1436">
        <f t="shared" si="441"/>
        <v>30</v>
      </c>
      <c r="G1436">
        <f t="shared" si="445"/>
        <v>3</v>
      </c>
      <c r="H1436" t="str">
        <f t="shared" si="446"/>
        <v/>
      </c>
      <c r="I1436" t="str">
        <f t="shared" si="447"/>
        <v/>
      </c>
      <c r="J1436" t="str">
        <f t="shared" si="448"/>
        <v/>
      </c>
      <c r="K1436" t="str">
        <f t="shared" si="449"/>
        <v/>
      </c>
      <c r="L1436" t="str">
        <f t="shared" si="450"/>
        <v/>
      </c>
      <c r="M1436" t="str">
        <f t="shared" si="451"/>
        <v/>
      </c>
      <c r="N1436" t="str">
        <f t="shared" si="452"/>
        <v/>
      </c>
      <c r="O1436" t="str">
        <f t="shared" si="453"/>
        <v/>
      </c>
      <c r="P1436" t="str">
        <f t="shared" si="454"/>
        <v/>
      </c>
      <c r="Q1436" t="str">
        <f t="shared" si="455"/>
        <v/>
      </c>
      <c r="R1436" t="str">
        <f t="shared" si="456"/>
        <v/>
      </c>
      <c r="S1436" t="str">
        <f t="shared" si="457"/>
        <v/>
      </c>
      <c r="T1436" t="str">
        <f t="shared" si="458"/>
        <v/>
      </c>
      <c r="U1436" t="str">
        <f t="shared" si="459"/>
        <v/>
      </c>
      <c r="V1436" t="str">
        <f t="shared" si="460"/>
        <v/>
      </c>
      <c r="W1436" t="str">
        <f t="shared" si="443"/>
        <v xml:space="preserve">              </v>
      </c>
    </row>
    <row r="1437" spans="1:23" hidden="1">
      <c r="A1437" s="71" t="b">
        <f t="shared" si="442"/>
        <v>0</v>
      </c>
      <c r="B1437" s="71">
        <f t="shared" si="444"/>
        <v>1436</v>
      </c>
      <c r="C1437" s="71" t="s">
        <v>1243</v>
      </c>
      <c r="D1437" s="71" t="s">
        <v>1413</v>
      </c>
      <c r="E1437">
        <f t="shared" si="441"/>
        <v>11</v>
      </c>
      <c r="F1437">
        <v>1</v>
      </c>
      <c r="G1437">
        <f t="shared" si="445"/>
        <v>1</v>
      </c>
      <c r="H1437" t="str">
        <f t="shared" si="446"/>
        <v>Risk owners</v>
      </c>
      <c r="I1437" t="str">
        <f t="shared" si="447"/>
        <v>The individuals or entities that are responsible for</v>
      </c>
      <c r="J1437" t="str">
        <f t="shared" si="448"/>
        <v>monitoring and responding to an identified risk</v>
      </c>
      <c r="K1437" t="str">
        <f t="shared" si="449"/>
        <v>within the project.</v>
      </c>
      <c r="L1437" t="str">
        <f t="shared" si="450"/>
        <v/>
      </c>
      <c r="M1437" t="str">
        <f t="shared" si="451"/>
        <v/>
      </c>
      <c r="N1437" t="str">
        <f t="shared" si="452"/>
        <v/>
      </c>
      <c r="O1437" t="str">
        <f t="shared" si="453"/>
        <v/>
      </c>
      <c r="P1437" t="str">
        <f t="shared" si="454"/>
        <v/>
      </c>
      <c r="Q1437" t="str">
        <f t="shared" si="455"/>
        <v/>
      </c>
      <c r="R1437" t="str">
        <f t="shared" si="456"/>
        <v/>
      </c>
      <c r="S1437" t="str">
        <f t="shared" si="457"/>
        <v/>
      </c>
      <c r="T1437" t="str">
        <f t="shared" si="458"/>
        <v/>
      </c>
      <c r="U1437" t="str">
        <f t="shared" si="459"/>
        <v/>
      </c>
      <c r="V1437" t="str">
        <f t="shared" si="460"/>
        <v/>
      </c>
      <c r="W1437" s="71" t="str">
        <f>CONCATENATE(H1437," ",I1437," ",J1437," ",K1437," ",L1437," ",M1437," ",N1437," ",O1437," ",P1437," ",Q1437," ",R1437," ",S1437," ",T1437," ",U1437," ",V1437)</f>
        <v xml:space="preserve">Risk owners The individuals or entities that are responsible for monitoring and responding to an identified risk within the project.           </v>
      </c>
    </row>
    <row r="1438" spans="1:23" customFormat="1" hidden="1">
      <c r="A1438" t="b">
        <f t="shared" si="442"/>
        <v>0</v>
      </c>
      <c r="B1438">
        <f t="shared" si="444"/>
        <v>1437</v>
      </c>
      <c r="C1438" t="s">
        <v>1243</v>
      </c>
      <c r="D1438" t="s">
        <v>1414</v>
      </c>
      <c r="E1438">
        <f t="shared" si="441"/>
        <v>52</v>
      </c>
      <c r="G1438">
        <f t="shared" si="445"/>
        <v>2</v>
      </c>
      <c r="H1438" t="str">
        <f t="shared" si="446"/>
        <v/>
      </c>
      <c r="I1438" t="str">
        <f t="shared" si="447"/>
        <v/>
      </c>
      <c r="J1438" t="str">
        <f t="shared" si="448"/>
        <v/>
      </c>
      <c r="K1438" t="str">
        <f t="shared" si="449"/>
        <v/>
      </c>
      <c r="L1438" t="str">
        <f t="shared" si="450"/>
        <v/>
      </c>
      <c r="M1438" t="str">
        <f t="shared" si="451"/>
        <v/>
      </c>
      <c r="N1438" t="str">
        <f t="shared" si="452"/>
        <v/>
      </c>
      <c r="O1438" t="str">
        <f t="shared" si="453"/>
        <v/>
      </c>
      <c r="P1438" t="str">
        <f t="shared" si="454"/>
        <v/>
      </c>
      <c r="Q1438" t="str">
        <f t="shared" si="455"/>
        <v/>
      </c>
      <c r="R1438" t="str">
        <f t="shared" si="456"/>
        <v/>
      </c>
      <c r="S1438" t="str">
        <f t="shared" si="457"/>
        <v/>
      </c>
      <c r="T1438" t="str">
        <f t="shared" si="458"/>
        <v/>
      </c>
      <c r="U1438" t="str">
        <f t="shared" si="459"/>
        <v/>
      </c>
      <c r="V1438" t="str">
        <f t="shared" si="460"/>
        <v/>
      </c>
      <c r="W1438" t="str">
        <f t="shared" si="443"/>
        <v xml:space="preserve">              </v>
      </c>
    </row>
    <row r="1439" spans="1:23" customFormat="1" hidden="1">
      <c r="A1439" t="b">
        <f t="shared" si="442"/>
        <v>0</v>
      </c>
      <c r="B1439">
        <f t="shared" si="444"/>
        <v>1438</v>
      </c>
      <c r="C1439" t="s">
        <v>1243</v>
      </c>
      <c r="D1439" t="s">
        <v>1415</v>
      </c>
      <c r="E1439">
        <f t="shared" si="441"/>
        <v>47</v>
      </c>
      <c r="G1439">
        <f t="shared" si="445"/>
        <v>3</v>
      </c>
      <c r="H1439" t="str">
        <f t="shared" si="446"/>
        <v/>
      </c>
      <c r="I1439" t="str">
        <f t="shared" si="447"/>
        <v/>
      </c>
      <c r="J1439" t="str">
        <f t="shared" si="448"/>
        <v/>
      </c>
      <c r="K1439" t="str">
        <f t="shared" si="449"/>
        <v/>
      </c>
      <c r="L1439" t="str">
        <f t="shared" si="450"/>
        <v/>
      </c>
      <c r="M1439" t="str">
        <f t="shared" si="451"/>
        <v/>
      </c>
      <c r="N1439" t="str">
        <f t="shared" si="452"/>
        <v/>
      </c>
      <c r="O1439" t="str">
        <f t="shared" si="453"/>
        <v/>
      </c>
      <c r="P1439" t="str">
        <f t="shared" si="454"/>
        <v/>
      </c>
      <c r="Q1439" t="str">
        <f t="shared" si="455"/>
        <v/>
      </c>
      <c r="R1439" t="str">
        <f t="shared" si="456"/>
        <v/>
      </c>
      <c r="S1439" t="str">
        <f t="shared" si="457"/>
        <v/>
      </c>
      <c r="T1439" t="str">
        <f t="shared" si="458"/>
        <v/>
      </c>
      <c r="U1439" t="str">
        <f t="shared" si="459"/>
        <v/>
      </c>
      <c r="V1439" t="str">
        <f t="shared" si="460"/>
        <v/>
      </c>
      <c r="W1439" t="str">
        <f t="shared" si="443"/>
        <v xml:space="preserve">              </v>
      </c>
    </row>
    <row r="1440" spans="1:23" customFormat="1" hidden="1">
      <c r="A1440" t="b">
        <f t="shared" si="442"/>
        <v>0</v>
      </c>
      <c r="B1440">
        <f t="shared" si="444"/>
        <v>1439</v>
      </c>
      <c r="C1440" t="s">
        <v>1243</v>
      </c>
      <c r="D1440" t="s">
        <v>1416</v>
      </c>
      <c r="E1440">
        <f t="shared" si="441"/>
        <v>19</v>
      </c>
      <c r="G1440">
        <f t="shared" si="445"/>
        <v>4</v>
      </c>
      <c r="H1440" t="str">
        <f t="shared" si="446"/>
        <v/>
      </c>
      <c r="I1440" t="str">
        <f t="shared" si="447"/>
        <v/>
      </c>
      <c r="J1440" t="str">
        <f t="shared" si="448"/>
        <v/>
      </c>
      <c r="K1440" t="str">
        <f t="shared" si="449"/>
        <v/>
      </c>
      <c r="L1440" t="str">
        <f t="shared" si="450"/>
        <v/>
      </c>
      <c r="M1440" t="str">
        <f t="shared" si="451"/>
        <v/>
      </c>
      <c r="N1440" t="str">
        <f t="shared" si="452"/>
        <v/>
      </c>
      <c r="O1440" t="str">
        <f t="shared" si="453"/>
        <v/>
      </c>
      <c r="P1440" t="str">
        <f t="shared" si="454"/>
        <v/>
      </c>
      <c r="Q1440" t="str">
        <f t="shared" si="455"/>
        <v/>
      </c>
      <c r="R1440" t="str">
        <f t="shared" si="456"/>
        <v/>
      </c>
      <c r="S1440" t="str">
        <f t="shared" si="457"/>
        <v/>
      </c>
      <c r="T1440" t="str">
        <f t="shared" si="458"/>
        <v/>
      </c>
      <c r="U1440" t="str">
        <f t="shared" si="459"/>
        <v/>
      </c>
      <c r="V1440" t="str">
        <f t="shared" si="460"/>
        <v/>
      </c>
      <c r="W1440" t="str">
        <f t="shared" si="443"/>
        <v xml:space="preserve">              </v>
      </c>
    </row>
    <row r="1441" spans="1:23" hidden="1">
      <c r="A1441" s="71" t="b">
        <f t="shared" si="442"/>
        <v>0</v>
      </c>
      <c r="B1441" s="71">
        <f t="shared" si="444"/>
        <v>1440</v>
      </c>
      <c r="C1441" s="71" t="s">
        <v>1243</v>
      </c>
      <c r="D1441" s="71" t="s">
        <v>345</v>
      </c>
      <c r="E1441">
        <f t="shared" si="441"/>
        <v>13</v>
      </c>
      <c r="F1441">
        <v>1</v>
      </c>
      <c r="G1441">
        <f t="shared" si="445"/>
        <v>1</v>
      </c>
      <c r="H1441" t="str">
        <f t="shared" si="446"/>
        <v>Risk register</v>
      </c>
      <c r="I1441" t="str">
        <f t="shared" si="447"/>
        <v>The risk register is a project plan component that</v>
      </c>
      <c r="J1441" t="str">
        <f t="shared" si="448"/>
        <v>contains all of the information related to the risk</v>
      </c>
      <c r="K1441" t="str">
        <f t="shared" si="449"/>
        <v>management activities. It’s updated as risk</v>
      </c>
      <c r="L1441" t="str">
        <f t="shared" si="450"/>
        <v>management activities are conducted to reflect</v>
      </c>
      <c r="M1441" t="str">
        <f t="shared" si="451"/>
        <v>the status, progress, and nature of the project</v>
      </c>
      <c r="N1441" t="str">
        <f t="shared" si="452"/>
        <v>risks.</v>
      </c>
      <c r="O1441" t="str">
        <f t="shared" si="453"/>
        <v/>
      </c>
      <c r="P1441" t="str">
        <f t="shared" si="454"/>
        <v/>
      </c>
      <c r="Q1441" t="str">
        <f t="shared" si="455"/>
        <v/>
      </c>
      <c r="R1441" t="str">
        <f t="shared" si="456"/>
        <v/>
      </c>
      <c r="S1441" t="str">
        <f t="shared" si="457"/>
        <v/>
      </c>
      <c r="T1441" t="str">
        <f t="shared" si="458"/>
        <v/>
      </c>
      <c r="U1441" t="str">
        <f t="shared" si="459"/>
        <v/>
      </c>
      <c r="V1441" t="str">
        <f t="shared" si="460"/>
        <v/>
      </c>
      <c r="W1441" s="71" t="str">
        <f>CONCATENATE(H1441," ",I1441," ",J1441," ",K1441," ",L1441," ",M1441," ",N1441," ",O1441," ",P1441," ",Q1441," ",R1441," ",S1441," ",T1441," ",U1441," ",V1441)</f>
        <v xml:space="preserve">Risk register The risk register is a project plan component that contains all of the information related to the risk management activities. It’s updated as risk management activities are conducted to reflect the status, progress, and nature of the project risks.        </v>
      </c>
    </row>
    <row r="1442" spans="1:23" customFormat="1" hidden="1">
      <c r="A1442" t="b">
        <f t="shared" si="442"/>
        <v>0</v>
      </c>
      <c r="B1442">
        <f t="shared" si="444"/>
        <v>1441</v>
      </c>
      <c r="C1442" t="s">
        <v>1243</v>
      </c>
      <c r="D1442" t="s">
        <v>1417</v>
      </c>
      <c r="E1442">
        <f t="shared" si="441"/>
        <v>50</v>
      </c>
      <c r="G1442">
        <f t="shared" si="445"/>
        <v>2</v>
      </c>
      <c r="H1442" t="str">
        <f t="shared" si="446"/>
        <v/>
      </c>
      <c r="I1442" t="str">
        <f t="shared" si="447"/>
        <v/>
      </c>
      <c r="J1442" t="str">
        <f t="shared" si="448"/>
        <v/>
      </c>
      <c r="K1442" t="str">
        <f t="shared" si="449"/>
        <v/>
      </c>
      <c r="L1442" t="str">
        <f t="shared" si="450"/>
        <v/>
      </c>
      <c r="M1442" t="str">
        <f t="shared" si="451"/>
        <v/>
      </c>
      <c r="N1442" t="str">
        <f t="shared" si="452"/>
        <v/>
      </c>
      <c r="O1442" t="str">
        <f t="shared" si="453"/>
        <v/>
      </c>
      <c r="P1442" t="str">
        <f t="shared" si="454"/>
        <v/>
      </c>
      <c r="Q1442" t="str">
        <f t="shared" si="455"/>
        <v/>
      </c>
      <c r="R1442" t="str">
        <f t="shared" si="456"/>
        <v/>
      </c>
      <c r="S1442" t="str">
        <f t="shared" si="457"/>
        <v/>
      </c>
      <c r="T1442" t="str">
        <f t="shared" si="458"/>
        <v/>
      </c>
      <c r="U1442" t="str">
        <f t="shared" si="459"/>
        <v/>
      </c>
      <c r="V1442" t="str">
        <f t="shared" si="460"/>
        <v/>
      </c>
      <c r="W1442" t="str">
        <f t="shared" si="443"/>
        <v xml:space="preserve">              </v>
      </c>
    </row>
    <row r="1443" spans="1:23" customFormat="1" hidden="1">
      <c r="A1443" t="b">
        <f t="shared" si="442"/>
        <v>0</v>
      </c>
      <c r="B1443">
        <f t="shared" si="444"/>
        <v>1442</v>
      </c>
      <c r="C1443" t="s">
        <v>1243</v>
      </c>
      <c r="D1443" t="s">
        <v>1418</v>
      </c>
      <c r="E1443">
        <f t="shared" si="441"/>
        <v>51</v>
      </c>
      <c r="G1443">
        <f t="shared" si="445"/>
        <v>3</v>
      </c>
      <c r="H1443" t="str">
        <f t="shared" si="446"/>
        <v/>
      </c>
      <c r="I1443" t="str">
        <f t="shared" si="447"/>
        <v/>
      </c>
      <c r="J1443" t="str">
        <f t="shared" si="448"/>
        <v/>
      </c>
      <c r="K1443" t="str">
        <f t="shared" si="449"/>
        <v/>
      </c>
      <c r="L1443" t="str">
        <f t="shared" si="450"/>
        <v/>
      </c>
      <c r="M1443" t="str">
        <f t="shared" si="451"/>
        <v/>
      </c>
      <c r="N1443" t="str">
        <f t="shared" si="452"/>
        <v/>
      </c>
      <c r="O1443" t="str">
        <f t="shared" si="453"/>
        <v/>
      </c>
      <c r="P1443" t="str">
        <f t="shared" si="454"/>
        <v/>
      </c>
      <c r="Q1443" t="str">
        <f t="shared" si="455"/>
        <v/>
      </c>
      <c r="R1443" t="str">
        <f t="shared" si="456"/>
        <v/>
      </c>
      <c r="S1443" t="str">
        <f t="shared" si="457"/>
        <v/>
      </c>
      <c r="T1443" t="str">
        <f t="shared" si="458"/>
        <v/>
      </c>
      <c r="U1443" t="str">
        <f t="shared" si="459"/>
        <v/>
      </c>
      <c r="V1443" t="str">
        <f t="shared" si="460"/>
        <v/>
      </c>
      <c r="W1443" t="str">
        <f t="shared" si="443"/>
        <v xml:space="preserve">              </v>
      </c>
    </row>
    <row r="1444" spans="1:23" customFormat="1" hidden="1">
      <c r="A1444" t="b">
        <f t="shared" si="442"/>
        <v>0</v>
      </c>
      <c r="B1444">
        <f t="shared" si="444"/>
        <v>1443</v>
      </c>
      <c r="C1444" t="s">
        <v>1243</v>
      </c>
      <c r="D1444" t="s">
        <v>1419</v>
      </c>
      <c r="E1444">
        <f t="shared" ref="E1444:E1506" si="461">LEN(D1444)</f>
        <v>43</v>
      </c>
      <c r="G1444">
        <f t="shared" si="445"/>
        <v>4</v>
      </c>
      <c r="H1444" t="str">
        <f t="shared" si="446"/>
        <v/>
      </c>
      <c r="I1444" t="str">
        <f t="shared" si="447"/>
        <v/>
      </c>
      <c r="J1444" t="str">
        <f t="shared" si="448"/>
        <v/>
      </c>
      <c r="K1444" t="str">
        <f t="shared" si="449"/>
        <v/>
      </c>
      <c r="L1444" t="str">
        <f t="shared" si="450"/>
        <v/>
      </c>
      <c r="M1444" t="str">
        <f t="shared" si="451"/>
        <v/>
      </c>
      <c r="N1444" t="str">
        <f t="shared" si="452"/>
        <v/>
      </c>
      <c r="O1444" t="str">
        <f t="shared" si="453"/>
        <v/>
      </c>
      <c r="P1444" t="str">
        <f t="shared" si="454"/>
        <v/>
      </c>
      <c r="Q1444" t="str">
        <f t="shared" si="455"/>
        <v/>
      </c>
      <c r="R1444" t="str">
        <f t="shared" si="456"/>
        <v/>
      </c>
      <c r="S1444" t="str">
        <f t="shared" si="457"/>
        <v/>
      </c>
      <c r="T1444" t="str">
        <f t="shared" si="458"/>
        <v/>
      </c>
      <c r="U1444" t="str">
        <f t="shared" si="459"/>
        <v/>
      </c>
      <c r="V1444" t="str">
        <f t="shared" si="460"/>
        <v/>
      </c>
      <c r="W1444" t="str">
        <f t="shared" si="443"/>
        <v xml:space="preserve">              </v>
      </c>
    </row>
    <row r="1445" spans="1:23" customFormat="1" hidden="1">
      <c r="A1445" t="b">
        <f t="shared" si="442"/>
        <v>0</v>
      </c>
      <c r="B1445">
        <f t="shared" si="444"/>
        <v>1444</v>
      </c>
      <c r="C1445" t="s">
        <v>1243</v>
      </c>
      <c r="D1445" t="s">
        <v>1420</v>
      </c>
      <c r="E1445">
        <f t="shared" si="461"/>
        <v>46</v>
      </c>
      <c r="G1445">
        <f t="shared" si="445"/>
        <v>5</v>
      </c>
      <c r="H1445" t="str">
        <f t="shared" si="446"/>
        <v/>
      </c>
      <c r="I1445" t="str">
        <f t="shared" si="447"/>
        <v/>
      </c>
      <c r="J1445" t="str">
        <f t="shared" si="448"/>
        <v/>
      </c>
      <c r="K1445" t="str">
        <f t="shared" si="449"/>
        <v/>
      </c>
      <c r="L1445" t="str">
        <f t="shared" si="450"/>
        <v/>
      </c>
      <c r="M1445" t="str">
        <f t="shared" si="451"/>
        <v/>
      </c>
      <c r="N1445" t="str">
        <f t="shared" si="452"/>
        <v/>
      </c>
      <c r="O1445" t="str">
        <f t="shared" si="453"/>
        <v/>
      </c>
      <c r="P1445" t="str">
        <f t="shared" si="454"/>
        <v/>
      </c>
      <c r="Q1445" t="str">
        <f t="shared" si="455"/>
        <v/>
      </c>
      <c r="R1445" t="str">
        <f t="shared" si="456"/>
        <v/>
      </c>
      <c r="S1445" t="str">
        <f t="shared" si="457"/>
        <v/>
      </c>
      <c r="T1445" t="str">
        <f t="shared" si="458"/>
        <v/>
      </c>
      <c r="U1445" t="str">
        <f t="shared" si="459"/>
        <v/>
      </c>
      <c r="V1445" t="str">
        <f t="shared" si="460"/>
        <v/>
      </c>
      <c r="W1445" t="str">
        <f t="shared" si="443"/>
        <v xml:space="preserve">              </v>
      </c>
    </row>
    <row r="1446" spans="1:23" customFormat="1" hidden="1">
      <c r="A1446" t="b">
        <f t="shared" si="442"/>
        <v>0</v>
      </c>
      <c r="B1446">
        <f t="shared" si="444"/>
        <v>1445</v>
      </c>
      <c r="C1446" t="s">
        <v>1243</v>
      </c>
      <c r="D1446" t="s">
        <v>1421</v>
      </c>
      <c r="E1446">
        <f t="shared" si="461"/>
        <v>47</v>
      </c>
      <c r="G1446">
        <f t="shared" si="445"/>
        <v>6</v>
      </c>
      <c r="H1446" t="str">
        <f t="shared" si="446"/>
        <v/>
      </c>
      <c r="I1446" t="str">
        <f t="shared" si="447"/>
        <v/>
      </c>
      <c r="J1446" t="str">
        <f t="shared" si="448"/>
        <v/>
      </c>
      <c r="K1446" t="str">
        <f t="shared" si="449"/>
        <v/>
      </c>
      <c r="L1446" t="str">
        <f t="shared" si="450"/>
        <v/>
      </c>
      <c r="M1446" t="str">
        <f t="shared" si="451"/>
        <v/>
      </c>
      <c r="N1446" t="str">
        <f t="shared" si="452"/>
        <v/>
      </c>
      <c r="O1446" t="str">
        <f t="shared" si="453"/>
        <v/>
      </c>
      <c r="P1446" t="str">
        <f t="shared" si="454"/>
        <v/>
      </c>
      <c r="Q1446" t="str">
        <f t="shared" si="455"/>
        <v/>
      </c>
      <c r="R1446" t="str">
        <f t="shared" si="456"/>
        <v/>
      </c>
      <c r="S1446" t="str">
        <f t="shared" si="457"/>
        <v/>
      </c>
      <c r="T1446" t="str">
        <f t="shared" si="458"/>
        <v/>
      </c>
      <c r="U1446" t="str">
        <f t="shared" si="459"/>
        <v/>
      </c>
      <c r="V1446" t="str">
        <f t="shared" si="460"/>
        <v/>
      </c>
      <c r="W1446" t="str">
        <f t="shared" si="443"/>
        <v xml:space="preserve">              </v>
      </c>
    </row>
    <row r="1447" spans="1:23" customFormat="1" hidden="1">
      <c r="A1447" t="b">
        <f t="shared" si="442"/>
        <v>0</v>
      </c>
      <c r="B1447">
        <f t="shared" si="444"/>
        <v>1446</v>
      </c>
      <c r="C1447" t="s">
        <v>1243</v>
      </c>
      <c r="D1447" t="s">
        <v>355</v>
      </c>
      <c r="E1447">
        <f t="shared" si="461"/>
        <v>6</v>
      </c>
      <c r="G1447">
        <f t="shared" si="445"/>
        <v>7</v>
      </c>
      <c r="H1447" t="str">
        <f t="shared" si="446"/>
        <v/>
      </c>
      <c r="I1447" t="str">
        <f t="shared" si="447"/>
        <v/>
      </c>
      <c r="J1447" t="str">
        <f t="shared" si="448"/>
        <v/>
      </c>
      <c r="K1447" t="str">
        <f t="shared" si="449"/>
        <v/>
      </c>
      <c r="L1447" t="str">
        <f t="shared" si="450"/>
        <v/>
      </c>
      <c r="M1447" t="str">
        <f t="shared" si="451"/>
        <v/>
      </c>
      <c r="N1447" t="str">
        <f t="shared" si="452"/>
        <v/>
      </c>
      <c r="O1447" t="str">
        <f t="shared" si="453"/>
        <v/>
      </c>
      <c r="P1447" t="str">
        <f t="shared" si="454"/>
        <v/>
      </c>
      <c r="Q1447" t="str">
        <f t="shared" si="455"/>
        <v/>
      </c>
      <c r="R1447" t="str">
        <f t="shared" si="456"/>
        <v/>
      </c>
      <c r="S1447" t="str">
        <f t="shared" si="457"/>
        <v/>
      </c>
      <c r="T1447" t="str">
        <f t="shared" si="458"/>
        <v/>
      </c>
      <c r="U1447" t="str">
        <f t="shared" si="459"/>
        <v/>
      </c>
      <c r="V1447" t="str">
        <f t="shared" si="460"/>
        <v/>
      </c>
      <c r="W1447" t="str">
        <f t="shared" si="443"/>
        <v xml:space="preserve">              </v>
      </c>
    </row>
    <row r="1448" spans="1:23" hidden="1">
      <c r="A1448" s="71" t="b">
        <f t="shared" si="442"/>
        <v>0</v>
      </c>
      <c r="B1448" s="71">
        <f t="shared" si="444"/>
        <v>1447</v>
      </c>
      <c r="C1448" s="71" t="s">
        <v>1243</v>
      </c>
      <c r="D1448" s="71" t="s">
        <v>1422</v>
      </c>
      <c r="E1448">
        <f t="shared" si="461"/>
        <v>11</v>
      </c>
      <c r="F1448">
        <v>1</v>
      </c>
      <c r="G1448">
        <f t="shared" si="445"/>
        <v>1</v>
      </c>
      <c r="H1448" t="str">
        <f t="shared" si="446"/>
        <v>Risk report</v>
      </c>
      <c r="I1448" t="str">
        <f t="shared" si="447"/>
        <v>The risk report explains the overall project risks</v>
      </c>
      <c r="J1448" t="str">
        <f t="shared" si="448"/>
        <v>and provides summaries about the individual</v>
      </c>
      <c r="K1448" t="str">
        <f t="shared" si="449"/>
        <v>project risks.</v>
      </c>
      <c r="L1448" t="str">
        <f t="shared" si="450"/>
        <v/>
      </c>
      <c r="M1448" t="str">
        <f t="shared" si="451"/>
        <v/>
      </c>
      <c r="N1448" t="str">
        <f t="shared" si="452"/>
        <v/>
      </c>
      <c r="O1448" t="str">
        <f t="shared" si="453"/>
        <v/>
      </c>
      <c r="P1448" t="str">
        <f t="shared" si="454"/>
        <v/>
      </c>
      <c r="Q1448" t="str">
        <f t="shared" si="455"/>
        <v/>
      </c>
      <c r="R1448" t="str">
        <f t="shared" si="456"/>
        <v/>
      </c>
      <c r="S1448" t="str">
        <f t="shared" si="457"/>
        <v/>
      </c>
      <c r="T1448" t="str">
        <f t="shared" si="458"/>
        <v/>
      </c>
      <c r="U1448" t="str">
        <f t="shared" si="459"/>
        <v/>
      </c>
      <c r="V1448" t="str">
        <f t="shared" si="460"/>
        <v/>
      </c>
      <c r="W1448" s="71" t="str">
        <f>CONCATENATE(H1448," ",I1448," ",J1448," ",K1448," ",L1448," ",M1448," ",N1448," ",O1448," ",P1448," ",Q1448," ",R1448," ",S1448," ",T1448," ",U1448," ",V1448)</f>
        <v xml:space="preserve">Risk report The risk report explains the overall project risks and provides summaries about the individual project risks.           </v>
      </c>
    </row>
    <row r="1449" spans="1:23" customFormat="1" hidden="1">
      <c r="A1449" t="b">
        <f t="shared" si="442"/>
        <v>0</v>
      </c>
      <c r="B1449">
        <f t="shared" si="444"/>
        <v>1448</v>
      </c>
      <c r="C1449" t="s">
        <v>1243</v>
      </c>
      <c r="D1449" t="s">
        <v>1423</v>
      </c>
      <c r="E1449">
        <f t="shared" si="461"/>
        <v>50</v>
      </c>
      <c r="G1449">
        <f t="shared" si="445"/>
        <v>2</v>
      </c>
      <c r="H1449" t="str">
        <f t="shared" si="446"/>
        <v/>
      </c>
      <c r="I1449" t="str">
        <f t="shared" si="447"/>
        <v/>
      </c>
      <c r="J1449" t="str">
        <f t="shared" si="448"/>
        <v/>
      </c>
      <c r="K1449" t="str">
        <f t="shared" si="449"/>
        <v/>
      </c>
      <c r="L1449" t="str">
        <f t="shared" si="450"/>
        <v/>
      </c>
      <c r="M1449" t="str">
        <f t="shared" si="451"/>
        <v/>
      </c>
      <c r="N1449" t="str">
        <f t="shared" si="452"/>
        <v/>
      </c>
      <c r="O1449" t="str">
        <f t="shared" si="453"/>
        <v/>
      </c>
      <c r="P1449" t="str">
        <f t="shared" si="454"/>
        <v/>
      </c>
      <c r="Q1449" t="str">
        <f t="shared" si="455"/>
        <v/>
      </c>
      <c r="R1449" t="str">
        <f t="shared" si="456"/>
        <v/>
      </c>
      <c r="S1449" t="str">
        <f t="shared" si="457"/>
        <v/>
      </c>
      <c r="T1449" t="str">
        <f t="shared" si="458"/>
        <v/>
      </c>
      <c r="U1449" t="str">
        <f t="shared" si="459"/>
        <v/>
      </c>
      <c r="V1449" t="str">
        <f t="shared" si="460"/>
        <v/>
      </c>
      <c r="W1449" t="str">
        <f t="shared" si="443"/>
        <v xml:space="preserve">              </v>
      </c>
    </row>
    <row r="1450" spans="1:23" customFormat="1" hidden="1">
      <c r="A1450" t="b">
        <f t="shared" si="442"/>
        <v>0</v>
      </c>
      <c r="B1450">
        <f t="shared" si="444"/>
        <v>1449</v>
      </c>
      <c r="C1450" t="s">
        <v>1243</v>
      </c>
      <c r="D1450" t="s">
        <v>1424</v>
      </c>
      <c r="E1450">
        <f t="shared" si="461"/>
        <v>43</v>
      </c>
      <c r="G1450">
        <f t="shared" si="445"/>
        <v>3</v>
      </c>
      <c r="H1450" t="str">
        <f t="shared" si="446"/>
        <v/>
      </c>
      <c r="I1450" t="str">
        <f t="shared" si="447"/>
        <v/>
      </c>
      <c r="J1450" t="str">
        <f t="shared" si="448"/>
        <v/>
      </c>
      <c r="K1450" t="str">
        <f t="shared" si="449"/>
        <v/>
      </c>
      <c r="L1450" t="str">
        <f t="shared" si="450"/>
        <v/>
      </c>
      <c r="M1450" t="str">
        <f t="shared" si="451"/>
        <v/>
      </c>
      <c r="N1450" t="str">
        <f t="shared" si="452"/>
        <v/>
      </c>
      <c r="O1450" t="str">
        <f t="shared" si="453"/>
        <v/>
      </c>
      <c r="P1450" t="str">
        <f t="shared" si="454"/>
        <v/>
      </c>
      <c r="Q1450" t="str">
        <f t="shared" si="455"/>
        <v/>
      </c>
      <c r="R1450" t="str">
        <f t="shared" si="456"/>
        <v/>
      </c>
      <c r="S1450" t="str">
        <f t="shared" si="457"/>
        <v/>
      </c>
      <c r="T1450" t="str">
        <f t="shared" si="458"/>
        <v/>
      </c>
      <c r="U1450" t="str">
        <f t="shared" si="459"/>
        <v/>
      </c>
      <c r="V1450" t="str">
        <f t="shared" si="460"/>
        <v/>
      </c>
      <c r="W1450" t="str">
        <f t="shared" si="443"/>
        <v xml:space="preserve">              </v>
      </c>
    </row>
    <row r="1451" spans="1:23" customFormat="1" hidden="1">
      <c r="A1451" t="b">
        <f t="shared" si="442"/>
        <v>0</v>
      </c>
      <c r="B1451">
        <f t="shared" si="444"/>
        <v>1450</v>
      </c>
      <c r="C1451" t="s">
        <v>1243</v>
      </c>
      <c r="D1451" t="s">
        <v>1425</v>
      </c>
      <c r="E1451">
        <f t="shared" si="461"/>
        <v>14</v>
      </c>
      <c r="G1451">
        <f t="shared" si="445"/>
        <v>4</v>
      </c>
      <c r="H1451" t="str">
        <f t="shared" si="446"/>
        <v/>
      </c>
      <c r="I1451" t="str">
        <f t="shared" si="447"/>
        <v/>
      </c>
      <c r="J1451" t="str">
        <f t="shared" si="448"/>
        <v/>
      </c>
      <c r="K1451" t="str">
        <f t="shared" si="449"/>
        <v/>
      </c>
      <c r="L1451" t="str">
        <f t="shared" si="450"/>
        <v/>
      </c>
      <c r="M1451" t="str">
        <f t="shared" si="451"/>
        <v/>
      </c>
      <c r="N1451" t="str">
        <f t="shared" si="452"/>
        <v/>
      </c>
      <c r="O1451" t="str">
        <f t="shared" si="453"/>
        <v/>
      </c>
      <c r="P1451" t="str">
        <f t="shared" si="454"/>
        <v/>
      </c>
      <c r="Q1451" t="str">
        <f t="shared" si="455"/>
        <v/>
      </c>
      <c r="R1451" t="str">
        <f t="shared" si="456"/>
        <v/>
      </c>
      <c r="S1451" t="str">
        <f t="shared" si="457"/>
        <v/>
      </c>
      <c r="T1451" t="str">
        <f t="shared" si="458"/>
        <v/>
      </c>
      <c r="U1451" t="str">
        <f t="shared" si="459"/>
        <v/>
      </c>
      <c r="V1451" t="str">
        <f t="shared" si="460"/>
        <v/>
      </c>
      <c r="W1451" t="str">
        <f t="shared" si="443"/>
        <v xml:space="preserve">              </v>
      </c>
    </row>
    <row r="1452" spans="1:23" hidden="1">
      <c r="A1452" s="71" t="b">
        <f t="shared" si="442"/>
        <v>0</v>
      </c>
      <c r="B1452" s="71">
        <f t="shared" si="444"/>
        <v>1451</v>
      </c>
      <c r="C1452" s="71" t="s">
        <v>1243</v>
      </c>
      <c r="D1452" s="71" t="s">
        <v>1426</v>
      </c>
      <c r="E1452">
        <f t="shared" si="461"/>
        <v>19</v>
      </c>
      <c r="F1452">
        <v>1</v>
      </c>
      <c r="G1452">
        <f t="shared" si="445"/>
        <v>1</v>
      </c>
      <c r="H1452" t="str">
        <f t="shared" si="446"/>
        <v>Risk response audit</v>
      </c>
      <c r="I1452" t="str">
        <f t="shared" si="447"/>
        <v>An audit to test the validity of the established risk</v>
      </c>
      <c r="J1452" t="str">
        <f t="shared" si="448"/>
        <v>responses.</v>
      </c>
      <c r="K1452" t="str">
        <f t="shared" si="449"/>
        <v/>
      </c>
      <c r="L1452" t="str">
        <f t="shared" si="450"/>
        <v/>
      </c>
      <c r="M1452" t="str">
        <f t="shared" si="451"/>
        <v/>
      </c>
      <c r="N1452" t="str">
        <f t="shared" si="452"/>
        <v/>
      </c>
      <c r="O1452" t="str">
        <f t="shared" si="453"/>
        <v/>
      </c>
      <c r="P1452" t="str">
        <f t="shared" si="454"/>
        <v/>
      </c>
      <c r="Q1452" t="str">
        <f t="shared" si="455"/>
        <v/>
      </c>
      <c r="R1452" t="str">
        <f t="shared" si="456"/>
        <v/>
      </c>
      <c r="S1452" t="str">
        <f t="shared" si="457"/>
        <v/>
      </c>
      <c r="T1452" t="str">
        <f t="shared" si="458"/>
        <v/>
      </c>
      <c r="U1452" t="str">
        <f t="shared" si="459"/>
        <v/>
      </c>
      <c r="V1452" t="str">
        <f t="shared" si="460"/>
        <v/>
      </c>
      <c r="W1452" s="71" t="str">
        <f>CONCATENATE(H1452," ",I1452," ",J1452," ",K1452," ",L1452," ",M1452," ",N1452," ",O1452," ",P1452," ",Q1452," ",R1452," ",S1452," ",T1452," ",U1452," ",V1452)</f>
        <v xml:space="preserve">Risk response audit An audit to test the validity of the established risk responses.            </v>
      </c>
    </row>
    <row r="1453" spans="1:23" customFormat="1" hidden="1">
      <c r="A1453" t="b">
        <f t="shared" si="442"/>
        <v>0</v>
      </c>
      <c r="B1453">
        <f t="shared" si="444"/>
        <v>1452</v>
      </c>
      <c r="C1453" t="s">
        <v>1243</v>
      </c>
      <c r="D1453" t="s">
        <v>1427</v>
      </c>
      <c r="E1453">
        <f t="shared" si="461"/>
        <v>53</v>
      </c>
      <c r="G1453">
        <f t="shared" si="445"/>
        <v>2</v>
      </c>
      <c r="H1453" t="str">
        <f t="shared" si="446"/>
        <v/>
      </c>
      <c r="I1453" t="str">
        <f t="shared" si="447"/>
        <v/>
      </c>
      <c r="J1453" t="str">
        <f t="shared" si="448"/>
        <v/>
      </c>
      <c r="K1453" t="str">
        <f t="shared" si="449"/>
        <v/>
      </c>
      <c r="L1453" t="str">
        <f t="shared" si="450"/>
        <v/>
      </c>
      <c r="M1453" t="str">
        <f t="shared" si="451"/>
        <v/>
      </c>
      <c r="N1453" t="str">
        <f t="shared" si="452"/>
        <v/>
      </c>
      <c r="O1453" t="str">
        <f t="shared" si="453"/>
        <v/>
      </c>
      <c r="P1453" t="str">
        <f t="shared" si="454"/>
        <v/>
      </c>
      <c r="Q1453" t="str">
        <f t="shared" si="455"/>
        <v/>
      </c>
      <c r="R1453" t="str">
        <f t="shared" si="456"/>
        <v/>
      </c>
      <c r="S1453" t="str">
        <f t="shared" si="457"/>
        <v/>
      </c>
      <c r="T1453" t="str">
        <f t="shared" si="458"/>
        <v/>
      </c>
      <c r="U1453" t="str">
        <f t="shared" si="459"/>
        <v/>
      </c>
      <c r="V1453" t="str">
        <f t="shared" si="460"/>
        <v/>
      </c>
      <c r="W1453" t="str">
        <f t="shared" si="443"/>
        <v xml:space="preserve">              </v>
      </c>
    </row>
    <row r="1454" spans="1:23" customFormat="1" hidden="1">
      <c r="A1454" t="b">
        <f t="shared" si="442"/>
        <v>0</v>
      </c>
      <c r="B1454">
        <f t="shared" si="444"/>
        <v>1453</v>
      </c>
      <c r="C1454" t="s">
        <v>1243</v>
      </c>
      <c r="D1454" t="s">
        <v>1428</v>
      </c>
      <c r="E1454">
        <f t="shared" si="461"/>
        <v>10</v>
      </c>
      <c r="G1454">
        <f t="shared" si="445"/>
        <v>3</v>
      </c>
      <c r="H1454" t="str">
        <f t="shared" si="446"/>
        <v/>
      </c>
      <c r="I1454" t="str">
        <f t="shared" si="447"/>
        <v/>
      </c>
      <c r="J1454" t="str">
        <f t="shared" si="448"/>
        <v/>
      </c>
      <c r="K1454" t="str">
        <f t="shared" si="449"/>
        <v/>
      </c>
      <c r="L1454" t="str">
        <f t="shared" si="450"/>
        <v/>
      </c>
      <c r="M1454" t="str">
        <f t="shared" si="451"/>
        <v/>
      </c>
      <c r="N1454" t="str">
        <f t="shared" si="452"/>
        <v/>
      </c>
      <c r="O1454" t="str">
        <f t="shared" si="453"/>
        <v/>
      </c>
      <c r="P1454" t="str">
        <f t="shared" si="454"/>
        <v/>
      </c>
      <c r="Q1454" t="str">
        <f t="shared" si="455"/>
        <v/>
      </c>
      <c r="R1454" t="str">
        <f t="shared" si="456"/>
        <v/>
      </c>
      <c r="S1454" t="str">
        <f t="shared" si="457"/>
        <v/>
      </c>
      <c r="T1454" t="str">
        <f t="shared" si="458"/>
        <v/>
      </c>
      <c r="U1454" t="str">
        <f t="shared" si="459"/>
        <v/>
      </c>
      <c r="V1454" t="str">
        <f t="shared" si="460"/>
        <v/>
      </c>
      <c r="W1454" t="str">
        <f t="shared" si="443"/>
        <v xml:space="preserve">              </v>
      </c>
    </row>
    <row r="1455" spans="1:23" hidden="1">
      <c r="A1455" s="71" t="b">
        <f t="shared" si="442"/>
        <v>0</v>
      </c>
      <c r="B1455" s="71">
        <f t="shared" si="444"/>
        <v>1454</v>
      </c>
      <c r="C1455" s="71" t="s">
        <v>1243</v>
      </c>
      <c r="D1455" s="71" t="s">
        <v>1429</v>
      </c>
      <c r="E1455">
        <f t="shared" si="461"/>
        <v>21</v>
      </c>
      <c r="F1455">
        <v>1</v>
      </c>
      <c r="G1455">
        <f t="shared" si="445"/>
        <v>1</v>
      </c>
      <c r="H1455" t="str">
        <f t="shared" si="446"/>
        <v>Risk responsibilities</v>
      </c>
      <c r="I1455" t="str">
        <f t="shared" si="447"/>
        <v>The level of ownership an individual or entity has</v>
      </c>
      <c r="J1455" t="str">
        <f t="shared" si="448"/>
        <v>over a project risk.</v>
      </c>
      <c r="K1455" t="str">
        <f t="shared" si="449"/>
        <v/>
      </c>
      <c r="L1455" t="str">
        <f t="shared" si="450"/>
        <v/>
      </c>
      <c r="M1455" t="str">
        <f t="shared" si="451"/>
        <v/>
      </c>
      <c r="N1455" t="str">
        <f t="shared" si="452"/>
        <v/>
      </c>
      <c r="O1455" t="str">
        <f t="shared" si="453"/>
        <v/>
      </c>
      <c r="P1455" t="str">
        <f t="shared" si="454"/>
        <v/>
      </c>
      <c r="Q1455" t="str">
        <f t="shared" si="455"/>
        <v/>
      </c>
      <c r="R1455" t="str">
        <f t="shared" si="456"/>
        <v/>
      </c>
      <c r="S1455" t="str">
        <f t="shared" si="457"/>
        <v/>
      </c>
      <c r="T1455" t="str">
        <f t="shared" si="458"/>
        <v/>
      </c>
      <c r="U1455" t="str">
        <f t="shared" si="459"/>
        <v/>
      </c>
      <c r="V1455" t="str">
        <f t="shared" si="460"/>
        <v/>
      </c>
      <c r="W1455" s="71" t="str">
        <f>CONCATENATE(H1455," ",I1455," ",J1455," ",K1455," ",L1455," ",M1455," ",N1455," ",O1455," ",P1455," ",Q1455," ",R1455," ",S1455," ",T1455," ",U1455," ",V1455)</f>
        <v xml:space="preserve">Risk responsibilities The level of ownership an individual or entity has over a project risk.            </v>
      </c>
    </row>
    <row r="1456" spans="1:23" customFormat="1" hidden="1">
      <c r="A1456" t="b">
        <f t="shared" si="442"/>
        <v>0</v>
      </c>
      <c r="B1456">
        <f t="shared" si="444"/>
        <v>1455</v>
      </c>
      <c r="C1456" t="s">
        <v>1243</v>
      </c>
      <c r="D1456" t="s">
        <v>1430</v>
      </c>
      <c r="E1456">
        <f t="shared" si="461"/>
        <v>50</v>
      </c>
      <c r="G1456">
        <f t="shared" si="445"/>
        <v>2</v>
      </c>
      <c r="H1456" t="str">
        <f t="shared" si="446"/>
        <v/>
      </c>
      <c r="I1456" t="str">
        <f t="shared" si="447"/>
        <v/>
      </c>
      <c r="J1456" t="str">
        <f t="shared" si="448"/>
        <v/>
      </c>
      <c r="K1456" t="str">
        <f t="shared" si="449"/>
        <v/>
      </c>
      <c r="L1456" t="str">
        <f t="shared" si="450"/>
        <v/>
      </c>
      <c r="M1456" t="str">
        <f t="shared" si="451"/>
        <v/>
      </c>
      <c r="N1456" t="str">
        <f t="shared" si="452"/>
        <v/>
      </c>
      <c r="O1456" t="str">
        <f t="shared" si="453"/>
        <v/>
      </c>
      <c r="P1456" t="str">
        <f t="shared" si="454"/>
        <v/>
      </c>
      <c r="Q1456" t="str">
        <f t="shared" si="455"/>
        <v/>
      </c>
      <c r="R1456" t="str">
        <f t="shared" si="456"/>
        <v/>
      </c>
      <c r="S1456" t="str">
        <f t="shared" si="457"/>
        <v/>
      </c>
      <c r="T1456" t="str">
        <f t="shared" si="458"/>
        <v/>
      </c>
      <c r="U1456" t="str">
        <f t="shared" si="459"/>
        <v/>
      </c>
      <c r="V1456" t="str">
        <f t="shared" si="460"/>
        <v/>
      </c>
      <c r="W1456" t="str">
        <f t="shared" si="443"/>
        <v xml:space="preserve">              </v>
      </c>
    </row>
    <row r="1457" spans="1:23" customFormat="1" hidden="1">
      <c r="A1457" t="b">
        <f t="shared" si="442"/>
        <v>0</v>
      </c>
      <c r="B1457">
        <f t="shared" si="444"/>
        <v>1456</v>
      </c>
      <c r="C1457" t="s">
        <v>1243</v>
      </c>
      <c r="D1457" t="s">
        <v>1431</v>
      </c>
      <c r="E1457">
        <f t="shared" si="461"/>
        <v>20</v>
      </c>
      <c r="G1457">
        <f t="shared" si="445"/>
        <v>3</v>
      </c>
      <c r="H1457" t="str">
        <f t="shared" si="446"/>
        <v/>
      </c>
      <c r="I1457" t="str">
        <f t="shared" si="447"/>
        <v/>
      </c>
      <c r="J1457" t="str">
        <f t="shared" si="448"/>
        <v/>
      </c>
      <c r="K1457" t="str">
        <f t="shared" si="449"/>
        <v/>
      </c>
      <c r="L1457" t="str">
        <f t="shared" si="450"/>
        <v/>
      </c>
      <c r="M1457" t="str">
        <f t="shared" si="451"/>
        <v/>
      </c>
      <c r="N1457" t="str">
        <f t="shared" si="452"/>
        <v/>
      </c>
      <c r="O1457" t="str">
        <f t="shared" si="453"/>
        <v/>
      </c>
      <c r="P1457" t="str">
        <f t="shared" si="454"/>
        <v/>
      </c>
      <c r="Q1457" t="str">
        <f t="shared" si="455"/>
        <v/>
      </c>
      <c r="R1457" t="str">
        <f t="shared" si="456"/>
        <v/>
      </c>
      <c r="S1457" t="str">
        <f t="shared" si="457"/>
        <v/>
      </c>
      <c r="T1457" t="str">
        <f t="shared" si="458"/>
        <v/>
      </c>
      <c r="U1457" t="str">
        <f t="shared" si="459"/>
        <v/>
      </c>
      <c r="V1457" t="str">
        <f t="shared" si="460"/>
        <v/>
      </c>
      <c r="W1457" t="str">
        <f t="shared" si="443"/>
        <v xml:space="preserve">              </v>
      </c>
    </row>
    <row r="1458" spans="1:23" hidden="1">
      <c r="A1458" s="71" t="b">
        <f t="shared" si="442"/>
        <v>0</v>
      </c>
      <c r="B1458" s="71">
        <f t="shared" si="444"/>
        <v>1457</v>
      </c>
      <c r="C1458" s="71" t="s">
        <v>1243</v>
      </c>
      <c r="D1458" s="71" t="s">
        <v>1432</v>
      </c>
      <c r="E1458">
        <f t="shared" si="461"/>
        <v>10</v>
      </c>
      <c r="F1458">
        <v>1</v>
      </c>
      <c r="G1458">
        <f t="shared" si="445"/>
        <v>1</v>
      </c>
      <c r="H1458" t="str">
        <f t="shared" si="446"/>
        <v>Risk score</v>
      </c>
      <c r="I1458" t="str">
        <f t="shared" si="447"/>
        <v>The calculated score based on each risk’s</v>
      </c>
      <c r="J1458" t="str">
        <f t="shared" si="448"/>
        <v>probability and impact. The approach can be</v>
      </c>
      <c r="K1458" t="str">
        <f t="shared" si="449"/>
        <v>used in both qualitative and quantitative risk</v>
      </c>
      <c r="L1458" t="str">
        <f t="shared" si="450"/>
        <v>analysis.</v>
      </c>
      <c r="M1458" t="str">
        <f t="shared" si="451"/>
        <v/>
      </c>
      <c r="N1458" t="str">
        <f t="shared" si="452"/>
        <v/>
      </c>
      <c r="O1458" t="str">
        <f t="shared" si="453"/>
        <v/>
      </c>
      <c r="P1458" t="str">
        <f t="shared" si="454"/>
        <v/>
      </c>
      <c r="Q1458" t="str">
        <f t="shared" si="455"/>
        <v/>
      </c>
      <c r="R1458" t="str">
        <f t="shared" si="456"/>
        <v/>
      </c>
      <c r="S1458" t="str">
        <f t="shared" si="457"/>
        <v/>
      </c>
      <c r="T1458" t="str">
        <f t="shared" si="458"/>
        <v/>
      </c>
      <c r="U1458" t="str">
        <f t="shared" si="459"/>
        <v/>
      </c>
      <c r="V1458" t="str">
        <f t="shared" si="460"/>
        <v/>
      </c>
      <c r="W1458" s="71" t="str">
        <f>CONCATENATE(H1458," ",I1458," ",J1458," ",K1458," ",L1458," ",M1458," ",N1458," ",O1458," ",P1458," ",Q1458," ",R1458," ",S1458," ",T1458," ",U1458," ",V1458)</f>
        <v xml:space="preserve">Risk score The calculated score based on each risk’s probability and impact. The approach can be used in both qualitative and quantitative risk analysis.          </v>
      </c>
    </row>
    <row r="1459" spans="1:23" customFormat="1" hidden="1">
      <c r="A1459" t="b">
        <f t="shared" si="442"/>
        <v>0</v>
      </c>
      <c r="B1459">
        <f t="shared" si="444"/>
        <v>1458</v>
      </c>
      <c r="C1459" t="s">
        <v>1243</v>
      </c>
      <c r="D1459" t="s">
        <v>1433</v>
      </c>
      <c r="E1459">
        <f t="shared" si="461"/>
        <v>41</v>
      </c>
      <c r="G1459">
        <f t="shared" si="445"/>
        <v>2</v>
      </c>
      <c r="H1459" t="str">
        <f t="shared" si="446"/>
        <v/>
      </c>
      <c r="I1459" t="str">
        <f t="shared" si="447"/>
        <v/>
      </c>
      <c r="J1459" t="str">
        <f t="shared" si="448"/>
        <v/>
      </c>
      <c r="K1459" t="str">
        <f t="shared" si="449"/>
        <v/>
      </c>
      <c r="L1459" t="str">
        <f t="shared" si="450"/>
        <v/>
      </c>
      <c r="M1459" t="str">
        <f t="shared" si="451"/>
        <v/>
      </c>
      <c r="N1459" t="str">
        <f t="shared" si="452"/>
        <v/>
      </c>
      <c r="O1459" t="str">
        <f t="shared" si="453"/>
        <v/>
      </c>
      <c r="P1459" t="str">
        <f t="shared" si="454"/>
        <v/>
      </c>
      <c r="Q1459" t="str">
        <f t="shared" si="455"/>
        <v/>
      </c>
      <c r="R1459" t="str">
        <f t="shared" si="456"/>
        <v/>
      </c>
      <c r="S1459" t="str">
        <f t="shared" si="457"/>
        <v/>
      </c>
      <c r="T1459" t="str">
        <f t="shared" si="458"/>
        <v/>
      </c>
      <c r="U1459" t="str">
        <f t="shared" si="459"/>
        <v/>
      </c>
      <c r="V1459" t="str">
        <f t="shared" si="460"/>
        <v/>
      </c>
      <c r="W1459" t="str">
        <f t="shared" si="443"/>
        <v xml:space="preserve">              </v>
      </c>
    </row>
    <row r="1460" spans="1:23" customFormat="1" hidden="1">
      <c r="A1460" t="b">
        <f t="shared" si="442"/>
        <v>0</v>
      </c>
      <c r="B1460">
        <f t="shared" si="444"/>
        <v>1459</v>
      </c>
      <c r="C1460" t="s">
        <v>1243</v>
      </c>
      <c r="D1460" t="s">
        <v>1434</v>
      </c>
      <c r="E1460">
        <f t="shared" si="461"/>
        <v>43</v>
      </c>
      <c r="G1460">
        <f t="shared" si="445"/>
        <v>3</v>
      </c>
      <c r="H1460" t="str">
        <f t="shared" si="446"/>
        <v/>
      </c>
      <c r="I1460" t="str">
        <f t="shared" si="447"/>
        <v/>
      </c>
      <c r="J1460" t="str">
        <f t="shared" si="448"/>
        <v/>
      </c>
      <c r="K1460" t="str">
        <f t="shared" si="449"/>
        <v/>
      </c>
      <c r="L1460" t="str">
        <f t="shared" si="450"/>
        <v/>
      </c>
      <c r="M1460" t="str">
        <f t="shared" si="451"/>
        <v/>
      </c>
      <c r="N1460" t="str">
        <f t="shared" si="452"/>
        <v/>
      </c>
      <c r="O1460" t="str">
        <f t="shared" si="453"/>
        <v/>
      </c>
      <c r="P1460" t="str">
        <f t="shared" si="454"/>
        <v/>
      </c>
      <c r="Q1460" t="str">
        <f t="shared" si="455"/>
        <v/>
      </c>
      <c r="R1460" t="str">
        <f t="shared" si="456"/>
        <v/>
      </c>
      <c r="S1460" t="str">
        <f t="shared" si="457"/>
        <v/>
      </c>
      <c r="T1460" t="str">
        <f t="shared" si="458"/>
        <v/>
      </c>
      <c r="U1460" t="str">
        <f t="shared" si="459"/>
        <v/>
      </c>
      <c r="V1460" t="str">
        <f t="shared" si="460"/>
        <v/>
      </c>
      <c r="W1460" t="str">
        <f t="shared" si="443"/>
        <v xml:space="preserve">              </v>
      </c>
    </row>
    <row r="1461" spans="1:23" customFormat="1" hidden="1">
      <c r="A1461" t="b">
        <f t="shared" si="442"/>
        <v>0</v>
      </c>
      <c r="B1461">
        <f t="shared" si="444"/>
        <v>1460</v>
      </c>
      <c r="C1461" t="s">
        <v>1243</v>
      </c>
      <c r="D1461" t="s">
        <v>1435</v>
      </c>
      <c r="E1461">
        <f t="shared" si="461"/>
        <v>46</v>
      </c>
      <c r="G1461">
        <f t="shared" si="445"/>
        <v>4</v>
      </c>
      <c r="H1461" t="str">
        <f t="shared" si="446"/>
        <v/>
      </c>
      <c r="I1461" t="str">
        <f t="shared" si="447"/>
        <v/>
      </c>
      <c r="J1461" t="str">
        <f t="shared" si="448"/>
        <v/>
      </c>
      <c r="K1461" t="str">
        <f t="shared" si="449"/>
        <v/>
      </c>
      <c r="L1461" t="str">
        <f t="shared" si="450"/>
        <v/>
      </c>
      <c r="M1461" t="str">
        <f t="shared" si="451"/>
        <v/>
      </c>
      <c r="N1461" t="str">
        <f t="shared" si="452"/>
        <v/>
      </c>
      <c r="O1461" t="str">
        <f t="shared" si="453"/>
        <v/>
      </c>
      <c r="P1461" t="str">
        <f t="shared" si="454"/>
        <v/>
      </c>
      <c r="Q1461" t="str">
        <f t="shared" si="455"/>
        <v/>
      </c>
      <c r="R1461" t="str">
        <f t="shared" si="456"/>
        <v/>
      </c>
      <c r="S1461" t="str">
        <f t="shared" si="457"/>
        <v/>
      </c>
      <c r="T1461" t="str">
        <f t="shared" si="458"/>
        <v/>
      </c>
      <c r="U1461" t="str">
        <f t="shared" si="459"/>
        <v/>
      </c>
      <c r="V1461" t="str">
        <f t="shared" si="460"/>
        <v/>
      </c>
      <c r="W1461" t="str">
        <f t="shared" si="443"/>
        <v xml:space="preserve">              </v>
      </c>
    </row>
    <row r="1462" spans="1:23" customFormat="1" hidden="1">
      <c r="A1462" t="b">
        <f t="shared" si="442"/>
        <v>0</v>
      </c>
      <c r="B1462">
        <f t="shared" si="444"/>
        <v>1461</v>
      </c>
      <c r="C1462" t="s">
        <v>1243</v>
      </c>
      <c r="D1462" t="s">
        <v>1436</v>
      </c>
      <c r="E1462">
        <f t="shared" si="461"/>
        <v>9</v>
      </c>
      <c r="G1462">
        <f t="shared" si="445"/>
        <v>5</v>
      </c>
      <c r="H1462" t="str">
        <f t="shared" si="446"/>
        <v/>
      </c>
      <c r="I1462" t="str">
        <f t="shared" si="447"/>
        <v/>
      </c>
      <c r="J1462" t="str">
        <f t="shared" si="448"/>
        <v/>
      </c>
      <c r="K1462" t="str">
        <f t="shared" si="449"/>
        <v/>
      </c>
      <c r="L1462" t="str">
        <f t="shared" si="450"/>
        <v/>
      </c>
      <c r="M1462" t="str">
        <f t="shared" si="451"/>
        <v/>
      </c>
      <c r="N1462" t="str">
        <f t="shared" si="452"/>
        <v/>
      </c>
      <c r="O1462" t="str">
        <f t="shared" si="453"/>
        <v/>
      </c>
      <c r="P1462" t="str">
        <f t="shared" si="454"/>
        <v/>
      </c>
      <c r="Q1462" t="str">
        <f t="shared" si="455"/>
        <v/>
      </c>
      <c r="R1462" t="str">
        <f t="shared" si="456"/>
        <v/>
      </c>
      <c r="S1462" t="str">
        <f t="shared" si="457"/>
        <v/>
      </c>
      <c r="T1462" t="str">
        <f t="shared" si="458"/>
        <v/>
      </c>
      <c r="U1462" t="str">
        <f t="shared" si="459"/>
        <v/>
      </c>
      <c r="V1462" t="str">
        <f t="shared" si="460"/>
        <v/>
      </c>
      <c r="W1462" t="str">
        <f t="shared" si="443"/>
        <v xml:space="preserve">              </v>
      </c>
    </row>
    <row r="1463" spans="1:23" hidden="1">
      <c r="A1463" s="71" t="b">
        <f t="shared" si="442"/>
        <v>0</v>
      </c>
      <c r="B1463" s="71">
        <f t="shared" si="444"/>
        <v>1462</v>
      </c>
      <c r="C1463" s="71" t="s">
        <v>1243</v>
      </c>
      <c r="D1463" s="71" t="s">
        <v>1437</v>
      </c>
      <c r="E1463">
        <f t="shared" si="461"/>
        <v>25</v>
      </c>
      <c r="F1463">
        <v>1</v>
      </c>
      <c r="G1463">
        <f t="shared" si="445"/>
        <v>1</v>
      </c>
      <c r="H1463" t="str">
        <f t="shared" si="446"/>
        <v>Root cause identification</v>
      </c>
      <c r="I1463" t="str">
        <f t="shared" si="447"/>
        <v>Root cause identification aims to find out why a</v>
      </c>
      <c r="J1463" t="str">
        <f t="shared" si="448"/>
        <v>risk event may be occurring, the causal factors for</v>
      </c>
      <c r="K1463" t="str">
        <f t="shared" si="449"/>
        <v>the risk events, and then, eventually, how the</v>
      </c>
      <c r="L1463" t="str">
        <f t="shared" si="450"/>
        <v>events can be mitigated or eliminated.</v>
      </c>
      <c r="M1463" t="str">
        <f t="shared" si="451"/>
        <v/>
      </c>
      <c r="N1463" t="str">
        <f t="shared" si="452"/>
        <v/>
      </c>
      <c r="O1463" t="str">
        <f t="shared" si="453"/>
        <v/>
      </c>
      <c r="P1463" t="str">
        <f t="shared" si="454"/>
        <v/>
      </c>
      <c r="Q1463" t="str">
        <f t="shared" si="455"/>
        <v/>
      </c>
      <c r="R1463" t="str">
        <f t="shared" si="456"/>
        <v/>
      </c>
      <c r="S1463" t="str">
        <f t="shared" si="457"/>
        <v/>
      </c>
      <c r="T1463" t="str">
        <f t="shared" si="458"/>
        <v/>
      </c>
      <c r="U1463" t="str">
        <f t="shared" si="459"/>
        <v/>
      </c>
      <c r="V1463" t="str">
        <f t="shared" si="460"/>
        <v/>
      </c>
      <c r="W1463" s="71" t="str">
        <f>CONCATENATE(H1463," ",I1463," ",J1463," ",K1463," ",L1463," ",M1463," ",N1463," ",O1463," ",P1463," ",Q1463," ",R1463," ",S1463," ",T1463," ",U1463," ",V1463)</f>
        <v xml:space="preserve">Root cause identification Root cause identification aims to find out why a risk event may be occurring, the causal factors for the risk events, and then, eventually, how the events can be mitigated or eliminated.          </v>
      </c>
    </row>
    <row r="1464" spans="1:23" customFormat="1" hidden="1">
      <c r="A1464" t="b">
        <f t="shared" si="442"/>
        <v>0</v>
      </c>
      <c r="B1464">
        <f t="shared" si="444"/>
        <v>1463</v>
      </c>
      <c r="C1464" t="s">
        <v>1243</v>
      </c>
      <c r="D1464" t="s">
        <v>1438</v>
      </c>
      <c r="E1464">
        <f t="shared" si="461"/>
        <v>48</v>
      </c>
      <c r="G1464">
        <f t="shared" si="445"/>
        <v>2</v>
      </c>
      <c r="H1464" t="str">
        <f t="shared" si="446"/>
        <v/>
      </c>
      <c r="I1464" t="str">
        <f t="shared" si="447"/>
        <v/>
      </c>
      <c r="J1464" t="str">
        <f t="shared" si="448"/>
        <v/>
      </c>
      <c r="K1464" t="str">
        <f t="shared" si="449"/>
        <v/>
      </c>
      <c r="L1464" t="str">
        <f t="shared" si="450"/>
        <v/>
      </c>
      <c r="M1464" t="str">
        <f t="shared" si="451"/>
        <v/>
      </c>
      <c r="N1464" t="str">
        <f t="shared" si="452"/>
        <v/>
      </c>
      <c r="O1464" t="str">
        <f t="shared" si="453"/>
        <v/>
      </c>
      <c r="P1464" t="str">
        <f t="shared" si="454"/>
        <v/>
      </c>
      <c r="Q1464" t="str">
        <f t="shared" si="455"/>
        <v/>
      </c>
      <c r="R1464" t="str">
        <f t="shared" si="456"/>
        <v/>
      </c>
      <c r="S1464" t="str">
        <f t="shared" si="457"/>
        <v/>
      </c>
      <c r="T1464" t="str">
        <f t="shared" si="458"/>
        <v/>
      </c>
      <c r="U1464" t="str">
        <f t="shared" si="459"/>
        <v/>
      </c>
      <c r="V1464" t="str">
        <f t="shared" si="460"/>
        <v/>
      </c>
      <c r="W1464" t="str">
        <f t="shared" si="443"/>
        <v xml:space="preserve">              </v>
      </c>
    </row>
    <row r="1465" spans="1:23" customFormat="1" hidden="1">
      <c r="A1465" t="b">
        <f t="shared" si="442"/>
        <v>0</v>
      </c>
      <c r="B1465">
        <f t="shared" si="444"/>
        <v>1464</v>
      </c>
      <c r="C1465" t="s">
        <v>1243</v>
      </c>
      <c r="D1465" t="s">
        <v>1439</v>
      </c>
      <c r="E1465">
        <f t="shared" si="461"/>
        <v>51</v>
      </c>
      <c r="G1465">
        <f t="shared" si="445"/>
        <v>3</v>
      </c>
      <c r="H1465" t="str">
        <f t="shared" si="446"/>
        <v/>
      </c>
      <c r="I1465" t="str">
        <f t="shared" si="447"/>
        <v/>
      </c>
      <c r="J1465" t="str">
        <f t="shared" si="448"/>
        <v/>
      </c>
      <c r="K1465" t="str">
        <f t="shared" si="449"/>
        <v/>
      </c>
      <c r="L1465" t="str">
        <f t="shared" si="450"/>
        <v/>
      </c>
      <c r="M1465" t="str">
        <f t="shared" si="451"/>
        <v/>
      </c>
      <c r="N1465" t="str">
        <f t="shared" si="452"/>
        <v/>
      </c>
      <c r="O1465" t="str">
        <f t="shared" si="453"/>
        <v/>
      </c>
      <c r="P1465" t="str">
        <f t="shared" si="454"/>
        <v/>
      </c>
      <c r="Q1465" t="str">
        <f t="shared" si="455"/>
        <v/>
      </c>
      <c r="R1465" t="str">
        <f t="shared" si="456"/>
        <v/>
      </c>
      <c r="S1465" t="str">
        <f t="shared" si="457"/>
        <v/>
      </c>
      <c r="T1465" t="str">
        <f t="shared" si="458"/>
        <v/>
      </c>
      <c r="U1465" t="str">
        <f t="shared" si="459"/>
        <v/>
      </c>
      <c r="V1465" t="str">
        <f t="shared" si="460"/>
        <v/>
      </c>
      <c r="W1465" t="str">
        <f t="shared" si="443"/>
        <v xml:space="preserve">              </v>
      </c>
    </row>
    <row r="1466" spans="1:23" customFormat="1" hidden="1">
      <c r="A1466" t="b">
        <f t="shared" si="442"/>
        <v>0</v>
      </c>
      <c r="B1466">
        <f t="shared" si="444"/>
        <v>1465</v>
      </c>
      <c r="C1466" t="s">
        <v>1243</v>
      </c>
      <c r="D1466" t="s">
        <v>1440</v>
      </c>
      <c r="E1466">
        <f t="shared" si="461"/>
        <v>46</v>
      </c>
      <c r="G1466">
        <f t="shared" si="445"/>
        <v>4</v>
      </c>
      <c r="H1466" t="str">
        <f t="shared" si="446"/>
        <v/>
      </c>
      <c r="I1466" t="str">
        <f t="shared" si="447"/>
        <v/>
      </c>
      <c r="J1466" t="str">
        <f t="shared" si="448"/>
        <v/>
      </c>
      <c r="K1466" t="str">
        <f t="shared" si="449"/>
        <v/>
      </c>
      <c r="L1466" t="str">
        <f t="shared" si="450"/>
        <v/>
      </c>
      <c r="M1466" t="str">
        <f t="shared" si="451"/>
        <v/>
      </c>
      <c r="N1466" t="str">
        <f t="shared" si="452"/>
        <v/>
      </c>
      <c r="O1466" t="str">
        <f t="shared" si="453"/>
        <v/>
      </c>
      <c r="P1466" t="str">
        <f t="shared" si="454"/>
        <v/>
      </c>
      <c r="Q1466" t="str">
        <f t="shared" si="455"/>
        <v/>
      </c>
      <c r="R1466" t="str">
        <f t="shared" si="456"/>
        <v/>
      </c>
      <c r="S1466" t="str">
        <f t="shared" si="457"/>
        <v/>
      </c>
      <c r="T1466" t="str">
        <f t="shared" si="458"/>
        <v/>
      </c>
      <c r="U1466" t="str">
        <f t="shared" si="459"/>
        <v/>
      </c>
      <c r="V1466" t="str">
        <f t="shared" si="460"/>
        <v/>
      </c>
      <c r="W1466" t="str">
        <f t="shared" si="443"/>
        <v xml:space="preserve">              </v>
      </c>
    </row>
    <row r="1467" spans="1:23" customFormat="1" hidden="1">
      <c r="A1467" t="b">
        <f t="shared" si="442"/>
        <v>0</v>
      </c>
      <c r="B1467">
        <f t="shared" si="444"/>
        <v>1466</v>
      </c>
      <c r="C1467" t="s">
        <v>1243</v>
      </c>
      <c r="D1467" t="s">
        <v>1441</v>
      </c>
      <c r="E1467">
        <f t="shared" si="461"/>
        <v>38</v>
      </c>
      <c r="G1467">
        <f t="shared" si="445"/>
        <v>5</v>
      </c>
      <c r="H1467" t="str">
        <f t="shared" si="446"/>
        <v/>
      </c>
      <c r="I1467" t="str">
        <f t="shared" si="447"/>
        <v/>
      </c>
      <c r="J1467" t="str">
        <f t="shared" si="448"/>
        <v/>
      </c>
      <c r="K1467" t="str">
        <f t="shared" si="449"/>
        <v/>
      </c>
      <c r="L1467" t="str">
        <f t="shared" si="450"/>
        <v/>
      </c>
      <c r="M1467" t="str">
        <f t="shared" si="451"/>
        <v/>
      </c>
      <c r="N1467" t="str">
        <f t="shared" si="452"/>
        <v/>
      </c>
      <c r="O1467" t="str">
        <f t="shared" si="453"/>
        <v/>
      </c>
      <c r="P1467" t="str">
        <f t="shared" si="454"/>
        <v/>
      </c>
      <c r="Q1467" t="str">
        <f t="shared" si="455"/>
        <v/>
      </c>
      <c r="R1467" t="str">
        <f t="shared" si="456"/>
        <v/>
      </c>
      <c r="S1467" t="str">
        <f t="shared" si="457"/>
        <v/>
      </c>
      <c r="T1467" t="str">
        <f t="shared" si="458"/>
        <v/>
      </c>
      <c r="U1467" t="str">
        <f t="shared" si="459"/>
        <v/>
      </c>
      <c r="V1467" t="str">
        <f t="shared" si="460"/>
        <v/>
      </c>
      <c r="W1467" t="str">
        <f t="shared" si="443"/>
        <v xml:space="preserve">              </v>
      </c>
    </row>
    <row r="1468" spans="1:23" hidden="1">
      <c r="A1468" s="71" t="b">
        <f t="shared" si="442"/>
        <v>0</v>
      </c>
      <c r="B1468" s="71">
        <f t="shared" si="444"/>
        <v>1467</v>
      </c>
      <c r="C1468" s="71" t="s">
        <v>1243</v>
      </c>
      <c r="D1468" s="71" t="s">
        <v>1442</v>
      </c>
      <c r="E1468">
        <f t="shared" si="461"/>
        <v>15</v>
      </c>
      <c r="F1468">
        <v>1</v>
      </c>
      <c r="G1468">
        <f t="shared" si="445"/>
        <v>1</v>
      </c>
      <c r="H1468" t="str">
        <f t="shared" si="446"/>
        <v>Secondary risks</v>
      </c>
      <c r="I1468" t="str">
        <f t="shared" si="447"/>
        <v>New risks that are created as a result of a risk</v>
      </c>
      <c r="J1468" t="str">
        <f t="shared" si="448"/>
        <v>response.</v>
      </c>
      <c r="K1468" t="str">
        <f t="shared" si="449"/>
        <v/>
      </c>
      <c r="L1468" t="str">
        <f t="shared" si="450"/>
        <v/>
      </c>
      <c r="M1468" t="str">
        <f t="shared" si="451"/>
        <v/>
      </c>
      <c r="N1468" t="str">
        <f t="shared" si="452"/>
        <v/>
      </c>
      <c r="O1468" t="str">
        <f t="shared" si="453"/>
        <v/>
      </c>
      <c r="P1468" t="str">
        <f t="shared" si="454"/>
        <v/>
      </c>
      <c r="Q1468" t="str">
        <f t="shared" si="455"/>
        <v/>
      </c>
      <c r="R1468" t="str">
        <f t="shared" si="456"/>
        <v/>
      </c>
      <c r="S1468" t="str">
        <f t="shared" si="457"/>
        <v/>
      </c>
      <c r="T1468" t="str">
        <f t="shared" si="458"/>
        <v/>
      </c>
      <c r="U1468" t="str">
        <f t="shared" si="459"/>
        <v/>
      </c>
      <c r="V1468" t="str">
        <f t="shared" si="460"/>
        <v/>
      </c>
      <c r="W1468" s="71" t="str">
        <f>CONCATENATE(H1468," ",I1468," ",J1468," ",K1468," ",L1468," ",M1468," ",N1468," ",O1468," ",P1468," ",Q1468," ",R1468," ",S1468," ",T1468," ",U1468," ",V1468)</f>
        <v xml:space="preserve">Secondary risks New risks that are created as a result of a risk response.            </v>
      </c>
    </row>
    <row r="1469" spans="1:23" customFormat="1" hidden="1">
      <c r="A1469" t="b">
        <f t="shared" ref="A1469:A1532" si="462">C1469=D1469</f>
        <v>0</v>
      </c>
      <c r="B1469">
        <f t="shared" si="444"/>
        <v>1468</v>
      </c>
      <c r="C1469" t="s">
        <v>1243</v>
      </c>
      <c r="D1469" t="s">
        <v>1443</v>
      </c>
      <c r="E1469">
        <f t="shared" si="461"/>
        <v>48</v>
      </c>
      <c r="G1469">
        <f t="shared" si="445"/>
        <v>2</v>
      </c>
      <c r="H1469" t="str">
        <f t="shared" si="446"/>
        <v/>
      </c>
      <c r="I1469" t="str">
        <f t="shared" si="447"/>
        <v/>
      </c>
      <c r="J1469" t="str">
        <f t="shared" si="448"/>
        <v/>
      </c>
      <c r="K1469" t="str">
        <f t="shared" si="449"/>
        <v/>
      </c>
      <c r="L1469" t="str">
        <f t="shared" si="450"/>
        <v/>
      </c>
      <c r="M1469" t="str">
        <f t="shared" si="451"/>
        <v/>
      </c>
      <c r="N1469" t="str">
        <f t="shared" si="452"/>
        <v/>
      </c>
      <c r="O1469" t="str">
        <f t="shared" si="453"/>
        <v/>
      </c>
      <c r="P1469" t="str">
        <f t="shared" si="454"/>
        <v/>
      </c>
      <c r="Q1469" t="str">
        <f t="shared" si="455"/>
        <v/>
      </c>
      <c r="R1469" t="str">
        <f t="shared" si="456"/>
        <v/>
      </c>
      <c r="S1469" t="str">
        <f t="shared" si="457"/>
        <v/>
      </c>
      <c r="T1469" t="str">
        <f t="shared" si="458"/>
        <v/>
      </c>
      <c r="U1469" t="str">
        <f t="shared" si="459"/>
        <v/>
      </c>
      <c r="V1469" t="str">
        <f t="shared" si="460"/>
        <v/>
      </c>
      <c r="W1469" t="str">
        <f t="shared" ref="W1469:W1532" si="463">CONCATENATE(H1469," ",I1469," ",J1469," ",K1469," ",L1469," ",M1469," ",N1469," ",O1469," ",P1469," ",Q1469," ",R1469," ",S1469," ",T1469," ",U1469," ",V1469)</f>
        <v xml:space="preserve">              </v>
      </c>
    </row>
    <row r="1470" spans="1:23" customFormat="1" hidden="1">
      <c r="A1470" t="b">
        <f t="shared" si="462"/>
        <v>0</v>
      </c>
      <c r="B1470">
        <f t="shared" si="444"/>
        <v>1469</v>
      </c>
      <c r="C1470" t="s">
        <v>1243</v>
      </c>
      <c r="D1470" t="s">
        <v>1395</v>
      </c>
      <c r="E1470">
        <f t="shared" si="461"/>
        <v>9</v>
      </c>
      <c r="G1470">
        <f t="shared" si="445"/>
        <v>3</v>
      </c>
      <c r="H1470" t="str">
        <f t="shared" si="446"/>
        <v/>
      </c>
      <c r="I1470" t="str">
        <f t="shared" si="447"/>
        <v/>
      </c>
      <c r="J1470" t="str">
        <f t="shared" si="448"/>
        <v/>
      </c>
      <c r="K1470" t="str">
        <f t="shared" si="449"/>
        <v/>
      </c>
      <c r="L1470" t="str">
        <f t="shared" si="450"/>
        <v/>
      </c>
      <c r="M1470" t="str">
        <f t="shared" si="451"/>
        <v/>
      </c>
      <c r="N1470" t="str">
        <f t="shared" si="452"/>
        <v/>
      </c>
      <c r="O1470" t="str">
        <f t="shared" si="453"/>
        <v/>
      </c>
      <c r="P1470" t="str">
        <f t="shared" si="454"/>
        <v/>
      </c>
      <c r="Q1470" t="str">
        <f t="shared" si="455"/>
        <v/>
      </c>
      <c r="R1470" t="str">
        <f t="shared" si="456"/>
        <v/>
      </c>
      <c r="S1470" t="str">
        <f t="shared" si="457"/>
        <v/>
      </c>
      <c r="T1470" t="str">
        <f t="shared" si="458"/>
        <v/>
      </c>
      <c r="U1470" t="str">
        <f t="shared" si="459"/>
        <v/>
      </c>
      <c r="V1470" t="str">
        <f t="shared" si="460"/>
        <v/>
      </c>
      <c r="W1470" t="str">
        <f t="shared" si="463"/>
        <v xml:space="preserve">              </v>
      </c>
    </row>
    <row r="1471" spans="1:23" hidden="1">
      <c r="A1471" s="71" t="b">
        <f t="shared" si="462"/>
        <v>0</v>
      </c>
      <c r="B1471" s="71">
        <f t="shared" si="444"/>
        <v>1470</v>
      </c>
      <c r="C1471" s="71" t="s">
        <v>1243</v>
      </c>
      <c r="D1471" s="71" t="s">
        <v>1444</v>
      </c>
      <c r="E1471">
        <f t="shared" si="461"/>
        <v>20</v>
      </c>
      <c r="F1471">
        <v>1</v>
      </c>
      <c r="G1471">
        <f t="shared" si="445"/>
        <v>1</v>
      </c>
      <c r="H1471" t="str">
        <f t="shared" si="446"/>
        <v>Sensitivity analysis</v>
      </c>
      <c r="I1471" t="str">
        <f t="shared" si="447"/>
        <v>A quantitative risk analysis tool that examines</v>
      </c>
      <c r="J1471" t="str">
        <f t="shared" si="448"/>
        <v>each risk to determine which one has the largest</v>
      </c>
      <c r="K1471" t="str">
        <f t="shared" si="449"/>
        <v>impact on the project’s success.</v>
      </c>
      <c r="L1471" t="str">
        <f t="shared" si="450"/>
        <v/>
      </c>
      <c r="M1471" t="str">
        <f t="shared" si="451"/>
        <v/>
      </c>
      <c r="N1471" t="str">
        <f t="shared" si="452"/>
        <v/>
      </c>
      <c r="O1471" t="str">
        <f t="shared" si="453"/>
        <v/>
      </c>
      <c r="P1471" t="str">
        <f t="shared" si="454"/>
        <v/>
      </c>
      <c r="Q1471" t="str">
        <f t="shared" si="455"/>
        <v/>
      </c>
      <c r="R1471" t="str">
        <f t="shared" si="456"/>
        <v/>
      </c>
      <c r="S1471" t="str">
        <f t="shared" si="457"/>
        <v/>
      </c>
      <c r="T1471" t="str">
        <f t="shared" si="458"/>
        <v/>
      </c>
      <c r="U1471" t="str">
        <f t="shared" si="459"/>
        <v/>
      </c>
      <c r="V1471" t="str">
        <f t="shared" si="460"/>
        <v/>
      </c>
      <c r="W1471" s="71" t="str">
        <f>CONCATENATE(H1471," ",I1471," ",J1471," ",K1471," ",L1471," ",M1471," ",N1471," ",O1471," ",P1471," ",Q1471," ",R1471," ",S1471," ",T1471," ",U1471," ",V1471)</f>
        <v xml:space="preserve">Sensitivity analysis A quantitative risk analysis tool that examines each risk to determine which one has the largest impact on the project’s success.           </v>
      </c>
    </row>
    <row r="1472" spans="1:23" customFormat="1" hidden="1">
      <c r="A1472" t="b">
        <f t="shared" si="462"/>
        <v>0</v>
      </c>
      <c r="B1472">
        <f t="shared" si="444"/>
        <v>1471</v>
      </c>
      <c r="C1472" t="s">
        <v>1243</v>
      </c>
      <c r="D1472" t="s">
        <v>1445</v>
      </c>
      <c r="E1472">
        <f t="shared" si="461"/>
        <v>47</v>
      </c>
      <c r="G1472">
        <f t="shared" si="445"/>
        <v>2</v>
      </c>
      <c r="H1472" t="str">
        <f t="shared" si="446"/>
        <v/>
      </c>
      <c r="I1472" t="str">
        <f t="shared" si="447"/>
        <v/>
      </c>
      <c r="J1472" t="str">
        <f t="shared" si="448"/>
        <v/>
      </c>
      <c r="K1472" t="str">
        <f t="shared" si="449"/>
        <v/>
      </c>
      <c r="L1472" t="str">
        <f t="shared" si="450"/>
        <v/>
      </c>
      <c r="M1472" t="str">
        <f t="shared" si="451"/>
        <v/>
      </c>
      <c r="N1472" t="str">
        <f t="shared" si="452"/>
        <v/>
      </c>
      <c r="O1472" t="str">
        <f t="shared" si="453"/>
        <v/>
      </c>
      <c r="P1472" t="str">
        <f t="shared" si="454"/>
        <v/>
      </c>
      <c r="Q1472" t="str">
        <f t="shared" si="455"/>
        <v/>
      </c>
      <c r="R1472" t="str">
        <f t="shared" si="456"/>
        <v/>
      </c>
      <c r="S1472" t="str">
        <f t="shared" si="457"/>
        <v/>
      </c>
      <c r="T1472" t="str">
        <f t="shared" si="458"/>
        <v/>
      </c>
      <c r="U1472" t="str">
        <f t="shared" si="459"/>
        <v/>
      </c>
      <c r="V1472" t="str">
        <f t="shared" si="460"/>
        <v/>
      </c>
      <c r="W1472" t="str">
        <f t="shared" si="463"/>
        <v xml:space="preserve">              </v>
      </c>
    </row>
    <row r="1473" spans="1:23" customFormat="1" hidden="1">
      <c r="A1473" t="b">
        <f t="shared" si="462"/>
        <v>0</v>
      </c>
      <c r="B1473">
        <f t="shared" si="444"/>
        <v>1472</v>
      </c>
      <c r="C1473" t="s">
        <v>1243</v>
      </c>
      <c r="D1473" t="s">
        <v>1446</v>
      </c>
      <c r="E1473">
        <f t="shared" si="461"/>
        <v>48</v>
      </c>
      <c r="G1473">
        <f t="shared" si="445"/>
        <v>3</v>
      </c>
      <c r="H1473" t="str">
        <f t="shared" si="446"/>
        <v/>
      </c>
      <c r="I1473" t="str">
        <f t="shared" si="447"/>
        <v/>
      </c>
      <c r="J1473" t="str">
        <f t="shared" si="448"/>
        <v/>
      </c>
      <c r="K1473" t="str">
        <f t="shared" si="449"/>
        <v/>
      </c>
      <c r="L1473" t="str">
        <f t="shared" si="450"/>
        <v/>
      </c>
      <c r="M1473" t="str">
        <f t="shared" si="451"/>
        <v/>
      </c>
      <c r="N1473" t="str">
        <f t="shared" si="452"/>
        <v/>
      </c>
      <c r="O1473" t="str">
        <f t="shared" si="453"/>
        <v/>
      </c>
      <c r="P1473" t="str">
        <f t="shared" si="454"/>
        <v/>
      </c>
      <c r="Q1473" t="str">
        <f t="shared" si="455"/>
        <v/>
      </c>
      <c r="R1473" t="str">
        <f t="shared" si="456"/>
        <v/>
      </c>
      <c r="S1473" t="str">
        <f t="shared" si="457"/>
        <v/>
      </c>
      <c r="T1473" t="str">
        <f t="shared" si="458"/>
        <v/>
      </c>
      <c r="U1473" t="str">
        <f t="shared" si="459"/>
        <v/>
      </c>
      <c r="V1473" t="str">
        <f t="shared" si="460"/>
        <v/>
      </c>
      <c r="W1473" t="str">
        <f t="shared" si="463"/>
        <v xml:space="preserve">              </v>
      </c>
    </row>
    <row r="1474" spans="1:23" customFormat="1" hidden="1">
      <c r="A1474" t="b">
        <f t="shared" si="462"/>
        <v>0</v>
      </c>
      <c r="B1474">
        <f t="shared" si="444"/>
        <v>1473</v>
      </c>
      <c r="C1474" t="s">
        <v>1243</v>
      </c>
      <c r="D1474" t="s">
        <v>1447</v>
      </c>
      <c r="E1474">
        <f t="shared" si="461"/>
        <v>32</v>
      </c>
      <c r="G1474">
        <f t="shared" si="445"/>
        <v>4</v>
      </c>
      <c r="H1474" t="str">
        <f t="shared" si="446"/>
        <v/>
      </c>
      <c r="I1474" t="str">
        <f t="shared" si="447"/>
        <v/>
      </c>
      <c r="J1474" t="str">
        <f t="shared" si="448"/>
        <v/>
      </c>
      <c r="K1474" t="str">
        <f t="shared" si="449"/>
        <v/>
      </c>
      <c r="L1474" t="str">
        <f t="shared" si="450"/>
        <v/>
      </c>
      <c r="M1474" t="str">
        <f t="shared" si="451"/>
        <v/>
      </c>
      <c r="N1474" t="str">
        <f t="shared" si="452"/>
        <v/>
      </c>
      <c r="O1474" t="str">
        <f t="shared" si="453"/>
        <v/>
      </c>
      <c r="P1474" t="str">
        <f t="shared" si="454"/>
        <v/>
      </c>
      <c r="Q1474" t="str">
        <f t="shared" si="455"/>
        <v/>
      </c>
      <c r="R1474" t="str">
        <f t="shared" si="456"/>
        <v/>
      </c>
      <c r="S1474" t="str">
        <f t="shared" si="457"/>
        <v/>
      </c>
      <c r="T1474" t="str">
        <f t="shared" si="458"/>
        <v/>
      </c>
      <c r="U1474" t="str">
        <f t="shared" si="459"/>
        <v/>
      </c>
      <c r="V1474" t="str">
        <f t="shared" si="460"/>
        <v/>
      </c>
      <c r="W1474" t="str">
        <f t="shared" si="463"/>
        <v xml:space="preserve">              </v>
      </c>
    </row>
    <row r="1475" spans="1:23" hidden="1">
      <c r="A1475" s="71" t="b">
        <f t="shared" si="462"/>
        <v>0</v>
      </c>
      <c r="B1475" s="71">
        <f t="shared" si="444"/>
        <v>1474</v>
      </c>
      <c r="C1475" s="71" t="s">
        <v>1243</v>
      </c>
      <c r="D1475" s="71" t="s">
        <v>1448</v>
      </c>
      <c r="E1475">
        <f t="shared" si="461"/>
        <v>7</v>
      </c>
      <c r="F1475">
        <v>1</v>
      </c>
      <c r="G1475">
        <f t="shared" si="445"/>
        <v>1</v>
      </c>
      <c r="H1475" t="str">
        <f t="shared" si="446"/>
        <v>Sharing</v>
      </c>
      <c r="I1475" t="str">
        <f t="shared" si="447"/>
        <v>A risk response that shares the advantages of a</v>
      </c>
      <c r="J1475" t="str">
        <f t="shared" si="448"/>
        <v>positive risk within a project.</v>
      </c>
      <c r="K1475" t="str">
        <f t="shared" si="449"/>
        <v/>
      </c>
      <c r="L1475" t="str">
        <f t="shared" si="450"/>
        <v/>
      </c>
      <c r="M1475" t="str">
        <f t="shared" si="451"/>
        <v/>
      </c>
      <c r="N1475" t="str">
        <f t="shared" si="452"/>
        <v/>
      </c>
      <c r="O1475" t="str">
        <f t="shared" si="453"/>
        <v/>
      </c>
      <c r="P1475" t="str">
        <f t="shared" si="454"/>
        <v/>
      </c>
      <c r="Q1475" t="str">
        <f t="shared" si="455"/>
        <v/>
      </c>
      <c r="R1475" t="str">
        <f t="shared" si="456"/>
        <v/>
      </c>
      <c r="S1475" t="str">
        <f t="shared" si="457"/>
        <v/>
      </c>
      <c r="T1475" t="str">
        <f t="shared" si="458"/>
        <v/>
      </c>
      <c r="U1475" t="str">
        <f t="shared" si="459"/>
        <v/>
      </c>
      <c r="V1475" t="str">
        <f t="shared" si="460"/>
        <v/>
      </c>
      <c r="W1475" s="71" t="str">
        <f>CONCATENATE(H1475," ",I1475," ",J1475," ",K1475," ",L1475," ",M1475," ",N1475," ",O1475," ",P1475," ",Q1475," ",R1475," ",S1475," ",T1475," ",U1475," ",V1475)</f>
        <v xml:space="preserve">Sharing A risk response that shares the advantages of a positive risk within a project.            </v>
      </c>
    </row>
    <row r="1476" spans="1:23" customFormat="1" hidden="1">
      <c r="A1476" t="b">
        <f t="shared" si="462"/>
        <v>0</v>
      </c>
      <c r="B1476">
        <f t="shared" ref="B1476:B1539" si="464">B1475+1</f>
        <v>1475</v>
      </c>
      <c r="C1476" t="s">
        <v>1243</v>
      </c>
      <c r="D1476" t="s">
        <v>1449</v>
      </c>
      <c r="E1476">
        <f t="shared" si="461"/>
        <v>47</v>
      </c>
      <c r="G1476">
        <f t="shared" ref="G1476:G1539" si="465">IF(F1476=1,1,G1475+1)</f>
        <v>2</v>
      </c>
      <c r="H1476" t="str">
        <f t="shared" ref="H1476:H1539" si="466">IF($G1476=H$1,$D1476,"")</f>
        <v/>
      </c>
      <c r="I1476" t="str">
        <f t="shared" ref="I1476:I1539" si="467">IF($G1477=I$1,$D1477,"")</f>
        <v/>
      </c>
      <c r="J1476" t="str">
        <f t="shared" ref="J1476:J1539" si="468">IF($G1478=J$1,$D1478,"")</f>
        <v/>
      </c>
      <c r="K1476" t="str">
        <f t="shared" ref="K1476:K1539" si="469">IF($G1479=K$1,$D1479,"")</f>
        <v/>
      </c>
      <c r="L1476" t="str">
        <f t="shared" ref="L1476:L1539" si="470">IF($G1480=L$1,$D1480,"")</f>
        <v/>
      </c>
      <c r="M1476" t="str">
        <f t="shared" ref="M1476:M1539" si="471">IF($G1481=M$1,$D1481,"")</f>
        <v/>
      </c>
      <c r="N1476" t="str">
        <f t="shared" ref="N1476:N1539" si="472">IF($G1482=N$1,$D1482,"")</f>
        <v/>
      </c>
      <c r="O1476" t="str">
        <f t="shared" ref="O1476:O1539" si="473">IF($G1483=O$1,$D1483,"")</f>
        <v/>
      </c>
      <c r="P1476" t="str">
        <f t="shared" ref="P1476:P1539" si="474">IF($G1484=P$1,$D1484,"")</f>
        <v/>
      </c>
      <c r="Q1476" t="str">
        <f t="shared" ref="Q1476:Q1539" si="475">IF($G1485=Q$1,$D1485,"")</f>
        <v/>
      </c>
      <c r="R1476" t="str">
        <f t="shared" ref="R1476:R1539" si="476">IF($G1486=R$1,$D1486,"")</f>
        <v/>
      </c>
      <c r="S1476" t="str">
        <f t="shared" ref="S1476:S1539" si="477">IF($G1487=S$1,$D1487,"")</f>
        <v/>
      </c>
      <c r="T1476" t="str">
        <f t="shared" ref="T1476:T1539" si="478">IF($G1488=T$1,$D1488,"")</f>
        <v/>
      </c>
      <c r="U1476" t="str">
        <f t="shared" ref="U1476:U1539" si="479">IF($G1489=U$1,$D1489,"")</f>
        <v/>
      </c>
      <c r="V1476" t="str">
        <f t="shared" ref="V1476:V1539" si="480">IF($G1490=V$1,$D1490,"")</f>
        <v/>
      </c>
      <c r="W1476" t="str">
        <f t="shared" si="463"/>
        <v xml:space="preserve">              </v>
      </c>
    </row>
    <row r="1477" spans="1:23" customFormat="1" hidden="1">
      <c r="A1477" t="b">
        <f t="shared" si="462"/>
        <v>0</v>
      </c>
      <c r="B1477">
        <f t="shared" si="464"/>
        <v>1476</v>
      </c>
      <c r="C1477" t="s">
        <v>1243</v>
      </c>
      <c r="D1477" t="s">
        <v>1450</v>
      </c>
      <c r="E1477">
        <f t="shared" si="461"/>
        <v>31</v>
      </c>
      <c r="G1477">
        <f t="shared" si="465"/>
        <v>3</v>
      </c>
      <c r="H1477" t="str">
        <f t="shared" si="466"/>
        <v/>
      </c>
      <c r="I1477" t="str">
        <f t="shared" si="467"/>
        <v/>
      </c>
      <c r="J1477" t="str">
        <f t="shared" si="468"/>
        <v/>
      </c>
      <c r="K1477" t="str">
        <f t="shared" si="469"/>
        <v/>
      </c>
      <c r="L1477" t="str">
        <f t="shared" si="470"/>
        <v/>
      </c>
      <c r="M1477" t="str">
        <f t="shared" si="471"/>
        <v/>
      </c>
      <c r="N1477" t="str">
        <f t="shared" si="472"/>
        <v/>
      </c>
      <c r="O1477" t="str">
        <f t="shared" si="473"/>
        <v/>
      </c>
      <c r="P1477" t="str">
        <f t="shared" si="474"/>
        <v/>
      </c>
      <c r="Q1477" t="str">
        <f t="shared" si="475"/>
        <v/>
      </c>
      <c r="R1477" t="str">
        <f t="shared" si="476"/>
        <v/>
      </c>
      <c r="S1477" t="str">
        <f t="shared" si="477"/>
        <v/>
      </c>
      <c r="T1477" t="str">
        <f t="shared" si="478"/>
        <v/>
      </c>
      <c r="U1477" t="str">
        <f t="shared" si="479"/>
        <v/>
      </c>
      <c r="V1477" t="str">
        <f t="shared" si="480"/>
        <v/>
      </c>
      <c r="W1477" t="str">
        <f t="shared" si="463"/>
        <v xml:space="preserve">              </v>
      </c>
    </row>
    <row r="1478" spans="1:23" hidden="1">
      <c r="A1478" s="71" t="b">
        <f t="shared" si="462"/>
        <v>0</v>
      </c>
      <c r="B1478" s="71">
        <f t="shared" si="464"/>
        <v>1477</v>
      </c>
      <c r="C1478" s="71" t="s">
        <v>1243</v>
      </c>
      <c r="D1478" s="71" t="s">
        <v>1451</v>
      </c>
      <c r="E1478">
        <f t="shared" si="461"/>
        <v>13</v>
      </c>
      <c r="F1478">
        <v>1</v>
      </c>
      <c r="G1478">
        <f t="shared" si="465"/>
        <v>1</v>
      </c>
      <c r="H1478" t="str">
        <f t="shared" si="466"/>
        <v>SWOT analysis</v>
      </c>
      <c r="I1478" t="str">
        <f t="shared" si="467"/>
        <v>SWOT analysis is the process of examining the</v>
      </c>
      <c r="J1478" t="str">
        <f t="shared" si="468"/>
        <v>project from the perspective of each</v>
      </c>
      <c r="K1478" t="str">
        <f t="shared" si="469"/>
        <v>characteristic: strengths, weaknesses,</v>
      </c>
      <c r="L1478" t="str">
        <f t="shared" si="470"/>
        <v>opportunities, and threats.</v>
      </c>
      <c r="M1478" t="str">
        <f t="shared" si="471"/>
        <v/>
      </c>
      <c r="N1478" t="str">
        <f t="shared" si="472"/>
        <v/>
      </c>
      <c r="O1478" t="str">
        <f t="shared" si="473"/>
        <v/>
      </c>
      <c r="P1478" t="str">
        <f t="shared" si="474"/>
        <v/>
      </c>
      <c r="Q1478" t="str">
        <f t="shared" si="475"/>
        <v/>
      </c>
      <c r="R1478" t="str">
        <f t="shared" si="476"/>
        <v/>
      </c>
      <c r="S1478" t="str">
        <f t="shared" si="477"/>
        <v/>
      </c>
      <c r="T1478" t="str">
        <f t="shared" si="478"/>
        <v/>
      </c>
      <c r="U1478" t="str">
        <f t="shared" si="479"/>
        <v/>
      </c>
      <c r="V1478" t="str">
        <f t="shared" si="480"/>
        <v/>
      </c>
      <c r="W1478" s="71" t="str">
        <f>CONCATENATE(H1478," ",I1478," ",J1478," ",K1478," ",L1478," ",M1478," ",N1478," ",O1478," ",P1478," ",Q1478," ",R1478," ",S1478," ",T1478," ",U1478," ",V1478)</f>
        <v xml:space="preserve">SWOT analysis SWOT analysis is the process of examining the project from the perspective of each characteristic: strengths, weaknesses, opportunities, and threats.          </v>
      </c>
    </row>
    <row r="1479" spans="1:23" customFormat="1" hidden="1">
      <c r="A1479" t="b">
        <f t="shared" si="462"/>
        <v>0</v>
      </c>
      <c r="B1479">
        <f t="shared" si="464"/>
        <v>1478</v>
      </c>
      <c r="C1479" t="s">
        <v>1243</v>
      </c>
      <c r="D1479" t="s">
        <v>1452</v>
      </c>
      <c r="E1479">
        <f t="shared" si="461"/>
        <v>45</v>
      </c>
      <c r="G1479">
        <f t="shared" si="465"/>
        <v>2</v>
      </c>
      <c r="H1479" t="str">
        <f t="shared" si="466"/>
        <v/>
      </c>
      <c r="I1479" t="str">
        <f t="shared" si="467"/>
        <v/>
      </c>
      <c r="J1479" t="str">
        <f t="shared" si="468"/>
        <v/>
      </c>
      <c r="K1479" t="str">
        <f t="shared" si="469"/>
        <v/>
      </c>
      <c r="L1479" t="str">
        <f t="shared" si="470"/>
        <v/>
      </c>
      <c r="M1479" t="str">
        <f t="shared" si="471"/>
        <v/>
      </c>
      <c r="N1479" t="str">
        <f t="shared" si="472"/>
        <v/>
      </c>
      <c r="O1479" t="str">
        <f t="shared" si="473"/>
        <v/>
      </c>
      <c r="P1479" t="str">
        <f t="shared" si="474"/>
        <v/>
      </c>
      <c r="Q1479" t="str">
        <f t="shared" si="475"/>
        <v/>
      </c>
      <c r="R1479" t="str">
        <f t="shared" si="476"/>
        <v/>
      </c>
      <c r="S1479" t="str">
        <f t="shared" si="477"/>
        <v/>
      </c>
      <c r="T1479" t="str">
        <f t="shared" si="478"/>
        <v/>
      </c>
      <c r="U1479" t="str">
        <f t="shared" si="479"/>
        <v/>
      </c>
      <c r="V1479" t="str">
        <f t="shared" si="480"/>
        <v/>
      </c>
      <c r="W1479" t="str">
        <f t="shared" si="463"/>
        <v xml:space="preserve">              </v>
      </c>
    </row>
    <row r="1480" spans="1:23" customFormat="1" hidden="1">
      <c r="A1480" t="b">
        <f t="shared" si="462"/>
        <v>0</v>
      </c>
      <c r="B1480">
        <f t="shared" si="464"/>
        <v>1479</v>
      </c>
      <c r="C1480" t="s">
        <v>1243</v>
      </c>
      <c r="D1480" t="s">
        <v>1453</v>
      </c>
      <c r="E1480">
        <f t="shared" si="461"/>
        <v>36</v>
      </c>
      <c r="G1480">
        <f t="shared" si="465"/>
        <v>3</v>
      </c>
      <c r="H1480" t="str">
        <f t="shared" si="466"/>
        <v/>
      </c>
      <c r="I1480" t="str">
        <f t="shared" si="467"/>
        <v/>
      </c>
      <c r="J1480" t="str">
        <f t="shared" si="468"/>
        <v/>
      </c>
      <c r="K1480" t="str">
        <f t="shared" si="469"/>
        <v/>
      </c>
      <c r="L1480" t="str">
        <f t="shared" si="470"/>
        <v/>
      </c>
      <c r="M1480" t="str">
        <f t="shared" si="471"/>
        <v/>
      </c>
      <c r="N1480" t="str">
        <f t="shared" si="472"/>
        <v/>
      </c>
      <c r="O1480" t="str">
        <f t="shared" si="473"/>
        <v/>
      </c>
      <c r="P1480" t="str">
        <f t="shared" si="474"/>
        <v/>
      </c>
      <c r="Q1480" t="str">
        <f t="shared" si="475"/>
        <v/>
      </c>
      <c r="R1480" t="str">
        <f t="shared" si="476"/>
        <v/>
      </c>
      <c r="S1480" t="str">
        <f t="shared" si="477"/>
        <v/>
      </c>
      <c r="T1480" t="str">
        <f t="shared" si="478"/>
        <v/>
      </c>
      <c r="U1480" t="str">
        <f t="shared" si="479"/>
        <v/>
      </c>
      <c r="V1480" t="str">
        <f t="shared" si="480"/>
        <v/>
      </c>
      <c r="W1480" t="str">
        <f t="shared" si="463"/>
        <v xml:space="preserve">              </v>
      </c>
    </row>
    <row r="1481" spans="1:23" customFormat="1" hidden="1">
      <c r="A1481" t="b">
        <f t="shared" si="462"/>
        <v>0</v>
      </c>
      <c r="B1481">
        <f t="shared" si="464"/>
        <v>1480</v>
      </c>
      <c r="C1481" t="s">
        <v>1243</v>
      </c>
      <c r="D1481" t="s">
        <v>1454</v>
      </c>
      <c r="E1481">
        <f t="shared" si="461"/>
        <v>38</v>
      </c>
      <c r="G1481">
        <f t="shared" si="465"/>
        <v>4</v>
      </c>
      <c r="H1481" t="str">
        <f t="shared" si="466"/>
        <v/>
      </c>
      <c r="I1481" t="str">
        <f t="shared" si="467"/>
        <v/>
      </c>
      <c r="J1481" t="str">
        <f t="shared" si="468"/>
        <v/>
      </c>
      <c r="K1481" t="str">
        <f t="shared" si="469"/>
        <v/>
      </c>
      <c r="L1481" t="str">
        <f t="shared" si="470"/>
        <v/>
      </c>
      <c r="M1481" t="str">
        <f t="shared" si="471"/>
        <v/>
      </c>
      <c r="N1481" t="str">
        <f t="shared" si="472"/>
        <v/>
      </c>
      <c r="O1481" t="str">
        <f t="shared" si="473"/>
        <v/>
      </c>
      <c r="P1481" t="str">
        <f t="shared" si="474"/>
        <v/>
      </c>
      <c r="Q1481" t="str">
        <f t="shared" si="475"/>
        <v/>
      </c>
      <c r="R1481" t="str">
        <f t="shared" si="476"/>
        <v/>
      </c>
      <c r="S1481" t="str">
        <f t="shared" si="477"/>
        <v/>
      </c>
      <c r="T1481" t="str">
        <f t="shared" si="478"/>
        <v/>
      </c>
      <c r="U1481" t="str">
        <f t="shared" si="479"/>
        <v/>
      </c>
      <c r="V1481" t="str">
        <f t="shared" si="480"/>
        <v/>
      </c>
      <c r="W1481" t="str">
        <f t="shared" si="463"/>
        <v xml:space="preserve">              </v>
      </c>
    </row>
    <row r="1482" spans="1:23" customFormat="1" hidden="1">
      <c r="A1482" t="b">
        <f t="shared" si="462"/>
        <v>0</v>
      </c>
      <c r="B1482">
        <f t="shared" si="464"/>
        <v>1481</v>
      </c>
      <c r="C1482" t="s">
        <v>1243</v>
      </c>
      <c r="D1482" t="s">
        <v>1455</v>
      </c>
      <c r="E1482">
        <f t="shared" si="461"/>
        <v>27</v>
      </c>
      <c r="G1482">
        <f t="shared" si="465"/>
        <v>5</v>
      </c>
      <c r="H1482" t="str">
        <f t="shared" si="466"/>
        <v/>
      </c>
      <c r="I1482" t="str">
        <f t="shared" si="467"/>
        <v/>
      </c>
      <c r="J1482" t="str">
        <f t="shared" si="468"/>
        <v/>
      </c>
      <c r="K1482" t="str">
        <f t="shared" si="469"/>
        <v/>
      </c>
      <c r="L1482" t="str">
        <f t="shared" si="470"/>
        <v/>
      </c>
      <c r="M1482" t="str">
        <f t="shared" si="471"/>
        <v/>
      </c>
      <c r="N1482" t="str">
        <f t="shared" si="472"/>
        <v/>
      </c>
      <c r="O1482" t="str">
        <f t="shared" si="473"/>
        <v/>
      </c>
      <c r="P1482" t="str">
        <f t="shared" si="474"/>
        <v/>
      </c>
      <c r="Q1482" t="str">
        <f t="shared" si="475"/>
        <v/>
      </c>
      <c r="R1482" t="str">
        <f t="shared" si="476"/>
        <v/>
      </c>
      <c r="S1482" t="str">
        <f t="shared" si="477"/>
        <v/>
      </c>
      <c r="T1482" t="str">
        <f t="shared" si="478"/>
        <v/>
      </c>
      <c r="U1482" t="str">
        <f t="shared" si="479"/>
        <v/>
      </c>
      <c r="V1482" t="str">
        <f t="shared" si="480"/>
        <v/>
      </c>
      <c r="W1482" t="str">
        <f t="shared" si="463"/>
        <v xml:space="preserve">              </v>
      </c>
    </row>
    <row r="1483" spans="1:23" hidden="1">
      <c r="A1483" s="71" t="b">
        <f t="shared" si="462"/>
        <v>0</v>
      </c>
      <c r="B1483" s="71">
        <f t="shared" si="464"/>
        <v>1482</v>
      </c>
      <c r="C1483" s="71" t="s">
        <v>1243</v>
      </c>
      <c r="D1483" s="71" t="s">
        <v>1456</v>
      </c>
      <c r="E1483">
        <f t="shared" si="461"/>
        <v>5</v>
      </c>
      <c r="F1483">
        <v>1</v>
      </c>
      <c r="G1483">
        <f t="shared" si="465"/>
        <v>1</v>
      </c>
      <c r="H1483" t="str">
        <f t="shared" si="466"/>
        <v>TECOP</v>
      </c>
      <c r="I1483" t="str">
        <f t="shared" si="467"/>
        <v>A prompt list used in risk identification to</v>
      </c>
      <c r="J1483" t="str">
        <f t="shared" si="468"/>
        <v>examine the Technical, Environmental,</v>
      </c>
      <c r="K1483" t="str">
        <f t="shared" si="469"/>
        <v>Commercial, Operational, and Political factors of</v>
      </c>
      <c r="L1483" t="str">
        <f t="shared" si="470"/>
        <v>the project.</v>
      </c>
      <c r="M1483" t="str">
        <f t="shared" si="471"/>
        <v>Technical, quality, or performance risks</v>
      </c>
      <c r="N1483" t="str">
        <f t="shared" si="472"/>
        <v>Technical risks are associated with new,</v>
      </c>
      <c r="O1483" t="str">
        <f t="shared" si="473"/>
        <v>unproven, or complex technologies being used on</v>
      </c>
      <c r="P1483" t="str">
        <f t="shared" si="474"/>
        <v>the project. Changes to the technology during the</v>
      </c>
      <c r="Q1483" t="str">
        <f t="shared" si="475"/>
        <v>project implementation can also be a risk. Quality</v>
      </c>
      <c r="R1483" t="str">
        <f t="shared" si="476"/>
        <v>risks are the levels set for expectations of</v>
      </c>
      <c r="S1483" t="str">
        <f t="shared" si="477"/>
        <v>impractical quality and performance.</v>
      </c>
      <c r="T1483" t="str">
        <f t="shared" si="478"/>
        <v/>
      </c>
      <c r="U1483" t="str">
        <f t="shared" si="479"/>
        <v/>
      </c>
      <c r="V1483" t="str">
        <f t="shared" si="480"/>
        <v/>
      </c>
      <c r="W1483" s="71" t="str">
        <f>CONCATENATE(H1483," ",I1483," ",J1483," ",K1483," ",L1483," ",M1483," ",N1483," ",O1483," ",P1483," ",Q1483," ",R1483," ",S1483," ",T1483," ",U1483," ",V1483)</f>
        <v xml:space="preserve">TECOP A prompt list used in risk identification to examine the Technical, Environmental, Commercial, Operational, and Political factors of the project. Technical, quality, or performance risks Technical risks are associated with new, unproven, or complex technologies being used on the project. Changes to the technology during the project implementation can also be a risk. Quality risks are the levels set for expectations of impractical quality and performance.   </v>
      </c>
    </row>
    <row r="1484" spans="1:23" customFormat="1" hidden="1">
      <c r="A1484" t="b">
        <f t="shared" si="462"/>
        <v>0</v>
      </c>
      <c r="B1484">
        <f t="shared" si="464"/>
        <v>1483</v>
      </c>
      <c r="C1484" t="s">
        <v>1243</v>
      </c>
      <c r="D1484" t="s">
        <v>1457</v>
      </c>
      <c r="E1484">
        <f t="shared" si="461"/>
        <v>44</v>
      </c>
      <c r="G1484">
        <f t="shared" si="465"/>
        <v>2</v>
      </c>
      <c r="H1484" t="str">
        <f t="shared" si="466"/>
        <v/>
      </c>
      <c r="I1484" t="str">
        <f t="shared" si="467"/>
        <v/>
      </c>
      <c r="J1484" t="str">
        <f t="shared" si="468"/>
        <v/>
      </c>
      <c r="K1484" t="str">
        <f t="shared" si="469"/>
        <v/>
      </c>
      <c r="L1484" t="str">
        <f t="shared" si="470"/>
        <v/>
      </c>
      <c r="M1484" t="str">
        <f t="shared" si="471"/>
        <v/>
      </c>
      <c r="N1484" t="str">
        <f t="shared" si="472"/>
        <v/>
      </c>
      <c r="O1484" t="str">
        <f t="shared" si="473"/>
        <v/>
      </c>
      <c r="P1484" t="str">
        <f t="shared" si="474"/>
        <v/>
      </c>
      <c r="Q1484" t="str">
        <f t="shared" si="475"/>
        <v/>
      </c>
      <c r="R1484" t="str">
        <f t="shared" si="476"/>
        <v/>
      </c>
      <c r="S1484" t="str">
        <f t="shared" si="477"/>
        <v/>
      </c>
      <c r="T1484" t="str">
        <f t="shared" si="478"/>
        <v/>
      </c>
      <c r="U1484" t="str">
        <f t="shared" si="479"/>
        <v/>
      </c>
      <c r="V1484" t="str">
        <f t="shared" si="480"/>
        <v/>
      </c>
      <c r="W1484" t="str">
        <f t="shared" si="463"/>
        <v xml:space="preserve">              </v>
      </c>
    </row>
    <row r="1485" spans="1:23" customFormat="1" hidden="1">
      <c r="A1485" t="b">
        <f t="shared" si="462"/>
        <v>0</v>
      </c>
      <c r="B1485">
        <f t="shared" si="464"/>
        <v>1484</v>
      </c>
      <c r="C1485" t="s">
        <v>1243</v>
      </c>
      <c r="D1485" t="s">
        <v>1458</v>
      </c>
      <c r="E1485">
        <f t="shared" si="461"/>
        <v>37</v>
      </c>
      <c r="G1485">
        <f t="shared" si="465"/>
        <v>3</v>
      </c>
      <c r="H1485" t="str">
        <f t="shared" si="466"/>
        <v/>
      </c>
      <c r="I1485" t="str">
        <f t="shared" si="467"/>
        <v/>
      </c>
      <c r="J1485" t="str">
        <f t="shared" si="468"/>
        <v/>
      </c>
      <c r="K1485" t="str">
        <f t="shared" si="469"/>
        <v/>
      </c>
      <c r="L1485" t="str">
        <f t="shared" si="470"/>
        <v/>
      </c>
      <c r="M1485" t="str">
        <f t="shared" si="471"/>
        <v/>
      </c>
      <c r="N1485" t="str">
        <f t="shared" si="472"/>
        <v/>
      </c>
      <c r="O1485" t="str">
        <f t="shared" si="473"/>
        <v/>
      </c>
      <c r="P1485" t="str">
        <f t="shared" si="474"/>
        <v/>
      </c>
      <c r="Q1485" t="str">
        <f t="shared" si="475"/>
        <v/>
      </c>
      <c r="R1485" t="str">
        <f t="shared" si="476"/>
        <v/>
      </c>
      <c r="S1485" t="str">
        <f t="shared" si="477"/>
        <v/>
      </c>
      <c r="T1485" t="str">
        <f t="shared" si="478"/>
        <v/>
      </c>
      <c r="U1485" t="str">
        <f t="shared" si="479"/>
        <v/>
      </c>
      <c r="V1485" t="str">
        <f t="shared" si="480"/>
        <v/>
      </c>
      <c r="W1485" t="str">
        <f t="shared" si="463"/>
        <v xml:space="preserve">              </v>
      </c>
    </row>
    <row r="1486" spans="1:23" customFormat="1" hidden="1">
      <c r="A1486" t="b">
        <f t="shared" si="462"/>
        <v>0</v>
      </c>
      <c r="B1486">
        <f t="shared" si="464"/>
        <v>1485</v>
      </c>
      <c r="C1486" t="s">
        <v>1243</v>
      </c>
      <c r="D1486" t="s">
        <v>1459</v>
      </c>
      <c r="E1486">
        <f t="shared" si="461"/>
        <v>49</v>
      </c>
      <c r="G1486">
        <f t="shared" si="465"/>
        <v>4</v>
      </c>
      <c r="H1486" t="str">
        <f t="shared" si="466"/>
        <v/>
      </c>
      <c r="I1486" t="str">
        <f t="shared" si="467"/>
        <v/>
      </c>
      <c r="J1486" t="str">
        <f t="shared" si="468"/>
        <v/>
      </c>
      <c r="K1486" t="str">
        <f t="shared" si="469"/>
        <v/>
      </c>
      <c r="L1486" t="str">
        <f t="shared" si="470"/>
        <v/>
      </c>
      <c r="M1486" t="str">
        <f t="shared" si="471"/>
        <v/>
      </c>
      <c r="N1486" t="str">
        <f t="shared" si="472"/>
        <v/>
      </c>
      <c r="O1486" t="str">
        <f t="shared" si="473"/>
        <v/>
      </c>
      <c r="P1486" t="str">
        <f t="shared" si="474"/>
        <v/>
      </c>
      <c r="Q1486" t="str">
        <f t="shared" si="475"/>
        <v/>
      </c>
      <c r="R1486" t="str">
        <f t="shared" si="476"/>
        <v/>
      </c>
      <c r="S1486" t="str">
        <f t="shared" si="477"/>
        <v/>
      </c>
      <c r="T1486" t="str">
        <f t="shared" si="478"/>
        <v/>
      </c>
      <c r="U1486" t="str">
        <f t="shared" si="479"/>
        <v/>
      </c>
      <c r="V1486" t="str">
        <f t="shared" si="480"/>
        <v/>
      </c>
      <c r="W1486" t="str">
        <f t="shared" si="463"/>
        <v xml:space="preserve">              </v>
      </c>
    </row>
    <row r="1487" spans="1:23" customFormat="1" hidden="1">
      <c r="A1487" t="b">
        <f t="shared" si="462"/>
        <v>0</v>
      </c>
      <c r="B1487">
        <f t="shared" si="464"/>
        <v>1486</v>
      </c>
      <c r="C1487" t="s">
        <v>1243</v>
      </c>
      <c r="D1487" t="s">
        <v>206</v>
      </c>
      <c r="E1487">
        <f t="shared" si="461"/>
        <v>12</v>
      </c>
      <c r="G1487">
        <f t="shared" si="465"/>
        <v>5</v>
      </c>
      <c r="H1487" t="str">
        <f t="shared" si="466"/>
        <v/>
      </c>
      <c r="I1487" t="str">
        <f t="shared" si="467"/>
        <v/>
      </c>
      <c r="J1487" t="str">
        <f t="shared" si="468"/>
        <v/>
      </c>
      <c r="K1487" t="str">
        <f t="shared" si="469"/>
        <v/>
      </c>
      <c r="L1487" t="str">
        <f t="shared" si="470"/>
        <v/>
      </c>
      <c r="M1487" t="str">
        <f t="shared" si="471"/>
        <v/>
      </c>
      <c r="N1487" t="str">
        <f t="shared" si="472"/>
        <v/>
      </c>
      <c r="O1487" t="str">
        <f t="shared" si="473"/>
        <v/>
      </c>
      <c r="P1487" t="str">
        <f t="shared" si="474"/>
        <v/>
      </c>
      <c r="Q1487" t="str">
        <f t="shared" si="475"/>
        <v/>
      </c>
      <c r="R1487" t="str">
        <f t="shared" si="476"/>
        <v/>
      </c>
      <c r="S1487" t="str">
        <f t="shared" si="477"/>
        <v/>
      </c>
      <c r="T1487" t="str">
        <f t="shared" si="478"/>
        <v/>
      </c>
      <c r="U1487" t="str">
        <f t="shared" si="479"/>
        <v/>
      </c>
      <c r="V1487" t="str">
        <f t="shared" si="480"/>
        <v/>
      </c>
      <c r="W1487" t="str">
        <f t="shared" si="463"/>
        <v xml:space="preserve">              </v>
      </c>
    </row>
    <row r="1488" spans="1:23" customFormat="1" hidden="1">
      <c r="A1488" t="b">
        <f t="shared" si="462"/>
        <v>0</v>
      </c>
      <c r="B1488">
        <f t="shared" si="464"/>
        <v>1487</v>
      </c>
      <c r="C1488" t="s">
        <v>1243</v>
      </c>
      <c r="D1488" t="s">
        <v>1460</v>
      </c>
      <c r="E1488">
        <f t="shared" si="461"/>
        <v>40</v>
      </c>
      <c r="G1488">
        <f t="shared" si="465"/>
        <v>6</v>
      </c>
      <c r="H1488" t="str">
        <f t="shared" si="466"/>
        <v/>
      </c>
      <c r="I1488" t="str">
        <f t="shared" si="467"/>
        <v/>
      </c>
      <c r="J1488" t="str">
        <f t="shared" si="468"/>
        <v/>
      </c>
      <c r="K1488" t="str">
        <f t="shared" si="469"/>
        <v/>
      </c>
      <c r="L1488" t="str">
        <f t="shared" si="470"/>
        <v/>
      </c>
      <c r="M1488" t="str">
        <f t="shared" si="471"/>
        <v/>
      </c>
      <c r="N1488" t="str">
        <f t="shared" si="472"/>
        <v/>
      </c>
      <c r="O1488" t="str">
        <f t="shared" si="473"/>
        <v/>
      </c>
      <c r="P1488" t="str">
        <f t="shared" si="474"/>
        <v/>
      </c>
      <c r="Q1488" t="str">
        <f t="shared" si="475"/>
        <v/>
      </c>
      <c r="R1488" t="str">
        <f t="shared" si="476"/>
        <v/>
      </c>
      <c r="S1488" t="str">
        <f t="shared" si="477"/>
        <v/>
      </c>
      <c r="T1488" t="str">
        <f t="shared" si="478"/>
        <v/>
      </c>
      <c r="U1488" t="str">
        <f t="shared" si="479"/>
        <v/>
      </c>
      <c r="V1488" t="str">
        <f t="shared" si="480"/>
        <v/>
      </c>
      <c r="W1488" t="str">
        <f t="shared" si="463"/>
        <v xml:space="preserve">              </v>
      </c>
    </row>
    <row r="1489" spans="1:23" customFormat="1" hidden="1">
      <c r="A1489" t="b">
        <f t="shared" si="462"/>
        <v>0</v>
      </c>
      <c r="B1489">
        <f t="shared" si="464"/>
        <v>1488</v>
      </c>
      <c r="C1489" t="s">
        <v>1243</v>
      </c>
      <c r="D1489" t="s">
        <v>1461</v>
      </c>
      <c r="E1489">
        <f t="shared" si="461"/>
        <v>40</v>
      </c>
      <c r="G1489">
        <f t="shared" si="465"/>
        <v>7</v>
      </c>
      <c r="H1489" t="str">
        <f t="shared" si="466"/>
        <v/>
      </c>
      <c r="I1489" t="str">
        <f t="shared" si="467"/>
        <v/>
      </c>
      <c r="J1489" t="str">
        <f t="shared" si="468"/>
        <v/>
      </c>
      <c r="K1489" t="str">
        <f t="shared" si="469"/>
        <v/>
      </c>
      <c r="L1489" t="str">
        <f t="shared" si="470"/>
        <v/>
      </c>
      <c r="M1489" t="str">
        <f t="shared" si="471"/>
        <v/>
      </c>
      <c r="N1489" t="str">
        <f t="shared" si="472"/>
        <v/>
      </c>
      <c r="O1489" t="str">
        <f t="shared" si="473"/>
        <v/>
      </c>
      <c r="P1489" t="str">
        <f t="shared" si="474"/>
        <v/>
      </c>
      <c r="Q1489" t="str">
        <f t="shared" si="475"/>
        <v/>
      </c>
      <c r="R1489" t="str">
        <f t="shared" si="476"/>
        <v/>
      </c>
      <c r="S1489" t="str">
        <f t="shared" si="477"/>
        <v/>
      </c>
      <c r="T1489" t="str">
        <f t="shared" si="478"/>
        <v/>
      </c>
      <c r="U1489" t="str">
        <f t="shared" si="479"/>
        <v/>
      </c>
      <c r="V1489" t="str">
        <f t="shared" si="480"/>
        <v/>
      </c>
      <c r="W1489" t="str">
        <f t="shared" si="463"/>
        <v xml:space="preserve">              </v>
      </c>
    </row>
    <row r="1490" spans="1:23" customFormat="1" hidden="1">
      <c r="A1490" t="b">
        <f t="shared" si="462"/>
        <v>0</v>
      </c>
      <c r="B1490">
        <f t="shared" si="464"/>
        <v>1489</v>
      </c>
      <c r="C1490" t="s">
        <v>1243</v>
      </c>
      <c r="D1490" t="s">
        <v>1462</v>
      </c>
      <c r="E1490">
        <f t="shared" si="461"/>
        <v>47</v>
      </c>
      <c r="G1490">
        <f t="shared" si="465"/>
        <v>8</v>
      </c>
      <c r="H1490" t="str">
        <f t="shared" si="466"/>
        <v/>
      </c>
      <c r="I1490" t="str">
        <f t="shared" si="467"/>
        <v/>
      </c>
      <c r="J1490" t="str">
        <f t="shared" si="468"/>
        <v/>
      </c>
      <c r="K1490" t="str">
        <f t="shared" si="469"/>
        <v/>
      </c>
      <c r="L1490" t="str">
        <f t="shared" si="470"/>
        <v/>
      </c>
      <c r="M1490" t="str">
        <f t="shared" si="471"/>
        <v/>
      </c>
      <c r="N1490" t="str">
        <f t="shared" si="472"/>
        <v/>
      </c>
      <c r="O1490" t="str">
        <f t="shared" si="473"/>
        <v/>
      </c>
      <c r="P1490" t="str">
        <f t="shared" si="474"/>
        <v/>
      </c>
      <c r="Q1490" t="str">
        <f t="shared" si="475"/>
        <v/>
      </c>
      <c r="R1490" t="str">
        <f t="shared" si="476"/>
        <v/>
      </c>
      <c r="S1490" t="str">
        <f t="shared" si="477"/>
        <v/>
      </c>
      <c r="T1490" t="str">
        <f t="shared" si="478"/>
        <v/>
      </c>
      <c r="U1490" t="str">
        <f t="shared" si="479"/>
        <v/>
      </c>
      <c r="V1490" t="str">
        <f t="shared" si="480"/>
        <v/>
      </c>
      <c r="W1490" t="str">
        <f t="shared" si="463"/>
        <v xml:space="preserve">              </v>
      </c>
    </row>
    <row r="1491" spans="1:23" customFormat="1" hidden="1">
      <c r="A1491" t="b">
        <f t="shared" si="462"/>
        <v>0</v>
      </c>
      <c r="B1491">
        <f t="shared" si="464"/>
        <v>1490</v>
      </c>
      <c r="C1491" t="s">
        <v>1243</v>
      </c>
      <c r="D1491" t="s">
        <v>1463</v>
      </c>
      <c r="E1491">
        <f t="shared" si="461"/>
        <v>49</v>
      </c>
      <c r="G1491">
        <f t="shared" si="465"/>
        <v>9</v>
      </c>
      <c r="H1491" t="str">
        <f t="shared" si="466"/>
        <v/>
      </c>
      <c r="I1491" t="str">
        <f t="shared" si="467"/>
        <v/>
      </c>
      <c r="J1491" t="str">
        <f t="shared" si="468"/>
        <v/>
      </c>
      <c r="K1491" t="str">
        <f t="shared" si="469"/>
        <v/>
      </c>
      <c r="L1491" t="str">
        <f t="shared" si="470"/>
        <v/>
      </c>
      <c r="M1491" t="str">
        <f t="shared" si="471"/>
        <v/>
      </c>
      <c r="N1491" t="str">
        <f t="shared" si="472"/>
        <v/>
      </c>
      <c r="O1491" t="str">
        <f t="shared" si="473"/>
        <v/>
      </c>
      <c r="P1491" t="str">
        <f t="shared" si="474"/>
        <v/>
      </c>
      <c r="Q1491" t="str">
        <f t="shared" si="475"/>
        <v/>
      </c>
      <c r="R1491" t="str">
        <f t="shared" si="476"/>
        <v/>
      </c>
      <c r="S1491" t="str">
        <f t="shared" si="477"/>
        <v/>
      </c>
      <c r="T1491" t="str">
        <f t="shared" si="478"/>
        <v/>
      </c>
      <c r="U1491" t="str">
        <f t="shared" si="479"/>
        <v/>
      </c>
      <c r="V1491" t="str">
        <f t="shared" si="480"/>
        <v/>
      </c>
      <c r="W1491" t="str">
        <f t="shared" si="463"/>
        <v xml:space="preserve">              </v>
      </c>
    </row>
    <row r="1492" spans="1:23" customFormat="1" hidden="1">
      <c r="A1492" t="b">
        <f t="shared" si="462"/>
        <v>0</v>
      </c>
      <c r="B1492">
        <f t="shared" si="464"/>
        <v>1491</v>
      </c>
      <c r="C1492" t="s">
        <v>1243</v>
      </c>
      <c r="D1492" t="s">
        <v>1464</v>
      </c>
      <c r="E1492">
        <f t="shared" si="461"/>
        <v>50</v>
      </c>
      <c r="G1492">
        <f t="shared" si="465"/>
        <v>10</v>
      </c>
      <c r="H1492" t="str">
        <f t="shared" si="466"/>
        <v/>
      </c>
      <c r="I1492" t="str">
        <f t="shared" si="467"/>
        <v/>
      </c>
      <c r="J1492" t="str">
        <f t="shared" si="468"/>
        <v/>
      </c>
      <c r="K1492" t="str">
        <f t="shared" si="469"/>
        <v/>
      </c>
      <c r="L1492" t="str">
        <f t="shared" si="470"/>
        <v/>
      </c>
      <c r="M1492" t="str">
        <f t="shared" si="471"/>
        <v/>
      </c>
      <c r="N1492" t="str">
        <f t="shared" si="472"/>
        <v/>
      </c>
      <c r="O1492" t="str">
        <f t="shared" si="473"/>
        <v/>
      </c>
      <c r="P1492" t="str">
        <f t="shared" si="474"/>
        <v/>
      </c>
      <c r="Q1492" t="str">
        <f t="shared" si="475"/>
        <v/>
      </c>
      <c r="R1492" t="str">
        <f t="shared" si="476"/>
        <v/>
      </c>
      <c r="S1492" t="str">
        <f t="shared" si="477"/>
        <v/>
      </c>
      <c r="T1492" t="str">
        <f t="shared" si="478"/>
        <v/>
      </c>
      <c r="U1492" t="str">
        <f t="shared" si="479"/>
        <v/>
      </c>
      <c r="V1492" t="str">
        <f t="shared" si="480"/>
        <v/>
      </c>
      <c r="W1492" t="str">
        <f t="shared" si="463"/>
        <v xml:space="preserve">              </v>
      </c>
    </row>
    <row r="1493" spans="1:23" customFormat="1" hidden="1">
      <c r="A1493" t="b">
        <f t="shared" si="462"/>
        <v>0</v>
      </c>
      <c r="B1493">
        <f t="shared" si="464"/>
        <v>1492</v>
      </c>
      <c r="C1493" t="s">
        <v>1243</v>
      </c>
      <c r="D1493" t="s">
        <v>1465</v>
      </c>
      <c r="E1493">
        <f t="shared" si="461"/>
        <v>44</v>
      </c>
      <c r="G1493">
        <f t="shared" si="465"/>
        <v>11</v>
      </c>
      <c r="H1493" t="str">
        <f t="shared" si="466"/>
        <v/>
      </c>
      <c r="I1493" t="str">
        <f t="shared" si="467"/>
        <v/>
      </c>
      <c r="J1493" t="str">
        <f t="shared" si="468"/>
        <v/>
      </c>
      <c r="K1493" t="str">
        <f t="shared" si="469"/>
        <v/>
      </c>
      <c r="L1493" t="str">
        <f t="shared" si="470"/>
        <v/>
      </c>
      <c r="M1493" t="str">
        <f t="shared" si="471"/>
        <v/>
      </c>
      <c r="N1493" t="str">
        <f t="shared" si="472"/>
        <v/>
      </c>
      <c r="O1493" t="str">
        <f t="shared" si="473"/>
        <v/>
      </c>
      <c r="P1493" t="str">
        <f t="shared" si="474"/>
        <v/>
      </c>
      <c r="Q1493" t="str">
        <f t="shared" si="475"/>
        <v/>
      </c>
      <c r="R1493" t="str">
        <f t="shared" si="476"/>
        <v/>
      </c>
      <c r="S1493" t="str">
        <f t="shared" si="477"/>
        <v/>
      </c>
      <c r="T1493" t="str">
        <f t="shared" si="478"/>
        <v/>
      </c>
      <c r="U1493" t="str">
        <f t="shared" si="479"/>
        <v/>
      </c>
      <c r="V1493" t="str">
        <f t="shared" si="480"/>
        <v/>
      </c>
      <c r="W1493" t="str">
        <f t="shared" si="463"/>
        <v xml:space="preserve">              </v>
      </c>
    </row>
    <row r="1494" spans="1:23" customFormat="1" hidden="1">
      <c r="A1494" t="b">
        <f t="shared" si="462"/>
        <v>0</v>
      </c>
      <c r="B1494">
        <f t="shared" si="464"/>
        <v>1493</v>
      </c>
      <c r="C1494" t="s">
        <v>1243</v>
      </c>
      <c r="D1494" t="s">
        <v>1466</v>
      </c>
      <c r="E1494">
        <f t="shared" si="461"/>
        <v>36</v>
      </c>
      <c r="G1494">
        <f t="shared" si="465"/>
        <v>12</v>
      </c>
      <c r="H1494" t="str">
        <f t="shared" si="466"/>
        <v/>
      </c>
      <c r="I1494" t="str">
        <f t="shared" si="467"/>
        <v/>
      </c>
      <c r="J1494" t="str">
        <f t="shared" si="468"/>
        <v/>
      </c>
      <c r="K1494" t="str">
        <f t="shared" si="469"/>
        <v/>
      </c>
      <c r="L1494" t="str">
        <f t="shared" si="470"/>
        <v/>
      </c>
      <c r="M1494" t="str">
        <f t="shared" si="471"/>
        <v/>
      </c>
      <c r="N1494" t="str">
        <f t="shared" si="472"/>
        <v/>
      </c>
      <c r="O1494" t="str">
        <f t="shared" si="473"/>
        <v/>
      </c>
      <c r="P1494" t="str">
        <f t="shared" si="474"/>
        <v/>
      </c>
      <c r="Q1494" t="str">
        <f t="shared" si="475"/>
        <v/>
      </c>
      <c r="R1494" t="str">
        <f t="shared" si="476"/>
        <v/>
      </c>
      <c r="S1494" t="str">
        <f t="shared" si="477"/>
        <v/>
      </c>
      <c r="T1494" t="str">
        <f t="shared" si="478"/>
        <v/>
      </c>
      <c r="U1494" t="str">
        <f t="shared" si="479"/>
        <v/>
      </c>
      <c r="V1494" t="str">
        <f t="shared" si="480"/>
        <v/>
      </c>
      <c r="W1494" t="str">
        <f t="shared" si="463"/>
        <v xml:space="preserve">              </v>
      </c>
    </row>
    <row r="1495" spans="1:23" hidden="1">
      <c r="A1495" s="71" t="b">
        <f t="shared" si="462"/>
        <v>0</v>
      </c>
      <c r="B1495" s="71">
        <f t="shared" si="464"/>
        <v>1494</v>
      </c>
      <c r="C1495" s="71" t="s">
        <v>1243</v>
      </c>
      <c r="D1495" s="71" t="s">
        <v>1467</v>
      </c>
      <c r="E1495">
        <f t="shared" si="461"/>
        <v>12</v>
      </c>
      <c r="F1495">
        <v>1</v>
      </c>
      <c r="G1495">
        <f t="shared" si="465"/>
        <v>1</v>
      </c>
      <c r="H1495" t="str">
        <f t="shared" si="466"/>
        <v>Transference</v>
      </c>
      <c r="I1495" t="str">
        <f t="shared" si="467"/>
        <v>A risk response that transfers the ownership of</v>
      </c>
      <c r="J1495" t="str">
        <f t="shared" si="468"/>
        <v>the risk to another party. Insurance, licensed</v>
      </c>
      <c r="K1495" t="str">
        <f t="shared" si="469"/>
        <v>contractors, or other project teams are good</v>
      </c>
      <c r="L1495" t="str">
        <f t="shared" si="470"/>
        <v>examples of transference. A fee and contractual</v>
      </c>
      <c r="M1495" t="str">
        <f t="shared" si="471"/>
        <v>relationships are typically involved with the</v>
      </c>
      <c r="N1495" t="str">
        <f t="shared" si="472"/>
        <v>transference of a risk.</v>
      </c>
      <c r="O1495" t="str">
        <f t="shared" si="473"/>
        <v/>
      </c>
      <c r="P1495" t="str">
        <f t="shared" si="474"/>
        <v/>
      </c>
      <c r="Q1495" t="str">
        <f t="shared" si="475"/>
        <v/>
      </c>
      <c r="R1495" t="str">
        <f t="shared" si="476"/>
        <v/>
      </c>
      <c r="S1495" t="str">
        <f t="shared" si="477"/>
        <v/>
      </c>
      <c r="T1495" t="str">
        <f t="shared" si="478"/>
        <v/>
      </c>
      <c r="U1495" t="str">
        <f t="shared" si="479"/>
        <v/>
      </c>
      <c r="V1495" t="str">
        <f t="shared" si="480"/>
        <v/>
      </c>
      <c r="W1495" s="71" t="str">
        <f>CONCATENATE(H1495," ",I1495," ",J1495," ",K1495," ",L1495," ",M1495," ",N1495," ",O1495," ",P1495," ",Q1495," ",R1495," ",S1495," ",T1495," ",U1495," ",V1495)</f>
        <v xml:space="preserve">Transference A risk response that transfers the ownership of the risk to another party. Insurance, licensed contractors, or other project teams are good examples of transference. A fee and contractual relationships are typically involved with the transference of a risk.        </v>
      </c>
    </row>
    <row r="1496" spans="1:23" customFormat="1" hidden="1">
      <c r="A1496" t="b">
        <f t="shared" si="462"/>
        <v>0</v>
      </c>
      <c r="B1496">
        <f t="shared" si="464"/>
        <v>1495</v>
      </c>
      <c r="C1496" t="s">
        <v>1243</v>
      </c>
      <c r="D1496" t="s">
        <v>1468</v>
      </c>
      <c r="E1496">
        <f t="shared" si="461"/>
        <v>47</v>
      </c>
      <c r="G1496">
        <f t="shared" si="465"/>
        <v>2</v>
      </c>
      <c r="H1496" t="str">
        <f t="shared" si="466"/>
        <v/>
      </c>
      <c r="I1496" t="str">
        <f t="shared" si="467"/>
        <v/>
      </c>
      <c r="J1496" t="str">
        <f t="shared" si="468"/>
        <v/>
      </c>
      <c r="K1496" t="str">
        <f t="shared" si="469"/>
        <v/>
      </c>
      <c r="L1496" t="str">
        <f t="shared" si="470"/>
        <v/>
      </c>
      <c r="M1496" t="str">
        <f t="shared" si="471"/>
        <v/>
      </c>
      <c r="N1496" t="str">
        <f t="shared" si="472"/>
        <v/>
      </c>
      <c r="O1496" t="str">
        <f t="shared" si="473"/>
        <v/>
      </c>
      <c r="P1496" t="str">
        <f t="shared" si="474"/>
        <v/>
      </c>
      <c r="Q1496" t="str">
        <f t="shared" si="475"/>
        <v/>
      </c>
      <c r="R1496" t="str">
        <f t="shared" si="476"/>
        <v/>
      </c>
      <c r="S1496" t="str">
        <f t="shared" si="477"/>
        <v/>
      </c>
      <c r="T1496" t="str">
        <f t="shared" si="478"/>
        <v/>
      </c>
      <c r="U1496" t="str">
        <f t="shared" si="479"/>
        <v/>
      </c>
      <c r="V1496" t="str">
        <f t="shared" si="480"/>
        <v/>
      </c>
      <c r="W1496" t="str">
        <f t="shared" si="463"/>
        <v xml:space="preserve">              </v>
      </c>
    </row>
    <row r="1497" spans="1:23" customFormat="1" hidden="1">
      <c r="A1497" t="b">
        <f t="shared" si="462"/>
        <v>0</v>
      </c>
      <c r="B1497">
        <f t="shared" si="464"/>
        <v>1496</v>
      </c>
      <c r="C1497" t="s">
        <v>1243</v>
      </c>
      <c r="D1497" t="s">
        <v>1469</v>
      </c>
      <c r="E1497">
        <f t="shared" si="461"/>
        <v>46</v>
      </c>
      <c r="G1497">
        <f t="shared" si="465"/>
        <v>3</v>
      </c>
      <c r="H1497" t="str">
        <f t="shared" si="466"/>
        <v/>
      </c>
      <c r="I1497" t="str">
        <f t="shared" si="467"/>
        <v/>
      </c>
      <c r="J1497" t="str">
        <f t="shared" si="468"/>
        <v/>
      </c>
      <c r="K1497" t="str">
        <f t="shared" si="469"/>
        <v/>
      </c>
      <c r="L1497" t="str">
        <f t="shared" si="470"/>
        <v/>
      </c>
      <c r="M1497" t="str">
        <f t="shared" si="471"/>
        <v/>
      </c>
      <c r="N1497" t="str">
        <f t="shared" si="472"/>
        <v/>
      </c>
      <c r="O1497" t="str">
        <f t="shared" si="473"/>
        <v/>
      </c>
      <c r="P1497" t="str">
        <f t="shared" si="474"/>
        <v/>
      </c>
      <c r="Q1497" t="str">
        <f t="shared" si="475"/>
        <v/>
      </c>
      <c r="R1497" t="str">
        <f t="shared" si="476"/>
        <v/>
      </c>
      <c r="S1497" t="str">
        <f t="shared" si="477"/>
        <v/>
      </c>
      <c r="T1497" t="str">
        <f t="shared" si="478"/>
        <v/>
      </c>
      <c r="U1497" t="str">
        <f t="shared" si="479"/>
        <v/>
      </c>
      <c r="V1497" t="str">
        <f t="shared" si="480"/>
        <v/>
      </c>
      <c r="W1497" t="str">
        <f t="shared" si="463"/>
        <v xml:space="preserve">              </v>
      </c>
    </row>
    <row r="1498" spans="1:23" customFormat="1" hidden="1">
      <c r="A1498" t="b">
        <f t="shared" si="462"/>
        <v>0</v>
      </c>
      <c r="B1498">
        <f t="shared" si="464"/>
        <v>1497</v>
      </c>
      <c r="C1498" t="s">
        <v>1243</v>
      </c>
      <c r="D1498" t="s">
        <v>1470</v>
      </c>
      <c r="E1498">
        <f t="shared" si="461"/>
        <v>44</v>
      </c>
      <c r="G1498">
        <f t="shared" si="465"/>
        <v>4</v>
      </c>
      <c r="H1498" t="str">
        <f t="shared" si="466"/>
        <v/>
      </c>
      <c r="I1498" t="str">
        <f t="shared" si="467"/>
        <v/>
      </c>
      <c r="J1498" t="str">
        <f t="shared" si="468"/>
        <v/>
      </c>
      <c r="K1498" t="str">
        <f t="shared" si="469"/>
        <v/>
      </c>
      <c r="L1498" t="str">
        <f t="shared" si="470"/>
        <v/>
      </c>
      <c r="M1498" t="str">
        <f t="shared" si="471"/>
        <v/>
      </c>
      <c r="N1498" t="str">
        <f t="shared" si="472"/>
        <v/>
      </c>
      <c r="O1498" t="str">
        <f t="shared" si="473"/>
        <v/>
      </c>
      <c r="P1498" t="str">
        <f t="shared" si="474"/>
        <v/>
      </c>
      <c r="Q1498" t="str">
        <f t="shared" si="475"/>
        <v/>
      </c>
      <c r="R1498" t="str">
        <f t="shared" si="476"/>
        <v/>
      </c>
      <c r="S1498" t="str">
        <f t="shared" si="477"/>
        <v/>
      </c>
      <c r="T1498" t="str">
        <f t="shared" si="478"/>
        <v/>
      </c>
      <c r="U1498" t="str">
        <f t="shared" si="479"/>
        <v/>
      </c>
      <c r="V1498" t="str">
        <f t="shared" si="480"/>
        <v/>
      </c>
      <c r="W1498" t="str">
        <f t="shared" si="463"/>
        <v xml:space="preserve">              </v>
      </c>
    </row>
    <row r="1499" spans="1:23" customFormat="1" hidden="1">
      <c r="A1499" t="b">
        <f t="shared" si="462"/>
        <v>0</v>
      </c>
      <c r="B1499">
        <f t="shared" si="464"/>
        <v>1498</v>
      </c>
      <c r="C1499" t="s">
        <v>1243</v>
      </c>
      <c r="D1499" t="s">
        <v>1471</v>
      </c>
      <c r="E1499">
        <f t="shared" si="461"/>
        <v>47</v>
      </c>
      <c r="G1499">
        <f t="shared" si="465"/>
        <v>5</v>
      </c>
      <c r="H1499" t="str">
        <f t="shared" si="466"/>
        <v/>
      </c>
      <c r="I1499" t="str">
        <f t="shared" si="467"/>
        <v/>
      </c>
      <c r="J1499" t="str">
        <f t="shared" si="468"/>
        <v/>
      </c>
      <c r="K1499" t="str">
        <f t="shared" si="469"/>
        <v/>
      </c>
      <c r="L1499" t="str">
        <f t="shared" si="470"/>
        <v/>
      </c>
      <c r="M1499" t="str">
        <f t="shared" si="471"/>
        <v/>
      </c>
      <c r="N1499" t="str">
        <f t="shared" si="472"/>
        <v/>
      </c>
      <c r="O1499" t="str">
        <f t="shared" si="473"/>
        <v/>
      </c>
      <c r="P1499" t="str">
        <f t="shared" si="474"/>
        <v/>
      </c>
      <c r="Q1499" t="str">
        <f t="shared" si="475"/>
        <v/>
      </c>
      <c r="R1499" t="str">
        <f t="shared" si="476"/>
        <v/>
      </c>
      <c r="S1499" t="str">
        <f t="shared" si="477"/>
        <v/>
      </c>
      <c r="T1499" t="str">
        <f t="shared" si="478"/>
        <v/>
      </c>
      <c r="U1499" t="str">
        <f t="shared" si="479"/>
        <v/>
      </c>
      <c r="V1499" t="str">
        <f t="shared" si="480"/>
        <v/>
      </c>
      <c r="W1499" t="str">
        <f t="shared" si="463"/>
        <v xml:space="preserve">              </v>
      </c>
    </row>
    <row r="1500" spans="1:23" customFormat="1" hidden="1">
      <c r="A1500" t="b">
        <f t="shared" si="462"/>
        <v>0</v>
      </c>
      <c r="B1500">
        <f t="shared" si="464"/>
        <v>1499</v>
      </c>
      <c r="C1500" t="s">
        <v>1243</v>
      </c>
      <c r="D1500" t="s">
        <v>1472</v>
      </c>
      <c r="E1500">
        <f t="shared" si="461"/>
        <v>45</v>
      </c>
      <c r="G1500">
        <f t="shared" si="465"/>
        <v>6</v>
      </c>
      <c r="H1500" t="str">
        <f t="shared" si="466"/>
        <v/>
      </c>
      <c r="I1500" t="str">
        <f t="shared" si="467"/>
        <v/>
      </c>
      <c r="J1500" t="str">
        <f t="shared" si="468"/>
        <v/>
      </c>
      <c r="K1500" t="str">
        <f t="shared" si="469"/>
        <v/>
      </c>
      <c r="L1500" t="str">
        <f t="shared" si="470"/>
        <v/>
      </c>
      <c r="M1500" t="str">
        <f t="shared" si="471"/>
        <v/>
      </c>
      <c r="N1500" t="str">
        <f t="shared" si="472"/>
        <v/>
      </c>
      <c r="O1500" t="str">
        <f t="shared" si="473"/>
        <v/>
      </c>
      <c r="P1500" t="str">
        <f t="shared" si="474"/>
        <v/>
      </c>
      <c r="Q1500" t="str">
        <f t="shared" si="475"/>
        <v/>
      </c>
      <c r="R1500" t="str">
        <f t="shared" si="476"/>
        <v/>
      </c>
      <c r="S1500" t="str">
        <f t="shared" si="477"/>
        <v/>
      </c>
      <c r="T1500" t="str">
        <f t="shared" si="478"/>
        <v/>
      </c>
      <c r="U1500" t="str">
        <f t="shared" si="479"/>
        <v/>
      </c>
      <c r="V1500" t="str">
        <f t="shared" si="480"/>
        <v/>
      </c>
      <c r="W1500" t="str">
        <f t="shared" si="463"/>
        <v xml:space="preserve">              </v>
      </c>
    </row>
    <row r="1501" spans="1:23" customFormat="1" hidden="1">
      <c r="A1501" t="b">
        <f t="shared" si="462"/>
        <v>0</v>
      </c>
      <c r="B1501">
        <f t="shared" si="464"/>
        <v>1500</v>
      </c>
      <c r="C1501" t="s">
        <v>1243</v>
      </c>
      <c r="D1501" t="s">
        <v>1473</v>
      </c>
      <c r="E1501">
        <f t="shared" si="461"/>
        <v>23</v>
      </c>
      <c r="G1501">
        <f t="shared" si="465"/>
        <v>7</v>
      </c>
      <c r="H1501" t="str">
        <f t="shared" si="466"/>
        <v/>
      </c>
      <c r="I1501" t="str">
        <f t="shared" si="467"/>
        <v/>
      </c>
      <c r="J1501" t="str">
        <f t="shared" si="468"/>
        <v/>
      </c>
      <c r="K1501" t="str">
        <f t="shared" si="469"/>
        <v/>
      </c>
      <c r="L1501" t="str">
        <f t="shared" si="470"/>
        <v/>
      </c>
      <c r="M1501" t="str">
        <f t="shared" si="471"/>
        <v/>
      </c>
      <c r="N1501" t="str">
        <f t="shared" si="472"/>
        <v/>
      </c>
      <c r="O1501" t="str">
        <f t="shared" si="473"/>
        <v/>
      </c>
      <c r="P1501" t="str">
        <f t="shared" si="474"/>
        <v/>
      </c>
      <c r="Q1501" t="str">
        <f t="shared" si="475"/>
        <v/>
      </c>
      <c r="R1501" t="str">
        <f t="shared" si="476"/>
        <v/>
      </c>
      <c r="S1501" t="str">
        <f t="shared" si="477"/>
        <v/>
      </c>
      <c r="T1501" t="str">
        <f t="shared" si="478"/>
        <v/>
      </c>
      <c r="U1501" t="str">
        <f t="shared" si="479"/>
        <v/>
      </c>
      <c r="V1501" t="str">
        <f t="shared" si="480"/>
        <v/>
      </c>
      <c r="W1501" t="str">
        <f t="shared" si="463"/>
        <v xml:space="preserve">              </v>
      </c>
    </row>
    <row r="1502" spans="1:23" hidden="1">
      <c r="A1502" s="71" t="b">
        <f t="shared" si="462"/>
        <v>0</v>
      </c>
      <c r="B1502" s="71">
        <f t="shared" si="464"/>
        <v>1501</v>
      </c>
      <c r="C1502" s="71" t="s">
        <v>1243</v>
      </c>
      <c r="D1502" s="71" t="s">
        <v>1474</v>
      </c>
      <c r="E1502">
        <f t="shared" si="461"/>
        <v>17</v>
      </c>
      <c r="F1502">
        <v>1</v>
      </c>
      <c r="G1502">
        <f t="shared" si="465"/>
        <v>1</v>
      </c>
      <c r="H1502" t="str">
        <f t="shared" si="466"/>
        <v>Variability risks</v>
      </c>
      <c r="I1502" t="str">
        <f t="shared" si="467"/>
        <v>A type of risk based on the variations that may</v>
      </c>
      <c r="J1502" t="str">
        <f t="shared" si="468"/>
        <v>occur in the project, such as production, number</v>
      </c>
      <c r="K1502" t="str">
        <f t="shared" si="469"/>
        <v>of quality errors, or even the weather.</v>
      </c>
      <c r="L1502" t="str">
        <f t="shared" si="470"/>
        <v/>
      </c>
      <c r="M1502" t="str">
        <f t="shared" si="471"/>
        <v/>
      </c>
      <c r="N1502" t="str">
        <f t="shared" si="472"/>
        <v/>
      </c>
      <c r="O1502" t="str">
        <f t="shared" si="473"/>
        <v/>
      </c>
      <c r="P1502" t="str">
        <f t="shared" si="474"/>
        <v/>
      </c>
      <c r="Q1502" t="str">
        <f t="shared" si="475"/>
        <v/>
      </c>
      <c r="R1502" t="str">
        <f t="shared" si="476"/>
        <v/>
      </c>
      <c r="S1502" t="str">
        <f t="shared" si="477"/>
        <v/>
      </c>
      <c r="T1502" t="str">
        <f t="shared" si="478"/>
        <v/>
      </c>
      <c r="U1502" t="str">
        <f t="shared" si="479"/>
        <v/>
      </c>
      <c r="V1502" t="str">
        <f t="shared" si="480"/>
        <v/>
      </c>
      <c r="W1502" s="71" t="str">
        <f>CONCATENATE(H1502," ",I1502," ",J1502," ",K1502," ",L1502," ",M1502," ",N1502," ",O1502," ",P1502," ",Q1502," ",R1502," ",S1502," ",T1502," ",U1502," ",V1502)</f>
        <v xml:space="preserve">Variability risks A type of risk based on the variations that may occur in the project, such as production, number of quality errors, or even the weather.           </v>
      </c>
    </row>
    <row r="1503" spans="1:23" customFormat="1" hidden="1">
      <c r="A1503" t="b">
        <f t="shared" si="462"/>
        <v>0</v>
      </c>
      <c r="B1503">
        <f t="shared" si="464"/>
        <v>1502</v>
      </c>
      <c r="C1503" t="s">
        <v>1243</v>
      </c>
      <c r="D1503" t="s">
        <v>1475</v>
      </c>
      <c r="E1503">
        <f t="shared" si="461"/>
        <v>47</v>
      </c>
      <c r="G1503">
        <f t="shared" si="465"/>
        <v>2</v>
      </c>
      <c r="H1503" t="str">
        <f t="shared" si="466"/>
        <v/>
      </c>
      <c r="I1503" t="str">
        <f t="shared" si="467"/>
        <v/>
      </c>
      <c r="J1503" t="str">
        <f t="shared" si="468"/>
        <v/>
      </c>
      <c r="K1503" t="str">
        <f t="shared" si="469"/>
        <v/>
      </c>
      <c r="L1503" t="str">
        <f t="shared" si="470"/>
        <v/>
      </c>
      <c r="M1503" t="str">
        <f t="shared" si="471"/>
        <v/>
      </c>
      <c r="N1503" t="str">
        <f t="shared" si="472"/>
        <v/>
      </c>
      <c r="O1503" t="str">
        <f t="shared" si="473"/>
        <v/>
      </c>
      <c r="P1503" t="str">
        <f t="shared" si="474"/>
        <v/>
      </c>
      <c r="Q1503" t="str">
        <f t="shared" si="475"/>
        <v/>
      </c>
      <c r="R1503" t="str">
        <f t="shared" si="476"/>
        <v/>
      </c>
      <c r="S1503" t="str">
        <f t="shared" si="477"/>
        <v/>
      </c>
      <c r="T1503" t="str">
        <f t="shared" si="478"/>
        <v/>
      </c>
      <c r="U1503" t="str">
        <f t="shared" si="479"/>
        <v/>
      </c>
      <c r="V1503" t="str">
        <f t="shared" si="480"/>
        <v/>
      </c>
      <c r="W1503" t="str">
        <f t="shared" si="463"/>
        <v xml:space="preserve">              </v>
      </c>
    </row>
    <row r="1504" spans="1:23" customFormat="1" hidden="1">
      <c r="A1504" t="b">
        <f t="shared" si="462"/>
        <v>0</v>
      </c>
      <c r="B1504">
        <f t="shared" si="464"/>
        <v>1503</v>
      </c>
      <c r="C1504" t="s">
        <v>1243</v>
      </c>
      <c r="D1504" t="s">
        <v>1476</v>
      </c>
      <c r="E1504">
        <f t="shared" si="461"/>
        <v>48</v>
      </c>
      <c r="G1504">
        <f t="shared" si="465"/>
        <v>3</v>
      </c>
      <c r="H1504" t="str">
        <f t="shared" si="466"/>
        <v/>
      </c>
      <c r="I1504" t="str">
        <f t="shared" si="467"/>
        <v/>
      </c>
      <c r="J1504" t="str">
        <f t="shared" si="468"/>
        <v/>
      </c>
      <c r="K1504" t="str">
        <f t="shared" si="469"/>
        <v/>
      </c>
      <c r="L1504" t="str">
        <f t="shared" si="470"/>
        <v/>
      </c>
      <c r="M1504" t="str">
        <f t="shared" si="471"/>
        <v/>
      </c>
      <c r="N1504" t="str">
        <f t="shared" si="472"/>
        <v/>
      </c>
      <c r="O1504" t="str">
        <f t="shared" si="473"/>
        <v/>
      </c>
      <c r="P1504" t="str">
        <f t="shared" si="474"/>
        <v/>
      </c>
      <c r="Q1504" t="str">
        <f t="shared" si="475"/>
        <v/>
      </c>
      <c r="R1504" t="str">
        <f t="shared" si="476"/>
        <v/>
      </c>
      <c r="S1504" t="str">
        <f t="shared" si="477"/>
        <v/>
      </c>
      <c r="T1504" t="str">
        <f t="shared" si="478"/>
        <v/>
      </c>
      <c r="U1504" t="str">
        <f t="shared" si="479"/>
        <v/>
      </c>
      <c r="V1504" t="str">
        <f t="shared" si="480"/>
        <v/>
      </c>
      <c r="W1504" t="str">
        <f t="shared" si="463"/>
        <v xml:space="preserve">              </v>
      </c>
    </row>
    <row r="1505" spans="1:23" customFormat="1" hidden="1">
      <c r="A1505" t="b">
        <f t="shared" si="462"/>
        <v>0</v>
      </c>
      <c r="B1505">
        <f t="shared" si="464"/>
        <v>1504</v>
      </c>
      <c r="C1505" t="s">
        <v>1243</v>
      </c>
      <c r="D1505" t="s">
        <v>1477</v>
      </c>
      <c r="E1505">
        <f t="shared" si="461"/>
        <v>39</v>
      </c>
      <c r="G1505">
        <f t="shared" si="465"/>
        <v>4</v>
      </c>
      <c r="H1505" t="str">
        <f t="shared" si="466"/>
        <v/>
      </c>
      <c r="I1505" t="str">
        <f t="shared" si="467"/>
        <v/>
      </c>
      <c r="J1505" t="str">
        <f t="shared" si="468"/>
        <v/>
      </c>
      <c r="K1505" t="str">
        <f t="shared" si="469"/>
        <v/>
      </c>
      <c r="L1505" t="str">
        <f t="shared" si="470"/>
        <v/>
      </c>
      <c r="M1505" t="str">
        <f t="shared" si="471"/>
        <v/>
      </c>
      <c r="N1505" t="str">
        <f t="shared" si="472"/>
        <v/>
      </c>
      <c r="O1505" t="str">
        <f t="shared" si="473"/>
        <v/>
      </c>
      <c r="P1505" t="str">
        <f t="shared" si="474"/>
        <v/>
      </c>
      <c r="Q1505" t="str">
        <f t="shared" si="475"/>
        <v/>
      </c>
      <c r="R1505" t="str">
        <f t="shared" si="476"/>
        <v/>
      </c>
      <c r="S1505" t="str">
        <f t="shared" si="477"/>
        <v/>
      </c>
      <c r="T1505" t="str">
        <f t="shared" si="478"/>
        <v/>
      </c>
      <c r="U1505" t="str">
        <f t="shared" si="479"/>
        <v/>
      </c>
      <c r="V1505" t="str">
        <f t="shared" si="480"/>
        <v/>
      </c>
      <c r="W1505" t="str">
        <f t="shared" si="463"/>
        <v xml:space="preserve">              </v>
      </c>
    </row>
    <row r="1506" spans="1:23" hidden="1">
      <c r="A1506" s="71" t="b">
        <f t="shared" si="462"/>
        <v>0</v>
      </c>
      <c r="B1506" s="71">
        <f t="shared" si="464"/>
        <v>1505</v>
      </c>
      <c r="C1506" s="71" t="s">
        <v>1243</v>
      </c>
      <c r="D1506" s="71" t="s">
        <v>1478</v>
      </c>
      <c r="E1506">
        <f t="shared" si="461"/>
        <v>4</v>
      </c>
      <c r="F1506">
        <v>1</v>
      </c>
      <c r="G1506">
        <f t="shared" si="465"/>
        <v>1</v>
      </c>
      <c r="H1506" t="str">
        <f t="shared" si="466"/>
        <v>VUCA</v>
      </c>
      <c r="I1506" t="str">
        <f t="shared" si="467"/>
        <v>A prompt list used in risk identification that</v>
      </c>
      <c r="J1506" t="str">
        <f t="shared" si="468"/>
        <v>examines the Volatility, Uncertainty, Complexity,</v>
      </c>
      <c r="K1506" t="str">
        <f t="shared" si="469"/>
        <v>and Ambiguity of risk factors within the project.</v>
      </c>
      <c r="L1506" t="str">
        <f t="shared" si="470"/>
        <v>Contract change control system This defines the procedures for how the contract may be changed. The process for changing the contract includes the forms; documented communications; tracking; conditions within the project, business, or marketplace that justify the needed change; dispute resolution procedures; and the procedures for getting the changes approved within the performing organization. Contract statement of work (SOW also CSOW) This document requires that the seller fully describe the work to be completed and/or the product to be supplied. The SOW becomes part of the contract between the buyer and the seller. Cost plus award fee contract A contract that pays the vendor all costs for the project, but also includes a buyer-determined award fee for the project work. Cost plus fixed fee contract A contract that requires the buyer to pay for the cost of the goods and services procured plus a fixed fee for the contracted work. The buyer assumes the risk of a cost overrun. Cost plus incentive fee A contract type that requires the buyer to pay a cost for the procured work, plus an incentive fee, or a bonus, for the work if terms and conditions are met. Cost plus percentage of costs A contract that requires the buyer to pay for the costs of the goods and services procured plus a percentage of the costs. The buyer assumes all of the risks for cost overruns. Direct costs These are costs incurred by the project in order for the project to exist. Examples include the equipment needed to complete the project work, salaries of the project team, and other expenses tied directly to the project’s existence.</v>
      </c>
      <c r="M1506" t="str">
        <f t="shared" si="471"/>
        <v/>
      </c>
      <c r="N1506" t="str">
        <f t="shared" si="472"/>
        <v/>
      </c>
      <c r="O1506" t="str">
        <f t="shared" si="473"/>
        <v/>
      </c>
      <c r="P1506" t="str">
        <f t="shared" si="474"/>
        <v/>
      </c>
      <c r="Q1506" t="str">
        <f t="shared" si="475"/>
        <v/>
      </c>
      <c r="R1506" t="str">
        <f t="shared" si="476"/>
        <v/>
      </c>
      <c r="S1506" t="str">
        <f t="shared" si="477"/>
        <v/>
      </c>
      <c r="T1506" t="str">
        <f t="shared" si="478"/>
        <v/>
      </c>
      <c r="U1506" t="str">
        <f t="shared" si="479"/>
        <v/>
      </c>
      <c r="V1506" t="str">
        <f t="shared" si="480"/>
        <v/>
      </c>
      <c r="W1506" s="71" t="str">
        <f>CONCATENATE(H1506," ",I1506," ",J1506," ",K1506," ",L1506," ",M1506," ",N1506," ",O1506," ",P1506," ",Q1506," ",R1506," ",S1506," ",T1506," ",U1506," ",V1506)</f>
        <v xml:space="preserve">VUCA A prompt list used in risk identification that examines the Volatility, Uncertainty, Complexity, and Ambiguity of risk factors within the project. Contract change control system This defines the procedures for how the contract may be changed. The process for changing the contract includes the forms; documented communications; tracking; conditions within the project, business, or marketplace that justify the needed change; dispute resolution procedures; and the procedures for getting the changes approved within the performing organization. Contract statement of work (SOW also CSOW) This document requires that the seller fully describe the work to be completed and/or the product to be supplied. The SOW becomes part of the contract between the buyer and the seller. Cost plus award fee contract A contract that pays the vendor all costs for the project, but also includes a buyer-determined award fee for the project work. Cost plus fixed fee contract A contract that requires the buyer to pay for the cost of the goods and services procured plus a fixed fee for the contracted work. The buyer assumes the risk of a cost overrun. Cost plus incentive fee A contract type that requires the buyer to pay a cost for the procured work, plus an incentive fee, or a bonus, for the work if terms and conditions are met. Cost plus percentage of costs A contract that requires the buyer to pay for the costs of the goods and services procured plus a percentage of the costs. The buyer assumes all of the risks for cost overruns. Direct costs These are costs incurred by the project in order for the project to exist. Examples include the equipment needed to complete the project work, salaries of the project team, and other expenses tied directly to the project’s existence.          </v>
      </c>
    </row>
    <row r="1507" spans="1:23" customFormat="1" hidden="1">
      <c r="A1507" t="b">
        <f t="shared" si="462"/>
        <v>0</v>
      </c>
      <c r="B1507">
        <f t="shared" si="464"/>
        <v>1506</v>
      </c>
      <c r="C1507" t="s">
        <v>1243</v>
      </c>
      <c r="D1507" t="s">
        <v>1479</v>
      </c>
      <c r="E1507">
        <f t="shared" ref="E1507:E1565" si="481">LEN(D1507)</f>
        <v>46</v>
      </c>
      <c r="G1507">
        <f t="shared" si="465"/>
        <v>2</v>
      </c>
      <c r="H1507" t="str">
        <f t="shared" si="466"/>
        <v/>
      </c>
      <c r="I1507" t="str">
        <f t="shared" si="467"/>
        <v/>
      </c>
      <c r="J1507" t="str">
        <f t="shared" si="468"/>
        <v/>
      </c>
      <c r="K1507" t="str">
        <f t="shared" si="469"/>
        <v/>
      </c>
      <c r="L1507" t="str">
        <f t="shared" si="470"/>
        <v/>
      </c>
      <c r="M1507" t="str">
        <f t="shared" si="471"/>
        <v/>
      </c>
      <c r="N1507" t="str">
        <f t="shared" si="472"/>
        <v/>
      </c>
      <c r="O1507" t="str">
        <f t="shared" si="473"/>
        <v/>
      </c>
      <c r="P1507" t="str">
        <f t="shared" si="474"/>
        <v/>
      </c>
      <c r="Q1507" t="str">
        <f t="shared" si="475"/>
        <v/>
      </c>
      <c r="R1507" t="str">
        <f t="shared" si="476"/>
        <v/>
      </c>
      <c r="S1507" t="str">
        <f t="shared" si="477"/>
        <v/>
      </c>
      <c r="T1507" t="str">
        <f t="shared" si="478"/>
        <v/>
      </c>
      <c r="U1507" t="str">
        <f t="shared" si="479"/>
        <v/>
      </c>
      <c r="V1507" t="str">
        <f t="shared" si="480"/>
        <v/>
      </c>
      <c r="W1507" t="str">
        <f t="shared" si="463"/>
        <v xml:space="preserve">              </v>
      </c>
    </row>
    <row r="1508" spans="1:23" customFormat="1" hidden="1">
      <c r="A1508" t="b">
        <f t="shared" si="462"/>
        <v>0</v>
      </c>
      <c r="B1508">
        <f t="shared" si="464"/>
        <v>1507</v>
      </c>
      <c r="C1508" t="s">
        <v>1243</v>
      </c>
      <c r="D1508" t="s">
        <v>1480</v>
      </c>
      <c r="E1508">
        <f t="shared" si="481"/>
        <v>49</v>
      </c>
      <c r="G1508">
        <f t="shared" si="465"/>
        <v>3</v>
      </c>
      <c r="H1508" t="str">
        <f t="shared" si="466"/>
        <v/>
      </c>
      <c r="I1508" t="str">
        <f t="shared" si="467"/>
        <v/>
      </c>
      <c r="J1508" t="str">
        <f t="shared" si="468"/>
        <v/>
      </c>
      <c r="K1508" t="str">
        <f t="shared" si="469"/>
        <v/>
      </c>
      <c r="L1508" t="str">
        <f t="shared" si="470"/>
        <v/>
      </c>
      <c r="M1508" t="str">
        <f t="shared" si="471"/>
        <v/>
      </c>
      <c r="N1508" t="str">
        <f t="shared" si="472"/>
        <v/>
      </c>
      <c r="O1508" t="str">
        <f t="shared" si="473"/>
        <v/>
      </c>
      <c r="P1508" t="str">
        <f t="shared" si="474"/>
        <v/>
      </c>
      <c r="Q1508" t="str">
        <f t="shared" si="475"/>
        <v/>
      </c>
      <c r="R1508" t="str">
        <f t="shared" si="476"/>
        <v/>
      </c>
      <c r="S1508" t="str">
        <f t="shared" si="477"/>
        <v/>
      </c>
      <c r="T1508" t="str">
        <f t="shared" si="478"/>
        <v/>
      </c>
      <c r="U1508" t="str">
        <f t="shared" si="479"/>
        <v/>
      </c>
      <c r="V1508" t="str">
        <f t="shared" si="480"/>
        <v/>
      </c>
      <c r="W1508" t="str">
        <f t="shared" si="463"/>
        <v xml:space="preserve">              </v>
      </c>
    </row>
    <row r="1509" spans="1:23" customFormat="1" hidden="1">
      <c r="A1509" t="b">
        <f t="shared" si="462"/>
        <v>0</v>
      </c>
      <c r="B1509">
        <f t="shared" si="464"/>
        <v>1508</v>
      </c>
      <c r="C1509" t="s">
        <v>1243</v>
      </c>
      <c r="D1509" t="s">
        <v>1481</v>
      </c>
      <c r="E1509">
        <f t="shared" si="481"/>
        <v>49</v>
      </c>
      <c r="G1509">
        <f t="shared" si="465"/>
        <v>4</v>
      </c>
      <c r="H1509" t="str">
        <f t="shared" si="466"/>
        <v/>
      </c>
      <c r="I1509" t="str">
        <f t="shared" si="467"/>
        <v/>
      </c>
      <c r="J1509" t="str">
        <f t="shared" si="468"/>
        <v/>
      </c>
      <c r="K1509" t="str">
        <f t="shared" si="469"/>
        <v/>
      </c>
      <c r="L1509" t="str">
        <f t="shared" si="470"/>
        <v/>
      </c>
      <c r="M1509" t="str">
        <f t="shared" si="471"/>
        <v/>
      </c>
      <c r="N1509" t="str">
        <f t="shared" si="472"/>
        <v/>
      </c>
      <c r="O1509" t="str">
        <f t="shared" si="473"/>
        <v/>
      </c>
      <c r="P1509" t="str">
        <f t="shared" si="474"/>
        <v/>
      </c>
      <c r="Q1509" t="str">
        <f t="shared" si="475"/>
        <v/>
      </c>
      <c r="R1509" t="str">
        <f t="shared" si="476"/>
        <v/>
      </c>
      <c r="S1509" t="str">
        <f t="shared" si="477"/>
        <v/>
      </c>
      <c r="T1509" t="str">
        <f t="shared" si="478"/>
        <v/>
      </c>
      <c r="U1509" t="str">
        <f t="shared" si="479"/>
        <v/>
      </c>
      <c r="V1509" t="str">
        <f t="shared" si="480"/>
        <v/>
      </c>
      <c r="W1509" t="str">
        <f t="shared" si="463"/>
        <v xml:space="preserve">              </v>
      </c>
    </row>
    <row r="1510" spans="1:23" customFormat="1">
      <c r="A1510" t="b">
        <f t="shared" si="462"/>
        <v>0</v>
      </c>
      <c r="B1510">
        <f t="shared" si="464"/>
        <v>1509</v>
      </c>
      <c r="C1510" t="s">
        <v>1243</v>
      </c>
      <c r="D1510" t="s">
        <v>1482</v>
      </c>
      <c r="E1510">
        <f t="shared" si="481"/>
        <v>1625</v>
      </c>
      <c r="G1510">
        <f t="shared" si="465"/>
        <v>5</v>
      </c>
      <c r="H1510" t="str">
        <f t="shared" si="466"/>
        <v/>
      </c>
      <c r="I1510" t="str">
        <f t="shared" si="467"/>
        <v/>
      </c>
      <c r="J1510" t="str">
        <f t="shared" si="468"/>
        <v/>
      </c>
      <c r="K1510" t="str">
        <f t="shared" si="469"/>
        <v/>
      </c>
      <c r="L1510" t="str">
        <f t="shared" si="470"/>
        <v/>
      </c>
      <c r="M1510" t="str">
        <f t="shared" si="471"/>
        <v/>
      </c>
      <c r="N1510" t="str">
        <f t="shared" si="472"/>
        <v/>
      </c>
      <c r="O1510" t="str">
        <f t="shared" si="473"/>
        <v/>
      </c>
      <c r="P1510" t="str">
        <f t="shared" si="474"/>
        <v/>
      </c>
      <c r="Q1510" t="str">
        <f t="shared" si="475"/>
        <v/>
      </c>
      <c r="R1510" t="str">
        <f t="shared" si="476"/>
        <v/>
      </c>
      <c r="S1510" t="str">
        <f t="shared" si="477"/>
        <v/>
      </c>
      <c r="T1510" t="str">
        <f t="shared" si="478"/>
        <v/>
      </c>
      <c r="U1510" t="str">
        <f t="shared" si="479"/>
        <v/>
      </c>
      <c r="V1510" t="str">
        <f t="shared" si="480"/>
        <v/>
      </c>
      <c r="W1510" t="str">
        <f t="shared" si="463"/>
        <v xml:space="preserve">              </v>
      </c>
    </row>
    <row r="1511" spans="1:23" hidden="1">
      <c r="A1511" s="71" t="b">
        <f t="shared" si="462"/>
        <v>0</v>
      </c>
      <c r="B1511" s="71">
        <f t="shared" si="464"/>
        <v>1510</v>
      </c>
      <c r="C1511" s="71" t="s">
        <v>1243</v>
      </c>
      <c r="D1511" s="71" t="s">
        <v>1483</v>
      </c>
      <c r="E1511">
        <f t="shared" si="481"/>
        <v>21</v>
      </c>
      <c r="F1511">
        <v>1</v>
      </c>
      <c r="G1511">
        <f t="shared" si="465"/>
        <v>1</v>
      </c>
      <c r="H1511" t="str">
        <f t="shared" si="466"/>
        <v>Fixed-price contracts</v>
      </c>
      <c r="I1511" t="str">
        <f t="shared" si="467"/>
        <v>Also known as firm fixed-price and lumpsum</v>
      </c>
      <c r="J1511" t="str">
        <f t="shared" si="468"/>
        <v>contracts, these are agreements that</v>
      </c>
      <c r="K1511" t="str">
        <f t="shared" si="469"/>
        <v>define a total price for the product the</v>
      </c>
      <c r="L1511" t="str">
        <f t="shared" si="470"/>
        <v>seller is to provide.</v>
      </c>
      <c r="M1511" t="str">
        <f t="shared" si="471"/>
        <v/>
      </c>
      <c r="N1511" t="str">
        <f t="shared" si="472"/>
        <v/>
      </c>
      <c r="O1511" t="str">
        <f t="shared" si="473"/>
        <v/>
      </c>
      <c r="P1511" t="str">
        <f t="shared" si="474"/>
        <v/>
      </c>
      <c r="Q1511" t="str">
        <f t="shared" si="475"/>
        <v/>
      </c>
      <c r="R1511" t="str">
        <f t="shared" si="476"/>
        <v/>
      </c>
      <c r="S1511" t="str">
        <f t="shared" si="477"/>
        <v/>
      </c>
      <c r="T1511" t="str">
        <f t="shared" si="478"/>
        <v/>
      </c>
      <c r="U1511" t="str">
        <f t="shared" si="479"/>
        <v/>
      </c>
      <c r="V1511" t="str">
        <f t="shared" si="480"/>
        <v/>
      </c>
      <c r="W1511" s="71" t="str">
        <f>CONCATENATE(H1511," ",I1511," ",J1511," ",K1511," ",L1511," ",M1511," ",N1511," ",O1511," ",P1511," ",Q1511," ",R1511," ",S1511," ",T1511," ",U1511," ",V1511)</f>
        <v xml:space="preserve">Fixed-price contracts Also known as firm fixed-price and lumpsum contracts, these are agreements that define a total price for the product the seller is to provide.          </v>
      </c>
    </row>
    <row r="1512" spans="1:23" customFormat="1" hidden="1">
      <c r="A1512" t="b">
        <f t="shared" si="462"/>
        <v>0</v>
      </c>
      <c r="B1512">
        <f t="shared" si="464"/>
        <v>1511</v>
      </c>
      <c r="C1512" t="s">
        <v>1243</v>
      </c>
      <c r="D1512" t="s">
        <v>1484</v>
      </c>
      <c r="E1512">
        <f t="shared" si="481"/>
        <v>42</v>
      </c>
      <c r="G1512">
        <f t="shared" si="465"/>
        <v>2</v>
      </c>
      <c r="H1512" t="str">
        <f t="shared" si="466"/>
        <v/>
      </c>
      <c r="I1512" t="str">
        <f t="shared" si="467"/>
        <v/>
      </c>
      <c r="J1512" t="str">
        <f t="shared" si="468"/>
        <v/>
      </c>
      <c r="K1512" t="str">
        <f t="shared" si="469"/>
        <v/>
      </c>
      <c r="L1512" t="str">
        <f t="shared" si="470"/>
        <v/>
      </c>
      <c r="M1512" t="str">
        <f t="shared" si="471"/>
        <v/>
      </c>
      <c r="N1512" t="str">
        <f t="shared" si="472"/>
        <v/>
      </c>
      <c r="O1512" t="str">
        <f t="shared" si="473"/>
        <v/>
      </c>
      <c r="P1512" t="str">
        <f t="shared" si="474"/>
        <v/>
      </c>
      <c r="Q1512" t="str">
        <f t="shared" si="475"/>
        <v/>
      </c>
      <c r="R1512" t="str">
        <f t="shared" si="476"/>
        <v/>
      </c>
      <c r="S1512" t="str">
        <f t="shared" si="477"/>
        <v/>
      </c>
      <c r="T1512" t="str">
        <f t="shared" si="478"/>
        <v/>
      </c>
      <c r="U1512" t="str">
        <f t="shared" si="479"/>
        <v/>
      </c>
      <c r="V1512" t="str">
        <f t="shared" si="480"/>
        <v/>
      </c>
      <c r="W1512" t="str">
        <f t="shared" si="463"/>
        <v xml:space="preserve">              </v>
      </c>
    </row>
    <row r="1513" spans="1:23" customFormat="1" hidden="1">
      <c r="A1513" t="b">
        <f t="shared" si="462"/>
        <v>0</v>
      </c>
      <c r="B1513">
        <f t="shared" si="464"/>
        <v>1512</v>
      </c>
      <c r="C1513" t="s">
        <v>1243</v>
      </c>
      <c r="D1513" t="s">
        <v>1485</v>
      </c>
      <c r="E1513">
        <f t="shared" si="481"/>
        <v>36</v>
      </c>
      <c r="G1513">
        <f t="shared" si="465"/>
        <v>3</v>
      </c>
      <c r="H1513" t="str">
        <f t="shared" si="466"/>
        <v/>
      </c>
      <c r="I1513" t="str">
        <f t="shared" si="467"/>
        <v/>
      </c>
      <c r="J1513" t="str">
        <f t="shared" si="468"/>
        <v/>
      </c>
      <c r="K1513" t="str">
        <f t="shared" si="469"/>
        <v/>
      </c>
      <c r="L1513" t="str">
        <f t="shared" si="470"/>
        <v/>
      </c>
      <c r="M1513" t="str">
        <f t="shared" si="471"/>
        <v/>
      </c>
      <c r="N1513" t="str">
        <f t="shared" si="472"/>
        <v/>
      </c>
      <c r="O1513" t="str">
        <f t="shared" si="473"/>
        <v/>
      </c>
      <c r="P1513" t="str">
        <f t="shared" si="474"/>
        <v/>
      </c>
      <c r="Q1513" t="str">
        <f t="shared" si="475"/>
        <v/>
      </c>
      <c r="R1513" t="str">
        <f t="shared" si="476"/>
        <v/>
      </c>
      <c r="S1513" t="str">
        <f t="shared" si="477"/>
        <v/>
      </c>
      <c r="T1513" t="str">
        <f t="shared" si="478"/>
        <v/>
      </c>
      <c r="U1513" t="str">
        <f t="shared" si="479"/>
        <v/>
      </c>
      <c r="V1513" t="str">
        <f t="shared" si="480"/>
        <v/>
      </c>
      <c r="W1513" t="str">
        <f t="shared" si="463"/>
        <v xml:space="preserve">              </v>
      </c>
    </row>
    <row r="1514" spans="1:23" customFormat="1" hidden="1">
      <c r="A1514" t="b">
        <f t="shared" si="462"/>
        <v>0</v>
      </c>
      <c r="B1514">
        <f t="shared" si="464"/>
        <v>1513</v>
      </c>
      <c r="C1514" t="s">
        <v>1243</v>
      </c>
      <c r="D1514" t="s">
        <v>1486</v>
      </c>
      <c r="E1514">
        <f t="shared" si="481"/>
        <v>40</v>
      </c>
      <c r="G1514">
        <f t="shared" si="465"/>
        <v>4</v>
      </c>
      <c r="H1514" t="str">
        <f t="shared" si="466"/>
        <v/>
      </c>
      <c r="I1514" t="str">
        <f t="shared" si="467"/>
        <v/>
      </c>
      <c r="J1514" t="str">
        <f t="shared" si="468"/>
        <v/>
      </c>
      <c r="K1514" t="str">
        <f t="shared" si="469"/>
        <v/>
      </c>
      <c r="L1514" t="str">
        <f t="shared" si="470"/>
        <v/>
      </c>
      <c r="M1514" t="str">
        <f t="shared" si="471"/>
        <v/>
      </c>
      <c r="N1514" t="str">
        <f t="shared" si="472"/>
        <v/>
      </c>
      <c r="O1514" t="str">
        <f t="shared" si="473"/>
        <v/>
      </c>
      <c r="P1514" t="str">
        <f t="shared" si="474"/>
        <v/>
      </c>
      <c r="Q1514" t="str">
        <f t="shared" si="475"/>
        <v/>
      </c>
      <c r="R1514" t="str">
        <f t="shared" si="476"/>
        <v/>
      </c>
      <c r="S1514" t="str">
        <f t="shared" si="477"/>
        <v/>
      </c>
      <c r="T1514" t="str">
        <f t="shared" si="478"/>
        <v/>
      </c>
      <c r="U1514" t="str">
        <f t="shared" si="479"/>
        <v/>
      </c>
      <c r="V1514" t="str">
        <f t="shared" si="480"/>
        <v/>
      </c>
      <c r="W1514" t="str">
        <f t="shared" si="463"/>
        <v xml:space="preserve">              </v>
      </c>
    </row>
    <row r="1515" spans="1:23" customFormat="1" hidden="1">
      <c r="A1515" t="b">
        <f t="shared" si="462"/>
        <v>0</v>
      </c>
      <c r="B1515">
        <f t="shared" si="464"/>
        <v>1514</v>
      </c>
      <c r="C1515" t="s">
        <v>1243</v>
      </c>
      <c r="D1515" t="s">
        <v>1487</v>
      </c>
      <c r="E1515">
        <f t="shared" si="481"/>
        <v>21</v>
      </c>
      <c r="G1515">
        <f t="shared" si="465"/>
        <v>5</v>
      </c>
      <c r="H1515" t="str">
        <f t="shared" si="466"/>
        <v/>
      </c>
      <c r="I1515" t="str">
        <f t="shared" si="467"/>
        <v/>
      </c>
      <c r="J1515" t="str">
        <f t="shared" si="468"/>
        <v/>
      </c>
      <c r="K1515" t="str">
        <f t="shared" si="469"/>
        <v/>
      </c>
      <c r="L1515" t="str">
        <f t="shared" si="470"/>
        <v/>
      </c>
      <c r="M1515" t="str">
        <f t="shared" si="471"/>
        <v/>
      </c>
      <c r="N1515" t="str">
        <f t="shared" si="472"/>
        <v/>
      </c>
      <c r="O1515" t="str">
        <f t="shared" si="473"/>
        <v/>
      </c>
      <c r="P1515" t="str">
        <f t="shared" si="474"/>
        <v/>
      </c>
      <c r="Q1515" t="str">
        <f t="shared" si="475"/>
        <v/>
      </c>
      <c r="R1515" t="str">
        <f t="shared" si="476"/>
        <v/>
      </c>
      <c r="S1515" t="str">
        <f t="shared" si="477"/>
        <v/>
      </c>
      <c r="T1515" t="str">
        <f t="shared" si="478"/>
        <v/>
      </c>
      <c r="U1515" t="str">
        <f t="shared" si="479"/>
        <v/>
      </c>
      <c r="V1515" t="str">
        <f t="shared" si="480"/>
        <v/>
      </c>
      <c r="W1515" t="str">
        <f t="shared" si="463"/>
        <v xml:space="preserve">              </v>
      </c>
    </row>
    <row r="1516" spans="1:23" hidden="1">
      <c r="A1516" s="71" t="b">
        <f t="shared" si="462"/>
        <v>0</v>
      </c>
      <c r="B1516" s="71">
        <f t="shared" si="464"/>
        <v>1515</v>
      </c>
      <c r="C1516" s="71" t="s">
        <v>1243</v>
      </c>
      <c r="D1516" s="71" t="s">
        <v>1488</v>
      </c>
      <c r="E1516">
        <f t="shared" si="481"/>
        <v>25</v>
      </c>
      <c r="F1516">
        <v>1</v>
      </c>
      <c r="G1516">
        <f t="shared" si="465"/>
        <v>1</v>
      </c>
      <c r="H1516" t="str">
        <f t="shared" si="466"/>
        <v>Fixed-price incentive fee</v>
      </c>
      <c r="I1516" t="str">
        <f t="shared" si="467"/>
        <v>A fixed-price contract with opportunities</v>
      </c>
      <c r="J1516" t="str">
        <f t="shared" si="468"/>
        <v>for bonuses for meeting goals on costs,</v>
      </c>
      <c r="K1516" t="str">
        <f t="shared" si="469"/>
        <v>schedule, and other objectives. These</v>
      </c>
      <c r="L1516" t="str">
        <f t="shared" si="470"/>
        <v>contracts usually have a price ceiling for</v>
      </c>
      <c r="M1516" t="str">
        <f t="shared" si="471"/>
        <v>costs and associated bonuses.</v>
      </c>
      <c r="N1516" t="str">
        <f t="shared" si="472"/>
        <v>Fixed-price with economic price</v>
      </c>
      <c r="O1516" t="str">
        <f t="shared" si="473"/>
        <v>adjustments</v>
      </c>
      <c r="P1516" t="str">
        <f t="shared" si="474"/>
        <v>A fixed-price contract with a special</v>
      </c>
      <c r="Q1516" t="str">
        <f t="shared" si="475"/>
        <v>allowance for price increases based on</v>
      </c>
      <c r="R1516" t="str">
        <f t="shared" si="476"/>
        <v>economic reasons such as inflation or the</v>
      </c>
      <c r="S1516" t="str">
        <f t="shared" si="477"/>
        <v>cost of raw materials.</v>
      </c>
      <c r="T1516" t="str">
        <f t="shared" si="478"/>
        <v/>
      </c>
      <c r="U1516" t="str">
        <f t="shared" si="479"/>
        <v/>
      </c>
      <c r="V1516" t="str">
        <f t="shared" si="480"/>
        <v/>
      </c>
      <c r="W1516" s="71" t="str">
        <f>CONCATENATE(H1516," ",I1516," ",J1516," ",K1516," ",L1516," ",M1516," ",N1516," ",O1516," ",P1516," ",Q1516," ",R1516," ",S1516," ",T1516," ",U1516," ",V1516)</f>
        <v xml:space="preserve">Fixed-price incentive fee A fixed-price contract with opportunities for bonuses for meeting goals on costs, schedule, and other objectives. These contracts usually have a price ceiling for costs and associated bonuses. Fixed-price with economic price adjustments A fixed-price contract with a special allowance for price increases based on economic reasons such as inflation or the cost of raw materials.   </v>
      </c>
    </row>
    <row r="1517" spans="1:23" customFormat="1" hidden="1">
      <c r="A1517" t="b">
        <f t="shared" si="462"/>
        <v>0</v>
      </c>
      <c r="B1517">
        <f t="shared" si="464"/>
        <v>1516</v>
      </c>
      <c r="C1517" t="s">
        <v>1243</v>
      </c>
      <c r="D1517" t="s">
        <v>1489</v>
      </c>
      <c r="E1517">
        <f t="shared" si="481"/>
        <v>41</v>
      </c>
      <c r="G1517">
        <f t="shared" si="465"/>
        <v>2</v>
      </c>
      <c r="H1517" t="str">
        <f t="shared" si="466"/>
        <v/>
      </c>
      <c r="I1517" t="str">
        <f t="shared" si="467"/>
        <v/>
      </c>
      <c r="J1517" t="str">
        <f t="shared" si="468"/>
        <v/>
      </c>
      <c r="K1517" t="str">
        <f t="shared" si="469"/>
        <v/>
      </c>
      <c r="L1517" t="str">
        <f t="shared" si="470"/>
        <v/>
      </c>
      <c r="M1517" t="str">
        <f t="shared" si="471"/>
        <v/>
      </c>
      <c r="N1517" t="str">
        <f t="shared" si="472"/>
        <v/>
      </c>
      <c r="O1517" t="str">
        <f t="shared" si="473"/>
        <v/>
      </c>
      <c r="P1517" t="str">
        <f t="shared" si="474"/>
        <v/>
      </c>
      <c r="Q1517" t="str">
        <f t="shared" si="475"/>
        <v/>
      </c>
      <c r="R1517" t="str">
        <f t="shared" si="476"/>
        <v/>
      </c>
      <c r="S1517" t="str">
        <f t="shared" si="477"/>
        <v/>
      </c>
      <c r="T1517" t="str">
        <f t="shared" si="478"/>
        <v/>
      </c>
      <c r="U1517" t="str">
        <f t="shared" si="479"/>
        <v/>
      </c>
      <c r="V1517" t="str">
        <f t="shared" si="480"/>
        <v/>
      </c>
      <c r="W1517" t="str">
        <f t="shared" si="463"/>
        <v xml:space="preserve">              </v>
      </c>
    </row>
    <row r="1518" spans="1:23" customFormat="1" hidden="1">
      <c r="A1518" t="b">
        <f t="shared" si="462"/>
        <v>0</v>
      </c>
      <c r="B1518">
        <f t="shared" si="464"/>
        <v>1517</v>
      </c>
      <c r="C1518" t="s">
        <v>1243</v>
      </c>
      <c r="D1518" t="s">
        <v>1490</v>
      </c>
      <c r="E1518">
        <f t="shared" si="481"/>
        <v>39</v>
      </c>
      <c r="G1518">
        <f t="shared" si="465"/>
        <v>3</v>
      </c>
      <c r="H1518" t="str">
        <f t="shared" si="466"/>
        <v/>
      </c>
      <c r="I1518" t="str">
        <f t="shared" si="467"/>
        <v/>
      </c>
      <c r="J1518" t="str">
        <f t="shared" si="468"/>
        <v/>
      </c>
      <c r="K1518" t="str">
        <f t="shared" si="469"/>
        <v/>
      </c>
      <c r="L1518" t="str">
        <f t="shared" si="470"/>
        <v/>
      </c>
      <c r="M1518" t="str">
        <f t="shared" si="471"/>
        <v/>
      </c>
      <c r="N1518" t="str">
        <f t="shared" si="472"/>
        <v/>
      </c>
      <c r="O1518" t="str">
        <f t="shared" si="473"/>
        <v/>
      </c>
      <c r="P1518" t="str">
        <f t="shared" si="474"/>
        <v/>
      </c>
      <c r="Q1518" t="str">
        <f t="shared" si="475"/>
        <v/>
      </c>
      <c r="R1518" t="str">
        <f t="shared" si="476"/>
        <v/>
      </c>
      <c r="S1518" t="str">
        <f t="shared" si="477"/>
        <v/>
      </c>
      <c r="T1518" t="str">
        <f t="shared" si="478"/>
        <v/>
      </c>
      <c r="U1518" t="str">
        <f t="shared" si="479"/>
        <v/>
      </c>
      <c r="V1518" t="str">
        <f t="shared" si="480"/>
        <v/>
      </c>
      <c r="W1518" t="str">
        <f t="shared" si="463"/>
        <v xml:space="preserve">              </v>
      </c>
    </row>
    <row r="1519" spans="1:23" customFormat="1" hidden="1">
      <c r="A1519" t="b">
        <f t="shared" si="462"/>
        <v>0</v>
      </c>
      <c r="B1519">
        <f t="shared" si="464"/>
        <v>1518</v>
      </c>
      <c r="C1519" t="s">
        <v>1243</v>
      </c>
      <c r="D1519" t="s">
        <v>1491</v>
      </c>
      <c r="E1519">
        <f t="shared" si="481"/>
        <v>37</v>
      </c>
      <c r="G1519">
        <f t="shared" si="465"/>
        <v>4</v>
      </c>
      <c r="H1519" t="str">
        <f t="shared" si="466"/>
        <v/>
      </c>
      <c r="I1519" t="str">
        <f t="shared" si="467"/>
        <v/>
      </c>
      <c r="J1519" t="str">
        <f t="shared" si="468"/>
        <v/>
      </c>
      <c r="K1519" t="str">
        <f t="shared" si="469"/>
        <v/>
      </c>
      <c r="L1519" t="str">
        <f t="shared" si="470"/>
        <v/>
      </c>
      <c r="M1519" t="str">
        <f t="shared" si="471"/>
        <v/>
      </c>
      <c r="N1519" t="str">
        <f t="shared" si="472"/>
        <v/>
      </c>
      <c r="O1519" t="str">
        <f t="shared" si="473"/>
        <v/>
      </c>
      <c r="P1519" t="str">
        <f t="shared" si="474"/>
        <v/>
      </c>
      <c r="Q1519" t="str">
        <f t="shared" si="475"/>
        <v/>
      </c>
      <c r="R1519" t="str">
        <f t="shared" si="476"/>
        <v/>
      </c>
      <c r="S1519" t="str">
        <f t="shared" si="477"/>
        <v/>
      </c>
      <c r="T1519" t="str">
        <f t="shared" si="478"/>
        <v/>
      </c>
      <c r="U1519" t="str">
        <f t="shared" si="479"/>
        <v/>
      </c>
      <c r="V1519" t="str">
        <f t="shared" si="480"/>
        <v/>
      </c>
      <c r="W1519" t="str">
        <f t="shared" si="463"/>
        <v xml:space="preserve">              </v>
      </c>
    </row>
    <row r="1520" spans="1:23" customFormat="1" hidden="1">
      <c r="A1520" t="b">
        <f t="shared" si="462"/>
        <v>0</v>
      </c>
      <c r="B1520">
        <f t="shared" si="464"/>
        <v>1519</v>
      </c>
      <c r="C1520" t="s">
        <v>1243</v>
      </c>
      <c r="D1520" t="s">
        <v>1492</v>
      </c>
      <c r="E1520">
        <f t="shared" si="481"/>
        <v>42</v>
      </c>
      <c r="G1520">
        <f t="shared" si="465"/>
        <v>5</v>
      </c>
      <c r="H1520" t="str">
        <f t="shared" si="466"/>
        <v/>
      </c>
      <c r="I1520" t="str">
        <f t="shared" si="467"/>
        <v/>
      </c>
      <c r="J1520" t="str">
        <f t="shared" si="468"/>
        <v/>
      </c>
      <c r="K1520" t="str">
        <f t="shared" si="469"/>
        <v/>
      </c>
      <c r="L1520" t="str">
        <f t="shared" si="470"/>
        <v/>
      </c>
      <c r="M1520" t="str">
        <f t="shared" si="471"/>
        <v/>
      </c>
      <c r="N1520" t="str">
        <f t="shared" si="472"/>
        <v/>
      </c>
      <c r="O1520" t="str">
        <f t="shared" si="473"/>
        <v/>
      </c>
      <c r="P1520" t="str">
        <f t="shared" si="474"/>
        <v/>
      </c>
      <c r="Q1520" t="str">
        <f t="shared" si="475"/>
        <v/>
      </c>
      <c r="R1520" t="str">
        <f t="shared" si="476"/>
        <v/>
      </c>
      <c r="S1520" t="str">
        <f t="shared" si="477"/>
        <v/>
      </c>
      <c r="T1520" t="str">
        <f t="shared" si="478"/>
        <v/>
      </c>
      <c r="U1520" t="str">
        <f t="shared" si="479"/>
        <v/>
      </c>
      <c r="V1520" t="str">
        <f t="shared" si="480"/>
        <v/>
      </c>
      <c r="W1520" t="str">
        <f t="shared" si="463"/>
        <v xml:space="preserve">              </v>
      </c>
    </row>
    <row r="1521" spans="1:23" customFormat="1" hidden="1">
      <c r="A1521" t="b">
        <f t="shared" si="462"/>
        <v>0</v>
      </c>
      <c r="B1521">
        <f t="shared" si="464"/>
        <v>1520</v>
      </c>
      <c r="C1521" t="s">
        <v>1243</v>
      </c>
      <c r="D1521" t="s">
        <v>1493</v>
      </c>
      <c r="E1521">
        <f t="shared" si="481"/>
        <v>29</v>
      </c>
      <c r="G1521">
        <f t="shared" si="465"/>
        <v>6</v>
      </c>
      <c r="H1521" t="str">
        <f t="shared" si="466"/>
        <v/>
      </c>
      <c r="I1521" t="str">
        <f t="shared" si="467"/>
        <v/>
      </c>
      <c r="J1521" t="str">
        <f t="shared" si="468"/>
        <v/>
      </c>
      <c r="K1521" t="str">
        <f t="shared" si="469"/>
        <v/>
      </c>
      <c r="L1521" t="str">
        <f t="shared" si="470"/>
        <v/>
      </c>
      <c r="M1521" t="str">
        <f t="shared" si="471"/>
        <v/>
      </c>
      <c r="N1521" t="str">
        <f t="shared" si="472"/>
        <v/>
      </c>
      <c r="O1521" t="str">
        <f t="shared" si="473"/>
        <v/>
      </c>
      <c r="P1521" t="str">
        <f t="shared" si="474"/>
        <v/>
      </c>
      <c r="Q1521" t="str">
        <f t="shared" si="475"/>
        <v/>
      </c>
      <c r="R1521" t="str">
        <f t="shared" si="476"/>
        <v/>
      </c>
      <c r="S1521" t="str">
        <f t="shared" si="477"/>
        <v/>
      </c>
      <c r="T1521" t="str">
        <f t="shared" si="478"/>
        <v/>
      </c>
      <c r="U1521" t="str">
        <f t="shared" si="479"/>
        <v/>
      </c>
      <c r="V1521" t="str">
        <f t="shared" si="480"/>
        <v/>
      </c>
      <c r="W1521" t="str">
        <f t="shared" si="463"/>
        <v xml:space="preserve">              </v>
      </c>
    </row>
    <row r="1522" spans="1:23" customFormat="1" hidden="1">
      <c r="A1522" t="b">
        <f t="shared" si="462"/>
        <v>0</v>
      </c>
      <c r="B1522">
        <f t="shared" si="464"/>
        <v>1521</v>
      </c>
      <c r="C1522" t="s">
        <v>1243</v>
      </c>
      <c r="D1522" t="s">
        <v>1494</v>
      </c>
      <c r="E1522">
        <f t="shared" si="481"/>
        <v>31</v>
      </c>
      <c r="G1522">
        <f t="shared" si="465"/>
        <v>7</v>
      </c>
      <c r="H1522" t="str">
        <f t="shared" si="466"/>
        <v/>
      </c>
      <c r="I1522" t="str">
        <f t="shared" si="467"/>
        <v/>
      </c>
      <c r="J1522" t="str">
        <f t="shared" si="468"/>
        <v/>
      </c>
      <c r="K1522" t="str">
        <f t="shared" si="469"/>
        <v/>
      </c>
      <c r="L1522" t="str">
        <f t="shared" si="470"/>
        <v/>
      </c>
      <c r="M1522" t="str">
        <f t="shared" si="471"/>
        <v/>
      </c>
      <c r="N1522" t="str">
        <f t="shared" si="472"/>
        <v/>
      </c>
      <c r="O1522" t="str">
        <f t="shared" si="473"/>
        <v/>
      </c>
      <c r="P1522" t="str">
        <f t="shared" si="474"/>
        <v/>
      </c>
      <c r="Q1522" t="str">
        <f t="shared" si="475"/>
        <v/>
      </c>
      <c r="R1522" t="str">
        <f t="shared" si="476"/>
        <v/>
      </c>
      <c r="S1522" t="str">
        <f t="shared" si="477"/>
        <v/>
      </c>
      <c r="T1522" t="str">
        <f t="shared" si="478"/>
        <v/>
      </c>
      <c r="U1522" t="str">
        <f t="shared" si="479"/>
        <v/>
      </c>
      <c r="V1522" t="str">
        <f t="shared" si="480"/>
        <v/>
      </c>
      <c r="W1522" t="str">
        <f t="shared" si="463"/>
        <v xml:space="preserve">              </v>
      </c>
    </row>
    <row r="1523" spans="1:23" customFormat="1" hidden="1">
      <c r="A1523" t="b">
        <f t="shared" si="462"/>
        <v>0</v>
      </c>
      <c r="B1523">
        <f t="shared" si="464"/>
        <v>1522</v>
      </c>
      <c r="C1523" t="s">
        <v>1243</v>
      </c>
      <c r="D1523" t="s">
        <v>1495</v>
      </c>
      <c r="E1523">
        <f t="shared" si="481"/>
        <v>11</v>
      </c>
      <c r="G1523">
        <f t="shared" si="465"/>
        <v>8</v>
      </c>
      <c r="H1523" t="str">
        <f t="shared" si="466"/>
        <v/>
      </c>
      <c r="I1523" t="str">
        <f t="shared" si="467"/>
        <v/>
      </c>
      <c r="J1523" t="str">
        <f t="shared" si="468"/>
        <v/>
      </c>
      <c r="K1523" t="str">
        <f t="shared" si="469"/>
        <v/>
      </c>
      <c r="L1523" t="str">
        <f t="shared" si="470"/>
        <v/>
      </c>
      <c r="M1523" t="str">
        <f t="shared" si="471"/>
        <v/>
      </c>
      <c r="N1523" t="str">
        <f t="shared" si="472"/>
        <v/>
      </c>
      <c r="O1523" t="str">
        <f t="shared" si="473"/>
        <v/>
      </c>
      <c r="P1523" t="str">
        <f t="shared" si="474"/>
        <v/>
      </c>
      <c r="Q1523" t="str">
        <f t="shared" si="475"/>
        <v/>
      </c>
      <c r="R1523" t="str">
        <f t="shared" si="476"/>
        <v/>
      </c>
      <c r="S1523" t="str">
        <f t="shared" si="477"/>
        <v/>
      </c>
      <c r="T1523" t="str">
        <f t="shared" si="478"/>
        <v/>
      </c>
      <c r="U1523" t="str">
        <f t="shared" si="479"/>
        <v/>
      </c>
      <c r="V1523" t="str">
        <f t="shared" si="480"/>
        <v/>
      </c>
      <c r="W1523" t="str">
        <f t="shared" si="463"/>
        <v xml:space="preserve">              </v>
      </c>
    </row>
    <row r="1524" spans="1:23" customFormat="1" hidden="1">
      <c r="A1524" t="b">
        <f t="shared" si="462"/>
        <v>0</v>
      </c>
      <c r="B1524">
        <f t="shared" si="464"/>
        <v>1523</v>
      </c>
      <c r="C1524" t="s">
        <v>1243</v>
      </c>
      <c r="D1524" t="s">
        <v>1496</v>
      </c>
      <c r="E1524">
        <f t="shared" si="481"/>
        <v>37</v>
      </c>
      <c r="G1524">
        <f t="shared" si="465"/>
        <v>9</v>
      </c>
      <c r="H1524" t="str">
        <f t="shared" si="466"/>
        <v/>
      </c>
      <c r="I1524" t="str">
        <f t="shared" si="467"/>
        <v/>
      </c>
      <c r="J1524" t="str">
        <f t="shared" si="468"/>
        <v/>
      </c>
      <c r="K1524" t="str">
        <f t="shared" si="469"/>
        <v/>
      </c>
      <c r="L1524" t="str">
        <f t="shared" si="470"/>
        <v/>
      </c>
      <c r="M1524" t="str">
        <f t="shared" si="471"/>
        <v/>
      </c>
      <c r="N1524" t="str">
        <f t="shared" si="472"/>
        <v/>
      </c>
      <c r="O1524" t="str">
        <f t="shared" si="473"/>
        <v/>
      </c>
      <c r="P1524" t="str">
        <f t="shared" si="474"/>
        <v/>
      </c>
      <c r="Q1524" t="str">
        <f t="shared" si="475"/>
        <v/>
      </c>
      <c r="R1524" t="str">
        <f t="shared" si="476"/>
        <v/>
      </c>
      <c r="S1524" t="str">
        <f t="shared" si="477"/>
        <v/>
      </c>
      <c r="T1524" t="str">
        <f t="shared" si="478"/>
        <v/>
      </c>
      <c r="U1524" t="str">
        <f t="shared" si="479"/>
        <v/>
      </c>
      <c r="V1524" t="str">
        <f t="shared" si="480"/>
        <v/>
      </c>
      <c r="W1524" t="str">
        <f t="shared" si="463"/>
        <v xml:space="preserve">              </v>
      </c>
    </row>
    <row r="1525" spans="1:23" customFormat="1" hidden="1">
      <c r="A1525" t="b">
        <f t="shared" si="462"/>
        <v>0</v>
      </c>
      <c r="B1525">
        <f t="shared" si="464"/>
        <v>1524</v>
      </c>
      <c r="C1525" t="s">
        <v>1243</v>
      </c>
      <c r="D1525" t="s">
        <v>1497</v>
      </c>
      <c r="E1525">
        <f t="shared" si="481"/>
        <v>38</v>
      </c>
      <c r="G1525">
        <f t="shared" si="465"/>
        <v>10</v>
      </c>
      <c r="H1525" t="str">
        <f t="shared" si="466"/>
        <v/>
      </c>
      <c r="I1525" t="str">
        <f t="shared" si="467"/>
        <v/>
      </c>
      <c r="J1525" t="str">
        <f t="shared" si="468"/>
        <v/>
      </c>
      <c r="K1525" t="str">
        <f t="shared" si="469"/>
        <v/>
      </c>
      <c r="L1525" t="str">
        <f t="shared" si="470"/>
        <v/>
      </c>
      <c r="M1525" t="str">
        <f t="shared" si="471"/>
        <v/>
      </c>
      <c r="N1525" t="str">
        <f t="shared" si="472"/>
        <v/>
      </c>
      <c r="O1525" t="str">
        <f t="shared" si="473"/>
        <v/>
      </c>
      <c r="P1525" t="str">
        <f t="shared" si="474"/>
        <v/>
      </c>
      <c r="Q1525" t="str">
        <f t="shared" si="475"/>
        <v/>
      </c>
      <c r="R1525" t="str">
        <f t="shared" si="476"/>
        <v/>
      </c>
      <c r="S1525" t="str">
        <f t="shared" si="477"/>
        <v/>
      </c>
      <c r="T1525" t="str">
        <f t="shared" si="478"/>
        <v/>
      </c>
      <c r="U1525" t="str">
        <f t="shared" si="479"/>
        <v/>
      </c>
      <c r="V1525" t="str">
        <f t="shared" si="480"/>
        <v/>
      </c>
      <c r="W1525" t="str">
        <f t="shared" si="463"/>
        <v xml:space="preserve">              </v>
      </c>
    </row>
    <row r="1526" spans="1:23" customFormat="1" hidden="1">
      <c r="A1526" t="b">
        <f t="shared" si="462"/>
        <v>0</v>
      </c>
      <c r="B1526">
        <f t="shared" si="464"/>
        <v>1525</v>
      </c>
      <c r="C1526" t="s">
        <v>1243</v>
      </c>
      <c r="D1526" t="s">
        <v>1498</v>
      </c>
      <c r="E1526">
        <f t="shared" si="481"/>
        <v>41</v>
      </c>
      <c r="G1526">
        <f t="shared" si="465"/>
        <v>11</v>
      </c>
      <c r="H1526" t="str">
        <f t="shared" si="466"/>
        <v/>
      </c>
      <c r="I1526" t="str">
        <f t="shared" si="467"/>
        <v/>
      </c>
      <c r="J1526" t="str">
        <f t="shared" si="468"/>
        <v/>
      </c>
      <c r="K1526" t="str">
        <f t="shared" si="469"/>
        <v/>
      </c>
      <c r="L1526" t="str">
        <f t="shared" si="470"/>
        <v/>
      </c>
      <c r="M1526" t="str">
        <f t="shared" si="471"/>
        <v/>
      </c>
      <c r="N1526" t="str">
        <f t="shared" si="472"/>
        <v/>
      </c>
      <c r="O1526" t="str">
        <f t="shared" si="473"/>
        <v/>
      </c>
      <c r="P1526" t="str">
        <f t="shared" si="474"/>
        <v/>
      </c>
      <c r="Q1526" t="str">
        <f t="shared" si="475"/>
        <v/>
      </c>
      <c r="R1526" t="str">
        <f t="shared" si="476"/>
        <v/>
      </c>
      <c r="S1526" t="str">
        <f t="shared" si="477"/>
        <v/>
      </c>
      <c r="T1526" t="str">
        <f t="shared" si="478"/>
        <v/>
      </c>
      <c r="U1526" t="str">
        <f t="shared" si="479"/>
        <v/>
      </c>
      <c r="V1526" t="str">
        <f t="shared" si="480"/>
        <v/>
      </c>
      <c r="W1526" t="str">
        <f t="shared" si="463"/>
        <v xml:space="preserve">              </v>
      </c>
    </row>
    <row r="1527" spans="1:23" customFormat="1" hidden="1">
      <c r="A1527" t="b">
        <f t="shared" si="462"/>
        <v>0</v>
      </c>
      <c r="B1527">
        <f t="shared" si="464"/>
        <v>1526</v>
      </c>
      <c r="C1527" t="s">
        <v>1243</v>
      </c>
      <c r="D1527" t="s">
        <v>1499</v>
      </c>
      <c r="E1527">
        <f t="shared" si="481"/>
        <v>22</v>
      </c>
      <c r="G1527">
        <f t="shared" si="465"/>
        <v>12</v>
      </c>
      <c r="H1527" t="str">
        <f t="shared" si="466"/>
        <v/>
      </c>
      <c r="I1527" t="str">
        <f t="shared" si="467"/>
        <v/>
      </c>
      <c r="J1527" t="str">
        <f t="shared" si="468"/>
        <v/>
      </c>
      <c r="K1527" t="str">
        <f t="shared" si="469"/>
        <v/>
      </c>
      <c r="L1527" t="str">
        <f t="shared" si="470"/>
        <v/>
      </c>
      <c r="M1527" t="str">
        <f t="shared" si="471"/>
        <v/>
      </c>
      <c r="N1527" t="str">
        <f t="shared" si="472"/>
        <v/>
      </c>
      <c r="O1527" t="str">
        <f t="shared" si="473"/>
        <v/>
      </c>
      <c r="P1527" t="str">
        <f t="shared" si="474"/>
        <v/>
      </c>
      <c r="Q1527" t="str">
        <f t="shared" si="475"/>
        <v/>
      </c>
      <c r="R1527" t="str">
        <f t="shared" si="476"/>
        <v/>
      </c>
      <c r="S1527" t="str">
        <f t="shared" si="477"/>
        <v/>
      </c>
      <c r="T1527" t="str">
        <f t="shared" si="478"/>
        <v/>
      </c>
      <c r="U1527" t="str">
        <f t="shared" si="479"/>
        <v/>
      </c>
      <c r="V1527" t="str">
        <f t="shared" si="480"/>
        <v/>
      </c>
      <c r="W1527" t="str">
        <f t="shared" si="463"/>
        <v xml:space="preserve">              </v>
      </c>
    </row>
    <row r="1528" spans="1:23" hidden="1">
      <c r="A1528" s="71" t="b">
        <f t="shared" si="462"/>
        <v>0</v>
      </c>
      <c r="B1528" s="71">
        <f t="shared" si="464"/>
        <v>1527</v>
      </c>
      <c r="C1528" s="71" t="s">
        <v>1243</v>
      </c>
      <c r="D1528" s="71" t="s">
        <v>1500</v>
      </c>
      <c r="E1528">
        <f t="shared" si="481"/>
        <v>13</v>
      </c>
      <c r="F1528">
        <v>1</v>
      </c>
      <c r="G1528">
        <f t="shared" si="465"/>
        <v>1</v>
      </c>
      <c r="H1528" t="str">
        <f t="shared" si="466"/>
        <v>Force majeure</v>
      </c>
      <c r="I1528" t="str">
        <f t="shared" si="467"/>
        <v>An “act of God” that may have a negative</v>
      </c>
      <c r="J1528" t="str">
        <f t="shared" si="468"/>
        <v>impact on the project. Examples include</v>
      </c>
      <c r="K1528" t="str">
        <f t="shared" si="469"/>
        <v>fire, hurricanes, tornadoes, and</v>
      </c>
      <c r="L1528" t="str">
        <f t="shared" si="470"/>
        <v>earthquakes.</v>
      </c>
      <c r="M1528" t="str">
        <f t="shared" si="471"/>
        <v/>
      </c>
      <c r="N1528" t="str">
        <f t="shared" si="472"/>
        <v/>
      </c>
      <c r="O1528" t="str">
        <f t="shared" si="473"/>
        <v/>
      </c>
      <c r="P1528" t="str">
        <f t="shared" si="474"/>
        <v/>
      </c>
      <c r="Q1528" t="str">
        <f t="shared" si="475"/>
        <v/>
      </c>
      <c r="R1528" t="str">
        <f t="shared" si="476"/>
        <v/>
      </c>
      <c r="S1528" t="str">
        <f t="shared" si="477"/>
        <v/>
      </c>
      <c r="T1528" t="str">
        <f t="shared" si="478"/>
        <v/>
      </c>
      <c r="U1528" t="str">
        <f t="shared" si="479"/>
        <v/>
      </c>
      <c r="V1528" t="str">
        <f t="shared" si="480"/>
        <v/>
      </c>
      <c r="W1528" s="71" t="str">
        <f>CONCATENATE(H1528," ",I1528," ",J1528," ",K1528," ",L1528," ",M1528," ",N1528," ",O1528," ",P1528," ",Q1528," ",R1528," ",S1528," ",T1528," ",U1528," ",V1528)</f>
        <v xml:space="preserve">Force majeure An “act of God” that may have a negative impact on the project. Examples include fire, hurricanes, tornadoes, and earthquakes.          </v>
      </c>
    </row>
    <row r="1529" spans="1:23" customFormat="1" hidden="1">
      <c r="A1529" t="b">
        <f t="shared" si="462"/>
        <v>0</v>
      </c>
      <c r="B1529">
        <f t="shared" si="464"/>
        <v>1528</v>
      </c>
      <c r="C1529" t="s">
        <v>1243</v>
      </c>
      <c r="D1529" t="s">
        <v>1501</v>
      </c>
      <c r="E1529">
        <f t="shared" si="481"/>
        <v>40</v>
      </c>
      <c r="G1529">
        <f t="shared" si="465"/>
        <v>2</v>
      </c>
      <c r="H1529" t="str">
        <f t="shared" si="466"/>
        <v/>
      </c>
      <c r="I1529" t="str">
        <f t="shared" si="467"/>
        <v/>
      </c>
      <c r="J1529" t="str">
        <f t="shared" si="468"/>
        <v/>
      </c>
      <c r="K1529" t="str">
        <f t="shared" si="469"/>
        <v/>
      </c>
      <c r="L1529" t="str">
        <f t="shared" si="470"/>
        <v/>
      </c>
      <c r="M1529" t="str">
        <f t="shared" si="471"/>
        <v/>
      </c>
      <c r="N1529" t="str">
        <f t="shared" si="472"/>
        <v/>
      </c>
      <c r="O1529" t="str">
        <f t="shared" si="473"/>
        <v/>
      </c>
      <c r="P1529" t="str">
        <f t="shared" si="474"/>
        <v/>
      </c>
      <c r="Q1529" t="str">
        <f t="shared" si="475"/>
        <v/>
      </c>
      <c r="R1529" t="str">
        <f t="shared" si="476"/>
        <v/>
      </c>
      <c r="S1529" t="str">
        <f t="shared" si="477"/>
        <v/>
      </c>
      <c r="T1529" t="str">
        <f t="shared" si="478"/>
        <v/>
      </c>
      <c r="U1529" t="str">
        <f t="shared" si="479"/>
        <v/>
      </c>
      <c r="V1529" t="str">
        <f t="shared" si="480"/>
        <v/>
      </c>
      <c r="W1529" t="str">
        <f t="shared" si="463"/>
        <v xml:space="preserve">              </v>
      </c>
    </row>
    <row r="1530" spans="1:23" customFormat="1" hidden="1">
      <c r="A1530" t="b">
        <f t="shared" si="462"/>
        <v>0</v>
      </c>
      <c r="B1530">
        <f t="shared" si="464"/>
        <v>1529</v>
      </c>
      <c r="C1530" t="s">
        <v>1243</v>
      </c>
      <c r="D1530" t="s">
        <v>1502</v>
      </c>
      <c r="E1530">
        <f t="shared" si="481"/>
        <v>39</v>
      </c>
      <c r="G1530">
        <f t="shared" si="465"/>
        <v>3</v>
      </c>
      <c r="H1530" t="str">
        <f t="shared" si="466"/>
        <v/>
      </c>
      <c r="I1530" t="str">
        <f t="shared" si="467"/>
        <v/>
      </c>
      <c r="J1530" t="str">
        <f t="shared" si="468"/>
        <v/>
      </c>
      <c r="K1530" t="str">
        <f t="shared" si="469"/>
        <v/>
      </c>
      <c r="L1530" t="str">
        <f t="shared" si="470"/>
        <v/>
      </c>
      <c r="M1530" t="str">
        <f t="shared" si="471"/>
        <v/>
      </c>
      <c r="N1530" t="str">
        <f t="shared" si="472"/>
        <v/>
      </c>
      <c r="O1530" t="str">
        <f t="shared" si="473"/>
        <v/>
      </c>
      <c r="P1530" t="str">
        <f t="shared" si="474"/>
        <v/>
      </c>
      <c r="Q1530" t="str">
        <f t="shared" si="475"/>
        <v/>
      </c>
      <c r="R1530" t="str">
        <f t="shared" si="476"/>
        <v/>
      </c>
      <c r="S1530" t="str">
        <f t="shared" si="477"/>
        <v/>
      </c>
      <c r="T1530" t="str">
        <f t="shared" si="478"/>
        <v/>
      </c>
      <c r="U1530" t="str">
        <f t="shared" si="479"/>
        <v/>
      </c>
      <c r="V1530" t="str">
        <f t="shared" si="480"/>
        <v/>
      </c>
      <c r="W1530" t="str">
        <f t="shared" si="463"/>
        <v xml:space="preserve">              </v>
      </c>
    </row>
    <row r="1531" spans="1:23" customFormat="1" hidden="1">
      <c r="A1531" t="b">
        <f t="shared" si="462"/>
        <v>0</v>
      </c>
      <c r="B1531">
        <f t="shared" si="464"/>
        <v>1530</v>
      </c>
      <c r="C1531" t="s">
        <v>1243</v>
      </c>
      <c r="D1531" t="s">
        <v>1503</v>
      </c>
      <c r="E1531">
        <f t="shared" si="481"/>
        <v>32</v>
      </c>
      <c r="G1531">
        <f t="shared" si="465"/>
        <v>4</v>
      </c>
      <c r="H1531" t="str">
        <f t="shared" si="466"/>
        <v/>
      </c>
      <c r="I1531" t="str">
        <f t="shared" si="467"/>
        <v/>
      </c>
      <c r="J1531" t="str">
        <f t="shared" si="468"/>
        <v/>
      </c>
      <c r="K1531" t="str">
        <f t="shared" si="469"/>
        <v/>
      </c>
      <c r="L1531" t="str">
        <f t="shared" si="470"/>
        <v/>
      </c>
      <c r="M1531" t="str">
        <f t="shared" si="471"/>
        <v/>
      </c>
      <c r="N1531" t="str">
        <f t="shared" si="472"/>
        <v/>
      </c>
      <c r="O1531" t="str">
        <f t="shared" si="473"/>
        <v/>
      </c>
      <c r="P1531" t="str">
        <f t="shared" si="474"/>
        <v/>
      </c>
      <c r="Q1531" t="str">
        <f t="shared" si="475"/>
        <v/>
      </c>
      <c r="R1531" t="str">
        <f t="shared" si="476"/>
        <v/>
      </c>
      <c r="S1531" t="str">
        <f t="shared" si="477"/>
        <v/>
      </c>
      <c r="T1531" t="str">
        <f t="shared" si="478"/>
        <v/>
      </c>
      <c r="U1531" t="str">
        <f t="shared" si="479"/>
        <v/>
      </c>
      <c r="V1531" t="str">
        <f t="shared" si="480"/>
        <v/>
      </c>
      <c r="W1531" t="str">
        <f t="shared" si="463"/>
        <v xml:space="preserve">              </v>
      </c>
    </row>
    <row r="1532" spans="1:23" customFormat="1" hidden="1">
      <c r="A1532" t="b">
        <f t="shared" si="462"/>
        <v>0</v>
      </c>
      <c r="B1532">
        <f t="shared" si="464"/>
        <v>1531</v>
      </c>
      <c r="C1532" t="s">
        <v>1243</v>
      </c>
      <c r="D1532" t="s">
        <v>1504</v>
      </c>
      <c r="E1532">
        <f t="shared" si="481"/>
        <v>12</v>
      </c>
      <c r="G1532">
        <f t="shared" si="465"/>
        <v>5</v>
      </c>
      <c r="H1532" t="str">
        <f t="shared" si="466"/>
        <v/>
      </c>
      <c r="I1532" t="str">
        <f t="shared" si="467"/>
        <v/>
      </c>
      <c r="J1532" t="str">
        <f t="shared" si="468"/>
        <v/>
      </c>
      <c r="K1532" t="str">
        <f t="shared" si="469"/>
        <v/>
      </c>
      <c r="L1532" t="str">
        <f t="shared" si="470"/>
        <v/>
      </c>
      <c r="M1532" t="str">
        <f t="shared" si="471"/>
        <v/>
      </c>
      <c r="N1532" t="str">
        <f t="shared" si="472"/>
        <v/>
      </c>
      <c r="O1532" t="str">
        <f t="shared" si="473"/>
        <v/>
      </c>
      <c r="P1532" t="str">
        <f t="shared" si="474"/>
        <v/>
      </c>
      <c r="Q1532" t="str">
        <f t="shared" si="475"/>
        <v/>
      </c>
      <c r="R1532" t="str">
        <f t="shared" si="476"/>
        <v/>
      </c>
      <c r="S1532" t="str">
        <f t="shared" si="477"/>
        <v/>
      </c>
      <c r="T1532" t="str">
        <f t="shared" si="478"/>
        <v/>
      </c>
      <c r="U1532" t="str">
        <f t="shared" si="479"/>
        <v/>
      </c>
      <c r="V1532" t="str">
        <f t="shared" si="480"/>
        <v/>
      </c>
      <c r="W1532" t="str">
        <f t="shared" si="463"/>
        <v xml:space="preserve">              </v>
      </c>
    </row>
    <row r="1533" spans="1:23" hidden="1">
      <c r="A1533" s="71" t="b">
        <f t="shared" ref="A1533:A1596" si="482">C1533=D1533</f>
        <v>0</v>
      </c>
      <c r="B1533" s="71">
        <f t="shared" si="464"/>
        <v>1532</v>
      </c>
      <c r="C1533" s="71" t="s">
        <v>1243</v>
      </c>
      <c r="D1533" s="71" t="s">
        <v>1505</v>
      </c>
      <c r="E1533">
        <f t="shared" si="481"/>
        <v>21</v>
      </c>
      <c r="F1533">
        <v>1</v>
      </c>
      <c r="G1533">
        <f t="shared" si="465"/>
        <v>1</v>
      </c>
      <c r="H1533" t="str">
        <f t="shared" si="466"/>
        <v>Independent estimates</v>
      </c>
      <c r="I1533" t="str">
        <f t="shared" si="467"/>
        <v>These estimates are often referred to as</v>
      </c>
      <c r="J1533" t="str">
        <f t="shared" si="468"/>
        <v>“should cost” estimates. They are created</v>
      </c>
      <c r="K1533" t="str">
        <f t="shared" si="469"/>
        <v>by the performing organization or outside</v>
      </c>
      <c r="L1533" t="str">
        <f t="shared" si="470"/>
        <v>experts to predict what the cost of the</v>
      </c>
      <c r="M1533" t="str">
        <f t="shared" si="471"/>
        <v>procured product should be.</v>
      </c>
      <c r="N1533" t="str">
        <f t="shared" si="472"/>
        <v/>
      </c>
      <c r="O1533" t="str">
        <f t="shared" si="473"/>
        <v/>
      </c>
      <c r="P1533" t="str">
        <f t="shared" si="474"/>
        <v/>
      </c>
      <c r="Q1533" t="str">
        <f t="shared" si="475"/>
        <v/>
      </c>
      <c r="R1533" t="str">
        <f t="shared" si="476"/>
        <v/>
      </c>
      <c r="S1533" t="str">
        <f t="shared" si="477"/>
        <v/>
      </c>
      <c r="T1533" t="str">
        <f t="shared" si="478"/>
        <v/>
      </c>
      <c r="U1533" t="str">
        <f t="shared" si="479"/>
        <v/>
      </c>
      <c r="V1533" t="str">
        <f t="shared" si="480"/>
        <v/>
      </c>
      <c r="W1533" s="71" t="str">
        <f>CONCATENATE(H1533," ",I1533," ",J1533," ",K1533," ",L1533," ",M1533," ",N1533," ",O1533," ",P1533," ",Q1533," ",R1533," ",S1533," ",T1533," ",U1533," ",V1533)</f>
        <v xml:space="preserve">Independent estimates These estimates are often referred to as “should cost” estimates. They are created by the performing organization or outside experts to predict what the cost of the procured product should be.         </v>
      </c>
    </row>
    <row r="1534" spans="1:23" customFormat="1" hidden="1">
      <c r="A1534" t="b">
        <f t="shared" si="482"/>
        <v>0</v>
      </c>
      <c r="B1534">
        <f t="shared" si="464"/>
        <v>1533</v>
      </c>
      <c r="C1534" t="s">
        <v>1243</v>
      </c>
      <c r="D1534" t="s">
        <v>1506</v>
      </c>
      <c r="E1534">
        <f t="shared" si="481"/>
        <v>40</v>
      </c>
      <c r="G1534">
        <f t="shared" si="465"/>
        <v>2</v>
      </c>
      <c r="H1534" t="str">
        <f t="shared" si="466"/>
        <v/>
      </c>
      <c r="I1534" t="str">
        <f t="shared" si="467"/>
        <v/>
      </c>
      <c r="J1534" t="str">
        <f t="shared" si="468"/>
        <v/>
      </c>
      <c r="K1534" t="str">
        <f t="shared" si="469"/>
        <v/>
      </c>
      <c r="L1534" t="str">
        <f t="shared" si="470"/>
        <v/>
      </c>
      <c r="M1534" t="str">
        <f t="shared" si="471"/>
        <v/>
      </c>
      <c r="N1534" t="str">
        <f t="shared" si="472"/>
        <v/>
      </c>
      <c r="O1534" t="str">
        <f t="shared" si="473"/>
        <v/>
      </c>
      <c r="P1534" t="str">
        <f t="shared" si="474"/>
        <v/>
      </c>
      <c r="Q1534" t="str">
        <f t="shared" si="475"/>
        <v/>
      </c>
      <c r="R1534" t="str">
        <f t="shared" si="476"/>
        <v/>
      </c>
      <c r="S1534" t="str">
        <f t="shared" si="477"/>
        <v/>
      </c>
      <c r="T1534" t="str">
        <f t="shared" si="478"/>
        <v/>
      </c>
      <c r="U1534" t="str">
        <f t="shared" si="479"/>
        <v/>
      </c>
      <c r="V1534" t="str">
        <f t="shared" si="480"/>
        <v/>
      </c>
      <c r="W1534" t="str">
        <f t="shared" ref="W1534:W1596" si="483">CONCATENATE(H1534," ",I1534," ",J1534," ",K1534," ",L1534," ",M1534," ",N1534," ",O1534," ",P1534," ",Q1534," ",R1534," ",S1534," ",T1534," ",U1534," ",V1534)</f>
        <v xml:space="preserve">              </v>
      </c>
    </row>
    <row r="1535" spans="1:23" customFormat="1" hidden="1">
      <c r="A1535" t="b">
        <f t="shared" si="482"/>
        <v>0</v>
      </c>
      <c r="B1535">
        <f t="shared" si="464"/>
        <v>1534</v>
      </c>
      <c r="C1535" t="s">
        <v>1243</v>
      </c>
      <c r="D1535" t="s">
        <v>1507</v>
      </c>
      <c r="E1535">
        <f t="shared" si="481"/>
        <v>41</v>
      </c>
      <c r="G1535">
        <f t="shared" si="465"/>
        <v>3</v>
      </c>
      <c r="H1535" t="str">
        <f t="shared" si="466"/>
        <v/>
      </c>
      <c r="I1535" t="str">
        <f t="shared" si="467"/>
        <v/>
      </c>
      <c r="J1535" t="str">
        <f t="shared" si="468"/>
        <v/>
      </c>
      <c r="K1535" t="str">
        <f t="shared" si="469"/>
        <v/>
      </c>
      <c r="L1535" t="str">
        <f t="shared" si="470"/>
        <v/>
      </c>
      <c r="M1535" t="str">
        <f t="shared" si="471"/>
        <v/>
      </c>
      <c r="N1535" t="str">
        <f t="shared" si="472"/>
        <v/>
      </c>
      <c r="O1535" t="str">
        <f t="shared" si="473"/>
        <v/>
      </c>
      <c r="P1535" t="str">
        <f t="shared" si="474"/>
        <v/>
      </c>
      <c r="Q1535" t="str">
        <f t="shared" si="475"/>
        <v/>
      </c>
      <c r="R1535" t="str">
        <f t="shared" si="476"/>
        <v/>
      </c>
      <c r="S1535" t="str">
        <f t="shared" si="477"/>
        <v/>
      </c>
      <c r="T1535" t="str">
        <f t="shared" si="478"/>
        <v/>
      </c>
      <c r="U1535" t="str">
        <f t="shared" si="479"/>
        <v/>
      </c>
      <c r="V1535" t="str">
        <f t="shared" si="480"/>
        <v/>
      </c>
      <c r="W1535" t="str">
        <f t="shared" si="483"/>
        <v xml:space="preserve">              </v>
      </c>
    </row>
    <row r="1536" spans="1:23" customFormat="1" hidden="1">
      <c r="A1536" t="b">
        <f t="shared" si="482"/>
        <v>0</v>
      </c>
      <c r="B1536">
        <f t="shared" si="464"/>
        <v>1535</v>
      </c>
      <c r="C1536" t="s">
        <v>1243</v>
      </c>
      <c r="D1536" t="s">
        <v>1508</v>
      </c>
      <c r="E1536">
        <f t="shared" si="481"/>
        <v>41</v>
      </c>
      <c r="G1536">
        <f t="shared" si="465"/>
        <v>4</v>
      </c>
      <c r="H1536" t="str">
        <f t="shared" si="466"/>
        <v/>
      </c>
      <c r="I1536" t="str">
        <f t="shared" si="467"/>
        <v/>
      </c>
      <c r="J1536" t="str">
        <f t="shared" si="468"/>
        <v/>
      </c>
      <c r="K1536" t="str">
        <f t="shared" si="469"/>
        <v/>
      </c>
      <c r="L1536" t="str">
        <f t="shared" si="470"/>
        <v/>
      </c>
      <c r="M1536" t="str">
        <f t="shared" si="471"/>
        <v/>
      </c>
      <c r="N1536" t="str">
        <f t="shared" si="472"/>
        <v/>
      </c>
      <c r="O1536" t="str">
        <f t="shared" si="473"/>
        <v/>
      </c>
      <c r="P1536" t="str">
        <f t="shared" si="474"/>
        <v/>
      </c>
      <c r="Q1536" t="str">
        <f t="shared" si="475"/>
        <v/>
      </c>
      <c r="R1536" t="str">
        <f t="shared" si="476"/>
        <v/>
      </c>
      <c r="S1536" t="str">
        <f t="shared" si="477"/>
        <v/>
      </c>
      <c r="T1536" t="str">
        <f t="shared" si="478"/>
        <v/>
      </c>
      <c r="U1536" t="str">
        <f t="shared" si="479"/>
        <v/>
      </c>
      <c r="V1536" t="str">
        <f t="shared" si="480"/>
        <v/>
      </c>
      <c r="W1536" t="str">
        <f t="shared" si="483"/>
        <v xml:space="preserve">              </v>
      </c>
    </row>
    <row r="1537" spans="1:23" customFormat="1" hidden="1">
      <c r="A1537" t="b">
        <f t="shared" si="482"/>
        <v>0</v>
      </c>
      <c r="B1537">
        <f t="shared" si="464"/>
        <v>1536</v>
      </c>
      <c r="C1537" t="s">
        <v>1243</v>
      </c>
      <c r="D1537" t="s">
        <v>1509</v>
      </c>
      <c r="E1537">
        <f t="shared" si="481"/>
        <v>39</v>
      </c>
      <c r="G1537">
        <f t="shared" si="465"/>
        <v>5</v>
      </c>
      <c r="H1537" t="str">
        <f t="shared" si="466"/>
        <v/>
      </c>
      <c r="I1537" t="str">
        <f t="shared" si="467"/>
        <v/>
      </c>
      <c r="J1537" t="str">
        <f t="shared" si="468"/>
        <v/>
      </c>
      <c r="K1537" t="str">
        <f t="shared" si="469"/>
        <v/>
      </c>
      <c r="L1537" t="str">
        <f t="shared" si="470"/>
        <v/>
      </c>
      <c r="M1537" t="str">
        <f t="shared" si="471"/>
        <v/>
      </c>
      <c r="N1537" t="str">
        <f t="shared" si="472"/>
        <v/>
      </c>
      <c r="O1537" t="str">
        <f t="shared" si="473"/>
        <v/>
      </c>
      <c r="P1537" t="str">
        <f t="shared" si="474"/>
        <v/>
      </c>
      <c r="Q1537" t="str">
        <f t="shared" si="475"/>
        <v/>
      </c>
      <c r="R1537" t="str">
        <f t="shared" si="476"/>
        <v/>
      </c>
      <c r="S1537" t="str">
        <f t="shared" si="477"/>
        <v/>
      </c>
      <c r="T1537" t="str">
        <f t="shared" si="478"/>
        <v/>
      </c>
      <c r="U1537" t="str">
        <f t="shared" si="479"/>
        <v/>
      </c>
      <c r="V1537" t="str">
        <f t="shared" si="480"/>
        <v/>
      </c>
      <c r="W1537" t="str">
        <f t="shared" si="483"/>
        <v xml:space="preserve">              </v>
      </c>
    </row>
    <row r="1538" spans="1:23" customFormat="1" hidden="1">
      <c r="A1538" t="b">
        <f t="shared" si="482"/>
        <v>0</v>
      </c>
      <c r="B1538">
        <f t="shared" si="464"/>
        <v>1537</v>
      </c>
      <c r="C1538" t="s">
        <v>1243</v>
      </c>
      <c r="D1538" t="s">
        <v>1510</v>
      </c>
      <c r="E1538">
        <f t="shared" si="481"/>
        <v>27</v>
      </c>
      <c r="G1538">
        <f t="shared" si="465"/>
        <v>6</v>
      </c>
      <c r="H1538" t="str">
        <f t="shared" si="466"/>
        <v/>
      </c>
      <c r="I1538" t="str">
        <f t="shared" si="467"/>
        <v/>
      </c>
      <c r="J1538" t="str">
        <f t="shared" si="468"/>
        <v/>
      </c>
      <c r="K1538" t="str">
        <f t="shared" si="469"/>
        <v/>
      </c>
      <c r="L1538" t="str">
        <f t="shared" si="470"/>
        <v/>
      </c>
      <c r="M1538" t="str">
        <f t="shared" si="471"/>
        <v/>
      </c>
      <c r="N1538" t="str">
        <f t="shared" si="472"/>
        <v/>
      </c>
      <c r="O1538" t="str">
        <f t="shared" si="473"/>
        <v/>
      </c>
      <c r="P1538" t="str">
        <f t="shared" si="474"/>
        <v/>
      </c>
      <c r="Q1538" t="str">
        <f t="shared" si="475"/>
        <v/>
      </c>
      <c r="R1538" t="str">
        <f t="shared" si="476"/>
        <v/>
      </c>
      <c r="S1538" t="str">
        <f t="shared" si="477"/>
        <v/>
      </c>
      <c r="T1538" t="str">
        <f t="shared" si="478"/>
        <v/>
      </c>
      <c r="U1538" t="str">
        <f t="shared" si="479"/>
        <v/>
      </c>
      <c r="V1538" t="str">
        <f t="shared" si="480"/>
        <v/>
      </c>
      <c r="W1538" t="str">
        <f t="shared" si="483"/>
        <v xml:space="preserve">              </v>
      </c>
    </row>
    <row r="1539" spans="1:23" hidden="1">
      <c r="A1539" s="71" t="b">
        <f t="shared" si="482"/>
        <v>0</v>
      </c>
      <c r="B1539" s="71">
        <f t="shared" si="464"/>
        <v>1538</v>
      </c>
      <c r="C1539" s="71" t="s">
        <v>1243</v>
      </c>
      <c r="D1539" s="71" t="s">
        <v>742</v>
      </c>
      <c r="E1539">
        <f t="shared" si="481"/>
        <v>14</v>
      </c>
      <c r="F1539">
        <v>1</v>
      </c>
      <c r="G1539">
        <f t="shared" si="465"/>
        <v>1</v>
      </c>
      <c r="H1539" t="str">
        <f t="shared" si="466"/>
        <v>Indirect costs</v>
      </c>
      <c r="I1539" t="str">
        <f t="shared" si="467"/>
        <v>These are costs attributed to the cost of</v>
      </c>
      <c r="J1539" t="str">
        <f t="shared" si="468"/>
        <v>doing business. Examples include</v>
      </c>
      <c r="K1539" t="str">
        <f t="shared" si="469"/>
        <v>utilities, office space, and other overhead</v>
      </c>
      <c r="L1539" t="str">
        <f t="shared" si="470"/>
        <v>costs.</v>
      </c>
      <c r="M1539" t="str">
        <f t="shared" si="471"/>
        <v/>
      </c>
      <c r="N1539" t="str">
        <f t="shared" si="472"/>
        <v/>
      </c>
      <c r="O1539" t="str">
        <f t="shared" si="473"/>
        <v/>
      </c>
      <c r="P1539" t="str">
        <f t="shared" si="474"/>
        <v/>
      </c>
      <c r="Q1539" t="str">
        <f t="shared" si="475"/>
        <v/>
      </c>
      <c r="R1539" t="str">
        <f t="shared" si="476"/>
        <v/>
      </c>
      <c r="S1539" t="str">
        <f t="shared" si="477"/>
        <v/>
      </c>
      <c r="T1539" t="str">
        <f t="shared" si="478"/>
        <v/>
      </c>
      <c r="U1539" t="str">
        <f t="shared" si="479"/>
        <v/>
      </c>
      <c r="V1539" t="str">
        <f t="shared" si="480"/>
        <v/>
      </c>
      <c r="W1539" s="71" t="str">
        <f>CONCATENATE(H1539," ",I1539," ",J1539," ",K1539," ",L1539," ",M1539," ",N1539," ",O1539," ",P1539," ",Q1539," ",R1539," ",S1539," ",T1539," ",U1539," ",V1539)</f>
        <v xml:space="preserve">Indirect costs These are costs attributed to the cost of doing business. Examples include utilities, office space, and other overhead costs.          </v>
      </c>
    </row>
    <row r="1540" spans="1:23" customFormat="1" hidden="1">
      <c r="A1540" t="b">
        <f t="shared" si="482"/>
        <v>0</v>
      </c>
      <c r="B1540">
        <f t="shared" ref="B1540:B1603" si="484">B1539+1</f>
        <v>1539</v>
      </c>
      <c r="C1540" t="s">
        <v>1243</v>
      </c>
      <c r="D1540" t="s">
        <v>1511</v>
      </c>
      <c r="E1540">
        <f t="shared" si="481"/>
        <v>41</v>
      </c>
      <c r="G1540">
        <f t="shared" ref="G1540:G1603" si="485">IF(F1540=1,1,G1539+1)</f>
        <v>2</v>
      </c>
      <c r="H1540" t="str">
        <f t="shared" ref="H1540:H1603" si="486">IF($G1540=H$1,$D1540,"")</f>
        <v/>
      </c>
      <c r="I1540" t="str">
        <f t="shared" ref="I1540:I1603" si="487">IF($G1541=I$1,$D1541,"")</f>
        <v/>
      </c>
      <c r="J1540" t="str">
        <f t="shared" ref="J1540:J1603" si="488">IF($G1542=J$1,$D1542,"")</f>
        <v/>
      </c>
      <c r="K1540" t="str">
        <f t="shared" ref="K1540:K1603" si="489">IF($G1543=K$1,$D1543,"")</f>
        <v/>
      </c>
      <c r="L1540" t="str">
        <f t="shared" ref="L1540:L1603" si="490">IF($G1544=L$1,$D1544,"")</f>
        <v/>
      </c>
      <c r="M1540" t="str">
        <f t="shared" ref="M1540:M1603" si="491">IF($G1545=M$1,$D1545,"")</f>
        <v/>
      </c>
      <c r="N1540" t="str">
        <f t="shared" ref="N1540:N1603" si="492">IF($G1546=N$1,$D1546,"")</f>
        <v/>
      </c>
      <c r="O1540" t="str">
        <f t="shared" ref="O1540:O1603" si="493">IF($G1547=O$1,$D1547,"")</f>
        <v/>
      </c>
      <c r="P1540" t="str">
        <f t="shared" ref="P1540:P1603" si="494">IF($G1548=P$1,$D1548,"")</f>
        <v/>
      </c>
      <c r="Q1540" t="str">
        <f t="shared" ref="Q1540:Q1603" si="495">IF($G1549=Q$1,$D1549,"")</f>
        <v/>
      </c>
      <c r="R1540" t="str">
        <f t="shared" ref="R1540:R1603" si="496">IF($G1550=R$1,$D1550,"")</f>
        <v/>
      </c>
      <c r="S1540" t="str">
        <f t="shared" ref="S1540:S1603" si="497">IF($G1551=S$1,$D1551,"")</f>
        <v/>
      </c>
      <c r="T1540" t="str">
        <f t="shared" ref="T1540:T1603" si="498">IF($G1552=T$1,$D1552,"")</f>
        <v/>
      </c>
      <c r="U1540" t="str">
        <f t="shared" ref="U1540:U1603" si="499">IF($G1553=U$1,$D1553,"")</f>
        <v/>
      </c>
      <c r="V1540" t="str">
        <f t="shared" ref="V1540:V1603" si="500">IF($G1554=V$1,$D1554,"")</f>
        <v/>
      </c>
      <c r="W1540" t="str">
        <f t="shared" si="483"/>
        <v xml:space="preserve">              </v>
      </c>
    </row>
    <row r="1541" spans="1:23" customFormat="1" hidden="1">
      <c r="A1541" t="b">
        <f t="shared" si="482"/>
        <v>0</v>
      </c>
      <c r="B1541">
        <f t="shared" si="484"/>
        <v>1540</v>
      </c>
      <c r="C1541" t="s">
        <v>1243</v>
      </c>
      <c r="D1541" t="s">
        <v>1512</v>
      </c>
      <c r="E1541">
        <f t="shared" si="481"/>
        <v>32</v>
      </c>
      <c r="G1541">
        <f t="shared" si="485"/>
        <v>3</v>
      </c>
      <c r="H1541" t="str">
        <f t="shared" si="486"/>
        <v/>
      </c>
      <c r="I1541" t="str">
        <f t="shared" si="487"/>
        <v/>
      </c>
      <c r="J1541" t="str">
        <f t="shared" si="488"/>
        <v/>
      </c>
      <c r="K1541" t="str">
        <f t="shared" si="489"/>
        <v/>
      </c>
      <c r="L1541" t="str">
        <f t="shared" si="490"/>
        <v/>
      </c>
      <c r="M1541" t="str">
        <f t="shared" si="491"/>
        <v/>
      </c>
      <c r="N1541" t="str">
        <f t="shared" si="492"/>
        <v/>
      </c>
      <c r="O1541" t="str">
        <f t="shared" si="493"/>
        <v/>
      </c>
      <c r="P1541" t="str">
        <f t="shared" si="494"/>
        <v/>
      </c>
      <c r="Q1541" t="str">
        <f t="shared" si="495"/>
        <v/>
      </c>
      <c r="R1541" t="str">
        <f t="shared" si="496"/>
        <v/>
      </c>
      <c r="S1541" t="str">
        <f t="shared" si="497"/>
        <v/>
      </c>
      <c r="T1541" t="str">
        <f t="shared" si="498"/>
        <v/>
      </c>
      <c r="U1541" t="str">
        <f t="shared" si="499"/>
        <v/>
      </c>
      <c r="V1541" t="str">
        <f t="shared" si="500"/>
        <v/>
      </c>
      <c r="W1541" t="str">
        <f t="shared" si="483"/>
        <v xml:space="preserve">              </v>
      </c>
    </row>
    <row r="1542" spans="1:23" customFormat="1" hidden="1">
      <c r="A1542" t="b">
        <f t="shared" si="482"/>
        <v>0</v>
      </c>
      <c r="B1542">
        <f t="shared" si="484"/>
        <v>1541</v>
      </c>
      <c r="C1542" t="s">
        <v>1243</v>
      </c>
      <c r="D1542" t="s">
        <v>1513</v>
      </c>
      <c r="E1542">
        <f t="shared" si="481"/>
        <v>43</v>
      </c>
      <c r="G1542">
        <f t="shared" si="485"/>
        <v>4</v>
      </c>
      <c r="H1542" t="str">
        <f t="shared" si="486"/>
        <v/>
      </c>
      <c r="I1542" t="str">
        <f t="shared" si="487"/>
        <v/>
      </c>
      <c r="J1542" t="str">
        <f t="shared" si="488"/>
        <v/>
      </c>
      <c r="K1542" t="str">
        <f t="shared" si="489"/>
        <v/>
      </c>
      <c r="L1542" t="str">
        <f t="shared" si="490"/>
        <v/>
      </c>
      <c r="M1542" t="str">
        <f t="shared" si="491"/>
        <v/>
      </c>
      <c r="N1542" t="str">
        <f t="shared" si="492"/>
        <v/>
      </c>
      <c r="O1542" t="str">
        <f t="shared" si="493"/>
        <v/>
      </c>
      <c r="P1542" t="str">
        <f t="shared" si="494"/>
        <v/>
      </c>
      <c r="Q1542" t="str">
        <f t="shared" si="495"/>
        <v/>
      </c>
      <c r="R1542" t="str">
        <f t="shared" si="496"/>
        <v/>
      </c>
      <c r="S1542" t="str">
        <f t="shared" si="497"/>
        <v/>
      </c>
      <c r="T1542" t="str">
        <f t="shared" si="498"/>
        <v/>
      </c>
      <c r="U1542" t="str">
        <f t="shared" si="499"/>
        <v/>
      </c>
      <c r="V1542" t="str">
        <f t="shared" si="500"/>
        <v/>
      </c>
      <c r="W1542" t="str">
        <f t="shared" si="483"/>
        <v xml:space="preserve">              </v>
      </c>
    </row>
    <row r="1543" spans="1:23" customFormat="1" hidden="1">
      <c r="A1543" t="b">
        <f t="shared" si="482"/>
        <v>0</v>
      </c>
      <c r="B1543">
        <f t="shared" si="484"/>
        <v>1542</v>
      </c>
      <c r="C1543" t="s">
        <v>1243</v>
      </c>
      <c r="D1543" t="s">
        <v>1514</v>
      </c>
      <c r="E1543">
        <f t="shared" si="481"/>
        <v>6</v>
      </c>
      <c r="G1543">
        <f t="shared" si="485"/>
        <v>5</v>
      </c>
      <c r="H1543" t="str">
        <f t="shared" si="486"/>
        <v/>
      </c>
      <c r="I1543" t="str">
        <f t="shared" si="487"/>
        <v/>
      </c>
      <c r="J1543" t="str">
        <f t="shared" si="488"/>
        <v/>
      </c>
      <c r="K1543" t="str">
        <f t="shared" si="489"/>
        <v/>
      </c>
      <c r="L1543" t="str">
        <f t="shared" si="490"/>
        <v/>
      </c>
      <c r="M1543" t="str">
        <f t="shared" si="491"/>
        <v/>
      </c>
      <c r="N1543" t="str">
        <f t="shared" si="492"/>
        <v/>
      </c>
      <c r="O1543" t="str">
        <f t="shared" si="493"/>
        <v/>
      </c>
      <c r="P1543" t="str">
        <f t="shared" si="494"/>
        <v/>
      </c>
      <c r="Q1543" t="str">
        <f t="shared" si="495"/>
        <v/>
      </c>
      <c r="R1543" t="str">
        <f t="shared" si="496"/>
        <v/>
      </c>
      <c r="S1543" t="str">
        <f t="shared" si="497"/>
        <v/>
      </c>
      <c r="T1543" t="str">
        <f t="shared" si="498"/>
        <v/>
      </c>
      <c r="U1543" t="str">
        <f t="shared" si="499"/>
        <v/>
      </c>
      <c r="V1543" t="str">
        <f t="shared" si="500"/>
        <v/>
      </c>
      <c r="W1543" t="str">
        <f t="shared" si="483"/>
        <v xml:space="preserve">              </v>
      </c>
    </row>
    <row r="1544" spans="1:23" hidden="1">
      <c r="A1544" s="71" t="b">
        <f t="shared" si="482"/>
        <v>0</v>
      </c>
      <c r="B1544" s="71">
        <f t="shared" si="484"/>
        <v>1543</v>
      </c>
      <c r="C1544" s="71" t="s">
        <v>1243</v>
      </c>
      <c r="D1544" s="71" t="s">
        <v>1515</v>
      </c>
      <c r="E1544">
        <f t="shared" si="481"/>
        <v>24</v>
      </c>
      <c r="F1544">
        <v>1</v>
      </c>
      <c r="G1544">
        <f t="shared" si="485"/>
        <v>1</v>
      </c>
      <c r="H1544" t="str">
        <f t="shared" si="486"/>
        <v>Invitation for Bid (IFB)</v>
      </c>
      <c r="I1544" t="str">
        <f t="shared" si="487"/>
        <v>From buyer to seller. Requests the seller</v>
      </c>
      <c r="J1544" t="str">
        <f t="shared" si="488"/>
        <v>to provide a price for the procured</v>
      </c>
      <c r="K1544" t="str">
        <f t="shared" si="489"/>
        <v>product or service.</v>
      </c>
      <c r="L1544" t="str">
        <f t="shared" si="490"/>
        <v/>
      </c>
      <c r="M1544" t="str">
        <f t="shared" si="491"/>
        <v/>
      </c>
      <c r="N1544" t="str">
        <f t="shared" si="492"/>
        <v/>
      </c>
      <c r="O1544" t="str">
        <f t="shared" si="493"/>
        <v/>
      </c>
      <c r="P1544" t="str">
        <f t="shared" si="494"/>
        <v/>
      </c>
      <c r="Q1544" t="str">
        <f t="shared" si="495"/>
        <v/>
      </c>
      <c r="R1544" t="str">
        <f t="shared" si="496"/>
        <v/>
      </c>
      <c r="S1544" t="str">
        <f t="shared" si="497"/>
        <v/>
      </c>
      <c r="T1544" t="str">
        <f t="shared" si="498"/>
        <v/>
      </c>
      <c r="U1544" t="str">
        <f t="shared" si="499"/>
        <v/>
      </c>
      <c r="V1544" t="str">
        <f t="shared" si="500"/>
        <v/>
      </c>
      <c r="W1544" s="71" t="str">
        <f>CONCATENATE(H1544," ",I1544," ",J1544," ",K1544," ",L1544," ",M1544," ",N1544," ",O1544," ",P1544," ",Q1544," ",R1544," ",S1544," ",T1544," ",U1544," ",V1544)</f>
        <v xml:space="preserve">Invitation for Bid (IFB) From buyer to seller. Requests the seller to provide a price for the procured product or service.           </v>
      </c>
    </row>
    <row r="1545" spans="1:23" customFormat="1" hidden="1">
      <c r="A1545" t="b">
        <f t="shared" si="482"/>
        <v>0</v>
      </c>
      <c r="B1545">
        <f t="shared" si="484"/>
        <v>1544</v>
      </c>
      <c r="C1545" t="s">
        <v>1243</v>
      </c>
      <c r="D1545" t="s">
        <v>1516</v>
      </c>
      <c r="E1545">
        <f t="shared" si="481"/>
        <v>41</v>
      </c>
      <c r="G1545">
        <f t="shared" si="485"/>
        <v>2</v>
      </c>
      <c r="H1545" t="str">
        <f t="shared" si="486"/>
        <v/>
      </c>
      <c r="I1545" t="str">
        <f t="shared" si="487"/>
        <v/>
      </c>
      <c r="J1545" t="str">
        <f t="shared" si="488"/>
        <v/>
      </c>
      <c r="K1545" t="str">
        <f t="shared" si="489"/>
        <v/>
      </c>
      <c r="L1545" t="str">
        <f t="shared" si="490"/>
        <v/>
      </c>
      <c r="M1545" t="str">
        <f t="shared" si="491"/>
        <v/>
      </c>
      <c r="N1545" t="str">
        <f t="shared" si="492"/>
        <v/>
      </c>
      <c r="O1545" t="str">
        <f t="shared" si="493"/>
        <v/>
      </c>
      <c r="P1545" t="str">
        <f t="shared" si="494"/>
        <v/>
      </c>
      <c r="Q1545" t="str">
        <f t="shared" si="495"/>
        <v/>
      </c>
      <c r="R1545" t="str">
        <f t="shared" si="496"/>
        <v/>
      </c>
      <c r="S1545" t="str">
        <f t="shared" si="497"/>
        <v/>
      </c>
      <c r="T1545" t="str">
        <f t="shared" si="498"/>
        <v/>
      </c>
      <c r="U1545" t="str">
        <f t="shared" si="499"/>
        <v/>
      </c>
      <c r="V1545" t="str">
        <f t="shared" si="500"/>
        <v/>
      </c>
      <c r="W1545" t="str">
        <f t="shared" si="483"/>
        <v xml:space="preserve">              </v>
      </c>
    </row>
    <row r="1546" spans="1:23" customFormat="1" hidden="1">
      <c r="A1546" t="b">
        <f t="shared" si="482"/>
        <v>0</v>
      </c>
      <c r="B1546">
        <f t="shared" si="484"/>
        <v>1545</v>
      </c>
      <c r="C1546" t="s">
        <v>1243</v>
      </c>
      <c r="D1546" t="s">
        <v>1517</v>
      </c>
      <c r="E1546">
        <f t="shared" si="481"/>
        <v>35</v>
      </c>
      <c r="G1546">
        <f t="shared" si="485"/>
        <v>3</v>
      </c>
      <c r="H1546" t="str">
        <f t="shared" si="486"/>
        <v/>
      </c>
      <c r="I1546" t="str">
        <f t="shared" si="487"/>
        <v/>
      </c>
      <c r="J1546" t="str">
        <f t="shared" si="488"/>
        <v/>
      </c>
      <c r="K1546" t="str">
        <f t="shared" si="489"/>
        <v/>
      </c>
      <c r="L1546" t="str">
        <f t="shared" si="490"/>
        <v/>
      </c>
      <c r="M1546" t="str">
        <f t="shared" si="491"/>
        <v/>
      </c>
      <c r="N1546" t="str">
        <f t="shared" si="492"/>
        <v/>
      </c>
      <c r="O1546" t="str">
        <f t="shared" si="493"/>
        <v/>
      </c>
      <c r="P1546" t="str">
        <f t="shared" si="494"/>
        <v/>
      </c>
      <c r="Q1546" t="str">
        <f t="shared" si="495"/>
        <v/>
      </c>
      <c r="R1546" t="str">
        <f t="shared" si="496"/>
        <v/>
      </c>
      <c r="S1546" t="str">
        <f t="shared" si="497"/>
        <v/>
      </c>
      <c r="T1546" t="str">
        <f t="shared" si="498"/>
        <v/>
      </c>
      <c r="U1546" t="str">
        <f t="shared" si="499"/>
        <v/>
      </c>
      <c r="V1546" t="str">
        <f t="shared" si="500"/>
        <v/>
      </c>
      <c r="W1546" t="str">
        <f t="shared" si="483"/>
        <v xml:space="preserve">              </v>
      </c>
    </row>
    <row r="1547" spans="1:23" customFormat="1" hidden="1">
      <c r="A1547" t="b">
        <f t="shared" si="482"/>
        <v>0</v>
      </c>
      <c r="B1547">
        <f t="shared" si="484"/>
        <v>1546</v>
      </c>
      <c r="C1547" t="s">
        <v>1243</v>
      </c>
      <c r="D1547" t="s">
        <v>1518</v>
      </c>
      <c r="E1547">
        <f t="shared" si="481"/>
        <v>19</v>
      </c>
      <c r="G1547">
        <f t="shared" si="485"/>
        <v>4</v>
      </c>
      <c r="H1547" t="str">
        <f t="shared" si="486"/>
        <v/>
      </c>
      <c r="I1547" t="str">
        <f t="shared" si="487"/>
        <v/>
      </c>
      <c r="J1547" t="str">
        <f t="shared" si="488"/>
        <v/>
      </c>
      <c r="K1547" t="str">
        <f t="shared" si="489"/>
        <v/>
      </c>
      <c r="L1547" t="str">
        <f t="shared" si="490"/>
        <v/>
      </c>
      <c r="M1547" t="str">
        <f t="shared" si="491"/>
        <v/>
      </c>
      <c r="N1547" t="str">
        <f t="shared" si="492"/>
        <v/>
      </c>
      <c r="O1547" t="str">
        <f t="shared" si="493"/>
        <v/>
      </c>
      <c r="P1547" t="str">
        <f t="shared" si="494"/>
        <v/>
      </c>
      <c r="Q1547" t="str">
        <f t="shared" si="495"/>
        <v/>
      </c>
      <c r="R1547" t="str">
        <f t="shared" si="496"/>
        <v/>
      </c>
      <c r="S1547" t="str">
        <f t="shared" si="497"/>
        <v/>
      </c>
      <c r="T1547" t="str">
        <f t="shared" si="498"/>
        <v/>
      </c>
      <c r="U1547" t="str">
        <f t="shared" si="499"/>
        <v/>
      </c>
      <c r="V1547" t="str">
        <f t="shared" si="500"/>
        <v/>
      </c>
      <c r="W1547" t="str">
        <f t="shared" si="483"/>
        <v xml:space="preserve">              </v>
      </c>
    </row>
    <row r="1548" spans="1:23" hidden="1">
      <c r="A1548" s="71" t="b">
        <f t="shared" si="482"/>
        <v>0</v>
      </c>
      <c r="B1548" s="71">
        <f t="shared" si="484"/>
        <v>1547</v>
      </c>
      <c r="C1548" s="71" t="s">
        <v>1243</v>
      </c>
      <c r="D1548" s="71" t="s">
        <v>1519</v>
      </c>
      <c r="E1548">
        <f t="shared" si="481"/>
        <v>15</v>
      </c>
      <c r="F1548">
        <v>1</v>
      </c>
      <c r="G1548">
        <f t="shared" si="485"/>
        <v>1</v>
      </c>
      <c r="H1548" t="str">
        <f t="shared" si="486"/>
        <v>Letter contract</v>
      </c>
      <c r="I1548" t="str">
        <f t="shared" si="487"/>
        <v>A letter contract allows the vendor to</v>
      </c>
      <c r="J1548" t="str">
        <f t="shared" si="488"/>
        <v>begin working on the project immediately.</v>
      </c>
      <c r="K1548" t="str">
        <f t="shared" si="489"/>
        <v>It is often used as a stopgap solution.</v>
      </c>
      <c r="L1548" t="str">
        <f t="shared" si="490"/>
        <v/>
      </c>
      <c r="M1548" t="str">
        <f t="shared" si="491"/>
        <v/>
      </c>
      <c r="N1548" t="str">
        <f t="shared" si="492"/>
        <v/>
      </c>
      <c r="O1548" t="str">
        <f t="shared" si="493"/>
        <v/>
      </c>
      <c r="P1548" t="str">
        <f t="shared" si="494"/>
        <v/>
      </c>
      <c r="Q1548" t="str">
        <f t="shared" si="495"/>
        <v/>
      </c>
      <c r="R1548" t="str">
        <f t="shared" si="496"/>
        <v/>
      </c>
      <c r="S1548" t="str">
        <f t="shared" si="497"/>
        <v/>
      </c>
      <c r="T1548" t="str">
        <f t="shared" si="498"/>
        <v/>
      </c>
      <c r="U1548" t="str">
        <f t="shared" si="499"/>
        <v/>
      </c>
      <c r="V1548" t="str">
        <f t="shared" si="500"/>
        <v/>
      </c>
      <c r="W1548" s="71" t="str">
        <f>CONCATENATE(H1548," ",I1548," ",J1548," ",K1548," ",L1548," ",M1548," ",N1548," ",O1548," ",P1548," ",Q1548," ",R1548," ",S1548," ",T1548," ",U1548," ",V1548)</f>
        <v xml:space="preserve">Letter contract A letter contract allows the vendor to begin working on the project immediately. It is often used as a stopgap solution.           </v>
      </c>
    </row>
    <row r="1549" spans="1:23" customFormat="1" hidden="1">
      <c r="A1549" t="b">
        <f t="shared" si="482"/>
        <v>0</v>
      </c>
      <c r="B1549">
        <f t="shared" si="484"/>
        <v>1548</v>
      </c>
      <c r="C1549" t="s">
        <v>1243</v>
      </c>
      <c r="D1549" t="s">
        <v>1520</v>
      </c>
      <c r="E1549">
        <f t="shared" si="481"/>
        <v>38</v>
      </c>
      <c r="G1549">
        <f t="shared" si="485"/>
        <v>2</v>
      </c>
      <c r="H1549" t="str">
        <f t="shared" si="486"/>
        <v/>
      </c>
      <c r="I1549" t="str">
        <f t="shared" si="487"/>
        <v/>
      </c>
      <c r="J1549" t="str">
        <f t="shared" si="488"/>
        <v/>
      </c>
      <c r="K1549" t="str">
        <f t="shared" si="489"/>
        <v/>
      </c>
      <c r="L1549" t="str">
        <f t="shared" si="490"/>
        <v/>
      </c>
      <c r="M1549" t="str">
        <f t="shared" si="491"/>
        <v/>
      </c>
      <c r="N1549" t="str">
        <f t="shared" si="492"/>
        <v/>
      </c>
      <c r="O1549" t="str">
        <f t="shared" si="493"/>
        <v/>
      </c>
      <c r="P1549" t="str">
        <f t="shared" si="494"/>
        <v/>
      </c>
      <c r="Q1549" t="str">
        <f t="shared" si="495"/>
        <v/>
      </c>
      <c r="R1549" t="str">
        <f t="shared" si="496"/>
        <v/>
      </c>
      <c r="S1549" t="str">
        <f t="shared" si="497"/>
        <v/>
      </c>
      <c r="T1549" t="str">
        <f t="shared" si="498"/>
        <v/>
      </c>
      <c r="U1549" t="str">
        <f t="shared" si="499"/>
        <v/>
      </c>
      <c r="V1549" t="str">
        <f t="shared" si="500"/>
        <v/>
      </c>
      <c r="W1549" t="str">
        <f t="shared" si="483"/>
        <v xml:space="preserve">              </v>
      </c>
    </row>
    <row r="1550" spans="1:23" customFormat="1" hidden="1">
      <c r="A1550" t="b">
        <f t="shared" si="482"/>
        <v>0</v>
      </c>
      <c r="B1550">
        <f t="shared" si="484"/>
        <v>1549</v>
      </c>
      <c r="C1550" t="s">
        <v>1243</v>
      </c>
      <c r="D1550" t="s">
        <v>1521</v>
      </c>
      <c r="E1550">
        <f t="shared" si="481"/>
        <v>41</v>
      </c>
      <c r="G1550">
        <f t="shared" si="485"/>
        <v>3</v>
      </c>
      <c r="H1550" t="str">
        <f t="shared" si="486"/>
        <v/>
      </c>
      <c r="I1550" t="str">
        <f t="shared" si="487"/>
        <v/>
      </c>
      <c r="J1550" t="str">
        <f t="shared" si="488"/>
        <v/>
      </c>
      <c r="K1550" t="str">
        <f t="shared" si="489"/>
        <v/>
      </c>
      <c r="L1550" t="str">
        <f t="shared" si="490"/>
        <v/>
      </c>
      <c r="M1550" t="str">
        <f t="shared" si="491"/>
        <v/>
      </c>
      <c r="N1550" t="str">
        <f t="shared" si="492"/>
        <v/>
      </c>
      <c r="O1550" t="str">
        <f t="shared" si="493"/>
        <v/>
      </c>
      <c r="P1550" t="str">
        <f t="shared" si="494"/>
        <v/>
      </c>
      <c r="Q1550" t="str">
        <f t="shared" si="495"/>
        <v/>
      </c>
      <c r="R1550" t="str">
        <f t="shared" si="496"/>
        <v/>
      </c>
      <c r="S1550" t="str">
        <f t="shared" si="497"/>
        <v/>
      </c>
      <c r="T1550" t="str">
        <f t="shared" si="498"/>
        <v/>
      </c>
      <c r="U1550" t="str">
        <f t="shared" si="499"/>
        <v/>
      </c>
      <c r="V1550" t="str">
        <f t="shared" si="500"/>
        <v/>
      </c>
      <c r="W1550" t="str">
        <f t="shared" si="483"/>
        <v xml:space="preserve">              </v>
      </c>
    </row>
    <row r="1551" spans="1:23" customFormat="1" hidden="1">
      <c r="A1551" t="b">
        <f t="shared" si="482"/>
        <v>0</v>
      </c>
      <c r="B1551">
        <f t="shared" si="484"/>
        <v>1550</v>
      </c>
      <c r="C1551" t="s">
        <v>1243</v>
      </c>
      <c r="D1551" t="s">
        <v>1522</v>
      </c>
      <c r="E1551">
        <f t="shared" si="481"/>
        <v>39</v>
      </c>
      <c r="G1551">
        <f t="shared" si="485"/>
        <v>4</v>
      </c>
      <c r="H1551" t="str">
        <f t="shared" si="486"/>
        <v/>
      </c>
      <c r="I1551" t="str">
        <f t="shared" si="487"/>
        <v/>
      </c>
      <c r="J1551" t="str">
        <f t="shared" si="488"/>
        <v/>
      </c>
      <c r="K1551" t="str">
        <f t="shared" si="489"/>
        <v/>
      </c>
      <c r="L1551" t="str">
        <f t="shared" si="490"/>
        <v/>
      </c>
      <c r="M1551" t="str">
        <f t="shared" si="491"/>
        <v/>
      </c>
      <c r="N1551" t="str">
        <f t="shared" si="492"/>
        <v/>
      </c>
      <c r="O1551" t="str">
        <f t="shared" si="493"/>
        <v/>
      </c>
      <c r="P1551" t="str">
        <f t="shared" si="494"/>
        <v/>
      </c>
      <c r="Q1551" t="str">
        <f t="shared" si="495"/>
        <v/>
      </c>
      <c r="R1551" t="str">
        <f t="shared" si="496"/>
        <v/>
      </c>
      <c r="S1551" t="str">
        <f t="shared" si="497"/>
        <v/>
      </c>
      <c r="T1551" t="str">
        <f t="shared" si="498"/>
        <v/>
      </c>
      <c r="U1551" t="str">
        <f t="shared" si="499"/>
        <v/>
      </c>
      <c r="V1551" t="str">
        <f t="shared" si="500"/>
        <v/>
      </c>
      <c r="W1551" t="str">
        <f t="shared" si="483"/>
        <v xml:space="preserve">              </v>
      </c>
    </row>
    <row r="1552" spans="1:23" hidden="1">
      <c r="A1552" s="71" t="b">
        <f t="shared" si="482"/>
        <v>0</v>
      </c>
      <c r="B1552" s="71">
        <f t="shared" si="484"/>
        <v>1551</v>
      </c>
      <c r="C1552" s="71" t="s">
        <v>1243</v>
      </c>
      <c r="D1552" s="71" t="s">
        <v>1523</v>
      </c>
      <c r="E1552">
        <f t="shared" si="481"/>
        <v>16</v>
      </c>
      <c r="F1552">
        <v>1</v>
      </c>
      <c r="G1552">
        <f t="shared" si="485"/>
        <v>1</v>
      </c>
      <c r="H1552" t="str">
        <f t="shared" si="486"/>
        <v>Letter of intent</v>
      </c>
      <c r="I1552" t="str">
        <f t="shared" si="487"/>
        <v>A letter of intent is not a contract, but a</v>
      </c>
      <c r="J1552" t="str">
        <f t="shared" si="488"/>
        <v>letter stating that the buyer is intending to</v>
      </c>
      <c r="K1552" t="str">
        <f t="shared" si="489"/>
        <v>create a contractual relationship with the</v>
      </c>
      <c r="L1552" t="str">
        <f t="shared" si="490"/>
        <v>seller.</v>
      </c>
      <c r="M1552" t="str">
        <f t="shared" si="491"/>
        <v/>
      </c>
      <c r="N1552" t="str">
        <f t="shared" si="492"/>
        <v/>
      </c>
      <c r="O1552" t="str">
        <f t="shared" si="493"/>
        <v/>
      </c>
      <c r="P1552" t="str">
        <f t="shared" si="494"/>
        <v/>
      </c>
      <c r="Q1552" t="str">
        <f t="shared" si="495"/>
        <v/>
      </c>
      <c r="R1552" t="str">
        <f t="shared" si="496"/>
        <v/>
      </c>
      <c r="S1552" t="str">
        <f t="shared" si="497"/>
        <v/>
      </c>
      <c r="T1552" t="str">
        <f t="shared" si="498"/>
        <v/>
      </c>
      <c r="U1552" t="str">
        <f t="shared" si="499"/>
        <v/>
      </c>
      <c r="V1552" t="str">
        <f t="shared" si="500"/>
        <v/>
      </c>
      <c r="W1552" s="71" t="str">
        <f>CONCATENATE(H1552," ",I1552," ",J1552," ",K1552," ",L1552," ",M1552," ",N1552," ",O1552," ",P1552," ",Q1552," ",R1552," ",S1552," ",T1552," ",U1552," ",V1552)</f>
        <v xml:space="preserve">Letter of intent A letter of intent is not a contract, but a letter stating that the buyer is intending to create a contractual relationship with the seller.          </v>
      </c>
    </row>
    <row r="1553" spans="1:23" customFormat="1" hidden="1">
      <c r="A1553" t="b">
        <f t="shared" si="482"/>
        <v>0</v>
      </c>
      <c r="B1553">
        <f t="shared" si="484"/>
        <v>1552</v>
      </c>
      <c r="C1553" t="s">
        <v>1243</v>
      </c>
      <c r="D1553" t="s">
        <v>1524</v>
      </c>
      <c r="E1553">
        <f t="shared" si="481"/>
        <v>43</v>
      </c>
      <c r="G1553">
        <f t="shared" si="485"/>
        <v>2</v>
      </c>
      <c r="H1553" t="str">
        <f t="shared" si="486"/>
        <v/>
      </c>
      <c r="I1553" t="str">
        <f t="shared" si="487"/>
        <v/>
      </c>
      <c r="J1553" t="str">
        <f t="shared" si="488"/>
        <v/>
      </c>
      <c r="K1553" t="str">
        <f t="shared" si="489"/>
        <v/>
      </c>
      <c r="L1553" t="str">
        <f t="shared" si="490"/>
        <v/>
      </c>
      <c r="M1553" t="str">
        <f t="shared" si="491"/>
        <v/>
      </c>
      <c r="N1553" t="str">
        <f t="shared" si="492"/>
        <v/>
      </c>
      <c r="O1553" t="str">
        <f t="shared" si="493"/>
        <v/>
      </c>
      <c r="P1553" t="str">
        <f t="shared" si="494"/>
        <v/>
      </c>
      <c r="Q1553" t="str">
        <f t="shared" si="495"/>
        <v/>
      </c>
      <c r="R1553" t="str">
        <f t="shared" si="496"/>
        <v/>
      </c>
      <c r="S1553" t="str">
        <f t="shared" si="497"/>
        <v/>
      </c>
      <c r="T1553" t="str">
        <f t="shared" si="498"/>
        <v/>
      </c>
      <c r="U1553" t="str">
        <f t="shared" si="499"/>
        <v/>
      </c>
      <c r="V1553" t="str">
        <f t="shared" si="500"/>
        <v/>
      </c>
      <c r="W1553" t="str">
        <f t="shared" si="483"/>
        <v xml:space="preserve">              </v>
      </c>
    </row>
    <row r="1554" spans="1:23" customFormat="1" hidden="1">
      <c r="A1554" t="b">
        <f t="shared" si="482"/>
        <v>0</v>
      </c>
      <c r="B1554">
        <f t="shared" si="484"/>
        <v>1553</v>
      </c>
      <c r="C1554" t="s">
        <v>1243</v>
      </c>
      <c r="D1554" t="s">
        <v>1525</v>
      </c>
      <c r="E1554">
        <f t="shared" si="481"/>
        <v>45</v>
      </c>
      <c r="G1554">
        <f t="shared" si="485"/>
        <v>3</v>
      </c>
      <c r="H1554" t="str">
        <f t="shared" si="486"/>
        <v/>
      </c>
      <c r="I1554" t="str">
        <f t="shared" si="487"/>
        <v/>
      </c>
      <c r="J1554" t="str">
        <f t="shared" si="488"/>
        <v/>
      </c>
      <c r="K1554" t="str">
        <f t="shared" si="489"/>
        <v/>
      </c>
      <c r="L1554" t="str">
        <f t="shared" si="490"/>
        <v/>
      </c>
      <c r="M1554" t="str">
        <f t="shared" si="491"/>
        <v/>
      </c>
      <c r="N1554" t="str">
        <f t="shared" si="492"/>
        <v/>
      </c>
      <c r="O1554" t="str">
        <f t="shared" si="493"/>
        <v/>
      </c>
      <c r="P1554" t="str">
        <f t="shared" si="494"/>
        <v/>
      </c>
      <c r="Q1554" t="str">
        <f t="shared" si="495"/>
        <v/>
      </c>
      <c r="R1554" t="str">
        <f t="shared" si="496"/>
        <v/>
      </c>
      <c r="S1554" t="str">
        <f t="shared" si="497"/>
        <v/>
      </c>
      <c r="T1554" t="str">
        <f t="shared" si="498"/>
        <v/>
      </c>
      <c r="U1554" t="str">
        <f t="shared" si="499"/>
        <v/>
      </c>
      <c r="V1554" t="str">
        <f t="shared" si="500"/>
        <v/>
      </c>
      <c r="W1554" t="str">
        <f t="shared" si="483"/>
        <v xml:space="preserve">              </v>
      </c>
    </row>
    <row r="1555" spans="1:23" customFormat="1" hidden="1">
      <c r="A1555" t="b">
        <f t="shared" si="482"/>
        <v>0</v>
      </c>
      <c r="B1555">
        <f t="shared" si="484"/>
        <v>1554</v>
      </c>
      <c r="C1555" t="s">
        <v>1243</v>
      </c>
      <c r="D1555" t="s">
        <v>1526</v>
      </c>
      <c r="E1555">
        <f t="shared" si="481"/>
        <v>42</v>
      </c>
      <c r="G1555">
        <f t="shared" si="485"/>
        <v>4</v>
      </c>
      <c r="H1555" t="str">
        <f t="shared" si="486"/>
        <v/>
      </c>
      <c r="I1555" t="str">
        <f t="shared" si="487"/>
        <v/>
      </c>
      <c r="J1555" t="str">
        <f t="shared" si="488"/>
        <v/>
      </c>
      <c r="K1555" t="str">
        <f t="shared" si="489"/>
        <v/>
      </c>
      <c r="L1555" t="str">
        <f t="shared" si="490"/>
        <v/>
      </c>
      <c r="M1555" t="str">
        <f t="shared" si="491"/>
        <v/>
      </c>
      <c r="N1555" t="str">
        <f t="shared" si="492"/>
        <v/>
      </c>
      <c r="O1555" t="str">
        <f t="shared" si="493"/>
        <v/>
      </c>
      <c r="P1555" t="str">
        <f t="shared" si="494"/>
        <v/>
      </c>
      <c r="Q1555" t="str">
        <f t="shared" si="495"/>
        <v/>
      </c>
      <c r="R1555" t="str">
        <f t="shared" si="496"/>
        <v/>
      </c>
      <c r="S1555" t="str">
        <f t="shared" si="497"/>
        <v/>
      </c>
      <c r="T1555" t="str">
        <f t="shared" si="498"/>
        <v/>
      </c>
      <c r="U1555" t="str">
        <f t="shared" si="499"/>
        <v/>
      </c>
      <c r="V1555" t="str">
        <f t="shared" si="500"/>
        <v/>
      </c>
      <c r="W1555" t="str">
        <f t="shared" si="483"/>
        <v xml:space="preserve">              </v>
      </c>
    </row>
    <row r="1556" spans="1:23" customFormat="1" hidden="1">
      <c r="A1556" t="b">
        <f t="shared" si="482"/>
        <v>0</v>
      </c>
      <c r="B1556">
        <f t="shared" si="484"/>
        <v>1555</v>
      </c>
      <c r="C1556" t="s">
        <v>1243</v>
      </c>
      <c r="D1556" t="s">
        <v>1527</v>
      </c>
      <c r="E1556">
        <f t="shared" si="481"/>
        <v>7</v>
      </c>
      <c r="G1556">
        <f t="shared" si="485"/>
        <v>5</v>
      </c>
      <c r="H1556" t="str">
        <f t="shared" si="486"/>
        <v/>
      </c>
      <c r="I1556" t="str">
        <f t="shared" si="487"/>
        <v/>
      </c>
      <c r="J1556" t="str">
        <f t="shared" si="488"/>
        <v/>
      </c>
      <c r="K1556" t="str">
        <f t="shared" si="489"/>
        <v/>
      </c>
      <c r="L1556" t="str">
        <f t="shared" si="490"/>
        <v/>
      </c>
      <c r="M1556" t="str">
        <f t="shared" si="491"/>
        <v/>
      </c>
      <c r="N1556" t="str">
        <f t="shared" si="492"/>
        <v/>
      </c>
      <c r="O1556" t="str">
        <f t="shared" si="493"/>
        <v/>
      </c>
      <c r="P1556" t="str">
        <f t="shared" si="494"/>
        <v/>
      </c>
      <c r="Q1556" t="str">
        <f t="shared" si="495"/>
        <v/>
      </c>
      <c r="R1556" t="str">
        <f t="shared" si="496"/>
        <v/>
      </c>
      <c r="S1556" t="str">
        <f t="shared" si="497"/>
        <v/>
      </c>
      <c r="T1556" t="str">
        <f t="shared" si="498"/>
        <v/>
      </c>
      <c r="U1556" t="str">
        <f t="shared" si="499"/>
        <v/>
      </c>
      <c r="V1556" t="str">
        <f t="shared" si="500"/>
        <v/>
      </c>
      <c r="W1556" t="str">
        <f t="shared" si="483"/>
        <v xml:space="preserve">              </v>
      </c>
    </row>
    <row r="1557" spans="1:23" hidden="1">
      <c r="A1557" s="71" t="b">
        <f t="shared" si="482"/>
        <v>0</v>
      </c>
      <c r="B1557" s="71">
        <f t="shared" si="484"/>
        <v>1556</v>
      </c>
      <c r="C1557" s="71" t="s">
        <v>1243</v>
      </c>
      <c r="D1557" s="71" t="s">
        <v>1528</v>
      </c>
      <c r="E1557">
        <f t="shared" si="481"/>
        <v>20</v>
      </c>
      <c r="F1557">
        <v>1</v>
      </c>
      <c r="G1557">
        <f t="shared" si="485"/>
        <v>1</v>
      </c>
      <c r="H1557" t="str">
        <f t="shared" si="486"/>
        <v>Make-or-buy decision</v>
      </c>
      <c r="I1557" t="str">
        <f t="shared" si="487"/>
        <v>A process in which the project</v>
      </c>
      <c r="J1557" t="str">
        <f t="shared" si="488"/>
        <v>management team determines the costeffectiveness,</v>
      </c>
      <c r="K1557" t="str">
        <f t="shared" si="489"/>
        <v>benefits, and feasibility of</v>
      </c>
      <c r="L1557" t="str">
        <f t="shared" si="490"/>
        <v>making a product or buying it from a</v>
      </c>
      <c r="M1557" t="str">
        <f t="shared" si="491"/>
        <v>vendor.</v>
      </c>
      <c r="N1557" t="str">
        <f t="shared" si="492"/>
        <v/>
      </c>
      <c r="O1557" t="str">
        <f t="shared" si="493"/>
        <v/>
      </c>
      <c r="P1557" t="str">
        <f t="shared" si="494"/>
        <v/>
      </c>
      <c r="Q1557" t="str">
        <f t="shared" si="495"/>
        <v/>
      </c>
      <c r="R1557" t="str">
        <f t="shared" si="496"/>
        <v/>
      </c>
      <c r="S1557" t="str">
        <f t="shared" si="497"/>
        <v/>
      </c>
      <c r="T1557" t="str">
        <f t="shared" si="498"/>
        <v/>
      </c>
      <c r="U1557" t="str">
        <f t="shared" si="499"/>
        <v/>
      </c>
      <c r="V1557" t="str">
        <f t="shared" si="500"/>
        <v/>
      </c>
      <c r="W1557" s="71" t="str">
        <f>CONCATENATE(H1557," ",I1557," ",J1557," ",K1557," ",L1557," ",M1557," ",N1557," ",O1557," ",P1557," ",Q1557," ",R1557," ",S1557," ",T1557," ",U1557," ",V1557)</f>
        <v xml:space="preserve">Make-or-buy decision A process in which the project management team determines the costeffectiveness, benefits, and feasibility of making a product or buying it from a vendor.         </v>
      </c>
    </row>
    <row r="1558" spans="1:23" customFormat="1" hidden="1">
      <c r="A1558" t="b">
        <f t="shared" si="482"/>
        <v>0</v>
      </c>
      <c r="B1558">
        <f t="shared" si="484"/>
        <v>1557</v>
      </c>
      <c r="C1558" t="s">
        <v>1243</v>
      </c>
      <c r="D1558" t="s">
        <v>1529</v>
      </c>
      <c r="E1558">
        <f t="shared" si="481"/>
        <v>30</v>
      </c>
      <c r="G1558">
        <f t="shared" si="485"/>
        <v>2</v>
      </c>
      <c r="H1558" t="str">
        <f t="shared" si="486"/>
        <v/>
      </c>
      <c r="I1558" t="str">
        <f t="shared" si="487"/>
        <v/>
      </c>
      <c r="J1558" t="str">
        <f t="shared" si="488"/>
        <v/>
      </c>
      <c r="K1558" t="str">
        <f t="shared" si="489"/>
        <v/>
      </c>
      <c r="L1558" t="str">
        <f t="shared" si="490"/>
        <v/>
      </c>
      <c r="M1558" t="str">
        <f t="shared" si="491"/>
        <v/>
      </c>
      <c r="N1558" t="str">
        <f t="shared" si="492"/>
        <v/>
      </c>
      <c r="O1558" t="str">
        <f t="shared" si="493"/>
        <v/>
      </c>
      <c r="P1558" t="str">
        <f t="shared" si="494"/>
        <v/>
      </c>
      <c r="Q1558" t="str">
        <f t="shared" si="495"/>
        <v/>
      </c>
      <c r="R1558" t="str">
        <f t="shared" si="496"/>
        <v/>
      </c>
      <c r="S1558" t="str">
        <f t="shared" si="497"/>
        <v/>
      </c>
      <c r="T1558" t="str">
        <f t="shared" si="498"/>
        <v/>
      </c>
      <c r="U1558" t="str">
        <f t="shared" si="499"/>
        <v/>
      </c>
      <c r="V1558" t="str">
        <f t="shared" si="500"/>
        <v/>
      </c>
      <c r="W1558" t="str">
        <f t="shared" si="483"/>
        <v xml:space="preserve">              </v>
      </c>
    </row>
    <row r="1559" spans="1:23" customFormat="1" hidden="1">
      <c r="A1559" t="b">
        <f t="shared" si="482"/>
        <v>0</v>
      </c>
      <c r="B1559">
        <f t="shared" si="484"/>
        <v>1558</v>
      </c>
      <c r="C1559" t="s">
        <v>1243</v>
      </c>
      <c r="D1559" t="s">
        <v>1530</v>
      </c>
      <c r="E1559">
        <f t="shared" si="481"/>
        <v>49</v>
      </c>
      <c r="G1559">
        <f t="shared" si="485"/>
        <v>3</v>
      </c>
      <c r="H1559" t="str">
        <f t="shared" si="486"/>
        <v/>
      </c>
      <c r="I1559" t="str">
        <f t="shared" si="487"/>
        <v/>
      </c>
      <c r="J1559" t="str">
        <f t="shared" si="488"/>
        <v/>
      </c>
      <c r="K1559" t="str">
        <f t="shared" si="489"/>
        <v/>
      </c>
      <c r="L1559" t="str">
        <f t="shared" si="490"/>
        <v/>
      </c>
      <c r="M1559" t="str">
        <f t="shared" si="491"/>
        <v/>
      </c>
      <c r="N1559" t="str">
        <f t="shared" si="492"/>
        <v/>
      </c>
      <c r="O1559" t="str">
        <f t="shared" si="493"/>
        <v/>
      </c>
      <c r="P1559" t="str">
        <f t="shared" si="494"/>
        <v/>
      </c>
      <c r="Q1559" t="str">
        <f t="shared" si="495"/>
        <v/>
      </c>
      <c r="R1559" t="str">
        <f t="shared" si="496"/>
        <v/>
      </c>
      <c r="S1559" t="str">
        <f t="shared" si="497"/>
        <v/>
      </c>
      <c r="T1559" t="str">
        <f t="shared" si="498"/>
        <v/>
      </c>
      <c r="U1559" t="str">
        <f t="shared" si="499"/>
        <v/>
      </c>
      <c r="V1559" t="str">
        <f t="shared" si="500"/>
        <v/>
      </c>
      <c r="W1559" t="str">
        <f t="shared" si="483"/>
        <v xml:space="preserve">              </v>
      </c>
    </row>
    <row r="1560" spans="1:23" customFormat="1" hidden="1">
      <c r="A1560" t="b">
        <f t="shared" si="482"/>
        <v>0</v>
      </c>
      <c r="B1560">
        <f t="shared" si="484"/>
        <v>1559</v>
      </c>
      <c r="C1560" t="s">
        <v>1243</v>
      </c>
      <c r="D1560" t="s">
        <v>1531</v>
      </c>
      <c r="E1560">
        <f t="shared" si="481"/>
        <v>28</v>
      </c>
      <c r="G1560">
        <f t="shared" si="485"/>
        <v>4</v>
      </c>
      <c r="H1560" t="str">
        <f t="shared" si="486"/>
        <v/>
      </c>
      <c r="I1560" t="str">
        <f t="shared" si="487"/>
        <v/>
      </c>
      <c r="J1560" t="str">
        <f t="shared" si="488"/>
        <v/>
      </c>
      <c r="K1560" t="str">
        <f t="shared" si="489"/>
        <v/>
      </c>
      <c r="L1560" t="str">
        <f t="shared" si="490"/>
        <v/>
      </c>
      <c r="M1560" t="str">
        <f t="shared" si="491"/>
        <v/>
      </c>
      <c r="N1560" t="str">
        <f t="shared" si="492"/>
        <v/>
      </c>
      <c r="O1560" t="str">
        <f t="shared" si="493"/>
        <v/>
      </c>
      <c r="P1560" t="str">
        <f t="shared" si="494"/>
        <v/>
      </c>
      <c r="Q1560" t="str">
        <f t="shared" si="495"/>
        <v/>
      </c>
      <c r="R1560" t="str">
        <f t="shared" si="496"/>
        <v/>
      </c>
      <c r="S1560" t="str">
        <f t="shared" si="497"/>
        <v/>
      </c>
      <c r="T1560" t="str">
        <f t="shared" si="498"/>
        <v/>
      </c>
      <c r="U1560" t="str">
        <f t="shared" si="499"/>
        <v/>
      </c>
      <c r="V1560" t="str">
        <f t="shared" si="500"/>
        <v/>
      </c>
      <c r="W1560" t="str">
        <f t="shared" si="483"/>
        <v xml:space="preserve">              </v>
      </c>
    </row>
    <row r="1561" spans="1:23" customFormat="1" hidden="1">
      <c r="A1561" t="b">
        <f t="shared" si="482"/>
        <v>0</v>
      </c>
      <c r="B1561">
        <f t="shared" si="484"/>
        <v>1560</v>
      </c>
      <c r="C1561" t="s">
        <v>1243</v>
      </c>
      <c r="D1561" t="s">
        <v>1532</v>
      </c>
      <c r="E1561">
        <f t="shared" si="481"/>
        <v>36</v>
      </c>
      <c r="G1561">
        <f t="shared" si="485"/>
        <v>5</v>
      </c>
      <c r="H1561" t="str">
        <f t="shared" si="486"/>
        <v/>
      </c>
      <c r="I1561" t="str">
        <f t="shared" si="487"/>
        <v/>
      </c>
      <c r="J1561" t="str">
        <f t="shared" si="488"/>
        <v/>
      </c>
      <c r="K1561" t="str">
        <f t="shared" si="489"/>
        <v/>
      </c>
      <c r="L1561" t="str">
        <f t="shared" si="490"/>
        <v/>
      </c>
      <c r="M1561" t="str">
        <f t="shared" si="491"/>
        <v/>
      </c>
      <c r="N1561" t="str">
        <f t="shared" si="492"/>
        <v/>
      </c>
      <c r="O1561" t="str">
        <f t="shared" si="493"/>
        <v/>
      </c>
      <c r="P1561" t="str">
        <f t="shared" si="494"/>
        <v/>
      </c>
      <c r="Q1561" t="str">
        <f t="shared" si="495"/>
        <v/>
      </c>
      <c r="R1561" t="str">
        <f t="shared" si="496"/>
        <v/>
      </c>
      <c r="S1561" t="str">
        <f t="shared" si="497"/>
        <v/>
      </c>
      <c r="T1561" t="str">
        <f t="shared" si="498"/>
        <v/>
      </c>
      <c r="U1561" t="str">
        <f t="shared" si="499"/>
        <v/>
      </c>
      <c r="V1561" t="str">
        <f t="shared" si="500"/>
        <v/>
      </c>
      <c r="W1561" t="str">
        <f t="shared" si="483"/>
        <v xml:space="preserve">              </v>
      </c>
    </row>
    <row r="1562" spans="1:23" customFormat="1" hidden="1">
      <c r="A1562" t="b">
        <f t="shared" si="482"/>
        <v>0</v>
      </c>
      <c r="B1562">
        <f t="shared" si="484"/>
        <v>1561</v>
      </c>
      <c r="C1562" t="s">
        <v>1243</v>
      </c>
      <c r="D1562" t="s">
        <v>1533</v>
      </c>
      <c r="E1562">
        <f t="shared" si="481"/>
        <v>7</v>
      </c>
      <c r="G1562">
        <f t="shared" si="485"/>
        <v>6</v>
      </c>
      <c r="H1562" t="str">
        <f t="shared" si="486"/>
        <v/>
      </c>
      <c r="I1562" t="str">
        <f t="shared" si="487"/>
        <v/>
      </c>
      <c r="J1562" t="str">
        <f t="shared" si="488"/>
        <v/>
      </c>
      <c r="K1562" t="str">
        <f t="shared" si="489"/>
        <v/>
      </c>
      <c r="L1562" t="str">
        <f t="shared" si="490"/>
        <v/>
      </c>
      <c r="M1562" t="str">
        <f t="shared" si="491"/>
        <v/>
      </c>
      <c r="N1562" t="str">
        <f t="shared" si="492"/>
        <v/>
      </c>
      <c r="O1562" t="str">
        <f t="shared" si="493"/>
        <v/>
      </c>
      <c r="P1562" t="str">
        <f t="shared" si="494"/>
        <v/>
      </c>
      <c r="Q1562" t="str">
        <f t="shared" si="495"/>
        <v/>
      </c>
      <c r="R1562" t="str">
        <f t="shared" si="496"/>
        <v/>
      </c>
      <c r="S1562" t="str">
        <f t="shared" si="497"/>
        <v/>
      </c>
      <c r="T1562" t="str">
        <f t="shared" si="498"/>
        <v/>
      </c>
      <c r="U1562" t="str">
        <f t="shared" si="499"/>
        <v/>
      </c>
      <c r="V1562" t="str">
        <f t="shared" si="500"/>
        <v/>
      </c>
      <c r="W1562" t="str">
        <f t="shared" si="483"/>
        <v xml:space="preserve">              </v>
      </c>
    </row>
    <row r="1563" spans="1:23" hidden="1">
      <c r="A1563" s="71" t="b">
        <f t="shared" si="482"/>
        <v>0</v>
      </c>
      <c r="B1563" s="71">
        <f t="shared" si="484"/>
        <v>1562</v>
      </c>
      <c r="C1563" s="71" t="s">
        <v>1243</v>
      </c>
      <c r="D1563" s="71" t="s">
        <v>1534</v>
      </c>
      <c r="E1563">
        <f t="shared" si="481"/>
        <v>7</v>
      </c>
      <c r="F1563">
        <v>1</v>
      </c>
      <c r="G1563">
        <f t="shared" si="485"/>
        <v>1</v>
      </c>
      <c r="H1563" t="str">
        <f t="shared" si="486"/>
        <v>Privity</v>
      </c>
      <c r="I1563" t="str">
        <f t="shared" si="487"/>
        <v>The contractual relationship between the</v>
      </c>
      <c r="J1563" t="str">
        <f t="shared" si="488"/>
        <v>buyer and the seller is often considered</v>
      </c>
      <c r="K1563" t="str">
        <f t="shared" si="489"/>
        <v>confidential and secret.</v>
      </c>
      <c r="L1563" t="str">
        <f t="shared" si="490"/>
        <v/>
      </c>
      <c r="M1563" t="str">
        <f t="shared" si="491"/>
        <v/>
      </c>
      <c r="N1563" t="str">
        <f t="shared" si="492"/>
        <v/>
      </c>
      <c r="O1563" t="str">
        <f t="shared" si="493"/>
        <v/>
      </c>
      <c r="P1563" t="str">
        <f t="shared" si="494"/>
        <v/>
      </c>
      <c r="Q1563" t="str">
        <f t="shared" si="495"/>
        <v/>
      </c>
      <c r="R1563" t="str">
        <f t="shared" si="496"/>
        <v/>
      </c>
      <c r="S1563" t="str">
        <f t="shared" si="497"/>
        <v/>
      </c>
      <c r="T1563" t="str">
        <f t="shared" si="498"/>
        <v/>
      </c>
      <c r="U1563" t="str">
        <f t="shared" si="499"/>
        <v/>
      </c>
      <c r="V1563" t="str">
        <f t="shared" si="500"/>
        <v/>
      </c>
      <c r="W1563" s="71" t="str">
        <f>CONCATENATE(H1563," ",I1563," ",J1563," ",K1563," ",L1563," ",M1563," ",N1563," ",O1563," ",P1563," ",Q1563," ",R1563," ",S1563," ",T1563," ",U1563," ",V1563)</f>
        <v xml:space="preserve">Privity The contractual relationship between the buyer and the seller is often considered confidential and secret.           </v>
      </c>
    </row>
    <row r="1564" spans="1:23" customFormat="1" hidden="1">
      <c r="A1564" t="b">
        <f t="shared" si="482"/>
        <v>0</v>
      </c>
      <c r="B1564">
        <f t="shared" si="484"/>
        <v>1563</v>
      </c>
      <c r="C1564" t="s">
        <v>1243</v>
      </c>
      <c r="D1564" t="s">
        <v>1535</v>
      </c>
      <c r="E1564">
        <f t="shared" si="481"/>
        <v>40</v>
      </c>
      <c r="G1564">
        <f t="shared" si="485"/>
        <v>2</v>
      </c>
      <c r="H1564" t="str">
        <f t="shared" si="486"/>
        <v/>
      </c>
      <c r="I1564" t="str">
        <f t="shared" si="487"/>
        <v/>
      </c>
      <c r="J1564" t="str">
        <f t="shared" si="488"/>
        <v/>
      </c>
      <c r="K1564" t="str">
        <f t="shared" si="489"/>
        <v/>
      </c>
      <c r="L1564" t="str">
        <f t="shared" si="490"/>
        <v/>
      </c>
      <c r="M1564" t="str">
        <f t="shared" si="491"/>
        <v/>
      </c>
      <c r="N1564" t="str">
        <f t="shared" si="492"/>
        <v/>
      </c>
      <c r="O1564" t="str">
        <f t="shared" si="493"/>
        <v/>
      </c>
      <c r="P1564" t="str">
        <f t="shared" si="494"/>
        <v/>
      </c>
      <c r="Q1564" t="str">
        <f t="shared" si="495"/>
        <v/>
      </c>
      <c r="R1564" t="str">
        <f t="shared" si="496"/>
        <v/>
      </c>
      <c r="S1564" t="str">
        <f t="shared" si="497"/>
        <v/>
      </c>
      <c r="T1564" t="str">
        <f t="shared" si="498"/>
        <v/>
      </c>
      <c r="U1564" t="str">
        <f t="shared" si="499"/>
        <v/>
      </c>
      <c r="V1564" t="str">
        <f t="shared" si="500"/>
        <v/>
      </c>
      <c r="W1564" t="str">
        <f t="shared" si="483"/>
        <v xml:space="preserve">              </v>
      </c>
    </row>
    <row r="1565" spans="1:23" customFormat="1" hidden="1">
      <c r="A1565" t="b">
        <f t="shared" si="482"/>
        <v>0</v>
      </c>
      <c r="B1565">
        <f t="shared" si="484"/>
        <v>1564</v>
      </c>
      <c r="C1565" t="s">
        <v>1243</v>
      </c>
      <c r="D1565" t="s">
        <v>1536</v>
      </c>
      <c r="E1565">
        <f t="shared" si="481"/>
        <v>40</v>
      </c>
      <c r="G1565">
        <f t="shared" si="485"/>
        <v>3</v>
      </c>
      <c r="H1565" t="str">
        <f t="shared" si="486"/>
        <v/>
      </c>
      <c r="I1565" t="str">
        <f t="shared" si="487"/>
        <v/>
      </c>
      <c r="J1565" t="str">
        <f t="shared" si="488"/>
        <v/>
      </c>
      <c r="K1565" t="str">
        <f t="shared" si="489"/>
        <v/>
      </c>
      <c r="L1565" t="str">
        <f t="shared" si="490"/>
        <v/>
      </c>
      <c r="M1565" t="str">
        <f t="shared" si="491"/>
        <v/>
      </c>
      <c r="N1565" t="str">
        <f t="shared" si="492"/>
        <v/>
      </c>
      <c r="O1565" t="str">
        <f t="shared" si="493"/>
        <v/>
      </c>
      <c r="P1565" t="str">
        <f t="shared" si="494"/>
        <v/>
      </c>
      <c r="Q1565" t="str">
        <f t="shared" si="495"/>
        <v/>
      </c>
      <c r="R1565" t="str">
        <f t="shared" si="496"/>
        <v/>
      </c>
      <c r="S1565" t="str">
        <f t="shared" si="497"/>
        <v/>
      </c>
      <c r="T1565" t="str">
        <f t="shared" si="498"/>
        <v/>
      </c>
      <c r="U1565" t="str">
        <f t="shared" si="499"/>
        <v/>
      </c>
      <c r="V1565" t="str">
        <f t="shared" si="500"/>
        <v/>
      </c>
      <c r="W1565" t="str">
        <f t="shared" si="483"/>
        <v xml:space="preserve">              </v>
      </c>
    </row>
    <row r="1566" spans="1:23" customFormat="1" hidden="1">
      <c r="A1566" t="b">
        <f t="shared" si="482"/>
        <v>0</v>
      </c>
      <c r="B1566">
        <f t="shared" si="484"/>
        <v>1565</v>
      </c>
      <c r="C1566" t="s">
        <v>1243</v>
      </c>
      <c r="D1566" t="s">
        <v>1537</v>
      </c>
      <c r="E1566">
        <f t="shared" ref="E1566:E1628" si="501">LEN(D1566)</f>
        <v>24</v>
      </c>
      <c r="G1566">
        <f t="shared" si="485"/>
        <v>4</v>
      </c>
      <c r="H1566" t="str">
        <f t="shared" si="486"/>
        <v/>
      </c>
      <c r="I1566" t="str">
        <f t="shared" si="487"/>
        <v/>
      </c>
      <c r="J1566" t="str">
        <f t="shared" si="488"/>
        <v/>
      </c>
      <c r="K1566" t="str">
        <f t="shared" si="489"/>
        <v/>
      </c>
      <c r="L1566" t="str">
        <f t="shared" si="490"/>
        <v/>
      </c>
      <c r="M1566" t="str">
        <f t="shared" si="491"/>
        <v/>
      </c>
      <c r="N1566" t="str">
        <f t="shared" si="492"/>
        <v/>
      </c>
      <c r="O1566" t="str">
        <f t="shared" si="493"/>
        <v/>
      </c>
      <c r="P1566" t="str">
        <f t="shared" si="494"/>
        <v/>
      </c>
      <c r="Q1566" t="str">
        <f t="shared" si="495"/>
        <v/>
      </c>
      <c r="R1566" t="str">
        <f t="shared" si="496"/>
        <v/>
      </c>
      <c r="S1566" t="str">
        <f t="shared" si="497"/>
        <v/>
      </c>
      <c r="T1566" t="str">
        <f t="shared" si="498"/>
        <v/>
      </c>
      <c r="U1566" t="str">
        <f t="shared" si="499"/>
        <v/>
      </c>
      <c r="V1566" t="str">
        <f t="shared" si="500"/>
        <v/>
      </c>
      <c r="W1566" t="str">
        <f t="shared" si="483"/>
        <v xml:space="preserve">              </v>
      </c>
    </row>
    <row r="1567" spans="1:23" hidden="1">
      <c r="A1567" s="71" t="b">
        <f t="shared" si="482"/>
        <v>0</v>
      </c>
      <c r="B1567" s="71">
        <f t="shared" si="484"/>
        <v>1566</v>
      </c>
      <c r="C1567" s="71" t="s">
        <v>1243</v>
      </c>
      <c r="D1567" s="71" t="s">
        <v>304</v>
      </c>
      <c r="E1567">
        <f t="shared" si="501"/>
        <v>27</v>
      </c>
      <c r="F1567">
        <v>1</v>
      </c>
      <c r="G1567">
        <f t="shared" si="485"/>
        <v>1</v>
      </c>
      <c r="H1567" t="str">
        <f t="shared" si="486"/>
        <v>Procurement management plan</v>
      </c>
      <c r="I1567" t="str">
        <f t="shared" si="487"/>
        <v>A project management subsidiary plan</v>
      </c>
      <c r="J1567" t="str">
        <f t="shared" si="488"/>
        <v>that documents the decisions made in the</v>
      </c>
      <c r="K1567" t="str">
        <f t="shared" si="489"/>
        <v>procurement planning processes.</v>
      </c>
      <c r="L1567" t="str">
        <f t="shared" si="490"/>
        <v/>
      </c>
      <c r="M1567" t="str">
        <f t="shared" si="491"/>
        <v/>
      </c>
      <c r="N1567" t="str">
        <f t="shared" si="492"/>
        <v/>
      </c>
      <c r="O1567" t="str">
        <f t="shared" si="493"/>
        <v/>
      </c>
      <c r="P1567" t="str">
        <f t="shared" si="494"/>
        <v/>
      </c>
      <c r="Q1567" t="str">
        <f t="shared" si="495"/>
        <v/>
      </c>
      <c r="R1567" t="str">
        <f t="shared" si="496"/>
        <v/>
      </c>
      <c r="S1567" t="str">
        <f t="shared" si="497"/>
        <v/>
      </c>
      <c r="T1567" t="str">
        <f t="shared" si="498"/>
        <v/>
      </c>
      <c r="U1567" t="str">
        <f t="shared" si="499"/>
        <v/>
      </c>
      <c r="V1567" t="str">
        <f t="shared" si="500"/>
        <v/>
      </c>
      <c r="W1567" s="71" t="str">
        <f>CONCATENATE(H1567," ",I1567," ",J1567," ",K1567," ",L1567," ",M1567," ",N1567," ",O1567," ",P1567," ",Q1567," ",R1567," ",S1567," ",T1567," ",U1567," ",V1567)</f>
        <v xml:space="preserve">Procurement management plan A project management subsidiary plan that documents the decisions made in the procurement planning processes.           </v>
      </c>
    </row>
    <row r="1568" spans="1:23" customFormat="1" hidden="1">
      <c r="A1568" t="b">
        <f t="shared" si="482"/>
        <v>0</v>
      </c>
      <c r="B1568">
        <f t="shared" si="484"/>
        <v>1567</v>
      </c>
      <c r="C1568" t="s">
        <v>1243</v>
      </c>
      <c r="D1568" t="s">
        <v>1538</v>
      </c>
      <c r="E1568">
        <f t="shared" si="501"/>
        <v>36</v>
      </c>
      <c r="G1568">
        <f t="shared" si="485"/>
        <v>2</v>
      </c>
      <c r="H1568" t="str">
        <f t="shared" si="486"/>
        <v/>
      </c>
      <c r="I1568" t="str">
        <f t="shared" si="487"/>
        <v/>
      </c>
      <c r="J1568" t="str">
        <f t="shared" si="488"/>
        <v/>
      </c>
      <c r="K1568" t="str">
        <f t="shared" si="489"/>
        <v/>
      </c>
      <c r="L1568" t="str">
        <f t="shared" si="490"/>
        <v/>
      </c>
      <c r="M1568" t="str">
        <f t="shared" si="491"/>
        <v/>
      </c>
      <c r="N1568" t="str">
        <f t="shared" si="492"/>
        <v/>
      </c>
      <c r="O1568" t="str">
        <f t="shared" si="493"/>
        <v/>
      </c>
      <c r="P1568" t="str">
        <f t="shared" si="494"/>
        <v/>
      </c>
      <c r="Q1568" t="str">
        <f t="shared" si="495"/>
        <v/>
      </c>
      <c r="R1568" t="str">
        <f t="shared" si="496"/>
        <v/>
      </c>
      <c r="S1568" t="str">
        <f t="shared" si="497"/>
        <v/>
      </c>
      <c r="T1568" t="str">
        <f t="shared" si="498"/>
        <v/>
      </c>
      <c r="U1568" t="str">
        <f t="shared" si="499"/>
        <v/>
      </c>
      <c r="V1568" t="str">
        <f t="shared" si="500"/>
        <v/>
      </c>
      <c r="W1568" t="str">
        <f t="shared" si="483"/>
        <v xml:space="preserve">              </v>
      </c>
    </row>
    <row r="1569" spans="1:23" customFormat="1" hidden="1">
      <c r="A1569" t="b">
        <f t="shared" si="482"/>
        <v>0</v>
      </c>
      <c r="B1569">
        <f t="shared" si="484"/>
        <v>1568</v>
      </c>
      <c r="C1569" t="s">
        <v>1243</v>
      </c>
      <c r="D1569" t="s">
        <v>1539</v>
      </c>
      <c r="E1569">
        <f t="shared" si="501"/>
        <v>40</v>
      </c>
      <c r="G1569">
        <f t="shared" si="485"/>
        <v>3</v>
      </c>
      <c r="H1569" t="str">
        <f t="shared" si="486"/>
        <v/>
      </c>
      <c r="I1569" t="str">
        <f t="shared" si="487"/>
        <v/>
      </c>
      <c r="J1569" t="str">
        <f t="shared" si="488"/>
        <v/>
      </c>
      <c r="K1569" t="str">
        <f t="shared" si="489"/>
        <v/>
      </c>
      <c r="L1569" t="str">
        <f t="shared" si="490"/>
        <v/>
      </c>
      <c r="M1569" t="str">
        <f t="shared" si="491"/>
        <v/>
      </c>
      <c r="N1569" t="str">
        <f t="shared" si="492"/>
        <v/>
      </c>
      <c r="O1569" t="str">
        <f t="shared" si="493"/>
        <v/>
      </c>
      <c r="P1569" t="str">
        <f t="shared" si="494"/>
        <v/>
      </c>
      <c r="Q1569" t="str">
        <f t="shared" si="495"/>
        <v/>
      </c>
      <c r="R1569" t="str">
        <f t="shared" si="496"/>
        <v/>
      </c>
      <c r="S1569" t="str">
        <f t="shared" si="497"/>
        <v/>
      </c>
      <c r="T1569" t="str">
        <f t="shared" si="498"/>
        <v/>
      </c>
      <c r="U1569" t="str">
        <f t="shared" si="499"/>
        <v/>
      </c>
      <c r="V1569" t="str">
        <f t="shared" si="500"/>
        <v/>
      </c>
      <c r="W1569" t="str">
        <f t="shared" si="483"/>
        <v xml:space="preserve">              </v>
      </c>
    </row>
    <row r="1570" spans="1:23" customFormat="1" hidden="1">
      <c r="A1570" t="b">
        <f t="shared" si="482"/>
        <v>0</v>
      </c>
      <c r="B1570">
        <f t="shared" si="484"/>
        <v>1569</v>
      </c>
      <c r="C1570" t="s">
        <v>1243</v>
      </c>
      <c r="D1570" t="s">
        <v>1540</v>
      </c>
      <c r="E1570">
        <f t="shared" si="501"/>
        <v>31</v>
      </c>
      <c r="G1570">
        <f t="shared" si="485"/>
        <v>4</v>
      </c>
      <c r="H1570" t="str">
        <f t="shared" si="486"/>
        <v/>
      </c>
      <c r="I1570" t="str">
        <f t="shared" si="487"/>
        <v/>
      </c>
      <c r="J1570" t="str">
        <f t="shared" si="488"/>
        <v/>
      </c>
      <c r="K1570" t="str">
        <f t="shared" si="489"/>
        <v/>
      </c>
      <c r="L1570" t="str">
        <f t="shared" si="490"/>
        <v/>
      </c>
      <c r="M1570" t="str">
        <f t="shared" si="491"/>
        <v/>
      </c>
      <c r="N1570" t="str">
        <f t="shared" si="492"/>
        <v/>
      </c>
      <c r="O1570" t="str">
        <f t="shared" si="493"/>
        <v/>
      </c>
      <c r="P1570" t="str">
        <f t="shared" si="494"/>
        <v/>
      </c>
      <c r="Q1570" t="str">
        <f t="shared" si="495"/>
        <v/>
      </c>
      <c r="R1570" t="str">
        <f t="shared" si="496"/>
        <v/>
      </c>
      <c r="S1570" t="str">
        <f t="shared" si="497"/>
        <v/>
      </c>
      <c r="T1570" t="str">
        <f t="shared" si="498"/>
        <v/>
      </c>
      <c r="U1570" t="str">
        <f t="shared" si="499"/>
        <v/>
      </c>
      <c r="V1570" t="str">
        <f t="shared" si="500"/>
        <v/>
      </c>
      <c r="W1570" t="str">
        <f t="shared" si="483"/>
        <v xml:space="preserve">              </v>
      </c>
    </row>
    <row r="1571" spans="1:23" hidden="1">
      <c r="A1571" s="71" t="b">
        <f t="shared" si="482"/>
        <v>0</v>
      </c>
      <c r="B1571" s="71">
        <f t="shared" si="484"/>
        <v>1570</v>
      </c>
      <c r="C1571" s="71" t="s">
        <v>1243</v>
      </c>
      <c r="D1571" s="71" t="s">
        <v>1541</v>
      </c>
      <c r="E1571">
        <f t="shared" si="501"/>
        <v>20</v>
      </c>
      <c r="F1571">
        <v>1</v>
      </c>
      <c r="G1571">
        <f t="shared" si="485"/>
        <v>1</v>
      </c>
      <c r="H1571" t="str">
        <f t="shared" si="486"/>
        <v>Procurement planning</v>
      </c>
      <c r="I1571" t="str">
        <f t="shared" si="487"/>
        <v>A process to identify which parts of the</v>
      </c>
      <c r="J1571" t="str">
        <f t="shared" si="488"/>
        <v>project warrant procurement from a</v>
      </c>
      <c r="K1571" t="str">
        <f t="shared" si="489"/>
        <v>vendor by the buyer.</v>
      </c>
      <c r="L1571" t="str">
        <f t="shared" si="490"/>
        <v/>
      </c>
      <c r="M1571" t="str">
        <f t="shared" si="491"/>
        <v/>
      </c>
      <c r="N1571" t="str">
        <f t="shared" si="492"/>
        <v/>
      </c>
      <c r="O1571" t="str">
        <f t="shared" si="493"/>
        <v/>
      </c>
      <c r="P1571" t="str">
        <f t="shared" si="494"/>
        <v/>
      </c>
      <c r="Q1571" t="str">
        <f t="shared" si="495"/>
        <v/>
      </c>
      <c r="R1571" t="str">
        <f t="shared" si="496"/>
        <v/>
      </c>
      <c r="S1571" t="str">
        <f t="shared" si="497"/>
        <v/>
      </c>
      <c r="T1571" t="str">
        <f t="shared" si="498"/>
        <v/>
      </c>
      <c r="U1571" t="str">
        <f t="shared" si="499"/>
        <v/>
      </c>
      <c r="V1571" t="str">
        <f t="shared" si="500"/>
        <v/>
      </c>
      <c r="W1571" s="71" t="str">
        <f>CONCATENATE(H1571," ",I1571," ",J1571," ",K1571," ",L1571," ",M1571," ",N1571," ",O1571," ",P1571," ",Q1571," ",R1571," ",S1571," ",T1571," ",U1571," ",V1571)</f>
        <v xml:space="preserve">Procurement planning A process to identify which parts of the project warrant procurement from a vendor by the buyer.           </v>
      </c>
    </row>
    <row r="1572" spans="1:23" customFormat="1" hidden="1">
      <c r="A1572" t="b">
        <f t="shared" si="482"/>
        <v>0</v>
      </c>
      <c r="B1572">
        <f t="shared" si="484"/>
        <v>1571</v>
      </c>
      <c r="C1572" t="s">
        <v>1243</v>
      </c>
      <c r="D1572" t="s">
        <v>1542</v>
      </c>
      <c r="E1572">
        <f t="shared" si="501"/>
        <v>40</v>
      </c>
      <c r="G1572">
        <f t="shared" si="485"/>
        <v>2</v>
      </c>
      <c r="H1572" t="str">
        <f t="shared" si="486"/>
        <v/>
      </c>
      <c r="I1572" t="str">
        <f t="shared" si="487"/>
        <v/>
      </c>
      <c r="J1572" t="str">
        <f t="shared" si="488"/>
        <v/>
      </c>
      <c r="K1572" t="str">
        <f t="shared" si="489"/>
        <v/>
      </c>
      <c r="L1572" t="str">
        <f t="shared" si="490"/>
        <v/>
      </c>
      <c r="M1572" t="str">
        <f t="shared" si="491"/>
        <v/>
      </c>
      <c r="N1572" t="str">
        <f t="shared" si="492"/>
        <v/>
      </c>
      <c r="O1572" t="str">
        <f t="shared" si="493"/>
        <v/>
      </c>
      <c r="P1572" t="str">
        <f t="shared" si="494"/>
        <v/>
      </c>
      <c r="Q1572" t="str">
        <f t="shared" si="495"/>
        <v/>
      </c>
      <c r="R1572" t="str">
        <f t="shared" si="496"/>
        <v/>
      </c>
      <c r="S1572" t="str">
        <f t="shared" si="497"/>
        <v/>
      </c>
      <c r="T1572" t="str">
        <f t="shared" si="498"/>
        <v/>
      </c>
      <c r="U1572" t="str">
        <f t="shared" si="499"/>
        <v/>
      </c>
      <c r="V1572" t="str">
        <f t="shared" si="500"/>
        <v/>
      </c>
      <c r="W1572" t="str">
        <f t="shared" si="483"/>
        <v xml:space="preserve">              </v>
      </c>
    </row>
    <row r="1573" spans="1:23" customFormat="1" hidden="1">
      <c r="A1573" t="b">
        <f t="shared" si="482"/>
        <v>0</v>
      </c>
      <c r="B1573">
        <f t="shared" si="484"/>
        <v>1572</v>
      </c>
      <c r="C1573" t="s">
        <v>1243</v>
      </c>
      <c r="D1573" t="s">
        <v>1543</v>
      </c>
      <c r="E1573">
        <f t="shared" si="501"/>
        <v>34</v>
      </c>
      <c r="G1573">
        <f t="shared" si="485"/>
        <v>3</v>
      </c>
      <c r="H1573" t="str">
        <f t="shared" si="486"/>
        <v/>
      </c>
      <c r="I1573" t="str">
        <f t="shared" si="487"/>
        <v/>
      </c>
      <c r="J1573" t="str">
        <f t="shared" si="488"/>
        <v/>
      </c>
      <c r="K1573" t="str">
        <f t="shared" si="489"/>
        <v/>
      </c>
      <c r="L1573" t="str">
        <f t="shared" si="490"/>
        <v/>
      </c>
      <c r="M1573" t="str">
        <f t="shared" si="491"/>
        <v/>
      </c>
      <c r="N1573" t="str">
        <f t="shared" si="492"/>
        <v/>
      </c>
      <c r="O1573" t="str">
        <f t="shared" si="493"/>
        <v/>
      </c>
      <c r="P1573" t="str">
        <f t="shared" si="494"/>
        <v/>
      </c>
      <c r="Q1573" t="str">
        <f t="shared" si="495"/>
        <v/>
      </c>
      <c r="R1573" t="str">
        <f t="shared" si="496"/>
        <v/>
      </c>
      <c r="S1573" t="str">
        <f t="shared" si="497"/>
        <v/>
      </c>
      <c r="T1573" t="str">
        <f t="shared" si="498"/>
        <v/>
      </c>
      <c r="U1573" t="str">
        <f t="shared" si="499"/>
        <v/>
      </c>
      <c r="V1573" t="str">
        <f t="shared" si="500"/>
        <v/>
      </c>
      <c r="W1573" t="str">
        <f t="shared" si="483"/>
        <v xml:space="preserve">              </v>
      </c>
    </row>
    <row r="1574" spans="1:23" customFormat="1" hidden="1">
      <c r="A1574" t="b">
        <f t="shared" si="482"/>
        <v>0</v>
      </c>
      <c r="B1574">
        <f t="shared" si="484"/>
        <v>1573</v>
      </c>
      <c r="C1574" t="s">
        <v>1243</v>
      </c>
      <c r="D1574" t="s">
        <v>1544</v>
      </c>
      <c r="E1574">
        <f t="shared" si="501"/>
        <v>20</v>
      </c>
      <c r="G1574">
        <f t="shared" si="485"/>
        <v>4</v>
      </c>
      <c r="H1574" t="str">
        <f t="shared" si="486"/>
        <v/>
      </c>
      <c r="I1574" t="str">
        <f t="shared" si="487"/>
        <v/>
      </c>
      <c r="J1574" t="str">
        <f t="shared" si="488"/>
        <v/>
      </c>
      <c r="K1574" t="str">
        <f t="shared" si="489"/>
        <v/>
      </c>
      <c r="L1574" t="str">
        <f t="shared" si="490"/>
        <v/>
      </c>
      <c r="M1574" t="str">
        <f t="shared" si="491"/>
        <v/>
      </c>
      <c r="N1574" t="str">
        <f t="shared" si="492"/>
        <v/>
      </c>
      <c r="O1574" t="str">
        <f t="shared" si="493"/>
        <v/>
      </c>
      <c r="P1574" t="str">
        <f t="shared" si="494"/>
        <v/>
      </c>
      <c r="Q1574" t="str">
        <f t="shared" si="495"/>
        <v/>
      </c>
      <c r="R1574" t="str">
        <f t="shared" si="496"/>
        <v/>
      </c>
      <c r="S1574" t="str">
        <f t="shared" si="497"/>
        <v/>
      </c>
      <c r="T1574" t="str">
        <f t="shared" si="498"/>
        <v/>
      </c>
      <c r="U1574" t="str">
        <f t="shared" si="499"/>
        <v/>
      </c>
      <c r="V1574" t="str">
        <f t="shared" si="500"/>
        <v/>
      </c>
      <c r="W1574" t="str">
        <f t="shared" si="483"/>
        <v xml:space="preserve">              </v>
      </c>
    </row>
    <row r="1575" spans="1:23" hidden="1">
      <c r="A1575" s="71" t="b">
        <f t="shared" si="482"/>
        <v>0</v>
      </c>
      <c r="B1575" s="71">
        <f t="shared" si="484"/>
        <v>1574</v>
      </c>
      <c r="C1575" s="71" t="s">
        <v>1243</v>
      </c>
      <c r="D1575" s="71" t="s">
        <v>1545</v>
      </c>
      <c r="E1575">
        <f t="shared" si="501"/>
        <v>8</v>
      </c>
      <c r="F1575">
        <v>1</v>
      </c>
      <c r="G1575">
        <f t="shared" si="485"/>
        <v>1</v>
      </c>
      <c r="H1575" t="str">
        <f t="shared" si="486"/>
        <v>Proposal</v>
      </c>
      <c r="I1575" t="str">
        <f t="shared" si="487"/>
        <v>A document the seller provides to the</v>
      </c>
      <c r="J1575" t="str">
        <f t="shared" si="488"/>
        <v>buyer. The proposal includes more than</v>
      </c>
      <c r="K1575" t="str">
        <f t="shared" si="489"/>
        <v>just a fee for the proposed work. It also</v>
      </c>
      <c r="L1575" t="str">
        <f t="shared" si="490"/>
        <v>includes information on the vendor’s</v>
      </c>
      <c r="M1575" t="str">
        <f t="shared" si="491"/>
        <v>skills, the vendor’s reputation, and ideas</v>
      </c>
      <c r="N1575" t="str">
        <f t="shared" si="492"/>
        <v>on how the vendor can complete the</v>
      </c>
      <c r="O1575" t="str">
        <f t="shared" si="493"/>
        <v>contracted work for the buyer.</v>
      </c>
      <c r="P1575" t="str">
        <f t="shared" si="494"/>
        <v/>
      </c>
      <c r="Q1575" t="str">
        <f t="shared" si="495"/>
        <v/>
      </c>
      <c r="R1575" t="str">
        <f t="shared" si="496"/>
        <v/>
      </c>
      <c r="S1575" t="str">
        <f t="shared" si="497"/>
        <v/>
      </c>
      <c r="T1575" t="str">
        <f t="shared" si="498"/>
        <v/>
      </c>
      <c r="U1575" t="str">
        <f t="shared" si="499"/>
        <v/>
      </c>
      <c r="V1575" t="str">
        <f t="shared" si="500"/>
        <v/>
      </c>
      <c r="W1575" s="71" t="str">
        <f>CONCATENATE(H1575," ",I1575," ",J1575," ",K1575," ",L1575," ",M1575," ",N1575," ",O1575," ",P1575," ",Q1575," ",R1575," ",S1575," ",T1575," ",U1575," ",V1575)</f>
        <v xml:space="preserve">Proposal A document the seller provides to the buyer. The proposal includes more than just a fee for the proposed work. It also includes information on the vendor’s skills, the vendor’s reputation, and ideas on how the vendor can complete the contracted work for the buyer.       </v>
      </c>
    </row>
    <row r="1576" spans="1:23" customFormat="1" hidden="1">
      <c r="A1576" t="b">
        <f t="shared" si="482"/>
        <v>0</v>
      </c>
      <c r="B1576">
        <f t="shared" si="484"/>
        <v>1575</v>
      </c>
      <c r="C1576" t="s">
        <v>1243</v>
      </c>
      <c r="D1576" t="s">
        <v>1546</v>
      </c>
      <c r="E1576">
        <f t="shared" si="501"/>
        <v>37</v>
      </c>
      <c r="G1576">
        <f t="shared" si="485"/>
        <v>2</v>
      </c>
      <c r="H1576" t="str">
        <f t="shared" si="486"/>
        <v/>
      </c>
      <c r="I1576" t="str">
        <f t="shared" si="487"/>
        <v/>
      </c>
      <c r="J1576" t="str">
        <f t="shared" si="488"/>
        <v/>
      </c>
      <c r="K1576" t="str">
        <f t="shared" si="489"/>
        <v/>
      </c>
      <c r="L1576" t="str">
        <f t="shared" si="490"/>
        <v/>
      </c>
      <c r="M1576" t="str">
        <f t="shared" si="491"/>
        <v/>
      </c>
      <c r="N1576" t="str">
        <f t="shared" si="492"/>
        <v/>
      </c>
      <c r="O1576" t="str">
        <f t="shared" si="493"/>
        <v/>
      </c>
      <c r="P1576" t="str">
        <f t="shared" si="494"/>
        <v/>
      </c>
      <c r="Q1576" t="str">
        <f t="shared" si="495"/>
        <v/>
      </c>
      <c r="R1576" t="str">
        <f t="shared" si="496"/>
        <v/>
      </c>
      <c r="S1576" t="str">
        <f t="shared" si="497"/>
        <v/>
      </c>
      <c r="T1576" t="str">
        <f t="shared" si="498"/>
        <v/>
      </c>
      <c r="U1576" t="str">
        <f t="shared" si="499"/>
        <v/>
      </c>
      <c r="V1576" t="str">
        <f t="shared" si="500"/>
        <v/>
      </c>
      <c r="W1576" t="str">
        <f t="shared" si="483"/>
        <v xml:space="preserve">              </v>
      </c>
    </row>
    <row r="1577" spans="1:23" customFormat="1" hidden="1">
      <c r="A1577" t="b">
        <f t="shared" si="482"/>
        <v>0</v>
      </c>
      <c r="B1577">
        <f t="shared" si="484"/>
        <v>1576</v>
      </c>
      <c r="C1577" t="s">
        <v>1243</v>
      </c>
      <c r="D1577" t="s">
        <v>1547</v>
      </c>
      <c r="E1577">
        <f t="shared" si="501"/>
        <v>38</v>
      </c>
      <c r="G1577">
        <f t="shared" si="485"/>
        <v>3</v>
      </c>
      <c r="H1577" t="str">
        <f t="shared" si="486"/>
        <v/>
      </c>
      <c r="I1577" t="str">
        <f t="shared" si="487"/>
        <v/>
      </c>
      <c r="J1577" t="str">
        <f t="shared" si="488"/>
        <v/>
      </c>
      <c r="K1577" t="str">
        <f t="shared" si="489"/>
        <v/>
      </c>
      <c r="L1577" t="str">
        <f t="shared" si="490"/>
        <v/>
      </c>
      <c r="M1577" t="str">
        <f t="shared" si="491"/>
        <v/>
      </c>
      <c r="N1577" t="str">
        <f t="shared" si="492"/>
        <v/>
      </c>
      <c r="O1577" t="str">
        <f t="shared" si="493"/>
        <v/>
      </c>
      <c r="P1577" t="str">
        <f t="shared" si="494"/>
        <v/>
      </c>
      <c r="Q1577" t="str">
        <f t="shared" si="495"/>
        <v/>
      </c>
      <c r="R1577" t="str">
        <f t="shared" si="496"/>
        <v/>
      </c>
      <c r="S1577" t="str">
        <f t="shared" si="497"/>
        <v/>
      </c>
      <c r="T1577" t="str">
        <f t="shared" si="498"/>
        <v/>
      </c>
      <c r="U1577" t="str">
        <f t="shared" si="499"/>
        <v/>
      </c>
      <c r="V1577" t="str">
        <f t="shared" si="500"/>
        <v/>
      </c>
      <c r="W1577" t="str">
        <f t="shared" si="483"/>
        <v xml:space="preserve">              </v>
      </c>
    </row>
    <row r="1578" spans="1:23" customFormat="1" hidden="1">
      <c r="A1578" t="b">
        <f t="shared" si="482"/>
        <v>0</v>
      </c>
      <c r="B1578">
        <f t="shared" si="484"/>
        <v>1577</v>
      </c>
      <c r="C1578" t="s">
        <v>1243</v>
      </c>
      <c r="D1578" t="s">
        <v>1548</v>
      </c>
      <c r="E1578">
        <f t="shared" si="501"/>
        <v>41</v>
      </c>
      <c r="G1578">
        <f t="shared" si="485"/>
        <v>4</v>
      </c>
      <c r="H1578" t="str">
        <f t="shared" si="486"/>
        <v/>
      </c>
      <c r="I1578" t="str">
        <f t="shared" si="487"/>
        <v/>
      </c>
      <c r="J1578" t="str">
        <f t="shared" si="488"/>
        <v/>
      </c>
      <c r="K1578" t="str">
        <f t="shared" si="489"/>
        <v/>
      </c>
      <c r="L1578" t="str">
        <f t="shared" si="490"/>
        <v/>
      </c>
      <c r="M1578" t="str">
        <f t="shared" si="491"/>
        <v/>
      </c>
      <c r="N1578" t="str">
        <f t="shared" si="492"/>
        <v/>
      </c>
      <c r="O1578" t="str">
        <f t="shared" si="493"/>
        <v/>
      </c>
      <c r="P1578" t="str">
        <f t="shared" si="494"/>
        <v/>
      </c>
      <c r="Q1578" t="str">
        <f t="shared" si="495"/>
        <v/>
      </c>
      <c r="R1578" t="str">
        <f t="shared" si="496"/>
        <v/>
      </c>
      <c r="S1578" t="str">
        <f t="shared" si="497"/>
        <v/>
      </c>
      <c r="T1578" t="str">
        <f t="shared" si="498"/>
        <v/>
      </c>
      <c r="U1578" t="str">
        <f t="shared" si="499"/>
        <v/>
      </c>
      <c r="V1578" t="str">
        <f t="shared" si="500"/>
        <v/>
      </c>
      <c r="W1578" t="str">
        <f t="shared" si="483"/>
        <v xml:space="preserve">              </v>
      </c>
    </row>
    <row r="1579" spans="1:23" customFormat="1" hidden="1">
      <c r="A1579" t="b">
        <f t="shared" si="482"/>
        <v>0</v>
      </c>
      <c r="B1579">
        <f t="shared" si="484"/>
        <v>1578</v>
      </c>
      <c r="C1579" t="s">
        <v>1243</v>
      </c>
      <c r="D1579" t="s">
        <v>1549</v>
      </c>
      <c r="E1579">
        <f t="shared" si="501"/>
        <v>36</v>
      </c>
      <c r="G1579">
        <f t="shared" si="485"/>
        <v>5</v>
      </c>
      <c r="H1579" t="str">
        <f t="shared" si="486"/>
        <v/>
      </c>
      <c r="I1579" t="str">
        <f t="shared" si="487"/>
        <v/>
      </c>
      <c r="J1579" t="str">
        <f t="shared" si="488"/>
        <v/>
      </c>
      <c r="K1579" t="str">
        <f t="shared" si="489"/>
        <v/>
      </c>
      <c r="L1579" t="str">
        <f t="shared" si="490"/>
        <v/>
      </c>
      <c r="M1579" t="str">
        <f t="shared" si="491"/>
        <v/>
      </c>
      <c r="N1579" t="str">
        <f t="shared" si="492"/>
        <v/>
      </c>
      <c r="O1579" t="str">
        <f t="shared" si="493"/>
        <v/>
      </c>
      <c r="P1579" t="str">
        <f t="shared" si="494"/>
        <v/>
      </c>
      <c r="Q1579" t="str">
        <f t="shared" si="495"/>
        <v/>
      </c>
      <c r="R1579" t="str">
        <f t="shared" si="496"/>
        <v/>
      </c>
      <c r="S1579" t="str">
        <f t="shared" si="497"/>
        <v/>
      </c>
      <c r="T1579" t="str">
        <f t="shared" si="498"/>
        <v/>
      </c>
      <c r="U1579" t="str">
        <f t="shared" si="499"/>
        <v/>
      </c>
      <c r="V1579" t="str">
        <f t="shared" si="500"/>
        <v/>
      </c>
      <c r="W1579" t="str">
        <f t="shared" si="483"/>
        <v xml:space="preserve">              </v>
      </c>
    </row>
    <row r="1580" spans="1:23" customFormat="1" hidden="1">
      <c r="A1580" t="b">
        <f t="shared" si="482"/>
        <v>0</v>
      </c>
      <c r="B1580">
        <f t="shared" si="484"/>
        <v>1579</v>
      </c>
      <c r="C1580" t="s">
        <v>1243</v>
      </c>
      <c r="D1580" t="s">
        <v>1550</v>
      </c>
      <c r="E1580">
        <f t="shared" si="501"/>
        <v>42</v>
      </c>
      <c r="G1580">
        <f t="shared" si="485"/>
        <v>6</v>
      </c>
      <c r="H1580" t="str">
        <f t="shared" si="486"/>
        <v/>
      </c>
      <c r="I1580" t="str">
        <f t="shared" si="487"/>
        <v/>
      </c>
      <c r="J1580" t="str">
        <f t="shared" si="488"/>
        <v/>
      </c>
      <c r="K1580" t="str">
        <f t="shared" si="489"/>
        <v/>
      </c>
      <c r="L1580" t="str">
        <f t="shared" si="490"/>
        <v/>
      </c>
      <c r="M1580" t="str">
        <f t="shared" si="491"/>
        <v/>
      </c>
      <c r="N1580" t="str">
        <f t="shared" si="492"/>
        <v/>
      </c>
      <c r="O1580" t="str">
        <f t="shared" si="493"/>
        <v/>
      </c>
      <c r="P1580" t="str">
        <f t="shared" si="494"/>
        <v/>
      </c>
      <c r="Q1580" t="str">
        <f t="shared" si="495"/>
        <v/>
      </c>
      <c r="R1580" t="str">
        <f t="shared" si="496"/>
        <v/>
      </c>
      <c r="S1580" t="str">
        <f t="shared" si="497"/>
        <v/>
      </c>
      <c r="T1580" t="str">
        <f t="shared" si="498"/>
        <v/>
      </c>
      <c r="U1580" t="str">
        <f t="shared" si="499"/>
        <v/>
      </c>
      <c r="V1580" t="str">
        <f t="shared" si="500"/>
        <v/>
      </c>
      <c r="W1580" t="str">
        <f t="shared" si="483"/>
        <v xml:space="preserve">              </v>
      </c>
    </row>
    <row r="1581" spans="1:23" customFormat="1" hidden="1">
      <c r="A1581" t="b">
        <f t="shared" si="482"/>
        <v>0</v>
      </c>
      <c r="B1581">
        <f t="shared" si="484"/>
        <v>1580</v>
      </c>
      <c r="C1581" t="s">
        <v>1243</v>
      </c>
      <c r="D1581" t="s">
        <v>1551</v>
      </c>
      <c r="E1581">
        <f t="shared" si="501"/>
        <v>34</v>
      </c>
      <c r="G1581">
        <f t="shared" si="485"/>
        <v>7</v>
      </c>
      <c r="H1581" t="str">
        <f t="shared" si="486"/>
        <v/>
      </c>
      <c r="I1581" t="str">
        <f t="shared" si="487"/>
        <v/>
      </c>
      <c r="J1581" t="str">
        <f t="shared" si="488"/>
        <v/>
      </c>
      <c r="K1581" t="str">
        <f t="shared" si="489"/>
        <v/>
      </c>
      <c r="L1581" t="str">
        <f t="shared" si="490"/>
        <v/>
      </c>
      <c r="M1581" t="str">
        <f t="shared" si="491"/>
        <v/>
      </c>
      <c r="N1581" t="str">
        <f t="shared" si="492"/>
        <v/>
      </c>
      <c r="O1581" t="str">
        <f t="shared" si="493"/>
        <v/>
      </c>
      <c r="P1581" t="str">
        <f t="shared" si="494"/>
        <v/>
      </c>
      <c r="Q1581" t="str">
        <f t="shared" si="495"/>
        <v/>
      </c>
      <c r="R1581" t="str">
        <f t="shared" si="496"/>
        <v/>
      </c>
      <c r="S1581" t="str">
        <f t="shared" si="497"/>
        <v/>
      </c>
      <c r="T1581" t="str">
        <f t="shared" si="498"/>
        <v/>
      </c>
      <c r="U1581" t="str">
        <f t="shared" si="499"/>
        <v/>
      </c>
      <c r="V1581" t="str">
        <f t="shared" si="500"/>
        <v/>
      </c>
      <c r="W1581" t="str">
        <f t="shared" si="483"/>
        <v xml:space="preserve">              </v>
      </c>
    </row>
    <row r="1582" spans="1:23" customFormat="1" hidden="1">
      <c r="A1582" t="b">
        <f t="shared" si="482"/>
        <v>0</v>
      </c>
      <c r="B1582">
        <f t="shared" si="484"/>
        <v>1581</v>
      </c>
      <c r="C1582" t="s">
        <v>1243</v>
      </c>
      <c r="D1582" t="s">
        <v>1552</v>
      </c>
      <c r="E1582">
        <f t="shared" si="501"/>
        <v>30</v>
      </c>
      <c r="G1582">
        <f t="shared" si="485"/>
        <v>8</v>
      </c>
      <c r="H1582" t="str">
        <f t="shared" si="486"/>
        <v/>
      </c>
      <c r="I1582" t="str">
        <f t="shared" si="487"/>
        <v/>
      </c>
      <c r="J1582" t="str">
        <f t="shared" si="488"/>
        <v/>
      </c>
      <c r="K1582" t="str">
        <f t="shared" si="489"/>
        <v/>
      </c>
      <c r="L1582" t="str">
        <f t="shared" si="490"/>
        <v/>
      </c>
      <c r="M1582" t="str">
        <f t="shared" si="491"/>
        <v/>
      </c>
      <c r="N1582" t="str">
        <f t="shared" si="492"/>
        <v/>
      </c>
      <c r="O1582" t="str">
        <f t="shared" si="493"/>
        <v/>
      </c>
      <c r="P1582" t="str">
        <f t="shared" si="494"/>
        <v/>
      </c>
      <c r="Q1582" t="str">
        <f t="shared" si="495"/>
        <v/>
      </c>
      <c r="R1582" t="str">
        <f t="shared" si="496"/>
        <v/>
      </c>
      <c r="S1582" t="str">
        <f t="shared" si="497"/>
        <v/>
      </c>
      <c r="T1582" t="str">
        <f t="shared" si="498"/>
        <v/>
      </c>
      <c r="U1582" t="str">
        <f t="shared" si="499"/>
        <v/>
      </c>
      <c r="V1582" t="str">
        <f t="shared" si="500"/>
        <v/>
      </c>
      <c r="W1582" t="str">
        <f t="shared" si="483"/>
        <v xml:space="preserve">              </v>
      </c>
    </row>
    <row r="1583" spans="1:23" hidden="1">
      <c r="A1583" s="71" t="b">
        <f t="shared" si="482"/>
        <v>0</v>
      </c>
      <c r="B1583" s="71">
        <f t="shared" si="484"/>
        <v>1582</v>
      </c>
      <c r="C1583" s="71" t="s">
        <v>1243</v>
      </c>
      <c r="D1583" s="71" t="s">
        <v>1553</v>
      </c>
      <c r="E1583">
        <f t="shared" si="501"/>
        <v>19</v>
      </c>
      <c r="F1583">
        <v>1</v>
      </c>
      <c r="G1583">
        <f t="shared" si="485"/>
        <v>1</v>
      </c>
      <c r="H1583" t="str">
        <f t="shared" si="486"/>
        <v>Purchase order (PO)</v>
      </c>
      <c r="I1583" t="str">
        <f t="shared" si="487"/>
        <v>A purchase order is a form of unilateral</v>
      </c>
      <c r="J1583" t="str">
        <f t="shared" si="488"/>
        <v>contract that the buyer provides to the</v>
      </c>
      <c r="K1583" t="str">
        <f t="shared" si="489"/>
        <v>vendor showing that the purchase has</v>
      </c>
      <c r="L1583" t="str">
        <f t="shared" si="490"/>
        <v>been approved by the buyer’s</v>
      </c>
      <c r="M1583" t="str">
        <f t="shared" si="491"/>
        <v>organization.</v>
      </c>
      <c r="N1583" t="str">
        <f t="shared" si="492"/>
        <v/>
      </c>
      <c r="O1583" t="str">
        <f t="shared" si="493"/>
        <v/>
      </c>
      <c r="P1583" t="str">
        <f t="shared" si="494"/>
        <v/>
      </c>
      <c r="Q1583" t="str">
        <f t="shared" si="495"/>
        <v/>
      </c>
      <c r="R1583" t="str">
        <f t="shared" si="496"/>
        <v/>
      </c>
      <c r="S1583" t="str">
        <f t="shared" si="497"/>
        <v/>
      </c>
      <c r="T1583" t="str">
        <f t="shared" si="498"/>
        <v/>
      </c>
      <c r="U1583" t="str">
        <f t="shared" si="499"/>
        <v/>
      </c>
      <c r="V1583" t="str">
        <f t="shared" si="500"/>
        <v/>
      </c>
      <c r="W1583" s="71" t="str">
        <f>CONCATENATE(H1583," ",I1583," ",J1583," ",K1583," ",L1583," ",M1583," ",N1583," ",O1583," ",P1583," ",Q1583," ",R1583," ",S1583," ",T1583," ",U1583," ",V1583)</f>
        <v xml:space="preserve">Purchase order (PO) A purchase order is a form of unilateral contract that the buyer provides to the vendor showing that the purchase has been approved by the buyer’s organization.         </v>
      </c>
    </row>
    <row r="1584" spans="1:23" customFormat="1" hidden="1">
      <c r="A1584" t="b">
        <f t="shared" si="482"/>
        <v>0</v>
      </c>
      <c r="B1584">
        <f t="shared" si="484"/>
        <v>1583</v>
      </c>
      <c r="C1584" t="s">
        <v>1243</v>
      </c>
      <c r="D1584" t="s">
        <v>1554</v>
      </c>
      <c r="E1584">
        <f t="shared" si="501"/>
        <v>40</v>
      </c>
      <c r="G1584">
        <f t="shared" si="485"/>
        <v>2</v>
      </c>
      <c r="H1584" t="str">
        <f t="shared" si="486"/>
        <v/>
      </c>
      <c r="I1584" t="str">
        <f t="shared" si="487"/>
        <v/>
      </c>
      <c r="J1584" t="str">
        <f t="shared" si="488"/>
        <v/>
      </c>
      <c r="K1584" t="str">
        <f t="shared" si="489"/>
        <v/>
      </c>
      <c r="L1584" t="str">
        <f t="shared" si="490"/>
        <v/>
      </c>
      <c r="M1584" t="str">
        <f t="shared" si="491"/>
        <v/>
      </c>
      <c r="N1584" t="str">
        <f t="shared" si="492"/>
        <v/>
      </c>
      <c r="O1584" t="str">
        <f t="shared" si="493"/>
        <v/>
      </c>
      <c r="P1584" t="str">
        <f t="shared" si="494"/>
        <v/>
      </c>
      <c r="Q1584" t="str">
        <f t="shared" si="495"/>
        <v/>
      </c>
      <c r="R1584" t="str">
        <f t="shared" si="496"/>
        <v/>
      </c>
      <c r="S1584" t="str">
        <f t="shared" si="497"/>
        <v/>
      </c>
      <c r="T1584" t="str">
        <f t="shared" si="498"/>
        <v/>
      </c>
      <c r="U1584" t="str">
        <f t="shared" si="499"/>
        <v/>
      </c>
      <c r="V1584" t="str">
        <f t="shared" si="500"/>
        <v/>
      </c>
      <c r="W1584" t="str">
        <f t="shared" si="483"/>
        <v xml:space="preserve">              </v>
      </c>
    </row>
    <row r="1585" spans="1:23" customFormat="1" hidden="1">
      <c r="A1585" t="b">
        <f t="shared" si="482"/>
        <v>0</v>
      </c>
      <c r="B1585">
        <f t="shared" si="484"/>
        <v>1584</v>
      </c>
      <c r="C1585" t="s">
        <v>1243</v>
      </c>
      <c r="D1585" t="s">
        <v>1555</v>
      </c>
      <c r="E1585">
        <f t="shared" si="501"/>
        <v>39</v>
      </c>
      <c r="G1585">
        <f t="shared" si="485"/>
        <v>3</v>
      </c>
      <c r="H1585" t="str">
        <f t="shared" si="486"/>
        <v/>
      </c>
      <c r="I1585" t="str">
        <f t="shared" si="487"/>
        <v/>
      </c>
      <c r="J1585" t="str">
        <f t="shared" si="488"/>
        <v/>
      </c>
      <c r="K1585" t="str">
        <f t="shared" si="489"/>
        <v/>
      </c>
      <c r="L1585" t="str">
        <f t="shared" si="490"/>
        <v/>
      </c>
      <c r="M1585" t="str">
        <f t="shared" si="491"/>
        <v/>
      </c>
      <c r="N1585" t="str">
        <f t="shared" si="492"/>
        <v/>
      </c>
      <c r="O1585" t="str">
        <f t="shared" si="493"/>
        <v/>
      </c>
      <c r="P1585" t="str">
        <f t="shared" si="494"/>
        <v/>
      </c>
      <c r="Q1585" t="str">
        <f t="shared" si="495"/>
        <v/>
      </c>
      <c r="R1585" t="str">
        <f t="shared" si="496"/>
        <v/>
      </c>
      <c r="S1585" t="str">
        <f t="shared" si="497"/>
        <v/>
      </c>
      <c r="T1585" t="str">
        <f t="shared" si="498"/>
        <v/>
      </c>
      <c r="U1585" t="str">
        <f t="shared" si="499"/>
        <v/>
      </c>
      <c r="V1585" t="str">
        <f t="shared" si="500"/>
        <v/>
      </c>
      <c r="W1585" t="str">
        <f t="shared" si="483"/>
        <v xml:space="preserve">              </v>
      </c>
    </row>
    <row r="1586" spans="1:23" customFormat="1" hidden="1">
      <c r="A1586" t="b">
        <f t="shared" si="482"/>
        <v>0</v>
      </c>
      <c r="B1586">
        <f t="shared" si="484"/>
        <v>1585</v>
      </c>
      <c r="C1586" t="s">
        <v>1243</v>
      </c>
      <c r="D1586" t="s">
        <v>1556</v>
      </c>
      <c r="E1586">
        <f t="shared" si="501"/>
        <v>36</v>
      </c>
      <c r="G1586">
        <f t="shared" si="485"/>
        <v>4</v>
      </c>
      <c r="H1586" t="str">
        <f t="shared" si="486"/>
        <v/>
      </c>
      <c r="I1586" t="str">
        <f t="shared" si="487"/>
        <v/>
      </c>
      <c r="J1586" t="str">
        <f t="shared" si="488"/>
        <v/>
      </c>
      <c r="K1586" t="str">
        <f t="shared" si="489"/>
        <v/>
      </c>
      <c r="L1586" t="str">
        <f t="shared" si="490"/>
        <v/>
      </c>
      <c r="M1586" t="str">
        <f t="shared" si="491"/>
        <v/>
      </c>
      <c r="N1586" t="str">
        <f t="shared" si="492"/>
        <v/>
      </c>
      <c r="O1586" t="str">
        <f t="shared" si="493"/>
        <v/>
      </c>
      <c r="P1586" t="str">
        <f t="shared" si="494"/>
        <v/>
      </c>
      <c r="Q1586" t="str">
        <f t="shared" si="495"/>
        <v/>
      </c>
      <c r="R1586" t="str">
        <f t="shared" si="496"/>
        <v/>
      </c>
      <c r="S1586" t="str">
        <f t="shared" si="497"/>
        <v/>
      </c>
      <c r="T1586" t="str">
        <f t="shared" si="498"/>
        <v/>
      </c>
      <c r="U1586" t="str">
        <f t="shared" si="499"/>
        <v/>
      </c>
      <c r="V1586" t="str">
        <f t="shared" si="500"/>
        <v/>
      </c>
      <c r="W1586" t="str">
        <f t="shared" si="483"/>
        <v xml:space="preserve">              </v>
      </c>
    </row>
    <row r="1587" spans="1:23" customFormat="1" hidden="1">
      <c r="A1587" t="b">
        <f t="shared" si="482"/>
        <v>0</v>
      </c>
      <c r="B1587">
        <f t="shared" si="484"/>
        <v>1586</v>
      </c>
      <c r="C1587" t="s">
        <v>1243</v>
      </c>
      <c r="D1587" t="s">
        <v>1557</v>
      </c>
      <c r="E1587">
        <f t="shared" si="501"/>
        <v>28</v>
      </c>
      <c r="G1587">
        <f t="shared" si="485"/>
        <v>5</v>
      </c>
      <c r="H1587" t="str">
        <f t="shared" si="486"/>
        <v/>
      </c>
      <c r="I1587" t="str">
        <f t="shared" si="487"/>
        <v/>
      </c>
      <c r="J1587" t="str">
        <f t="shared" si="488"/>
        <v/>
      </c>
      <c r="K1587" t="str">
        <f t="shared" si="489"/>
        <v/>
      </c>
      <c r="L1587" t="str">
        <f t="shared" si="490"/>
        <v/>
      </c>
      <c r="M1587" t="str">
        <f t="shared" si="491"/>
        <v/>
      </c>
      <c r="N1587" t="str">
        <f t="shared" si="492"/>
        <v/>
      </c>
      <c r="O1587" t="str">
        <f t="shared" si="493"/>
        <v/>
      </c>
      <c r="P1587" t="str">
        <f t="shared" si="494"/>
        <v/>
      </c>
      <c r="Q1587" t="str">
        <f t="shared" si="495"/>
        <v/>
      </c>
      <c r="R1587" t="str">
        <f t="shared" si="496"/>
        <v/>
      </c>
      <c r="S1587" t="str">
        <f t="shared" si="497"/>
        <v/>
      </c>
      <c r="T1587" t="str">
        <f t="shared" si="498"/>
        <v/>
      </c>
      <c r="U1587" t="str">
        <f t="shared" si="499"/>
        <v/>
      </c>
      <c r="V1587" t="str">
        <f t="shared" si="500"/>
        <v/>
      </c>
      <c r="W1587" t="str">
        <f t="shared" si="483"/>
        <v xml:space="preserve">              </v>
      </c>
    </row>
    <row r="1588" spans="1:23" customFormat="1" hidden="1">
      <c r="A1588" t="b">
        <f t="shared" si="482"/>
        <v>0</v>
      </c>
      <c r="B1588">
        <f t="shared" si="484"/>
        <v>1587</v>
      </c>
      <c r="C1588" t="s">
        <v>1243</v>
      </c>
      <c r="D1588" t="s">
        <v>1558</v>
      </c>
      <c r="E1588">
        <f t="shared" si="501"/>
        <v>13</v>
      </c>
      <c r="G1588">
        <f t="shared" si="485"/>
        <v>6</v>
      </c>
      <c r="H1588" t="str">
        <f t="shared" si="486"/>
        <v/>
      </c>
      <c r="I1588" t="str">
        <f t="shared" si="487"/>
        <v/>
      </c>
      <c r="J1588" t="str">
        <f t="shared" si="488"/>
        <v/>
      </c>
      <c r="K1588" t="str">
        <f t="shared" si="489"/>
        <v/>
      </c>
      <c r="L1588" t="str">
        <f t="shared" si="490"/>
        <v/>
      </c>
      <c r="M1588" t="str">
        <f t="shared" si="491"/>
        <v/>
      </c>
      <c r="N1588" t="str">
        <f t="shared" si="492"/>
        <v/>
      </c>
      <c r="O1588" t="str">
        <f t="shared" si="493"/>
        <v/>
      </c>
      <c r="P1588" t="str">
        <f t="shared" si="494"/>
        <v/>
      </c>
      <c r="Q1588" t="str">
        <f t="shared" si="495"/>
        <v/>
      </c>
      <c r="R1588" t="str">
        <f t="shared" si="496"/>
        <v/>
      </c>
      <c r="S1588" t="str">
        <f t="shared" si="497"/>
        <v/>
      </c>
      <c r="T1588" t="str">
        <f t="shared" si="498"/>
        <v/>
      </c>
      <c r="U1588" t="str">
        <f t="shared" si="499"/>
        <v/>
      </c>
      <c r="V1588" t="str">
        <f t="shared" si="500"/>
        <v/>
      </c>
      <c r="W1588" t="str">
        <f t="shared" si="483"/>
        <v xml:space="preserve">              </v>
      </c>
    </row>
    <row r="1589" spans="1:23" hidden="1">
      <c r="A1589" s="71" t="b">
        <f t="shared" si="482"/>
        <v>0</v>
      </c>
      <c r="B1589" s="71">
        <f t="shared" si="484"/>
        <v>1588</v>
      </c>
      <c r="C1589" s="71" t="s">
        <v>1243</v>
      </c>
      <c r="D1589" s="71" t="s">
        <v>1559</v>
      </c>
      <c r="E1589">
        <f t="shared" si="501"/>
        <v>9</v>
      </c>
      <c r="F1589">
        <v>1</v>
      </c>
      <c r="G1589">
        <f t="shared" si="485"/>
        <v>1</v>
      </c>
      <c r="H1589" t="str">
        <f t="shared" si="486"/>
        <v>Quotation</v>
      </c>
      <c r="I1589" t="str">
        <f t="shared" si="487"/>
        <v>From seller to buyer. Price is the</v>
      </c>
      <c r="J1589" t="str">
        <f t="shared" si="488"/>
        <v>determining factor in the decision-making</v>
      </c>
      <c r="K1589" t="str">
        <f t="shared" si="489"/>
        <v>process.</v>
      </c>
      <c r="L1589" t="str">
        <f t="shared" si="490"/>
        <v/>
      </c>
      <c r="M1589" t="str">
        <f t="shared" si="491"/>
        <v/>
      </c>
      <c r="N1589" t="str">
        <f t="shared" si="492"/>
        <v/>
      </c>
      <c r="O1589" t="str">
        <f t="shared" si="493"/>
        <v/>
      </c>
      <c r="P1589" t="str">
        <f t="shared" si="494"/>
        <v/>
      </c>
      <c r="Q1589" t="str">
        <f t="shared" si="495"/>
        <v/>
      </c>
      <c r="R1589" t="str">
        <f t="shared" si="496"/>
        <v/>
      </c>
      <c r="S1589" t="str">
        <f t="shared" si="497"/>
        <v/>
      </c>
      <c r="T1589" t="str">
        <f t="shared" si="498"/>
        <v/>
      </c>
      <c r="U1589" t="str">
        <f t="shared" si="499"/>
        <v/>
      </c>
      <c r="V1589" t="str">
        <f t="shared" si="500"/>
        <v/>
      </c>
      <c r="W1589" s="71" t="str">
        <f>CONCATENATE(H1589," ",I1589," ",J1589," ",K1589," ",L1589," ",M1589," ",N1589," ",O1589," ",P1589," ",Q1589," ",R1589," ",S1589," ",T1589," ",U1589," ",V1589)</f>
        <v xml:space="preserve">Quotation From seller to buyer. Price is the determining factor in the decision-making process.           </v>
      </c>
    </row>
    <row r="1590" spans="1:23" customFormat="1" hidden="1">
      <c r="A1590" t="b">
        <f t="shared" si="482"/>
        <v>0</v>
      </c>
      <c r="B1590">
        <f t="shared" si="484"/>
        <v>1589</v>
      </c>
      <c r="C1590" t="s">
        <v>1243</v>
      </c>
      <c r="D1590" t="s">
        <v>1560</v>
      </c>
      <c r="E1590">
        <f t="shared" si="501"/>
        <v>34</v>
      </c>
      <c r="G1590">
        <f t="shared" si="485"/>
        <v>2</v>
      </c>
      <c r="H1590" t="str">
        <f t="shared" si="486"/>
        <v/>
      </c>
      <c r="I1590" t="str">
        <f t="shared" si="487"/>
        <v/>
      </c>
      <c r="J1590" t="str">
        <f t="shared" si="488"/>
        <v/>
      </c>
      <c r="K1590" t="str">
        <f t="shared" si="489"/>
        <v/>
      </c>
      <c r="L1590" t="str">
        <f t="shared" si="490"/>
        <v/>
      </c>
      <c r="M1590" t="str">
        <f t="shared" si="491"/>
        <v/>
      </c>
      <c r="N1590" t="str">
        <f t="shared" si="492"/>
        <v/>
      </c>
      <c r="O1590" t="str">
        <f t="shared" si="493"/>
        <v/>
      </c>
      <c r="P1590" t="str">
        <f t="shared" si="494"/>
        <v/>
      </c>
      <c r="Q1590" t="str">
        <f t="shared" si="495"/>
        <v/>
      </c>
      <c r="R1590" t="str">
        <f t="shared" si="496"/>
        <v/>
      </c>
      <c r="S1590" t="str">
        <f t="shared" si="497"/>
        <v/>
      </c>
      <c r="T1590" t="str">
        <f t="shared" si="498"/>
        <v/>
      </c>
      <c r="U1590" t="str">
        <f t="shared" si="499"/>
        <v/>
      </c>
      <c r="V1590" t="str">
        <f t="shared" si="500"/>
        <v/>
      </c>
      <c r="W1590" t="str">
        <f t="shared" si="483"/>
        <v xml:space="preserve">              </v>
      </c>
    </row>
    <row r="1591" spans="1:23" customFormat="1" hidden="1">
      <c r="A1591" t="b">
        <f t="shared" si="482"/>
        <v>0</v>
      </c>
      <c r="B1591">
        <f t="shared" si="484"/>
        <v>1590</v>
      </c>
      <c r="C1591" t="s">
        <v>1243</v>
      </c>
      <c r="D1591" t="s">
        <v>1561</v>
      </c>
      <c r="E1591">
        <f t="shared" si="501"/>
        <v>41</v>
      </c>
      <c r="G1591">
        <f t="shared" si="485"/>
        <v>3</v>
      </c>
      <c r="H1591" t="str">
        <f t="shared" si="486"/>
        <v/>
      </c>
      <c r="I1591" t="str">
        <f t="shared" si="487"/>
        <v/>
      </c>
      <c r="J1591" t="str">
        <f t="shared" si="488"/>
        <v/>
      </c>
      <c r="K1591" t="str">
        <f t="shared" si="489"/>
        <v/>
      </c>
      <c r="L1591" t="str">
        <f t="shared" si="490"/>
        <v/>
      </c>
      <c r="M1591" t="str">
        <f t="shared" si="491"/>
        <v/>
      </c>
      <c r="N1591" t="str">
        <f t="shared" si="492"/>
        <v/>
      </c>
      <c r="O1591" t="str">
        <f t="shared" si="493"/>
        <v/>
      </c>
      <c r="P1591" t="str">
        <f t="shared" si="494"/>
        <v/>
      </c>
      <c r="Q1591" t="str">
        <f t="shared" si="495"/>
        <v/>
      </c>
      <c r="R1591" t="str">
        <f t="shared" si="496"/>
        <v/>
      </c>
      <c r="S1591" t="str">
        <f t="shared" si="497"/>
        <v/>
      </c>
      <c r="T1591" t="str">
        <f t="shared" si="498"/>
        <v/>
      </c>
      <c r="U1591" t="str">
        <f t="shared" si="499"/>
        <v/>
      </c>
      <c r="V1591" t="str">
        <f t="shared" si="500"/>
        <v/>
      </c>
      <c r="W1591" t="str">
        <f t="shared" si="483"/>
        <v xml:space="preserve">              </v>
      </c>
    </row>
    <row r="1592" spans="1:23" customFormat="1" hidden="1">
      <c r="A1592" t="b">
        <f t="shared" si="482"/>
        <v>0</v>
      </c>
      <c r="B1592">
        <f t="shared" si="484"/>
        <v>1591</v>
      </c>
      <c r="C1592" t="s">
        <v>1243</v>
      </c>
      <c r="D1592" t="s">
        <v>971</v>
      </c>
      <c r="E1592">
        <f t="shared" si="501"/>
        <v>8</v>
      </c>
      <c r="G1592">
        <f t="shared" si="485"/>
        <v>4</v>
      </c>
      <c r="H1592" t="str">
        <f t="shared" si="486"/>
        <v/>
      </c>
      <c r="I1592" t="str">
        <f t="shared" si="487"/>
        <v/>
      </c>
      <c r="J1592" t="str">
        <f t="shared" si="488"/>
        <v/>
      </c>
      <c r="K1592" t="str">
        <f t="shared" si="489"/>
        <v/>
      </c>
      <c r="L1592" t="str">
        <f t="shared" si="490"/>
        <v/>
      </c>
      <c r="M1592" t="str">
        <f t="shared" si="491"/>
        <v/>
      </c>
      <c r="N1592" t="str">
        <f t="shared" si="492"/>
        <v/>
      </c>
      <c r="O1592" t="str">
        <f t="shared" si="493"/>
        <v/>
      </c>
      <c r="P1592" t="str">
        <f t="shared" si="494"/>
        <v/>
      </c>
      <c r="Q1592" t="str">
        <f t="shared" si="495"/>
        <v/>
      </c>
      <c r="R1592" t="str">
        <f t="shared" si="496"/>
        <v/>
      </c>
      <c r="S1592" t="str">
        <f t="shared" si="497"/>
        <v/>
      </c>
      <c r="T1592" t="str">
        <f t="shared" si="498"/>
        <v/>
      </c>
      <c r="U1592" t="str">
        <f t="shared" si="499"/>
        <v/>
      </c>
      <c r="V1592" t="str">
        <f t="shared" si="500"/>
        <v/>
      </c>
      <c r="W1592" t="str">
        <f t="shared" si="483"/>
        <v xml:space="preserve">              </v>
      </c>
    </row>
    <row r="1593" spans="1:23" hidden="1">
      <c r="A1593" s="71" t="b">
        <f t="shared" si="482"/>
        <v>0</v>
      </c>
      <c r="B1593" s="71">
        <f t="shared" si="484"/>
        <v>1592</v>
      </c>
      <c r="C1593" s="71" t="s">
        <v>1243</v>
      </c>
      <c r="D1593" s="71" t="s">
        <v>1562</v>
      </c>
      <c r="E1593">
        <f t="shared" si="501"/>
        <v>26</v>
      </c>
      <c r="F1593">
        <v>1</v>
      </c>
      <c r="G1593">
        <f t="shared" si="485"/>
        <v>1</v>
      </c>
      <c r="H1593" t="str">
        <f t="shared" si="486"/>
        <v>Request for Proposal (RFP)</v>
      </c>
      <c r="I1593" t="str">
        <f t="shared" si="487"/>
        <v>From buyer to seller. Requests the seller</v>
      </c>
      <c r="J1593" t="str">
        <f t="shared" si="488"/>
        <v>to provide a proposal to complete the</v>
      </c>
      <c r="K1593" t="str">
        <f t="shared" si="489"/>
        <v>procured work or to provide the procured</v>
      </c>
      <c r="L1593" t="str">
        <f t="shared" si="490"/>
        <v>product.</v>
      </c>
      <c r="M1593" t="str">
        <f t="shared" si="491"/>
        <v/>
      </c>
      <c r="N1593" t="str">
        <f t="shared" si="492"/>
        <v/>
      </c>
      <c r="O1593" t="str">
        <f t="shared" si="493"/>
        <v/>
      </c>
      <c r="P1593" t="str">
        <f t="shared" si="494"/>
        <v/>
      </c>
      <c r="Q1593" t="str">
        <f t="shared" si="495"/>
        <v/>
      </c>
      <c r="R1593" t="str">
        <f t="shared" si="496"/>
        <v/>
      </c>
      <c r="S1593" t="str">
        <f t="shared" si="497"/>
        <v/>
      </c>
      <c r="T1593" t="str">
        <f t="shared" si="498"/>
        <v/>
      </c>
      <c r="U1593" t="str">
        <f t="shared" si="499"/>
        <v/>
      </c>
      <c r="V1593" t="str">
        <f t="shared" si="500"/>
        <v/>
      </c>
      <c r="W1593" s="71" t="str">
        <f>CONCATENATE(H1593," ",I1593," ",J1593," ",K1593," ",L1593," ",M1593," ",N1593," ",O1593," ",P1593," ",Q1593," ",R1593," ",S1593," ",T1593," ",U1593," ",V1593)</f>
        <v xml:space="preserve">Request for Proposal (RFP) From buyer to seller. Requests the seller to provide a proposal to complete the procured work or to provide the procured product.          </v>
      </c>
    </row>
    <row r="1594" spans="1:23" customFormat="1" hidden="1">
      <c r="A1594" t="b">
        <f t="shared" si="482"/>
        <v>0</v>
      </c>
      <c r="B1594">
        <f t="shared" si="484"/>
        <v>1593</v>
      </c>
      <c r="C1594" t="s">
        <v>1243</v>
      </c>
      <c r="D1594" t="s">
        <v>1516</v>
      </c>
      <c r="E1594">
        <f t="shared" si="501"/>
        <v>41</v>
      </c>
      <c r="G1594">
        <f t="shared" si="485"/>
        <v>2</v>
      </c>
      <c r="H1594" t="str">
        <f t="shared" si="486"/>
        <v/>
      </c>
      <c r="I1594" t="str">
        <f t="shared" si="487"/>
        <v/>
      </c>
      <c r="J1594" t="str">
        <f t="shared" si="488"/>
        <v/>
      </c>
      <c r="K1594" t="str">
        <f t="shared" si="489"/>
        <v/>
      </c>
      <c r="L1594" t="str">
        <f t="shared" si="490"/>
        <v/>
      </c>
      <c r="M1594" t="str">
        <f t="shared" si="491"/>
        <v/>
      </c>
      <c r="N1594" t="str">
        <f t="shared" si="492"/>
        <v/>
      </c>
      <c r="O1594" t="str">
        <f t="shared" si="493"/>
        <v/>
      </c>
      <c r="P1594" t="str">
        <f t="shared" si="494"/>
        <v/>
      </c>
      <c r="Q1594" t="str">
        <f t="shared" si="495"/>
        <v/>
      </c>
      <c r="R1594" t="str">
        <f t="shared" si="496"/>
        <v/>
      </c>
      <c r="S1594" t="str">
        <f t="shared" si="497"/>
        <v/>
      </c>
      <c r="T1594" t="str">
        <f t="shared" si="498"/>
        <v/>
      </c>
      <c r="U1594" t="str">
        <f t="shared" si="499"/>
        <v/>
      </c>
      <c r="V1594" t="str">
        <f t="shared" si="500"/>
        <v/>
      </c>
      <c r="W1594" t="str">
        <f t="shared" si="483"/>
        <v xml:space="preserve">              </v>
      </c>
    </row>
    <row r="1595" spans="1:23" customFormat="1" hidden="1">
      <c r="A1595" t="b">
        <f t="shared" si="482"/>
        <v>0</v>
      </c>
      <c r="B1595">
        <f t="shared" si="484"/>
        <v>1594</v>
      </c>
      <c r="C1595" t="s">
        <v>1243</v>
      </c>
      <c r="D1595" t="s">
        <v>1563</v>
      </c>
      <c r="E1595">
        <f t="shared" si="501"/>
        <v>37</v>
      </c>
      <c r="G1595">
        <f t="shared" si="485"/>
        <v>3</v>
      </c>
      <c r="H1595" t="str">
        <f t="shared" si="486"/>
        <v/>
      </c>
      <c r="I1595" t="str">
        <f t="shared" si="487"/>
        <v/>
      </c>
      <c r="J1595" t="str">
        <f t="shared" si="488"/>
        <v/>
      </c>
      <c r="K1595" t="str">
        <f t="shared" si="489"/>
        <v/>
      </c>
      <c r="L1595" t="str">
        <f t="shared" si="490"/>
        <v/>
      </c>
      <c r="M1595" t="str">
        <f t="shared" si="491"/>
        <v/>
      </c>
      <c r="N1595" t="str">
        <f t="shared" si="492"/>
        <v/>
      </c>
      <c r="O1595" t="str">
        <f t="shared" si="493"/>
        <v/>
      </c>
      <c r="P1595" t="str">
        <f t="shared" si="494"/>
        <v/>
      </c>
      <c r="Q1595" t="str">
        <f t="shared" si="495"/>
        <v/>
      </c>
      <c r="R1595" t="str">
        <f t="shared" si="496"/>
        <v/>
      </c>
      <c r="S1595" t="str">
        <f t="shared" si="497"/>
        <v/>
      </c>
      <c r="T1595" t="str">
        <f t="shared" si="498"/>
        <v/>
      </c>
      <c r="U1595" t="str">
        <f t="shared" si="499"/>
        <v/>
      </c>
      <c r="V1595" t="str">
        <f t="shared" si="500"/>
        <v/>
      </c>
      <c r="W1595" t="str">
        <f t="shared" si="483"/>
        <v xml:space="preserve">              </v>
      </c>
    </row>
    <row r="1596" spans="1:23" customFormat="1" hidden="1">
      <c r="A1596" t="b">
        <f t="shared" si="482"/>
        <v>0</v>
      </c>
      <c r="B1596">
        <f t="shared" si="484"/>
        <v>1595</v>
      </c>
      <c r="C1596" t="s">
        <v>1243</v>
      </c>
      <c r="D1596" t="s">
        <v>1564</v>
      </c>
      <c r="E1596">
        <f t="shared" si="501"/>
        <v>40</v>
      </c>
      <c r="G1596">
        <f t="shared" si="485"/>
        <v>4</v>
      </c>
      <c r="H1596" t="str">
        <f t="shared" si="486"/>
        <v/>
      </c>
      <c r="I1596" t="str">
        <f t="shared" si="487"/>
        <v/>
      </c>
      <c r="J1596" t="str">
        <f t="shared" si="488"/>
        <v/>
      </c>
      <c r="K1596" t="str">
        <f t="shared" si="489"/>
        <v/>
      </c>
      <c r="L1596" t="str">
        <f t="shared" si="490"/>
        <v/>
      </c>
      <c r="M1596" t="str">
        <f t="shared" si="491"/>
        <v/>
      </c>
      <c r="N1596" t="str">
        <f t="shared" si="492"/>
        <v/>
      </c>
      <c r="O1596" t="str">
        <f t="shared" si="493"/>
        <v/>
      </c>
      <c r="P1596" t="str">
        <f t="shared" si="494"/>
        <v/>
      </c>
      <c r="Q1596" t="str">
        <f t="shared" si="495"/>
        <v/>
      </c>
      <c r="R1596" t="str">
        <f t="shared" si="496"/>
        <v/>
      </c>
      <c r="S1596" t="str">
        <f t="shared" si="497"/>
        <v/>
      </c>
      <c r="T1596" t="str">
        <f t="shared" si="498"/>
        <v/>
      </c>
      <c r="U1596" t="str">
        <f t="shared" si="499"/>
        <v/>
      </c>
      <c r="V1596" t="str">
        <f t="shared" si="500"/>
        <v/>
      </c>
      <c r="W1596" t="str">
        <f t="shared" si="483"/>
        <v xml:space="preserve">              </v>
      </c>
    </row>
    <row r="1597" spans="1:23" customFormat="1" hidden="1">
      <c r="A1597" t="b">
        <f t="shared" ref="A1597:A1659" si="502">C1597=D1597</f>
        <v>0</v>
      </c>
      <c r="B1597">
        <f t="shared" si="484"/>
        <v>1596</v>
      </c>
      <c r="C1597" t="s">
        <v>1243</v>
      </c>
      <c r="D1597" t="s">
        <v>1565</v>
      </c>
      <c r="E1597">
        <f t="shared" si="501"/>
        <v>8</v>
      </c>
      <c r="G1597">
        <f t="shared" si="485"/>
        <v>5</v>
      </c>
      <c r="H1597" t="str">
        <f t="shared" si="486"/>
        <v/>
      </c>
      <c r="I1597" t="str">
        <f t="shared" si="487"/>
        <v/>
      </c>
      <c r="J1597" t="str">
        <f t="shared" si="488"/>
        <v/>
      </c>
      <c r="K1597" t="str">
        <f t="shared" si="489"/>
        <v/>
      </c>
      <c r="L1597" t="str">
        <f t="shared" si="490"/>
        <v/>
      </c>
      <c r="M1597" t="str">
        <f t="shared" si="491"/>
        <v/>
      </c>
      <c r="N1597" t="str">
        <f t="shared" si="492"/>
        <v/>
      </c>
      <c r="O1597" t="str">
        <f t="shared" si="493"/>
        <v/>
      </c>
      <c r="P1597" t="str">
        <f t="shared" si="494"/>
        <v/>
      </c>
      <c r="Q1597" t="str">
        <f t="shared" si="495"/>
        <v/>
      </c>
      <c r="R1597" t="str">
        <f t="shared" si="496"/>
        <v/>
      </c>
      <c r="S1597" t="str">
        <f t="shared" si="497"/>
        <v/>
      </c>
      <c r="T1597" t="str">
        <f t="shared" si="498"/>
        <v/>
      </c>
      <c r="U1597" t="str">
        <f t="shared" si="499"/>
        <v/>
      </c>
      <c r="V1597" t="str">
        <f t="shared" si="500"/>
        <v/>
      </c>
      <c r="W1597" t="str">
        <f t="shared" ref="W1597:W1658" si="503">CONCATENATE(H1597," ",I1597," ",J1597," ",K1597," ",L1597," ",M1597," ",N1597," ",O1597," ",P1597," ",Q1597," ",R1597," ",S1597," ",T1597," ",U1597," ",V1597)</f>
        <v xml:space="preserve">              </v>
      </c>
    </row>
    <row r="1598" spans="1:23" hidden="1">
      <c r="A1598" s="71" t="b">
        <f t="shared" si="502"/>
        <v>0</v>
      </c>
      <c r="B1598" s="71">
        <f t="shared" si="484"/>
        <v>1597</v>
      </c>
      <c r="C1598" s="71" t="s">
        <v>1243</v>
      </c>
      <c r="D1598" s="71" t="s">
        <v>1566</v>
      </c>
      <c r="E1598">
        <f t="shared" si="501"/>
        <v>23</v>
      </c>
      <c r="F1598">
        <v>1</v>
      </c>
      <c r="G1598">
        <f t="shared" si="485"/>
        <v>1</v>
      </c>
      <c r="H1598" t="str">
        <f t="shared" si="486"/>
        <v>Request for Quote (RFQ)</v>
      </c>
      <c r="I1598" t="str">
        <f t="shared" si="487"/>
        <v>From buyer to seller. Requests the seller</v>
      </c>
      <c r="J1598" t="str">
        <f t="shared" si="488"/>
        <v>to provide a price for the procured</v>
      </c>
      <c r="K1598" t="str">
        <f t="shared" si="489"/>
        <v>product or service.</v>
      </c>
      <c r="L1598" t="str">
        <f t="shared" si="490"/>
        <v/>
      </c>
      <c r="M1598" t="str">
        <f t="shared" si="491"/>
        <v/>
      </c>
      <c r="N1598" t="str">
        <f t="shared" si="492"/>
        <v/>
      </c>
      <c r="O1598" t="str">
        <f t="shared" si="493"/>
        <v/>
      </c>
      <c r="P1598" t="str">
        <f t="shared" si="494"/>
        <v/>
      </c>
      <c r="Q1598" t="str">
        <f t="shared" si="495"/>
        <v/>
      </c>
      <c r="R1598" t="str">
        <f t="shared" si="496"/>
        <v/>
      </c>
      <c r="S1598" t="str">
        <f t="shared" si="497"/>
        <v/>
      </c>
      <c r="T1598" t="str">
        <f t="shared" si="498"/>
        <v/>
      </c>
      <c r="U1598" t="str">
        <f t="shared" si="499"/>
        <v/>
      </c>
      <c r="V1598" t="str">
        <f t="shared" si="500"/>
        <v/>
      </c>
      <c r="W1598" s="71" t="str">
        <f>CONCATENATE(H1598," ",I1598," ",J1598," ",K1598," ",L1598," ",M1598," ",N1598," ",O1598," ",P1598," ",Q1598," ",R1598," ",S1598," ",T1598," ",U1598," ",V1598)</f>
        <v xml:space="preserve">Request for Quote (RFQ) From buyer to seller. Requests the seller to provide a price for the procured product or service.           </v>
      </c>
    </row>
    <row r="1599" spans="1:23" customFormat="1" hidden="1">
      <c r="A1599" t="b">
        <f t="shared" si="502"/>
        <v>0</v>
      </c>
      <c r="B1599">
        <f t="shared" si="484"/>
        <v>1598</v>
      </c>
      <c r="C1599" t="s">
        <v>1243</v>
      </c>
      <c r="D1599" t="s">
        <v>1516</v>
      </c>
      <c r="E1599">
        <f t="shared" si="501"/>
        <v>41</v>
      </c>
      <c r="G1599">
        <f t="shared" si="485"/>
        <v>2</v>
      </c>
      <c r="H1599" t="str">
        <f t="shared" si="486"/>
        <v/>
      </c>
      <c r="I1599" t="str">
        <f t="shared" si="487"/>
        <v/>
      </c>
      <c r="J1599" t="str">
        <f t="shared" si="488"/>
        <v/>
      </c>
      <c r="K1599" t="str">
        <f t="shared" si="489"/>
        <v/>
      </c>
      <c r="L1599" t="str">
        <f t="shared" si="490"/>
        <v/>
      </c>
      <c r="M1599" t="str">
        <f t="shared" si="491"/>
        <v/>
      </c>
      <c r="N1599" t="str">
        <f t="shared" si="492"/>
        <v/>
      </c>
      <c r="O1599" t="str">
        <f t="shared" si="493"/>
        <v/>
      </c>
      <c r="P1599" t="str">
        <f t="shared" si="494"/>
        <v/>
      </c>
      <c r="Q1599" t="str">
        <f t="shared" si="495"/>
        <v/>
      </c>
      <c r="R1599" t="str">
        <f t="shared" si="496"/>
        <v/>
      </c>
      <c r="S1599" t="str">
        <f t="shared" si="497"/>
        <v/>
      </c>
      <c r="T1599" t="str">
        <f t="shared" si="498"/>
        <v/>
      </c>
      <c r="U1599" t="str">
        <f t="shared" si="499"/>
        <v/>
      </c>
      <c r="V1599" t="str">
        <f t="shared" si="500"/>
        <v/>
      </c>
      <c r="W1599" t="str">
        <f t="shared" si="503"/>
        <v xml:space="preserve">              </v>
      </c>
    </row>
    <row r="1600" spans="1:23" customFormat="1" hidden="1">
      <c r="A1600" t="b">
        <f t="shared" si="502"/>
        <v>0</v>
      </c>
      <c r="B1600">
        <f t="shared" si="484"/>
        <v>1599</v>
      </c>
      <c r="C1600" t="s">
        <v>1243</v>
      </c>
      <c r="D1600" t="s">
        <v>1517</v>
      </c>
      <c r="E1600">
        <f t="shared" si="501"/>
        <v>35</v>
      </c>
      <c r="G1600">
        <f t="shared" si="485"/>
        <v>3</v>
      </c>
      <c r="H1600" t="str">
        <f t="shared" si="486"/>
        <v/>
      </c>
      <c r="I1600" t="str">
        <f t="shared" si="487"/>
        <v/>
      </c>
      <c r="J1600" t="str">
        <f t="shared" si="488"/>
        <v/>
      </c>
      <c r="K1600" t="str">
        <f t="shared" si="489"/>
        <v/>
      </c>
      <c r="L1600" t="str">
        <f t="shared" si="490"/>
        <v/>
      </c>
      <c r="M1600" t="str">
        <f t="shared" si="491"/>
        <v/>
      </c>
      <c r="N1600" t="str">
        <f t="shared" si="492"/>
        <v/>
      </c>
      <c r="O1600" t="str">
        <f t="shared" si="493"/>
        <v/>
      </c>
      <c r="P1600" t="str">
        <f t="shared" si="494"/>
        <v/>
      </c>
      <c r="Q1600" t="str">
        <f t="shared" si="495"/>
        <v/>
      </c>
      <c r="R1600" t="str">
        <f t="shared" si="496"/>
        <v/>
      </c>
      <c r="S1600" t="str">
        <f t="shared" si="497"/>
        <v/>
      </c>
      <c r="T1600" t="str">
        <f t="shared" si="498"/>
        <v/>
      </c>
      <c r="U1600" t="str">
        <f t="shared" si="499"/>
        <v/>
      </c>
      <c r="V1600" t="str">
        <f t="shared" si="500"/>
        <v/>
      </c>
      <c r="W1600" t="str">
        <f t="shared" si="503"/>
        <v xml:space="preserve">              </v>
      </c>
    </row>
    <row r="1601" spans="1:23" customFormat="1" hidden="1">
      <c r="A1601" t="b">
        <f t="shared" si="502"/>
        <v>0</v>
      </c>
      <c r="B1601">
        <f t="shared" si="484"/>
        <v>1600</v>
      </c>
      <c r="C1601" t="s">
        <v>1243</v>
      </c>
      <c r="D1601" t="s">
        <v>1518</v>
      </c>
      <c r="E1601">
        <f t="shared" si="501"/>
        <v>19</v>
      </c>
      <c r="G1601">
        <f t="shared" si="485"/>
        <v>4</v>
      </c>
      <c r="H1601" t="str">
        <f t="shared" si="486"/>
        <v/>
      </c>
      <c r="I1601" t="str">
        <f t="shared" si="487"/>
        <v/>
      </c>
      <c r="J1601" t="str">
        <f t="shared" si="488"/>
        <v/>
      </c>
      <c r="K1601" t="str">
        <f t="shared" si="489"/>
        <v/>
      </c>
      <c r="L1601" t="str">
        <f t="shared" si="490"/>
        <v/>
      </c>
      <c r="M1601" t="str">
        <f t="shared" si="491"/>
        <v/>
      </c>
      <c r="N1601" t="str">
        <f t="shared" si="492"/>
        <v/>
      </c>
      <c r="O1601" t="str">
        <f t="shared" si="493"/>
        <v/>
      </c>
      <c r="P1601" t="str">
        <f t="shared" si="494"/>
        <v/>
      </c>
      <c r="Q1601" t="str">
        <f t="shared" si="495"/>
        <v/>
      </c>
      <c r="R1601" t="str">
        <f t="shared" si="496"/>
        <v/>
      </c>
      <c r="S1601" t="str">
        <f t="shared" si="497"/>
        <v/>
      </c>
      <c r="T1601" t="str">
        <f t="shared" si="498"/>
        <v/>
      </c>
      <c r="U1601" t="str">
        <f t="shared" si="499"/>
        <v/>
      </c>
      <c r="V1601" t="str">
        <f t="shared" si="500"/>
        <v/>
      </c>
      <c r="W1601" t="str">
        <f t="shared" si="503"/>
        <v xml:space="preserve">              </v>
      </c>
    </row>
    <row r="1602" spans="1:23" hidden="1">
      <c r="A1602" s="71" t="b">
        <f t="shared" si="502"/>
        <v>0</v>
      </c>
      <c r="B1602" s="71">
        <f t="shared" si="484"/>
        <v>1601</v>
      </c>
      <c r="C1602" s="71" t="s">
        <v>1243</v>
      </c>
      <c r="D1602" s="71" t="s">
        <v>1567</v>
      </c>
      <c r="E1602">
        <f t="shared" si="501"/>
        <v>35</v>
      </c>
      <c r="F1602">
        <v>1</v>
      </c>
      <c r="G1602">
        <f t="shared" si="485"/>
        <v>1</v>
      </c>
      <c r="H1602" t="str">
        <f t="shared" si="486"/>
        <v>Risk-related contractual agreements</v>
      </c>
      <c r="I1602" t="str">
        <f t="shared" si="487"/>
        <v>When the project management team</v>
      </c>
      <c r="J1602" t="str">
        <f t="shared" si="488"/>
        <v>decides to use transference to respond to</v>
      </c>
      <c r="K1602" t="str">
        <f t="shared" si="489"/>
        <v>a risk, a risk-related contractual</v>
      </c>
      <c r="L1602" t="str">
        <f t="shared" si="490"/>
        <v>agreement is created between the buyer</v>
      </c>
      <c r="M1602" t="str">
        <f t="shared" si="491"/>
        <v>and the seller.</v>
      </c>
      <c r="N1602" t="str">
        <f t="shared" si="492"/>
        <v/>
      </c>
      <c r="O1602" t="str">
        <f t="shared" si="493"/>
        <v/>
      </c>
      <c r="P1602" t="str">
        <f t="shared" si="494"/>
        <v/>
      </c>
      <c r="Q1602" t="str">
        <f t="shared" si="495"/>
        <v/>
      </c>
      <c r="R1602" t="str">
        <f t="shared" si="496"/>
        <v/>
      </c>
      <c r="S1602" t="str">
        <f t="shared" si="497"/>
        <v/>
      </c>
      <c r="T1602" t="str">
        <f t="shared" si="498"/>
        <v/>
      </c>
      <c r="U1602" t="str">
        <f t="shared" si="499"/>
        <v/>
      </c>
      <c r="V1602" t="str">
        <f t="shared" si="500"/>
        <v/>
      </c>
      <c r="W1602" s="71" t="str">
        <f>CONCATENATE(H1602," ",I1602," ",J1602," ",K1602," ",L1602," ",M1602," ",N1602," ",O1602," ",P1602," ",Q1602," ",R1602," ",S1602," ",T1602," ",U1602," ",V1602)</f>
        <v xml:space="preserve">Risk-related contractual agreements When the project management team decides to use transference to respond to a risk, a risk-related contractual agreement is created between the buyer and the seller.         </v>
      </c>
    </row>
    <row r="1603" spans="1:23" customFormat="1" hidden="1">
      <c r="A1603" t="b">
        <f t="shared" si="502"/>
        <v>0</v>
      </c>
      <c r="B1603">
        <f t="shared" si="484"/>
        <v>1602</v>
      </c>
      <c r="C1603" t="s">
        <v>1243</v>
      </c>
      <c r="D1603" t="s">
        <v>1568</v>
      </c>
      <c r="E1603">
        <f t="shared" si="501"/>
        <v>32</v>
      </c>
      <c r="G1603">
        <f t="shared" si="485"/>
        <v>2</v>
      </c>
      <c r="H1603" t="str">
        <f t="shared" si="486"/>
        <v/>
      </c>
      <c r="I1603" t="str">
        <f t="shared" si="487"/>
        <v/>
      </c>
      <c r="J1603" t="str">
        <f t="shared" si="488"/>
        <v/>
      </c>
      <c r="K1603" t="str">
        <f t="shared" si="489"/>
        <v/>
      </c>
      <c r="L1603" t="str">
        <f t="shared" si="490"/>
        <v/>
      </c>
      <c r="M1603" t="str">
        <f t="shared" si="491"/>
        <v/>
      </c>
      <c r="N1603" t="str">
        <f t="shared" si="492"/>
        <v/>
      </c>
      <c r="O1603" t="str">
        <f t="shared" si="493"/>
        <v/>
      </c>
      <c r="P1603" t="str">
        <f t="shared" si="494"/>
        <v/>
      </c>
      <c r="Q1603" t="str">
        <f t="shared" si="495"/>
        <v/>
      </c>
      <c r="R1603" t="str">
        <f t="shared" si="496"/>
        <v/>
      </c>
      <c r="S1603" t="str">
        <f t="shared" si="497"/>
        <v/>
      </c>
      <c r="T1603" t="str">
        <f t="shared" si="498"/>
        <v/>
      </c>
      <c r="U1603" t="str">
        <f t="shared" si="499"/>
        <v/>
      </c>
      <c r="V1603" t="str">
        <f t="shared" si="500"/>
        <v/>
      </c>
      <c r="W1603" t="str">
        <f t="shared" si="503"/>
        <v xml:space="preserve">              </v>
      </c>
    </row>
    <row r="1604" spans="1:23" customFormat="1" hidden="1">
      <c r="A1604" t="b">
        <f t="shared" si="502"/>
        <v>0</v>
      </c>
      <c r="B1604">
        <f t="shared" ref="B1604:B1667" si="504">B1603+1</f>
        <v>1603</v>
      </c>
      <c r="C1604" t="s">
        <v>1243</v>
      </c>
      <c r="D1604" t="s">
        <v>1569</v>
      </c>
      <c r="E1604">
        <f t="shared" si="501"/>
        <v>41</v>
      </c>
      <c r="G1604">
        <f t="shared" ref="G1604:G1667" si="505">IF(F1604=1,1,G1603+1)</f>
        <v>3</v>
      </c>
      <c r="H1604" t="str">
        <f t="shared" ref="H1604:H1667" si="506">IF($G1604=H$1,$D1604,"")</f>
        <v/>
      </c>
      <c r="I1604" t="str">
        <f t="shared" ref="I1604:I1667" si="507">IF($G1605=I$1,$D1605,"")</f>
        <v/>
      </c>
      <c r="J1604" t="str">
        <f t="shared" ref="J1604:J1667" si="508">IF($G1606=J$1,$D1606,"")</f>
        <v/>
      </c>
      <c r="K1604" t="str">
        <f t="shared" ref="K1604:K1667" si="509">IF($G1607=K$1,$D1607,"")</f>
        <v/>
      </c>
      <c r="L1604" t="str">
        <f t="shared" ref="L1604:L1667" si="510">IF($G1608=L$1,$D1608,"")</f>
        <v/>
      </c>
      <c r="M1604" t="str">
        <f t="shared" ref="M1604:M1667" si="511">IF($G1609=M$1,$D1609,"")</f>
        <v/>
      </c>
      <c r="N1604" t="str">
        <f t="shared" ref="N1604:N1667" si="512">IF($G1610=N$1,$D1610,"")</f>
        <v/>
      </c>
      <c r="O1604" t="str">
        <f t="shared" ref="O1604:O1667" si="513">IF($G1611=O$1,$D1611,"")</f>
        <v/>
      </c>
      <c r="P1604" t="str">
        <f t="shared" ref="P1604:P1667" si="514">IF($G1612=P$1,$D1612,"")</f>
        <v/>
      </c>
      <c r="Q1604" t="str">
        <f t="shared" ref="Q1604:Q1667" si="515">IF($G1613=Q$1,$D1613,"")</f>
        <v/>
      </c>
      <c r="R1604" t="str">
        <f t="shared" ref="R1604:R1667" si="516">IF($G1614=R$1,$D1614,"")</f>
        <v/>
      </c>
      <c r="S1604" t="str">
        <f t="shared" ref="S1604:S1667" si="517">IF($G1615=S$1,$D1615,"")</f>
        <v/>
      </c>
      <c r="T1604" t="str">
        <f t="shared" ref="T1604:T1667" si="518">IF($G1616=T$1,$D1616,"")</f>
        <v/>
      </c>
      <c r="U1604" t="str">
        <f t="shared" ref="U1604:U1667" si="519">IF($G1617=U$1,$D1617,"")</f>
        <v/>
      </c>
      <c r="V1604" t="str">
        <f t="shared" ref="V1604:V1667" si="520">IF($G1618=V$1,$D1618,"")</f>
        <v/>
      </c>
      <c r="W1604" t="str">
        <f t="shared" si="503"/>
        <v xml:space="preserve">              </v>
      </c>
    </row>
    <row r="1605" spans="1:23" customFormat="1" hidden="1">
      <c r="A1605" t="b">
        <f t="shared" si="502"/>
        <v>0</v>
      </c>
      <c r="B1605">
        <f t="shared" si="504"/>
        <v>1604</v>
      </c>
      <c r="C1605" t="s">
        <v>1243</v>
      </c>
      <c r="D1605" t="s">
        <v>1570</v>
      </c>
      <c r="E1605">
        <f t="shared" si="501"/>
        <v>34</v>
      </c>
      <c r="G1605">
        <f t="shared" si="505"/>
        <v>4</v>
      </c>
      <c r="H1605" t="str">
        <f t="shared" si="506"/>
        <v/>
      </c>
      <c r="I1605" t="str">
        <f t="shared" si="507"/>
        <v/>
      </c>
      <c r="J1605" t="str">
        <f t="shared" si="508"/>
        <v/>
      </c>
      <c r="K1605" t="str">
        <f t="shared" si="509"/>
        <v/>
      </c>
      <c r="L1605" t="str">
        <f t="shared" si="510"/>
        <v/>
      </c>
      <c r="M1605" t="str">
        <f t="shared" si="511"/>
        <v/>
      </c>
      <c r="N1605" t="str">
        <f t="shared" si="512"/>
        <v/>
      </c>
      <c r="O1605" t="str">
        <f t="shared" si="513"/>
        <v/>
      </c>
      <c r="P1605" t="str">
        <f t="shared" si="514"/>
        <v/>
      </c>
      <c r="Q1605" t="str">
        <f t="shared" si="515"/>
        <v/>
      </c>
      <c r="R1605" t="str">
        <f t="shared" si="516"/>
        <v/>
      </c>
      <c r="S1605" t="str">
        <f t="shared" si="517"/>
        <v/>
      </c>
      <c r="T1605" t="str">
        <f t="shared" si="518"/>
        <v/>
      </c>
      <c r="U1605" t="str">
        <f t="shared" si="519"/>
        <v/>
      </c>
      <c r="V1605" t="str">
        <f t="shared" si="520"/>
        <v/>
      </c>
      <c r="W1605" t="str">
        <f t="shared" si="503"/>
        <v xml:space="preserve">              </v>
      </c>
    </row>
    <row r="1606" spans="1:23" customFormat="1" hidden="1">
      <c r="A1606" t="b">
        <f t="shared" si="502"/>
        <v>0</v>
      </c>
      <c r="B1606">
        <f t="shared" si="504"/>
        <v>1605</v>
      </c>
      <c r="C1606" t="s">
        <v>1243</v>
      </c>
      <c r="D1606" t="s">
        <v>1571</v>
      </c>
      <c r="E1606">
        <f t="shared" si="501"/>
        <v>38</v>
      </c>
      <c r="G1606">
        <f t="shared" si="505"/>
        <v>5</v>
      </c>
      <c r="H1606" t="str">
        <f t="shared" si="506"/>
        <v/>
      </c>
      <c r="I1606" t="str">
        <f t="shared" si="507"/>
        <v/>
      </c>
      <c r="J1606" t="str">
        <f t="shared" si="508"/>
        <v/>
      </c>
      <c r="K1606" t="str">
        <f t="shared" si="509"/>
        <v/>
      </c>
      <c r="L1606" t="str">
        <f t="shared" si="510"/>
        <v/>
      </c>
      <c r="M1606" t="str">
        <f t="shared" si="511"/>
        <v/>
      </c>
      <c r="N1606" t="str">
        <f t="shared" si="512"/>
        <v/>
      </c>
      <c r="O1606" t="str">
        <f t="shared" si="513"/>
        <v/>
      </c>
      <c r="P1606" t="str">
        <f t="shared" si="514"/>
        <v/>
      </c>
      <c r="Q1606" t="str">
        <f t="shared" si="515"/>
        <v/>
      </c>
      <c r="R1606" t="str">
        <f t="shared" si="516"/>
        <v/>
      </c>
      <c r="S1606" t="str">
        <f t="shared" si="517"/>
        <v/>
      </c>
      <c r="T1606" t="str">
        <f t="shared" si="518"/>
        <v/>
      </c>
      <c r="U1606" t="str">
        <f t="shared" si="519"/>
        <v/>
      </c>
      <c r="V1606" t="str">
        <f t="shared" si="520"/>
        <v/>
      </c>
      <c r="W1606" t="str">
        <f t="shared" si="503"/>
        <v xml:space="preserve">              </v>
      </c>
    </row>
    <row r="1607" spans="1:23" customFormat="1" hidden="1">
      <c r="A1607" t="b">
        <f t="shared" si="502"/>
        <v>0</v>
      </c>
      <c r="B1607">
        <f t="shared" si="504"/>
        <v>1606</v>
      </c>
      <c r="C1607" t="s">
        <v>1243</v>
      </c>
      <c r="D1607" t="s">
        <v>1572</v>
      </c>
      <c r="E1607">
        <f t="shared" si="501"/>
        <v>15</v>
      </c>
      <c r="G1607">
        <f t="shared" si="505"/>
        <v>6</v>
      </c>
      <c r="H1607" t="str">
        <f t="shared" si="506"/>
        <v/>
      </c>
      <c r="I1607" t="str">
        <f t="shared" si="507"/>
        <v/>
      </c>
      <c r="J1607" t="str">
        <f t="shared" si="508"/>
        <v/>
      </c>
      <c r="K1607" t="str">
        <f t="shared" si="509"/>
        <v/>
      </c>
      <c r="L1607" t="str">
        <f t="shared" si="510"/>
        <v/>
      </c>
      <c r="M1607" t="str">
        <f t="shared" si="511"/>
        <v/>
      </c>
      <c r="N1607" t="str">
        <f t="shared" si="512"/>
        <v/>
      </c>
      <c r="O1607" t="str">
        <f t="shared" si="513"/>
        <v/>
      </c>
      <c r="P1607" t="str">
        <f t="shared" si="514"/>
        <v/>
      </c>
      <c r="Q1607" t="str">
        <f t="shared" si="515"/>
        <v/>
      </c>
      <c r="R1607" t="str">
        <f t="shared" si="516"/>
        <v/>
      </c>
      <c r="S1607" t="str">
        <f t="shared" si="517"/>
        <v/>
      </c>
      <c r="T1607" t="str">
        <f t="shared" si="518"/>
        <v/>
      </c>
      <c r="U1607" t="str">
        <f t="shared" si="519"/>
        <v/>
      </c>
      <c r="V1607" t="str">
        <f t="shared" si="520"/>
        <v/>
      </c>
      <c r="W1607" t="str">
        <f t="shared" si="503"/>
        <v xml:space="preserve">              </v>
      </c>
    </row>
    <row r="1608" spans="1:23" hidden="1">
      <c r="A1608" s="71" t="b">
        <f t="shared" si="502"/>
        <v>0</v>
      </c>
      <c r="B1608" s="71">
        <f t="shared" si="504"/>
        <v>1607</v>
      </c>
      <c r="C1608" s="71" t="s">
        <v>1243</v>
      </c>
      <c r="D1608" s="71" t="s">
        <v>1573</v>
      </c>
      <c r="E1608">
        <f t="shared" si="501"/>
        <v>16</v>
      </c>
      <c r="F1608">
        <v>1</v>
      </c>
      <c r="G1608">
        <f t="shared" si="505"/>
        <v>1</v>
      </c>
      <c r="H1608" t="str">
        <f t="shared" si="506"/>
        <v>Screening system</v>
      </c>
      <c r="I1608" t="str">
        <f t="shared" si="507"/>
        <v>A tool that filters or screens out vendors</v>
      </c>
      <c r="J1608" t="str">
        <f t="shared" si="508"/>
        <v>that don’t qualify for the contract.</v>
      </c>
      <c r="K1608" t="str">
        <f t="shared" si="509"/>
        <v/>
      </c>
      <c r="L1608" t="str">
        <f t="shared" si="510"/>
        <v/>
      </c>
      <c r="M1608" t="str">
        <f t="shared" si="511"/>
        <v/>
      </c>
      <c r="N1608" t="str">
        <f t="shared" si="512"/>
        <v/>
      </c>
      <c r="O1608" t="str">
        <f t="shared" si="513"/>
        <v/>
      </c>
      <c r="P1608" t="str">
        <f t="shared" si="514"/>
        <v/>
      </c>
      <c r="Q1608" t="str">
        <f t="shared" si="515"/>
        <v/>
      </c>
      <c r="R1608" t="str">
        <f t="shared" si="516"/>
        <v/>
      </c>
      <c r="S1608" t="str">
        <f t="shared" si="517"/>
        <v/>
      </c>
      <c r="T1608" t="str">
        <f t="shared" si="518"/>
        <v/>
      </c>
      <c r="U1608" t="str">
        <f t="shared" si="519"/>
        <v/>
      </c>
      <c r="V1608" t="str">
        <f t="shared" si="520"/>
        <v/>
      </c>
      <c r="W1608" s="71" t="str">
        <f>CONCATENATE(H1608," ",I1608," ",J1608," ",K1608," ",L1608," ",M1608," ",N1608," ",O1608," ",P1608," ",Q1608," ",R1608," ",S1608," ",T1608," ",U1608," ",V1608)</f>
        <v xml:space="preserve">Screening system A tool that filters or screens out vendors that don’t qualify for the contract.            </v>
      </c>
    </row>
    <row r="1609" spans="1:23" customFormat="1" hidden="1">
      <c r="A1609" t="b">
        <f t="shared" si="502"/>
        <v>0</v>
      </c>
      <c r="B1609">
        <f t="shared" si="504"/>
        <v>1608</v>
      </c>
      <c r="C1609" t="s">
        <v>1243</v>
      </c>
      <c r="D1609" t="s">
        <v>1574</v>
      </c>
      <c r="E1609">
        <f t="shared" si="501"/>
        <v>42</v>
      </c>
      <c r="G1609">
        <f t="shared" si="505"/>
        <v>2</v>
      </c>
      <c r="H1609" t="str">
        <f t="shared" si="506"/>
        <v/>
      </c>
      <c r="I1609" t="str">
        <f t="shared" si="507"/>
        <v/>
      </c>
      <c r="J1609" t="str">
        <f t="shared" si="508"/>
        <v/>
      </c>
      <c r="K1609" t="str">
        <f t="shared" si="509"/>
        <v/>
      </c>
      <c r="L1609" t="str">
        <f t="shared" si="510"/>
        <v/>
      </c>
      <c r="M1609" t="str">
        <f t="shared" si="511"/>
        <v/>
      </c>
      <c r="N1609" t="str">
        <f t="shared" si="512"/>
        <v/>
      </c>
      <c r="O1609" t="str">
        <f t="shared" si="513"/>
        <v/>
      </c>
      <c r="P1609" t="str">
        <f t="shared" si="514"/>
        <v/>
      </c>
      <c r="Q1609" t="str">
        <f t="shared" si="515"/>
        <v/>
      </c>
      <c r="R1609" t="str">
        <f t="shared" si="516"/>
        <v/>
      </c>
      <c r="S1609" t="str">
        <f t="shared" si="517"/>
        <v/>
      </c>
      <c r="T1609" t="str">
        <f t="shared" si="518"/>
        <v/>
      </c>
      <c r="U1609" t="str">
        <f t="shared" si="519"/>
        <v/>
      </c>
      <c r="V1609" t="str">
        <f t="shared" si="520"/>
        <v/>
      </c>
      <c r="W1609" t="str">
        <f t="shared" si="503"/>
        <v xml:space="preserve">              </v>
      </c>
    </row>
    <row r="1610" spans="1:23" customFormat="1" hidden="1">
      <c r="A1610" t="b">
        <f t="shared" si="502"/>
        <v>0</v>
      </c>
      <c r="B1610">
        <f t="shared" si="504"/>
        <v>1609</v>
      </c>
      <c r="C1610" t="s">
        <v>1243</v>
      </c>
      <c r="D1610" t="s">
        <v>1575</v>
      </c>
      <c r="E1610">
        <f t="shared" si="501"/>
        <v>36</v>
      </c>
      <c r="G1610">
        <f t="shared" si="505"/>
        <v>3</v>
      </c>
      <c r="H1610" t="str">
        <f t="shared" si="506"/>
        <v/>
      </c>
      <c r="I1610" t="str">
        <f t="shared" si="507"/>
        <v/>
      </c>
      <c r="J1610" t="str">
        <f t="shared" si="508"/>
        <v/>
      </c>
      <c r="K1610" t="str">
        <f t="shared" si="509"/>
        <v/>
      </c>
      <c r="L1610" t="str">
        <f t="shared" si="510"/>
        <v/>
      </c>
      <c r="M1610" t="str">
        <f t="shared" si="511"/>
        <v/>
      </c>
      <c r="N1610" t="str">
        <f t="shared" si="512"/>
        <v/>
      </c>
      <c r="O1610" t="str">
        <f t="shared" si="513"/>
        <v/>
      </c>
      <c r="P1610" t="str">
        <f t="shared" si="514"/>
        <v/>
      </c>
      <c r="Q1610" t="str">
        <f t="shared" si="515"/>
        <v/>
      </c>
      <c r="R1610" t="str">
        <f t="shared" si="516"/>
        <v/>
      </c>
      <c r="S1610" t="str">
        <f t="shared" si="517"/>
        <v/>
      </c>
      <c r="T1610" t="str">
        <f t="shared" si="518"/>
        <v/>
      </c>
      <c r="U1610" t="str">
        <f t="shared" si="519"/>
        <v/>
      </c>
      <c r="V1610" t="str">
        <f t="shared" si="520"/>
        <v/>
      </c>
      <c r="W1610" t="str">
        <f t="shared" si="503"/>
        <v xml:space="preserve">              </v>
      </c>
    </row>
    <row r="1611" spans="1:23" hidden="1">
      <c r="A1611" s="71" t="b">
        <f t="shared" si="502"/>
        <v>0</v>
      </c>
      <c r="B1611" s="71">
        <f t="shared" si="504"/>
        <v>1610</v>
      </c>
      <c r="C1611" s="71" t="s">
        <v>1243</v>
      </c>
      <c r="D1611" s="71" t="s">
        <v>1576</v>
      </c>
      <c r="E1611">
        <f t="shared" si="501"/>
        <v>21</v>
      </c>
      <c r="F1611">
        <v>1</v>
      </c>
      <c r="G1611">
        <f t="shared" si="505"/>
        <v>1</v>
      </c>
      <c r="H1611" t="str">
        <f t="shared" si="506"/>
        <v>Seller rating systems</v>
      </c>
      <c r="I1611" t="str">
        <f t="shared" si="507"/>
        <v>These are used by organizations to rate</v>
      </c>
      <c r="J1611" t="str">
        <f t="shared" si="508"/>
        <v>prior experience with each vendor that</v>
      </c>
      <c r="K1611" t="str">
        <f t="shared" si="509"/>
        <v>they have worked with in the past. The</v>
      </c>
      <c r="L1611" t="str">
        <f t="shared" si="510"/>
        <v>seller rating system can track</v>
      </c>
      <c r="M1611" t="str">
        <f t="shared" si="511"/>
        <v>performance, quality ratings, delivery,</v>
      </c>
      <c r="N1611" t="str">
        <f t="shared" si="512"/>
        <v>and even contract compliance.</v>
      </c>
      <c r="O1611" t="str">
        <f t="shared" si="513"/>
        <v/>
      </c>
      <c r="P1611" t="str">
        <f t="shared" si="514"/>
        <v/>
      </c>
      <c r="Q1611" t="str">
        <f t="shared" si="515"/>
        <v/>
      </c>
      <c r="R1611" t="str">
        <f t="shared" si="516"/>
        <v/>
      </c>
      <c r="S1611" t="str">
        <f t="shared" si="517"/>
        <v/>
      </c>
      <c r="T1611" t="str">
        <f t="shared" si="518"/>
        <v/>
      </c>
      <c r="U1611" t="str">
        <f t="shared" si="519"/>
        <v/>
      </c>
      <c r="V1611" t="str">
        <f t="shared" si="520"/>
        <v/>
      </c>
      <c r="W1611" s="71" t="str">
        <f>CONCATENATE(H1611," ",I1611," ",J1611," ",K1611," ",L1611," ",M1611," ",N1611," ",O1611," ",P1611," ",Q1611," ",R1611," ",S1611," ",T1611," ",U1611," ",V1611)</f>
        <v xml:space="preserve">Seller rating systems These are used by organizations to rate prior experience with each vendor that they have worked with in the past. The seller rating system can track performance, quality ratings, delivery, and even contract compliance.        </v>
      </c>
    </row>
    <row r="1612" spans="1:23" customFormat="1" hidden="1">
      <c r="A1612" t="b">
        <f t="shared" si="502"/>
        <v>0</v>
      </c>
      <c r="B1612">
        <f t="shared" si="504"/>
        <v>1611</v>
      </c>
      <c r="C1612" t="s">
        <v>1243</v>
      </c>
      <c r="D1612" t="s">
        <v>1577</v>
      </c>
      <c r="E1612">
        <f t="shared" si="501"/>
        <v>39</v>
      </c>
      <c r="G1612">
        <f t="shared" si="505"/>
        <v>2</v>
      </c>
      <c r="H1612" t="str">
        <f t="shared" si="506"/>
        <v/>
      </c>
      <c r="I1612" t="str">
        <f t="shared" si="507"/>
        <v/>
      </c>
      <c r="J1612" t="str">
        <f t="shared" si="508"/>
        <v/>
      </c>
      <c r="K1612" t="str">
        <f t="shared" si="509"/>
        <v/>
      </c>
      <c r="L1612" t="str">
        <f t="shared" si="510"/>
        <v/>
      </c>
      <c r="M1612" t="str">
        <f t="shared" si="511"/>
        <v/>
      </c>
      <c r="N1612" t="str">
        <f t="shared" si="512"/>
        <v/>
      </c>
      <c r="O1612" t="str">
        <f t="shared" si="513"/>
        <v/>
      </c>
      <c r="P1612" t="str">
        <f t="shared" si="514"/>
        <v/>
      </c>
      <c r="Q1612" t="str">
        <f t="shared" si="515"/>
        <v/>
      </c>
      <c r="R1612" t="str">
        <f t="shared" si="516"/>
        <v/>
      </c>
      <c r="S1612" t="str">
        <f t="shared" si="517"/>
        <v/>
      </c>
      <c r="T1612" t="str">
        <f t="shared" si="518"/>
        <v/>
      </c>
      <c r="U1612" t="str">
        <f t="shared" si="519"/>
        <v/>
      </c>
      <c r="V1612" t="str">
        <f t="shared" si="520"/>
        <v/>
      </c>
      <c r="W1612" t="str">
        <f t="shared" si="503"/>
        <v xml:space="preserve">              </v>
      </c>
    </row>
    <row r="1613" spans="1:23" customFormat="1" hidden="1">
      <c r="A1613" t="b">
        <f t="shared" si="502"/>
        <v>0</v>
      </c>
      <c r="B1613">
        <f t="shared" si="504"/>
        <v>1612</v>
      </c>
      <c r="C1613" t="s">
        <v>1243</v>
      </c>
      <c r="D1613" t="s">
        <v>1578</v>
      </c>
      <c r="E1613">
        <f t="shared" si="501"/>
        <v>38</v>
      </c>
      <c r="G1613">
        <f t="shared" si="505"/>
        <v>3</v>
      </c>
      <c r="H1613" t="str">
        <f t="shared" si="506"/>
        <v/>
      </c>
      <c r="I1613" t="str">
        <f t="shared" si="507"/>
        <v/>
      </c>
      <c r="J1613" t="str">
        <f t="shared" si="508"/>
        <v/>
      </c>
      <c r="K1613" t="str">
        <f t="shared" si="509"/>
        <v/>
      </c>
      <c r="L1613" t="str">
        <f t="shared" si="510"/>
        <v/>
      </c>
      <c r="M1613" t="str">
        <f t="shared" si="511"/>
        <v/>
      </c>
      <c r="N1613" t="str">
        <f t="shared" si="512"/>
        <v/>
      </c>
      <c r="O1613" t="str">
        <f t="shared" si="513"/>
        <v/>
      </c>
      <c r="P1613" t="str">
        <f t="shared" si="514"/>
        <v/>
      </c>
      <c r="Q1613" t="str">
        <f t="shared" si="515"/>
        <v/>
      </c>
      <c r="R1613" t="str">
        <f t="shared" si="516"/>
        <v/>
      </c>
      <c r="S1613" t="str">
        <f t="shared" si="517"/>
        <v/>
      </c>
      <c r="T1613" t="str">
        <f t="shared" si="518"/>
        <v/>
      </c>
      <c r="U1613" t="str">
        <f t="shared" si="519"/>
        <v/>
      </c>
      <c r="V1613" t="str">
        <f t="shared" si="520"/>
        <v/>
      </c>
      <c r="W1613" t="str">
        <f t="shared" si="503"/>
        <v xml:space="preserve">              </v>
      </c>
    </row>
    <row r="1614" spans="1:23" customFormat="1" hidden="1">
      <c r="A1614" t="b">
        <f t="shared" si="502"/>
        <v>0</v>
      </c>
      <c r="B1614">
        <f t="shared" si="504"/>
        <v>1613</v>
      </c>
      <c r="C1614" t="s">
        <v>1243</v>
      </c>
      <c r="D1614" t="s">
        <v>1579</v>
      </c>
      <c r="E1614">
        <f t="shared" si="501"/>
        <v>38</v>
      </c>
      <c r="G1614">
        <f t="shared" si="505"/>
        <v>4</v>
      </c>
      <c r="H1614" t="str">
        <f t="shared" si="506"/>
        <v/>
      </c>
      <c r="I1614" t="str">
        <f t="shared" si="507"/>
        <v/>
      </c>
      <c r="J1614" t="str">
        <f t="shared" si="508"/>
        <v/>
      </c>
      <c r="K1614" t="str">
        <f t="shared" si="509"/>
        <v/>
      </c>
      <c r="L1614" t="str">
        <f t="shared" si="510"/>
        <v/>
      </c>
      <c r="M1614" t="str">
        <f t="shared" si="511"/>
        <v/>
      </c>
      <c r="N1614" t="str">
        <f t="shared" si="512"/>
        <v/>
      </c>
      <c r="O1614" t="str">
        <f t="shared" si="513"/>
        <v/>
      </c>
      <c r="P1614" t="str">
        <f t="shared" si="514"/>
        <v/>
      </c>
      <c r="Q1614" t="str">
        <f t="shared" si="515"/>
        <v/>
      </c>
      <c r="R1614" t="str">
        <f t="shared" si="516"/>
        <v/>
      </c>
      <c r="S1614" t="str">
        <f t="shared" si="517"/>
        <v/>
      </c>
      <c r="T1614" t="str">
        <f t="shared" si="518"/>
        <v/>
      </c>
      <c r="U1614" t="str">
        <f t="shared" si="519"/>
        <v/>
      </c>
      <c r="V1614" t="str">
        <f t="shared" si="520"/>
        <v/>
      </c>
      <c r="W1614" t="str">
        <f t="shared" si="503"/>
        <v xml:space="preserve">              </v>
      </c>
    </row>
    <row r="1615" spans="1:23" customFormat="1" hidden="1">
      <c r="A1615" t="b">
        <f t="shared" si="502"/>
        <v>0</v>
      </c>
      <c r="B1615">
        <f t="shared" si="504"/>
        <v>1614</v>
      </c>
      <c r="C1615" t="s">
        <v>1243</v>
      </c>
      <c r="D1615" t="s">
        <v>1580</v>
      </c>
      <c r="E1615">
        <f t="shared" si="501"/>
        <v>30</v>
      </c>
      <c r="G1615">
        <f t="shared" si="505"/>
        <v>5</v>
      </c>
      <c r="H1615" t="str">
        <f t="shared" si="506"/>
        <v/>
      </c>
      <c r="I1615" t="str">
        <f t="shared" si="507"/>
        <v/>
      </c>
      <c r="J1615" t="str">
        <f t="shared" si="508"/>
        <v/>
      </c>
      <c r="K1615" t="str">
        <f t="shared" si="509"/>
        <v/>
      </c>
      <c r="L1615" t="str">
        <f t="shared" si="510"/>
        <v/>
      </c>
      <c r="M1615" t="str">
        <f t="shared" si="511"/>
        <v/>
      </c>
      <c r="N1615" t="str">
        <f t="shared" si="512"/>
        <v/>
      </c>
      <c r="O1615" t="str">
        <f t="shared" si="513"/>
        <v/>
      </c>
      <c r="P1615" t="str">
        <f t="shared" si="514"/>
        <v/>
      </c>
      <c r="Q1615" t="str">
        <f t="shared" si="515"/>
        <v/>
      </c>
      <c r="R1615" t="str">
        <f t="shared" si="516"/>
        <v/>
      </c>
      <c r="S1615" t="str">
        <f t="shared" si="517"/>
        <v/>
      </c>
      <c r="T1615" t="str">
        <f t="shared" si="518"/>
        <v/>
      </c>
      <c r="U1615" t="str">
        <f t="shared" si="519"/>
        <v/>
      </c>
      <c r="V1615" t="str">
        <f t="shared" si="520"/>
        <v/>
      </c>
      <c r="W1615" t="str">
        <f t="shared" si="503"/>
        <v xml:space="preserve">              </v>
      </c>
    </row>
    <row r="1616" spans="1:23" customFormat="1" hidden="1">
      <c r="A1616" t="b">
        <f t="shared" si="502"/>
        <v>0</v>
      </c>
      <c r="B1616">
        <f t="shared" si="504"/>
        <v>1615</v>
      </c>
      <c r="C1616" t="s">
        <v>1243</v>
      </c>
      <c r="D1616" t="s">
        <v>1581</v>
      </c>
      <c r="E1616">
        <f t="shared" si="501"/>
        <v>39</v>
      </c>
      <c r="G1616">
        <f t="shared" si="505"/>
        <v>6</v>
      </c>
      <c r="H1616" t="str">
        <f t="shared" si="506"/>
        <v/>
      </c>
      <c r="I1616" t="str">
        <f t="shared" si="507"/>
        <v/>
      </c>
      <c r="J1616" t="str">
        <f t="shared" si="508"/>
        <v/>
      </c>
      <c r="K1616" t="str">
        <f t="shared" si="509"/>
        <v/>
      </c>
      <c r="L1616" t="str">
        <f t="shared" si="510"/>
        <v/>
      </c>
      <c r="M1616" t="str">
        <f t="shared" si="511"/>
        <v/>
      </c>
      <c r="N1616" t="str">
        <f t="shared" si="512"/>
        <v/>
      </c>
      <c r="O1616" t="str">
        <f t="shared" si="513"/>
        <v/>
      </c>
      <c r="P1616" t="str">
        <f t="shared" si="514"/>
        <v/>
      </c>
      <c r="Q1616" t="str">
        <f t="shared" si="515"/>
        <v/>
      </c>
      <c r="R1616" t="str">
        <f t="shared" si="516"/>
        <v/>
      </c>
      <c r="S1616" t="str">
        <f t="shared" si="517"/>
        <v/>
      </c>
      <c r="T1616" t="str">
        <f t="shared" si="518"/>
        <v/>
      </c>
      <c r="U1616" t="str">
        <f t="shared" si="519"/>
        <v/>
      </c>
      <c r="V1616" t="str">
        <f t="shared" si="520"/>
        <v/>
      </c>
      <c r="W1616" t="str">
        <f t="shared" si="503"/>
        <v xml:space="preserve">              </v>
      </c>
    </row>
    <row r="1617" spans="1:23" customFormat="1" hidden="1">
      <c r="A1617" t="b">
        <f t="shared" si="502"/>
        <v>0</v>
      </c>
      <c r="B1617">
        <f t="shared" si="504"/>
        <v>1616</v>
      </c>
      <c r="C1617" t="s">
        <v>1243</v>
      </c>
      <c r="D1617" t="s">
        <v>1582</v>
      </c>
      <c r="E1617">
        <f t="shared" si="501"/>
        <v>29</v>
      </c>
      <c r="G1617">
        <f t="shared" si="505"/>
        <v>7</v>
      </c>
      <c r="H1617" t="str">
        <f t="shared" si="506"/>
        <v/>
      </c>
      <c r="I1617" t="str">
        <f t="shared" si="507"/>
        <v/>
      </c>
      <c r="J1617" t="str">
        <f t="shared" si="508"/>
        <v/>
      </c>
      <c r="K1617" t="str">
        <f t="shared" si="509"/>
        <v/>
      </c>
      <c r="L1617" t="str">
        <f t="shared" si="510"/>
        <v/>
      </c>
      <c r="M1617" t="str">
        <f t="shared" si="511"/>
        <v/>
      </c>
      <c r="N1617" t="str">
        <f t="shared" si="512"/>
        <v/>
      </c>
      <c r="O1617" t="str">
        <f t="shared" si="513"/>
        <v/>
      </c>
      <c r="P1617" t="str">
        <f t="shared" si="514"/>
        <v/>
      </c>
      <c r="Q1617" t="str">
        <f t="shared" si="515"/>
        <v/>
      </c>
      <c r="R1617" t="str">
        <f t="shared" si="516"/>
        <v/>
      </c>
      <c r="S1617" t="str">
        <f t="shared" si="517"/>
        <v/>
      </c>
      <c r="T1617" t="str">
        <f t="shared" si="518"/>
        <v/>
      </c>
      <c r="U1617" t="str">
        <f t="shared" si="519"/>
        <v/>
      </c>
      <c r="V1617" t="str">
        <f t="shared" si="520"/>
        <v/>
      </c>
      <c r="W1617" t="str">
        <f t="shared" si="503"/>
        <v xml:space="preserve">              </v>
      </c>
    </row>
    <row r="1618" spans="1:23" hidden="1">
      <c r="A1618" s="71" t="b">
        <f t="shared" si="502"/>
        <v>0</v>
      </c>
      <c r="B1618" s="71">
        <f t="shared" si="504"/>
        <v>1617</v>
      </c>
      <c r="C1618" s="71" t="s">
        <v>1243</v>
      </c>
      <c r="D1618" s="71" t="s">
        <v>1583</v>
      </c>
      <c r="E1618">
        <f t="shared" si="501"/>
        <v>18</v>
      </c>
      <c r="F1618">
        <v>1</v>
      </c>
      <c r="G1618">
        <f t="shared" si="505"/>
        <v>1</v>
      </c>
      <c r="H1618" t="str">
        <f t="shared" si="506"/>
        <v>Terms of Reference</v>
      </c>
      <c r="I1618" t="str">
        <f t="shared" si="507"/>
        <v>Defines the obligations for the seller,</v>
      </c>
      <c r="J1618" t="str">
        <f t="shared" si="508"/>
        <v>what the seller will provide, and all of the</v>
      </c>
      <c r="K1618" t="str">
        <f t="shared" si="509"/>
        <v>particulars of the contracted work. Terms</v>
      </c>
      <c r="L1618" t="str">
        <f t="shared" si="510"/>
        <v>of reference is similar to the statement of</v>
      </c>
      <c r="M1618" t="str">
        <f t="shared" si="511"/>
        <v>work.</v>
      </c>
      <c r="N1618" t="str">
        <f t="shared" si="512"/>
        <v/>
      </c>
      <c r="O1618" t="str">
        <f t="shared" si="513"/>
        <v/>
      </c>
      <c r="P1618" t="str">
        <f t="shared" si="514"/>
        <v/>
      </c>
      <c r="Q1618" t="str">
        <f t="shared" si="515"/>
        <v/>
      </c>
      <c r="R1618" t="str">
        <f t="shared" si="516"/>
        <v/>
      </c>
      <c r="S1618" t="str">
        <f t="shared" si="517"/>
        <v/>
      </c>
      <c r="T1618" t="str">
        <f t="shared" si="518"/>
        <v/>
      </c>
      <c r="U1618" t="str">
        <f t="shared" si="519"/>
        <v/>
      </c>
      <c r="V1618" t="str">
        <f t="shared" si="520"/>
        <v/>
      </c>
      <c r="W1618" s="71" t="str">
        <f>CONCATENATE(H1618," ",I1618," ",J1618," ",K1618," ",L1618," ",M1618," ",N1618," ",O1618," ",P1618," ",Q1618," ",R1618," ",S1618," ",T1618," ",U1618," ",V1618)</f>
        <v xml:space="preserve">Terms of Reference Defines the obligations for the seller, what the seller will provide, and all of the particulars of the contracted work. Terms of reference is similar to the statement of work.         </v>
      </c>
    </row>
    <row r="1619" spans="1:23" customFormat="1" hidden="1">
      <c r="A1619" t="b">
        <f t="shared" si="502"/>
        <v>0</v>
      </c>
      <c r="B1619">
        <f t="shared" si="504"/>
        <v>1618</v>
      </c>
      <c r="C1619" t="s">
        <v>1243</v>
      </c>
      <c r="D1619" t="s">
        <v>1584</v>
      </c>
      <c r="E1619">
        <f t="shared" si="501"/>
        <v>39</v>
      </c>
      <c r="G1619">
        <f t="shared" si="505"/>
        <v>2</v>
      </c>
      <c r="H1619" t="str">
        <f t="shared" si="506"/>
        <v/>
      </c>
      <c r="I1619" t="str">
        <f t="shared" si="507"/>
        <v/>
      </c>
      <c r="J1619" t="str">
        <f t="shared" si="508"/>
        <v/>
      </c>
      <c r="K1619" t="str">
        <f t="shared" si="509"/>
        <v/>
      </c>
      <c r="L1619" t="str">
        <f t="shared" si="510"/>
        <v/>
      </c>
      <c r="M1619" t="str">
        <f t="shared" si="511"/>
        <v/>
      </c>
      <c r="N1619" t="str">
        <f t="shared" si="512"/>
        <v/>
      </c>
      <c r="O1619" t="str">
        <f t="shared" si="513"/>
        <v/>
      </c>
      <c r="P1619" t="str">
        <f t="shared" si="514"/>
        <v/>
      </c>
      <c r="Q1619" t="str">
        <f t="shared" si="515"/>
        <v/>
      </c>
      <c r="R1619" t="str">
        <f t="shared" si="516"/>
        <v/>
      </c>
      <c r="S1619" t="str">
        <f t="shared" si="517"/>
        <v/>
      </c>
      <c r="T1619" t="str">
        <f t="shared" si="518"/>
        <v/>
      </c>
      <c r="U1619" t="str">
        <f t="shared" si="519"/>
        <v/>
      </c>
      <c r="V1619" t="str">
        <f t="shared" si="520"/>
        <v/>
      </c>
      <c r="W1619" t="str">
        <f t="shared" si="503"/>
        <v xml:space="preserve">              </v>
      </c>
    </row>
    <row r="1620" spans="1:23" customFormat="1" hidden="1">
      <c r="A1620" t="b">
        <f t="shared" si="502"/>
        <v>0</v>
      </c>
      <c r="B1620">
        <f t="shared" si="504"/>
        <v>1619</v>
      </c>
      <c r="C1620" t="s">
        <v>1243</v>
      </c>
      <c r="D1620" t="s">
        <v>1585</v>
      </c>
      <c r="E1620">
        <f t="shared" si="501"/>
        <v>44</v>
      </c>
      <c r="G1620">
        <f t="shared" si="505"/>
        <v>3</v>
      </c>
      <c r="H1620" t="str">
        <f t="shared" si="506"/>
        <v/>
      </c>
      <c r="I1620" t="str">
        <f t="shared" si="507"/>
        <v/>
      </c>
      <c r="J1620" t="str">
        <f t="shared" si="508"/>
        <v/>
      </c>
      <c r="K1620" t="str">
        <f t="shared" si="509"/>
        <v/>
      </c>
      <c r="L1620" t="str">
        <f t="shared" si="510"/>
        <v/>
      </c>
      <c r="M1620" t="str">
        <f t="shared" si="511"/>
        <v/>
      </c>
      <c r="N1620" t="str">
        <f t="shared" si="512"/>
        <v/>
      </c>
      <c r="O1620" t="str">
        <f t="shared" si="513"/>
        <v/>
      </c>
      <c r="P1620" t="str">
        <f t="shared" si="514"/>
        <v/>
      </c>
      <c r="Q1620" t="str">
        <f t="shared" si="515"/>
        <v/>
      </c>
      <c r="R1620" t="str">
        <f t="shared" si="516"/>
        <v/>
      </c>
      <c r="S1620" t="str">
        <f t="shared" si="517"/>
        <v/>
      </c>
      <c r="T1620" t="str">
        <f t="shared" si="518"/>
        <v/>
      </c>
      <c r="U1620" t="str">
        <f t="shared" si="519"/>
        <v/>
      </c>
      <c r="V1620" t="str">
        <f t="shared" si="520"/>
        <v/>
      </c>
      <c r="W1620" t="str">
        <f t="shared" si="503"/>
        <v xml:space="preserve">              </v>
      </c>
    </row>
    <row r="1621" spans="1:23" customFormat="1" hidden="1">
      <c r="A1621" t="b">
        <f t="shared" si="502"/>
        <v>0</v>
      </c>
      <c r="B1621">
        <f t="shared" si="504"/>
        <v>1620</v>
      </c>
      <c r="C1621" t="s">
        <v>1243</v>
      </c>
      <c r="D1621" t="s">
        <v>1586</v>
      </c>
      <c r="E1621">
        <f t="shared" si="501"/>
        <v>41</v>
      </c>
      <c r="G1621">
        <f t="shared" si="505"/>
        <v>4</v>
      </c>
      <c r="H1621" t="str">
        <f t="shared" si="506"/>
        <v/>
      </c>
      <c r="I1621" t="str">
        <f t="shared" si="507"/>
        <v/>
      </c>
      <c r="J1621" t="str">
        <f t="shared" si="508"/>
        <v/>
      </c>
      <c r="K1621" t="str">
        <f t="shared" si="509"/>
        <v/>
      </c>
      <c r="L1621" t="str">
        <f t="shared" si="510"/>
        <v/>
      </c>
      <c r="M1621" t="str">
        <f t="shared" si="511"/>
        <v/>
      </c>
      <c r="N1621" t="str">
        <f t="shared" si="512"/>
        <v/>
      </c>
      <c r="O1621" t="str">
        <f t="shared" si="513"/>
        <v/>
      </c>
      <c r="P1621" t="str">
        <f t="shared" si="514"/>
        <v/>
      </c>
      <c r="Q1621" t="str">
        <f t="shared" si="515"/>
        <v/>
      </c>
      <c r="R1621" t="str">
        <f t="shared" si="516"/>
        <v/>
      </c>
      <c r="S1621" t="str">
        <f t="shared" si="517"/>
        <v/>
      </c>
      <c r="T1621" t="str">
        <f t="shared" si="518"/>
        <v/>
      </c>
      <c r="U1621" t="str">
        <f t="shared" si="519"/>
        <v/>
      </c>
      <c r="V1621" t="str">
        <f t="shared" si="520"/>
        <v/>
      </c>
      <c r="W1621" t="str">
        <f t="shared" si="503"/>
        <v xml:space="preserve">              </v>
      </c>
    </row>
    <row r="1622" spans="1:23" customFormat="1" hidden="1">
      <c r="A1622" t="b">
        <f t="shared" si="502"/>
        <v>0</v>
      </c>
      <c r="B1622">
        <f t="shared" si="504"/>
        <v>1621</v>
      </c>
      <c r="C1622" t="s">
        <v>1243</v>
      </c>
      <c r="D1622" t="s">
        <v>1587</v>
      </c>
      <c r="E1622">
        <f t="shared" si="501"/>
        <v>43</v>
      </c>
      <c r="G1622">
        <f t="shared" si="505"/>
        <v>5</v>
      </c>
      <c r="H1622" t="str">
        <f t="shared" si="506"/>
        <v/>
      </c>
      <c r="I1622" t="str">
        <f t="shared" si="507"/>
        <v/>
      </c>
      <c r="J1622" t="str">
        <f t="shared" si="508"/>
        <v/>
      </c>
      <c r="K1622" t="str">
        <f t="shared" si="509"/>
        <v/>
      </c>
      <c r="L1622" t="str">
        <f t="shared" si="510"/>
        <v/>
      </c>
      <c r="M1622" t="str">
        <f t="shared" si="511"/>
        <v/>
      </c>
      <c r="N1622" t="str">
        <f t="shared" si="512"/>
        <v/>
      </c>
      <c r="O1622" t="str">
        <f t="shared" si="513"/>
        <v/>
      </c>
      <c r="P1622" t="str">
        <f t="shared" si="514"/>
        <v/>
      </c>
      <c r="Q1622" t="str">
        <f t="shared" si="515"/>
        <v/>
      </c>
      <c r="R1622" t="str">
        <f t="shared" si="516"/>
        <v/>
      </c>
      <c r="S1622" t="str">
        <f t="shared" si="517"/>
        <v/>
      </c>
      <c r="T1622" t="str">
        <f t="shared" si="518"/>
        <v/>
      </c>
      <c r="U1622" t="str">
        <f t="shared" si="519"/>
        <v/>
      </c>
      <c r="V1622" t="str">
        <f t="shared" si="520"/>
        <v/>
      </c>
      <c r="W1622" t="str">
        <f t="shared" si="503"/>
        <v xml:space="preserve">              </v>
      </c>
    </row>
    <row r="1623" spans="1:23" customFormat="1" hidden="1">
      <c r="A1623" t="b">
        <f t="shared" si="502"/>
        <v>0</v>
      </c>
      <c r="B1623">
        <f t="shared" si="504"/>
        <v>1622</v>
      </c>
      <c r="C1623" t="s">
        <v>1243</v>
      </c>
      <c r="D1623" t="s">
        <v>637</v>
      </c>
      <c r="E1623">
        <f t="shared" si="501"/>
        <v>5</v>
      </c>
      <c r="G1623">
        <f t="shared" si="505"/>
        <v>6</v>
      </c>
      <c r="H1623" t="str">
        <f t="shared" si="506"/>
        <v/>
      </c>
      <c r="I1623" t="str">
        <f t="shared" si="507"/>
        <v/>
      </c>
      <c r="J1623" t="str">
        <f t="shared" si="508"/>
        <v/>
      </c>
      <c r="K1623" t="str">
        <f t="shared" si="509"/>
        <v/>
      </c>
      <c r="L1623" t="str">
        <f t="shared" si="510"/>
        <v/>
      </c>
      <c r="M1623" t="str">
        <f t="shared" si="511"/>
        <v/>
      </c>
      <c r="N1623" t="str">
        <f t="shared" si="512"/>
        <v/>
      </c>
      <c r="O1623" t="str">
        <f t="shared" si="513"/>
        <v/>
      </c>
      <c r="P1623" t="str">
        <f t="shared" si="514"/>
        <v/>
      </c>
      <c r="Q1623" t="str">
        <f t="shared" si="515"/>
        <v/>
      </c>
      <c r="R1623" t="str">
        <f t="shared" si="516"/>
        <v/>
      </c>
      <c r="S1623" t="str">
        <f t="shared" si="517"/>
        <v/>
      </c>
      <c r="T1623" t="str">
        <f t="shared" si="518"/>
        <v/>
      </c>
      <c r="U1623" t="str">
        <f t="shared" si="519"/>
        <v/>
      </c>
      <c r="V1623" t="str">
        <f t="shared" si="520"/>
        <v/>
      </c>
      <c r="W1623" t="str">
        <f t="shared" si="503"/>
        <v xml:space="preserve">              </v>
      </c>
    </row>
    <row r="1624" spans="1:23" hidden="1">
      <c r="A1624" s="71" t="b">
        <f t="shared" si="502"/>
        <v>0</v>
      </c>
      <c r="B1624" s="71">
        <f t="shared" si="504"/>
        <v>1623</v>
      </c>
      <c r="C1624" s="71" t="s">
        <v>1243</v>
      </c>
      <c r="D1624" s="71" t="s">
        <v>1588</v>
      </c>
      <c r="E1624">
        <f t="shared" si="501"/>
        <v>27</v>
      </c>
      <c r="F1624">
        <v>1</v>
      </c>
      <c r="G1624">
        <f t="shared" si="505"/>
        <v>1</v>
      </c>
      <c r="H1624" t="str">
        <f t="shared" si="506"/>
        <v>Time and materials contract</v>
      </c>
      <c r="I1624" t="str">
        <f t="shared" si="507"/>
        <v>A contract type in which the buyer pays</v>
      </c>
      <c r="J1624" t="str">
        <f t="shared" si="508"/>
        <v>for the time and materials for the</v>
      </c>
      <c r="K1624" t="str">
        <f t="shared" si="509"/>
        <v>procured work. This is a simple contract,</v>
      </c>
      <c r="L1624" t="str">
        <f t="shared" si="510"/>
        <v>usually for smaller procurement</v>
      </c>
      <c r="M1624" t="str">
        <f t="shared" si="511"/>
        <v>conditions. These contract types require</v>
      </c>
      <c r="N1624" t="str">
        <f t="shared" si="512"/>
        <v>a not-to-exceed clause, or the buyer</v>
      </c>
      <c r="O1624" t="str">
        <f t="shared" si="513"/>
        <v>assumes the risk for cost overruns.</v>
      </c>
      <c r="P1624" t="str">
        <f t="shared" si="514"/>
        <v/>
      </c>
      <c r="Q1624" t="str">
        <f t="shared" si="515"/>
        <v/>
      </c>
      <c r="R1624" t="str">
        <f t="shared" si="516"/>
        <v/>
      </c>
      <c r="S1624" t="str">
        <f t="shared" si="517"/>
        <v/>
      </c>
      <c r="T1624" t="str">
        <f t="shared" si="518"/>
        <v/>
      </c>
      <c r="U1624" t="str">
        <f t="shared" si="519"/>
        <v/>
      </c>
      <c r="V1624" t="str">
        <f t="shared" si="520"/>
        <v/>
      </c>
      <c r="W1624" s="71" t="str">
        <f>CONCATENATE(H1624," ",I1624," ",J1624," ",K1624," ",L1624," ",M1624," ",N1624," ",O1624," ",P1624," ",Q1624," ",R1624," ",S1624," ",T1624," ",U1624," ",V1624)</f>
        <v xml:space="preserve">Time and materials contract A contract type in which the buyer pays for the time and materials for the procured work. This is a simple contract, usually for smaller procurement conditions. These contract types require a not-to-exceed clause, or the buyer assumes the risk for cost overruns.       </v>
      </c>
    </row>
    <row r="1625" spans="1:23" customFormat="1" hidden="1">
      <c r="A1625" t="b">
        <f t="shared" si="502"/>
        <v>0</v>
      </c>
      <c r="B1625">
        <f t="shared" si="504"/>
        <v>1624</v>
      </c>
      <c r="C1625" t="s">
        <v>1243</v>
      </c>
      <c r="D1625" t="s">
        <v>1589</v>
      </c>
      <c r="E1625">
        <f t="shared" si="501"/>
        <v>39</v>
      </c>
      <c r="G1625">
        <f t="shared" si="505"/>
        <v>2</v>
      </c>
      <c r="H1625" t="str">
        <f t="shared" si="506"/>
        <v/>
      </c>
      <c r="I1625" t="str">
        <f t="shared" si="507"/>
        <v/>
      </c>
      <c r="J1625" t="str">
        <f t="shared" si="508"/>
        <v/>
      </c>
      <c r="K1625" t="str">
        <f t="shared" si="509"/>
        <v/>
      </c>
      <c r="L1625" t="str">
        <f t="shared" si="510"/>
        <v/>
      </c>
      <c r="M1625" t="str">
        <f t="shared" si="511"/>
        <v/>
      </c>
      <c r="N1625" t="str">
        <f t="shared" si="512"/>
        <v/>
      </c>
      <c r="O1625" t="str">
        <f t="shared" si="513"/>
        <v/>
      </c>
      <c r="P1625" t="str">
        <f t="shared" si="514"/>
        <v/>
      </c>
      <c r="Q1625" t="str">
        <f t="shared" si="515"/>
        <v/>
      </c>
      <c r="R1625" t="str">
        <f t="shared" si="516"/>
        <v/>
      </c>
      <c r="S1625" t="str">
        <f t="shared" si="517"/>
        <v/>
      </c>
      <c r="T1625" t="str">
        <f t="shared" si="518"/>
        <v/>
      </c>
      <c r="U1625" t="str">
        <f t="shared" si="519"/>
        <v/>
      </c>
      <c r="V1625" t="str">
        <f t="shared" si="520"/>
        <v/>
      </c>
      <c r="W1625" t="str">
        <f t="shared" si="503"/>
        <v xml:space="preserve">              </v>
      </c>
    </row>
    <row r="1626" spans="1:23" customFormat="1" hidden="1">
      <c r="A1626" t="b">
        <f t="shared" si="502"/>
        <v>0</v>
      </c>
      <c r="B1626">
        <f t="shared" si="504"/>
        <v>1625</v>
      </c>
      <c r="C1626" t="s">
        <v>1243</v>
      </c>
      <c r="D1626" t="s">
        <v>1590</v>
      </c>
      <c r="E1626">
        <f t="shared" si="501"/>
        <v>34</v>
      </c>
      <c r="G1626">
        <f t="shared" si="505"/>
        <v>3</v>
      </c>
      <c r="H1626" t="str">
        <f t="shared" si="506"/>
        <v/>
      </c>
      <c r="I1626" t="str">
        <f t="shared" si="507"/>
        <v/>
      </c>
      <c r="J1626" t="str">
        <f t="shared" si="508"/>
        <v/>
      </c>
      <c r="K1626" t="str">
        <f t="shared" si="509"/>
        <v/>
      </c>
      <c r="L1626" t="str">
        <f t="shared" si="510"/>
        <v/>
      </c>
      <c r="M1626" t="str">
        <f t="shared" si="511"/>
        <v/>
      </c>
      <c r="N1626" t="str">
        <f t="shared" si="512"/>
        <v/>
      </c>
      <c r="O1626" t="str">
        <f t="shared" si="513"/>
        <v/>
      </c>
      <c r="P1626" t="str">
        <f t="shared" si="514"/>
        <v/>
      </c>
      <c r="Q1626" t="str">
        <f t="shared" si="515"/>
        <v/>
      </c>
      <c r="R1626" t="str">
        <f t="shared" si="516"/>
        <v/>
      </c>
      <c r="S1626" t="str">
        <f t="shared" si="517"/>
        <v/>
      </c>
      <c r="T1626" t="str">
        <f t="shared" si="518"/>
        <v/>
      </c>
      <c r="U1626" t="str">
        <f t="shared" si="519"/>
        <v/>
      </c>
      <c r="V1626" t="str">
        <f t="shared" si="520"/>
        <v/>
      </c>
      <c r="W1626" t="str">
        <f t="shared" si="503"/>
        <v xml:space="preserve">              </v>
      </c>
    </row>
    <row r="1627" spans="1:23" customFormat="1" hidden="1">
      <c r="A1627" t="b">
        <f t="shared" si="502"/>
        <v>0</v>
      </c>
      <c r="B1627">
        <f t="shared" si="504"/>
        <v>1626</v>
      </c>
      <c r="C1627" t="s">
        <v>1243</v>
      </c>
      <c r="D1627" t="s">
        <v>1591</v>
      </c>
      <c r="E1627">
        <f t="shared" si="501"/>
        <v>41</v>
      </c>
      <c r="G1627">
        <f t="shared" si="505"/>
        <v>4</v>
      </c>
      <c r="H1627" t="str">
        <f t="shared" si="506"/>
        <v/>
      </c>
      <c r="I1627" t="str">
        <f t="shared" si="507"/>
        <v/>
      </c>
      <c r="J1627" t="str">
        <f t="shared" si="508"/>
        <v/>
      </c>
      <c r="K1627" t="str">
        <f t="shared" si="509"/>
        <v/>
      </c>
      <c r="L1627" t="str">
        <f t="shared" si="510"/>
        <v/>
      </c>
      <c r="M1627" t="str">
        <f t="shared" si="511"/>
        <v/>
      </c>
      <c r="N1627" t="str">
        <f t="shared" si="512"/>
        <v/>
      </c>
      <c r="O1627" t="str">
        <f t="shared" si="513"/>
        <v/>
      </c>
      <c r="P1627" t="str">
        <f t="shared" si="514"/>
        <v/>
      </c>
      <c r="Q1627" t="str">
        <f t="shared" si="515"/>
        <v/>
      </c>
      <c r="R1627" t="str">
        <f t="shared" si="516"/>
        <v/>
      </c>
      <c r="S1627" t="str">
        <f t="shared" si="517"/>
        <v/>
      </c>
      <c r="T1627" t="str">
        <f t="shared" si="518"/>
        <v/>
      </c>
      <c r="U1627" t="str">
        <f t="shared" si="519"/>
        <v/>
      </c>
      <c r="V1627" t="str">
        <f t="shared" si="520"/>
        <v/>
      </c>
      <c r="W1627" t="str">
        <f t="shared" si="503"/>
        <v xml:space="preserve">              </v>
      </c>
    </row>
    <row r="1628" spans="1:23" customFormat="1" hidden="1">
      <c r="A1628" t="b">
        <f t="shared" si="502"/>
        <v>0</v>
      </c>
      <c r="B1628">
        <f t="shared" si="504"/>
        <v>1627</v>
      </c>
      <c r="C1628" t="s">
        <v>1243</v>
      </c>
      <c r="D1628" t="s">
        <v>1592</v>
      </c>
      <c r="E1628">
        <f t="shared" si="501"/>
        <v>31</v>
      </c>
      <c r="G1628">
        <f t="shared" si="505"/>
        <v>5</v>
      </c>
      <c r="H1628" t="str">
        <f t="shared" si="506"/>
        <v/>
      </c>
      <c r="I1628" t="str">
        <f t="shared" si="507"/>
        <v/>
      </c>
      <c r="J1628" t="str">
        <f t="shared" si="508"/>
        <v/>
      </c>
      <c r="K1628" t="str">
        <f t="shared" si="509"/>
        <v/>
      </c>
      <c r="L1628" t="str">
        <f t="shared" si="510"/>
        <v/>
      </c>
      <c r="M1628" t="str">
        <f t="shared" si="511"/>
        <v/>
      </c>
      <c r="N1628" t="str">
        <f t="shared" si="512"/>
        <v/>
      </c>
      <c r="O1628" t="str">
        <f t="shared" si="513"/>
        <v/>
      </c>
      <c r="P1628" t="str">
        <f t="shared" si="514"/>
        <v/>
      </c>
      <c r="Q1628" t="str">
        <f t="shared" si="515"/>
        <v/>
      </c>
      <c r="R1628" t="str">
        <f t="shared" si="516"/>
        <v/>
      </c>
      <c r="S1628" t="str">
        <f t="shared" si="517"/>
        <v/>
      </c>
      <c r="T1628" t="str">
        <f t="shared" si="518"/>
        <v/>
      </c>
      <c r="U1628" t="str">
        <f t="shared" si="519"/>
        <v/>
      </c>
      <c r="V1628" t="str">
        <f t="shared" si="520"/>
        <v/>
      </c>
      <c r="W1628" t="str">
        <f t="shared" si="503"/>
        <v xml:space="preserve">              </v>
      </c>
    </row>
    <row r="1629" spans="1:23" customFormat="1" hidden="1">
      <c r="A1629" t="b">
        <f t="shared" si="502"/>
        <v>0</v>
      </c>
      <c r="B1629">
        <f t="shared" si="504"/>
        <v>1628</v>
      </c>
      <c r="C1629" t="s">
        <v>1243</v>
      </c>
      <c r="D1629" t="s">
        <v>1593</v>
      </c>
      <c r="E1629">
        <f t="shared" ref="E1629:E1683" si="521">LEN(D1629)</f>
        <v>40</v>
      </c>
      <c r="G1629">
        <f t="shared" si="505"/>
        <v>6</v>
      </c>
      <c r="H1629" t="str">
        <f t="shared" si="506"/>
        <v/>
      </c>
      <c r="I1629" t="str">
        <f t="shared" si="507"/>
        <v/>
      </c>
      <c r="J1629" t="str">
        <f t="shared" si="508"/>
        <v/>
      </c>
      <c r="K1629" t="str">
        <f t="shared" si="509"/>
        <v/>
      </c>
      <c r="L1629" t="str">
        <f t="shared" si="510"/>
        <v/>
      </c>
      <c r="M1629" t="str">
        <f t="shared" si="511"/>
        <v/>
      </c>
      <c r="N1629" t="str">
        <f t="shared" si="512"/>
        <v/>
      </c>
      <c r="O1629" t="str">
        <f t="shared" si="513"/>
        <v/>
      </c>
      <c r="P1629" t="str">
        <f t="shared" si="514"/>
        <v/>
      </c>
      <c r="Q1629" t="str">
        <f t="shared" si="515"/>
        <v/>
      </c>
      <c r="R1629" t="str">
        <f t="shared" si="516"/>
        <v/>
      </c>
      <c r="S1629" t="str">
        <f t="shared" si="517"/>
        <v/>
      </c>
      <c r="T1629" t="str">
        <f t="shared" si="518"/>
        <v/>
      </c>
      <c r="U1629" t="str">
        <f t="shared" si="519"/>
        <v/>
      </c>
      <c r="V1629" t="str">
        <f t="shared" si="520"/>
        <v/>
      </c>
      <c r="W1629" t="str">
        <f t="shared" si="503"/>
        <v xml:space="preserve">              </v>
      </c>
    </row>
    <row r="1630" spans="1:23" customFormat="1" hidden="1">
      <c r="A1630" t="b">
        <f t="shared" si="502"/>
        <v>0</v>
      </c>
      <c r="B1630">
        <f t="shared" si="504"/>
        <v>1629</v>
      </c>
      <c r="C1630" t="s">
        <v>1243</v>
      </c>
      <c r="D1630" t="s">
        <v>1594</v>
      </c>
      <c r="E1630">
        <f t="shared" si="521"/>
        <v>36</v>
      </c>
      <c r="G1630">
        <f t="shared" si="505"/>
        <v>7</v>
      </c>
      <c r="H1630" t="str">
        <f t="shared" si="506"/>
        <v/>
      </c>
      <c r="I1630" t="str">
        <f t="shared" si="507"/>
        <v/>
      </c>
      <c r="J1630" t="str">
        <f t="shared" si="508"/>
        <v/>
      </c>
      <c r="K1630" t="str">
        <f t="shared" si="509"/>
        <v/>
      </c>
      <c r="L1630" t="str">
        <f t="shared" si="510"/>
        <v/>
      </c>
      <c r="M1630" t="str">
        <f t="shared" si="511"/>
        <v/>
      </c>
      <c r="N1630" t="str">
        <f t="shared" si="512"/>
        <v/>
      </c>
      <c r="O1630" t="str">
        <f t="shared" si="513"/>
        <v/>
      </c>
      <c r="P1630" t="str">
        <f t="shared" si="514"/>
        <v/>
      </c>
      <c r="Q1630" t="str">
        <f t="shared" si="515"/>
        <v/>
      </c>
      <c r="R1630" t="str">
        <f t="shared" si="516"/>
        <v/>
      </c>
      <c r="S1630" t="str">
        <f t="shared" si="517"/>
        <v/>
      </c>
      <c r="T1630" t="str">
        <f t="shared" si="518"/>
        <v/>
      </c>
      <c r="U1630" t="str">
        <f t="shared" si="519"/>
        <v/>
      </c>
      <c r="V1630" t="str">
        <f t="shared" si="520"/>
        <v/>
      </c>
      <c r="W1630" t="str">
        <f t="shared" si="503"/>
        <v xml:space="preserve">              </v>
      </c>
    </row>
    <row r="1631" spans="1:23" customFormat="1" hidden="1">
      <c r="A1631" t="b">
        <f t="shared" si="502"/>
        <v>0</v>
      </c>
      <c r="B1631">
        <f t="shared" si="504"/>
        <v>1630</v>
      </c>
      <c r="C1631" t="s">
        <v>1243</v>
      </c>
      <c r="D1631" t="s">
        <v>1595</v>
      </c>
      <c r="E1631">
        <f t="shared" si="521"/>
        <v>35</v>
      </c>
      <c r="G1631">
        <f t="shared" si="505"/>
        <v>8</v>
      </c>
      <c r="H1631" t="str">
        <f t="shared" si="506"/>
        <v/>
      </c>
      <c r="I1631" t="str">
        <f t="shared" si="507"/>
        <v/>
      </c>
      <c r="J1631" t="str">
        <f t="shared" si="508"/>
        <v/>
      </c>
      <c r="K1631" t="str">
        <f t="shared" si="509"/>
        <v/>
      </c>
      <c r="L1631" t="str">
        <f t="shared" si="510"/>
        <v/>
      </c>
      <c r="M1631" t="str">
        <f t="shared" si="511"/>
        <v/>
      </c>
      <c r="N1631" t="str">
        <f t="shared" si="512"/>
        <v/>
      </c>
      <c r="O1631" t="str">
        <f t="shared" si="513"/>
        <v/>
      </c>
      <c r="P1631" t="str">
        <f t="shared" si="514"/>
        <v/>
      </c>
      <c r="Q1631" t="str">
        <f t="shared" si="515"/>
        <v/>
      </c>
      <c r="R1631" t="str">
        <f t="shared" si="516"/>
        <v/>
      </c>
      <c r="S1631" t="str">
        <f t="shared" si="517"/>
        <v/>
      </c>
      <c r="T1631" t="str">
        <f t="shared" si="518"/>
        <v/>
      </c>
      <c r="U1631" t="str">
        <f t="shared" si="519"/>
        <v/>
      </c>
      <c r="V1631" t="str">
        <f t="shared" si="520"/>
        <v/>
      </c>
      <c r="W1631" t="str">
        <f t="shared" si="503"/>
        <v xml:space="preserve">              </v>
      </c>
    </row>
    <row r="1632" spans="1:23" hidden="1">
      <c r="A1632" s="71" t="b">
        <f t="shared" si="502"/>
        <v>0</v>
      </c>
      <c r="B1632" s="71">
        <f t="shared" si="504"/>
        <v>1631</v>
      </c>
      <c r="C1632" s="71" t="s">
        <v>1243</v>
      </c>
      <c r="D1632" s="71" t="s">
        <v>1596</v>
      </c>
      <c r="E1632">
        <f t="shared" si="521"/>
        <v>16</v>
      </c>
      <c r="F1632">
        <v>1</v>
      </c>
      <c r="G1632">
        <f t="shared" si="505"/>
        <v>1</v>
      </c>
      <c r="H1632" t="str">
        <f t="shared" si="506"/>
        <v>Weighting system</v>
      </c>
      <c r="I1632" t="str">
        <f t="shared" si="507"/>
        <v>This takes out the personal preferences</v>
      </c>
      <c r="J1632" t="str">
        <f t="shared" si="508"/>
        <v>of the decision maker in the organization</v>
      </c>
      <c r="K1632" t="str">
        <f t="shared" si="509"/>
        <v>to ensure that the best seller is awarded</v>
      </c>
      <c r="L1632" t="str">
        <f t="shared" si="510"/>
        <v>the contract. Weights are assigned to the</v>
      </c>
      <c r="M1632" t="str">
        <f t="shared" si="511"/>
        <v>values of the proposals, and each</v>
      </c>
      <c r="N1632" t="str">
        <f t="shared" si="512"/>
        <v>proposal is scored.</v>
      </c>
      <c r="O1632" t="str">
        <f t="shared" si="513"/>
        <v/>
      </c>
      <c r="P1632" t="str">
        <f t="shared" si="514"/>
        <v/>
      </c>
      <c r="Q1632" t="str">
        <f t="shared" si="515"/>
        <v/>
      </c>
      <c r="R1632" t="str">
        <f t="shared" si="516"/>
        <v/>
      </c>
      <c r="S1632" t="str">
        <f t="shared" si="517"/>
        <v/>
      </c>
      <c r="T1632" t="str">
        <f t="shared" si="518"/>
        <v/>
      </c>
      <c r="U1632" t="str">
        <f t="shared" si="519"/>
        <v/>
      </c>
      <c r="V1632" t="str">
        <f t="shared" si="520"/>
        <v/>
      </c>
      <c r="W1632" s="71" t="str">
        <f>CONCATENATE(H1632," ",I1632," ",J1632," ",K1632," ",L1632," ",M1632," ",N1632," ",O1632," ",P1632," ",Q1632," ",R1632," ",S1632," ",T1632," ",U1632," ",V1632)</f>
        <v xml:space="preserve">Weighting system This takes out the personal preferences of the decision maker in the organization to ensure that the best seller is awarded the contract. Weights are assigned to the values of the proposals, and each proposal is scored.        </v>
      </c>
    </row>
    <row r="1633" spans="1:23" customFormat="1" hidden="1">
      <c r="A1633" t="b">
        <f t="shared" si="502"/>
        <v>0</v>
      </c>
      <c r="B1633">
        <f t="shared" si="504"/>
        <v>1632</v>
      </c>
      <c r="C1633" t="s">
        <v>1243</v>
      </c>
      <c r="D1633" t="s">
        <v>1597</v>
      </c>
      <c r="E1633">
        <f t="shared" si="521"/>
        <v>39</v>
      </c>
      <c r="G1633">
        <f t="shared" si="505"/>
        <v>2</v>
      </c>
      <c r="H1633" t="str">
        <f t="shared" si="506"/>
        <v/>
      </c>
      <c r="I1633" t="str">
        <f t="shared" si="507"/>
        <v/>
      </c>
      <c r="J1633" t="str">
        <f t="shared" si="508"/>
        <v/>
      </c>
      <c r="K1633" t="str">
        <f t="shared" si="509"/>
        <v/>
      </c>
      <c r="L1633" t="str">
        <f t="shared" si="510"/>
        <v/>
      </c>
      <c r="M1633" t="str">
        <f t="shared" si="511"/>
        <v/>
      </c>
      <c r="N1633" t="str">
        <f t="shared" si="512"/>
        <v/>
      </c>
      <c r="O1633" t="str">
        <f t="shared" si="513"/>
        <v/>
      </c>
      <c r="P1633" t="str">
        <f t="shared" si="514"/>
        <v/>
      </c>
      <c r="Q1633" t="str">
        <f t="shared" si="515"/>
        <v/>
      </c>
      <c r="R1633" t="str">
        <f t="shared" si="516"/>
        <v/>
      </c>
      <c r="S1633" t="str">
        <f t="shared" si="517"/>
        <v/>
      </c>
      <c r="T1633" t="str">
        <f t="shared" si="518"/>
        <v/>
      </c>
      <c r="U1633" t="str">
        <f t="shared" si="519"/>
        <v/>
      </c>
      <c r="V1633" t="str">
        <f t="shared" si="520"/>
        <v/>
      </c>
      <c r="W1633" t="str">
        <f t="shared" si="503"/>
        <v xml:space="preserve">              </v>
      </c>
    </row>
    <row r="1634" spans="1:23" customFormat="1" hidden="1">
      <c r="A1634" t="b">
        <f t="shared" si="502"/>
        <v>0</v>
      </c>
      <c r="B1634">
        <f t="shared" si="504"/>
        <v>1633</v>
      </c>
      <c r="C1634" t="s">
        <v>1243</v>
      </c>
      <c r="D1634" t="s">
        <v>1598</v>
      </c>
      <c r="E1634">
        <f t="shared" si="521"/>
        <v>41</v>
      </c>
      <c r="G1634">
        <f t="shared" si="505"/>
        <v>3</v>
      </c>
      <c r="H1634" t="str">
        <f t="shared" si="506"/>
        <v/>
      </c>
      <c r="I1634" t="str">
        <f t="shared" si="507"/>
        <v/>
      </c>
      <c r="J1634" t="str">
        <f t="shared" si="508"/>
        <v/>
      </c>
      <c r="K1634" t="str">
        <f t="shared" si="509"/>
        <v/>
      </c>
      <c r="L1634" t="str">
        <f t="shared" si="510"/>
        <v/>
      </c>
      <c r="M1634" t="str">
        <f t="shared" si="511"/>
        <v/>
      </c>
      <c r="N1634" t="str">
        <f t="shared" si="512"/>
        <v/>
      </c>
      <c r="O1634" t="str">
        <f t="shared" si="513"/>
        <v/>
      </c>
      <c r="P1634" t="str">
        <f t="shared" si="514"/>
        <v/>
      </c>
      <c r="Q1634" t="str">
        <f t="shared" si="515"/>
        <v/>
      </c>
      <c r="R1634" t="str">
        <f t="shared" si="516"/>
        <v/>
      </c>
      <c r="S1634" t="str">
        <f t="shared" si="517"/>
        <v/>
      </c>
      <c r="T1634" t="str">
        <f t="shared" si="518"/>
        <v/>
      </c>
      <c r="U1634" t="str">
        <f t="shared" si="519"/>
        <v/>
      </c>
      <c r="V1634" t="str">
        <f t="shared" si="520"/>
        <v/>
      </c>
      <c r="W1634" t="str">
        <f t="shared" si="503"/>
        <v xml:space="preserve">              </v>
      </c>
    </row>
    <row r="1635" spans="1:23" customFormat="1" hidden="1">
      <c r="A1635" t="b">
        <f t="shared" si="502"/>
        <v>0</v>
      </c>
      <c r="B1635">
        <f t="shared" si="504"/>
        <v>1634</v>
      </c>
      <c r="C1635" t="s">
        <v>1243</v>
      </c>
      <c r="D1635" t="s">
        <v>1599</v>
      </c>
      <c r="E1635">
        <f t="shared" si="521"/>
        <v>41</v>
      </c>
      <c r="G1635">
        <f t="shared" si="505"/>
        <v>4</v>
      </c>
      <c r="H1635" t="str">
        <f t="shared" si="506"/>
        <v/>
      </c>
      <c r="I1635" t="str">
        <f t="shared" si="507"/>
        <v/>
      </c>
      <c r="J1635" t="str">
        <f t="shared" si="508"/>
        <v/>
      </c>
      <c r="K1635" t="str">
        <f t="shared" si="509"/>
        <v/>
      </c>
      <c r="L1635" t="str">
        <f t="shared" si="510"/>
        <v/>
      </c>
      <c r="M1635" t="str">
        <f t="shared" si="511"/>
        <v/>
      </c>
      <c r="N1635" t="str">
        <f t="shared" si="512"/>
        <v/>
      </c>
      <c r="O1635" t="str">
        <f t="shared" si="513"/>
        <v/>
      </c>
      <c r="P1635" t="str">
        <f t="shared" si="514"/>
        <v/>
      </c>
      <c r="Q1635" t="str">
        <f t="shared" si="515"/>
        <v/>
      </c>
      <c r="R1635" t="str">
        <f t="shared" si="516"/>
        <v/>
      </c>
      <c r="S1635" t="str">
        <f t="shared" si="517"/>
        <v/>
      </c>
      <c r="T1635" t="str">
        <f t="shared" si="518"/>
        <v/>
      </c>
      <c r="U1635" t="str">
        <f t="shared" si="519"/>
        <v/>
      </c>
      <c r="V1635" t="str">
        <f t="shared" si="520"/>
        <v/>
      </c>
      <c r="W1635" t="str">
        <f t="shared" si="503"/>
        <v xml:space="preserve">              </v>
      </c>
    </row>
    <row r="1636" spans="1:23" customFormat="1" hidden="1">
      <c r="A1636" t="b">
        <f t="shared" si="502"/>
        <v>0</v>
      </c>
      <c r="B1636">
        <f t="shared" si="504"/>
        <v>1635</v>
      </c>
      <c r="C1636" t="s">
        <v>1243</v>
      </c>
      <c r="D1636" t="s">
        <v>1600</v>
      </c>
      <c r="E1636">
        <f t="shared" si="521"/>
        <v>41</v>
      </c>
      <c r="G1636">
        <f t="shared" si="505"/>
        <v>5</v>
      </c>
      <c r="H1636" t="str">
        <f t="shared" si="506"/>
        <v/>
      </c>
      <c r="I1636" t="str">
        <f t="shared" si="507"/>
        <v/>
      </c>
      <c r="J1636" t="str">
        <f t="shared" si="508"/>
        <v/>
      </c>
      <c r="K1636" t="str">
        <f t="shared" si="509"/>
        <v/>
      </c>
      <c r="L1636" t="str">
        <f t="shared" si="510"/>
        <v/>
      </c>
      <c r="M1636" t="str">
        <f t="shared" si="511"/>
        <v/>
      </c>
      <c r="N1636" t="str">
        <f t="shared" si="512"/>
        <v/>
      </c>
      <c r="O1636" t="str">
        <f t="shared" si="513"/>
        <v/>
      </c>
      <c r="P1636" t="str">
        <f t="shared" si="514"/>
        <v/>
      </c>
      <c r="Q1636" t="str">
        <f t="shared" si="515"/>
        <v/>
      </c>
      <c r="R1636" t="str">
        <f t="shared" si="516"/>
        <v/>
      </c>
      <c r="S1636" t="str">
        <f t="shared" si="517"/>
        <v/>
      </c>
      <c r="T1636" t="str">
        <f t="shared" si="518"/>
        <v/>
      </c>
      <c r="U1636" t="str">
        <f t="shared" si="519"/>
        <v/>
      </c>
      <c r="V1636" t="str">
        <f t="shared" si="520"/>
        <v/>
      </c>
      <c r="W1636" t="str">
        <f t="shared" si="503"/>
        <v xml:space="preserve">              </v>
      </c>
    </row>
    <row r="1637" spans="1:23" customFormat="1" hidden="1">
      <c r="A1637" t="b">
        <f t="shared" si="502"/>
        <v>0</v>
      </c>
      <c r="B1637">
        <f t="shared" si="504"/>
        <v>1636</v>
      </c>
      <c r="C1637" t="s">
        <v>1243</v>
      </c>
      <c r="D1637" t="s">
        <v>1601</v>
      </c>
      <c r="E1637">
        <f t="shared" si="521"/>
        <v>33</v>
      </c>
      <c r="G1637">
        <f t="shared" si="505"/>
        <v>6</v>
      </c>
      <c r="H1637" t="str">
        <f t="shared" si="506"/>
        <v/>
      </c>
      <c r="I1637" t="str">
        <f t="shared" si="507"/>
        <v/>
      </c>
      <c r="J1637" t="str">
        <f t="shared" si="508"/>
        <v/>
      </c>
      <c r="K1637" t="str">
        <f t="shared" si="509"/>
        <v/>
      </c>
      <c r="L1637" t="str">
        <f t="shared" si="510"/>
        <v/>
      </c>
      <c r="M1637" t="str">
        <f t="shared" si="511"/>
        <v/>
      </c>
      <c r="N1637" t="str">
        <f t="shared" si="512"/>
        <v/>
      </c>
      <c r="O1637" t="str">
        <f t="shared" si="513"/>
        <v/>
      </c>
      <c r="P1637" t="str">
        <f t="shared" si="514"/>
        <v/>
      </c>
      <c r="Q1637" t="str">
        <f t="shared" si="515"/>
        <v/>
      </c>
      <c r="R1637" t="str">
        <f t="shared" si="516"/>
        <v/>
      </c>
      <c r="S1637" t="str">
        <f t="shared" si="517"/>
        <v/>
      </c>
      <c r="T1637" t="str">
        <f t="shared" si="518"/>
        <v/>
      </c>
      <c r="U1637" t="str">
        <f t="shared" si="519"/>
        <v/>
      </c>
      <c r="V1637" t="str">
        <f t="shared" si="520"/>
        <v/>
      </c>
      <c r="W1637" t="str">
        <f t="shared" si="503"/>
        <v xml:space="preserve">              </v>
      </c>
    </row>
    <row r="1638" spans="1:23" customFormat="1" hidden="1">
      <c r="A1638" t="b">
        <f t="shared" si="502"/>
        <v>0</v>
      </c>
      <c r="B1638">
        <f t="shared" si="504"/>
        <v>1637</v>
      </c>
      <c r="C1638" t="s">
        <v>1243</v>
      </c>
      <c r="D1638" t="s">
        <v>1602</v>
      </c>
      <c r="E1638">
        <f t="shared" si="521"/>
        <v>19</v>
      </c>
      <c r="G1638">
        <f t="shared" si="505"/>
        <v>7</v>
      </c>
      <c r="H1638" t="str">
        <f t="shared" si="506"/>
        <v/>
      </c>
      <c r="I1638" t="str">
        <f t="shared" si="507"/>
        <v/>
      </c>
      <c r="J1638" t="str">
        <f t="shared" si="508"/>
        <v/>
      </c>
      <c r="K1638" t="str">
        <f t="shared" si="509"/>
        <v/>
      </c>
      <c r="L1638" t="str">
        <f t="shared" si="510"/>
        <v/>
      </c>
      <c r="M1638" t="str">
        <f t="shared" si="511"/>
        <v/>
      </c>
      <c r="N1638" t="str">
        <f t="shared" si="512"/>
        <v/>
      </c>
      <c r="O1638" t="str">
        <f t="shared" si="513"/>
        <v/>
      </c>
      <c r="P1638" t="str">
        <f t="shared" si="514"/>
        <v/>
      </c>
      <c r="Q1638" t="str">
        <f t="shared" si="515"/>
        <v/>
      </c>
      <c r="R1638" t="str">
        <f t="shared" si="516"/>
        <v/>
      </c>
      <c r="S1638" t="str">
        <f t="shared" si="517"/>
        <v/>
      </c>
      <c r="T1638" t="str">
        <f t="shared" si="518"/>
        <v/>
      </c>
      <c r="U1638" t="str">
        <f t="shared" si="519"/>
        <v/>
      </c>
      <c r="V1638" t="str">
        <f t="shared" si="520"/>
        <v/>
      </c>
      <c r="W1638" t="str">
        <f t="shared" si="503"/>
        <v xml:space="preserve">              </v>
      </c>
    </row>
    <row r="1639" spans="1:23" hidden="1">
      <c r="A1639" s="71" t="b">
        <f t="shared" si="502"/>
        <v>0</v>
      </c>
      <c r="B1639" s="71">
        <f t="shared" si="504"/>
        <v>1638</v>
      </c>
      <c r="C1639" s="71" t="s">
        <v>1603</v>
      </c>
      <c r="D1639" s="71" t="s">
        <v>1604</v>
      </c>
      <c r="E1639">
        <f t="shared" si="521"/>
        <v>26</v>
      </c>
      <c r="F1639">
        <v>1</v>
      </c>
      <c r="G1639">
        <f t="shared" si="505"/>
        <v>1</v>
      </c>
      <c r="H1639" t="str">
        <f t="shared" si="506"/>
        <v>Interactive communications</v>
      </c>
      <c r="I1639" t="str">
        <f t="shared" si="507"/>
        <v>This type of communication means that</v>
      </c>
      <c r="J1639" t="str">
        <f t="shared" si="508"/>
        <v>information is happening among stakeholders,</v>
      </c>
      <c r="K1639" t="str">
        <f t="shared" si="509"/>
        <v>like in a forum. Examples of interactive</v>
      </c>
      <c r="L1639" t="str">
        <f t="shared" si="510"/>
        <v>communications are meetings, videoconferences,</v>
      </c>
      <c r="M1639" t="str">
        <f t="shared" si="511"/>
        <v>phone calls, and ad-hoc conversations.</v>
      </c>
      <c r="N1639" t="str">
        <f t="shared" si="512"/>
        <v>Interactive communications means that the</v>
      </c>
      <c r="O1639" t="str">
        <f t="shared" si="513"/>
        <v>participants are actively communicating with one</v>
      </c>
      <c r="P1639" t="str">
        <f t="shared" si="514"/>
        <v>another.</v>
      </c>
      <c r="Q1639" t="str">
        <f t="shared" si="515"/>
        <v/>
      </c>
      <c r="R1639" t="str">
        <f t="shared" si="516"/>
        <v/>
      </c>
      <c r="S1639" t="str">
        <f t="shared" si="517"/>
        <v/>
      </c>
      <c r="T1639" t="str">
        <f t="shared" si="518"/>
        <v/>
      </c>
      <c r="U1639" t="str">
        <f t="shared" si="519"/>
        <v/>
      </c>
      <c r="V1639" t="str">
        <f t="shared" si="520"/>
        <v/>
      </c>
      <c r="W1639" s="71" t="str">
        <f>CONCATENATE(H1639," ",I1639," ",J1639," ",K1639," ",L1639," ",M1639," ",N1639," ",O1639," ",P1639," ",Q1639," ",R1639," ",S1639," ",T1639," ",U1639," ",V1639)</f>
        <v xml:space="preserve">Interactive communications This type of communication means that information is happening among stakeholders, like in a forum. Examples of interactive communications are meetings, videoconferences, phone calls, and ad-hoc conversations. Interactive communications means that the participants are actively communicating with one another.      </v>
      </c>
    </row>
    <row r="1640" spans="1:23" customFormat="1" hidden="1">
      <c r="A1640" t="b">
        <f t="shared" si="502"/>
        <v>0</v>
      </c>
      <c r="B1640">
        <f t="shared" si="504"/>
        <v>1639</v>
      </c>
      <c r="C1640" t="s">
        <v>1603</v>
      </c>
      <c r="D1640" t="s">
        <v>1605</v>
      </c>
      <c r="E1640">
        <f t="shared" si="521"/>
        <v>37</v>
      </c>
      <c r="G1640">
        <f t="shared" si="505"/>
        <v>2</v>
      </c>
      <c r="H1640" t="str">
        <f t="shared" si="506"/>
        <v/>
      </c>
      <c r="I1640" t="str">
        <f t="shared" si="507"/>
        <v/>
      </c>
      <c r="J1640" t="str">
        <f t="shared" si="508"/>
        <v/>
      </c>
      <c r="K1640" t="str">
        <f t="shared" si="509"/>
        <v/>
      </c>
      <c r="L1640" t="str">
        <f t="shared" si="510"/>
        <v/>
      </c>
      <c r="M1640" t="str">
        <f t="shared" si="511"/>
        <v/>
      </c>
      <c r="N1640" t="str">
        <f t="shared" si="512"/>
        <v/>
      </c>
      <c r="O1640" t="str">
        <f t="shared" si="513"/>
        <v/>
      </c>
      <c r="P1640" t="str">
        <f t="shared" si="514"/>
        <v/>
      </c>
      <c r="Q1640" t="str">
        <f t="shared" si="515"/>
        <v/>
      </c>
      <c r="R1640" t="str">
        <f t="shared" si="516"/>
        <v/>
      </c>
      <c r="S1640" t="str">
        <f t="shared" si="517"/>
        <v/>
      </c>
      <c r="T1640" t="str">
        <f t="shared" si="518"/>
        <v/>
      </c>
      <c r="U1640" t="str">
        <f t="shared" si="519"/>
        <v/>
      </c>
      <c r="V1640" t="str">
        <f t="shared" si="520"/>
        <v/>
      </c>
      <c r="W1640" t="str">
        <f t="shared" si="503"/>
        <v xml:space="preserve">              </v>
      </c>
    </row>
    <row r="1641" spans="1:23" customFormat="1" hidden="1">
      <c r="A1641" t="b">
        <f t="shared" si="502"/>
        <v>0</v>
      </c>
      <c r="B1641">
        <f t="shared" si="504"/>
        <v>1640</v>
      </c>
      <c r="C1641" t="s">
        <v>1603</v>
      </c>
      <c r="D1641" t="s">
        <v>1606</v>
      </c>
      <c r="E1641">
        <f t="shared" si="521"/>
        <v>44</v>
      </c>
      <c r="G1641">
        <f t="shared" si="505"/>
        <v>3</v>
      </c>
      <c r="H1641" t="str">
        <f t="shared" si="506"/>
        <v/>
      </c>
      <c r="I1641" t="str">
        <f t="shared" si="507"/>
        <v/>
      </c>
      <c r="J1641" t="str">
        <f t="shared" si="508"/>
        <v/>
      </c>
      <c r="K1641" t="str">
        <f t="shared" si="509"/>
        <v/>
      </c>
      <c r="L1641" t="str">
        <f t="shared" si="510"/>
        <v/>
      </c>
      <c r="M1641" t="str">
        <f t="shared" si="511"/>
        <v/>
      </c>
      <c r="N1641" t="str">
        <f t="shared" si="512"/>
        <v/>
      </c>
      <c r="O1641" t="str">
        <f t="shared" si="513"/>
        <v/>
      </c>
      <c r="P1641" t="str">
        <f t="shared" si="514"/>
        <v/>
      </c>
      <c r="Q1641" t="str">
        <f t="shared" si="515"/>
        <v/>
      </c>
      <c r="R1641" t="str">
        <f t="shared" si="516"/>
        <v/>
      </c>
      <c r="S1641" t="str">
        <f t="shared" si="517"/>
        <v/>
      </c>
      <c r="T1641" t="str">
        <f t="shared" si="518"/>
        <v/>
      </c>
      <c r="U1641" t="str">
        <f t="shared" si="519"/>
        <v/>
      </c>
      <c r="V1641" t="str">
        <f t="shared" si="520"/>
        <v/>
      </c>
      <c r="W1641" t="str">
        <f t="shared" si="503"/>
        <v xml:space="preserve">              </v>
      </c>
    </row>
    <row r="1642" spans="1:23" customFormat="1" hidden="1">
      <c r="A1642" t="b">
        <f t="shared" si="502"/>
        <v>0</v>
      </c>
      <c r="B1642">
        <f t="shared" si="504"/>
        <v>1641</v>
      </c>
      <c r="C1642" t="s">
        <v>1603</v>
      </c>
      <c r="D1642" t="s">
        <v>1607</v>
      </c>
      <c r="E1642">
        <f t="shared" si="521"/>
        <v>40</v>
      </c>
      <c r="G1642">
        <f t="shared" si="505"/>
        <v>4</v>
      </c>
      <c r="H1642" t="str">
        <f t="shared" si="506"/>
        <v/>
      </c>
      <c r="I1642" t="str">
        <f t="shared" si="507"/>
        <v/>
      </c>
      <c r="J1642" t="str">
        <f t="shared" si="508"/>
        <v/>
      </c>
      <c r="K1642" t="str">
        <f t="shared" si="509"/>
        <v/>
      </c>
      <c r="L1642" t="str">
        <f t="shared" si="510"/>
        <v/>
      </c>
      <c r="M1642" t="str">
        <f t="shared" si="511"/>
        <v/>
      </c>
      <c r="N1642" t="str">
        <f t="shared" si="512"/>
        <v/>
      </c>
      <c r="O1642" t="str">
        <f t="shared" si="513"/>
        <v/>
      </c>
      <c r="P1642" t="str">
        <f t="shared" si="514"/>
        <v/>
      </c>
      <c r="Q1642" t="str">
        <f t="shared" si="515"/>
        <v/>
      </c>
      <c r="R1642" t="str">
        <f t="shared" si="516"/>
        <v/>
      </c>
      <c r="S1642" t="str">
        <f t="shared" si="517"/>
        <v/>
      </c>
      <c r="T1642" t="str">
        <f t="shared" si="518"/>
        <v/>
      </c>
      <c r="U1642" t="str">
        <f t="shared" si="519"/>
        <v/>
      </c>
      <c r="V1642" t="str">
        <f t="shared" si="520"/>
        <v/>
      </c>
      <c r="W1642" t="str">
        <f t="shared" si="503"/>
        <v xml:space="preserve">              </v>
      </c>
    </row>
    <row r="1643" spans="1:23" customFormat="1" hidden="1">
      <c r="A1643" t="b">
        <f t="shared" si="502"/>
        <v>0</v>
      </c>
      <c r="B1643">
        <f t="shared" si="504"/>
        <v>1642</v>
      </c>
      <c r="C1643" t="s">
        <v>1603</v>
      </c>
      <c r="D1643" t="s">
        <v>1608</v>
      </c>
      <c r="E1643">
        <f t="shared" si="521"/>
        <v>46</v>
      </c>
      <c r="G1643">
        <f t="shared" si="505"/>
        <v>5</v>
      </c>
      <c r="H1643" t="str">
        <f t="shared" si="506"/>
        <v/>
      </c>
      <c r="I1643" t="str">
        <f t="shared" si="507"/>
        <v/>
      </c>
      <c r="J1643" t="str">
        <f t="shared" si="508"/>
        <v/>
      </c>
      <c r="K1643" t="str">
        <f t="shared" si="509"/>
        <v/>
      </c>
      <c r="L1643" t="str">
        <f t="shared" si="510"/>
        <v/>
      </c>
      <c r="M1643" t="str">
        <f t="shared" si="511"/>
        <v/>
      </c>
      <c r="N1643" t="str">
        <f t="shared" si="512"/>
        <v/>
      </c>
      <c r="O1643" t="str">
        <f t="shared" si="513"/>
        <v/>
      </c>
      <c r="P1643" t="str">
        <f t="shared" si="514"/>
        <v/>
      </c>
      <c r="Q1643" t="str">
        <f t="shared" si="515"/>
        <v/>
      </c>
      <c r="R1643" t="str">
        <f t="shared" si="516"/>
        <v/>
      </c>
      <c r="S1643" t="str">
        <f t="shared" si="517"/>
        <v/>
      </c>
      <c r="T1643" t="str">
        <f t="shared" si="518"/>
        <v/>
      </c>
      <c r="U1643" t="str">
        <f t="shared" si="519"/>
        <v/>
      </c>
      <c r="V1643" t="str">
        <f t="shared" si="520"/>
        <v/>
      </c>
      <c r="W1643" t="str">
        <f t="shared" si="503"/>
        <v xml:space="preserve">              </v>
      </c>
    </row>
    <row r="1644" spans="1:23" customFormat="1" hidden="1">
      <c r="A1644" t="b">
        <f t="shared" si="502"/>
        <v>0</v>
      </c>
      <c r="B1644">
        <f t="shared" si="504"/>
        <v>1643</v>
      </c>
      <c r="C1644" t="s">
        <v>1603</v>
      </c>
      <c r="D1644" t="s">
        <v>1609</v>
      </c>
      <c r="E1644">
        <f t="shared" si="521"/>
        <v>38</v>
      </c>
      <c r="G1644">
        <f t="shared" si="505"/>
        <v>6</v>
      </c>
      <c r="H1644" t="str">
        <f t="shared" si="506"/>
        <v/>
      </c>
      <c r="I1644" t="str">
        <f t="shared" si="507"/>
        <v/>
      </c>
      <c r="J1644" t="str">
        <f t="shared" si="508"/>
        <v/>
      </c>
      <c r="K1644" t="str">
        <f t="shared" si="509"/>
        <v/>
      </c>
      <c r="L1644" t="str">
        <f t="shared" si="510"/>
        <v/>
      </c>
      <c r="M1644" t="str">
        <f t="shared" si="511"/>
        <v/>
      </c>
      <c r="N1644" t="str">
        <f t="shared" si="512"/>
        <v/>
      </c>
      <c r="O1644" t="str">
        <f t="shared" si="513"/>
        <v/>
      </c>
      <c r="P1644" t="str">
        <f t="shared" si="514"/>
        <v/>
      </c>
      <c r="Q1644" t="str">
        <f t="shared" si="515"/>
        <v/>
      </c>
      <c r="R1644" t="str">
        <f t="shared" si="516"/>
        <v/>
      </c>
      <c r="S1644" t="str">
        <f t="shared" si="517"/>
        <v/>
      </c>
      <c r="T1644" t="str">
        <f t="shared" si="518"/>
        <v/>
      </c>
      <c r="U1644" t="str">
        <f t="shared" si="519"/>
        <v/>
      </c>
      <c r="V1644" t="str">
        <f t="shared" si="520"/>
        <v/>
      </c>
      <c r="W1644" t="str">
        <f t="shared" si="503"/>
        <v xml:space="preserve">              </v>
      </c>
    </row>
    <row r="1645" spans="1:23" customFormat="1" hidden="1">
      <c r="A1645" t="b">
        <f t="shared" si="502"/>
        <v>0</v>
      </c>
      <c r="B1645">
        <f t="shared" si="504"/>
        <v>1644</v>
      </c>
      <c r="C1645" t="s">
        <v>1603</v>
      </c>
      <c r="D1645" t="s">
        <v>1610</v>
      </c>
      <c r="E1645">
        <f t="shared" si="521"/>
        <v>41</v>
      </c>
      <c r="G1645">
        <f t="shared" si="505"/>
        <v>7</v>
      </c>
      <c r="H1645" t="str">
        <f t="shared" si="506"/>
        <v/>
      </c>
      <c r="I1645" t="str">
        <f t="shared" si="507"/>
        <v/>
      </c>
      <c r="J1645" t="str">
        <f t="shared" si="508"/>
        <v/>
      </c>
      <c r="K1645" t="str">
        <f t="shared" si="509"/>
        <v/>
      </c>
      <c r="L1645" t="str">
        <f t="shared" si="510"/>
        <v/>
      </c>
      <c r="M1645" t="str">
        <f t="shared" si="511"/>
        <v/>
      </c>
      <c r="N1645" t="str">
        <f t="shared" si="512"/>
        <v/>
      </c>
      <c r="O1645" t="str">
        <f t="shared" si="513"/>
        <v/>
      </c>
      <c r="P1645" t="str">
        <f t="shared" si="514"/>
        <v/>
      </c>
      <c r="Q1645" t="str">
        <f t="shared" si="515"/>
        <v/>
      </c>
      <c r="R1645" t="str">
        <f t="shared" si="516"/>
        <v/>
      </c>
      <c r="S1645" t="str">
        <f t="shared" si="517"/>
        <v/>
      </c>
      <c r="T1645" t="str">
        <f t="shared" si="518"/>
        <v/>
      </c>
      <c r="U1645" t="str">
        <f t="shared" si="519"/>
        <v/>
      </c>
      <c r="V1645" t="str">
        <f t="shared" si="520"/>
        <v/>
      </c>
      <c r="W1645" t="str">
        <f t="shared" si="503"/>
        <v xml:space="preserve">              </v>
      </c>
    </row>
    <row r="1646" spans="1:23" customFormat="1" hidden="1">
      <c r="A1646" t="b">
        <f t="shared" si="502"/>
        <v>0</v>
      </c>
      <c r="B1646">
        <f t="shared" si="504"/>
        <v>1645</v>
      </c>
      <c r="C1646" t="s">
        <v>1603</v>
      </c>
      <c r="D1646" t="s">
        <v>1611</v>
      </c>
      <c r="E1646">
        <f t="shared" si="521"/>
        <v>48</v>
      </c>
      <c r="G1646">
        <f t="shared" si="505"/>
        <v>8</v>
      </c>
      <c r="H1646" t="str">
        <f t="shared" si="506"/>
        <v/>
      </c>
      <c r="I1646" t="str">
        <f t="shared" si="507"/>
        <v/>
      </c>
      <c r="J1646" t="str">
        <f t="shared" si="508"/>
        <v/>
      </c>
      <c r="K1646" t="str">
        <f t="shared" si="509"/>
        <v/>
      </c>
      <c r="L1646" t="str">
        <f t="shared" si="510"/>
        <v/>
      </c>
      <c r="M1646" t="str">
        <f t="shared" si="511"/>
        <v/>
      </c>
      <c r="N1646" t="str">
        <f t="shared" si="512"/>
        <v/>
      </c>
      <c r="O1646" t="str">
        <f t="shared" si="513"/>
        <v/>
      </c>
      <c r="P1646" t="str">
        <f t="shared" si="514"/>
        <v/>
      </c>
      <c r="Q1646" t="str">
        <f t="shared" si="515"/>
        <v/>
      </c>
      <c r="R1646" t="str">
        <f t="shared" si="516"/>
        <v/>
      </c>
      <c r="S1646" t="str">
        <f t="shared" si="517"/>
        <v/>
      </c>
      <c r="T1646" t="str">
        <f t="shared" si="518"/>
        <v/>
      </c>
      <c r="U1646" t="str">
        <f t="shared" si="519"/>
        <v/>
      </c>
      <c r="V1646" t="str">
        <f t="shared" si="520"/>
        <v/>
      </c>
      <c r="W1646" t="str">
        <f t="shared" si="503"/>
        <v xml:space="preserve">              </v>
      </c>
    </row>
    <row r="1647" spans="1:23" customFormat="1" hidden="1">
      <c r="A1647" t="b">
        <f t="shared" si="502"/>
        <v>0</v>
      </c>
      <c r="B1647">
        <f t="shared" si="504"/>
        <v>1646</v>
      </c>
      <c r="C1647" t="s">
        <v>1603</v>
      </c>
      <c r="D1647" t="s">
        <v>1612</v>
      </c>
      <c r="E1647">
        <f t="shared" si="521"/>
        <v>8</v>
      </c>
      <c r="G1647">
        <f t="shared" si="505"/>
        <v>9</v>
      </c>
      <c r="H1647" t="str">
        <f t="shared" si="506"/>
        <v/>
      </c>
      <c r="I1647" t="str">
        <f t="shared" si="507"/>
        <v/>
      </c>
      <c r="J1647" t="str">
        <f t="shared" si="508"/>
        <v/>
      </c>
      <c r="K1647" t="str">
        <f t="shared" si="509"/>
        <v/>
      </c>
      <c r="L1647" t="str">
        <f t="shared" si="510"/>
        <v/>
      </c>
      <c r="M1647" t="str">
        <f t="shared" si="511"/>
        <v/>
      </c>
      <c r="N1647" t="str">
        <f t="shared" si="512"/>
        <v/>
      </c>
      <c r="O1647" t="str">
        <f t="shared" si="513"/>
        <v/>
      </c>
      <c r="P1647" t="str">
        <f t="shared" si="514"/>
        <v/>
      </c>
      <c r="Q1647" t="str">
        <f t="shared" si="515"/>
        <v/>
      </c>
      <c r="R1647" t="str">
        <f t="shared" si="516"/>
        <v/>
      </c>
      <c r="S1647" t="str">
        <f t="shared" si="517"/>
        <v/>
      </c>
      <c r="T1647" t="str">
        <f t="shared" si="518"/>
        <v/>
      </c>
      <c r="U1647" t="str">
        <f t="shared" si="519"/>
        <v/>
      </c>
      <c r="V1647" t="str">
        <f t="shared" si="520"/>
        <v/>
      </c>
      <c r="W1647" t="str">
        <f t="shared" si="503"/>
        <v xml:space="preserve">              </v>
      </c>
    </row>
    <row r="1648" spans="1:23" hidden="1">
      <c r="A1648" s="71" t="b">
        <f t="shared" si="502"/>
        <v>0</v>
      </c>
      <c r="B1648" s="71">
        <f t="shared" si="504"/>
        <v>1647</v>
      </c>
      <c r="C1648" s="71" t="s">
        <v>1603</v>
      </c>
      <c r="D1648" s="71" t="s">
        <v>1613</v>
      </c>
      <c r="E1648">
        <f t="shared" si="521"/>
        <v>13</v>
      </c>
      <c r="F1648">
        <v>1</v>
      </c>
      <c r="G1648">
        <f t="shared" si="505"/>
        <v>1</v>
      </c>
      <c r="H1648" t="str">
        <f t="shared" si="506"/>
        <v>Brain writing</v>
      </c>
      <c r="I1648" t="str">
        <f t="shared" si="507"/>
        <v>A data gathering technique that’s similar to</v>
      </c>
      <c r="J1648" t="str">
        <f t="shared" si="508"/>
        <v>brainstorming, but provides brainstorming</v>
      </c>
      <c r="K1648" t="str">
        <f t="shared" si="509"/>
        <v>meeting participants with the questions and</v>
      </c>
      <c r="L1648" t="str">
        <f t="shared" si="510"/>
        <v>topics for brainstorming before the stakeholder</v>
      </c>
      <c r="M1648" t="str">
        <f t="shared" si="511"/>
        <v>identification meeting.</v>
      </c>
      <c r="N1648" t="str">
        <f t="shared" si="512"/>
        <v/>
      </c>
      <c r="O1648" t="str">
        <f t="shared" si="513"/>
        <v/>
      </c>
      <c r="P1648" t="str">
        <f t="shared" si="514"/>
        <v/>
      </c>
      <c r="Q1648" t="str">
        <f t="shared" si="515"/>
        <v/>
      </c>
      <c r="R1648" t="str">
        <f t="shared" si="516"/>
        <v/>
      </c>
      <c r="S1648" t="str">
        <f t="shared" si="517"/>
        <v/>
      </c>
      <c r="T1648" t="str">
        <f t="shared" si="518"/>
        <v/>
      </c>
      <c r="U1648" t="str">
        <f t="shared" si="519"/>
        <v/>
      </c>
      <c r="V1648" t="str">
        <f t="shared" si="520"/>
        <v/>
      </c>
      <c r="W1648" s="71" t="str">
        <f>CONCATENATE(H1648," ",I1648," ",J1648," ",K1648," ",L1648," ",M1648," ",N1648," ",O1648," ",P1648," ",Q1648," ",R1648," ",S1648," ",T1648," ",U1648," ",V1648)</f>
        <v xml:space="preserve">Brain writing A data gathering technique that’s similar to brainstorming, but provides brainstorming meeting participants with the questions and topics for brainstorming before the stakeholder identification meeting.         </v>
      </c>
    </row>
    <row r="1649" spans="1:23" customFormat="1" hidden="1">
      <c r="A1649" t="b">
        <f t="shared" si="502"/>
        <v>0</v>
      </c>
      <c r="B1649">
        <f t="shared" si="504"/>
        <v>1648</v>
      </c>
      <c r="C1649" t="s">
        <v>1603</v>
      </c>
      <c r="D1649" t="s">
        <v>1614</v>
      </c>
      <c r="E1649">
        <f t="shared" si="521"/>
        <v>44</v>
      </c>
      <c r="G1649">
        <f t="shared" si="505"/>
        <v>2</v>
      </c>
      <c r="H1649" t="str">
        <f t="shared" si="506"/>
        <v/>
      </c>
      <c r="I1649" t="str">
        <f t="shared" si="507"/>
        <v/>
      </c>
      <c r="J1649" t="str">
        <f t="shared" si="508"/>
        <v/>
      </c>
      <c r="K1649" t="str">
        <f t="shared" si="509"/>
        <v/>
      </c>
      <c r="L1649" t="str">
        <f t="shared" si="510"/>
        <v/>
      </c>
      <c r="M1649" t="str">
        <f t="shared" si="511"/>
        <v/>
      </c>
      <c r="N1649" t="str">
        <f t="shared" si="512"/>
        <v/>
      </c>
      <c r="O1649" t="str">
        <f t="shared" si="513"/>
        <v/>
      </c>
      <c r="P1649" t="str">
        <f t="shared" si="514"/>
        <v/>
      </c>
      <c r="Q1649" t="str">
        <f t="shared" si="515"/>
        <v/>
      </c>
      <c r="R1649" t="str">
        <f t="shared" si="516"/>
        <v/>
      </c>
      <c r="S1649" t="str">
        <f t="shared" si="517"/>
        <v/>
      </c>
      <c r="T1649" t="str">
        <f t="shared" si="518"/>
        <v/>
      </c>
      <c r="U1649" t="str">
        <f t="shared" si="519"/>
        <v/>
      </c>
      <c r="V1649" t="str">
        <f t="shared" si="520"/>
        <v/>
      </c>
      <c r="W1649" t="str">
        <f t="shared" si="503"/>
        <v xml:space="preserve">              </v>
      </c>
    </row>
    <row r="1650" spans="1:23" customFormat="1" hidden="1">
      <c r="A1650" t="b">
        <f t="shared" si="502"/>
        <v>0</v>
      </c>
      <c r="B1650">
        <f t="shared" si="504"/>
        <v>1649</v>
      </c>
      <c r="C1650" t="s">
        <v>1603</v>
      </c>
      <c r="D1650" t="s">
        <v>1615</v>
      </c>
      <c r="E1650">
        <f t="shared" si="521"/>
        <v>41</v>
      </c>
      <c r="G1650">
        <f t="shared" si="505"/>
        <v>3</v>
      </c>
      <c r="H1650" t="str">
        <f t="shared" si="506"/>
        <v/>
      </c>
      <c r="I1650" t="str">
        <f t="shared" si="507"/>
        <v/>
      </c>
      <c r="J1650" t="str">
        <f t="shared" si="508"/>
        <v/>
      </c>
      <c r="K1650" t="str">
        <f t="shared" si="509"/>
        <v/>
      </c>
      <c r="L1650" t="str">
        <f t="shared" si="510"/>
        <v/>
      </c>
      <c r="M1650" t="str">
        <f t="shared" si="511"/>
        <v/>
      </c>
      <c r="N1650" t="str">
        <f t="shared" si="512"/>
        <v/>
      </c>
      <c r="O1650" t="str">
        <f t="shared" si="513"/>
        <v/>
      </c>
      <c r="P1650" t="str">
        <f t="shared" si="514"/>
        <v/>
      </c>
      <c r="Q1650" t="str">
        <f t="shared" si="515"/>
        <v/>
      </c>
      <c r="R1650" t="str">
        <f t="shared" si="516"/>
        <v/>
      </c>
      <c r="S1650" t="str">
        <f t="shared" si="517"/>
        <v/>
      </c>
      <c r="T1650" t="str">
        <f t="shared" si="518"/>
        <v/>
      </c>
      <c r="U1650" t="str">
        <f t="shared" si="519"/>
        <v/>
      </c>
      <c r="V1650" t="str">
        <f t="shared" si="520"/>
        <v/>
      </c>
      <c r="W1650" t="str">
        <f t="shared" si="503"/>
        <v xml:space="preserve">              </v>
      </c>
    </row>
    <row r="1651" spans="1:23" customFormat="1" hidden="1">
      <c r="A1651" t="b">
        <f t="shared" si="502"/>
        <v>0</v>
      </c>
      <c r="B1651">
        <f t="shared" si="504"/>
        <v>1650</v>
      </c>
      <c r="C1651" t="s">
        <v>1603</v>
      </c>
      <c r="D1651" t="s">
        <v>1616</v>
      </c>
      <c r="E1651">
        <f t="shared" si="521"/>
        <v>43</v>
      </c>
      <c r="G1651">
        <f t="shared" si="505"/>
        <v>4</v>
      </c>
      <c r="H1651" t="str">
        <f t="shared" si="506"/>
        <v/>
      </c>
      <c r="I1651" t="str">
        <f t="shared" si="507"/>
        <v/>
      </c>
      <c r="J1651" t="str">
        <f t="shared" si="508"/>
        <v/>
      </c>
      <c r="K1651" t="str">
        <f t="shared" si="509"/>
        <v/>
      </c>
      <c r="L1651" t="str">
        <f t="shared" si="510"/>
        <v/>
      </c>
      <c r="M1651" t="str">
        <f t="shared" si="511"/>
        <v/>
      </c>
      <c r="N1651" t="str">
        <f t="shared" si="512"/>
        <v/>
      </c>
      <c r="O1651" t="str">
        <f t="shared" si="513"/>
        <v/>
      </c>
      <c r="P1651" t="str">
        <f t="shared" si="514"/>
        <v/>
      </c>
      <c r="Q1651" t="str">
        <f t="shared" si="515"/>
        <v/>
      </c>
      <c r="R1651" t="str">
        <f t="shared" si="516"/>
        <v/>
      </c>
      <c r="S1651" t="str">
        <f t="shared" si="517"/>
        <v/>
      </c>
      <c r="T1651" t="str">
        <f t="shared" si="518"/>
        <v/>
      </c>
      <c r="U1651" t="str">
        <f t="shared" si="519"/>
        <v/>
      </c>
      <c r="V1651" t="str">
        <f t="shared" si="520"/>
        <v/>
      </c>
      <c r="W1651" t="str">
        <f t="shared" si="503"/>
        <v xml:space="preserve">              </v>
      </c>
    </row>
    <row r="1652" spans="1:23" customFormat="1" hidden="1">
      <c r="A1652" t="b">
        <f t="shared" si="502"/>
        <v>0</v>
      </c>
      <c r="B1652">
        <f t="shared" si="504"/>
        <v>1651</v>
      </c>
      <c r="C1652" t="s">
        <v>1603</v>
      </c>
      <c r="D1652" t="s">
        <v>1617</v>
      </c>
      <c r="E1652">
        <f t="shared" si="521"/>
        <v>47</v>
      </c>
      <c r="G1652">
        <f t="shared" si="505"/>
        <v>5</v>
      </c>
      <c r="H1652" t="str">
        <f t="shared" si="506"/>
        <v/>
      </c>
      <c r="I1652" t="str">
        <f t="shared" si="507"/>
        <v/>
      </c>
      <c r="J1652" t="str">
        <f t="shared" si="508"/>
        <v/>
      </c>
      <c r="K1652" t="str">
        <f t="shared" si="509"/>
        <v/>
      </c>
      <c r="L1652" t="str">
        <f t="shared" si="510"/>
        <v/>
      </c>
      <c r="M1652" t="str">
        <f t="shared" si="511"/>
        <v/>
      </c>
      <c r="N1652" t="str">
        <f t="shared" si="512"/>
        <v/>
      </c>
      <c r="O1652" t="str">
        <f t="shared" si="513"/>
        <v/>
      </c>
      <c r="P1652" t="str">
        <f t="shared" si="514"/>
        <v/>
      </c>
      <c r="Q1652" t="str">
        <f t="shared" si="515"/>
        <v/>
      </c>
      <c r="R1652" t="str">
        <f t="shared" si="516"/>
        <v/>
      </c>
      <c r="S1652" t="str">
        <f t="shared" si="517"/>
        <v/>
      </c>
      <c r="T1652" t="str">
        <f t="shared" si="518"/>
        <v/>
      </c>
      <c r="U1652" t="str">
        <f t="shared" si="519"/>
        <v/>
      </c>
      <c r="V1652" t="str">
        <f t="shared" si="520"/>
        <v/>
      </c>
      <c r="W1652" t="str">
        <f t="shared" si="503"/>
        <v xml:space="preserve">              </v>
      </c>
    </row>
    <row r="1653" spans="1:23" customFormat="1" hidden="1">
      <c r="A1653" t="b">
        <f t="shared" si="502"/>
        <v>0</v>
      </c>
      <c r="B1653">
        <f t="shared" si="504"/>
        <v>1652</v>
      </c>
      <c r="C1653" t="s">
        <v>1603</v>
      </c>
      <c r="D1653" t="s">
        <v>1618</v>
      </c>
      <c r="E1653">
        <f t="shared" si="521"/>
        <v>23</v>
      </c>
      <c r="G1653">
        <f t="shared" si="505"/>
        <v>6</v>
      </c>
      <c r="H1653" t="str">
        <f t="shared" si="506"/>
        <v/>
      </c>
      <c r="I1653" t="str">
        <f t="shared" si="507"/>
        <v/>
      </c>
      <c r="J1653" t="str">
        <f t="shared" si="508"/>
        <v/>
      </c>
      <c r="K1653" t="str">
        <f t="shared" si="509"/>
        <v/>
      </c>
      <c r="L1653" t="str">
        <f t="shared" si="510"/>
        <v/>
      </c>
      <c r="M1653" t="str">
        <f t="shared" si="511"/>
        <v/>
      </c>
      <c r="N1653" t="str">
        <f t="shared" si="512"/>
        <v/>
      </c>
      <c r="O1653" t="str">
        <f t="shared" si="513"/>
        <v/>
      </c>
      <c r="P1653" t="str">
        <f t="shared" si="514"/>
        <v/>
      </c>
      <c r="Q1653" t="str">
        <f t="shared" si="515"/>
        <v/>
      </c>
      <c r="R1653" t="str">
        <f t="shared" si="516"/>
        <v/>
      </c>
      <c r="S1653" t="str">
        <f t="shared" si="517"/>
        <v/>
      </c>
      <c r="T1653" t="str">
        <f t="shared" si="518"/>
        <v/>
      </c>
      <c r="U1653" t="str">
        <f t="shared" si="519"/>
        <v/>
      </c>
      <c r="V1653" t="str">
        <f t="shared" si="520"/>
        <v/>
      </c>
      <c r="W1653" t="str">
        <f t="shared" si="503"/>
        <v xml:space="preserve">              </v>
      </c>
    </row>
    <row r="1654" spans="1:23" hidden="1">
      <c r="A1654" s="71" t="b">
        <f t="shared" si="502"/>
        <v>0</v>
      </c>
      <c r="B1654" s="71">
        <f t="shared" si="504"/>
        <v>1653</v>
      </c>
      <c r="C1654" s="71" t="s">
        <v>1603</v>
      </c>
      <c r="D1654" s="71" t="s">
        <v>1619</v>
      </c>
      <c r="E1654">
        <f t="shared" si="521"/>
        <v>15</v>
      </c>
      <c r="F1654">
        <v>1</v>
      </c>
      <c r="G1654">
        <f t="shared" si="505"/>
        <v>1</v>
      </c>
      <c r="H1654" t="str">
        <f t="shared" si="506"/>
        <v>Key stakeholder</v>
      </c>
      <c r="I1654" t="str">
        <f t="shared" si="507"/>
        <v>Stakeholders—such as management, the project</v>
      </c>
      <c r="J1654" t="str">
        <f t="shared" si="508"/>
        <v>manager, program manager, or customers—that</v>
      </c>
      <c r="K1654" t="str">
        <f t="shared" si="509"/>
        <v>have the authority to make decisions in the</v>
      </c>
      <c r="L1654" t="str">
        <f t="shared" si="510"/>
        <v>project.</v>
      </c>
      <c r="M1654" t="str">
        <f t="shared" si="511"/>
        <v/>
      </c>
      <c r="N1654" t="str">
        <f t="shared" si="512"/>
        <v/>
      </c>
      <c r="O1654" t="str">
        <f t="shared" si="513"/>
        <v/>
      </c>
      <c r="P1654" t="str">
        <f t="shared" si="514"/>
        <v/>
      </c>
      <c r="Q1654" t="str">
        <f t="shared" si="515"/>
        <v/>
      </c>
      <c r="R1654" t="str">
        <f t="shared" si="516"/>
        <v/>
      </c>
      <c r="S1654" t="str">
        <f t="shared" si="517"/>
        <v/>
      </c>
      <c r="T1654" t="str">
        <f t="shared" si="518"/>
        <v/>
      </c>
      <c r="U1654" t="str">
        <f t="shared" si="519"/>
        <v/>
      </c>
      <c r="V1654" t="str">
        <f t="shared" si="520"/>
        <v/>
      </c>
      <c r="W1654" s="71" t="str">
        <f>CONCATENATE(H1654," ",I1654," ",J1654," ",K1654," ",L1654," ",M1654," ",N1654," ",O1654," ",P1654," ",Q1654," ",R1654," ",S1654," ",T1654," ",U1654," ",V1654)</f>
        <v xml:space="preserve">Key stakeholder Stakeholders—such as management, the project manager, program manager, or customers—that have the authority to make decisions in the project.          </v>
      </c>
    </row>
    <row r="1655" spans="1:23" customFormat="1" hidden="1">
      <c r="A1655" t="b">
        <f t="shared" si="502"/>
        <v>0</v>
      </c>
      <c r="B1655">
        <f t="shared" si="504"/>
        <v>1654</v>
      </c>
      <c r="C1655" t="s">
        <v>1603</v>
      </c>
      <c r="D1655" t="s">
        <v>1620</v>
      </c>
      <c r="E1655">
        <f t="shared" si="521"/>
        <v>44</v>
      </c>
      <c r="G1655">
        <f t="shared" si="505"/>
        <v>2</v>
      </c>
      <c r="H1655" t="str">
        <f t="shared" si="506"/>
        <v/>
      </c>
      <c r="I1655" t="str">
        <f t="shared" si="507"/>
        <v/>
      </c>
      <c r="J1655" t="str">
        <f t="shared" si="508"/>
        <v/>
      </c>
      <c r="K1655" t="str">
        <f t="shared" si="509"/>
        <v/>
      </c>
      <c r="L1655" t="str">
        <f t="shared" si="510"/>
        <v/>
      </c>
      <c r="M1655" t="str">
        <f t="shared" si="511"/>
        <v/>
      </c>
      <c r="N1655" t="str">
        <f t="shared" si="512"/>
        <v/>
      </c>
      <c r="O1655" t="str">
        <f t="shared" si="513"/>
        <v/>
      </c>
      <c r="P1655" t="str">
        <f t="shared" si="514"/>
        <v/>
      </c>
      <c r="Q1655" t="str">
        <f t="shared" si="515"/>
        <v/>
      </c>
      <c r="R1655" t="str">
        <f t="shared" si="516"/>
        <v/>
      </c>
      <c r="S1655" t="str">
        <f t="shared" si="517"/>
        <v/>
      </c>
      <c r="T1655" t="str">
        <f t="shared" si="518"/>
        <v/>
      </c>
      <c r="U1655" t="str">
        <f t="shared" si="519"/>
        <v/>
      </c>
      <c r="V1655" t="str">
        <f t="shared" si="520"/>
        <v/>
      </c>
      <c r="W1655" t="str">
        <f t="shared" si="503"/>
        <v xml:space="preserve">              </v>
      </c>
    </row>
    <row r="1656" spans="1:23" customFormat="1" hidden="1">
      <c r="A1656" t="b">
        <f t="shared" si="502"/>
        <v>0</v>
      </c>
      <c r="B1656">
        <f t="shared" si="504"/>
        <v>1655</v>
      </c>
      <c r="C1656" t="s">
        <v>1603</v>
      </c>
      <c r="D1656" t="s">
        <v>1621</v>
      </c>
      <c r="E1656">
        <f t="shared" si="521"/>
        <v>43</v>
      </c>
      <c r="G1656">
        <f t="shared" si="505"/>
        <v>3</v>
      </c>
      <c r="H1656" t="str">
        <f t="shared" si="506"/>
        <v/>
      </c>
      <c r="I1656" t="str">
        <f t="shared" si="507"/>
        <v/>
      </c>
      <c r="J1656" t="str">
        <f t="shared" si="508"/>
        <v/>
      </c>
      <c r="K1656" t="str">
        <f t="shared" si="509"/>
        <v/>
      </c>
      <c r="L1656" t="str">
        <f t="shared" si="510"/>
        <v/>
      </c>
      <c r="M1656" t="str">
        <f t="shared" si="511"/>
        <v/>
      </c>
      <c r="N1656" t="str">
        <f t="shared" si="512"/>
        <v/>
      </c>
      <c r="O1656" t="str">
        <f t="shared" si="513"/>
        <v/>
      </c>
      <c r="P1656" t="str">
        <f t="shared" si="514"/>
        <v/>
      </c>
      <c r="Q1656" t="str">
        <f t="shared" si="515"/>
        <v/>
      </c>
      <c r="R1656" t="str">
        <f t="shared" si="516"/>
        <v/>
      </c>
      <c r="S1656" t="str">
        <f t="shared" si="517"/>
        <v/>
      </c>
      <c r="T1656" t="str">
        <f t="shared" si="518"/>
        <v/>
      </c>
      <c r="U1656" t="str">
        <f t="shared" si="519"/>
        <v/>
      </c>
      <c r="V1656" t="str">
        <f t="shared" si="520"/>
        <v/>
      </c>
      <c r="W1656" t="str">
        <f t="shared" si="503"/>
        <v xml:space="preserve">              </v>
      </c>
    </row>
    <row r="1657" spans="1:23" customFormat="1" hidden="1">
      <c r="A1657" t="b">
        <f t="shared" si="502"/>
        <v>0</v>
      </c>
      <c r="B1657">
        <f t="shared" si="504"/>
        <v>1656</v>
      </c>
      <c r="C1657" t="s">
        <v>1603</v>
      </c>
      <c r="D1657" t="s">
        <v>1622</v>
      </c>
      <c r="E1657">
        <f t="shared" si="521"/>
        <v>43</v>
      </c>
      <c r="G1657">
        <f t="shared" si="505"/>
        <v>4</v>
      </c>
      <c r="H1657" t="str">
        <f t="shared" si="506"/>
        <v/>
      </c>
      <c r="I1657" t="str">
        <f t="shared" si="507"/>
        <v/>
      </c>
      <c r="J1657" t="str">
        <f t="shared" si="508"/>
        <v/>
      </c>
      <c r="K1657" t="str">
        <f t="shared" si="509"/>
        <v/>
      </c>
      <c r="L1657" t="str">
        <f t="shared" si="510"/>
        <v/>
      </c>
      <c r="M1657" t="str">
        <f t="shared" si="511"/>
        <v/>
      </c>
      <c r="N1657" t="str">
        <f t="shared" si="512"/>
        <v/>
      </c>
      <c r="O1657" t="str">
        <f t="shared" si="513"/>
        <v/>
      </c>
      <c r="P1657" t="str">
        <f t="shared" si="514"/>
        <v/>
      </c>
      <c r="Q1657" t="str">
        <f t="shared" si="515"/>
        <v/>
      </c>
      <c r="R1657" t="str">
        <f t="shared" si="516"/>
        <v/>
      </c>
      <c r="S1657" t="str">
        <f t="shared" si="517"/>
        <v/>
      </c>
      <c r="T1657" t="str">
        <f t="shared" si="518"/>
        <v/>
      </c>
      <c r="U1657" t="str">
        <f t="shared" si="519"/>
        <v/>
      </c>
      <c r="V1657" t="str">
        <f t="shared" si="520"/>
        <v/>
      </c>
      <c r="W1657" t="str">
        <f t="shared" si="503"/>
        <v xml:space="preserve">              </v>
      </c>
    </row>
    <row r="1658" spans="1:23" customFormat="1" hidden="1">
      <c r="A1658" t="b">
        <f t="shared" si="502"/>
        <v>0</v>
      </c>
      <c r="B1658">
        <f t="shared" si="504"/>
        <v>1657</v>
      </c>
      <c r="C1658" t="s">
        <v>1603</v>
      </c>
      <c r="D1658" t="s">
        <v>131</v>
      </c>
      <c r="E1658">
        <f t="shared" si="521"/>
        <v>8</v>
      </c>
      <c r="G1658">
        <f t="shared" si="505"/>
        <v>5</v>
      </c>
      <c r="H1658" t="str">
        <f t="shared" si="506"/>
        <v/>
      </c>
      <c r="I1658" t="str">
        <f t="shared" si="507"/>
        <v/>
      </c>
      <c r="J1658" t="str">
        <f t="shared" si="508"/>
        <v/>
      </c>
      <c r="K1658" t="str">
        <f t="shared" si="509"/>
        <v/>
      </c>
      <c r="L1658" t="str">
        <f t="shared" si="510"/>
        <v/>
      </c>
      <c r="M1658" t="str">
        <f t="shared" si="511"/>
        <v/>
      </c>
      <c r="N1658" t="str">
        <f t="shared" si="512"/>
        <v/>
      </c>
      <c r="O1658" t="str">
        <f t="shared" si="513"/>
        <v/>
      </c>
      <c r="P1658" t="str">
        <f t="shared" si="514"/>
        <v/>
      </c>
      <c r="Q1658" t="str">
        <f t="shared" si="515"/>
        <v/>
      </c>
      <c r="R1658" t="str">
        <f t="shared" si="516"/>
        <v/>
      </c>
      <c r="S1658" t="str">
        <f t="shared" si="517"/>
        <v/>
      </c>
      <c r="T1658" t="str">
        <f t="shared" si="518"/>
        <v/>
      </c>
      <c r="U1658" t="str">
        <f t="shared" si="519"/>
        <v/>
      </c>
      <c r="V1658" t="str">
        <f t="shared" si="520"/>
        <v/>
      </c>
      <c r="W1658" t="str">
        <f t="shared" si="503"/>
        <v xml:space="preserve">              </v>
      </c>
    </row>
    <row r="1659" spans="1:23" hidden="1">
      <c r="A1659" s="71" t="b">
        <f t="shared" si="502"/>
        <v>0</v>
      </c>
      <c r="B1659" s="71">
        <f t="shared" si="504"/>
        <v>1658</v>
      </c>
      <c r="C1659" s="71" t="s">
        <v>1603</v>
      </c>
      <c r="D1659" s="71" t="s">
        <v>1623</v>
      </c>
      <c r="E1659">
        <f t="shared" si="521"/>
        <v>26</v>
      </c>
      <c r="F1659">
        <v>1</v>
      </c>
      <c r="G1659">
        <f t="shared" si="505"/>
        <v>1</v>
      </c>
      <c r="H1659" t="str">
        <f t="shared" si="506"/>
        <v>Leading stakeholder status</v>
      </c>
      <c r="I1659" t="str">
        <f t="shared" si="507"/>
        <v>Part of stakeholder analysis classification. A</v>
      </c>
      <c r="J1659" t="str">
        <f t="shared" si="508"/>
        <v>leading stakeholder is aware of your project, they</v>
      </c>
      <c r="K1659" t="str">
        <f t="shared" si="509"/>
        <v>want your project to be successful, and the</v>
      </c>
      <c r="L1659" t="str">
        <f t="shared" si="510"/>
        <v>stakeholder is working to make certain the</v>
      </c>
      <c r="M1659" t="str">
        <f t="shared" si="511"/>
        <v>project is a success.</v>
      </c>
      <c r="N1659" t="str">
        <f t="shared" si="512"/>
        <v/>
      </c>
      <c r="O1659" t="str">
        <f t="shared" si="513"/>
        <v/>
      </c>
      <c r="P1659" t="str">
        <f t="shared" si="514"/>
        <v/>
      </c>
      <c r="Q1659" t="str">
        <f t="shared" si="515"/>
        <v/>
      </c>
      <c r="R1659" t="str">
        <f t="shared" si="516"/>
        <v/>
      </c>
      <c r="S1659" t="str">
        <f t="shared" si="517"/>
        <v/>
      </c>
      <c r="T1659" t="str">
        <f t="shared" si="518"/>
        <v/>
      </c>
      <c r="U1659" t="str">
        <f t="shared" si="519"/>
        <v/>
      </c>
      <c r="V1659" t="str">
        <f t="shared" si="520"/>
        <v/>
      </c>
      <c r="W1659" s="71" t="str">
        <f>CONCATENATE(H1659," ",I1659," ",J1659," ",K1659," ",L1659," ",M1659," ",N1659," ",O1659," ",P1659," ",Q1659," ",R1659," ",S1659," ",T1659," ",U1659," ",V1659)</f>
        <v xml:space="preserve">Leading stakeholder status Part of stakeholder analysis classification. A leading stakeholder is aware of your project, they want your project to be successful, and the stakeholder is working to make certain the project is a success.         </v>
      </c>
    </row>
    <row r="1660" spans="1:23" customFormat="1" hidden="1">
      <c r="A1660" t="b">
        <f t="shared" ref="A1660:A1723" si="522">C1660=D1660</f>
        <v>0</v>
      </c>
      <c r="B1660">
        <f t="shared" si="504"/>
        <v>1659</v>
      </c>
      <c r="C1660" t="s">
        <v>1603</v>
      </c>
      <c r="D1660" t="s">
        <v>1624</v>
      </c>
      <c r="E1660">
        <f t="shared" si="521"/>
        <v>46</v>
      </c>
      <c r="G1660">
        <f t="shared" si="505"/>
        <v>2</v>
      </c>
      <c r="H1660" t="str">
        <f t="shared" si="506"/>
        <v/>
      </c>
      <c r="I1660" t="str">
        <f t="shared" si="507"/>
        <v/>
      </c>
      <c r="J1660" t="str">
        <f t="shared" si="508"/>
        <v/>
      </c>
      <c r="K1660" t="str">
        <f t="shared" si="509"/>
        <v/>
      </c>
      <c r="L1660" t="str">
        <f t="shared" si="510"/>
        <v/>
      </c>
      <c r="M1660" t="str">
        <f t="shared" si="511"/>
        <v/>
      </c>
      <c r="N1660" t="str">
        <f t="shared" si="512"/>
        <v/>
      </c>
      <c r="O1660" t="str">
        <f t="shared" si="513"/>
        <v/>
      </c>
      <c r="P1660" t="str">
        <f t="shared" si="514"/>
        <v/>
      </c>
      <c r="Q1660" t="str">
        <f t="shared" si="515"/>
        <v/>
      </c>
      <c r="R1660" t="str">
        <f t="shared" si="516"/>
        <v/>
      </c>
      <c r="S1660" t="str">
        <f t="shared" si="517"/>
        <v/>
      </c>
      <c r="T1660" t="str">
        <f t="shared" si="518"/>
        <v/>
      </c>
      <c r="U1660" t="str">
        <f t="shared" si="519"/>
        <v/>
      </c>
      <c r="V1660" t="str">
        <f t="shared" si="520"/>
        <v/>
      </c>
      <c r="W1660" t="str">
        <f t="shared" ref="W1660:W1722" si="523">CONCATENATE(H1660," ",I1660," ",J1660," ",K1660," ",L1660," ",M1660," ",N1660," ",O1660," ",P1660," ",Q1660," ",R1660," ",S1660," ",T1660," ",U1660," ",V1660)</f>
        <v xml:space="preserve">              </v>
      </c>
    </row>
    <row r="1661" spans="1:23" customFormat="1" hidden="1">
      <c r="A1661" t="b">
        <f t="shared" si="522"/>
        <v>0</v>
      </c>
      <c r="B1661">
        <f t="shared" si="504"/>
        <v>1660</v>
      </c>
      <c r="C1661" t="s">
        <v>1603</v>
      </c>
      <c r="D1661" t="s">
        <v>1625</v>
      </c>
      <c r="E1661">
        <f t="shared" si="521"/>
        <v>50</v>
      </c>
      <c r="G1661">
        <f t="shared" si="505"/>
        <v>3</v>
      </c>
      <c r="H1661" t="str">
        <f t="shared" si="506"/>
        <v/>
      </c>
      <c r="I1661" t="str">
        <f t="shared" si="507"/>
        <v/>
      </c>
      <c r="J1661" t="str">
        <f t="shared" si="508"/>
        <v/>
      </c>
      <c r="K1661" t="str">
        <f t="shared" si="509"/>
        <v/>
      </c>
      <c r="L1661" t="str">
        <f t="shared" si="510"/>
        <v/>
      </c>
      <c r="M1661" t="str">
        <f t="shared" si="511"/>
        <v/>
      </c>
      <c r="N1661" t="str">
        <f t="shared" si="512"/>
        <v/>
      </c>
      <c r="O1661" t="str">
        <f t="shared" si="513"/>
        <v/>
      </c>
      <c r="P1661" t="str">
        <f t="shared" si="514"/>
        <v/>
      </c>
      <c r="Q1661" t="str">
        <f t="shared" si="515"/>
        <v/>
      </c>
      <c r="R1661" t="str">
        <f t="shared" si="516"/>
        <v/>
      </c>
      <c r="S1661" t="str">
        <f t="shared" si="517"/>
        <v/>
      </c>
      <c r="T1661" t="str">
        <f t="shared" si="518"/>
        <v/>
      </c>
      <c r="U1661" t="str">
        <f t="shared" si="519"/>
        <v/>
      </c>
      <c r="V1661" t="str">
        <f t="shared" si="520"/>
        <v/>
      </c>
      <c r="W1661" t="str">
        <f t="shared" si="523"/>
        <v xml:space="preserve">              </v>
      </c>
    </row>
    <row r="1662" spans="1:23" customFormat="1" hidden="1">
      <c r="A1662" t="b">
        <f t="shared" si="522"/>
        <v>0</v>
      </c>
      <c r="B1662">
        <f t="shared" si="504"/>
        <v>1661</v>
      </c>
      <c r="C1662" t="s">
        <v>1603</v>
      </c>
      <c r="D1662" t="s">
        <v>1626</v>
      </c>
      <c r="E1662">
        <f t="shared" si="521"/>
        <v>43</v>
      </c>
      <c r="G1662">
        <f t="shared" si="505"/>
        <v>4</v>
      </c>
      <c r="H1662" t="str">
        <f t="shared" si="506"/>
        <v/>
      </c>
      <c r="I1662" t="str">
        <f t="shared" si="507"/>
        <v/>
      </c>
      <c r="J1662" t="str">
        <f t="shared" si="508"/>
        <v/>
      </c>
      <c r="K1662" t="str">
        <f t="shared" si="509"/>
        <v/>
      </c>
      <c r="L1662" t="str">
        <f t="shared" si="510"/>
        <v/>
      </c>
      <c r="M1662" t="str">
        <f t="shared" si="511"/>
        <v/>
      </c>
      <c r="N1662" t="str">
        <f t="shared" si="512"/>
        <v/>
      </c>
      <c r="O1662" t="str">
        <f t="shared" si="513"/>
        <v/>
      </c>
      <c r="P1662" t="str">
        <f t="shared" si="514"/>
        <v/>
      </c>
      <c r="Q1662" t="str">
        <f t="shared" si="515"/>
        <v/>
      </c>
      <c r="R1662" t="str">
        <f t="shared" si="516"/>
        <v/>
      </c>
      <c r="S1662" t="str">
        <f t="shared" si="517"/>
        <v/>
      </c>
      <c r="T1662" t="str">
        <f t="shared" si="518"/>
        <v/>
      </c>
      <c r="U1662" t="str">
        <f t="shared" si="519"/>
        <v/>
      </c>
      <c r="V1662" t="str">
        <f t="shared" si="520"/>
        <v/>
      </c>
      <c r="W1662" t="str">
        <f t="shared" si="523"/>
        <v xml:space="preserve">              </v>
      </c>
    </row>
    <row r="1663" spans="1:23" customFormat="1" hidden="1">
      <c r="A1663" t="b">
        <f t="shared" si="522"/>
        <v>0</v>
      </c>
      <c r="B1663">
        <f t="shared" si="504"/>
        <v>1662</v>
      </c>
      <c r="C1663" t="s">
        <v>1603</v>
      </c>
      <c r="D1663" t="s">
        <v>1627</v>
      </c>
      <c r="E1663">
        <f t="shared" si="521"/>
        <v>42</v>
      </c>
      <c r="G1663">
        <f t="shared" si="505"/>
        <v>5</v>
      </c>
      <c r="H1663" t="str">
        <f t="shared" si="506"/>
        <v/>
      </c>
      <c r="I1663" t="str">
        <f t="shared" si="507"/>
        <v/>
      </c>
      <c r="J1663" t="str">
        <f t="shared" si="508"/>
        <v/>
      </c>
      <c r="K1663" t="str">
        <f t="shared" si="509"/>
        <v/>
      </c>
      <c r="L1663" t="str">
        <f t="shared" si="510"/>
        <v/>
      </c>
      <c r="M1663" t="str">
        <f t="shared" si="511"/>
        <v/>
      </c>
      <c r="N1663" t="str">
        <f t="shared" si="512"/>
        <v/>
      </c>
      <c r="O1663" t="str">
        <f t="shared" si="513"/>
        <v/>
      </c>
      <c r="P1663" t="str">
        <f t="shared" si="514"/>
        <v/>
      </c>
      <c r="Q1663" t="str">
        <f t="shared" si="515"/>
        <v/>
      </c>
      <c r="R1663" t="str">
        <f t="shared" si="516"/>
        <v/>
      </c>
      <c r="S1663" t="str">
        <f t="shared" si="517"/>
        <v/>
      </c>
      <c r="T1663" t="str">
        <f t="shared" si="518"/>
        <v/>
      </c>
      <c r="U1663" t="str">
        <f t="shared" si="519"/>
        <v/>
      </c>
      <c r="V1663" t="str">
        <f t="shared" si="520"/>
        <v/>
      </c>
      <c r="W1663" t="str">
        <f t="shared" si="523"/>
        <v xml:space="preserve">              </v>
      </c>
    </row>
    <row r="1664" spans="1:23" customFormat="1" hidden="1">
      <c r="A1664" t="b">
        <f t="shared" si="522"/>
        <v>0</v>
      </c>
      <c r="B1664">
        <f t="shared" si="504"/>
        <v>1663</v>
      </c>
      <c r="C1664" t="s">
        <v>1603</v>
      </c>
      <c r="D1664" t="s">
        <v>1628</v>
      </c>
      <c r="E1664">
        <f t="shared" si="521"/>
        <v>21</v>
      </c>
      <c r="G1664">
        <f t="shared" si="505"/>
        <v>6</v>
      </c>
      <c r="H1664" t="str">
        <f t="shared" si="506"/>
        <v/>
      </c>
      <c r="I1664" t="str">
        <f t="shared" si="507"/>
        <v/>
      </c>
      <c r="J1664" t="str">
        <f t="shared" si="508"/>
        <v/>
      </c>
      <c r="K1664" t="str">
        <f t="shared" si="509"/>
        <v/>
      </c>
      <c r="L1664" t="str">
        <f t="shared" si="510"/>
        <v/>
      </c>
      <c r="M1664" t="str">
        <f t="shared" si="511"/>
        <v/>
      </c>
      <c r="N1664" t="str">
        <f t="shared" si="512"/>
        <v/>
      </c>
      <c r="O1664" t="str">
        <f t="shared" si="513"/>
        <v/>
      </c>
      <c r="P1664" t="str">
        <f t="shared" si="514"/>
        <v/>
      </c>
      <c r="Q1664" t="str">
        <f t="shared" si="515"/>
        <v/>
      </c>
      <c r="R1664" t="str">
        <f t="shared" si="516"/>
        <v/>
      </c>
      <c r="S1664" t="str">
        <f t="shared" si="517"/>
        <v/>
      </c>
      <c r="T1664" t="str">
        <f t="shared" si="518"/>
        <v/>
      </c>
      <c r="U1664" t="str">
        <f t="shared" si="519"/>
        <v/>
      </c>
      <c r="V1664" t="str">
        <f t="shared" si="520"/>
        <v/>
      </c>
      <c r="W1664" t="str">
        <f t="shared" si="523"/>
        <v xml:space="preserve">              </v>
      </c>
    </row>
    <row r="1665" spans="1:23" hidden="1">
      <c r="A1665" s="71" t="b">
        <f t="shared" si="522"/>
        <v>0</v>
      </c>
      <c r="B1665" s="71">
        <f t="shared" si="504"/>
        <v>1664</v>
      </c>
      <c r="C1665" s="71" t="s">
        <v>1603</v>
      </c>
      <c r="D1665" s="71" t="s">
        <v>1629</v>
      </c>
      <c r="E1665">
        <f t="shared" si="521"/>
        <v>20</v>
      </c>
      <c r="F1665">
        <v>1</v>
      </c>
      <c r="G1665">
        <f t="shared" si="505"/>
        <v>1</v>
      </c>
      <c r="H1665" t="str">
        <f t="shared" si="506"/>
        <v>Negative stakeholder</v>
      </c>
      <c r="I1665" t="str">
        <f t="shared" si="507"/>
        <v>A stakeholder who does not want the project to</v>
      </c>
      <c r="J1665" t="str">
        <f t="shared" si="508"/>
        <v>exist and is opposed to the project.</v>
      </c>
      <c r="K1665" t="str">
        <f t="shared" si="509"/>
        <v/>
      </c>
      <c r="L1665" t="str">
        <f t="shared" si="510"/>
        <v/>
      </c>
      <c r="M1665" t="str">
        <f t="shared" si="511"/>
        <v/>
      </c>
      <c r="N1665" t="str">
        <f t="shared" si="512"/>
        <v/>
      </c>
      <c r="O1665" t="str">
        <f t="shared" si="513"/>
        <v/>
      </c>
      <c r="P1665" t="str">
        <f t="shared" si="514"/>
        <v/>
      </c>
      <c r="Q1665" t="str">
        <f t="shared" si="515"/>
        <v/>
      </c>
      <c r="R1665" t="str">
        <f t="shared" si="516"/>
        <v/>
      </c>
      <c r="S1665" t="str">
        <f t="shared" si="517"/>
        <v/>
      </c>
      <c r="T1665" t="str">
        <f t="shared" si="518"/>
        <v/>
      </c>
      <c r="U1665" t="str">
        <f t="shared" si="519"/>
        <v/>
      </c>
      <c r="V1665" t="str">
        <f t="shared" si="520"/>
        <v/>
      </c>
      <c r="W1665" s="71" t="str">
        <f>CONCATENATE(H1665," ",I1665," ",J1665," ",K1665," ",L1665," ",M1665," ",N1665," ",O1665," ",P1665," ",Q1665," ",R1665," ",S1665," ",T1665," ",U1665," ",V1665)</f>
        <v xml:space="preserve">Negative stakeholder A stakeholder who does not want the project to exist and is opposed to the project.            </v>
      </c>
    </row>
    <row r="1666" spans="1:23" customFormat="1" hidden="1">
      <c r="A1666" t="b">
        <f t="shared" si="522"/>
        <v>0</v>
      </c>
      <c r="B1666">
        <f t="shared" si="504"/>
        <v>1665</v>
      </c>
      <c r="C1666" t="s">
        <v>1603</v>
      </c>
      <c r="D1666" t="s">
        <v>1630</v>
      </c>
      <c r="E1666">
        <f t="shared" si="521"/>
        <v>46</v>
      </c>
      <c r="G1666">
        <f t="shared" si="505"/>
        <v>2</v>
      </c>
      <c r="H1666" t="str">
        <f t="shared" si="506"/>
        <v/>
      </c>
      <c r="I1666" t="str">
        <f t="shared" si="507"/>
        <v/>
      </c>
      <c r="J1666" t="str">
        <f t="shared" si="508"/>
        <v/>
      </c>
      <c r="K1666" t="str">
        <f t="shared" si="509"/>
        <v/>
      </c>
      <c r="L1666" t="str">
        <f t="shared" si="510"/>
        <v/>
      </c>
      <c r="M1666" t="str">
        <f t="shared" si="511"/>
        <v/>
      </c>
      <c r="N1666" t="str">
        <f t="shared" si="512"/>
        <v/>
      </c>
      <c r="O1666" t="str">
        <f t="shared" si="513"/>
        <v/>
      </c>
      <c r="P1666" t="str">
        <f t="shared" si="514"/>
        <v/>
      </c>
      <c r="Q1666" t="str">
        <f t="shared" si="515"/>
        <v/>
      </c>
      <c r="R1666" t="str">
        <f t="shared" si="516"/>
        <v/>
      </c>
      <c r="S1666" t="str">
        <f t="shared" si="517"/>
        <v/>
      </c>
      <c r="T1666" t="str">
        <f t="shared" si="518"/>
        <v/>
      </c>
      <c r="U1666" t="str">
        <f t="shared" si="519"/>
        <v/>
      </c>
      <c r="V1666" t="str">
        <f t="shared" si="520"/>
        <v/>
      </c>
      <c r="W1666" t="str">
        <f t="shared" si="523"/>
        <v xml:space="preserve">              </v>
      </c>
    </row>
    <row r="1667" spans="1:23" customFormat="1" hidden="1">
      <c r="A1667" t="b">
        <f t="shared" si="522"/>
        <v>0</v>
      </c>
      <c r="B1667">
        <f t="shared" si="504"/>
        <v>1666</v>
      </c>
      <c r="C1667" t="s">
        <v>1603</v>
      </c>
      <c r="D1667" t="s">
        <v>1631</v>
      </c>
      <c r="E1667">
        <f t="shared" si="521"/>
        <v>36</v>
      </c>
      <c r="G1667">
        <f t="shared" si="505"/>
        <v>3</v>
      </c>
      <c r="H1667" t="str">
        <f t="shared" si="506"/>
        <v/>
      </c>
      <c r="I1667" t="str">
        <f t="shared" si="507"/>
        <v/>
      </c>
      <c r="J1667" t="str">
        <f t="shared" si="508"/>
        <v/>
      </c>
      <c r="K1667" t="str">
        <f t="shared" si="509"/>
        <v/>
      </c>
      <c r="L1667" t="str">
        <f t="shared" si="510"/>
        <v/>
      </c>
      <c r="M1667" t="str">
        <f t="shared" si="511"/>
        <v/>
      </c>
      <c r="N1667" t="str">
        <f t="shared" si="512"/>
        <v/>
      </c>
      <c r="O1667" t="str">
        <f t="shared" si="513"/>
        <v/>
      </c>
      <c r="P1667" t="str">
        <f t="shared" si="514"/>
        <v/>
      </c>
      <c r="Q1667" t="str">
        <f t="shared" si="515"/>
        <v/>
      </c>
      <c r="R1667" t="str">
        <f t="shared" si="516"/>
        <v/>
      </c>
      <c r="S1667" t="str">
        <f t="shared" si="517"/>
        <v/>
      </c>
      <c r="T1667" t="str">
        <f t="shared" si="518"/>
        <v/>
      </c>
      <c r="U1667" t="str">
        <f t="shared" si="519"/>
        <v/>
      </c>
      <c r="V1667" t="str">
        <f t="shared" si="520"/>
        <v/>
      </c>
      <c r="W1667" t="str">
        <f t="shared" si="523"/>
        <v xml:space="preserve">              </v>
      </c>
    </row>
    <row r="1668" spans="1:23" hidden="1">
      <c r="A1668" s="71" t="b">
        <f t="shared" si="522"/>
        <v>0</v>
      </c>
      <c r="B1668" s="71">
        <f t="shared" ref="B1668:B1727" si="524">B1667+1</f>
        <v>1667</v>
      </c>
      <c r="C1668" s="71" t="s">
        <v>1603</v>
      </c>
      <c r="D1668" s="71" t="s">
        <v>1632</v>
      </c>
      <c r="E1668">
        <f t="shared" si="521"/>
        <v>19</v>
      </c>
      <c r="F1668">
        <v>1</v>
      </c>
      <c r="G1668">
        <f t="shared" ref="G1668:G1727" si="525">IF(F1668=1,1,G1667+1)</f>
        <v>1</v>
      </c>
      <c r="H1668" t="str">
        <f t="shared" ref="H1668:H1727" si="526">IF($G1668=H$1,$D1668,"")</f>
        <v>Neutral stakeholder</v>
      </c>
      <c r="I1668" t="str">
        <f t="shared" ref="I1668:I1727" si="527">IF($G1669=I$1,$D1669,"")</f>
        <v>A stakeholder who has neither a positive nor</v>
      </c>
      <c r="J1668" t="str">
        <f t="shared" ref="J1668:J1727" si="528">IF($G1670=J$1,$D1670,"")</f>
        <v>negative attitude about the project’s existence.</v>
      </c>
      <c r="K1668" t="str">
        <f t="shared" ref="K1668:K1727" si="529">IF($G1671=K$1,$D1671,"")</f>
        <v/>
      </c>
      <c r="L1668" t="str">
        <f t="shared" ref="L1668:L1727" si="530">IF($G1672=L$1,$D1672,"")</f>
        <v/>
      </c>
      <c r="M1668" t="str">
        <f t="shared" ref="M1668:M1727" si="531">IF($G1673=M$1,$D1673,"")</f>
        <v/>
      </c>
      <c r="N1668" t="str">
        <f t="shared" ref="N1668:N1727" si="532">IF($G1674=N$1,$D1674,"")</f>
        <v/>
      </c>
      <c r="O1668" t="str">
        <f t="shared" ref="O1668:O1727" si="533">IF($G1675=O$1,$D1675,"")</f>
        <v/>
      </c>
      <c r="P1668" t="str">
        <f t="shared" ref="P1668:P1727" si="534">IF($G1676=P$1,$D1676,"")</f>
        <v/>
      </c>
      <c r="Q1668" t="str">
        <f t="shared" ref="Q1668:Q1727" si="535">IF($G1677=Q$1,$D1677,"")</f>
        <v/>
      </c>
      <c r="R1668" t="str">
        <f t="shared" ref="R1668:R1727" si="536">IF($G1678=R$1,$D1678,"")</f>
        <v/>
      </c>
      <c r="S1668" t="str">
        <f t="shared" ref="S1668:S1727" si="537">IF($G1679=S$1,$D1679,"")</f>
        <v/>
      </c>
      <c r="T1668" t="str">
        <f t="shared" ref="T1668:T1727" si="538">IF($G1680=T$1,$D1680,"")</f>
        <v/>
      </c>
      <c r="U1668" t="str">
        <f t="shared" ref="U1668:U1727" si="539">IF($G1681=U$1,$D1681,"")</f>
        <v/>
      </c>
      <c r="V1668" t="str">
        <f t="shared" ref="V1668:V1727" si="540">IF($G1682=V$1,$D1682,"")</f>
        <v/>
      </c>
      <c r="W1668" s="71" t="str">
        <f>CONCATENATE(H1668," ",I1668," ",J1668," ",K1668," ",L1668," ",M1668," ",N1668," ",O1668," ",P1668," ",Q1668," ",R1668," ",S1668," ",T1668," ",U1668," ",V1668)</f>
        <v xml:space="preserve">Neutral stakeholder A stakeholder who has neither a positive nor negative attitude about the project’s existence.            </v>
      </c>
    </row>
    <row r="1669" spans="1:23" customFormat="1" hidden="1">
      <c r="A1669" t="b">
        <f t="shared" si="522"/>
        <v>0</v>
      </c>
      <c r="B1669">
        <f t="shared" si="524"/>
        <v>1668</v>
      </c>
      <c r="C1669" t="s">
        <v>1603</v>
      </c>
      <c r="D1669" t="s">
        <v>1633</v>
      </c>
      <c r="E1669">
        <f t="shared" si="521"/>
        <v>44</v>
      </c>
      <c r="G1669">
        <f t="shared" si="525"/>
        <v>2</v>
      </c>
      <c r="H1669" t="str">
        <f t="shared" si="526"/>
        <v/>
      </c>
      <c r="I1669" t="str">
        <f t="shared" si="527"/>
        <v/>
      </c>
      <c r="J1669" t="str">
        <f t="shared" si="528"/>
        <v/>
      </c>
      <c r="K1669" t="str">
        <f t="shared" si="529"/>
        <v/>
      </c>
      <c r="L1669" t="str">
        <f t="shared" si="530"/>
        <v/>
      </c>
      <c r="M1669" t="str">
        <f t="shared" si="531"/>
        <v/>
      </c>
      <c r="N1669" t="str">
        <f t="shared" si="532"/>
        <v/>
      </c>
      <c r="O1669" t="str">
        <f t="shared" si="533"/>
        <v/>
      </c>
      <c r="P1669" t="str">
        <f t="shared" si="534"/>
        <v/>
      </c>
      <c r="Q1669" t="str">
        <f t="shared" si="535"/>
        <v/>
      </c>
      <c r="R1669" t="str">
        <f t="shared" si="536"/>
        <v/>
      </c>
      <c r="S1669" t="str">
        <f t="shared" si="537"/>
        <v/>
      </c>
      <c r="T1669" t="str">
        <f t="shared" si="538"/>
        <v/>
      </c>
      <c r="U1669" t="str">
        <f t="shared" si="539"/>
        <v/>
      </c>
      <c r="V1669" t="str">
        <f t="shared" si="540"/>
        <v/>
      </c>
      <c r="W1669" t="str">
        <f t="shared" si="523"/>
        <v xml:space="preserve">              </v>
      </c>
    </row>
    <row r="1670" spans="1:23" customFormat="1" hidden="1">
      <c r="A1670" t="b">
        <f t="shared" si="522"/>
        <v>0</v>
      </c>
      <c r="B1670">
        <f t="shared" si="524"/>
        <v>1669</v>
      </c>
      <c r="C1670" t="s">
        <v>1603</v>
      </c>
      <c r="D1670" t="s">
        <v>1634</v>
      </c>
      <c r="E1670">
        <f t="shared" si="521"/>
        <v>48</v>
      </c>
      <c r="G1670">
        <f t="shared" si="525"/>
        <v>3</v>
      </c>
      <c r="H1670" t="str">
        <f t="shared" si="526"/>
        <v/>
      </c>
      <c r="I1670" t="str">
        <f t="shared" si="527"/>
        <v/>
      </c>
      <c r="J1670" t="str">
        <f t="shared" si="528"/>
        <v/>
      </c>
      <c r="K1670" t="str">
        <f t="shared" si="529"/>
        <v/>
      </c>
      <c r="L1670" t="str">
        <f t="shared" si="530"/>
        <v/>
      </c>
      <c r="M1670" t="str">
        <f t="shared" si="531"/>
        <v/>
      </c>
      <c r="N1670" t="str">
        <f t="shared" si="532"/>
        <v/>
      </c>
      <c r="O1670" t="str">
        <f t="shared" si="533"/>
        <v/>
      </c>
      <c r="P1670" t="str">
        <f t="shared" si="534"/>
        <v/>
      </c>
      <c r="Q1670" t="str">
        <f t="shared" si="535"/>
        <v/>
      </c>
      <c r="R1670" t="str">
        <f t="shared" si="536"/>
        <v/>
      </c>
      <c r="S1670" t="str">
        <f t="shared" si="537"/>
        <v/>
      </c>
      <c r="T1670" t="str">
        <f t="shared" si="538"/>
        <v/>
      </c>
      <c r="U1670" t="str">
        <f t="shared" si="539"/>
        <v/>
      </c>
      <c r="V1670" t="str">
        <f t="shared" si="540"/>
        <v/>
      </c>
      <c r="W1670" t="str">
        <f t="shared" si="523"/>
        <v xml:space="preserve">              </v>
      </c>
    </row>
    <row r="1671" spans="1:23" hidden="1">
      <c r="A1671" s="71" t="b">
        <f t="shared" si="522"/>
        <v>0</v>
      </c>
      <c r="B1671" s="71">
        <f t="shared" si="524"/>
        <v>1670</v>
      </c>
      <c r="C1671" s="71" t="s">
        <v>1603</v>
      </c>
      <c r="D1671" s="71" t="s">
        <v>1635</v>
      </c>
      <c r="E1671">
        <f t="shared" si="521"/>
        <v>26</v>
      </c>
      <c r="F1671">
        <v>1</v>
      </c>
      <c r="G1671">
        <f t="shared" si="525"/>
        <v>1</v>
      </c>
      <c r="H1671" t="str">
        <f t="shared" si="526"/>
        <v>Neutral stakeholder status</v>
      </c>
      <c r="I1671" t="str">
        <f t="shared" si="527"/>
        <v>Part of stakeholder analysis classification. A</v>
      </c>
      <c r="J1671" t="str">
        <f t="shared" si="528"/>
        <v>neutral stakeholder is aware of your project and</v>
      </c>
      <c r="K1671" t="str">
        <f t="shared" si="529"/>
        <v>is not concerned if the project succeeds or fails.</v>
      </c>
      <c r="L1671" t="str">
        <f t="shared" si="530"/>
        <v/>
      </c>
      <c r="M1671" t="str">
        <f t="shared" si="531"/>
        <v/>
      </c>
      <c r="N1671" t="str">
        <f t="shared" si="532"/>
        <v/>
      </c>
      <c r="O1671" t="str">
        <f t="shared" si="533"/>
        <v/>
      </c>
      <c r="P1671" t="str">
        <f t="shared" si="534"/>
        <v/>
      </c>
      <c r="Q1671" t="str">
        <f t="shared" si="535"/>
        <v/>
      </c>
      <c r="R1671" t="str">
        <f t="shared" si="536"/>
        <v/>
      </c>
      <c r="S1671" t="str">
        <f t="shared" si="537"/>
        <v/>
      </c>
      <c r="T1671" t="str">
        <f t="shared" si="538"/>
        <v/>
      </c>
      <c r="U1671" t="str">
        <f t="shared" si="539"/>
        <v/>
      </c>
      <c r="V1671" t="str">
        <f t="shared" si="540"/>
        <v/>
      </c>
      <c r="W1671" s="71" t="str">
        <f>CONCATENATE(H1671," ",I1671," ",J1671," ",K1671," ",L1671," ",M1671," ",N1671," ",O1671," ",P1671," ",Q1671," ",R1671," ",S1671," ",T1671," ",U1671," ",V1671)</f>
        <v xml:space="preserve">Neutral stakeholder status Part of stakeholder analysis classification. A neutral stakeholder is aware of your project and is not concerned if the project succeeds or fails.           </v>
      </c>
    </row>
    <row r="1672" spans="1:23" customFormat="1" hidden="1">
      <c r="A1672" t="b">
        <f t="shared" si="522"/>
        <v>0</v>
      </c>
      <c r="B1672">
        <f t="shared" si="524"/>
        <v>1671</v>
      </c>
      <c r="C1672" t="s">
        <v>1603</v>
      </c>
      <c r="D1672" t="s">
        <v>1624</v>
      </c>
      <c r="E1672">
        <f t="shared" si="521"/>
        <v>46</v>
      </c>
      <c r="G1672">
        <f t="shared" si="525"/>
        <v>2</v>
      </c>
      <c r="H1672" t="str">
        <f t="shared" si="526"/>
        <v/>
      </c>
      <c r="I1672" t="str">
        <f t="shared" si="527"/>
        <v/>
      </c>
      <c r="J1672" t="str">
        <f t="shared" si="528"/>
        <v/>
      </c>
      <c r="K1672" t="str">
        <f t="shared" si="529"/>
        <v/>
      </c>
      <c r="L1672" t="str">
        <f t="shared" si="530"/>
        <v/>
      </c>
      <c r="M1672" t="str">
        <f t="shared" si="531"/>
        <v/>
      </c>
      <c r="N1672" t="str">
        <f t="shared" si="532"/>
        <v/>
      </c>
      <c r="O1672" t="str">
        <f t="shared" si="533"/>
        <v/>
      </c>
      <c r="P1672" t="str">
        <f t="shared" si="534"/>
        <v/>
      </c>
      <c r="Q1672" t="str">
        <f t="shared" si="535"/>
        <v/>
      </c>
      <c r="R1672" t="str">
        <f t="shared" si="536"/>
        <v/>
      </c>
      <c r="S1672" t="str">
        <f t="shared" si="537"/>
        <v/>
      </c>
      <c r="T1672" t="str">
        <f t="shared" si="538"/>
        <v/>
      </c>
      <c r="U1672" t="str">
        <f t="shared" si="539"/>
        <v/>
      </c>
      <c r="V1672" t="str">
        <f t="shared" si="540"/>
        <v/>
      </c>
      <c r="W1672" t="str">
        <f t="shared" si="523"/>
        <v xml:space="preserve">              </v>
      </c>
    </row>
    <row r="1673" spans="1:23" customFormat="1" hidden="1">
      <c r="A1673" t="b">
        <f t="shared" si="522"/>
        <v>0</v>
      </c>
      <c r="B1673">
        <f t="shared" si="524"/>
        <v>1672</v>
      </c>
      <c r="C1673" t="s">
        <v>1603</v>
      </c>
      <c r="D1673" t="s">
        <v>1636</v>
      </c>
      <c r="E1673">
        <f t="shared" si="521"/>
        <v>48</v>
      </c>
      <c r="G1673">
        <f t="shared" si="525"/>
        <v>3</v>
      </c>
      <c r="H1673" t="str">
        <f t="shared" si="526"/>
        <v/>
      </c>
      <c r="I1673" t="str">
        <f t="shared" si="527"/>
        <v/>
      </c>
      <c r="J1673" t="str">
        <f t="shared" si="528"/>
        <v/>
      </c>
      <c r="K1673" t="str">
        <f t="shared" si="529"/>
        <v/>
      </c>
      <c r="L1673" t="str">
        <f t="shared" si="530"/>
        <v/>
      </c>
      <c r="M1673" t="str">
        <f t="shared" si="531"/>
        <v/>
      </c>
      <c r="N1673" t="str">
        <f t="shared" si="532"/>
        <v/>
      </c>
      <c r="O1673" t="str">
        <f t="shared" si="533"/>
        <v/>
      </c>
      <c r="P1673" t="str">
        <f t="shared" si="534"/>
        <v/>
      </c>
      <c r="Q1673" t="str">
        <f t="shared" si="535"/>
        <v/>
      </c>
      <c r="R1673" t="str">
        <f t="shared" si="536"/>
        <v/>
      </c>
      <c r="S1673" t="str">
        <f t="shared" si="537"/>
        <v/>
      </c>
      <c r="T1673" t="str">
        <f t="shared" si="538"/>
        <v/>
      </c>
      <c r="U1673" t="str">
        <f t="shared" si="539"/>
        <v/>
      </c>
      <c r="V1673" t="str">
        <f t="shared" si="540"/>
        <v/>
      </c>
      <c r="W1673" t="str">
        <f t="shared" si="523"/>
        <v xml:space="preserve">              </v>
      </c>
    </row>
    <row r="1674" spans="1:23" customFormat="1" hidden="1">
      <c r="A1674" t="b">
        <f t="shared" si="522"/>
        <v>0</v>
      </c>
      <c r="B1674">
        <f t="shared" si="524"/>
        <v>1673</v>
      </c>
      <c r="C1674" t="s">
        <v>1603</v>
      </c>
      <c r="D1674" t="s">
        <v>1637</v>
      </c>
      <c r="E1674">
        <f t="shared" si="521"/>
        <v>50</v>
      </c>
      <c r="G1674">
        <f t="shared" si="525"/>
        <v>4</v>
      </c>
      <c r="H1674" t="str">
        <f t="shared" si="526"/>
        <v/>
      </c>
      <c r="I1674" t="str">
        <f t="shared" si="527"/>
        <v/>
      </c>
      <c r="J1674" t="str">
        <f t="shared" si="528"/>
        <v/>
      </c>
      <c r="K1674" t="str">
        <f t="shared" si="529"/>
        <v/>
      </c>
      <c r="L1674" t="str">
        <f t="shared" si="530"/>
        <v/>
      </c>
      <c r="M1674" t="str">
        <f t="shared" si="531"/>
        <v/>
      </c>
      <c r="N1674" t="str">
        <f t="shared" si="532"/>
        <v/>
      </c>
      <c r="O1674" t="str">
        <f t="shared" si="533"/>
        <v/>
      </c>
      <c r="P1674" t="str">
        <f t="shared" si="534"/>
        <v/>
      </c>
      <c r="Q1674" t="str">
        <f t="shared" si="535"/>
        <v/>
      </c>
      <c r="R1674" t="str">
        <f t="shared" si="536"/>
        <v/>
      </c>
      <c r="S1674" t="str">
        <f t="shared" si="537"/>
        <v/>
      </c>
      <c r="T1674" t="str">
        <f t="shared" si="538"/>
        <v/>
      </c>
      <c r="U1674" t="str">
        <f t="shared" si="539"/>
        <v/>
      </c>
      <c r="V1674" t="str">
        <f t="shared" si="540"/>
        <v/>
      </c>
      <c r="W1674" t="str">
        <f t="shared" si="523"/>
        <v xml:space="preserve">              </v>
      </c>
    </row>
    <row r="1675" spans="1:23" hidden="1">
      <c r="A1675" s="71" t="b">
        <f t="shared" si="522"/>
        <v>0</v>
      </c>
      <c r="B1675" s="71">
        <f t="shared" si="524"/>
        <v>1674</v>
      </c>
      <c r="C1675" s="71" t="s">
        <v>1603</v>
      </c>
      <c r="D1675" s="71" t="s">
        <v>1638</v>
      </c>
      <c r="E1675">
        <f t="shared" si="521"/>
        <v>20</v>
      </c>
      <c r="F1675">
        <v>1</v>
      </c>
      <c r="G1675">
        <f t="shared" si="525"/>
        <v>1</v>
      </c>
      <c r="H1675" t="str">
        <f t="shared" si="526"/>
        <v>Positive stakeholder</v>
      </c>
      <c r="I1675" t="str">
        <f t="shared" si="527"/>
        <v>A stakeholder who sees the benefits of the</v>
      </c>
      <c r="J1675" t="str">
        <f t="shared" si="528"/>
        <v>project and is in favor of the change the project is</v>
      </c>
      <c r="K1675" t="str">
        <f t="shared" si="529"/>
        <v>to bring about.</v>
      </c>
      <c r="L1675" t="str">
        <f t="shared" si="530"/>
        <v>Profile analysis meeting This is an analysis meeting to examine and document the roles in the project. The role’s interests, concerns, influence, project knowledge, and attitude are documented. Pull communications This type of communication pulls information from a central repository. Pull communications allow stakeholders to retrieve information from a central source as needed. Push communications This type of communication happens when the sender pushes the same message to multiple people. Good examples of push communications are broadcast text messages, faxes, press releases, and group e-mails. Reporting system A reporting system is a software program to store and analyze project data for reporting. A common reporting system will take project data, allow the project manager to pass the data through earned value management, for example, and then create forecasting reports about the project costs and schedule. Resistant stakeholder status Part of stakeholder analysis classification. A resistant stakeholder is aware of your project, but they do not support the changes your project will create. Stakeholder Anyone who is affected by the existence of the project or who can affect the project’s existence. Stakeholders can enter and exit the project as conditions change within the project. Stakeholder analysis An activity that ranks stakeholders based on their influence, interests, and expectations of the project. Stakeholders are identified and ranked, and then their needs and expectations are documented and addressed. Stakeholder classification models These are charts and diagrams that help the project manager determine the influence of stakeholders in relation to their interest in the project. Common classification models include the power/interest grid, the power/influence grid, the influence/impact grid, and the salience model.</v>
      </c>
      <c r="M1675" t="str">
        <f t="shared" si="531"/>
        <v/>
      </c>
      <c r="N1675" t="str">
        <f t="shared" si="532"/>
        <v/>
      </c>
      <c r="O1675" t="str">
        <f t="shared" si="533"/>
        <v/>
      </c>
      <c r="P1675" t="str">
        <f t="shared" si="534"/>
        <v/>
      </c>
      <c r="Q1675" t="str">
        <f t="shared" si="535"/>
        <v/>
      </c>
      <c r="R1675" t="str">
        <f t="shared" si="536"/>
        <v/>
      </c>
      <c r="S1675" t="str">
        <f t="shared" si="537"/>
        <v/>
      </c>
      <c r="T1675" t="str">
        <f t="shared" si="538"/>
        <v/>
      </c>
      <c r="U1675" t="str">
        <f t="shared" si="539"/>
        <v/>
      </c>
      <c r="V1675" t="str">
        <f t="shared" si="540"/>
        <v/>
      </c>
      <c r="W1675" s="71" t="str">
        <f>CONCATENATE(H1675," ",I1675," ",J1675," ",K1675," ",L1675," ",M1675," ",N1675," ",O1675," ",P1675," ",Q1675," ",R1675," ",S1675," ",T1675," ",U1675," ",V1675)</f>
        <v xml:space="preserve">Positive stakeholder A stakeholder who sees the benefits of the project and is in favor of the change the project is to bring about. Profile analysis meeting This is an analysis meeting to examine and document the roles in the project. The role’s interests, concerns, influence, project knowledge, and attitude are documented. Pull communications This type of communication pulls information from a central repository. Pull communications allow stakeholders to retrieve information from a central source as needed. Push communications This type of communication happens when the sender pushes the same message to multiple people. Good examples of push communications are broadcast text messages, faxes, press releases, and group e-mails. Reporting system A reporting system is a software program to store and analyze project data for reporting. A common reporting system will take project data, allow the project manager to pass the data through earned value management, for example, and then create forecasting reports about the project costs and schedule. Resistant stakeholder status Part of stakeholder analysis classification. A resistant stakeholder is aware of your project, but they do not support the changes your project will create. Stakeholder Anyone who is affected by the existence of the project or who can affect the project’s existence. Stakeholders can enter and exit the project as conditions change within the project. Stakeholder analysis An activity that ranks stakeholders based on their influence, interests, and expectations of the project. Stakeholders are identified and ranked, and then their needs and expectations are documented and addressed. Stakeholder classification models These are charts and diagrams that help the project manager determine the influence of stakeholders in relation to their interest in the project. Common classification models include the power/interest grid, the power/influence grid, the influence/impact grid, and the salience model.          </v>
      </c>
    </row>
    <row r="1676" spans="1:23" customFormat="1" hidden="1">
      <c r="A1676" t="b">
        <f t="shared" si="522"/>
        <v>0</v>
      </c>
      <c r="B1676">
        <f t="shared" si="524"/>
        <v>1675</v>
      </c>
      <c r="C1676" t="s">
        <v>1603</v>
      </c>
      <c r="D1676" t="s">
        <v>1639</v>
      </c>
      <c r="E1676">
        <f t="shared" si="521"/>
        <v>42</v>
      </c>
      <c r="G1676">
        <f t="shared" si="525"/>
        <v>2</v>
      </c>
      <c r="H1676" t="str">
        <f t="shared" si="526"/>
        <v/>
      </c>
      <c r="I1676" t="str">
        <f t="shared" si="527"/>
        <v/>
      </c>
      <c r="J1676" t="str">
        <f t="shared" si="528"/>
        <v/>
      </c>
      <c r="K1676" t="str">
        <f t="shared" si="529"/>
        <v/>
      </c>
      <c r="L1676" t="str">
        <f t="shared" si="530"/>
        <v/>
      </c>
      <c r="M1676" t="str">
        <f t="shared" si="531"/>
        <v/>
      </c>
      <c r="N1676" t="str">
        <f t="shared" si="532"/>
        <v/>
      </c>
      <c r="O1676" t="str">
        <f t="shared" si="533"/>
        <v/>
      </c>
      <c r="P1676" t="str">
        <f t="shared" si="534"/>
        <v/>
      </c>
      <c r="Q1676" t="str">
        <f t="shared" si="535"/>
        <v/>
      </c>
      <c r="R1676" t="str">
        <f t="shared" si="536"/>
        <v/>
      </c>
      <c r="S1676" t="str">
        <f t="shared" si="537"/>
        <v/>
      </c>
      <c r="T1676" t="str">
        <f t="shared" si="538"/>
        <v/>
      </c>
      <c r="U1676" t="str">
        <f t="shared" si="539"/>
        <v/>
      </c>
      <c r="V1676" t="str">
        <f t="shared" si="540"/>
        <v/>
      </c>
      <c r="W1676" t="str">
        <f t="shared" si="523"/>
        <v xml:space="preserve">              </v>
      </c>
    </row>
    <row r="1677" spans="1:23" customFormat="1" hidden="1">
      <c r="A1677" t="b">
        <f t="shared" si="522"/>
        <v>0</v>
      </c>
      <c r="B1677">
        <f t="shared" si="524"/>
        <v>1676</v>
      </c>
      <c r="C1677" t="s">
        <v>1603</v>
      </c>
      <c r="D1677" t="s">
        <v>1640</v>
      </c>
      <c r="E1677">
        <f t="shared" si="521"/>
        <v>52</v>
      </c>
      <c r="G1677">
        <f t="shared" si="525"/>
        <v>3</v>
      </c>
      <c r="H1677" t="str">
        <f t="shared" si="526"/>
        <v/>
      </c>
      <c r="I1677" t="str">
        <f t="shared" si="527"/>
        <v/>
      </c>
      <c r="J1677" t="str">
        <f t="shared" si="528"/>
        <v/>
      </c>
      <c r="K1677" t="str">
        <f t="shared" si="529"/>
        <v/>
      </c>
      <c r="L1677" t="str">
        <f t="shared" si="530"/>
        <v/>
      </c>
      <c r="M1677" t="str">
        <f t="shared" si="531"/>
        <v/>
      </c>
      <c r="N1677" t="str">
        <f t="shared" si="532"/>
        <v/>
      </c>
      <c r="O1677" t="str">
        <f t="shared" si="533"/>
        <v/>
      </c>
      <c r="P1677" t="str">
        <f t="shared" si="534"/>
        <v/>
      </c>
      <c r="Q1677" t="str">
        <f t="shared" si="535"/>
        <v/>
      </c>
      <c r="R1677" t="str">
        <f t="shared" si="536"/>
        <v/>
      </c>
      <c r="S1677" t="str">
        <f t="shared" si="537"/>
        <v/>
      </c>
      <c r="T1677" t="str">
        <f t="shared" si="538"/>
        <v/>
      </c>
      <c r="U1677" t="str">
        <f t="shared" si="539"/>
        <v/>
      </c>
      <c r="V1677" t="str">
        <f t="shared" si="540"/>
        <v/>
      </c>
      <c r="W1677" t="str">
        <f t="shared" si="523"/>
        <v xml:space="preserve">              </v>
      </c>
    </row>
    <row r="1678" spans="1:23" customFormat="1" hidden="1">
      <c r="A1678" t="b">
        <f t="shared" si="522"/>
        <v>0</v>
      </c>
      <c r="B1678">
        <f t="shared" si="524"/>
        <v>1677</v>
      </c>
      <c r="C1678" t="s">
        <v>1603</v>
      </c>
      <c r="D1678" t="s">
        <v>1641</v>
      </c>
      <c r="E1678">
        <f t="shared" si="521"/>
        <v>15</v>
      </c>
      <c r="G1678">
        <f t="shared" si="525"/>
        <v>4</v>
      </c>
      <c r="H1678" t="str">
        <f t="shared" si="526"/>
        <v/>
      </c>
      <c r="I1678" t="str">
        <f t="shared" si="527"/>
        <v/>
      </c>
      <c r="J1678" t="str">
        <f t="shared" si="528"/>
        <v/>
      </c>
      <c r="K1678" t="str">
        <f t="shared" si="529"/>
        <v/>
      </c>
      <c r="L1678" t="str">
        <f t="shared" si="530"/>
        <v/>
      </c>
      <c r="M1678" t="str">
        <f t="shared" si="531"/>
        <v/>
      </c>
      <c r="N1678" t="str">
        <f t="shared" si="532"/>
        <v/>
      </c>
      <c r="O1678" t="str">
        <f t="shared" si="533"/>
        <v/>
      </c>
      <c r="P1678" t="str">
        <f t="shared" si="534"/>
        <v/>
      </c>
      <c r="Q1678" t="str">
        <f t="shared" si="535"/>
        <v/>
      </c>
      <c r="R1678" t="str">
        <f t="shared" si="536"/>
        <v/>
      </c>
      <c r="S1678" t="str">
        <f t="shared" si="537"/>
        <v/>
      </c>
      <c r="T1678" t="str">
        <f t="shared" si="538"/>
        <v/>
      </c>
      <c r="U1678" t="str">
        <f t="shared" si="539"/>
        <v/>
      </c>
      <c r="V1678" t="str">
        <f t="shared" si="540"/>
        <v/>
      </c>
      <c r="W1678" t="str">
        <f t="shared" si="523"/>
        <v xml:space="preserve">              </v>
      </c>
    </row>
    <row r="1679" spans="1:23" customFormat="1">
      <c r="A1679" t="b">
        <f t="shared" si="522"/>
        <v>0</v>
      </c>
      <c r="B1679">
        <f t="shared" si="524"/>
        <v>1678</v>
      </c>
      <c r="C1679" t="s">
        <v>1603</v>
      </c>
      <c r="D1679" t="s">
        <v>1642</v>
      </c>
      <c r="E1679">
        <f t="shared" si="521"/>
        <v>1859</v>
      </c>
      <c r="G1679">
        <f t="shared" si="525"/>
        <v>5</v>
      </c>
      <c r="H1679" t="str">
        <f t="shared" si="526"/>
        <v/>
      </c>
      <c r="I1679" t="str">
        <f t="shared" si="527"/>
        <v/>
      </c>
      <c r="J1679" t="str">
        <f t="shared" si="528"/>
        <v/>
      </c>
      <c r="K1679" t="str">
        <f t="shared" si="529"/>
        <v/>
      </c>
      <c r="L1679" t="str">
        <f t="shared" si="530"/>
        <v/>
      </c>
      <c r="M1679" t="str">
        <f t="shared" si="531"/>
        <v/>
      </c>
      <c r="N1679" t="str">
        <f t="shared" si="532"/>
        <v/>
      </c>
      <c r="O1679" t="str">
        <f t="shared" si="533"/>
        <v/>
      </c>
      <c r="P1679" t="str">
        <f t="shared" si="534"/>
        <v/>
      </c>
      <c r="Q1679" t="str">
        <f t="shared" si="535"/>
        <v/>
      </c>
      <c r="R1679" t="str">
        <f t="shared" si="536"/>
        <v/>
      </c>
      <c r="S1679" t="str">
        <f t="shared" si="537"/>
        <v/>
      </c>
      <c r="T1679" t="str">
        <f t="shared" si="538"/>
        <v/>
      </c>
      <c r="U1679" t="str">
        <f t="shared" si="539"/>
        <v/>
      </c>
      <c r="V1679" t="str">
        <f t="shared" si="540"/>
        <v/>
      </c>
      <c r="W1679" t="str">
        <f t="shared" si="523"/>
        <v xml:space="preserve">              </v>
      </c>
    </row>
    <row r="1680" spans="1:23" hidden="1">
      <c r="A1680" s="71" t="b">
        <f t="shared" si="522"/>
        <v>0</v>
      </c>
      <c r="B1680" s="71">
        <f t="shared" si="524"/>
        <v>1679</v>
      </c>
      <c r="C1680" s="71" t="s">
        <v>1603</v>
      </c>
      <c r="D1680" s="71" t="s">
        <v>1643</v>
      </c>
      <c r="E1680">
        <f t="shared" si="521"/>
        <v>22</v>
      </c>
      <c r="F1680">
        <v>1</v>
      </c>
      <c r="G1680">
        <f t="shared" si="525"/>
        <v>1</v>
      </c>
      <c r="H1680" t="str">
        <f t="shared" si="526"/>
        <v>Stakeholder engagement</v>
      </c>
      <c r="I1680" t="str">
        <f t="shared" si="527"/>
        <v>The project manager works to keep the project</v>
      </c>
      <c r="J1680" t="str">
        <f t="shared" si="528"/>
        <v>stakeholders interested, involved, and supportive</v>
      </c>
      <c r="K1680" t="str">
        <f t="shared" si="529"/>
        <v>of the project. Through communication,</v>
      </c>
      <c r="L1680" t="str">
        <f t="shared" si="530"/>
        <v>management skills, and interpersonal skills, the</v>
      </c>
      <c r="M1680" t="str">
        <f t="shared" si="531"/>
        <v>project manager can work to keep the project</v>
      </c>
      <c r="N1680" t="str">
        <f t="shared" si="532"/>
        <v>stakeholders engaged and interested in the</v>
      </c>
      <c r="O1680" t="str">
        <f t="shared" si="533"/>
        <v>project.</v>
      </c>
      <c r="P1680" t="str">
        <f t="shared" si="534"/>
        <v/>
      </c>
      <c r="Q1680" t="str">
        <f t="shared" si="535"/>
        <v/>
      </c>
      <c r="R1680" t="str">
        <f t="shared" si="536"/>
        <v/>
      </c>
      <c r="S1680" t="str">
        <f t="shared" si="537"/>
        <v/>
      </c>
      <c r="T1680" t="str">
        <f t="shared" si="538"/>
        <v/>
      </c>
      <c r="U1680" t="str">
        <f t="shared" si="539"/>
        <v/>
      </c>
      <c r="V1680" t="str">
        <f t="shared" si="540"/>
        <v/>
      </c>
      <c r="W1680" s="71" t="str">
        <f>CONCATENATE(H1680," ",I1680," ",J1680," ",K1680," ",L1680," ",M1680," ",N1680," ",O1680," ",P1680," ",Q1680," ",R1680," ",S1680," ",T1680," ",U1680," ",V1680)</f>
        <v xml:space="preserve">Stakeholder engagement The project manager works to keep the project stakeholders interested, involved, and supportive of the project. Through communication, management skills, and interpersonal skills, the project manager can work to keep the project stakeholders engaged and interested in the project.       </v>
      </c>
    </row>
    <row r="1681" spans="1:23" customFormat="1" hidden="1">
      <c r="A1681" t="b">
        <f t="shared" si="522"/>
        <v>0</v>
      </c>
      <c r="B1681">
        <f t="shared" si="524"/>
        <v>1680</v>
      </c>
      <c r="C1681" t="s">
        <v>1603</v>
      </c>
      <c r="D1681" t="s">
        <v>1644</v>
      </c>
      <c r="E1681">
        <f t="shared" si="521"/>
        <v>45</v>
      </c>
      <c r="G1681">
        <f t="shared" si="525"/>
        <v>2</v>
      </c>
      <c r="H1681" t="str">
        <f t="shared" si="526"/>
        <v/>
      </c>
      <c r="I1681" t="str">
        <f t="shared" si="527"/>
        <v/>
      </c>
      <c r="J1681" t="str">
        <f t="shared" si="528"/>
        <v/>
      </c>
      <c r="K1681" t="str">
        <f t="shared" si="529"/>
        <v/>
      </c>
      <c r="L1681" t="str">
        <f t="shared" si="530"/>
        <v/>
      </c>
      <c r="M1681" t="str">
        <f t="shared" si="531"/>
        <v/>
      </c>
      <c r="N1681" t="str">
        <f t="shared" si="532"/>
        <v/>
      </c>
      <c r="O1681" t="str">
        <f t="shared" si="533"/>
        <v/>
      </c>
      <c r="P1681" t="str">
        <f t="shared" si="534"/>
        <v/>
      </c>
      <c r="Q1681" t="str">
        <f t="shared" si="535"/>
        <v/>
      </c>
      <c r="R1681" t="str">
        <f t="shared" si="536"/>
        <v/>
      </c>
      <c r="S1681" t="str">
        <f t="shared" si="537"/>
        <v/>
      </c>
      <c r="T1681" t="str">
        <f t="shared" si="538"/>
        <v/>
      </c>
      <c r="U1681" t="str">
        <f t="shared" si="539"/>
        <v/>
      </c>
      <c r="V1681" t="str">
        <f t="shared" si="540"/>
        <v/>
      </c>
      <c r="W1681" t="str">
        <f t="shared" si="523"/>
        <v xml:space="preserve">              </v>
      </c>
    </row>
    <row r="1682" spans="1:23" customFormat="1" hidden="1">
      <c r="A1682" t="b">
        <f t="shared" si="522"/>
        <v>0</v>
      </c>
      <c r="B1682">
        <f t="shared" si="524"/>
        <v>1681</v>
      </c>
      <c r="C1682" t="s">
        <v>1603</v>
      </c>
      <c r="D1682" t="s">
        <v>1645</v>
      </c>
      <c r="E1682">
        <f t="shared" si="521"/>
        <v>49</v>
      </c>
      <c r="G1682">
        <f t="shared" si="525"/>
        <v>3</v>
      </c>
      <c r="H1682" t="str">
        <f t="shared" si="526"/>
        <v/>
      </c>
      <c r="I1682" t="str">
        <f t="shared" si="527"/>
        <v/>
      </c>
      <c r="J1682" t="str">
        <f t="shared" si="528"/>
        <v/>
      </c>
      <c r="K1682" t="str">
        <f t="shared" si="529"/>
        <v/>
      </c>
      <c r="L1682" t="str">
        <f t="shared" si="530"/>
        <v/>
      </c>
      <c r="M1682" t="str">
        <f t="shared" si="531"/>
        <v/>
      </c>
      <c r="N1682" t="str">
        <f t="shared" si="532"/>
        <v/>
      </c>
      <c r="O1682" t="str">
        <f t="shared" si="533"/>
        <v/>
      </c>
      <c r="P1682" t="str">
        <f t="shared" si="534"/>
        <v/>
      </c>
      <c r="Q1682" t="str">
        <f t="shared" si="535"/>
        <v/>
      </c>
      <c r="R1682" t="str">
        <f t="shared" si="536"/>
        <v/>
      </c>
      <c r="S1682" t="str">
        <f t="shared" si="537"/>
        <v/>
      </c>
      <c r="T1682" t="str">
        <f t="shared" si="538"/>
        <v/>
      </c>
      <c r="U1682" t="str">
        <f t="shared" si="539"/>
        <v/>
      </c>
      <c r="V1682" t="str">
        <f t="shared" si="540"/>
        <v/>
      </c>
      <c r="W1682" t="str">
        <f t="shared" si="523"/>
        <v xml:space="preserve">              </v>
      </c>
    </row>
    <row r="1683" spans="1:23" customFormat="1" hidden="1">
      <c r="A1683" t="b">
        <f t="shared" si="522"/>
        <v>0</v>
      </c>
      <c r="B1683">
        <f t="shared" si="524"/>
        <v>1682</v>
      </c>
      <c r="C1683" t="s">
        <v>1603</v>
      </c>
      <c r="D1683" t="s">
        <v>1646</v>
      </c>
      <c r="E1683">
        <f t="shared" si="521"/>
        <v>38</v>
      </c>
      <c r="G1683">
        <f t="shared" si="525"/>
        <v>4</v>
      </c>
      <c r="H1683" t="str">
        <f t="shared" si="526"/>
        <v/>
      </c>
      <c r="I1683" t="str">
        <f t="shared" si="527"/>
        <v/>
      </c>
      <c r="J1683" t="str">
        <f t="shared" si="528"/>
        <v/>
      </c>
      <c r="K1683" t="str">
        <f t="shared" si="529"/>
        <v/>
      </c>
      <c r="L1683" t="str">
        <f t="shared" si="530"/>
        <v/>
      </c>
      <c r="M1683" t="str">
        <f t="shared" si="531"/>
        <v/>
      </c>
      <c r="N1683" t="str">
        <f t="shared" si="532"/>
        <v/>
      </c>
      <c r="O1683" t="str">
        <f t="shared" si="533"/>
        <v/>
      </c>
      <c r="P1683" t="str">
        <f t="shared" si="534"/>
        <v/>
      </c>
      <c r="Q1683" t="str">
        <f t="shared" si="535"/>
        <v/>
      </c>
      <c r="R1683" t="str">
        <f t="shared" si="536"/>
        <v/>
      </c>
      <c r="S1683" t="str">
        <f t="shared" si="537"/>
        <v/>
      </c>
      <c r="T1683" t="str">
        <f t="shared" si="538"/>
        <v/>
      </c>
      <c r="U1683" t="str">
        <f t="shared" si="539"/>
        <v/>
      </c>
      <c r="V1683" t="str">
        <f t="shared" si="540"/>
        <v/>
      </c>
      <c r="W1683" t="str">
        <f t="shared" si="523"/>
        <v xml:space="preserve">              </v>
      </c>
    </row>
    <row r="1684" spans="1:23" customFormat="1" hidden="1">
      <c r="A1684" t="b">
        <f t="shared" si="522"/>
        <v>0</v>
      </c>
      <c r="B1684">
        <f t="shared" si="524"/>
        <v>1683</v>
      </c>
      <c r="C1684" t="s">
        <v>1603</v>
      </c>
      <c r="D1684" t="s">
        <v>1647</v>
      </c>
      <c r="E1684">
        <f t="shared" ref="E1684:E1727" si="541">LEN(D1684)</f>
        <v>48</v>
      </c>
      <c r="G1684">
        <f t="shared" si="525"/>
        <v>5</v>
      </c>
      <c r="H1684" t="str">
        <f t="shared" si="526"/>
        <v/>
      </c>
      <c r="I1684" t="str">
        <f t="shared" si="527"/>
        <v/>
      </c>
      <c r="J1684" t="str">
        <f t="shared" si="528"/>
        <v/>
      </c>
      <c r="K1684" t="str">
        <f t="shared" si="529"/>
        <v/>
      </c>
      <c r="L1684" t="str">
        <f t="shared" si="530"/>
        <v/>
      </c>
      <c r="M1684" t="str">
        <f t="shared" si="531"/>
        <v/>
      </c>
      <c r="N1684" t="str">
        <f t="shared" si="532"/>
        <v/>
      </c>
      <c r="O1684" t="str">
        <f t="shared" si="533"/>
        <v/>
      </c>
      <c r="P1684" t="str">
        <f t="shared" si="534"/>
        <v/>
      </c>
      <c r="Q1684" t="str">
        <f t="shared" si="535"/>
        <v/>
      </c>
      <c r="R1684" t="str">
        <f t="shared" si="536"/>
        <v/>
      </c>
      <c r="S1684" t="str">
        <f t="shared" si="537"/>
        <v/>
      </c>
      <c r="T1684" t="str">
        <f t="shared" si="538"/>
        <v/>
      </c>
      <c r="U1684" t="str">
        <f t="shared" si="539"/>
        <v/>
      </c>
      <c r="V1684" t="str">
        <f t="shared" si="540"/>
        <v/>
      </c>
      <c r="W1684" t="str">
        <f t="shared" si="523"/>
        <v xml:space="preserve">              </v>
      </c>
    </row>
    <row r="1685" spans="1:23" customFormat="1" hidden="1">
      <c r="A1685" t="b">
        <f t="shared" si="522"/>
        <v>0</v>
      </c>
      <c r="B1685">
        <f t="shared" si="524"/>
        <v>1684</v>
      </c>
      <c r="C1685" t="s">
        <v>1603</v>
      </c>
      <c r="D1685" t="s">
        <v>1648</v>
      </c>
      <c r="E1685">
        <f t="shared" si="541"/>
        <v>44</v>
      </c>
      <c r="G1685">
        <f t="shared" si="525"/>
        <v>6</v>
      </c>
      <c r="H1685" t="str">
        <f t="shared" si="526"/>
        <v/>
      </c>
      <c r="I1685" t="str">
        <f t="shared" si="527"/>
        <v/>
      </c>
      <c r="J1685" t="str">
        <f t="shared" si="528"/>
        <v/>
      </c>
      <c r="K1685" t="str">
        <f t="shared" si="529"/>
        <v/>
      </c>
      <c r="L1685" t="str">
        <f t="shared" si="530"/>
        <v/>
      </c>
      <c r="M1685" t="str">
        <f t="shared" si="531"/>
        <v/>
      </c>
      <c r="N1685" t="str">
        <f t="shared" si="532"/>
        <v/>
      </c>
      <c r="O1685" t="str">
        <f t="shared" si="533"/>
        <v/>
      </c>
      <c r="P1685" t="str">
        <f t="shared" si="534"/>
        <v/>
      </c>
      <c r="Q1685" t="str">
        <f t="shared" si="535"/>
        <v/>
      </c>
      <c r="R1685" t="str">
        <f t="shared" si="536"/>
        <v/>
      </c>
      <c r="S1685" t="str">
        <f t="shared" si="537"/>
        <v/>
      </c>
      <c r="T1685" t="str">
        <f t="shared" si="538"/>
        <v/>
      </c>
      <c r="U1685" t="str">
        <f t="shared" si="539"/>
        <v/>
      </c>
      <c r="V1685" t="str">
        <f t="shared" si="540"/>
        <v/>
      </c>
      <c r="W1685" t="str">
        <f t="shared" si="523"/>
        <v xml:space="preserve">              </v>
      </c>
    </row>
    <row r="1686" spans="1:23" customFormat="1" hidden="1">
      <c r="A1686" t="b">
        <f t="shared" si="522"/>
        <v>0</v>
      </c>
      <c r="B1686">
        <f t="shared" si="524"/>
        <v>1685</v>
      </c>
      <c r="C1686" t="s">
        <v>1603</v>
      </c>
      <c r="D1686" t="s">
        <v>1649</v>
      </c>
      <c r="E1686">
        <f t="shared" si="541"/>
        <v>42</v>
      </c>
      <c r="G1686">
        <f t="shared" si="525"/>
        <v>7</v>
      </c>
      <c r="H1686" t="str">
        <f t="shared" si="526"/>
        <v/>
      </c>
      <c r="I1686" t="str">
        <f t="shared" si="527"/>
        <v/>
      </c>
      <c r="J1686" t="str">
        <f t="shared" si="528"/>
        <v/>
      </c>
      <c r="K1686" t="str">
        <f t="shared" si="529"/>
        <v/>
      </c>
      <c r="L1686" t="str">
        <f t="shared" si="530"/>
        <v/>
      </c>
      <c r="M1686" t="str">
        <f t="shared" si="531"/>
        <v/>
      </c>
      <c r="N1686" t="str">
        <f t="shared" si="532"/>
        <v/>
      </c>
      <c r="O1686" t="str">
        <f t="shared" si="533"/>
        <v/>
      </c>
      <c r="P1686" t="str">
        <f t="shared" si="534"/>
        <v/>
      </c>
      <c r="Q1686" t="str">
        <f t="shared" si="535"/>
        <v/>
      </c>
      <c r="R1686" t="str">
        <f t="shared" si="536"/>
        <v/>
      </c>
      <c r="S1686" t="str">
        <f t="shared" si="537"/>
        <v/>
      </c>
      <c r="T1686" t="str">
        <f t="shared" si="538"/>
        <v/>
      </c>
      <c r="U1686" t="str">
        <f t="shared" si="539"/>
        <v/>
      </c>
      <c r="V1686" t="str">
        <f t="shared" si="540"/>
        <v/>
      </c>
      <c r="W1686" t="str">
        <f t="shared" si="523"/>
        <v xml:space="preserve">              </v>
      </c>
    </row>
    <row r="1687" spans="1:23" customFormat="1" hidden="1">
      <c r="A1687" t="b">
        <f t="shared" si="522"/>
        <v>0</v>
      </c>
      <c r="B1687">
        <f t="shared" si="524"/>
        <v>1686</v>
      </c>
      <c r="C1687" t="s">
        <v>1603</v>
      </c>
      <c r="D1687" t="s">
        <v>131</v>
      </c>
      <c r="E1687">
        <f t="shared" si="541"/>
        <v>8</v>
      </c>
      <c r="G1687">
        <f t="shared" si="525"/>
        <v>8</v>
      </c>
      <c r="H1687" t="str">
        <f t="shared" si="526"/>
        <v/>
      </c>
      <c r="I1687" t="str">
        <f t="shared" si="527"/>
        <v/>
      </c>
      <c r="J1687" t="str">
        <f t="shared" si="528"/>
        <v/>
      </c>
      <c r="K1687" t="str">
        <f t="shared" si="529"/>
        <v/>
      </c>
      <c r="L1687" t="str">
        <f t="shared" si="530"/>
        <v/>
      </c>
      <c r="M1687" t="str">
        <f t="shared" si="531"/>
        <v/>
      </c>
      <c r="N1687" t="str">
        <f t="shared" si="532"/>
        <v/>
      </c>
      <c r="O1687" t="str">
        <f t="shared" si="533"/>
        <v/>
      </c>
      <c r="P1687" t="str">
        <f t="shared" si="534"/>
        <v/>
      </c>
      <c r="Q1687" t="str">
        <f t="shared" si="535"/>
        <v/>
      </c>
      <c r="R1687" t="str">
        <f t="shared" si="536"/>
        <v/>
      </c>
      <c r="S1687" t="str">
        <f t="shared" si="537"/>
        <v/>
      </c>
      <c r="T1687" t="str">
        <f t="shared" si="538"/>
        <v/>
      </c>
      <c r="U1687" t="str">
        <f t="shared" si="539"/>
        <v/>
      </c>
      <c r="V1687" t="str">
        <f t="shared" si="540"/>
        <v/>
      </c>
      <c r="W1687" t="str">
        <f t="shared" si="523"/>
        <v xml:space="preserve">              </v>
      </c>
    </row>
    <row r="1688" spans="1:23" hidden="1">
      <c r="A1688" s="71" t="b">
        <f t="shared" si="522"/>
        <v>0</v>
      </c>
      <c r="B1688" s="71">
        <f t="shared" si="524"/>
        <v>1687</v>
      </c>
      <c r="C1688" s="71" t="s">
        <v>1603</v>
      </c>
      <c r="D1688" s="71" t="s">
        <v>1650</v>
      </c>
      <c r="E1688">
        <f t="shared" si="541"/>
        <v>26</v>
      </c>
      <c r="F1688">
        <v>1</v>
      </c>
      <c r="G1688">
        <f t="shared" si="525"/>
        <v>1</v>
      </c>
      <c r="H1688" t="str">
        <f t="shared" si="526"/>
        <v>Stakeholder identification</v>
      </c>
      <c r="I1688" t="str">
        <f t="shared" si="527"/>
        <v>A project initiation activity to identify, document,</v>
      </c>
      <c r="J1688" t="str">
        <f t="shared" si="528"/>
        <v>and classify the project stakeholders as early as</v>
      </c>
      <c r="K1688" t="str">
        <f t="shared" si="529"/>
        <v>possible in the project.</v>
      </c>
      <c r="L1688" t="str">
        <f t="shared" si="530"/>
        <v/>
      </c>
      <c r="M1688" t="str">
        <f t="shared" si="531"/>
        <v/>
      </c>
      <c r="N1688" t="str">
        <f t="shared" si="532"/>
        <v/>
      </c>
      <c r="O1688" t="str">
        <f t="shared" si="533"/>
        <v/>
      </c>
      <c r="P1688" t="str">
        <f t="shared" si="534"/>
        <v/>
      </c>
      <c r="Q1688" t="str">
        <f t="shared" si="535"/>
        <v/>
      </c>
      <c r="R1688" t="str">
        <f t="shared" si="536"/>
        <v/>
      </c>
      <c r="S1688" t="str">
        <f t="shared" si="537"/>
        <v/>
      </c>
      <c r="T1688" t="str">
        <f t="shared" si="538"/>
        <v/>
      </c>
      <c r="U1688" t="str">
        <f t="shared" si="539"/>
        <v/>
      </c>
      <c r="V1688" t="str">
        <f t="shared" si="540"/>
        <v/>
      </c>
      <c r="W1688" s="71" t="str">
        <f>CONCATENATE(H1688," ",I1688," ",J1688," ",K1688," ",L1688," ",M1688," ",N1688," ",O1688," ",P1688," ",Q1688," ",R1688," ",S1688," ",T1688," ",U1688," ",V1688)</f>
        <v xml:space="preserve">Stakeholder identification A project initiation activity to identify, document, and classify the project stakeholders as early as possible in the project.           </v>
      </c>
    </row>
    <row r="1689" spans="1:23" customFormat="1" hidden="1">
      <c r="A1689" t="b">
        <f t="shared" si="522"/>
        <v>0</v>
      </c>
      <c r="B1689">
        <f t="shared" si="524"/>
        <v>1688</v>
      </c>
      <c r="C1689" t="s">
        <v>1603</v>
      </c>
      <c r="D1689" t="s">
        <v>1651</v>
      </c>
      <c r="E1689">
        <f t="shared" si="541"/>
        <v>52</v>
      </c>
      <c r="G1689">
        <f t="shared" si="525"/>
        <v>2</v>
      </c>
      <c r="H1689" t="str">
        <f t="shared" si="526"/>
        <v/>
      </c>
      <c r="I1689" t="str">
        <f t="shared" si="527"/>
        <v/>
      </c>
      <c r="J1689" t="str">
        <f t="shared" si="528"/>
        <v/>
      </c>
      <c r="K1689" t="str">
        <f t="shared" si="529"/>
        <v/>
      </c>
      <c r="L1689" t="str">
        <f t="shared" si="530"/>
        <v/>
      </c>
      <c r="M1689" t="str">
        <f t="shared" si="531"/>
        <v/>
      </c>
      <c r="N1689" t="str">
        <f t="shared" si="532"/>
        <v/>
      </c>
      <c r="O1689" t="str">
        <f t="shared" si="533"/>
        <v/>
      </c>
      <c r="P1689" t="str">
        <f t="shared" si="534"/>
        <v/>
      </c>
      <c r="Q1689" t="str">
        <f t="shared" si="535"/>
        <v/>
      </c>
      <c r="R1689" t="str">
        <f t="shared" si="536"/>
        <v/>
      </c>
      <c r="S1689" t="str">
        <f t="shared" si="537"/>
        <v/>
      </c>
      <c r="T1689" t="str">
        <f t="shared" si="538"/>
        <v/>
      </c>
      <c r="U1689" t="str">
        <f t="shared" si="539"/>
        <v/>
      </c>
      <c r="V1689" t="str">
        <f t="shared" si="540"/>
        <v/>
      </c>
      <c r="W1689" t="str">
        <f t="shared" si="523"/>
        <v xml:space="preserve">              </v>
      </c>
    </row>
    <row r="1690" spans="1:23" customFormat="1" hidden="1">
      <c r="A1690" t="b">
        <f t="shared" si="522"/>
        <v>0</v>
      </c>
      <c r="B1690">
        <f t="shared" si="524"/>
        <v>1689</v>
      </c>
      <c r="C1690" t="s">
        <v>1603</v>
      </c>
      <c r="D1690" t="s">
        <v>1652</v>
      </c>
      <c r="E1690">
        <f t="shared" si="541"/>
        <v>49</v>
      </c>
      <c r="G1690">
        <f t="shared" si="525"/>
        <v>3</v>
      </c>
      <c r="H1690" t="str">
        <f t="shared" si="526"/>
        <v/>
      </c>
      <c r="I1690" t="str">
        <f t="shared" si="527"/>
        <v/>
      </c>
      <c r="J1690" t="str">
        <f t="shared" si="528"/>
        <v/>
      </c>
      <c r="K1690" t="str">
        <f t="shared" si="529"/>
        <v/>
      </c>
      <c r="L1690" t="str">
        <f t="shared" si="530"/>
        <v/>
      </c>
      <c r="M1690" t="str">
        <f t="shared" si="531"/>
        <v/>
      </c>
      <c r="N1690" t="str">
        <f t="shared" si="532"/>
        <v/>
      </c>
      <c r="O1690" t="str">
        <f t="shared" si="533"/>
        <v/>
      </c>
      <c r="P1690" t="str">
        <f t="shared" si="534"/>
        <v/>
      </c>
      <c r="Q1690" t="str">
        <f t="shared" si="535"/>
        <v/>
      </c>
      <c r="R1690" t="str">
        <f t="shared" si="536"/>
        <v/>
      </c>
      <c r="S1690" t="str">
        <f t="shared" si="537"/>
        <v/>
      </c>
      <c r="T1690" t="str">
        <f t="shared" si="538"/>
        <v/>
      </c>
      <c r="U1690" t="str">
        <f t="shared" si="539"/>
        <v/>
      </c>
      <c r="V1690" t="str">
        <f t="shared" si="540"/>
        <v/>
      </c>
      <c r="W1690" t="str">
        <f t="shared" si="523"/>
        <v xml:space="preserve">              </v>
      </c>
    </row>
    <row r="1691" spans="1:23" customFormat="1" hidden="1">
      <c r="A1691" t="b">
        <f t="shared" si="522"/>
        <v>0</v>
      </c>
      <c r="B1691">
        <f t="shared" si="524"/>
        <v>1690</v>
      </c>
      <c r="C1691" t="s">
        <v>1603</v>
      </c>
      <c r="D1691" t="s">
        <v>1653</v>
      </c>
      <c r="E1691">
        <f t="shared" si="541"/>
        <v>24</v>
      </c>
      <c r="G1691">
        <f t="shared" si="525"/>
        <v>4</v>
      </c>
      <c r="H1691" t="str">
        <f t="shared" si="526"/>
        <v/>
      </c>
      <c r="I1691" t="str">
        <f t="shared" si="527"/>
        <v/>
      </c>
      <c r="J1691" t="str">
        <f t="shared" si="528"/>
        <v/>
      </c>
      <c r="K1691" t="str">
        <f t="shared" si="529"/>
        <v/>
      </c>
      <c r="L1691" t="str">
        <f t="shared" si="530"/>
        <v/>
      </c>
      <c r="M1691" t="str">
        <f t="shared" si="531"/>
        <v/>
      </c>
      <c r="N1691" t="str">
        <f t="shared" si="532"/>
        <v/>
      </c>
      <c r="O1691" t="str">
        <f t="shared" si="533"/>
        <v/>
      </c>
      <c r="P1691" t="str">
        <f t="shared" si="534"/>
        <v/>
      </c>
      <c r="Q1691" t="str">
        <f t="shared" si="535"/>
        <v/>
      </c>
      <c r="R1691" t="str">
        <f t="shared" si="536"/>
        <v/>
      </c>
      <c r="S1691" t="str">
        <f t="shared" si="537"/>
        <v/>
      </c>
      <c r="T1691" t="str">
        <f t="shared" si="538"/>
        <v/>
      </c>
      <c r="U1691" t="str">
        <f t="shared" si="539"/>
        <v/>
      </c>
      <c r="V1691" t="str">
        <f t="shared" si="540"/>
        <v/>
      </c>
      <c r="W1691" t="str">
        <f t="shared" si="523"/>
        <v xml:space="preserve">              </v>
      </c>
    </row>
    <row r="1692" spans="1:23" hidden="1">
      <c r="A1692" s="71" t="b">
        <f t="shared" si="522"/>
        <v>0</v>
      </c>
      <c r="B1692" s="71">
        <f t="shared" si="524"/>
        <v>1691</v>
      </c>
      <c r="C1692" s="71" t="s">
        <v>1603</v>
      </c>
      <c r="D1692" s="71" t="s">
        <v>1654</v>
      </c>
      <c r="E1692">
        <f t="shared" si="541"/>
        <v>22</v>
      </c>
      <c r="F1692">
        <v>1</v>
      </c>
      <c r="G1692">
        <f t="shared" si="525"/>
        <v>1</v>
      </c>
      <c r="H1692" t="str">
        <f t="shared" si="526"/>
        <v>Stakeholder management</v>
      </c>
      <c r="I1692" t="str">
        <f t="shared" si="527"/>
        <v>The project management knowledge area that</v>
      </c>
      <c r="J1692" t="str">
        <f t="shared" si="528"/>
        <v>focuses on the management and engagement of</v>
      </c>
      <c r="K1692" t="str">
        <f t="shared" si="529"/>
        <v>the project stakeholders. There are four</v>
      </c>
      <c r="L1692" t="str">
        <f t="shared" si="530"/>
        <v>processes in this knowledge area: identify</v>
      </c>
      <c r="M1692" t="str">
        <f t="shared" si="531"/>
        <v>stakeholders, plan stakeholder management,</v>
      </c>
      <c r="N1692" t="str">
        <f t="shared" si="532"/>
        <v>manage stakeholder engagement, and Monitor</v>
      </c>
      <c r="O1692" t="str">
        <f t="shared" si="533"/>
        <v>Stakeholder Engagement.</v>
      </c>
      <c r="P1692" t="str">
        <f t="shared" si="534"/>
        <v/>
      </c>
      <c r="Q1692" t="str">
        <f t="shared" si="535"/>
        <v/>
      </c>
      <c r="R1692" t="str">
        <f t="shared" si="536"/>
        <v/>
      </c>
      <c r="S1692" t="str">
        <f t="shared" si="537"/>
        <v/>
      </c>
      <c r="T1692" t="str">
        <f t="shared" si="538"/>
        <v/>
      </c>
      <c r="U1692" t="str">
        <f t="shared" si="539"/>
        <v/>
      </c>
      <c r="V1692" t="str">
        <f t="shared" si="540"/>
        <v/>
      </c>
      <c r="W1692" s="71" t="str">
        <f>CONCATENATE(H1692," ",I1692," ",J1692," ",K1692," ",L1692," ",M1692," ",N1692," ",O1692," ",P1692," ",Q1692," ",R1692," ",S1692," ",T1692," ",U1692," ",V1692)</f>
        <v xml:space="preserve">Stakeholder management The project management knowledge area that focuses on the management and engagement of the project stakeholders. There are four processes in this knowledge area: identify stakeholders, plan stakeholder management, manage stakeholder engagement, and Monitor Stakeholder Engagement.       </v>
      </c>
    </row>
    <row r="1693" spans="1:23" customFormat="1" hidden="1">
      <c r="A1693" t="b">
        <f t="shared" si="522"/>
        <v>0</v>
      </c>
      <c r="B1693">
        <f t="shared" si="524"/>
        <v>1692</v>
      </c>
      <c r="C1693" t="s">
        <v>1603</v>
      </c>
      <c r="D1693" t="s">
        <v>1655</v>
      </c>
      <c r="E1693">
        <f t="shared" si="541"/>
        <v>42</v>
      </c>
      <c r="G1693">
        <f t="shared" si="525"/>
        <v>2</v>
      </c>
      <c r="H1693" t="str">
        <f t="shared" si="526"/>
        <v/>
      </c>
      <c r="I1693" t="str">
        <f t="shared" si="527"/>
        <v/>
      </c>
      <c r="J1693" t="str">
        <f t="shared" si="528"/>
        <v/>
      </c>
      <c r="K1693" t="str">
        <f t="shared" si="529"/>
        <v/>
      </c>
      <c r="L1693" t="str">
        <f t="shared" si="530"/>
        <v/>
      </c>
      <c r="M1693" t="str">
        <f t="shared" si="531"/>
        <v/>
      </c>
      <c r="N1693" t="str">
        <f t="shared" si="532"/>
        <v/>
      </c>
      <c r="O1693" t="str">
        <f t="shared" si="533"/>
        <v/>
      </c>
      <c r="P1693" t="str">
        <f t="shared" si="534"/>
        <v/>
      </c>
      <c r="Q1693" t="str">
        <f t="shared" si="535"/>
        <v/>
      </c>
      <c r="R1693" t="str">
        <f t="shared" si="536"/>
        <v/>
      </c>
      <c r="S1693" t="str">
        <f t="shared" si="537"/>
        <v/>
      </c>
      <c r="T1693" t="str">
        <f t="shared" si="538"/>
        <v/>
      </c>
      <c r="U1693" t="str">
        <f t="shared" si="539"/>
        <v/>
      </c>
      <c r="V1693" t="str">
        <f t="shared" si="540"/>
        <v/>
      </c>
      <c r="W1693" t="str">
        <f t="shared" si="523"/>
        <v xml:space="preserve">              </v>
      </c>
    </row>
    <row r="1694" spans="1:23" customFormat="1" hidden="1">
      <c r="A1694" t="b">
        <f t="shared" si="522"/>
        <v>0</v>
      </c>
      <c r="B1694">
        <f t="shared" si="524"/>
        <v>1693</v>
      </c>
      <c r="C1694" t="s">
        <v>1603</v>
      </c>
      <c r="D1694" t="s">
        <v>1656</v>
      </c>
      <c r="E1694">
        <f t="shared" si="541"/>
        <v>43</v>
      </c>
      <c r="G1694">
        <f t="shared" si="525"/>
        <v>3</v>
      </c>
      <c r="H1694" t="str">
        <f t="shared" si="526"/>
        <v/>
      </c>
      <c r="I1694" t="str">
        <f t="shared" si="527"/>
        <v/>
      </c>
      <c r="J1694" t="str">
        <f t="shared" si="528"/>
        <v/>
      </c>
      <c r="K1694" t="str">
        <f t="shared" si="529"/>
        <v/>
      </c>
      <c r="L1694" t="str">
        <f t="shared" si="530"/>
        <v/>
      </c>
      <c r="M1694" t="str">
        <f t="shared" si="531"/>
        <v/>
      </c>
      <c r="N1694" t="str">
        <f t="shared" si="532"/>
        <v/>
      </c>
      <c r="O1694" t="str">
        <f t="shared" si="533"/>
        <v/>
      </c>
      <c r="P1694" t="str">
        <f t="shared" si="534"/>
        <v/>
      </c>
      <c r="Q1694" t="str">
        <f t="shared" si="535"/>
        <v/>
      </c>
      <c r="R1694" t="str">
        <f t="shared" si="536"/>
        <v/>
      </c>
      <c r="S1694" t="str">
        <f t="shared" si="537"/>
        <v/>
      </c>
      <c r="T1694" t="str">
        <f t="shared" si="538"/>
        <v/>
      </c>
      <c r="U1694" t="str">
        <f t="shared" si="539"/>
        <v/>
      </c>
      <c r="V1694" t="str">
        <f t="shared" si="540"/>
        <v/>
      </c>
      <c r="W1694" t="str">
        <f t="shared" si="523"/>
        <v xml:space="preserve">              </v>
      </c>
    </row>
    <row r="1695" spans="1:23" customFormat="1" hidden="1">
      <c r="A1695" t="b">
        <f t="shared" si="522"/>
        <v>0</v>
      </c>
      <c r="B1695">
        <f t="shared" si="524"/>
        <v>1694</v>
      </c>
      <c r="C1695" t="s">
        <v>1603</v>
      </c>
      <c r="D1695" t="s">
        <v>1657</v>
      </c>
      <c r="E1695">
        <f t="shared" si="541"/>
        <v>40</v>
      </c>
      <c r="G1695">
        <f t="shared" si="525"/>
        <v>4</v>
      </c>
      <c r="H1695" t="str">
        <f t="shared" si="526"/>
        <v/>
      </c>
      <c r="I1695" t="str">
        <f t="shared" si="527"/>
        <v/>
      </c>
      <c r="J1695" t="str">
        <f t="shared" si="528"/>
        <v/>
      </c>
      <c r="K1695" t="str">
        <f t="shared" si="529"/>
        <v/>
      </c>
      <c r="L1695" t="str">
        <f t="shared" si="530"/>
        <v/>
      </c>
      <c r="M1695" t="str">
        <f t="shared" si="531"/>
        <v/>
      </c>
      <c r="N1695" t="str">
        <f t="shared" si="532"/>
        <v/>
      </c>
      <c r="O1695" t="str">
        <f t="shared" si="533"/>
        <v/>
      </c>
      <c r="P1695" t="str">
        <f t="shared" si="534"/>
        <v/>
      </c>
      <c r="Q1695" t="str">
        <f t="shared" si="535"/>
        <v/>
      </c>
      <c r="R1695" t="str">
        <f t="shared" si="536"/>
        <v/>
      </c>
      <c r="S1695" t="str">
        <f t="shared" si="537"/>
        <v/>
      </c>
      <c r="T1695" t="str">
        <f t="shared" si="538"/>
        <v/>
      </c>
      <c r="U1695" t="str">
        <f t="shared" si="539"/>
        <v/>
      </c>
      <c r="V1695" t="str">
        <f t="shared" si="540"/>
        <v/>
      </c>
      <c r="W1695" t="str">
        <f t="shared" si="523"/>
        <v xml:space="preserve">              </v>
      </c>
    </row>
    <row r="1696" spans="1:23" customFormat="1" hidden="1">
      <c r="A1696" t="b">
        <f t="shared" si="522"/>
        <v>0</v>
      </c>
      <c r="B1696">
        <f t="shared" si="524"/>
        <v>1695</v>
      </c>
      <c r="C1696" t="s">
        <v>1603</v>
      </c>
      <c r="D1696" t="s">
        <v>1658</v>
      </c>
      <c r="E1696">
        <f t="shared" si="541"/>
        <v>42</v>
      </c>
      <c r="G1696">
        <f t="shared" si="525"/>
        <v>5</v>
      </c>
      <c r="H1696" t="str">
        <f t="shared" si="526"/>
        <v/>
      </c>
      <c r="I1696" t="str">
        <f t="shared" si="527"/>
        <v/>
      </c>
      <c r="J1696" t="str">
        <f t="shared" si="528"/>
        <v/>
      </c>
      <c r="K1696" t="str">
        <f t="shared" si="529"/>
        <v/>
      </c>
      <c r="L1696" t="str">
        <f t="shared" si="530"/>
        <v/>
      </c>
      <c r="M1696" t="str">
        <f t="shared" si="531"/>
        <v/>
      </c>
      <c r="N1696" t="str">
        <f t="shared" si="532"/>
        <v/>
      </c>
      <c r="O1696" t="str">
        <f t="shared" si="533"/>
        <v/>
      </c>
      <c r="P1696" t="str">
        <f t="shared" si="534"/>
        <v/>
      </c>
      <c r="Q1696" t="str">
        <f t="shared" si="535"/>
        <v/>
      </c>
      <c r="R1696" t="str">
        <f t="shared" si="536"/>
        <v/>
      </c>
      <c r="S1696" t="str">
        <f t="shared" si="537"/>
        <v/>
      </c>
      <c r="T1696" t="str">
        <f t="shared" si="538"/>
        <v/>
      </c>
      <c r="U1696" t="str">
        <f t="shared" si="539"/>
        <v/>
      </c>
      <c r="V1696" t="str">
        <f t="shared" si="540"/>
        <v/>
      </c>
      <c r="W1696" t="str">
        <f t="shared" si="523"/>
        <v xml:space="preserve">              </v>
      </c>
    </row>
    <row r="1697" spans="1:23" customFormat="1" hidden="1">
      <c r="A1697" t="b">
        <f t="shared" si="522"/>
        <v>0</v>
      </c>
      <c r="B1697">
        <f t="shared" si="524"/>
        <v>1696</v>
      </c>
      <c r="C1697" t="s">
        <v>1603</v>
      </c>
      <c r="D1697" t="s">
        <v>1659</v>
      </c>
      <c r="E1697">
        <f t="shared" si="541"/>
        <v>42</v>
      </c>
      <c r="G1697">
        <f t="shared" si="525"/>
        <v>6</v>
      </c>
      <c r="H1697" t="str">
        <f t="shared" si="526"/>
        <v/>
      </c>
      <c r="I1697" t="str">
        <f t="shared" si="527"/>
        <v/>
      </c>
      <c r="J1697" t="str">
        <f t="shared" si="528"/>
        <v/>
      </c>
      <c r="K1697" t="str">
        <f t="shared" si="529"/>
        <v/>
      </c>
      <c r="L1697" t="str">
        <f t="shared" si="530"/>
        <v/>
      </c>
      <c r="M1697" t="str">
        <f t="shared" si="531"/>
        <v/>
      </c>
      <c r="N1697" t="str">
        <f t="shared" si="532"/>
        <v/>
      </c>
      <c r="O1697" t="str">
        <f t="shared" si="533"/>
        <v/>
      </c>
      <c r="P1697" t="str">
        <f t="shared" si="534"/>
        <v/>
      </c>
      <c r="Q1697" t="str">
        <f t="shared" si="535"/>
        <v/>
      </c>
      <c r="R1697" t="str">
        <f t="shared" si="536"/>
        <v/>
      </c>
      <c r="S1697" t="str">
        <f t="shared" si="537"/>
        <v/>
      </c>
      <c r="T1697" t="str">
        <f t="shared" si="538"/>
        <v/>
      </c>
      <c r="U1697" t="str">
        <f t="shared" si="539"/>
        <v/>
      </c>
      <c r="V1697" t="str">
        <f t="shared" si="540"/>
        <v/>
      </c>
      <c r="W1697" t="str">
        <f t="shared" si="523"/>
        <v xml:space="preserve">              </v>
      </c>
    </row>
    <row r="1698" spans="1:23" customFormat="1" hidden="1">
      <c r="A1698" t="b">
        <f t="shared" si="522"/>
        <v>0</v>
      </c>
      <c r="B1698">
        <f t="shared" si="524"/>
        <v>1697</v>
      </c>
      <c r="C1698" t="s">
        <v>1603</v>
      </c>
      <c r="D1698" t="s">
        <v>1660</v>
      </c>
      <c r="E1698">
        <f t="shared" si="541"/>
        <v>42</v>
      </c>
      <c r="G1698">
        <f t="shared" si="525"/>
        <v>7</v>
      </c>
      <c r="H1698" t="str">
        <f t="shared" si="526"/>
        <v/>
      </c>
      <c r="I1698" t="str">
        <f t="shared" si="527"/>
        <v/>
      </c>
      <c r="J1698" t="str">
        <f t="shared" si="528"/>
        <v/>
      </c>
      <c r="K1698" t="str">
        <f t="shared" si="529"/>
        <v/>
      </c>
      <c r="L1698" t="str">
        <f t="shared" si="530"/>
        <v/>
      </c>
      <c r="M1698" t="str">
        <f t="shared" si="531"/>
        <v/>
      </c>
      <c r="N1698" t="str">
        <f t="shared" si="532"/>
        <v/>
      </c>
      <c r="O1698" t="str">
        <f t="shared" si="533"/>
        <v/>
      </c>
      <c r="P1698" t="str">
        <f t="shared" si="534"/>
        <v/>
      </c>
      <c r="Q1698" t="str">
        <f t="shared" si="535"/>
        <v/>
      </c>
      <c r="R1698" t="str">
        <f t="shared" si="536"/>
        <v/>
      </c>
      <c r="S1698" t="str">
        <f t="shared" si="537"/>
        <v/>
      </c>
      <c r="T1698" t="str">
        <f t="shared" si="538"/>
        <v/>
      </c>
      <c r="U1698" t="str">
        <f t="shared" si="539"/>
        <v/>
      </c>
      <c r="V1698" t="str">
        <f t="shared" si="540"/>
        <v/>
      </c>
      <c r="W1698" t="str">
        <f t="shared" si="523"/>
        <v xml:space="preserve">              </v>
      </c>
    </row>
    <row r="1699" spans="1:23" customFormat="1" hidden="1">
      <c r="A1699" t="b">
        <f t="shared" si="522"/>
        <v>0</v>
      </c>
      <c r="B1699">
        <f t="shared" si="524"/>
        <v>1698</v>
      </c>
      <c r="C1699" t="s">
        <v>1603</v>
      </c>
      <c r="D1699" t="s">
        <v>1661</v>
      </c>
      <c r="E1699">
        <f t="shared" si="541"/>
        <v>23</v>
      </c>
      <c r="G1699">
        <f t="shared" si="525"/>
        <v>8</v>
      </c>
      <c r="H1699" t="str">
        <f t="shared" si="526"/>
        <v/>
      </c>
      <c r="I1699" t="str">
        <f t="shared" si="527"/>
        <v/>
      </c>
      <c r="J1699" t="str">
        <f t="shared" si="528"/>
        <v/>
      </c>
      <c r="K1699" t="str">
        <f t="shared" si="529"/>
        <v/>
      </c>
      <c r="L1699" t="str">
        <f t="shared" si="530"/>
        <v/>
      </c>
      <c r="M1699" t="str">
        <f t="shared" si="531"/>
        <v/>
      </c>
      <c r="N1699" t="str">
        <f t="shared" si="532"/>
        <v/>
      </c>
      <c r="O1699" t="str">
        <f t="shared" si="533"/>
        <v/>
      </c>
      <c r="P1699" t="str">
        <f t="shared" si="534"/>
        <v/>
      </c>
      <c r="Q1699" t="str">
        <f t="shared" si="535"/>
        <v/>
      </c>
      <c r="R1699" t="str">
        <f t="shared" si="536"/>
        <v/>
      </c>
      <c r="S1699" t="str">
        <f t="shared" si="537"/>
        <v/>
      </c>
      <c r="T1699" t="str">
        <f t="shared" si="538"/>
        <v/>
      </c>
      <c r="U1699" t="str">
        <f t="shared" si="539"/>
        <v/>
      </c>
      <c r="V1699" t="str">
        <f t="shared" si="540"/>
        <v/>
      </c>
      <c r="W1699" t="str">
        <f t="shared" si="523"/>
        <v xml:space="preserve">              </v>
      </c>
    </row>
    <row r="1700" spans="1:23" hidden="1">
      <c r="A1700" s="71" t="b">
        <f t="shared" si="522"/>
        <v>0</v>
      </c>
      <c r="B1700" s="71">
        <f t="shared" si="524"/>
        <v>1699</v>
      </c>
      <c r="C1700" s="71" t="s">
        <v>1603</v>
      </c>
      <c r="D1700" s="71" t="s">
        <v>1662</v>
      </c>
      <c r="E1700">
        <f t="shared" si="541"/>
        <v>27</v>
      </c>
      <c r="F1700">
        <v>1</v>
      </c>
      <c r="G1700">
        <f t="shared" si="525"/>
        <v>1</v>
      </c>
      <c r="H1700" t="str">
        <f t="shared" si="526"/>
        <v>Stakeholder engagement plan</v>
      </c>
      <c r="I1700" t="str">
        <f t="shared" si="527"/>
        <v>The stakeholder engagement plan documents a</v>
      </c>
      <c r="J1700" t="str">
        <f t="shared" si="528"/>
        <v>strategy for managing the engagement of project</v>
      </c>
      <c r="K1700" t="str">
        <f t="shared" si="529"/>
        <v>stakeholders. The stakeholder engagement plan</v>
      </c>
      <c r="L1700" t="str">
        <f t="shared" si="530"/>
        <v>establishes stakeholder engagement and defines</v>
      </c>
      <c r="M1700" t="str">
        <f t="shared" si="531"/>
        <v>how the project manager can increase and</v>
      </c>
      <c r="N1700" t="str">
        <f t="shared" si="532"/>
        <v>improve stakeholder engagement.</v>
      </c>
      <c r="O1700" t="str">
        <f t="shared" si="533"/>
        <v/>
      </c>
      <c r="P1700" t="str">
        <f t="shared" si="534"/>
        <v/>
      </c>
      <c r="Q1700" t="str">
        <f t="shared" si="535"/>
        <v/>
      </c>
      <c r="R1700" t="str">
        <f t="shared" si="536"/>
        <v/>
      </c>
      <c r="S1700" t="str">
        <f t="shared" si="537"/>
        <v/>
      </c>
      <c r="T1700" t="str">
        <f t="shared" si="538"/>
        <v/>
      </c>
      <c r="U1700" t="str">
        <f t="shared" si="539"/>
        <v/>
      </c>
      <c r="V1700" t="str">
        <f t="shared" si="540"/>
        <v/>
      </c>
      <c r="W1700" s="71" t="str">
        <f>CONCATENATE(H1700," ",I1700," ",J1700," ",K1700," ",L1700," ",M1700," ",N1700," ",O1700," ",P1700," ",Q1700," ",R1700," ",S1700," ",T1700," ",U1700," ",V1700)</f>
        <v xml:space="preserve">Stakeholder engagement plan The stakeholder engagement plan documents a strategy for managing the engagement of project stakeholders. The stakeholder engagement plan establishes stakeholder engagement and defines how the project manager can increase and improve stakeholder engagement.        </v>
      </c>
    </row>
    <row r="1701" spans="1:23" customFormat="1" hidden="1">
      <c r="A1701" t="b">
        <f t="shared" si="522"/>
        <v>0</v>
      </c>
      <c r="B1701">
        <f t="shared" si="524"/>
        <v>1700</v>
      </c>
      <c r="C1701" t="s">
        <v>1603</v>
      </c>
      <c r="D1701" t="s">
        <v>1663</v>
      </c>
      <c r="E1701">
        <f t="shared" si="541"/>
        <v>43</v>
      </c>
      <c r="G1701">
        <f t="shared" si="525"/>
        <v>2</v>
      </c>
      <c r="H1701" t="str">
        <f t="shared" si="526"/>
        <v/>
      </c>
      <c r="I1701" t="str">
        <f t="shared" si="527"/>
        <v/>
      </c>
      <c r="J1701" t="str">
        <f t="shared" si="528"/>
        <v/>
      </c>
      <c r="K1701" t="str">
        <f t="shared" si="529"/>
        <v/>
      </c>
      <c r="L1701" t="str">
        <f t="shared" si="530"/>
        <v/>
      </c>
      <c r="M1701" t="str">
        <f t="shared" si="531"/>
        <v/>
      </c>
      <c r="N1701" t="str">
        <f t="shared" si="532"/>
        <v/>
      </c>
      <c r="O1701" t="str">
        <f t="shared" si="533"/>
        <v/>
      </c>
      <c r="P1701" t="str">
        <f t="shared" si="534"/>
        <v/>
      </c>
      <c r="Q1701" t="str">
        <f t="shared" si="535"/>
        <v/>
      </c>
      <c r="R1701" t="str">
        <f t="shared" si="536"/>
        <v/>
      </c>
      <c r="S1701" t="str">
        <f t="shared" si="537"/>
        <v/>
      </c>
      <c r="T1701" t="str">
        <f t="shared" si="538"/>
        <v/>
      </c>
      <c r="U1701" t="str">
        <f t="shared" si="539"/>
        <v/>
      </c>
      <c r="V1701" t="str">
        <f t="shared" si="540"/>
        <v/>
      </c>
      <c r="W1701" t="str">
        <f t="shared" si="523"/>
        <v xml:space="preserve">              </v>
      </c>
    </row>
    <row r="1702" spans="1:23" customFormat="1" hidden="1">
      <c r="A1702" t="b">
        <f t="shared" si="522"/>
        <v>0</v>
      </c>
      <c r="B1702">
        <f t="shared" si="524"/>
        <v>1701</v>
      </c>
      <c r="C1702" t="s">
        <v>1603</v>
      </c>
      <c r="D1702" t="s">
        <v>1664</v>
      </c>
      <c r="E1702">
        <f t="shared" si="541"/>
        <v>47</v>
      </c>
      <c r="G1702">
        <f t="shared" si="525"/>
        <v>3</v>
      </c>
      <c r="H1702" t="str">
        <f t="shared" si="526"/>
        <v/>
      </c>
      <c r="I1702" t="str">
        <f t="shared" si="527"/>
        <v/>
      </c>
      <c r="J1702" t="str">
        <f t="shared" si="528"/>
        <v/>
      </c>
      <c r="K1702" t="str">
        <f t="shared" si="529"/>
        <v/>
      </c>
      <c r="L1702" t="str">
        <f t="shared" si="530"/>
        <v/>
      </c>
      <c r="M1702" t="str">
        <f t="shared" si="531"/>
        <v/>
      </c>
      <c r="N1702" t="str">
        <f t="shared" si="532"/>
        <v/>
      </c>
      <c r="O1702" t="str">
        <f t="shared" si="533"/>
        <v/>
      </c>
      <c r="P1702" t="str">
        <f t="shared" si="534"/>
        <v/>
      </c>
      <c r="Q1702" t="str">
        <f t="shared" si="535"/>
        <v/>
      </c>
      <c r="R1702" t="str">
        <f t="shared" si="536"/>
        <v/>
      </c>
      <c r="S1702" t="str">
        <f t="shared" si="537"/>
        <v/>
      </c>
      <c r="T1702" t="str">
        <f t="shared" si="538"/>
        <v/>
      </c>
      <c r="U1702" t="str">
        <f t="shared" si="539"/>
        <v/>
      </c>
      <c r="V1702" t="str">
        <f t="shared" si="540"/>
        <v/>
      </c>
      <c r="W1702" t="str">
        <f t="shared" si="523"/>
        <v xml:space="preserve">              </v>
      </c>
    </row>
    <row r="1703" spans="1:23" customFormat="1" hidden="1">
      <c r="A1703" t="b">
        <f t="shared" si="522"/>
        <v>0</v>
      </c>
      <c r="B1703">
        <f t="shared" si="524"/>
        <v>1702</v>
      </c>
      <c r="C1703" t="s">
        <v>1603</v>
      </c>
      <c r="D1703" t="s">
        <v>1665</v>
      </c>
      <c r="E1703">
        <f t="shared" si="541"/>
        <v>45</v>
      </c>
      <c r="G1703">
        <f t="shared" si="525"/>
        <v>4</v>
      </c>
      <c r="H1703" t="str">
        <f t="shared" si="526"/>
        <v/>
      </c>
      <c r="I1703" t="str">
        <f t="shared" si="527"/>
        <v/>
      </c>
      <c r="J1703" t="str">
        <f t="shared" si="528"/>
        <v/>
      </c>
      <c r="K1703" t="str">
        <f t="shared" si="529"/>
        <v/>
      </c>
      <c r="L1703" t="str">
        <f t="shared" si="530"/>
        <v/>
      </c>
      <c r="M1703" t="str">
        <f t="shared" si="531"/>
        <v/>
      </c>
      <c r="N1703" t="str">
        <f t="shared" si="532"/>
        <v/>
      </c>
      <c r="O1703" t="str">
        <f t="shared" si="533"/>
        <v/>
      </c>
      <c r="P1703" t="str">
        <f t="shared" si="534"/>
        <v/>
      </c>
      <c r="Q1703" t="str">
        <f t="shared" si="535"/>
        <v/>
      </c>
      <c r="R1703" t="str">
        <f t="shared" si="536"/>
        <v/>
      </c>
      <c r="S1703" t="str">
        <f t="shared" si="537"/>
        <v/>
      </c>
      <c r="T1703" t="str">
        <f t="shared" si="538"/>
        <v/>
      </c>
      <c r="U1703" t="str">
        <f t="shared" si="539"/>
        <v/>
      </c>
      <c r="V1703" t="str">
        <f t="shared" si="540"/>
        <v/>
      </c>
      <c r="W1703" t="str">
        <f t="shared" si="523"/>
        <v xml:space="preserve">              </v>
      </c>
    </row>
    <row r="1704" spans="1:23" customFormat="1" hidden="1">
      <c r="A1704" t="b">
        <f t="shared" si="522"/>
        <v>0</v>
      </c>
      <c r="B1704">
        <f t="shared" si="524"/>
        <v>1703</v>
      </c>
      <c r="C1704" t="s">
        <v>1603</v>
      </c>
      <c r="D1704" t="s">
        <v>1666</v>
      </c>
      <c r="E1704">
        <f t="shared" si="541"/>
        <v>46</v>
      </c>
      <c r="G1704">
        <f t="shared" si="525"/>
        <v>5</v>
      </c>
      <c r="H1704" t="str">
        <f t="shared" si="526"/>
        <v/>
      </c>
      <c r="I1704" t="str">
        <f t="shared" si="527"/>
        <v/>
      </c>
      <c r="J1704" t="str">
        <f t="shared" si="528"/>
        <v/>
      </c>
      <c r="K1704" t="str">
        <f t="shared" si="529"/>
        <v/>
      </c>
      <c r="L1704" t="str">
        <f t="shared" si="530"/>
        <v/>
      </c>
      <c r="M1704" t="str">
        <f t="shared" si="531"/>
        <v/>
      </c>
      <c r="N1704" t="str">
        <f t="shared" si="532"/>
        <v/>
      </c>
      <c r="O1704" t="str">
        <f t="shared" si="533"/>
        <v/>
      </c>
      <c r="P1704" t="str">
        <f t="shared" si="534"/>
        <v/>
      </c>
      <c r="Q1704" t="str">
        <f t="shared" si="535"/>
        <v/>
      </c>
      <c r="R1704" t="str">
        <f t="shared" si="536"/>
        <v/>
      </c>
      <c r="S1704" t="str">
        <f t="shared" si="537"/>
        <v/>
      </c>
      <c r="T1704" t="str">
        <f t="shared" si="538"/>
        <v/>
      </c>
      <c r="U1704" t="str">
        <f t="shared" si="539"/>
        <v/>
      </c>
      <c r="V1704" t="str">
        <f t="shared" si="540"/>
        <v/>
      </c>
      <c r="W1704" t="str">
        <f t="shared" si="523"/>
        <v xml:space="preserve">              </v>
      </c>
    </row>
    <row r="1705" spans="1:23" customFormat="1" hidden="1">
      <c r="A1705" t="b">
        <f t="shared" si="522"/>
        <v>0</v>
      </c>
      <c r="B1705">
        <f t="shared" si="524"/>
        <v>1704</v>
      </c>
      <c r="C1705" t="s">
        <v>1603</v>
      </c>
      <c r="D1705" t="s">
        <v>1667</v>
      </c>
      <c r="E1705">
        <f t="shared" si="541"/>
        <v>40</v>
      </c>
      <c r="G1705">
        <f t="shared" si="525"/>
        <v>6</v>
      </c>
      <c r="H1705" t="str">
        <f t="shared" si="526"/>
        <v/>
      </c>
      <c r="I1705" t="str">
        <f t="shared" si="527"/>
        <v/>
      </c>
      <c r="J1705" t="str">
        <f t="shared" si="528"/>
        <v/>
      </c>
      <c r="K1705" t="str">
        <f t="shared" si="529"/>
        <v/>
      </c>
      <c r="L1705" t="str">
        <f t="shared" si="530"/>
        <v/>
      </c>
      <c r="M1705" t="str">
        <f t="shared" si="531"/>
        <v/>
      </c>
      <c r="N1705" t="str">
        <f t="shared" si="532"/>
        <v/>
      </c>
      <c r="O1705" t="str">
        <f t="shared" si="533"/>
        <v/>
      </c>
      <c r="P1705" t="str">
        <f t="shared" si="534"/>
        <v/>
      </c>
      <c r="Q1705" t="str">
        <f t="shared" si="535"/>
        <v/>
      </c>
      <c r="R1705" t="str">
        <f t="shared" si="536"/>
        <v/>
      </c>
      <c r="S1705" t="str">
        <f t="shared" si="537"/>
        <v/>
      </c>
      <c r="T1705" t="str">
        <f t="shared" si="538"/>
        <v/>
      </c>
      <c r="U1705" t="str">
        <f t="shared" si="539"/>
        <v/>
      </c>
      <c r="V1705" t="str">
        <f t="shared" si="540"/>
        <v/>
      </c>
      <c r="W1705" t="str">
        <f t="shared" si="523"/>
        <v xml:space="preserve">              </v>
      </c>
    </row>
    <row r="1706" spans="1:23" customFormat="1" hidden="1">
      <c r="A1706" t="b">
        <f t="shared" si="522"/>
        <v>0</v>
      </c>
      <c r="B1706">
        <f t="shared" si="524"/>
        <v>1705</v>
      </c>
      <c r="C1706" t="s">
        <v>1603</v>
      </c>
      <c r="D1706" t="s">
        <v>1668</v>
      </c>
      <c r="E1706">
        <f t="shared" si="541"/>
        <v>31</v>
      </c>
      <c r="G1706">
        <f t="shared" si="525"/>
        <v>7</v>
      </c>
      <c r="H1706" t="str">
        <f t="shared" si="526"/>
        <v/>
      </c>
      <c r="I1706" t="str">
        <f t="shared" si="527"/>
        <v/>
      </c>
      <c r="J1706" t="str">
        <f t="shared" si="528"/>
        <v/>
      </c>
      <c r="K1706" t="str">
        <f t="shared" si="529"/>
        <v/>
      </c>
      <c r="L1706" t="str">
        <f t="shared" si="530"/>
        <v/>
      </c>
      <c r="M1706" t="str">
        <f t="shared" si="531"/>
        <v/>
      </c>
      <c r="N1706" t="str">
        <f t="shared" si="532"/>
        <v/>
      </c>
      <c r="O1706" t="str">
        <f t="shared" si="533"/>
        <v/>
      </c>
      <c r="P1706" t="str">
        <f t="shared" si="534"/>
        <v/>
      </c>
      <c r="Q1706" t="str">
        <f t="shared" si="535"/>
        <v/>
      </c>
      <c r="R1706" t="str">
        <f t="shared" si="536"/>
        <v/>
      </c>
      <c r="S1706" t="str">
        <f t="shared" si="537"/>
        <v/>
      </c>
      <c r="T1706" t="str">
        <f t="shared" si="538"/>
        <v/>
      </c>
      <c r="U1706" t="str">
        <f t="shared" si="539"/>
        <v/>
      </c>
      <c r="V1706" t="str">
        <f t="shared" si="540"/>
        <v/>
      </c>
      <c r="W1706" t="str">
        <f t="shared" si="523"/>
        <v xml:space="preserve">              </v>
      </c>
    </row>
    <row r="1707" spans="1:23" hidden="1">
      <c r="A1707" s="71" t="b">
        <f t="shared" si="522"/>
        <v>0</v>
      </c>
      <c r="B1707" s="71">
        <f t="shared" si="524"/>
        <v>1706</v>
      </c>
      <c r="C1707" s="71" t="s">
        <v>1603</v>
      </c>
      <c r="D1707" s="71" t="s">
        <v>1669</v>
      </c>
      <c r="E1707">
        <f t="shared" si="541"/>
        <v>31</v>
      </c>
      <c r="F1707">
        <v>1</v>
      </c>
      <c r="G1707">
        <f t="shared" si="525"/>
        <v>1</v>
      </c>
      <c r="H1707" t="str">
        <f t="shared" si="526"/>
        <v>Stakeholder engagement planning</v>
      </c>
      <c r="I1707" t="str">
        <f t="shared" si="527"/>
        <v>The project manager works with the project</v>
      </c>
      <c r="J1707" t="str">
        <f t="shared" si="528"/>
        <v>team and subject matter experts to create a</v>
      </c>
      <c r="K1707" t="str">
        <f t="shared" si="529"/>
        <v>strategy to manage the project stakeholders.</v>
      </c>
      <c r="L1707" t="str">
        <f t="shared" si="530"/>
        <v/>
      </c>
      <c r="M1707" t="str">
        <f t="shared" si="531"/>
        <v/>
      </c>
      <c r="N1707" t="str">
        <f t="shared" si="532"/>
        <v/>
      </c>
      <c r="O1707" t="str">
        <f t="shared" si="533"/>
        <v/>
      </c>
      <c r="P1707" t="str">
        <f t="shared" si="534"/>
        <v/>
      </c>
      <c r="Q1707" t="str">
        <f t="shared" si="535"/>
        <v/>
      </c>
      <c r="R1707" t="str">
        <f t="shared" si="536"/>
        <v/>
      </c>
      <c r="S1707" t="str">
        <f t="shared" si="537"/>
        <v/>
      </c>
      <c r="T1707" t="str">
        <f t="shared" si="538"/>
        <v/>
      </c>
      <c r="U1707" t="str">
        <f t="shared" si="539"/>
        <v/>
      </c>
      <c r="V1707" t="str">
        <f t="shared" si="540"/>
        <v/>
      </c>
      <c r="W1707" s="71" t="str">
        <f>CONCATENATE(H1707," ",I1707," ",J1707," ",K1707," ",L1707," ",M1707," ",N1707," ",O1707," ",P1707," ",Q1707," ",R1707," ",S1707," ",T1707," ",U1707," ",V1707)</f>
        <v xml:space="preserve">Stakeholder engagement planning The project manager works with the project team and subject matter experts to create a strategy to manage the project stakeholders.           </v>
      </c>
    </row>
    <row r="1708" spans="1:23" customFormat="1" hidden="1">
      <c r="A1708" t="b">
        <f t="shared" si="522"/>
        <v>0</v>
      </c>
      <c r="B1708">
        <f t="shared" si="524"/>
        <v>1707</v>
      </c>
      <c r="C1708" t="s">
        <v>1603</v>
      </c>
      <c r="D1708" t="s">
        <v>1670</v>
      </c>
      <c r="E1708">
        <f t="shared" si="541"/>
        <v>42</v>
      </c>
      <c r="G1708">
        <f t="shared" si="525"/>
        <v>2</v>
      </c>
      <c r="H1708" t="str">
        <f t="shared" si="526"/>
        <v/>
      </c>
      <c r="I1708" t="str">
        <f t="shared" si="527"/>
        <v/>
      </c>
      <c r="J1708" t="str">
        <f t="shared" si="528"/>
        <v/>
      </c>
      <c r="K1708" t="str">
        <f t="shared" si="529"/>
        <v/>
      </c>
      <c r="L1708" t="str">
        <f t="shared" si="530"/>
        <v/>
      </c>
      <c r="M1708" t="str">
        <f t="shared" si="531"/>
        <v/>
      </c>
      <c r="N1708" t="str">
        <f t="shared" si="532"/>
        <v/>
      </c>
      <c r="O1708" t="str">
        <f t="shared" si="533"/>
        <v/>
      </c>
      <c r="P1708" t="str">
        <f t="shared" si="534"/>
        <v/>
      </c>
      <c r="Q1708" t="str">
        <f t="shared" si="535"/>
        <v/>
      </c>
      <c r="R1708" t="str">
        <f t="shared" si="536"/>
        <v/>
      </c>
      <c r="S1708" t="str">
        <f t="shared" si="537"/>
        <v/>
      </c>
      <c r="T1708" t="str">
        <f t="shared" si="538"/>
        <v/>
      </c>
      <c r="U1708" t="str">
        <f t="shared" si="539"/>
        <v/>
      </c>
      <c r="V1708" t="str">
        <f t="shared" si="540"/>
        <v/>
      </c>
      <c r="W1708" t="str">
        <f t="shared" si="523"/>
        <v xml:space="preserve">              </v>
      </c>
    </row>
    <row r="1709" spans="1:23" customFormat="1" hidden="1">
      <c r="A1709" t="b">
        <f t="shared" si="522"/>
        <v>0</v>
      </c>
      <c r="B1709">
        <f t="shared" si="524"/>
        <v>1708</v>
      </c>
      <c r="C1709" t="s">
        <v>1603</v>
      </c>
      <c r="D1709" t="s">
        <v>1671</v>
      </c>
      <c r="E1709">
        <f t="shared" si="541"/>
        <v>43</v>
      </c>
      <c r="G1709">
        <f t="shared" si="525"/>
        <v>3</v>
      </c>
      <c r="H1709" t="str">
        <f t="shared" si="526"/>
        <v/>
      </c>
      <c r="I1709" t="str">
        <f t="shared" si="527"/>
        <v/>
      </c>
      <c r="J1709" t="str">
        <f t="shared" si="528"/>
        <v/>
      </c>
      <c r="K1709" t="str">
        <f t="shared" si="529"/>
        <v/>
      </c>
      <c r="L1709" t="str">
        <f t="shared" si="530"/>
        <v/>
      </c>
      <c r="M1709" t="str">
        <f t="shared" si="531"/>
        <v/>
      </c>
      <c r="N1709" t="str">
        <f t="shared" si="532"/>
        <v/>
      </c>
      <c r="O1709" t="str">
        <f t="shared" si="533"/>
        <v/>
      </c>
      <c r="P1709" t="str">
        <f t="shared" si="534"/>
        <v/>
      </c>
      <c r="Q1709" t="str">
        <f t="shared" si="535"/>
        <v/>
      </c>
      <c r="R1709" t="str">
        <f t="shared" si="536"/>
        <v/>
      </c>
      <c r="S1709" t="str">
        <f t="shared" si="537"/>
        <v/>
      </c>
      <c r="T1709" t="str">
        <f t="shared" si="538"/>
        <v/>
      </c>
      <c r="U1709" t="str">
        <f t="shared" si="539"/>
        <v/>
      </c>
      <c r="V1709" t="str">
        <f t="shared" si="540"/>
        <v/>
      </c>
      <c r="W1709" t="str">
        <f t="shared" si="523"/>
        <v xml:space="preserve">              </v>
      </c>
    </row>
    <row r="1710" spans="1:23" customFormat="1" hidden="1">
      <c r="A1710" t="b">
        <f t="shared" si="522"/>
        <v>0</v>
      </c>
      <c r="B1710">
        <f t="shared" si="524"/>
        <v>1709</v>
      </c>
      <c r="C1710" t="s">
        <v>1603</v>
      </c>
      <c r="D1710" t="s">
        <v>1672</v>
      </c>
      <c r="E1710">
        <f t="shared" si="541"/>
        <v>44</v>
      </c>
      <c r="G1710">
        <f t="shared" si="525"/>
        <v>4</v>
      </c>
      <c r="H1710" t="str">
        <f t="shared" si="526"/>
        <v/>
      </c>
      <c r="I1710" t="str">
        <f t="shared" si="527"/>
        <v/>
      </c>
      <c r="J1710" t="str">
        <f t="shared" si="528"/>
        <v/>
      </c>
      <c r="K1710" t="str">
        <f t="shared" si="529"/>
        <v/>
      </c>
      <c r="L1710" t="str">
        <f t="shared" si="530"/>
        <v/>
      </c>
      <c r="M1710" t="str">
        <f t="shared" si="531"/>
        <v/>
      </c>
      <c r="N1710" t="str">
        <f t="shared" si="532"/>
        <v/>
      </c>
      <c r="O1710" t="str">
        <f t="shared" si="533"/>
        <v/>
      </c>
      <c r="P1710" t="str">
        <f t="shared" si="534"/>
        <v/>
      </c>
      <c r="Q1710" t="str">
        <f t="shared" si="535"/>
        <v/>
      </c>
      <c r="R1710" t="str">
        <f t="shared" si="536"/>
        <v/>
      </c>
      <c r="S1710" t="str">
        <f t="shared" si="537"/>
        <v/>
      </c>
      <c r="T1710" t="str">
        <f t="shared" si="538"/>
        <v/>
      </c>
      <c r="U1710" t="str">
        <f t="shared" si="539"/>
        <v/>
      </c>
      <c r="V1710" t="str">
        <f t="shared" si="540"/>
        <v/>
      </c>
      <c r="W1710" t="str">
        <f t="shared" si="523"/>
        <v xml:space="preserve">              </v>
      </c>
    </row>
    <row r="1711" spans="1:23" hidden="1">
      <c r="A1711" s="71" t="b">
        <f t="shared" si="522"/>
        <v>0</v>
      </c>
      <c r="B1711" s="71">
        <f t="shared" si="524"/>
        <v>1710</v>
      </c>
      <c r="C1711" s="71" t="s">
        <v>1603</v>
      </c>
      <c r="D1711" s="71" t="s">
        <v>1673</v>
      </c>
      <c r="E1711">
        <f t="shared" si="541"/>
        <v>20</v>
      </c>
      <c r="F1711">
        <v>1</v>
      </c>
      <c r="G1711">
        <f t="shared" si="525"/>
        <v>1</v>
      </c>
      <c r="H1711" t="str">
        <f t="shared" si="526"/>
        <v>Stakeholder register</v>
      </c>
      <c r="I1711" t="str">
        <f t="shared" si="527"/>
        <v>A documentation of each stakeholder’s contact</v>
      </c>
      <c r="J1711" t="str">
        <f t="shared" si="528"/>
        <v>information, position, concerns, interests, and</v>
      </c>
      <c r="K1711" t="str">
        <f t="shared" si="529"/>
        <v>attitude toward the project. The project manager</v>
      </c>
      <c r="L1711" t="str">
        <f t="shared" si="530"/>
        <v>updates the register as new stakeholders are</v>
      </c>
      <c r="M1711" t="str">
        <f t="shared" si="531"/>
        <v>identified and when stakeholders leave the</v>
      </c>
      <c r="N1711" t="str">
        <f t="shared" si="532"/>
        <v>project.</v>
      </c>
      <c r="O1711" t="str">
        <f t="shared" si="533"/>
        <v/>
      </c>
      <c r="P1711" t="str">
        <f t="shared" si="534"/>
        <v/>
      </c>
      <c r="Q1711" t="str">
        <f t="shared" si="535"/>
        <v/>
      </c>
      <c r="R1711" t="str">
        <f t="shared" si="536"/>
        <v/>
      </c>
      <c r="S1711" t="str">
        <f t="shared" si="537"/>
        <v/>
      </c>
      <c r="T1711" t="str">
        <f t="shared" si="538"/>
        <v/>
      </c>
      <c r="U1711" t="str">
        <f t="shared" si="539"/>
        <v/>
      </c>
      <c r="V1711" t="str">
        <f t="shared" si="540"/>
        <v/>
      </c>
      <c r="W1711" s="71" t="str">
        <f>CONCATENATE(H1711," ",I1711," ",J1711," ",K1711," ",L1711," ",M1711," ",N1711," ",O1711," ",P1711," ",Q1711," ",R1711," ",S1711," ",T1711," ",U1711," ",V1711)</f>
        <v xml:space="preserve">Stakeholder register A documentation of each stakeholder’s contact information, position, concerns, interests, and attitude toward the project. The project manager updates the register as new stakeholders are identified and when stakeholders leave the project.        </v>
      </c>
    </row>
    <row r="1712" spans="1:23" customFormat="1" hidden="1">
      <c r="A1712" t="b">
        <f t="shared" si="522"/>
        <v>0</v>
      </c>
      <c r="B1712">
        <f t="shared" si="524"/>
        <v>1711</v>
      </c>
      <c r="C1712" t="s">
        <v>1603</v>
      </c>
      <c r="D1712" t="s">
        <v>1674</v>
      </c>
      <c r="E1712">
        <f t="shared" si="541"/>
        <v>45</v>
      </c>
      <c r="G1712">
        <f t="shared" si="525"/>
        <v>2</v>
      </c>
      <c r="H1712" t="str">
        <f t="shared" si="526"/>
        <v/>
      </c>
      <c r="I1712" t="str">
        <f t="shared" si="527"/>
        <v/>
      </c>
      <c r="J1712" t="str">
        <f t="shared" si="528"/>
        <v/>
      </c>
      <c r="K1712" t="str">
        <f t="shared" si="529"/>
        <v/>
      </c>
      <c r="L1712" t="str">
        <f t="shared" si="530"/>
        <v/>
      </c>
      <c r="M1712" t="str">
        <f t="shared" si="531"/>
        <v/>
      </c>
      <c r="N1712" t="str">
        <f t="shared" si="532"/>
        <v/>
      </c>
      <c r="O1712" t="str">
        <f t="shared" si="533"/>
        <v/>
      </c>
      <c r="P1712" t="str">
        <f t="shared" si="534"/>
        <v/>
      </c>
      <c r="Q1712" t="str">
        <f t="shared" si="535"/>
        <v/>
      </c>
      <c r="R1712" t="str">
        <f t="shared" si="536"/>
        <v/>
      </c>
      <c r="S1712" t="str">
        <f t="shared" si="537"/>
        <v/>
      </c>
      <c r="T1712" t="str">
        <f t="shared" si="538"/>
        <v/>
      </c>
      <c r="U1712" t="str">
        <f t="shared" si="539"/>
        <v/>
      </c>
      <c r="V1712" t="str">
        <f t="shared" si="540"/>
        <v/>
      </c>
      <c r="W1712" t="str">
        <f t="shared" si="523"/>
        <v xml:space="preserve">              </v>
      </c>
    </row>
    <row r="1713" spans="1:23" customFormat="1" hidden="1">
      <c r="A1713" t="b">
        <f t="shared" si="522"/>
        <v>0</v>
      </c>
      <c r="B1713">
        <f t="shared" si="524"/>
        <v>1712</v>
      </c>
      <c r="C1713" t="s">
        <v>1603</v>
      </c>
      <c r="D1713" t="s">
        <v>1675</v>
      </c>
      <c r="E1713">
        <f t="shared" si="541"/>
        <v>47</v>
      </c>
      <c r="G1713">
        <f t="shared" si="525"/>
        <v>3</v>
      </c>
      <c r="H1713" t="str">
        <f t="shared" si="526"/>
        <v/>
      </c>
      <c r="I1713" t="str">
        <f t="shared" si="527"/>
        <v/>
      </c>
      <c r="J1713" t="str">
        <f t="shared" si="528"/>
        <v/>
      </c>
      <c r="K1713" t="str">
        <f t="shared" si="529"/>
        <v/>
      </c>
      <c r="L1713" t="str">
        <f t="shared" si="530"/>
        <v/>
      </c>
      <c r="M1713" t="str">
        <f t="shared" si="531"/>
        <v/>
      </c>
      <c r="N1713" t="str">
        <f t="shared" si="532"/>
        <v/>
      </c>
      <c r="O1713" t="str">
        <f t="shared" si="533"/>
        <v/>
      </c>
      <c r="P1713" t="str">
        <f t="shared" si="534"/>
        <v/>
      </c>
      <c r="Q1713" t="str">
        <f t="shared" si="535"/>
        <v/>
      </c>
      <c r="R1713" t="str">
        <f t="shared" si="536"/>
        <v/>
      </c>
      <c r="S1713" t="str">
        <f t="shared" si="537"/>
        <v/>
      </c>
      <c r="T1713" t="str">
        <f t="shared" si="538"/>
        <v/>
      </c>
      <c r="U1713" t="str">
        <f t="shared" si="539"/>
        <v/>
      </c>
      <c r="V1713" t="str">
        <f t="shared" si="540"/>
        <v/>
      </c>
      <c r="W1713" t="str">
        <f t="shared" si="523"/>
        <v xml:space="preserve">              </v>
      </c>
    </row>
    <row r="1714" spans="1:23" customFormat="1" hidden="1">
      <c r="A1714" t="b">
        <f t="shared" si="522"/>
        <v>0</v>
      </c>
      <c r="B1714">
        <f t="shared" si="524"/>
        <v>1713</v>
      </c>
      <c r="C1714" t="s">
        <v>1603</v>
      </c>
      <c r="D1714" t="s">
        <v>1676</v>
      </c>
      <c r="E1714">
        <f t="shared" si="541"/>
        <v>48</v>
      </c>
      <c r="G1714">
        <f t="shared" si="525"/>
        <v>4</v>
      </c>
      <c r="H1714" t="str">
        <f t="shared" si="526"/>
        <v/>
      </c>
      <c r="I1714" t="str">
        <f t="shared" si="527"/>
        <v/>
      </c>
      <c r="J1714" t="str">
        <f t="shared" si="528"/>
        <v/>
      </c>
      <c r="K1714" t="str">
        <f t="shared" si="529"/>
        <v/>
      </c>
      <c r="L1714" t="str">
        <f t="shared" si="530"/>
        <v/>
      </c>
      <c r="M1714" t="str">
        <f t="shared" si="531"/>
        <v/>
      </c>
      <c r="N1714" t="str">
        <f t="shared" si="532"/>
        <v/>
      </c>
      <c r="O1714" t="str">
        <f t="shared" si="533"/>
        <v/>
      </c>
      <c r="P1714" t="str">
        <f t="shared" si="534"/>
        <v/>
      </c>
      <c r="Q1714" t="str">
        <f t="shared" si="535"/>
        <v/>
      </c>
      <c r="R1714" t="str">
        <f t="shared" si="536"/>
        <v/>
      </c>
      <c r="S1714" t="str">
        <f t="shared" si="537"/>
        <v/>
      </c>
      <c r="T1714" t="str">
        <f t="shared" si="538"/>
        <v/>
      </c>
      <c r="U1714" t="str">
        <f t="shared" si="539"/>
        <v/>
      </c>
      <c r="V1714" t="str">
        <f t="shared" si="540"/>
        <v/>
      </c>
      <c r="W1714" t="str">
        <f t="shared" si="523"/>
        <v xml:space="preserve">              </v>
      </c>
    </row>
    <row r="1715" spans="1:23" customFormat="1" hidden="1">
      <c r="A1715" t="b">
        <f t="shared" si="522"/>
        <v>0</v>
      </c>
      <c r="B1715">
        <f t="shared" si="524"/>
        <v>1714</v>
      </c>
      <c r="C1715" t="s">
        <v>1603</v>
      </c>
      <c r="D1715" t="s">
        <v>1677</v>
      </c>
      <c r="E1715">
        <f t="shared" si="541"/>
        <v>44</v>
      </c>
      <c r="G1715">
        <f t="shared" si="525"/>
        <v>5</v>
      </c>
      <c r="H1715" t="str">
        <f t="shared" si="526"/>
        <v/>
      </c>
      <c r="I1715" t="str">
        <f t="shared" si="527"/>
        <v/>
      </c>
      <c r="J1715" t="str">
        <f t="shared" si="528"/>
        <v/>
      </c>
      <c r="K1715" t="str">
        <f t="shared" si="529"/>
        <v/>
      </c>
      <c r="L1715" t="str">
        <f t="shared" si="530"/>
        <v/>
      </c>
      <c r="M1715" t="str">
        <f t="shared" si="531"/>
        <v/>
      </c>
      <c r="N1715" t="str">
        <f t="shared" si="532"/>
        <v/>
      </c>
      <c r="O1715" t="str">
        <f t="shared" si="533"/>
        <v/>
      </c>
      <c r="P1715" t="str">
        <f t="shared" si="534"/>
        <v/>
      </c>
      <c r="Q1715" t="str">
        <f t="shared" si="535"/>
        <v/>
      </c>
      <c r="R1715" t="str">
        <f t="shared" si="536"/>
        <v/>
      </c>
      <c r="S1715" t="str">
        <f t="shared" si="537"/>
        <v/>
      </c>
      <c r="T1715" t="str">
        <f t="shared" si="538"/>
        <v/>
      </c>
      <c r="U1715" t="str">
        <f t="shared" si="539"/>
        <v/>
      </c>
      <c r="V1715" t="str">
        <f t="shared" si="540"/>
        <v/>
      </c>
      <c r="W1715" t="str">
        <f t="shared" si="523"/>
        <v xml:space="preserve">              </v>
      </c>
    </row>
    <row r="1716" spans="1:23" customFormat="1" hidden="1">
      <c r="A1716" t="b">
        <f t="shared" si="522"/>
        <v>0</v>
      </c>
      <c r="B1716">
        <f t="shared" si="524"/>
        <v>1715</v>
      </c>
      <c r="C1716" t="s">
        <v>1603</v>
      </c>
      <c r="D1716" t="s">
        <v>1678</v>
      </c>
      <c r="E1716">
        <f t="shared" si="541"/>
        <v>42</v>
      </c>
      <c r="G1716">
        <f t="shared" si="525"/>
        <v>6</v>
      </c>
      <c r="H1716" t="str">
        <f t="shared" si="526"/>
        <v/>
      </c>
      <c r="I1716" t="str">
        <f t="shared" si="527"/>
        <v/>
      </c>
      <c r="J1716" t="str">
        <f t="shared" si="528"/>
        <v/>
      </c>
      <c r="K1716" t="str">
        <f t="shared" si="529"/>
        <v/>
      </c>
      <c r="L1716" t="str">
        <f t="shared" si="530"/>
        <v/>
      </c>
      <c r="M1716" t="str">
        <f t="shared" si="531"/>
        <v/>
      </c>
      <c r="N1716" t="str">
        <f t="shared" si="532"/>
        <v/>
      </c>
      <c r="O1716" t="str">
        <f t="shared" si="533"/>
        <v/>
      </c>
      <c r="P1716" t="str">
        <f t="shared" si="534"/>
        <v/>
      </c>
      <c r="Q1716" t="str">
        <f t="shared" si="535"/>
        <v/>
      </c>
      <c r="R1716" t="str">
        <f t="shared" si="536"/>
        <v/>
      </c>
      <c r="S1716" t="str">
        <f t="shared" si="537"/>
        <v/>
      </c>
      <c r="T1716" t="str">
        <f t="shared" si="538"/>
        <v/>
      </c>
      <c r="U1716" t="str">
        <f t="shared" si="539"/>
        <v/>
      </c>
      <c r="V1716" t="str">
        <f t="shared" si="540"/>
        <v/>
      </c>
      <c r="W1716" t="str">
        <f t="shared" si="523"/>
        <v xml:space="preserve">              </v>
      </c>
    </row>
    <row r="1717" spans="1:23" customFormat="1" hidden="1">
      <c r="A1717" t="b">
        <f t="shared" si="522"/>
        <v>0</v>
      </c>
      <c r="B1717">
        <f t="shared" si="524"/>
        <v>1716</v>
      </c>
      <c r="C1717" t="s">
        <v>1603</v>
      </c>
      <c r="D1717" t="s">
        <v>131</v>
      </c>
      <c r="E1717">
        <f t="shared" si="541"/>
        <v>8</v>
      </c>
      <c r="G1717">
        <f t="shared" si="525"/>
        <v>7</v>
      </c>
      <c r="H1717" t="str">
        <f t="shared" si="526"/>
        <v/>
      </c>
      <c r="I1717" t="str">
        <f t="shared" si="527"/>
        <v/>
      </c>
      <c r="J1717" t="str">
        <f t="shared" si="528"/>
        <v/>
      </c>
      <c r="K1717" t="str">
        <f t="shared" si="529"/>
        <v/>
      </c>
      <c r="L1717" t="str">
        <f t="shared" si="530"/>
        <v/>
      </c>
      <c r="M1717" t="str">
        <f t="shared" si="531"/>
        <v/>
      </c>
      <c r="N1717" t="str">
        <f t="shared" si="532"/>
        <v/>
      </c>
      <c r="O1717" t="str">
        <f t="shared" si="533"/>
        <v/>
      </c>
      <c r="P1717" t="str">
        <f t="shared" si="534"/>
        <v/>
      </c>
      <c r="Q1717" t="str">
        <f t="shared" si="535"/>
        <v/>
      </c>
      <c r="R1717" t="str">
        <f t="shared" si="536"/>
        <v/>
      </c>
      <c r="S1717" t="str">
        <f t="shared" si="537"/>
        <v/>
      </c>
      <c r="T1717" t="str">
        <f t="shared" si="538"/>
        <v/>
      </c>
      <c r="U1717" t="str">
        <f t="shared" si="539"/>
        <v/>
      </c>
      <c r="V1717" t="str">
        <f t="shared" si="540"/>
        <v/>
      </c>
      <c r="W1717" t="str">
        <f t="shared" si="523"/>
        <v xml:space="preserve">              </v>
      </c>
    </row>
    <row r="1718" spans="1:23" hidden="1">
      <c r="A1718" s="71" t="b">
        <f t="shared" si="522"/>
        <v>0</v>
      </c>
      <c r="B1718" s="71">
        <f t="shared" si="524"/>
        <v>1717</v>
      </c>
      <c r="C1718" s="71" t="s">
        <v>1603</v>
      </c>
      <c r="D1718" s="71" t="s">
        <v>1679</v>
      </c>
      <c r="E1718">
        <f t="shared" si="541"/>
        <v>29</v>
      </c>
      <c r="F1718">
        <v>1</v>
      </c>
      <c r="G1718">
        <f t="shared" si="525"/>
        <v>1</v>
      </c>
      <c r="H1718" t="str">
        <f t="shared" si="526"/>
        <v>Supportive stakeholder status</v>
      </c>
      <c r="I1718" t="str">
        <f t="shared" si="527"/>
        <v>This is part of stakeholder analysis classification.</v>
      </c>
      <c r="J1718" t="str">
        <f t="shared" si="528"/>
        <v>A supportive stakeholder is aware of your project</v>
      </c>
      <c r="K1718" t="str">
        <f t="shared" si="529"/>
        <v>and is supportive and hopeful that the project</v>
      </c>
      <c r="L1718" t="str">
        <f t="shared" si="530"/>
        <v>will be successful.</v>
      </c>
      <c r="M1718" t="str">
        <f t="shared" si="531"/>
        <v/>
      </c>
      <c r="N1718" t="str">
        <f t="shared" si="532"/>
        <v/>
      </c>
      <c r="O1718" t="str">
        <f t="shared" si="533"/>
        <v/>
      </c>
      <c r="P1718" t="str">
        <f t="shared" si="534"/>
        <v/>
      </c>
      <c r="Q1718" t="str">
        <f t="shared" si="535"/>
        <v/>
      </c>
      <c r="R1718" t="str">
        <f t="shared" si="536"/>
        <v/>
      </c>
      <c r="S1718" t="str">
        <f t="shared" si="537"/>
        <v/>
      </c>
      <c r="T1718" t="str">
        <f t="shared" si="538"/>
        <v/>
      </c>
      <c r="U1718" t="str">
        <f t="shared" si="539"/>
        <v/>
      </c>
      <c r="V1718" t="str">
        <f t="shared" si="540"/>
        <v/>
      </c>
      <c r="W1718" s="71" t="str">
        <f>CONCATENATE(H1718," ",I1718," ",J1718," ",K1718," ",L1718," ",M1718," ",N1718," ",O1718," ",P1718," ",Q1718," ",R1718," ",S1718," ",T1718," ",U1718," ",V1718)</f>
        <v xml:space="preserve">Supportive stakeholder status This is part of stakeholder analysis classification. A supportive stakeholder is aware of your project and is supportive and hopeful that the project will be successful.          </v>
      </c>
    </row>
    <row r="1719" spans="1:23" customFormat="1" hidden="1">
      <c r="A1719" t="b">
        <f t="shared" si="522"/>
        <v>0</v>
      </c>
      <c r="B1719">
        <f t="shared" si="524"/>
        <v>1718</v>
      </c>
      <c r="C1719" t="s">
        <v>1603</v>
      </c>
      <c r="D1719" t="s">
        <v>1680</v>
      </c>
      <c r="E1719">
        <f t="shared" si="541"/>
        <v>52</v>
      </c>
      <c r="G1719">
        <f t="shared" si="525"/>
        <v>2</v>
      </c>
      <c r="H1719" t="str">
        <f t="shared" si="526"/>
        <v/>
      </c>
      <c r="I1719" t="str">
        <f t="shared" si="527"/>
        <v/>
      </c>
      <c r="J1719" t="str">
        <f t="shared" si="528"/>
        <v/>
      </c>
      <c r="K1719" t="str">
        <f t="shared" si="529"/>
        <v/>
      </c>
      <c r="L1719" t="str">
        <f t="shared" si="530"/>
        <v/>
      </c>
      <c r="M1719" t="str">
        <f t="shared" si="531"/>
        <v/>
      </c>
      <c r="N1719" t="str">
        <f t="shared" si="532"/>
        <v/>
      </c>
      <c r="O1719" t="str">
        <f t="shared" si="533"/>
        <v/>
      </c>
      <c r="P1719" t="str">
        <f t="shared" si="534"/>
        <v/>
      </c>
      <c r="Q1719" t="str">
        <f t="shared" si="535"/>
        <v/>
      </c>
      <c r="R1719" t="str">
        <f t="shared" si="536"/>
        <v/>
      </c>
      <c r="S1719" t="str">
        <f t="shared" si="537"/>
        <v/>
      </c>
      <c r="T1719" t="str">
        <f t="shared" si="538"/>
        <v/>
      </c>
      <c r="U1719" t="str">
        <f t="shared" si="539"/>
        <v/>
      </c>
      <c r="V1719" t="str">
        <f t="shared" si="540"/>
        <v/>
      </c>
      <c r="W1719" t="str">
        <f t="shared" si="523"/>
        <v xml:space="preserve">              </v>
      </c>
    </row>
    <row r="1720" spans="1:23" customFormat="1" hidden="1">
      <c r="A1720" t="b">
        <f t="shared" si="522"/>
        <v>0</v>
      </c>
      <c r="B1720">
        <f t="shared" si="524"/>
        <v>1719</v>
      </c>
      <c r="C1720" t="s">
        <v>1603</v>
      </c>
      <c r="D1720" t="s">
        <v>1681</v>
      </c>
      <c r="E1720">
        <f t="shared" si="541"/>
        <v>49</v>
      </c>
      <c r="G1720">
        <f t="shared" si="525"/>
        <v>3</v>
      </c>
      <c r="H1720" t="str">
        <f t="shared" si="526"/>
        <v/>
      </c>
      <c r="I1720" t="str">
        <f t="shared" si="527"/>
        <v/>
      </c>
      <c r="J1720" t="str">
        <f t="shared" si="528"/>
        <v/>
      </c>
      <c r="K1720" t="str">
        <f t="shared" si="529"/>
        <v/>
      </c>
      <c r="L1720" t="str">
        <f t="shared" si="530"/>
        <v/>
      </c>
      <c r="M1720" t="str">
        <f t="shared" si="531"/>
        <v/>
      </c>
      <c r="N1720" t="str">
        <f t="shared" si="532"/>
        <v/>
      </c>
      <c r="O1720" t="str">
        <f t="shared" si="533"/>
        <v/>
      </c>
      <c r="P1720" t="str">
        <f t="shared" si="534"/>
        <v/>
      </c>
      <c r="Q1720" t="str">
        <f t="shared" si="535"/>
        <v/>
      </c>
      <c r="R1720" t="str">
        <f t="shared" si="536"/>
        <v/>
      </c>
      <c r="S1720" t="str">
        <f t="shared" si="537"/>
        <v/>
      </c>
      <c r="T1720" t="str">
        <f t="shared" si="538"/>
        <v/>
      </c>
      <c r="U1720" t="str">
        <f t="shared" si="539"/>
        <v/>
      </c>
      <c r="V1720" t="str">
        <f t="shared" si="540"/>
        <v/>
      </c>
      <c r="W1720" t="str">
        <f t="shared" si="523"/>
        <v xml:space="preserve">              </v>
      </c>
    </row>
    <row r="1721" spans="1:23" customFormat="1" hidden="1">
      <c r="A1721" t="b">
        <f t="shared" si="522"/>
        <v>0</v>
      </c>
      <c r="B1721">
        <f t="shared" si="524"/>
        <v>1720</v>
      </c>
      <c r="C1721" t="s">
        <v>1603</v>
      </c>
      <c r="D1721" t="s">
        <v>1682</v>
      </c>
      <c r="E1721">
        <f t="shared" si="541"/>
        <v>46</v>
      </c>
      <c r="G1721">
        <f t="shared" si="525"/>
        <v>4</v>
      </c>
      <c r="H1721" t="str">
        <f t="shared" si="526"/>
        <v/>
      </c>
      <c r="I1721" t="str">
        <f t="shared" si="527"/>
        <v/>
      </c>
      <c r="J1721" t="str">
        <f t="shared" si="528"/>
        <v/>
      </c>
      <c r="K1721" t="str">
        <f t="shared" si="529"/>
        <v/>
      </c>
      <c r="L1721" t="str">
        <f t="shared" si="530"/>
        <v/>
      </c>
      <c r="M1721" t="str">
        <f t="shared" si="531"/>
        <v/>
      </c>
      <c r="N1721" t="str">
        <f t="shared" si="532"/>
        <v/>
      </c>
      <c r="O1721" t="str">
        <f t="shared" si="533"/>
        <v/>
      </c>
      <c r="P1721" t="str">
        <f t="shared" si="534"/>
        <v/>
      </c>
      <c r="Q1721" t="str">
        <f t="shared" si="535"/>
        <v/>
      </c>
      <c r="R1721" t="str">
        <f t="shared" si="536"/>
        <v/>
      </c>
      <c r="S1721" t="str">
        <f t="shared" si="537"/>
        <v/>
      </c>
      <c r="T1721" t="str">
        <f t="shared" si="538"/>
        <v/>
      </c>
      <c r="U1721" t="str">
        <f t="shared" si="539"/>
        <v/>
      </c>
      <c r="V1721" t="str">
        <f t="shared" si="540"/>
        <v/>
      </c>
      <c r="W1721" t="str">
        <f t="shared" si="523"/>
        <v xml:space="preserve">              </v>
      </c>
    </row>
    <row r="1722" spans="1:23" customFormat="1" hidden="1">
      <c r="A1722" t="b">
        <f t="shared" si="522"/>
        <v>0</v>
      </c>
      <c r="B1722">
        <f t="shared" si="524"/>
        <v>1721</v>
      </c>
      <c r="C1722" t="s">
        <v>1603</v>
      </c>
      <c r="D1722" t="s">
        <v>1683</v>
      </c>
      <c r="E1722">
        <f t="shared" si="541"/>
        <v>19</v>
      </c>
      <c r="G1722">
        <f t="shared" si="525"/>
        <v>5</v>
      </c>
      <c r="H1722" t="str">
        <f t="shared" si="526"/>
        <v/>
      </c>
      <c r="I1722" t="str">
        <f t="shared" si="527"/>
        <v/>
      </c>
      <c r="J1722" t="str">
        <f t="shared" si="528"/>
        <v/>
      </c>
      <c r="K1722" t="str">
        <f t="shared" si="529"/>
        <v/>
      </c>
      <c r="L1722" t="str">
        <f t="shared" si="530"/>
        <v/>
      </c>
      <c r="M1722" t="str">
        <f t="shared" si="531"/>
        <v/>
      </c>
      <c r="N1722" t="str">
        <f t="shared" si="532"/>
        <v/>
      </c>
      <c r="O1722" t="str">
        <f t="shared" si="533"/>
        <v/>
      </c>
      <c r="P1722" t="str">
        <f t="shared" si="534"/>
        <v/>
      </c>
      <c r="Q1722" t="str">
        <f t="shared" si="535"/>
        <v/>
      </c>
      <c r="R1722" t="str">
        <f t="shared" si="536"/>
        <v/>
      </c>
      <c r="S1722" t="str">
        <f t="shared" si="537"/>
        <v/>
      </c>
      <c r="T1722" t="str">
        <f t="shared" si="538"/>
        <v/>
      </c>
      <c r="U1722" t="str">
        <f t="shared" si="539"/>
        <v/>
      </c>
      <c r="V1722" t="str">
        <f t="shared" si="540"/>
        <v/>
      </c>
      <c r="W1722" t="str">
        <f t="shared" si="523"/>
        <v xml:space="preserve">              </v>
      </c>
    </row>
    <row r="1723" spans="1:23" hidden="1">
      <c r="A1723" s="71" t="b">
        <f t="shared" si="522"/>
        <v>0</v>
      </c>
      <c r="B1723" s="71">
        <f t="shared" si="524"/>
        <v>1722</v>
      </c>
      <c r="C1723" s="71" t="s">
        <v>1603</v>
      </c>
      <c r="D1723" s="71" t="s">
        <v>1684</v>
      </c>
      <c r="E1723">
        <f t="shared" si="541"/>
        <v>26</v>
      </c>
      <c r="F1723">
        <v>1</v>
      </c>
      <c r="G1723">
        <f t="shared" si="525"/>
        <v>1</v>
      </c>
      <c r="H1723" t="str">
        <f t="shared" si="526"/>
        <v>Unaware stakeholder status</v>
      </c>
      <c r="I1723" t="str">
        <f t="shared" si="527"/>
        <v>Part of stakeholder analysis classification. An</v>
      </c>
      <c r="J1723" t="str">
        <f t="shared" si="528"/>
        <v>unaware status means the stakeholder doesn’t</v>
      </c>
      <c r="K1723" t="str">
        <f t="shared" si="529"/>
        <v>know about the project and the effect the project</v>
      </c>
      <c r="L1723" t="str">
        <f t="shared" si="530"/>
        <v>may create on the stakeholder.</v>
      </c>
      <c r="M1723" t="str">
        <f t="shared" si="531"/>
        <v/>
      </c>
      <c r="N1723" t="str">
        <f t="shared" si="532"/>
        <v/>
      </c>
      <c r="O1723" t="str">
        <f t="shared" si="533"/>
        <v/>
      </c>
      <c r="P1723" t="str">
        <f t="shared" si="534"/>
        <v/>
      </c>
      <c r="Q1723" t="str">
        <f t="shared" si="535"/>
        <v/>
      </c>
      <c r="R1723" t="str">
        <f t="shared" si="536"/>
        <v/>
      </c>
      <c r="S1723" t="str">
        <f t="shared" si="537"/>
        <v/>
      </c>
      <c r="T1723" t="str">
        <f t="shared" si="538"/>
        <v/>
      </c>
      <c r="U1723" t="str">
        <f t="shared" si="539"/>
        <v/>
      </c>
      <c r="V1723" t="str">
        <f t="shared" si="540"/>
        <v/>
      </c>
      <c r="W1723" s="71" t="str">
        <f>CONCATENATE(H1723," ",I1723," ",J1723," ",K1723," ",L1723," ",M1723," ",N1723," ",O1723," ",P1723," ",Q1723," ",R1723," ",S1723," ",T1723," ",U1723," ",V1723)</f>
        <v xml:space="preserve">Unaware stakeholder status Part of stakeholder analysis classification. An unaware status means the stakeholder doesn’t know about the project and the effect the project may create on the stakeholder.          </v>
      </c>
    </row>
    <row r="1724" spans="1:23" customFormat="1" hidden="1">
      <c r="A1724" t="b">
        <f t="shared" ref="A1724:A1727" si="542">C1724=D1724</f>
        <v>0</v>
      </c>
      <c r="B1724">
        <f t="shared" si="524"/>
        <v>1723</v>
      </c>
      <c r="C1724" t="s">
        <v>1603</v>
      </c>
      <c r="D1724" t="s">
        <v>1685</v>
      </c>
      <c r="E1724">
        <f t="shared" si="541"/>
        <v>47</v>
      </c>
      <c r="G1724">
        <f t="shared" si="525"/>
        <v>2</v>
      </c>
      <c r="H1724" t="str">
        <f t="shared" si="526"/>
        <v/>
      </c>
      <c r="I1724" t="str">
        <f t="shared" si="527"/>
        <v/>
      </c>
      <c r="J1724" t="str">
        <f t="shared" si="528"/>
        <v/>
      </c>
      <c r="K1724" t="str">
        <f t="shared" si="529"/>
        <v/>
      </c>
      <c r="L1724" t="str">
        <f t="shared" si="530"/>
        <v/>
      </c>
      <c r="M1724" t="str">
        <f t="shared" si="531"/>
        <v/>
      </c>
      <c r="N1724" t="str">
        <f t="shared" si="532"/>
        <v/>
      </c>
      <c r="O1724" t="str">
        <f t="shared" si="533"/>
        <v/>
      </c>
      <c r="P1724" t="str">
        <f t="shared" si="534"/>
        <v/>
      </c>
      <c r="Q1724" t="str">
        <f t="shared" si="535"/>
        <v/>
      </c>
      <c r="R1724" t="str">
        <f t="shared" si="536"/>
        <v/>
      </c>
      <c r="S1724" t="str">
        <f t="shared" si="537"/>
        <v/>
      </c>
      <c r="T1724" t="str">
        <f t="shared" si="538"/>
        <v/>
      </c>
      <c r="U1724" t="str">
        <f t="shared" si="539"/>
        <v/>
      </c>
      <c r="V1724" t="str">
        <f t="shared" si="540"/>
        <v/>
      </c>
      <c r="W1724" t="str">
        <f t="shared" ref="W1724:W1727" si="543">CONCATENATE(H1724," ",I1724," ",J1724," ",K1724," ",L1724," ",M1724," ",N1724," ",O1724," ",P1724," ",Q1724," ",R1724," ",S1724," ",T1724," ",U1724," ",V1724)</f>
        <v xml:space="preserve">              </v>
      </c>
    </row>
    <row r="1725" spans="1:23" customFormat="1" hidden="1">
      <c r="A1725" t="b">
        <f t="shared" si="542"/>
        <v>0</v>
      </c>
      <c r="B1725">
        <f t="shared" si="524"/>
        <v>1724</v>
      </c>
      <c r="C1725" t="s">
        <v>1603</v>
      </c>
      <c r="D1725" t="s">
        <v>1686</v>
      </c>
      <c r="E1725">
        <f t="shared" si="541"/>
        <v>44</v>
      </c>
      <c r="G1725">
        <f t="shared" si="525"/>
        <v>3</v>
      </c>
      <c r="H1725" t="str">
        <f t="shared" si="526"/>
        <v/>
      </c>
      <c r="I1725" t="str">
        <f t="shared" si="527"/>
        <v/>
      </c>
      <c r="J1725" t="str">
        <f t="shared" si="528"/>
        <v/>
      </c>
      <c r="K1725" t="str">
        <f t="shared" si="529"/>
        <v/>
      </c>
      <c r="L1725" t="str">
        <f t="shared" si="530"/>
        <v/>
      </c>
      <c r="M1725" t="str">
        <f t="shared" si="531"/>
        <v/>
      </c>
      <c r="N1725" t="str">
        <f t="shared" si="532"/>
        <v/>
      </c>
      <c r="O1725" t="str">
        <f t="shared" si="533"/>
        <v/>
      </c>
      <c r="P1725" t="str">
        <f t="shared" si="534"/>
        <v/>
      </c>
      <c r="Q1725" t="str">
        <f t="shared" si="535"/>
        <v/>
      </c>
      <c r="R1725" t="str">
        <f t="shared" si="536"/>
        <v/>
      </c>
      <c r="S1725" t="str">
        <f t="shared" si="537"/>
        <v/>
      </c>
      <c r="T1725" t="str">
        <f t="shared" si="538"/>
        <v/>
      </c>
      <c r="U1725" t="str">
        <f t="shared" si="539"/>
        <v/>
      </c>
      <c r="V1725" t="str">
        <f t="shared" si="540"/>
        <v/>
      </c>
      <c r="W1725" t="str">
        <f t="shared" si="543"/>
        <v xml:space="preserve">              </v>
      </c>
    </row>
    <row r="1726" spans="1:23" customFormat="1" hidden="1">
      <c r="A1726" t="b">
        <f t="shared" si="542"/>
        <v>0</v>
      </c>
      <c r="B1726">
        <f t="shared" si="524"/>
        <v>1725</v>
      </c>
      <c r="C1726" t="s">
        <v>1603</v>
      </c>
      <c r="D1726" t="s">
        <v>1687</v>
      </c>
      <c r="E1726">
        <f t="shared" si="541"/>
        <v>49</v>
      </c>
      <c r="G1726">
        <f t="shared" si="525"/>
        <v>4</v>
      </c>
      <c r="H1726" t="str">
        <f t="shared" si="526"/>
        <v/>
      </c>
      <c r="I1726" t="str">
        <f t="shared" si="527"/>
        <v/>
      </c>
      <c r="J1726" t="str">
        <f t="shared" si="528"/>
        <v/>
      </c>
      <c r="K1726" t="str">
        <f t="shared" si="529"/>
        <v/>
      </c>
      <c r="L1726" t="str">
        <f t="shared" si="530"/>
        <v/>
      </c>
      <c r="M1726" t="str">
        <f t="shared" si="531"/>
        <v/>
      </c>
      <c r="N1726" t="str">
        <f t="shared" si="532"/>
        <v/>
      </c>
      <c r="O1726" t="str">
        <f t="shared" si="533"/>
        <v/>
      </c>
      <c r="P1726" t="str">
        <f t="shared" si="534"/>
        <v/>
      </c>
      <c r="Q1726" t="str">
        <f t="shared" si="535"/>
        <v/>
      </c>
      <c r="R1726" t="str">
        <f t="shared" si="536"/>
        <v/>
      </c>
      <c r="S1726" t="str">
        <f t="shared" si="537"/>
        <v/>
      </c>
      <c r="T1726" t="str">
        <f t="shared" si="538"/>
        <v/>
      </c>
      <c r="U1726" t="str">
        <f t="shared" si="539"/>
        <v/>
      </c>
      <c r="V1726" t="str">
        <f t="shared" si="540"/>
        <v/>
      </c>
      <c r="W1726" t="str">
        <f t="shared" si="543"/>
        <v xml:space="preserve">              </v>
      </c>
    </row>
    <row r="1727" spans="1:23" customFormat="1" hidden="1">
      <c r="A1727" t="b">
        <f t="shared" si="542"/>
        <v>0</v>
      </c>
      <c r="B1727">
        <f t="shared" si="524"/>
        <v>1726</v>
      </c>
      <c r="C1727" t="s">
        <v>1603</v>
      </c>
      <c r="D1727" t="s">
        <v>1688</v>
      </c>
      <c r="E1727">
        <f t="shared" si="541"/>
        <v>30</v>
      </c>
      <c r="G1727">
        <f t="shared" si="525"/>
        <v>5</v>
      </c>
      <c r="H1727" t="str">
        <f t="shared" si="526"/>
        <v/>
      </c>
      <c r="I1727" t="str">
        <f t="shared" si="527"/>
        <v/>
      </c>
      <c r="J1727" t="str">
        <f t="shared" si="528"/>
        <v/>
      </c>
      <c r="K1727" t="str">
        <f t="shared" si="529"/>
        <v/>
      </c>
      <c r="L1727" t="str">
        <f t="shared" si="530"/>
        <v/>
      </c>
      <c r="M1727" t="str">
        <f t="shared" si="531"/>
        <v/>
      </c>
      <c r="N1727" t="str">
        <f t="shared" si="532"/>
        <v/>
      </c>
      <c r="O1727" t="str">
        <f t="shared" si="533"/>
        <v/>
      </c>
      <c r="P1727" t="str">
        <f t="shared" si="534"/>
        <v/>
      </c>
      <c r="Q1727" t="str">
        <f t="shared" si="535"/>
        <v/>
      </c>
      <c r="R1727" t="str">
        <f t="shared" si="536"/>
        <v/>
      </c>
      <c r="S1727" t="str">
        <f t="shared" si="537"/>
        <v/>
      </c>
      <c r="T1727" t="str">
        <f t="shared" si="538"/>
        <v/>
      </c>
      <c r="U1727" t="str">
        <f t="shared" si="539"/>
        <v/>
      </c>
      <c r="V1727" t="str">
        <f t="shared" si="540"/>
        <v/>
      </c>
      <c r="W1727" t="str">
        <f t="shared" si="543"/>
        <v xml:space="preserve">              </v>
      </c>
    </row>
  </sheetData>
  <autoFilter ref="A1:W1727" xr:uid="{A365DE06-9D78-485E-B4C2-E6C98AC32910}">
    <filterColumn colId="4">
      <filters>
        <filter val="1092"/>
        <filter val="1197"/>
        <filter val="1276"/>
        <filter val="1341"/>
        <filter val="1406"/>
        <filter val="1413"/>
        <filter val="1474"/>
        <filter val="1478"/>
        <filter val="1481"/>
        <filter val="1525"/>
        <filter val="1576"/>
        <filter val="1625"/>
        <filter val="1859"/>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4E05F-4F3E-47FA-8D3C-115AC22969DD}">
  <dimension ref="A3:B13"/>
  <sheetViews>
    <sheetView showGridLines="0" workbookViewId="0">
      <selection activeCell="A4" sqref="A4"/>
    </sheetView>
  </sheetViews>
  <sheetFormatPr defaultRowHeight="14.5"/>
  <cols>
    <col min="1" max="1" width="37.7265625" bestFit="1" customWidth="1"/>
    <col min="2" max="2" width="12.453125" bestFit="1" customWidth="1"/>
    <col min="3" max="3" width="12.453125" customWidth="1"/>
    <col min="4" max="5" width="2.81640625" bestFit="1" customWidth="1"/>
    <col min="6" max="6" width="4.36328125" bestFit="1" customWidth="1"/>
    <col min="7" max="7" width="10.08984375" bestFit="1" customWidth="1"/>
    <col min="9" max="9" width="2.81640625" bestFit="1" customWidth="1"/>
    <col min="10" max="10" width="1.81640625" bestFit="1" customWidth="1"/>
    <col min="11" max="11" width="2.81640625" bestFit="1" customWidth="1"/>
    <col min="12" max="12" width="1.81640625" bestFit="1" customWidth="1"/>
    <col min="13" max="13" width="2.81640625" bestFit="1" customWidth="1"/>
    <col min="14" max="20" width="1.81640625" bestFit="1" customWidth="1"/>
  </cols>
  <sheetData>
    <row r="3" spans="1:2">
      <c r="A3" s="10" t="s">
        <v>2030</v>
      </c>
      <c r="B3" t="s">
        <v>2032</v>
      </c>
    </row>
    <row r="4" spans="1:2">
      <c r="A4" s="11" t="s">
        <v>1112</v>
      </c>
      <c r="B4">
        <v>26</v>
      </c>
    </row>
    <row r="5" spans="1:2">
      <c r="A5" s="11" t="s">
        <v>144</v>
      </c>
      <c r="B5">
        <v>40</v>
      </c>
    </row>
    <row r="6" spans="1:2">
      <c r="A6" s="11" t="s">
        <v>0</v>
      </c>
      <c r="B6">
        <v>26</v>
      </c>
    </row>
    <row r="7" spans="1:2">
      <c r="A7" s="11" t="s">
        <v>59</v>
      </c>
      <c r="B7">
        <v>13</v>
      </c>
    </row>
    <row r="8" spans="1:2">
      <c r="A8" s="11" t="s">
        <v>852</v>
      </c>
      <c r="B8">
        <v>30</v>
      </c>
    </row>
    <row r="9" spans="1:2">
      <c r="A9" s="11" t="s">
        <v>981</v>
      </c>
      <c r="B9">
        <v>28</v>
      </c>
    </row>
    <row r="10" spans="1:2">
      <c r="A10" s="11" t="s">
        <v>1243</v>
      </c>
      <c r="B10">
        <v>72</v>
      </c>
    </row>
    <row r="11" spans="1:2">
      <c r="A11" s="11" t="s">
        <v>385</v>
      </c>
      <c r="B11">
        <v>84</v>
      </c>
    </row>
    <row r="12" spans="1:2">
      <c r="A12" s="11" t="s">
        <v>1603</v>
      </c>
      <c r="B12">
        <v>16</v>
      </c>
    </row>
    <row r="13" spans="1:2">
      <c r="A13" s="11" t="s">
        <v>2031</v>
      </c>
      <c r="B13">
        <v>335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1F2DA-CE64-4847-8DE4-6BD1C5336A4F}">
  <dimension ref="B2:F13"/>
  <sheetViews>
    <sheetView workbookViewId="0">
      <selection activeCell="D12" sqref="D12"/>
    </sheetView>
  </sheetViews>
  <sheetFormatPr defaultRowHeight="14.5"/>
  <cols>
    <col min="2" max="2" width="33.08984375" customWidth="1"/>
    <col min="3" max="3" width="31.36328125" customWidth="1"/>
    <col min="4" max="4" width="29.08984375" customWidth="1"/>
    <col min="5" max="5" width="25.90625" customWidth="1"/>
    <col min="6" max="6" width="29.81640625" customWidth="1"/>
  </cols>
  <sheetData>
    <row r="2" spans="2:6" ht="35">
      <c r="B2" s="20" t="s">
        <v>2081</v>
      </c>
      <c r="C2" s="20" t="s">
        <v>2085</v>
      </c>
      <c r="D2" s="20" t="s">
        <v>2097</v>
      </c>
      <c r="E2" s="20" t="s">
        <v>2107</v>
      </c>
      <c r="F2" s="20" t="s">
        <v>2115</v>
      </c>
    </row>
    <row r="3" spans="2:6" ht="23">
      <c r="B3" s="14" t="s">
        <v>2082</v>
      </c>
      <c r="C3" s="21" t="s">
        <v>2086</v>
      </c>
      <c r="D3" s="21" t="s">
        <v>2098</v>
      </c>
      <c r="E3" s="22" t="s">
        <v>2108</v>
      </c>
      <c r="F3" s="14" t="s">
        <v>2116</v>
      </c>
    </row>
    <row r="4" spans="2:6" ht="23">
      <c r="B4" s="14" t="s">
        <v>2083</v>
      </c>
      <c r="C4" s="14" t="s">
        <v>2087</v>
      </c>
      <c r="D4" s="14" t="s">
        <v>2099</v>
      </c>
      <c r="E4" s="14" t="s">
        <v>2109</v>
      </c>
      <c r="F4" s="14" t="s">
        <v>2117</v>
      </c>
    </row>
    <row r="5" spans="2:6" ht="23">
      <c r="B5" s="14" t="s">
        <v>2084</v>
      </c>
      <c r="C5" s="14" t="s">
        <v>2088</v>
      </c>
      <c r="D5" s="14" t="s">
        <v>2100</v>
      </c>
      <c r="E5" s="14" t="s">
        <v>2110</v>
      </c>
      <c r="F5" s="14" t="s">
        <v>2118</v>
      </c>
    </row>
    <row r="6" spans="2:6" ht="23">
      <c r="C6" s="14" t="s">
        <v>2089</v>
      </c>
      <c r="D6" s="14" t="s">
        <v>2101</v>
      </c>
      <c r="E6" s="14" t="s">
        <v>2111</v>
      </c>
    </row>
    <row r="7" spans="2:6" ht="23">
      <c r="C7" s="14" t="s">
        <v>2090</v>
      </c>
      <c r="D7" s="14" t="s">
        <v>2102</v>
      </c>
      <c r="E7" s="14" t="s">
        <v>2112</v>
      </c>
    </row>
    <row r="8" spans="2:6" ht="23">
      <c r="C8" s="14" t="s">
        <v>2091</v>
      </c>
      <c r="D8" s="14" t="s">
        <v>2103</v>
      </c>
      <c r="E8" s="14" t="s">
        <v>2113</v>
      </c>
    </row>
    <row r="9" spans="2:6" ht="23">
      <c r="C9" s="14" t="s">
        <v>2092</v>
      </c>
      <c r="D9" s="14" t="s">
        <v>2104</v>
      </c>
      <c r="E9" s="14" t="s">
        <v>2114</v>
      </c>
    </row>
    <row r="10" spans="2:6">
      <c r="C10" s="14" t="s">
        <v>2093</v>
      </c>
      <c r="D10" s="14" t="s">
        <v>2105</v>
      </c>
    </row>
    <row r="11" spans="2:6">
      <c r="C11" s="14" t="s">
        <v>2094</v>
      </c>
      <c r="D11" s="14" t="s">
        <v>2106</v>
      </c>
    </row>
    <row r="12" spans="2:6">
      <c r="C12" s="14" t="s">
        <v>2095</v>
      </c>
    </row>
    <row r="13" spans="2:6">
      <c r="C13" s="14" t="s">
        <v>2096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39B98-DACB-4675-BF72-9CAC20D98D76}">
  <dimension ref="B1:F219"/>
  <sheetViews>
    <sheetView workbookViewId="0">
      <pane ySplit="2" topLeftCell="A3" activePane="bottomLeft" state="frozen"/>
      <selection pane="bottomLeft" activeCell="E2" sqref="E2"/>
    </sheetView>
  </sheetViews>
  <sheetFormatPr defaultRowHeight="12"/>
  <cols>
    <col min="1" max="1" width="8.7265625" style="1"/>
    <col min="2" max="2" width="51.81640625" style="1" bestFit="1" customWidth="1"/>
    <col min="3" max="3" width="8.7265625" style="1"/>
    <col min="4" max="4" width="52.08984375" style="1" bestFit="1" customWidth="1"/>
    <col min="5" max="5" width="8.7265625" style="1"/>
    <col min="6" max="6" width="53.1796875" style="1" bestFit="1" customWidth="1"/>
    <col min="7" max="16384" width="8.7265625" style="1"/>
  </cols>
  <sheetData>
    <row r="1" spans="2:6">
      <c r="F1" s="1" t="s">
        <v>2438</v>
      </c>
    </row>
    <row r="2" spans="2:6" s="2" customFormat="1">
      <c r="B2" s="2" t="s">
        <v>2119</v>
      </c>
      <c r="D2" s="2" t="s">
        <v>2156</v>
      </c>
      <c r="F2" s="2" t="s">
        <v>2439</v>
      </c>
    </row>
    <row r="3" spans="2:6">
      <c r="B3" s="2" t="s">
        <v>2120</v>
      </c>
      <c r="D3" s="1" t="s">
        <v>2157</v>
      </c>
      <c r="F3" s="1" t="s">
        <v>2289</v>
      </c>
    </row>
    <row r="4" spans="2:6">
      <c r="B4" s="1" t="s">
        <v>2121</v>
      </c>
      <c r="D4" s="2" t="s">
        <v>2158</v>
      </c>
      <c r="F4" s="1" t="s">
        <v>2290</v>
      </c>
    </row>
    <row r="5" spans="2:6">
      <c r="B5" s="1" t="s">
        <v>2122</v>
      </c>
      <c r="D5" s="1" t="s">
        <v>2159</v>
      </c>
      <c r="F5" s="1" t="s">
        <v>2291</v>
      </c>
    </row>
    <row r="6" spans="2:6">
      <c r="B6" s="1" t="s">
        <v>2123</v>
      </c>
      <c r="D6" s="1" t="s">
        <v>2160</v>
      </c>
      <c r="F6" s="1" t="s">
        <v>2292</v>
      </c>
    </row>
    <row r="7" spans="2:6">
      <c r="B7" s="2" t="s">
        <v>2124</v>
      </c>
      <c r="D7" s="1" t="s">
        <v>2161</v>
      </c>
      <c r="F7" s="1" t="s">
        <v>2293</v>
      </c>
    </row>
    <row r="8" spans="2:6">
      <c r="B8" s="1" t="s">
        <v>2125</v>
      </c>
      <c r="D8" s="1" t="s">
        <v>2162</v>
      </c>
      <c r="F8" s="1" t="s">
        <v>2294</v>
      </c>
    </row>
    <row r="9" spans="2:6">
      <c r="B9" s="1" t="s">
        <v>2126</v>
      </c>
      <c r="D9" s="1" t="s">
        <v>2163</v>
      </c>
      <c r="F9" s="1" t="s">
        <v>2295</v>
      </c>
    </row>
    <row r="10" spans="2:6">
      <c r="B10" s="1" t="s">
        <v>2127</v>
      </c>
      <c r="D10" s="2" t="s">
        <v>2164</v>
      </c>
      <c r="F10" s="1" t="s">
        <v>2296</v>
      </c>
    </row>
    <row r="11" spans="2:6">
      <c r="B11" s="1" t="s">
        <v>2128</v>
      </c>
      <c r="D11" s="1" t="s">
        <v>2165</v>
      </c>
      <c r="F11" s="1" t="s">
        <v>2297</v>
      </c>
    </row>
    <row r="12" spans="2:6">
      <c r="B12" s="1" t="s">
        <v>2129</v>
      </c>
      <c r="D12" s="1" t="s">
        <v>2166</v>
      </c>
      <c r="F12" s="1" t="s">
        <v>2298</v>
      </c>
    </row>
    <row r="13" spans="2:6">
      <c r="B13" s="1" t="s">
        <v>2130</v>
      </c>
      <c r="D13" s="1" t="s">
        <v>2167</v>
      </c>
      <c r="F13" s="1" t="s">
        <v>2299</v>
      </c>
    </row>
    <row r="14" spans="2:6">
      <c r="B14" s="1" t="s">
        <v>2131</v>
      </c>
      <c r="D14" s="1" t="s">
        <v>2168</v>
      </c>
      <c r="F14" s="1" t="s">
        <v>2300</v>
      </c>
    </row>
    <row r="15" spans="2:6">
      <c r="B15" s="1" t="s">
        <v>2132</v>
      </c>
      <c r="D15" s="1" t="s">
        <v>2169</v>
      </c>
      <c r="F15" s="1" t="s">
        <v>2301</v>
      </c>
    </row>
    <row r="16" spans="2:6">
      <c r="B16" s="1" t="s">
        <v>2133</v>
      </c>
      <c r="D16" s="1" t="s">
        <v>2170</v>
      </c>
      <c r="F16" s="1" t="s">
        <v>2302</v>
      </c>
    </row>
    <row r="17" spans="2:6">
      <c r="B17" s="1" t="s">
        <v>2134</v>
      </c>
      <c r="D17" s="1" t="s">
        <v>2171</v>
      </c>
      <c r="F17" s="1" t="s">
        <v>2303</v>
      </c>
    </row>
    <row r="18" spans="2:6">
      <c r="B18" s="1" t="s">
        <v>2135</v>
      </c>
      <c r="D18" s="1" t="s">
        <v>2172</v>
      </c>
      <c r="F18" s="1" t="s">
        <v>2304</v>
      </c>
    </row>
    <row r="19" spans="2:6">
      <c r="B19" s="1" t="s">
        <v>2136</v>
      </c>
      <c r="D19" s="1" t="s">
        <v>2173</v>
      </c>
      <c r="F19" s="1" t="s">
        <v>2305</v>
      </c>
    </row>
    <row r="20" spans="2:6">
      <c r="B20" s="1" t="s">
        <v>2137</v>
      </c>
      <c r="D20" s="1" t="s">
        <v>2174</v>
      </c>
      <c r="F20" s="1" t="s">
        <v>2306</v>
      </c>
    </row>
    <row r="21" spans="2:6">
      <c r="B21" s="1" t="s">
        <v>2138</v>
      </c>
      <c r="D21" s="1" t="s">
        <v>2175</v>
      </c>
      <c r="F21" s="1" t="s">
        <v>2307</v>
      </c>
    </row>
    <row r="22" spans="2:6">
      <c r="B22" s="1" t="s">
        <v>2139</v>
      </c>
      <c r="D22" s="1" t="s">
        <v>2176</v>
      </c>
      <c r="F22" s="1" t="s">
        <v>2308</v>
      </c>
    </row>
    <row r="23" spans="2:6">
      <c r="B23" s="1" t="s">
        <v>2140</v>
      </c>
      <c r="D23" s="1" t="s">
        <v>2177</v>
      </c>
      <c r="F23" s="1" t="s">
        <v>2309</v>
      </c>
    </row>
    <row r="24" spans="2:6">
      <c r="B24" s="1" t="s">
        <v>2141</v>
      </c>
      <c r="D24" s="1" t="s">
        <v>2178</v>
      </c>
      <c r="F24" s="1" t="s">
        <v>2310</v>
      </c>
    </row>
    <row r="25" spans="2:6">
      <c r="B25" s="2" t="s">
        <v>2142</v>
      </c>
      <c r="D25" s="1" t="s">
        <v>2179</v>
      </c>
      <c r="F25" s="1" t="s">
        <v>2311</v>
      </c>
    </row>
    <row r="26" spans="2:6">
      <c r="B26" s="1" t="s">
        <v>2143</v>
      </c>
      <c r="D26" s="1" t="s">
        <v>2180</v>
      </c>
      <c r="F26" s="1" t="s">
        <v>2312</v>
      </c>
    </row>
    <row r="27" spans="2:6">
      <c r="B27" s="1" t="s">
        <v>2144</v>
      </c>
      <c r="D27" s="1" t="s">
        <v>2181</v>
      </c>
      <c r="F27" s="1" t="s">
        <v>2313</v>
      </c>
    </row>
    <row r="28" spans="2:6">
      <c r="B28" s="1" t="s">
        <v>2145</v>
      </c>
      <c r="D28" s="1" t="s">
        <v>2182</v>
      </c>
      <c r="F28" s="1" t="s">
        <v>2314</v>
      </c>
    </row>
    <row r="29" spans="2:6">
      <c r="B29" s="1" t="s">
        <v>2146</v>
      </c>
      <c r="D29" s="1" t="s">
        <v>2183</v>
      </c>
      <c r="F29" s="1" t="s">
        <v>2315</v>
      </c>
    </row>
    <row r="30" spans="2:6">
      <c r="B30" s="1" t="s">
        <v>2147</v>
      </c>
      <c r="D30" s="1" t="s">
        <v>2184</v>
      </c>
      <c r="F30" s="1" t="s">
        <v>2316</v>
      </c>
    </row>
    <row r="31" spans="2:6">
      <c r="B31" s="1" t="s">
        <v>2148</v>
      </c>
      <c r="D31" s="1" t="s">
        <v>2185</v>
      </c>
      <c r="F31" s="1" t="s">
        <v>2317</v>
      </c>
    </row>
    <row r="32" spans="2:6">
      <c r="B32" s="1" t="s">
        <v>2149</v>
      </c>
      <c r="D32" s="1" t="s">
        <v>2186</v>
      </c>
      <c r="F32" s="1" t="s">
        <v>2318</v>
      </c>
    </row>
    <row r="33" spans="2:6">
      <c r="B33" s="1" t="s">
        <v>2150</v>
      </c>
      <c r="D33" s="1" t="s">
        <v>2187</v>
      </c>
      <c r="F33" s="1" t="s">
        <v>2319</v>
      </c>
    </row>
    <row r="34" spans="2:6">
      <c r="B34" s="1" t="s">
        <v>2151</v>
      </c>
      <c r="D34" s="1" t="s">
        <v>2188</v>
      </c>
      <c r="F34" s="1" t="s">
        <v>2320</v>
      </c>
    </row>
    <row r="35" spans="2:6">
      <c r="B35" s="1" t="s">
        <v>2152</v>
      </c>
      <c r="D35" s="1" t="s">
        <v>2189</v>
      </c>
      <c r="F35" s="1" t="s">
        <v>2321</v>
      </c>
    </row>
    <row r="36" spans="2:6">
      <c r="B36" s="1" t="s">
        <v>2153</v>
      </c>
      <c r="D36" s="1" t="s">
        <v>2190</v>
      </c>
      <c r="F36" s="1" t="s">
        <v>2322</v>
      </c>
    </row>
    <row r="37" spans="2:6">
      <c r="B37" s="1" t="s">
        <v>2154</v>
      </c>
      <c r="D37" s="1" t="s">
        <v>2191</v>
      </c>
      <c r="F37" s="1" t="s">
        <v>2323</v>
      </c>
    </row>
    <row r="38" spans="2:6">
      <c r="B38" s="1" t="s">
        <v>2155</v>
      </c>
      <c r="D38" s="1" t="s">
        <v>2192</v>
      </c>
      <c r="F38" s="1" t="s">
        <v>2324</v>
      </c>
    </row>
    <row r="39" spans="2:6">
      <c r="D39" s="1" t="s">
        <v>2193</v>
      </c>
      <c r="F39" s="1" t="s">
        <v>2325</v>
      </c>
    </row>
    <row r="40" spans="2:6">
      <c r="B40" s="1" t="s">
        <v>2333</v>
      </c>
      <c r="D40" s="1" t="s">
        <v>2194</v>
      </c>
      <c r="F40" s="1" t="s">
        <v>2326</v>
      </c>
    </row>
    <row r="41" spans="2:6">
      <c r="B41" s="1" t="s">
        <v>2119</v>
      </c>
      <c r="D41" s="1" t="s">
        <v>2195</v>
      </c>
      <c r="F41" s="1" t="s">
        <v>2327</v>
      </c>
    </row>
    <row r="42" spans="2:6">
      <c r="B42" s="1" t="s">
        <v>2334</v>
      </c>
      <c r="D42" s="1" t="s">
        <v>2196</v>
      </c>
      <c r="F42" s="1" t="s">
        <v>2328</v>
      </c>
    </row>
    <row r="43" spans="2:6">
      <c r="B43" s="1" t="s">
        <v>2335</v>
      </c>
      <c r="D43" s="1" t="s">
        <v>2197</v>
      </c>
      <c r="F43" s="1" t="s">
        <v>2329</v>
      </c>
    </row>
    <row r="44" spans="2:6">
      <c r="B44" s="1" t="s">
        <v>2336</v>
      </c>
      <c r="D44" s="1" t="s">
        <v>2198</v>
      </c>
      <c r="F44" s="1" t="s">
        <v>2330</v>
      </c>
    </row>
    <row r="45" spans="2:6">
      <c r="B45" s="1" t="s">
        <v>2337</v>
      </c>
      <c r="D45" s="1" t="s">
        <v>2199</v>
      </c>
      <c r="F45" s="1" t="s">
        <v>2331</v>
      </c>
    </row>
    <row r="46" spans="2:6">
      <c r="B46" s="1" t="s">
        <v>2338</v>
      </c>
      <c r="D46" s="1" t="s">
        <v>2200</v>
      </c>
      <c r="F46" s="1" t="s">
        <v>2332</v>
      </c>
    </row>
    <row r="47" spans="2:6">
      <c r="B47" s="1" t="s">
        <v>2339</v>
      </c>
      <c r="D47" s="1" t="s">
        <v>2201</v>
      </c>
    </row>
    <row r="48" spans="2:6">
      <c r="B48" s="1" t="s">
        <v>2340</v>
      </c>
      <c r="D48" s="1" t="s">
        <v>2202</v>
      </c>
    </row>
    <row r="49" spans="2:4">
      <c r="B49" s="1" t="s">
        <v>2341</v>
      </c>
      <c r="D49" s="1" t="s">
        <v>2203</v>
      </c>
    </row>
    <row r="50" spans="2:4">
      <c r="B50" s="1" t="s">
        <v>2342</v>
      </c>
      <c r="D50" s="1" t="s">
        <v>2204</v>
      </c>
    </row>
    <row r="51" spans="2:4">
      <c r="B51" s="1" t="s">
        <v>2343</v>
      </c>
      <c r="D51" s="1" t="s">
        <v>2205</v>
      </c>
    </row>
    <row r="52" spans="2:4">
      <c r="B52" s="1" t="s">
        <v>2344</v>
      </c>
      <c r="D52" s="1" t="s">
        <v>2206</v>
      </c>
    </row>
    <row r="53" spans="2:4">
      <c r="B53" s="1" t="s">
        <v>2345</v>
      </c>
      <c r="D53" s="1" t="s">
        <v>2207</v>
      </c>
    </row>
    <row r="54" spans="2:4">
      <c r="B54" s="1" t="s">
        <v>2346</v>
      </c>
      <c r="D54" s="1" t="s">
        <v>2208</v>
      </c>
    </row>
    <row r="55" spans="2:4">
      <c r="B55" s="1" t="s">
        <v>2347</v>
      </c>
      <c r="D55" s="1" t="s">
        <v>2209</v>
      </c>
    </row>
    <row r="56" spans="2:4">
      <c r="B56" s="1" t="s">
        <v>2348</v>
      </c>
      <c r="D56" s="1" t="s">
        <v>2210</v>
      </c>
    </row>
    <row r="57" spans="2:4">
      <c r="B57" s="1" t="s">
        <v>2349</v>
      </c>
      <c r="D57" s="1" t="s">
        <v>2211</v>
      </c>
    </row>
    <row r="58" spans="2:4">
      <c r="B58" s="1" t="s">
        <v>2350</v>
      </c>
      <c r="D58" s="1" t="s">
        <v>2212</v>
      </c>
    </row>
    <row r="59" spans="2:4">
      <c r="B59" s="1" t="s">
        <v>2351</v>
      </c>
      <c r="D59" s="1" t="s">
        <v>2213</v>
      </c>
    </row>
    <row r="60" spans="2:4">
      <c r="B60" s="1" t="s">
        <v>2352</v>
      </c>
      <c r="D60" s="1" t="s">
        <v>2214</v>
      </c>
    </row>
    <row r="61" spans="2:4">
      <c r="B61" s="1" t="s">
        <v>2353</v>
      </c>
      <c r="D61" s="1" t="s">
        <v>2215</v>
      </c>
    </row>
    <row r="62" spans="2:4">
      <c r="D62" s="1" t="s">
        <v>2216</v>
      </c>
    </row>
    <row r="63" spans="2:4">
      <c r="D63" s="1" t="s">
        <v>2217</v>
      </c>
    </row>
    <row r="64" spans="2:4">
      <c r="D64" s="1" t="s">
        <v>2218</v>
      </c>
    </row>
    <row r="65" spans="4:4">
      <c r="D65" s="1" t="s">
        <v>2219</v>
      </c>
    </row>
    <row r="66" spans="4:4">
      <c r="D66" s="1" t="s">
        <v>2220</v>
      </c>
    </row>
    <row r="67" spans="4:4">
      <c r="D67" s="1" t="s">
        <v>2221</v>
      </c>
    </row>
    <row r="68" spans="4:4">
      <c r="D68" s="1" t="s">
        <v>2222</v>
      </c>
    </row>
    <row r="69" spans="4:4">
      <c r="D69" s="1" t="s">
        <v>2223</v>
      </c>
    </row>
    <row r="70" spans="4:4">
      <c r="D70" s="1" t="s">
        <v>2224</v>
      </c>
    </row>
    <row r="71" spans="4:4">
      <c r="D71" s="1" t="s">
        <v>2225</v>
      </c>
    </row>
    <row r="72" spans="4:4">
      <c r="D72" s="1" t="s">
        <v>2226</v>
      </c>
    </row>
    <row r="73" spans="4:4">
      <c r="D73" s="1" t="s">
        <v>2227</v>
      </c>
    </row>
    <row r="74" spans="4:4">
      <c r="D74" s="1" t="s">
        <v>2228</v>
      </c>
    </row>
    <row r="75" spans="4:4">
      <c r="D75" s="1" t="s">
        <v>2229</v>
      </c>
    </row>
    <row r="76" spans="4:4">
      <c r="D76" s="1" t="s">
        <v>2230</v>
      </c>
    </row>
    <row r="77" spans="4:4">
      <c r="D77" s="1" t="s">
        <v>2231</v>
      </c>
    </row>
    <row r="78" spans="4:4">
      <c r="D78" s="1" t="s">
        <v>2232</v>
      </c>
    </row>
    <row r="79" spans="4:4">
      <c r="D79" s="1" t="s">
        <v>2233</v>
      </c>
    </row>
    <row r="80" spans="4:4">
      <c r="D80" s="1" t="s">
        <v>2234</v>
      </c>
    </row>
    <row r="81" spans="4:4">
      <c r="D81" s="1" t="s">
        <v>2235</v>
      </c>
    </row>
    <row r="82" spans="4:4">
      <c r="D82" s="2" t="s">
        <v>2236</v>
      </c>
    </row>
    <row r="83" spans="4:4">
      <c r="D83" s="1" t="s">
        <v>2237</v>
      </c>
    </row>
    <row r="84" spans="4:4">
      <c r="D84" s="1" t="s">
        <v>2238</v>
      </c>
    </row>
    <row r="85" spans="4:4">
      <c r="D85" s="1" t="s">
        <v>2239</v>
      </c>
    </row>
    <row r="86" spans="4:4">
      <c r="D86" s="1" t="s">
        <v>2240</v>
      </c>
    </row>
    <row r="87" spans="4:4">
      <c r="D87" s="1" t="s">
        <v>2241</v>
      </c>
    </row>
    <row r="88" spans="4:4">
      <c r="D88" s="1" t="s">
        <v>2242</v>
      </c>
    </row>
    <row r="89" spans="4:4">
      <c r="D89" s="1" t="s">
        <v>2243</v>
      </c>
    </row>
    <row r="90" spans="4:4">
      <c r="D90" s="1" t="s">
        <v>2244</v>
      </c>
    </row>
    <row r="91" spans="4:4">
      <c r="D91" s="1" t="s">
        <v>2245</v>
      </c>
    </row>
    <row r="92" spans="4:4">
      <c r="D92" s="1" t="s">
        <v>2246</v>
      </c>
    </row>
    <row r="93" spans="4:4">
      <c r="D93" s="1" t="s">
        <v>2247</v>
      </c>
    </row>
    <row r="94" spans="4:4">
      <c r="D94" s="1" t="s">
        <v>2248</v>
      </c>
    </row>
    <row r="95" spans="4:4">
      <c r="D95" s="1" t="s">
        <v>2249</v>
      </c>
    </row>
    <row r="96" spans="4:4">
      <c r="D96" s="1" t="s">
        <v>2250</v>
      </c>
    </row>
    <row r="97" spans="4:4">
      <c r="D97" s="1" t="s">
        <v>2251</v>
      </c>
    </row>
    <row r="98" spans="4:4">
      <c r="D98" s="1" t="s">
        <v>2252</v>
      </c>
    </row>
    <row r="99" spans="4:4">
      <c r="D99" s="1" t="s">
        <v>2253</v>
      </c>
    </row>
    <row r="100" spans="4:4">
      <c r="D100" s="1" t="s">
        <v>2254</v>
      </c>
    </row>
    <row r="101" spans="4:4">
      <c r="D101" s="1" t="s">
        <v>2255</v>
      </c>
    </row>
    <row r="102" spans="4:4">
      <c r="D102" s="1" t="s">
        <v>2256</v>
      </c>
    </row>
    <row r="103" spans="4:4">
      <c r="D103" s="1" t="s">
        <v>2257</v>
      </c>
    </row>
    <row r="104" spans="4:4">
      <c r="D104" s="1" t="s">
        <v>2258</v>
      </c>
    </row>
    <row r="105" spans="4:4">
      <c r="D105" s="1" t="s">
        <v>2259</v>
      </c>
    </row>
    <row r="106" spans="4:4">
      <c r="D106" s="2" t="s">
        <v>2260</v>
      </c>
    </row>
    <row r="107" spans="4:4">
      <c r="D107" s="1" t="s">
        <v>2261</v>
      </c>
    </row>
    <row r="108" spans="4:4">
      <c r="D108" s="1" t="s">
        <v>2262</v>
      </c>
    </row>
    <row r="109" spans="4:4">
      <c r="D109" s="1" t="s">
        <v>2263</v>
      </c>
    </row>
    <row r="110" spans="4:4">
      <c r="D110" s="1" t="s">
        <v>2264</v>
      </c>
    </row>
    <row r="111" spans="4:4">
      <c r="D111" s="1" t="s">
        <v>2265</v>
      </c>
    </row>
    <row r="112" spans="4:4">
      <c r="D112" s="1" t="s">
        <v>2266</v>
      </c>
    </row>
    <row r="113" spans="4:4">
      <c r="D113" s="1" t="s">
        <v>2267</v>
      </c>
    </row>
    <row r="114" spans="4:4">
      <c r="D114" s="1" t="s">
        <v>2268</v>
      </c>
    </row>
    <row r="115" spans="4:4">
      <c r="D115" s="1" t="s">
        <v>2269</v>
      </c>
    </row>
    <row r="116" spans="4:4">
      <c r="D116" s="1" t="s">
        <v>2270</v>
      </c>
    </row>
    <row r="117" spans="4:4">
      <c r="D117" s="1" t="s">
        <v>2271</v>
      </c>
    </row>
    <row r="118" spans="4:4">
      <c r="D118" s="1" t="s">
        <v>2272</v>
      </c>
    </row>
    <row r="119" spans="4:4">
      <c r="D119" s="1" t="s">
        <v>2273</v>
      </c>
    </row>
    <row r="120" spans="4:4">
      <c r="D120" s="1" t="s">
        <v>2274</v>
      </c>
    </row>
    <row r="121" spans="4:4">
      <c r="D121" s="1" t="s">
        <v>2275</v>
      </c>
    </row>
    <row r="122" spans="4:4">
      <c r="D122" s="1" t="s">
        <v>2276</v>
      </c>
    </row>
    <row r="123" spans="4:4">
      <c r="D123" s="1" t="s">
        <v>2277</v>
      </c>
    </row>
    <row r="124" spans="4:4">
      <c r="D124" s="1" t="s">
        <v>2278</v>
      </c>
    </row>
    <row r="125" spans="4:4">
      <c r="D125" s="1" t="s">
        <v>2279</v>
      </c>
    </row>
    <row r="126" spans="4:4">
      <c r="D126" s="1" t="s">
        <v>2280</v>
      </c>
    </row>
    <row r="127" spans="4:4">
      <c r="D127" s="1" t="s">
        <v>2281</v>
      </c>
    </row>
    <row r="128" spans="4:4">
      <c r="D128" s="1" t="s">
        <v>2282</v>
      </c>
    </row>
    <row r="129" spans="4:4">
      <c r="D129" s="1" t="s">
        <v>2283</v>
      </c>
    </row>
    <row r="130" spans="4:4">
      <c r="D130" s="1" t="s">
        <v>2284</v>
      </c>
    </row>
    <row r="131" spans="4:4">
      <c r="D131" s="1" t="s">
        <v>2285</v>
      </c>
    </row>
    <row r="132" spans="4:4">
      <c r="D132" s="1" t="s">
        <v>2286</v>
      </c>
    </row>
    <row r="133" spans="4:4">
      <c r="D133" s="1" t="s">
        <v>2287</v>
      </c>
    </row>
    <row r="134" spans="4:4">
      <c r="D134" s="1" t="s">
        <v>2288</v>
      </c>
    </row>
    <row r="136" spans="4:4">
      <c r="D136" s="1" t="s">
        <v>2354</v>
      </c>
    </row>
    <row r="137" spans="4:4">
      <c r="D137" s="1" t="s">
        <v>2355</v>
      </c>
    </row>
    <row r="138" spans="4:4">
      <c r="D138" s="1" t="s">
        <v>2356</v>
      </c>
    </row>
    <row r="139" spans="4:4">
      <c r="D139" s="1" t="s">
        <v>2357</v>
      </c>
    </row>
    <row r="140" spans="4:4">
      <c r="D140" s="1" t="s">
        <v>2358</v>
      </c>
    </row>
    <row r="141" spans="4:4">
      <c r="D141" s="1" t="s">
        <v>2359</v>
      </c>
    </row>
    <row r="142" spans="4:4">
      <c r="D142" s="1" t="s">
        <v>2360</v>
      </c>
    </row>
    <row r="143" spans="4:4">
      <c r="D143" s="1" t="s">
        <v>2361</v>
      </c>
    </row>
    <row r="144" spans="4:4">
      <c r="D144" s="1" t="s">
        <v>2362</v>
      </c>
    </row>
    <row r="145" spans="4:4">
      <c r="D145" s="1" t="s">
        <v>2363</v>
      </c>
    </row>
    <row r="146" spans="4:4">
      <c r="D146" s="1" t="s">
        <v>2364</v>
      </c>
    </row>
    <row r="147" spans="4:4">
      <c r="D147" s="1" t="s">
        <v>2365</v>
      </c>
    </row>
    <row r="148" spans="4:4">
      <c r="D148" s="1" t="s">
        <v>2366</v>
      </c>
    </row>
    <row r="149" spans="4:4">
      <c r="D149" s="1" t="s">
        <v>2367</v>
      </c>
    </row>
    <row r="150" spans="4:4">
      <c r="D150" s="1" t="s">
        <v>2368</v>
      </c>
    </row>
    <row r="151" spans="4:4">
      <c r="D151" s="1" t="s">
        <v>2369</v>
      </c>
    </row>
    <row r="152" spans="4:4">
      <c r="D152" s="1" t="s">
        <v>2370</v>
      </c>
    </row>
    <row r="153" spans="4:4">
      <c r="D153" s="1" t="s">
        <v>2371</v>
      </c>
    </row>
    <row r="154" spans="4:4">
      <c r="D154" s="1" t="s">
        <v>2372</v>
      </c>
    </row>
    <row r="155" spans="4:4">
      <c r="D155" s="1" t="s">
        <v>2373</v>
      </c>
    </row>
    <row r="156" spans="4:4">
      <c r="D156" s="1" t="s">
        <v>2374</v>
      </c>
    </row>
    <row r="157" spans="4:4">
      <c r="D157" s="1" t="s">
        <v>2375</v>
      </c>
    </row>
    <row r="158" spans="4:4">
      <c r="D158" s="1" t="s">
        <v>2376</v>
      </c>
    </row>
    <row r="159" spans="4:4">
      <c r="D159" s="1" t="s">
        <v>2377</v>
      </c>
    </row>
    <row r="160" spans="4:4">
      <c r="D160" s="1" t="s">
        <v>2378</v>
      </c>
    </row>
    <row r="161" spans="4:4">
      <c r="D161" s="1" t="s">
        <v>2379</v>
      </c>
    </row>
    <row r="162" spans="4:4">
      <c r="D162" s="1" t="s">
        <v>2380</v>
      </c>
    </row>
    <row r="163" spans="4:4">
      <c r="D163" s="1" t="s">
        <v>2381</v>
      </c>
    </row>
    <row r="164" spans="4:4">
      <c r="D164" s="1" t="s">
        <v>2382</v>
      </c>
    </row>
    <row r="165" spans="4:4">
      <c r="D165" s="1" t="s">
        <v>2383</v>
      </c>
    </row>
    <row r="166" spans="4:4">
      <c r="D166" s="1" t="s">
        <v>2384</v>
      </c>
    </row>
    <row r="167" spans="4:4">
      <c r="D167" s="1" t="s">
        <v>2385</v>
      </c>
    </row>
    <row r="168" spans="4:4">
      <c r="D168" s="1" t="s">
        <v>2386</v>
      </c>
    </row>
    <row r="169" spans="4:4">
      <c r="D169" s="1" t="s">
        <v>2387</v>
      </c>
    </row>
    <row r="170" spans="4:4">
      <c r="D170" s="1" t="s">
        <v>2388</v>
      </c>
    </row>
    <row r="171" spans="4:4">
      <c r="D171" s="1" t="s">
        <v>2389</v>
      </c>
    </row>
    <row r="172" spans="4:4">
      <c r="D172" s="1" t="s">
        <v>2390</v>
      </c>
    </row>
    <row r="173" spans="4:4">
      <c r="D173" s="1" t="s">
        <v>2391</v>
      </c>
    </row>
    <row r="174" spans="4:4">
      <c r="D174" s="1" t="s">
        <v>2392</v>
      </c>
    </row>
    <row r="175" spans="4:4">
      <c r="D175" s="1" t="s">
        <v>2393</v>
      </c>
    </row>
    <row r="176" spans="4:4">
      <c r="D176" s="1" t="s">
        <v>2394</v>
      </c>
    </row>
    <row r="177" spans="4:4">
      <c r="D177" s="1" t="s">
        <v>2395</v>
      </c>
    </row>
    <row r="178" spans="4:4">
      <c r="D178" s="1" t="s">
        <v>2396</v>
      </c>
    </row>
    <row r="179" spans="4:4">
      <c r="D179" s="1" t="s">
        <v>2397</v>
      </c>
    </row>
    <row r="180" spans="4:4">
      <c r="D180" s="1" t="s">
        <v>2398</v>
      </c>
    </row>
    <row r="181" spans="4:4">
      <c r="D181" s="1" t="s">
        <v>2399</v>
      </c>
    </row>
    <row r="182" spans="4:4">
      <c r="D182" s="1" t="s">
        <v>2400</v>
      </c>
    </row>
    <row r="183" spans="4:4">
      <c r="D183" s="1" t="s">
        <v>2401</v>
      </c>
    </row>
    <row r="184" spans="4:4">
      <c r="D184" s="1" t="s">
        <v>2402</v>
      </c>
    </row>
    <row r="185" spans="4:4">
      <c r="D185" s="1" t="s">
        <v>2403</v>
      </c>
    </row>
    <row r="186" spans="4:4">
      <c r="D186" s="1" t="s">
        <v>2404</v>
      </c>
    </row>
    <row r="187" spans="4:4">
      <c r="D187" s="1" t="s">
        <v>2405</v>
      </c>
    </row>
    <row r="188" spans="4:4">
      <c r="D188" s="1" t="s">
        <v>2406</v>
      </c>
    </row>
    <row r="189" spans="4:4">
      <c r="D189" s="1" t="s">
        <v>2407</v>
      </c>
    </row>
    <row r="190" spans="4:4">
      <c r="D190" s="1" t="s">
        <v>2408</v>
      </c>
    </row>
    <row r="191" spans="4:4">
      <c r="D191" s="1" t="s">
        <v>2409</v>
      </c>
    </row>
    <row r="192" spans="4:4">
      <c r="D192" s="1" t="s">
        <v>2410</v>
      </c>
    </row>
    <row r="193" spans="4:4">
      <c r="D193" s="1" t="s">
        <v>2411</v>
      </c>
    </row>
    <row r="194" spans="4:4">
      <c r="D194" s="1" t="s">
        <v>2412</v>
      </c>
    </row>
    <row r="195" spans="4:4">
      <c r="D195" s="1" t="s">
        <v>2413</v>
      </c>
    </row>
    <row r="196" spans="4:4">
      <c r="D196" s="1" t="s">
        <v>2414</v>
      </c>
    </row>
    <row r="197" spans="4:4">
      <c r="D197" s="1" t="s">
        <v>2415</v>
      </c>
    </row>
    <row r="198" spans="4:4">
      <c r="D198" s="1" t="s">
        <v>2416</v>
      </c>
    </row>
    <row r="199" spans="4:4">
      <c r="D199" s="1" t="s">
        <v>2417</v>
      </c>
    </row>
    <row r="200" spans="4:4">
      <c r="D200" s="1" t="s">
        <v>2418</v>
      </c>
    </row>
    <row r="201" spans="4:4">
      <c r="D201" s="1" t="s">
        <v>2419</v>
      </c>
    </row>
    <row r="202" spans="4:4">
      <c r="D202" s="1" t="s">
        <v>2420</v>
      </c>
    </row>
    <row r="203" spans="4:4">
      <c r="D203" s="1" t="s">
        <v>2421</v>
      </c>
    </row>
    <row r="204" spans="4:4">
      <c r="D204" s="1" t="s">
        <v>2422</v>
      </c>
    </row>
    <row r="205" spans="4:4">
      <c r="D205" s="1" t="s">
        <v>2423</v>
      </c>
    </row>
    <row r="206" spans="4:4">
      <c r="D206" s="1" t="s">
        <v>2424</v>
      </c>
    </row>
    <row r="207" spans="4:4">
      <c r="D207" s="1" t="s">
        <v>2425</v>
      </c>
    </row>
    <row r="208" spans="4:4">
      <c r="D208" s="1" t="s">
        <v>2426</v>
      </c>
    </row>
    <row r="209" spans="4:4">
      <c r="D209" s="1" t="s">
        <v>2427</v>
      </c>
    </row>
    <row r="210" spans="4:4">
      <c r="D210" s="1" t="s">
        <v>2428</v>
      </c>
    </row>
    <row r="211" spans="4:4">
      <c r="D211" s="1" t="s">
        <v>2429</v>
      </c>
    </row>
    <row r="212" spans="4:4">
      <c r="D212" s="1" t="s">
        <v>2430</v>
      </c>
    </row>
    <row r="213" spans="4:4">
      <c r="D213" s="1" t="s">
        <v>2431</v>
      </c>
    </row>
    <row r="214" spans="4:4">
      <c r="D214" s="1" t="s">
        <v>2432</v>
      </c>
    </row>
    <row r="215" spans="4:4">
      <c r="D215" s="1" t="s">
        <v>2433</v>
      </c>
    </row>
    <row r="216" spans="4:4">
      <c r="D216" s="1" t="s">
        <v>2434</v>
      </c>
    </row>
    <row r="217" spans="4:4">
      <c r="D217" s="1" t="s">
        <v>2435</v>
      </c>
    </row>
    <row r="218" spans="4:4">
      <c r="D218" s="1" t="s">
        <v>2436</v>
      </c>
    </row>
    <row r="219" spans="4:4">
      <c r="D219" s="1" t="s">
        <v>2437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C8D7F-26C0-45A6-B62A-1CE941D2F87F}">
  <dimension ref="C2:I53"/>
  <sheetViews>
    <sheetView zoomScale="90" zoomScaleNormal="90" workbookViewId="0">
      <selection activeCell="A2" sqref="A2"/>
    </sheetView>
  </sheetViews>
  <sheetFormatPr defaultRowHeight="14.5"/>
  <cols>
    <col min="3" max="3" width="22.453125" customWidth="1"/>
    <col min="4" max="4" width="40.7265625" customWidth="1"/>
    <col min="6" max="6" width="67.453125" customWidth="1"/>
    <col min="7" max="7" width="4.453125" customWidth="1"/>
    <col min="8" max="8" width="24" style="62" customWidth="1"/>
    <col min="9" max="9" width="80.7265625" style="62" customWidth="1"/>
    <col min="10" max="10" width="14.1796875" customWidth="1"/>
    <col min="11" max="11" width="78.6328125" customWidth="1"/>
  </cols>
  <sheetData>
    <row r="2" spans="3:9">
      <c r="H2" s="64" t="s">
        <v>5061</v>
      </c>
      <c r="I2" s="64" t="s">
        <v>5062</v>
      </c>
    </row>
    <row r="3" spans="3:9" ht="32.5" thickBot="1">
      <c r="C3" s="13" t="s">
        <v>2440</v>
      </c>
      <c r="F3" s="30" t="s">
        <v>3579</v>
      </c>
      <c r="G3" s="30"/>
      <c r="H3" s="63" t="s">
        <v>5057</v>
      </c>
      <c r="I3" s="63" t="s">
        <v>5001</v>
      </c>
    </row>
    <row r="4" spans="3:9" ht="27" thickBot="1">
      <c r="C4" s="23" t="s">
        <v>2441</v>
      </c>
      <c r="D4" s="24" t="s">
        <v>2442</v>
      </c>
      <c r="F4" s="31"/>
      <c r="G4" s="31"/>
      <c r="H4" s="63" t="s">
        <v>5057</v>
      </c>
      <c r="I4" s="63" t="s">
        <v>5002</v>
      </c>
    </row>
    <row r="5" spans="3:9" ht="27" thickBot="1">
      <c r="C5" s="25" t="s">
        <v>2443</v>
      </c>
      <c r="D5" s="26" t="s">
        <v>2444</v>
      </c>
      <c r="F5" s="14"/>
      <c r="G5" s="14"/>
      <c r="H5" s="63" t="s">
        <v>5057</v>
      </c>
      <c r="I5" s="63" t="s">
        <v>5003</v>
      </c>
    </row>
    <row r="6" spans="3:9" ht="27" thickBot="1">
      <c r="C6" s="25" t="s">
        <v>2445</v>
      </c>
      <c r="D6" s="26" t="s">
        <v>2446</v>
      </c>
      <c r="F6" s="14" t="s">
        <v>3580</v>
      </c>
      <c r="G6" s="14"/>
      <c r="H6" s="63" t="s">
        <v>5057</v>
      </c>
      <c r="I6" s="63" t="s">
        <v>5004</v>
      </c>
    </row>
    <row r="7" spans="3:9" ht="27" thickBot="1">
      <c r="C7" s="25" t="s">
        <v>2447</v>
      </c>
      <c r="D7" s="26" t="s">
        <v>2448</v>
      </c>
      <c r="F7" s="14" t="s">
        <v>3581</v>
      </c>
      <c r="G7" s="14"/>
      <c r="H7" s="63" t="s">
        <v>5057</v>
      </c>
      <c r="I7" s="63" t="s">
        <v>5005</v>
      </c>
    </row>
    <row r="8" spans="3:9" ht="27" thickBot="1">
      <c r="C8" s="25" t="s">
        <v>2449</v>
      </c>
      <c r="D8" s="26" t="s">
        <v>2450</v>
      </c>
      <c r="H8" s="63" t="s">
        <v>5057</v>
      </c>
      <c r="I8" s="63" t="s">
        <v>5006</v>
      </c>
    </row>
    <row r="9" spans="3:9" ht="27" thickBot="1">
      <c r="C9" s="25" t="s">
        <v>2451</v>
      </c>
      <c r="D9" s="26" t="s">
        <v>2452</v>
      </c>
      <c r="H9" s="63" t="s">
        <v>5058</v>
      </c>
      <c r="I9" s="63" t="s">
        <v>5007</v>
      </c>
    </row>
    <row r="10" spans="3:9" ht="27" thickBot="1">
      <c r="C10" s="25" t="s">
        <v>2038</v>
      </c>
      <c r="D10" s="26" t="s">
        <v>2453</v>
      </c>
      <c r="H10" s="63" t="s">
        <v>5058</v>
      </c>
      <c r="I10" s="63" t="s">
        <v>5008</v>
      </c>
    </row>
    <row r="11" spans="3:9" ht="27" thickBot="1">
      <c r="C11" s="25" t="s">
        <v>920</v>
      </c>
      <c r="D11" s="26" t="s">
        <v>2454</v>
      </c>
      <c r="H11" s="63" t="s">
        <v>5058</v>
      </c>
      <c r="I11" s="63" t="s">
        <v>5009</v>
      </c>
    </row>
    <row r="12" spans="3:9" ht="26.5">
      <c r="H12" s="63" t="s">
        <v>5059</v>
      </c>
      <c r="I12" s="63" t="s">
        <v>5010</v>
      </c>
    </row>
    <row r="13" spans="3:9" ht="26.5">
      <c r="H13" s="63" t="s">
        <v>5059</v>
      </c>
      <c r="I13" s="63" t="s">
        <v>5011</v>
      </c>
    </row>
    <row r="14" spans="3:9" ht="26.5">
      <c r="H14" s="63" t="s">
        <v>5059</v>
      </c>
      <c r="I14" s="63" t="s">
        <v>5012</v>
      </c>
    </row>
    <row r="15" spans="3:9" ht="26.5">
      <c r="H15" s="63" t="s">
        <v>5059</v>
      </c>
      <c r="I15" s="63" t="s">
        <v>5013</v>
      </c>
    </row>
    <row r="16" spans="3:9" ht="26.5">
      <c r="H16" s="63" t="s">
        <v>5059</v>
      </c>
      <c r="I16" s="63" t="s">
        <v>5014</v>
      </c>
    </row>
    <row r="17" spans="8:9" ht="26.5">
      <c r="H17" s="63" t="s">
        <v>5059</v>
      </c>
      <c r="I17" s="63" t="s">
        <v>5015</v>
      </c>
    </row>
    <row r="18" spans="8:9" ht="26.5">
      <c r="H18" s="63" t="s">
        <v>5059</v>
      </c>
      <c r="I18" s="63" t="s">
        <v>5016</v>
      </c>
    </row>
    <row r="19" spans="8:9" ht="26.5">
      <c r="H19" s="63" t="s">
        <v>5059</v>
      </c>
      <c r="I19" s="63" t="s">
        <v>5017</v>
      </c>
    </row>
    <row r="20" spans="8:9" ht="26.5">
      <c r="H20" s="63" t="s">
        <v>5059</v>
      </c>
      <c r="I20" s="63" t="s">
        <v>5018</v>
      </c>
    </row>
    <row r="21" spans="8:9" ht="26.5">
      <c r="H21" s="63" t="s">
        <v>5060</v>
      </c>
      <c r="I21" s="63" t="s">
        <v>5019</v>
      </c>
    </row>
    <row r="22" spans="8:9" ht="26.5">
      <c r="H22" s="63" t="s">
        <v>5060</v>
      </c>
      <c r="I22" s="63" t="s">
        <v>5020</v>
      </c>
    </row>
    <row r="23" spans="8:9" ht="26.5">
      <c r="H23" s="63" t="s">
        <v>5060</v>
      </c>
      <c r="I23" s="63" t="s">
        <v>5001</v>
      </c>
    </row>
    <row r="24" spans="8:9" ht="26.5">
      <c r="H24" s="63" t="s">
        <v>5060</v>
      </c>
      <c r="I24" s="63" t="s">
        <v>5021</v>
      </c>
    </row>
    <row r="25" spans="8:9" ht="26.5">
      <c r="H25" s="63" t="s">
        <v>5060</v>
      </c>
      <c r="I25" s="63" t="s">
        <v>5022</v>
      </c>
    </row>
    <row r="26" spans="8:9" ht="26.5">
      <c r="H26" s="63" t="s">
        <v>5060</v>
      </c>
      <c r="I26" s="63" t="s">
        <v>5023</v>
      </c>
    </row>
    <row r="27" spans="8:9" ht="26.5">
      <c r="H27" s="63" t="s">
        <v>5060</v>
      </c>
      <c r="I27" s="63" t="s">
        <v>5024</v>
      </c>
    </row>
    <row r="28" spans="8:9" ht="26.5">
      <c r="H28" s="63" t="s">
        <v>5060</v>
      </c>
      <c r="I28" s="63" t="s">
        <v>5025</v>
      </c>
    </row>
    <row r="29" spans="8:9" ht="26.5">
      <c r="H29" s="63" t="s">
        <v>5060</v>
      </c>
      <c r="I29" s="63" t="s">
        <v>5026</v>
      </c>
    </row>
    <row r="30" spans="8:9" ht="26.5">
      <c r="H30" s="63" t="s">
        <v>5060</v>
      </c>
      <c r="I30" s="63" t="s">
        <v>5027</v>
      </c>
    </row>
    <row r="31" spans="8:9" ht="26.5">
      <c r="H31" s="63" t="s">
        <v>2475</v>
      </c>
      <c r="I31" s="63" t="s">
        <v>5028</v>
      </c>
    </row>
    <row r="32" spans="8:9" ht="26.5">
      <c r="H32" s="63" t="s">
        <v>2475</v>
      </c>
      <c r="I32" s="63" t="s">
        <v>5029</v>
      </c>
    </row>
    <row r="33" spans="8:9" ht="26.5">
      <c r="H33" s="63" t="s">
        <v>2475</v>
      </c>
      <c r="I33" s="63" t="s">
        <v>5030</v>
      </c>
    </row>
    <row r="34" spans="8:9">
      <c r="H34" s="63" t="s">
        <v>2475</v>
      </c>
      <c r="I34" s="63" t="s">
        <v>5031</v>
      </c>
    </row>
    <row r="35" spans="8:9" ht="26.5">
      <c r="H35" s="63" t="s">
        <v>5032</v>
      </c>
      <c r="I35" s="63" t="s">
        <v>5033</v>
      </c>
    </row>
    <row r="36" spans="8:9" ht="26.5">
      <c r="H36" s="63" t="s">
        <v>5032</v>
      </c>
      <c r="I36" s="63" t="s">
        <v>5034</v>
      </c>
    </row>
    <row r="37" spans="8:9" ht="26.5">
      <c r="H37" s="63" t="s">
        <v>5032</v>
      </c>
      <c r="I37" s="63" t="s">
        <v>5035</v>
      </c>
    </row>
    <row r="38" spans="8:9" ht="26.5">
      <c r="H38" s="63" t="s">
        <v>5032</v>
      </c>
      <c r="I38" s="63" t="s">
        <v>5036</v>
      </c>
    </row>
    <row r="39" spans="8:9" ht="26.5">
      <c r="H39" s="63" t="s">
        <v>5037</v>
      </c>
      <c r="I39" s="63" t="s">
        <v>5038</v>
      </c>
    </row>
    <row r="40" spans="8:9" ht="26.5">
      <c r="H40" s="63" t="s">
        <v>5037</v>
      </c>
      <c r="I40" s="63" t="s">
        <v>5039</v>
      </c>
    </row>
    <row r="41" spans="8:9" ht="26.5">
      <c r="H41" s="63" t="s">
        <v>5037</v>
      </c>
      <c r="I41" s="63" t="s">
        <v>5040</v>
      </c>
    </row>
    <row r="42" spans="8:9" ht="26.5">
      <c r="H42" s="63" t="s">
        <v>5041</v>
      </c>
      <c r="I42" s="63" t="s">
        <v>5042</v>
      </c>
    </row>
    <row r="43" spans="8:9" ht="26.5">
      <c r="H43" s="63" t="s">
        <v>5041</v>
      </c>
      <c r="I43" s="63" t="s">
        <v>5043</v>
      </c>
    </row>
    <row r="44" spans="8:9" ht="26.5">
      <c r="H44" s="63" t="s">
        <v>5044</v>
      </c>
      <c r="I44" s="63" t="s">
        <v>5045</v>
      </c>
    </row>
    <row r="45" spans="8:9" ht="26.5">
      <c r="H45" s="63" t="s">
        <v>5044</v>
      </c>
      <c r="I45" s="63" t="s">
        <v>5046</v>
      </c>
    </row>
    <row r="46" spans="8:9" ht="26.5">
      <c r="H46" s="63" t="s">
        <v>5044</v>
      </c>
      <c r="I46" s="63" t="s">
        <v>5047</v>
      </c>
    </row>
    <row r="47" spans="8:9" ht="26.5">
      <c r="H47" s="63" t="s">
        <v>5044</v>
      </c>
      <c r="I47" s="63" t="s">
        <v>5048</v>
      </c>
    </row>
    <row r="48" spans="8:9" ht="26.5">
      <c r="H48" s="63" t="s">
        <v>5049</v>
      </c>
      <c r="I48" s="63" t="s">
        <v>5050</v>
      </c>
    </row>
    <row r="49" spans="8:9" ht="26.5">
      <c r="H49" s="63" t="s">
        <v>5049</v>
      </c>
      <c r="I49" s="63" t="s">
        <v>5051</v>
      </c>
    </row>
    <row r="50" spans="8:9" ht="26.5">
      <c r="H50" s="63" t="s">
        <v>5052</v>
      </c>
      <c r="I50" s="63" t="s">
        <v>5053</v>
      </c>
    </row>
    <row r="51" spans="8:9" ht="26.5">
      <c r="H51" s="63" t="s">
        <v>5052</v>
      </c>
      <c r="I51" s="63" t="s">
        <v>5054</v>
      </c>
    </row>
    <row r="52" spans="8:9" ht="26.5">
      <c r="H52" s="63" t="s">
        <v>5052</v>
      </c>
      <c r="I52" s="63" t="s">
        <v>5055</v>
      </c>
    </row>
    <row r="53" spans="8:9" ht="26.5">
      <c r="H53" s="63" t="s">
        <v>5052</v>
      </c>
      <c r="I53" s="63" t="s">
        <v>5056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1F6E0-FF8F-4E03-A8BD-494B47F6D9A9}">
  <dimension ref="A3:H698"/>
  <sheetViews>
    <sheetView showGridLines="0" zoomScaleNormal="100" workbookViewId="0">
      <pane ySplit="3" topLeftCell="A4" activePane="bottomLeft" state="frozen"/>
      <selection pane="bottomLeft" activeCell="D4" sqref="D4"/>
    </sheetView>
  </sheetViews>
  <sheetFormatPr defaultRowHeight="12"/>
  <cols>
    <col min="1" max="1" width="38.26953125" style="35" customWidth="1"/>
    <col min="2" max="2" width="88.26953125" style="1" customWidth="1"/>
    <col min="3" max="16384" width="8.7265625" style="1"/>
  </cols>
  <sheetData>
    <row r="3" spans="1:8">
      <c r="B3" s="35"/>
      <c r="C3" s="35"/>
      <c r="D3" s="35"/>
      <c r="E3" s="35"/>
      <c r="F3" s="35"/>
      <c r="G3" s="35"/>
      <c r="H3" s="35"/>
    </row>
    <row r="4" spans="1:8">
      <c r="A4" s="52" t="s">
        <v>2021</v>
      </c>
      <c r="B4" s="52" t="s">
        <v>4843</v>
      </c>
      <c r="C4" s="35"/>
      <c r="D4" s="35"/>
      <c r="E4" s="35"/>
      <c r="F4" s="35"/>
      <c r="G4" s="35"/>
      <c r="H4" s="35"/>
    </row>
    <row r="5" spans="1:8" ht="24">
      <c r="A5" s="35" t="s">
        <v>4695</v>
      </c>
      <c r="B5" s="35" t="s">
        <v>4697</v>
      </c>
      <c r="C5" s="35"/>
      <c r="D5" s="35"/>
      <c r="E5" s="35"/>
      <c r="F5" s="35"/>
      <c r="G5" s="35"/>
      <c r="H5" s="35"/>
    </row>
    <row r="6" spans="1:8" ht="24">
      <c r="A6" s="35" t="s">
        <v>4762</v>
      </c>
      <c r="B6" s="35" t="s">
        <v>4765</v>
      </c>
      <c r="C6" s="35"/>
      <c r="D6" s="35"/>
      <c r="E6" s="35"/>
      <c r="F6" s="35"/>
      <c r="G6" s="35"/>
      <c r="H6" s="35"/>
    </row>
    <row r="7" spans="1:8">
      <c r="A7" s="35" t="s">
        <v>4676</v>
      </c>
      <c r="B7" s="35" t="s">
        <v>4681</v>
      </c>
      <c r="C7" s="35"/>
      <c r="D7" s="35"/>
      <c r="E7" s="35"/>
      <c r="F7" s="35"/>
      <c r="G7" s="35"/>
      <c r="H7" s="35"/>
    </row>
    <row r="8" spans="1:8">
      <c r="A8" s="35" t="s">
        <v>4444</v>
      </c>
      <c r="B8" s="35" t="s">
        <v>4448</v>
      </c>
      <c r="C8" s="35"/>
      <c r="D8" s="35"/>
      <c r="E8" s="35"/>
      <c r="F8" s="35"/>
      <c r="G8" s="35"/>
      <c r="H8" s="35"/>
    </row>
    <row r="9" spans="1:8" ht="24">
      <c r="A9" s="35" t="s">
        <v>4645</v>
      </c>
      <c r="B9" s="35" t="s">
        <v>4649</v>
      </c>
      <c r="C9" s="35"/>
      <c r="D9" s="35"/>
      <c r="E9" s="35"/>
      <c r="F9" s="35"/>
      <c r="G9" s="35"/>
      <c r="H9" s="35"/>
    </row>
    <row r="10" spans="1:8" ht="24">
      <c r="A10" s="35" t="s">
        <v>4648</v>
      </c>
      <c r="B10" s="35" t="s">
        <v>4649</v>
      </c>
      <c r="C10" s="35"/>
      <c r="D10" s="35"/>
      <c r="E10" s="35"/>
      <c r="F10" s="35"/>
      <c r="G10" s="35"/>
      <c r="H10" s="35"/>
    </row>
    <row r="11" spans="1:8">
      <c r="A11" s="53" t="s">
        <v>4529</v>
      </c>
      <c r="B11" s="35" t="s">
        <v>4531</v>
      </c>
      <c r="C11" s="35"/>
      <c r="D11" s="35"/>
      <c r="E11" s="35"/>
      <c r="F11" s="35"/>
      <c r="G11" s="35"/>
      <c r="H11" s="35"/>
    </row>
    <row r="12" spans="1:8">
      <c r="A12" s="35" t="s">
        <v>4494</v>
      </c>
      <c r="B12" s="35" t="s">
        <v>4496</v>
      </c>
      <c r="C12" s="35"/>
      <c r="D12" s="35"/>
      <c r="E12" s="35"/>
      <c r="F12" s="35"/>
      <c r="G12" s="35"/>
      <c r="H12" s="35"/>
    </row>
    <row r="13" spans="1:8">
      <c r="A13" s="35" t="s">
        <v>4414</v>
      </c>
      <c r="B13" s="35" t="s">
        <v>4418</v>
      </c>
      <c r="C13" s="35"/>
      <c r="D13" s="35"/>
      <c r="E13" s="35"/>
      <c r="F13" s="35"/>
      <c r="G13" s="35"/>
      <c r="H13" s="35"/>
    </row>
    <row r="14" spans="1:8">
      <c r="A14" s="35" t="s">
        <v>4741</v>
      </c>
      <c r="B14" s="35" t="s">
        <v>4744</v>
      </c>
      <c r="C14" s="35"/>
      <c r="D14" s="35"/>
      <c r="E14" s="35"/>
      <c r="F14" s="35"/>
      <c r="G14" s="35"/>
      <c r="H14" s="35"/>
    </row>
    <row r="15" spans="1:8">
      <c r="A15" s="35" t="s">
        <v>4519</v>
      </c>
      <c r="B15" s="35" t="s">
        <v>4533</v>
      </c>
      <c r="C15" s="35"/>
      <c r="D15" s="35"/>
      <c r="E15" s="35"/>
      <c r="F15" s="35"/>
      <c r="G15" s="35"/>
      <c r="H15" s="35"/>
    </row>
    <row r="16" spans="1:8" ht="48">
      <c r="A16" s="35" t="s">
        <v>4590</v>
      </c>
      <c r="B16" s="35" t="s">
        <v>4591</v>
      </c>
      <c r="C16" s="35"/>
      <c r="D16" s="35"/>
      <c r="E16" s="35"/>
      <c r="F16" s="35"/>
      <c r="G16" s="35"/>
      <c r="H16" s="35"/>
    </row>
    <row r="17" spans="1:8">
      <c r="A17" s="35" t="s">
        <v>4407</v>
      </c>
      <c r="B17" s="35" t="s">
        <v>4412</v>
      </c>
      <c r="C17" s="35"/>
      <c r="D17" s="35"/>
      <c r="E17" s="35"/>
      <c r="F17" s="35"/>
      <c r="G17" s="35"/>
      <c r="H17" s="35"/>
    </row>
    <row r="18" spans="1:8" ht="24">
      <c r="A18" s="35" t="s">
        <v>4526</v>
      </c>
      <c r="B18" s="35" t="s">
        <v>4527</v>
      </c>
      <c r="C18" s="35"/>
      <c r="D18" s="35"/>
      <c r="E18" s="35"/>
      <c r="F18" s="35"/>
      <c r="G18" s="35"/>
      <c r="H18" s="35"/>
    </row>
    <row r="19" spans="1:8">
      <c r="A19" s="35" t="s">
        <v>4500</v>
      </c>
      <c r="B19" s="35" t="s">
        <v>4503</v>
      </c>
      <c r="C19" s="35"/>
      <c r="D19" s="35"/>
      <c r="E19" s="35"/>
      <c r="F19" s="35"/>
      <c r="G19" s="35"/>
      <c r="H19" s="35"/>
    </row>
    <row r="20" spans="1:8">
      <c r="A20" s="35" t="s">
        <v>4689</v>
      </c>
      <c r="B20" s="35" t="s">
        <v>4691</v>
      </c>
      <c r="C20" s="35"/>
      <c r="D20" s="35"/>
      <c r="E20" s="35"/>
      <c r="F20" s="35"/>
      <c r="G20" s="35"/>
      <c r="H20" s="35"/>
    </row>
    <row r="21" spans="1:8" ht="24">
      <c r="A21" s="35" t="s">
        <v>4652</v>
      </c>
      <c r="B21" s="35" t="s">
        <v>4653</v>
      </c>
      <c r="C21" s="35"/>
      <c r="D21" s="35"/>
      <c r="E21" s="35"/>
      <c r="F21" s="35"/>
      <c r="G21" s="35"/>
      <c r="H21" s="35"/>
    </row>
    <row r="22" spans="1:8" ht="24">
      <c r="A22" s="35" t="s">
        <v>4758</v>
      </c>
      <c r="B22" s="35" t="s">
        <v>4760</v>
      </c>
      <c r="C22" s="35"/>
      <c r="D22" s="35"/>
      <c r="E22" s="35"/>
      <c r="F22" s="35"/>
      <c r="G22" s="35"/>
      <c r="H22" s="35"/>
    </row>
    <row r="23" spans="1:8">
      <c r="A23" s="35" t="s">
        <v>4655</v>
      </c>
      <c r="B23" s="35" t="s">
        <v>4657</v>
      </c>
      <c r="C23" s="35"/>
      <c r="D23" s="35"/>
      <c r="E23" s="35"/>
      <c r="F23" s="35"/>
      <c r="G23" s="35"/>
      <c r="H23" s="35"/>
    </row>
    <row r="24" spans="1:8">
      <c r="A24" s="35" t="s">
        <v>4604</v>
      </c>
      <c r="B24" s="35" t="s">
        <v>4607</v>
      </c>
      <c r="C24" s="35"/>
      <c r="D24" s="35"/>
      <c r="E24" s="35"/>
      <c r="F24" s="35"/>
      <c r="G24" s="35"/>
      <c r="H24" s="35"/>
    </row>
    <row r="25" spans="1:8">
      <c r="A25" s="35" t="s">
        <v>4451</v>
      </c>
      <c r="B25" s="35" t="s">
        <v>4506</v>
      </c>
      <c r="C25" s="35"/>
      <c r="D25" s="35"/>
      <c r="E25" s="35"/>
      <c r="F25" s="35"/>
      <c r="G25" s="35"/>
      <c r="H25" s="35"/>
    </row>
    <row r="26" spans="1:8" ht="24">
      <c r="A26" s="35" t="s">
        <v>4415</v>
      </c>
      <c r="B26" s="35" t="s">
        <v>4420</v>
      </c>
      <c r="C26" s="35"/>
      <c r="D26" s="35"/>
      <c r="E26" s="35"/>
      <c r="F26" s="35"/>
      <c r="G26" s="35"/>
      <c r="H26" s="35"/>
    </row>
    <row r="27" spans="1:8">
      <c r="A27" s="35" t="s">
        <v>4582</v>
      </c>
      <c r="B27" s="35" t="s">
        <v>4685</v>
      </c>
      <c r="C27" s="35"/>
      <c r="D27" s="35"/>
      <c r="E27" s="35"/>
      <c r="F27" s="35"/>
      <c r="G27" s="35"/>
      <c r="H27" s="35"/>
    </row>
    <row r="28" spans="1:8">
      <c r="A28" s="35" t="s">
        <v>4836</v>
      </c>
      <c r="B28" s="35" t="s">
        <v>4838</v>
      </c>
      <c r="C28" s="35"/>
      <c r="D28" s="35"/>
      <c r="E28" s="35"/>
      <c r="F28" s="35"/>
      <c r="G28" s="35"/>
      <c r="H28" s="35"/>
    </row>
    <row r="29" spans="1:8" ht="24">
      <c r="A29" s="35" t="s">
        <v>4436</v>
      </c>
      <c r="B29" s="35" t="s">
        <v>4539</v>
      </c>
      <c r="C29" s="35"/>
      <c r="D29" s="35"/>
      <c r="E29" s="35"/>
      <c r="F29" s="35"/>
      <c r="G29" s="35"/>
      <c r="H29" s="35"/>
    </row>
    <row r="30" spans="1:8" ht="24">
      <c r="A30" s="35" t="s">
        <v>4686</v>
      </c>
      <c r="B30" s="35" t="s">
        <v>4690</v>
      </c>
      <c r="C30" s="35"/>
      <c r="D30" s="35"/>
      <c r="E30" s="35"/>
      <c r="F30" s="35"/>
      <c r="G30" s="35"/>
      <c r="H30" s="35"/>
    </row>
    <row r="31" spans="1:8">
      <c r="A31" s="35" t="s">
        <v>4688</v>
      </c>
      <c r="B31" s="35" t="s">
        <v>4692</v>
      </c>
      <c r="C31" s="35"/>
      <c r="D31" s="35"/>
      <c r="E31" s="35"/>
      <c r="F31" s="35"/>
      <c r="G31" s="35"/>
      <c r="H31" s="35"/>
    </row>
    <row r="32" spans="1:8">
      <c r="A32" s="35" t="s">
        <v>4541</v>
      </c>
      <c r="B32" s="35" t="s">
        <v>4729</v>
      </c>
      <c r="C32" s="35"/>
      <c r="D32" s="35"/>
      <c r="E32" s="35"/>
      <c r="F32" s="35"/>
      <c r="G32" s="35"/>
      <c r="H32" s="35"/>
    </row>
    <row r="33" spans="1:8" ht="24">
      <c r="B33" s="35" t="s">
        <v>4699</v>
      </c>
      <c r="C33" s="35"/>
      <c r="D33" s="35"/>
      <c r="E33" s="35"/>
      <c r="F33" s="35"/>
      <c r="G33" s="35"/>
      <c r="H33" s="35"/>
    </row>
    <row r="34" spans="1:8" ht="36">
      <c r="B34" s="35" t="s">
        <v>4543</v>
      </c>
      <c r="C34" s="35"/>
      <c r="D34" s="35"/>
      <c r="E34" s="35"/>
      <c r="F34" s="35"/>
      <c r="G34" s="35"/>
      <c r="H34" s="35"/>
    </row>
    <row r="35" spans="1:8">
      <c r="A35" s="35" t="s">
        <v>4670</v>
      </c>
      <c r="B35" s="35" t="s">
        <v>4671</v>
      </c>
      <c r="C35" s="35"/>
      <c r="D35" s="35"/>
      <c r="E35" s="35"/>
      <c r="F35" s="35"/>
      <c r="G35" s="35"/>
      <c r="H35" s="35"/>
    </row>
    <row r="36" spans="1:8" ht="24">
      <c r="A36" s="35" t="s">
        <v>4487</v>
      </c>
      <c r="B36" s="35" t="s">
        <v>4698</v>
      </c>
      <c r="C36" s="35"/>
      <c r="D36" s="35"/>
      <c r="E36" s="35"/>
      <c r="F36" s="35"/>
      <c r="G36" s="35"/>
      <c r="H36" s="35"/>
    </row>
    <row r="37" spans="1:8">
      <c r="A37" s="35" t="s">
        <v>4683</v>
      </c>
      <c r="B37" s="35" t="s">
        <v>4729</v>
      </c>
      <c r="C37" s="35"/>
      <c r="D37" s="35"/>
      <c r="E37" s="35"/>
      <c r="F37" s="35"/>
      <c r="G37" s="35"/>
      <c r="H37" s="35"/>
    </row>
    <row r="38" spans="1:8">
      <c r="A38" s="35" t="s">
        <v>4472</v>
      </c>
      <c r="B38" s="35" t="s">
        <v>4726</v>
      </c>
      <c r="C38" s="35"/>
      <c r="D38" s="35"/>
      <c r="E38" s="35"/>
      <c r="F38" s="35"/>
      <c r="G38" s="35"/>
      <c r="H38" s="35"/>
    </row>
    <row r="39" spans="1:8">
      <c r="A39" s="35" t="s">
        <v>4440</v>
      </c>
      <c r="B39" s="35" t="s">
        <v>4441</v>
      </c>
      <c r="C39" s="35"/>
      <c r="D39" s="35"/>
      <c r="E39" s="35"/>
      <c r="F39" s="35"/>
      <c r="G39" s="35"/>
      <c r="H39" s="35"/>
    </row>
    <row r="40" spans="1:8">
      <c r="A40" s="35" t="s">
        <v>4429</v>
      </c>
      <c r="B40" s="35" t="s">
        <v>4430</v>
      </c>
      <c r="C40" s="35"/>
      <c r="D40" s="35"/>
      <c r="E40" s="35"/>
      <c r="F40" s="35"/>
      <c r="G40" s="35"/>
      <c r="H40" s="35"/>
    </row>
    <row r="41" spans="1:8" ht="24">
      <c r="A41" s="35" t="s">
        <v>4438</v>
      </c>
      <c r="B41" s="35" t="s">
        <v>4751</v>
      </c>
      <c r="C41" s="35"/>
      <c r="D41" s="35"/>
      <c r="E41" s="35"/>
      <c r="F41" s="35"/>
      <c r="G41" s="35"/>
      <c r="H41" s="35"/>
    </row>
    <row r="42" spans="1:8">
      <c r="B42" s="35" t="s">
        <v>4441</v>
      </c>
      <c r="C42" s="35"/>
      <c r="D42" s="35"/>
      <c r="E42" s="35"/>
      <c r="F42" s="35"/>
      <c r="G42" s="35"/>
      <c r="H42" s="35"/>
    </row>
    <row r="43" spans="1:8" ht="24">
      <c r="A43" s="35" t="s">
        <v>4821</v>
      </c>
      <c r="B43" s="35" t="s">
        <v>4822</v>
      </c>
      <c r="C43" s="35"/>
      <c r="D43" s="35"/>
      <c r="E43" s="35"/>
      <c r="F43" s="35"/>
      <c r="G43" s="35"/>
      <c r="H43" s="35"/>
    </row>
    <row r="44" spans="1:8">
      <c r="A44" s="35" t="s">
        <v>4610</v>
      </c>
      <c r="B44" s="35" t="s">
        <v>4613</v>
      </c>
      <c r="C44" s="35"/>
      <c r="D44" s="35"/>
      <c r="E44" s="35"/>
      <c r="F44" s="35"/>
      <c r="G44" s="35"/>
      <c r="H44" s="35"/>
    </row>
    <row r="45" spans="1:8">
      <c r="A45" s="35" t="s">
        <v>4534</v>
      </c>
      <c r="B45" s="35" t="s">
        <v>4536</v>
      </c>
      <c r="C45" s="35"/>
      <c r="D45" s="35"/>
      <c r="E45" s="35"/>
      <c r="F45" s="35"/>
      <c r="G45" s="35"/>
      <c r="H45" s="35"/>
    </row>
    <row r="46" spans="1:8">
      <c r="A46" s="35" t="s">
        <v>4524</v>
      </c>
      <c r="B46" s="35" t="s">
        <v>4528</v>
      </c>
      <c r="C46" s="35"/>
      <c r="D46" s="35"/>
      <c r="E46" s="35"/>
      <c r="F46" s="35"/>
      <c r="G46" s="35"/>
      <c r="H46" s="35"/>
    </row>
    <row r="47" spans="1:8" ht="36">
      <c r="A47" s="35" t="s">
        <v>4646</v>
      </c>
      <c r="B47" s="35" t="s">
        <v>4789</v>
      </c>
      <c r="C47" s="35"/>
      <c r="D47" s="35"/>
      <c r="E47" s="35"/>
      <c r="F47" s="35"/>
      <c r="G47" s="35"/>
      <c r="H47" s="35"/>
    </row>
    <row r="48" spans="1:8" ht="24">
      <c r="A48" s="35" t="s">
        <v>4489</v>
      </c>
      <c r="B48" s="35" t="s">
        <v>4491</v>
      </c>
      <c r="C48" s="35"/>
      <c r="D48" s="35"/>
      <c r="E48" s="35"/>
      <c r="F48" s="35"/>
      <c r="G48" s="35"/>
      <c r="H48" s="35"/>
    </row>
    <row r="49" spans="1:8" ht="24">
      <c r="A49" s="35" t="s">
        <v>4408</v>
      </c>
      <c r="B49" s="35" t="s">
        <v>4592</v>
      </c>
      <c r="C49" s="35"/>
      <c r="D49" s="35"/>
      <c r="E49" s="35"/>
      <c r="F49" s="35"/>
      <c r="G49" s="35"/>
      <c r="H49" s="35"/>
    </row>
    <row r="50" spans="1:8">
      <c r="B50" s="35" t="s">
        <v>4413</v>
      </c>
      <c r="C50" s="35"/>
      <c r="D50" s="35"/>
      <c r="E50" s="35"/>
      <c r="F50" s="35"/>
      <c r="G50" s="35"/>
      <c r="H50" s="35"/>
    </row>
    <row r="51" spans="1:8">
      <c r="A51" s="35" t="s">
        <v>4417</v>
      </c>
      <c r="B51" s="35" t="s">
        <v>4419</v>
      </c>
      <c r="C51" s="35"/>
      <c r="D51" s="35"/>
      <c r="E51" s="35"/>
      <c r="F51" s="35"/>
      <c r="G51" s="35"/>
      <c r="H51" s="35"/>
    </row>
    <row r="52" spans="1:8">
      <c r="A52" s="35" t="s">
        <v>4435</v>
      </c>
      <c r="B52" s="35" t="s">
        <v>4750</v>
      </c>
      <c r="C52" s="35"/>
      <c r="D52" s="35"/>
      <c r="E52" s="35"/>
      <c r="F52" s="35"/>
      <c r="G52" s="35"/>
      <c r="H52" s="35"/>
    </row>
    <row r="53" spans="1:8">
      <c r="A53" s="35" t="s">
        <v>4800</v>
      </c>
      <c r="B53" s="35" t="s">
        <v>4802</v>
      </c>
      <c r="C53" s="35"/>
      <c r="D53" s="35"/>
      <c r="E53" s="35"/>
      <c r="F53" s="35"/>
      <c r="G53" s="35"/>
      <c r="H53" s="35"/>
    </row>
    <row r="54" spans="1:8">
      <c r="A54" s="35" t="s">
        <v>4830</v>
      </c>
      <c r="B54" s="35" t="s">
        <v>4832</v>
      </c>
      <c r="C54" s="35"/>
      <c r="D54" s="35"/>
      <c r="E54" s="35"/>
      <c r="F54" s="35"/>
      <c r="G54" s="35"/>
      <c r="H54" s="35"/>
    </row>
    <row r="55" spans="1:8">
      <c r="A55" s="35" t="s">
        <v>4772</v>
      </c>
      <c r="B55" s="35" t="s">
        <v>4775</v>
      </c>
      <c r="C55" s="35"/>
      <c r="D55" s="35"/>
      <c r="E55" s="35"/>
      <c r="F55" s="35"/>
      <c r="G55" s="35"/>
      <c r="H55" s="35"/>
    </row>
    <row r="56" spans="1:8">
      <c r="A56" s="35" t="s">
        <v>4606</v>
      </c>
      <c r="B56" s="35" t="s">
        <v>4842</v>
      </c>
      <c r="C56" s="35"/>
      <c r="D56" s="35"/>
      <c r="E56" s="35"/>
      <c r="F56" s="35"/>
      <c r="G56" s="35"/>
      <c r="H56" s="35"/>
    </row>
    <row r="57" spans="1:8">
      <c r="A57" s="35" t="s">
        <v>4790</v>
      </c>
      <c r="B57" s="35" t="s">
        <v>4795</v>
      </c>
      <c r="C57" s="35"/>
      <c r="D57" s="35"/>
      <c r="E57" s="35"/>
      <c r="F57" s="35"/>
      <c r="G57" s="35"/>
      <c r="H57" s="35"/>
    </row>
    <row r="58" spans="1:8" ht="24">
      <c r="A58" s="35" t="s">
        <v>4559</v>
      </c>
      <c r="B58" s="35" t="s">
        <v>4561</v>
      </c>
      <c r="C58" s="35"/>
      <c r="D58" s="35"/>
      <c r="E58" s="35"/>
      <c r="F58" s="35"/>
      <c r="G58" s="35"/>
      <c r="H58" s="35"/>
    </row>
    <row r="59" spans="1:8">
      <c r="A59" s="35" t="s">
        <v>4546</v>
      </c>
      <c r="B59" s="35" t="s">
        <v>4548</v>
      </c>
      <c r="C59" s="35"/>
      <c r="D59" s="35"/>
      <c r="E59" s="35"/>
      <c r="F59" s="35"/>
      <c r="G59" s="35"/>
      <c r="H59" s="35"/>
    </row>
    <row r="60" spans="1:8">
      <c r="A60" s="35" t="s">
        <v>4443</v>
      </c>
      <c r="B60" s="35" t="s">
        <v>4446</v>
      </c>
      <c r="C60" s="35"/>
      <c r="D60" s="35"/>
      <c r="E60" s="35"/>
      <c r="F60" s="35"/>
      <c r="G60" s="35"/>
      <c r="H60" s="35"/>
    </row>
    <row r="61" spans="1:8">
      <c r="A61" s="35" t="s">
        <v>4664</v>
      </c>
      <c r="B61" s="35" t="s">
        <v>4668</v>
      </c>
      <c r="C61" s="35"/>
      <c r="D61" s="35"/>
      <c r="E61" s="35"/>
      <c r="F61" s="35"/>
      <c r="G61" s="35"/>
      <c r="H61" s="35"/>
    </row>
    <row r="62" spans="1:8">
      <c r="A62" s="35" t="s">
        <v>4654</v>
      </c>
      <c r="B62" s="35" t="s">
        <v>4833</v>
      </c>
      <c r="C62" s="35"/>
      <c r="D62" s="35"/>
      <c r="E62" s="35"/>
      <c r="F62" s="35"/>
      <c r="G62" s="35"/>
      <c r="H62" s="35"/>
    </row>
    <row r="63" spans="1:8">
      <c r="A63" s="35" t="s">
        <v>4492</v>
      </c>
      <c r="B63" s="35" t="s">
        <v>4497</v>
      </c>
      <c r="C63" s="35"/>
      <c r="D63" s="35"/>
      <c r="E63" s="35"/>
      <c r="F63" s="35"/>
      <c r="G63" s="35"/>
      <c r="H63" s="35"/>
    </row>
    <row r="64" spans="1:8" ht="24">
      <c r="A64" s="35" t="s">
        <v>4630</v>
      </c>
      <c r="B64" s="35" t="s">
        <v>4632</v>
      </c>
      <c r="C64" s="35"/>
      <c r="D64" s="35"/>
      <c r="E64" s="35"/>
      <c r="F64" s="35"/>
      <c r="G64" s="35"/>
      <c r="H64" s="35"/>
    </row>
    <row r="65" spans="1:8" ht="24">
      <c r="A65" s="35" t="s">
        <v>4769</v>
      </c>
      <c r="B65" s="35" t="s">
        <v>4770</v>
      </c>
      <c r="C65" s="35"/>
      <c r="D65" s="35"/>
      <c r="E65" s="35"/>
      <c r="F65" s="35"/>
      <c r="G65" s="35"/>
      <c r="H65" s="35"/>
    </row>
    <row r="66" spans="1:8">
      <c r="A66" s="35" t="s">
        <v>4640</v>
      </c>
      <c r="B66" s="35" t="s">
        <v>4644</v>
      </c>
      <c r="C66" s="35"/>
      <c r="D66" s="35"/>
      <c r="E66" s="35"/>
      <c r="F66" s="35"/>
      <c r="G66" s="35"/>
      <c r="H66" s="35"/>
    </row>
    <row r="67" spans="1:8">
      <c r="A67" s="35" t="s">
        <v>4631</v>
      </c>
      <c r="B67" s="35" t="s">
        <v>4633</v>
      </c>
      <c r="C67" s="35"/>
      <c r="D67" s="35"/>
      <c r="E67" s="35"/>
      <c r="F67" s="35"/>
      <c r="G67" s="35"/>
      <c r="H67" s="35"/>
    </row>
    <row r="68" spans="1:8">
      <c r="A68" s="35" t="s">
        <v>4677</v>
      </c>
      <c r="B68" s="35" t="s">
        <v>4680</v>
      </c>
      <c r="C68" s="35"/>
      <c r="D68" s="35"/>
      <c r="E68" s="35"/>
      <c r="F68" s="35"/>
      <c r="G68" s="35"/>
      <c r="H68" s="35"/>
    </row>
    <row r="69" spans="1:8" ht="24">
      <c r="A69" s="35" t="s">
        <v>4675</v>
      </c>
      <c r="B69" s="35" t="s">
        <v>4679</v>
      </c>
      <c r="C69" s="35"/>
      <c r="D69" s="35"/>
      <c r="E69" s="35"/>
      <c r="F69" s="35"/>
      <c r="G69" s="35"/>
      <c r="H69" s="35"/>
    </row>
    <row r="70" spans="1:8">
      <c r="A70" s="35" t="s">
        <v>4468</v>
      </c>
      <c r="B70" s="35" t="s">
        <v>4471</v>
      </c>
      <c r="C70" s="35"/>
      <c r="D70" s="35"/>
      <c r="E70" s="35"/>
      <c r="F70" s="35"/>
      <c r="G70" s="35"/>
      <c r="H70" s="35"/>
    </row>
    <row r="71" spans="1:8">
      <c r="B71" s="35" t="s">
        <v>4712</v>
      </c>
      <c r="C71" s="35"/>
      <c r="D71" s="35"/>
      <c r="E71" s="35"/>
      <c r="F71" s="35"/>
      <c r="G71" s="35"/>
      <c r="H71" s="35"/>
    </row>
    <row r="72" spans="1:8">
      <c r="A72" s="35" t="s">
        <v>4512</v>
      </c>
      <c r="B72" s="35" t="s">
        <v>4516</v>
      </c>
      <c r="C72" s="35"/>
      <c r="D72" s="35"/>
      <c r="E72" s="35"/>
      <c r="F72" s="35"/>
      <c r="G72" s="35"/>
      <c r="H72" s="35"/>
    </row>
    <row r="73" spans="1:8">
      <c r="A73" s="35" t="s">
        <v>4495</v>
      </c>
      <c r="B73" s="35" t="s">
        <v>4498</v>
      </c>
      <c r="C73" s="35"/>
      <c r="D73" s="35"/>
      <c r="E73" s="35"/>
      <c r="F73" s="35"/>
      <c r="G73" s="35"/>
      <c r="H73" s="35"/>
    </row>
    <row r="74" spans="1:8" ht="36">
      <c r="A74" s="35" t="s">
        <v>4520</v>
      </c>
      <c r="B74" s="35" t="s">
        <v>4521</v>
      </c>
      <c r="C74" s="35"/>
      <c r="D74" s="35"/>
      <c r="E74" s="35"/>
      <c r="F74" s="35"/>
      <c r="G74" s="35"/>
      <c r="H74" s="35"/>
    </row>
    <row r="75" spans="1:8">
      <c r="A75" s="35" t="s">
        <v>4530</v>
      </c>
      <c r="B75" s="35" t="s">
        <v>4532</v>
      </c>
      <c r="C75" s="35"/>
      <c r="D75" s="35"/>
      <c r="E75" s="35"/>
      <c r="F75" s="35"/>
      <c r="G75" s="35"/>
      <c r="H75" s="35"/>
    </row>
    <row r="76" spans="1:8">
      <c r="A76" s="35" t="s">
        <v>4464</v>
      </c>
      <c r="B76" s="35" t="s">
        <v>4467</v>
      </c>
      <c r="C76" s="35"/>
      <c r="D76" s="35"/>
      <c r="E76" s="35"/>
      <c r="F76" s="35"/>
      <c r="G76" s="35"/>
      <c r="H76" s="35"/>
    </row>
    <row r="77" spans="1:8">
      <c r="A77" s="35" t="s">
        <v>4547</v>
      </c>
      <c r="B77" s="35" t="s">
        <v>4549</v>
      </c>
      <c r="C77" s="35"/>
      <c r="D77" s="35"/>
      <c r="E77" s="35"/>
      <c r="F77" s="35"/>
      <c r="G77" s="35"/>
      <c r="H77" s="35"/>
    </row>
    <row r="78" spans="1:8">
      <c r="A78" s="35" t="s">
        <v>4596</v>
      </c>
      <c r="B78" s="35" t="s">
        <v>4597</v>
      </c>
      <c r="C78" s="35"/>
      <c r="D78" s="35"/>
      <c r="E78" s="35"/>
      <c r="F78" s="35"/>
      <c r="G78" s="35"/>
      <c r="H78" s="35"/>
    </row>
    <row r="79" spans="1:8">
      <c r="A79" s="35" t="s">
        <v>4552</v>
      </c>
      <c r="B79" s="35" t="s">
        <v>4556</v>
      </c>
      <c r="C79" s="35"/>
      <c r="D79" s="35"/>
      <c r="E79" s="35"/>
      <c r="F79" s="35"/>
      <c r="G79" s="35"/>
      <c r="H79" s="35"/>
    </row>
    <row r="80" spans="1:8">
      <c r="A80" s="35" t="s">
        <v>4815</v>
      </c>
      <c r="B80" s="35" t="s">
        <v>4817</v>
      </c>
      <c r="C80" s="35"/>
      <c r="D80" s="35"/>
      <c r="E80" s="35"/>
      <c r="F80" s="35"/>
      <c r="G80" s="35"/>
      <c r="H80" s="35"/>
    </row>
    <row r="81" spans="1:8" ht="24">
      <c r="A81" s="35" t="s">
        <v>4642</v>
      </c>
      <c r="B81" s="35" t="s">
        <v>4643</v>
      </c>
      <c r="C81" s="35"/>
      <c r="D81" s="35"/>
      <c r="E81" s="35"/>
      <c r="F81" s="35"/>
      <c r="G81" s="35"/>
      <c r="H81" s="35"/>
    </row>
    <row r="82" spans="1:8">
      <c r="A82" s="35" t="s">
        <v>4562</v>
      </c>
      <c r="B82" s="35" t="s">
        <v>4566</v>
      </c>
      <c r="C82" s="35"/>
      <c r="D82" s="35"/>
      <c r="E82" s="35"/>
      <c r="F82" s="35"/>
      <c r="G82" s="35"/>
      <c r="H82" s="35"/>
    </row>
    <row r="83" spans="1:8">
      <c r="A83" s="35" t="s">
        <v>4437</v>
      </c>
      <c r="B83" s="35" t="s">
        <v>4506</v>
      </c>
      <c r="C83" s="35"/>
      <c r="D83" s="35"/>
      <c r="E83" s="35"/>
      <c r="F83" s="35"/>
      <c r="G83" s="35"/>
      <c r="H83" s="35"/>
    </row>
    <row r="84" spans="1:8">
      <c r="A84" s="35" t="s">
        <v>4409</v>
      </c>
      <c r="B84" s="35" t="s">
        <v>4411</v>
      </c>
      <c r="C84" s="35"/>
      <c r="D84" s="35"/>
      <c r="E84" s="35"/>
      <c r="F84" s="35"/>
      <c r="G84" s="35"/>
      <c r="H84" s="35"/>
    </row>
    <row r="85" spans="1:8">
      <c r="B85" s="35" t="s">
        <v>4550</v>
      </c>
      <c r="C85" s="35"/>
      <c r="D85" s="35"/>
      <c r="E85" s="35"/>
      <c r="F85" s="35"/>
      <c r="G85" s="35"/>
      <c r="H85" s="35"/>
    </row>
    <row r="86" spans="1:8">
      <c r="A86" s="35" t="s">
        <v>4568</v>
      </c>
      <c r="B86" s="35" t="s">
        <v>4572</v>
      </c>
      <c r="C86" s="35"/>
      <c r="D86" s="35"/>
      <c r="E86" s="35"/>
      <c r="F86" s="35"/>
      <c r="G86" s="35"/>
      <c r="H86" s="35"/>
    </row>
    <row r="87" spans="1:8">
      <c r="A87" s="35" t="s">
        <v>4665</v>
      </c>
      <c r="B87" s="35" t="s">
        <v>4668</v>
      </c>
      <c r="C87" s="35"/>
      <c r="D87" s="35"/>
      <c r="E87" s="35"/>
      <c r="F87" s="35"/>
      <c r="G87" s="35"/>
      <c r="H87" s="35"/>
    </row>
    <row r="88" spans="1:8">
      <c r="A88" s="35" t="s">
        <v>4609</v>
      </c>
      <c r="B88" s="35" t="s">
        <v>4614</v>
      </c>
      <c r="C88" s="35"/>
      <c r="D88" s="35"/>
      <c r="E88" s="35"/>
      <c r="F88" s="35"/>
      <c r="G88" s="35"/>
      <c r="H88" s="35"/>
    </row>
    <row r="89" spans="1:8" ht="24">
      <c r="A89" s="35" t="s">
        <v>4809</v>
      </c>
      <c r="B89" s="35" t="s">
        <v>4812</v>
      </c>
      <c r="C89" s="35"/>
      <c r="D89" s="35"/>
      <c r="E89" s="35"/>
      <c r="F89" s="35"/>
      <c r="G89" s="35"/>
      <c r="H89" s="35"/>
    </row>
    <row r="90" spans="1:8" ht="24">
      <c r="A90" s="35" t="s">
        <v>4624</v>
      </c>
      <c r="B90" s="35" t="s">
        <v>4627</v>
      </c>
      <c r="C90" s="35"/>
      <c r="D90" s="35"/>
      <c r="E90" s="35"/>
      <c r="F90" s="35"/>
      <c r="G90" s="35"/>
      <c r="H90" s="35"/>
    </row>
    <row r="91" spans="1:8">
      <c r="A91" s="35" t="s">
        <v>4445</v>
      </c>
      <c r="B91" s="35" t="s">
        <v>4447</v>
      </c>
      <c r="C91" s="35"/>
      <c r="D91" s="35"/>
      <c r="E91" s="35"/>
      <c r="F91" s="35"/>
      <c r="G91" s="35"/>
      <c r="H91" s="35"/>
    </row>
    <row r="92" spans="1:8">
      <c r="A92" s="35" t="s">
        <v>4416</v>
      </c>
      <c r="B92" s="35" t="s">
        <v>4418</v>
      </c>
      <c r="C92" s="35"/>
      <c r="D92" s="35"/>
      <c r="E92" s="35"/>
      <c r="F92" s="35"/>
      <c r="G92" s="35"/>
      <c r="H92" s="35"/>
    </row>
    <row r="93" spans="1:8">
      <c r="A93" s="35" t="s">
        <v>4450</v>
      </c>
      <c r="B93" s="35" t="s">
        <v>4452</v>
      </c>
      <c r="C93" s="35"/>
      <c r="D93" s="35"/>
      <c r="E93" s="35"/>
      <c r="F93" s="35"/>
      <c r="G93" s="35"/>
      <c r="H93" s="35"/>
    </row>
    <row r="94" spans="1:8">
      <c r="A94" s="35" t="s">
        <v>4551</v>
      </c>
      <c r="B94" s="35" t="s">
        <v>4555</v>
      </c>
      <c r="C94" s="35"/>
      <c r="D94" s="35"/>
      <c r="E94" s="35"/>
      <c r="F94" s="35"/>
      <c r="G94" s="35"/>
      <c r="H94" s="35"/>
    </row>
    <row r="95" spans="1:8" ht="24">
      <c r="A95" s="35" t="s">
        <v>4706</v>
      </c>
      <c r="B95" s="35" t="s">
        <v>4707</v>
      </c>
      <c r="C95" s="35"/>
      <c r="D95" s="35"/>
      <c r="E95" s="35"/>
      <c r="F95" s="35"/>
      <c r="G95" s="35"/>
      <c r="H95" s="35"/>
    </row>
    <row r="96" spans="1:8">
      <c r="A96" s="35" t="s">
        <v>4792</v>
      </c>
      <c r="B96" s="35" t="s">
        <v>4796</v>
      </c>
      <c r="C96" s="35"/>
      <c r="D96" s="35"/>
      <c r="E96" s="35"/>
      <c r="F96" s="35"/>
      <c r="G96" s="35"/>
      <c r="H96" s="35"/>
    </row>
    <row r="97" spans="1:8">
      <c r="A97" s="35" t="s">
        <v>4731</v>
      </c>
      <c r="B97" s="35" t="s">
        <v>4734</v>
      </c>
      <c r="C97" s="35"/>
      <c r="D97" s="35"/>
      <c r="E97" s="35"/>
      <c r="F97" s="35"/>
      <c r="G97" s="35"/>
      <c r="H97" s="35"/>
    </row>
    <row r="98" spans="1:8">
      <c r="A98" s="35" t="s">
        <v>27</v>
      </c>
      <c r="B98" s="35" t="s">
        <v>4721</v>
      </c>
      <c r="C98" s="35"/>
      <c r="D98" s="35"/>
      <c r="E98" s="35"/>
      <c r="F98" s="35"/>
      <c r="G98" s="35"/>
      <c r="H98" s="35"/>
    </row>
    <row r="99" spans="1:8">
      <c r="A99" s="35" t="s">
        <v>4723</v>
      </c>
      <c r="B99" s="35" t="s">
        <v>4725</v>
      </c>
      <c r="C99" s="35"/>
      <c r="D99" s="35"/>
      <c r="E99" s="35"/>
      <c r="F99" s="35"/>
      <c r="G99" s="35"/>
      <c r="H99" s="35"/>
    </row>
    <row r="100" spans="1:8" ht="24">
      <c r="A100" s="35" t="s">
        <v>4702</v>
      </c>
      <c r="B100" s="35" t="s">
        <v>4703</v>
      </c>
      <c r="C100" s="35"/>
      <c r="D100" s="35"/>
      <c r="E100" s="35"/>
      <c r="F100" s="35"/>
      <c r="G100" s="35"/>
      <c r="H100" s="35"/>
    </row>
    <row r="101" spans="1:8">
      <c r="A101" s="35" t="s">
        <v>4621</v>
      </c>
      <c r="B101" s="35" t="s">
        <v>4658</v>
      </c>
      <c r="C101" s="35"/>
      <c r="D101" s="35"/>
      <c r="E101" s="35"/>
      <c r="F101" s="35"/>
      <c r="G101" s="35"/>
      <c r="H101" s="35"/>
    </row>
    <row r="102" spans="1:8">
      <c r="A102" s="35" t="s">
        <v>4484</v>
      </c>
      <c r="B102" s="35" t="s">
        <v>4486</v>
      </c>
      <c r="C102" s="35"/>
      <c r="D102" s="35"/>
      <c r="E102" s="35"/>
      <c r="F102" s="35"/>
      <c r="G102" s="35"/>
      <c r="H102" s="35"/>
    </row>
    <row r="103" spans="1:8" ht="24">
      <c r="A103" s="35" t="s">
        <v>4714</v>
      </c>
      <c r="B103" s="35" t="s">
        <v>4717</v>
      </c>
      <c r="C103" s="35"/>
      <c r="D103" s="35"/>
      <c r="E103" s="35"/>
      <c r="F103" s="35"/>
      <c r="G103" s="35"/>
      <c r="H103" s="35"/>
    </row>
    <row r="104" spans="1:8" ht="24">
      <c r="A104" s="35" t="s">
        <v>4620</v>
      </c>
      <c r="B104" s="35" t="s">
        <v>4703</v>
      </c>
      <c r="C104" s="35"/>
      <c r="D104" s="35"/>
      <c r="E104" s="35"/>
      <c r="F104" s="35"/>
      <c r="G104" s="35"/>
      <c r="H104" s="35"/>
    </row>
    <row r="105" spans="1:8">
      <c r="B105" s="35" t="s">
        <v>4658</v>
      </c>
      <c r="C105" s="35"/>
      <c r="D105" s="35"/>
      <c r="E105" s="35"/>
      <c r="F105" s="35"/>
      <c r="G105" s="35"/>
      <c r="H105" s="35"/>
    </row>
    <row r="106" spans="1:8">
      <c r="B106" s="35" t="s">
        <v>4709</v>
      </c>
      <c r="C106" s="35"/>
      <c r="D106" s="35"/>
      <c r="E106" s="35"/>
      <c r="F106" s="35"/>
      <c r="G106" s="35"/>
      <c r="H106" s="35"/>
    </row>
    <row r="107" spans="1:8">
      <c r="B107" s="35" t="s">
        <v>4755</v>
      </c>
      <c r="C107" s="35"/>
      <c r="D107" s="35"/>
      <c r="E107" s="35"/>
      <c r="F107" s="35"/>
      <c r="G107" s="35"/>
      <c r="H107" s="35"/>
    </row>
    <row r="108" spans="1:8" ht="24">
      <c r="B108" s="35" t="s">
        <v>4674</v>
      </c>
      <c r="C108" s="35"/>
      <c r="D108" s="35"/>
      <c r="E108" s="35"/>
      <c r="F108" s="35"/>
      <c r="G108" s="35"/>
      <c r="H108" s="35"/>
    </row>
    <row r="109" spans="1:8" ht="24">
      <c r="A109" s="35" t="s">
        <v>4618</v>
      </c>
      <c r="B109" s="35" t="s">
        <v>4622</v>
      </c>
      <c r="C109" s="35"/>
      <c r="D109" s="35"/>
      <c r="E109" s="35"/>
      <c r="F109" s="35"/>
      <c r="G109" s="35"/>
      <c r="H109" s="35"/>
    </row>
    <row r="110" spans="1:8" ht="24">
      <c r="B110" s="35" t="s">
        <v>4674</v>
      </c>
      <c r="C110" s="35"/>
      <c r="D110" s="35"/>
      <c r="E110" s="35"/>
      <c r="F110" s="35"/>
      <c r="G110" s="35"/>
      <c r="H110" s="35"/>
    </row>
    <row r="111" spans="1:8">
      <c r="A111" s="35" t="s">
        <v>4422</v>
      </c>
      <c r="B111" s="35" t="s">
        <v>4424</v>
      </c>
      <c r="C111" s="35"/>
      <c r="D111" s="35"/>
      <c r="E111" s="35"/>
      <c r="F111" s="35"/>
      <c r="G111" s="35"/>
      <c r="H111" s="35"/>
    </row>
    <row r="112" spans="1:8" ht="24">
      <c r="A112" s="35" t="s">
        <v>4746</v>
      </c>
      <c r="B112" s="35" t="s">
        <v>4748</v>
      </c>
      <c r="C112" s="35"/>
      <c r="D112" s="35"/>
      <c r="E112" s="35"/>
      <c r="F112" s="35"/>
      <c r="G112" s="35"/>
      <c r="H112" s="35"/>
    </row>
    <row r="113" spans="1:8">
      <c r="A113" s="35" t="s">
        <v>3165</v>
      </c>
      <c r="B113" s="35" t="s">
        <v>4586</v>
      </c>
      <c r="C113" s="35"/>
      <c r="D113" s="35"/>
      <c r="E113" s="35"/>
      <c r="F113" s="35"/>
      <c r="G113" s="35"/>
      <c r="H113" s="35"/>
    </row>
    <row r="114" spans="1:8">
      <c r="A114" s="35" t="s">
        <v>646</v>
      </c>
      <c r="B114" s="35" t="s">
        <v>4739</v>
      </c>
      <c r="C114" s="35"/>
      <c r="D114" s="35"/>
      <c r="E114" s="35"/>
      <c r="F114" s="35"/>
      <c r="G114" s="35"/>
      <c r="H114" s="35"/>
    </row>
    <row r="115" spans="1:8">
      <c r="A115" s="35" t="s">
        <v>4619</v>
      </c>
      <c r="B115" s="35" t="s">
        <v>4658</v>
      </c>
      <c r="C115" s="35"/>
      <c r="D115" s="35"/>
      <c r="E115" s="35"/>
      <c r="F115" s="35"/>
      <c r="G115" s="35"/>
      <c r="H115" s="35"/>
    </row>
    <row r="116" spans="1:8" ht="24">
      <c r="A116" s="35" t="s">
        <v>4672</v>
      </c>
      <c r="B116" s="35" t="s">
        <v>4674</v>
      </c>
      <c r="C116" s="35"/>
      <c r="D116" s="35"/>
      <c r="E116" s="35"/>
      <c r="F116" s="35"/>
      <c r="G116" s="35"/>
      <c r="H116" s="35"/>
    </row>
    <row r="117" spans="1:8">
      <c r="A117" s="35" t="s">
        <v>4599</v>
      </c>
      <c r="B117" s="35" t="s">
        <v>4603</v>
      </c>
      <c r="C117" s="35"/>
      <c r="D117" s="35"/>
      <c r="E117" s="35"/>
      <c r="F117" s="35"/>
      <c r="G117" s="35"/>
      <c r="H117" s="35"/>
    </row>
    <row r="118" spans="1:8" ht="24">
      <c r="A118" s="35" t="s">
        <v>4488</v>
      </c>
      <c r="B118" s="35" t="s">
        <v>4698</v>
      </c>
      <c r="C118" s="35"/>
      <c r="D118" s="35"/>
      <c r="E118" s="35"/>
      <c r="F118" s="35"/>
      <c r="G118" s="35"/>
      <c r="H118" s="35"/>
    </row>
    <row r="119" spans="1:8" ht="24">
      <c r="A119" s="35" t="s">
        <v>4727</v>
      </c>
      <c r="B119" s="35" t="s">
        <v>4728</v>
      </c>
      <c r="C119" s="35"/>
      <c r="D119" s="35"/>
      <c r="E119" s="35"/>
      <c r="F119" s="35"/>
      <c r="G119" s="35"/>
      <c r="H119" s="35"/>
    </row>
    <row r="120" spans="1:8">
      <c r="A120" s="35" t="s">
        <v>4774</v>
      </c>
      <c r="B120" s="35" t="s">
        <v>4775</v>
      </c>
      <c r="C120" s="35"/>
      <c r="D120" s="35"/>
      <c r="E120" s="35"/>
      <c r="F120" s="35"/>
      <c r="G120" s="35"/>
      <c r="H120" s="35"/>
    </row>
    <row r="121" spans="1:8">
      <c r="A121" s="35" t="s">
        <v>4793</v>
      </c>
      <c r="B121" s="35" t="s">
        <v>4794</v>
      </c>
      <c r="C121" s="35"/>
      <c r="D121" s="35"/>
      <c r="E121" s="35"/>
      <c r="F121" s="35"/>
      <c r="G121" s="35"/>
      <c r="H121" s="35"/>
    </row>
    <row r="122" spans="1:8">
      <c r="A122" s="35" t="s">
        <v>4749</v>
      </c>
      <c r="B122" s="35" t="s">
        <v>4577</v>
      </c>
      <c r="C122" s="35"/>
      <c r="D122" s="35"/>
      <c r="E122" s="35"/>
      <c r="F122" s="35"/>
      <c r="G122" s="35"/>
      <c r="H122" s="35"/>
    </row>
    <row r="123" spans="1:8">
      <c r="A123" s="35" t="s">
        <v>4575</v>
      </c>
      <c r="B123" s="35" t="s">
        <v>4577</v>
      </c>
      <c r="C123" s="35"/>
      <c r="D123" s="35"/>
      <c r="E123" s="35"/>
      <c r="F123" s="35"/>
      <c r="G123" s="35"/>
      <c r="H123" s="35"/>
    </row>
    <row r="124" spans="1:8" ht="48">
      <c r="A124" s="35" t="s">
        <v>4722</v>
      </c>
      <c r="B124" s="35" t="s">
        <v>4724</v>
      </c>
      <c r="C124" s="35"/>
      <c r="D124" s="35"/>
      <c r="E124" s="35"/>
      <c r="F124" s="35"/>
      <c r="G124" s="35"/>
      <c r="H124" s="35"/>
    </row>
    <row r="125" spans="1:8">
      <c r="A125" s="35" t="s">
        <v>4567</v>
      </c>
      <c r="B125" s="35" t="s">
        <v>4571</v>
      </c>
      <c r="C125" s="35"/>
      <c r="D125" s="35"/>
      <c r="E125" s="35"/>
      <c r="F125" s="35"/>
      <c r="G125" s="35"/>
      <c r="H125" s="35"/>
    </row>
    <row r="126" spans="1:8" ht="36">
      <c r="A126" s="35" t="s">
        <v>4804</v>
      </c>
      <c r="B126" s="35" t="s">
        <v>4807</v>
      </c>
      <c r="C126" s="35"/>
      <c r="D126" s="35"/>
      <c r="E126" s="35"/>
      <c r="F126" s="35"/>
      <c r="G126" s="35"/>
      <c r="H126" s="35"/>
    </row>
    <row r="127" spans="1:8" ht="24">
      <c r="A127" s="35" t="s">
        <v>4635</v>
      </c>
      <c r="B127" s="35" t="s">
        <v>4638</v>
      </c>
      <c r="C127" s="35"/>
      <c r="D127" s="35"/>
      <c r="E127" s="35"/>
      <c r="F127" s="35"/>
      <c r="G127" s="35"/>
      <c r="H127" s="35"/>
    </row>
    <row r="128" spans="1:8" ht="48">
      <c r="A128" s="35" t="s">
        <v>4784</v>
      </c>
      <c r="B128" s="35" t="s">
        <v>4788</v>
      </c>
      <c r="C128" s="35"/>
      <c r="D128" s="35"/>
      <c r="E128" s="35"/>
      <c r="F128" s="35"/>
      <c r="G128" s="35"/>
      <c r="H128" s="35"/>
    </row>
    <row r="129" spans="1:8" ht="24">
      <c r="A129" s="35" t="s">
        <v>4814</v>
      </c>
      <c r="B129" s="35" t="s">
        <v>4841</v>
      </c>
      <c r="C129" s="35"/>
      <c r="D129" s="35"/>
      <c r="E129" s="35"/>
      <c r="F129" s="35"/>
      <c r="G129" s="35"/>
      <c r="H129" s="35"/>
    </row>
    <row r="130" spans="1:8">
      <c r="A130" s="35" t="s">
        <v>4509</v>
      </c>
      <c r="B130" s="35" t="s">
        <v>4735</v>
      </c>
      <c r="C130" s="35"/>
      <c r="D130" s="35"/>
      <c r="E130" s="35"/>
      <c r="F130" s="35"/>
      <c r="G130" s="35"/>
      <c r="H130" s="35"/>
    </row>
    <row r="131" spans="1:8">
      <c r="A131" s="35" t="s">
        <v>4508</v>
      </c>
      <c r="B131" s="35" t="s">
        <v>4511</v>
      </c>
      <c r="C131" s="35"/>
      <c r="D131" s="35"/>
      <c r="E131" s="35"/>
      <c r="F131" s="35"/>
      <c r="G131" s="35"/>
      <c r="H131" s="35"/>
    </row>
    <row r="132" spans="1:8">
      <c r="A132" s="35" t="s">
        <v>4426</v>
      </c>
      <c r="B132" s="35" t="s">
        <v>4432</v>
      </c>
      <c r="C132" s="35"/>
      <c r="D132" s="35"/>
      <c r="E132" s="35"/>
      <c r="F132" s="35"/>
      <c r="G132" s="35"/>
      <c r="H132" s="35"/>
    </row>
    <row r="133" spans="1:8">
      <c r="B133" s="35" t="s">
        <v>4771</v>
      </c>
      <c r="C133" s="35"/>
      <c r="D133" s="35"/>
      <c r="E133" s="35"/>
      <c r="F133" s="35"/>
      <c r="G133" s="35"/>
      <c r="H133" s="35"/>
    </row>
    <row r="134" spans="1:8">
      <c r="A134" s="35" t="s">
        <v>4428</v>
      </c>
      <c r="B134" s="35" t="s">
        <v>4432</v>
      </c>
      <c r="C134" s="35"/>
      <c r="D134" s="35"/>
      <c r="E134" s="35"/>
      <c r="F134" s="35"/>
      <c r="G134" s="35"/>
      <c r="H134" s="35"/>
    </row>
    <row r="135" spans="1:8">
      <c r="B135" s="35" t="s">
        <v>4771</v>
      </c>
      <c r="C135" s="35"/>
      <c r="D135" s="35"/>
      <c r="E135" s="35"/>
      <c r="F135" s="35"/>
      <c r="G135" s="35"/>
      <c r="H135" s="35"/>
    </row>
    <row r="136" spans="1:8" ht="24">
      <c r="A136" s="35" t="s">
        <v>4659</v>
      </c>
      <c r="B136" s="35" t="s">
        <v>4663</v>
      </c>
      <c r="C136" s="35"/>
      <c r="D136" s="35"/>
      <c r="E136" s="35"/>
      <c r="F136" s="35"/>
      <c r="G136" s="35"/>
      <c r="H136" s="35"/>
    </row>
    <row r="137" spans="1:8">
      <c r="A137" s="35" t="s">
        <v>4449</v>
      </c>
      <c r="B137" s="35" t="s">
        <v>4456</v>
      </c>
      <c r="C137" s="35"/>
      <c r="D137" s="35"/>
      <c r="E137" s="35"/>
      <c r="F137" s="35"/>
      <c r="G137" s="35"/>
      <c r="H137" s="35"/>
    </row>
    <row r="138" spans="1:8">
      <c r="A138" s="35" t="s">
        <v>4427</v>
      </c>
      <c r="B138" s="35" t="s">
        <v>4431</v>
      </c>
      <c r="C138" s="35"/>
      <c r="D138" s="35"/>
      <c r="E138" s="35"/>
      <c r="F138" s="35"/>
      <c r="G138" s="35"/>
      <c r="H138" s="35"/>
    </row>
    <row r="139" spans="1:8">
      <c r="A139" s="35" t="s">
        <v>4667</v>
      </c>
      <c r="B139" s="35" t="s">
        <v>4668</v>
      </c>
      <c r="C139" s="35"/>
      <c r="D139" s="35"/>
      <c r="E139" s="35"/>
      <c r="F139" s="35"/>
      <c r="G139" s="35"/>
      <c r="H139" s="35"/>
    </row>
    <row r="140" spans="1:8">
      <c r="A140" s="35" t="s">
        <v>4601</v>
      </c>
      <c r="B140" s="35" t="s">
        <v>4603</v>
      </c>
      <c r="C140" s="35"/>
      <c r="D140" s="35"/>
      <c r="E140" s="35"/>
      <c r="F140" s="35"/>
      <c r="G140" s="35"/>
      <c r="H140" s="35"/>
    </row>
    <row r="141" spans="1:8">
      <c r="A141" s="35" t="s">
        <v>4517</v>
      </c>
      <c r="B141" s="35" t="s">
        <v>4522</v>
      </c>
      <c r="C141" s="35"/>
      <c r="D141" s="35"/>
      <c r="E141" s="35"/>
      <c r="F141" s="35"/>
      <c r="G141" s="35"/>
      <c r="H141" s="35"/>
    </row>
    <row r="142" spans="1:8">
      <c r="B142" s="35" t="s">
        <v>4710</v>
      </c>
      <c r="C142" s="35"/>
      <c r="D142" s="35"/>
      <c r="E142" s="35"/>
      <c r="F142" s="35"/>
      <c r="G142" s="35"/>
      <c r="H142" s="35"/>
    </row>
    <row r="143" spans="1:8" ht="24">
      <c r="A143" s="35" t="s">
        <v>4829</v>
      </c>
      <c r="B143" s="35" t="s">
        <v>4839</v>
      </c>
      <c r="C143" s="35"/>
      <c r="D143" s="35"/>
      <c r="E143" s="35"/>
      <c r="F143" s="35"/>
      <c r="G143" s="35"/>
      <c r="H143" s="35"/>
    </row>
    <row r="144" spans="1:8" ht="24">
      <c r="A144" s="35" t="s">
        <v>4713</v>
      </c>
      <c r="B144" s="35" t="s">
        <v>4717</v>
      </c>
      <c r="C144" s="35"/>
      <c r="D144" s="35"/>
      <c r="E144" s="35"/>
      <c r="F144" s="35"/>
      <c r="G144" s="35"/>
      <c r="H144" s="35"/>
    </row>
    <row r="145" spans="1:8">
      <c r="A145" s="35" t="s">
        <v>2031</v>
      </c>
      <c r="B145" s="35"/>
      <c r="C145" s="35"/>
      <c r="D145" s="35"/>
      <c r="E145" s="35"/>
      <c r="F145" s="35"/>
      <c r="G145" s="35"/>
      <c r="H145" s="35"/>
    </row>
    <row r="146" spans="1:8" ht="14.5">
      <c r="A146"/>
      <c r="B146"/>
      <c r="C146"/>
      <c r="D146"/>
      <c r="E146"/>
      <c r="F146"/>
      <c r="G146"/>
      <c r="H146"/>
    </row>
    <row r="147" spans="1:8" ht="14.5">
      <c r="A147"/>
      <c r="B147"/>
      <c r="C147"/>
      <c r="D147"/>
      <c r="E147"/>
      <c r="F147"/>
      <c r="G147"/>
      <c r="H147"/>
    </row>
    <row r="148" spans="1:8" ht="14.5">
      <c r="A148"/>
      <c r="B148"/>
      <c r="C148"/>
      <c r="D148"/>
      <c r="E148"/>
      <c r="F148"/>
      <c r="G148"/>
      <c r="H148"/>
    </row>
    <row r="149" spans="1:8" ht="14.5">
      <c r="A149"/>
      <c r="B149"/>
      <c r="C149"/>
      <c r="D149"/>
      <c r="E149"/>
      <c r="F149"/>
      <c r="G149"/>
      <c r="H149"/>
    </row>
    <row r="150" spans="1:8" ht="14.5">
      <c r="A150"/>
      <c r="B150"/>
      <c r="C150"/>
      <c r="D150"/>
      <c r="E150"/>
      <c r="F150"/>
      <c r="G150"/>
      <c r="H150"/>
    </row>
    <row r="151" spans="1:8" ht="14.5">
      <c r="A151"/>
      <c r="B151"/>
      <c r="C151"/>
      <c r="D151"/>
      <c r="E151"/>
      <c r="F151"/>
      <c r="G151"/>
      <c r="H151"/>
    </row>
    <row r="152" spans="1:8" ht="14.5">
      <c r="A152"/>
      <c r="B152"/>
      <c r="C152"/>
      <c r="D152"/>
      <c r="E152"/>
      <c r="F152"/>
      <c r="G152"/>
      <c r="H152"/>
    </row>
    <row r="153" spans="1:8" ht="14.5">
      <c r="A153"/>
      <c r="B153"/>
      <c r="C153"/>
      <c r="D153"/>
      <c r="E153"/>
      <c r="F153"/>
      <c r="G153"/>
      <c r="H153"/>
    </row>
    <row r="154" spans="1:8" ht="14.5">
      <c r="A154"/>
      <c r="B154"/>
      <c r="C154"/>
      <c r="D154"/>
      <c r="E154"/>
      <c r="F154"/>
      <c r="G154"/>
      <c r="H154"/>
    </row>
    <row r="155" spans="1:8" ht="14.5">
      <c r="A155"/>
      <c r="B155"/>
      <c r="C155"/>
      <c r="D155"/>
      <c r="E155"/>
      <c r="F155"/>
      <c r="G155"/>
      <c r="H155"/>
    </row>
    <row r="156" spans="1:8" ht="14.5">
      <c r="A156"/>
      <c r="B156"/>
      <c r="C156"/>
      <c r="D156"/>
      <c r="E156"/>
      <c r="F156"/>
      <c r="G156"/>
      <c r="H156"/>
    </row>
    <row r="157" spans="1:8" ht="14.5">
      <c r="A157"/>
      <c r="B157"/>
      <c r="C157"/>
      <c r="D157"/>
      <c r="E157"/>
      <c r="F157"/>
      <c r="G157"/>
      <c r="H157"/>
    </row>
    <row r="158" spans="1:8" ht="14.5">
      <c r="A158"/>
      <c r="B158"/>
      <c r="C158"/>
      <c r="D158"/>
      <c r="E158"/>
      <c r="F158"/>
      <c r="G158"/>
      <c r="H158"/>
    </row>
    <row r="159" spans="1:8" ht="14.5">
      <c r="A159"/>
      <c r="B159"/>
      <c r="C159"/>
      <c r="D159"/>
      <c r="E159"/>
      <c r="F159"/>
      <c r="G159"/>
      <c r="H159"/>
    </row>
    <row r="160" spans="1:8" ht="14.5">
      <c r="A160"/>
      <c r="B160"/>
      <c r="C160"/>
      <c r="D160"/>
      <c r="E160"/>
      <c r="F160"/>
      <c r="G160"/>
      <c r="H160"/>
    </row>
    <row r="161" spans="1:8" ht="14.5">
      <c r="A161"/>
      <c r="B161"/>
      <c r="C161"/>
      <c r="D161"/>
      <c r="E161"/>
      <c r="F161"/>
      <c r="G161"/>
      <c r="H161"/>
    </row>
    <row r="162" spans="1:8" ht="14.5">
      <c r="A162"/>
      <c r="B162"/>
      <c r="C162"/>
      <c r="D162"/>
      <c r="E162"/>
      <c r="F162"/>
      <c r="G162"/>
      <c r="H162"/>
    </row>
    <row r="163" spans="1:8" ht="14.5">
      <c r="A163"/>
      <c r="B163"/>
      <c r="C163"/>
      <c r="D163"/>
      <c r="E163"/>
      <c r="F163"/>
      <c r="G163"/>
      <c r="H163"/>
    </row>
    <row r="164" spans="1:8" ht="14.5">
      <c r="A164"/>
      <c r="B164"/>
      <c r="C164"/>
      <c r="D164"/>
      <c r="E164"/>
      <c r="F164"/>
      <c r="G164"/>
      <c r="H164"/>
    </row>
    <row r="165" spans="1:8" ht="14.5">
      <c r="A165"/>
      <c r="B165"/>
      <c r="C165"/>
      <c r="D165"/>
      <c r="E165"/>
      <c r="F165"/>
      <c r="G165"/>
      <c r="H165"/>
    </row>
    <row r="166" spans="1:8" ht="14.5">
      <c r="A166"/>
      <c r="B166"/>
      <c r="C166"/>
      <c r="D166"/>
      <c r="E166"/>
      <c r="F166"/>
      <c r="G166"/>
      <c r="H166"/>
    </row>
    <row r="167" spans="1:8" ht="14.5">
      <c r="A167"/>
      <c r="B167"/>
      <c r="C167"/>
      <c r="D167"/>
      <c r="E167"/>
      <c r="F167"/>
      <c r="G167"/>
      <c r="H167"/>
    </row>
    <row r="168" spans="1:8" ht="14.5">
      <c r="A168"/>
      <c r="B168"/>
      <c r="C168"/>
      <c r="D168"/>
      <c r="E168"/>
      <c r="F168"/>
      <c r="G168"/>
      <c r="H168"/>
    </row>
    <row r="169" spans="1:8" ht="14.5">
      <c r="A169"/>
      <c r="B169"/>
      <c r="C169"/>
      <c r="D169"/>
      <c r="E169"/>
      <c r="F169"/>
      <c r="G169"/>
      <c r="H169"/>
    </row>
    <row r="170" spans="1:8" ht="14.5">
      <c r="A170"/>
      <c r="B170"/>
      <c r="C170"/>
      <c r="D170"/>
      <c r="E170"/>
      <c r="F170"/>
      <c r="G170"/>
      <c r="H170"/>
    </row>
    <row r="171" spans="1:8" ht="14.5">
      <c r="A171"/>
      <c r="B171"/>
      <c r="C171"/>
      <c r="D171"/>
      <c r="E171"/>
      <c r="F171"/>
      <c r="G171"/>
      <c r="H171"/>
    </row>
    <row r="172" spans="1:8" ht="14.5">
      <c r="A172"/>
      <c r="B172"/>
      <c r="C172"/>
      <c r="D172"/>
      <c r="E172"/>
      <c r="F172"/>
      <c r="G172"/>
      <c r="H172"/>
    </row>
    <row r="173" spans="1:8" ht="14.5">
      <c r="A173"/>
      <c r="B173"/>
      <c r="C173"/>
      <c r="D173"/>
      <c r="E173"/>
      <c r="F173"/>
      <c r="G173"/>
      <c r="H173"/>
    </row>
    <row r="174" spans="1:8" ht="14.5">
      <c r="A174"/>
      <c r="B174"/>
      <c r="C174"/>
      <c r="D174"/>
      <c r="E174"/>
      <c r="F174"/>
      <c r="G174"/>
      <c r="H174"/>
    </row>
    <row r="175" spans="1:8" ht="14.5">
      <c r="A175"/>
      <c r="B175"/>
      <c r="C175"/>
      <c r="D175"/>
      <c r="E175"/>
      <c r="F175"/>
      <c r="G175"/>
      <c r="H175"/>
    </row>
    <row r="176" spans="1:8" ht="14.5">
      <c r="A176"/>
      <c r="B176"/>
      <c r="C176"/>
      <c r="D176"/>
      <c r="E176"/>
      <c r="F176"/>
      <c r="G176"/>
      <c r="H176"/>
    </row>
    <row r="177" spans="1:8" ht="14.5">
      <c r="A177"/>
      <c r="B177"/>
      <c r="C177"/>
      <c r="D177"/>
      <c r="E177"/>
      <c r="F177"/>
      <c r="G177"/>
      <c r="H177"/>
    </row>
    <row r="178" spans="1:8" ht="14.5">
      <c r="A178"/>
      <c r="B178"/>
      <c r="C178"/>
      <c r="D178"/>
      <c r="E178"/>
      <c r="F178"/>
      <c r="G178"/>
      <c r="H178"/>
    </row>
    <row r="179" spans="1:8" ht="14.5">
      <c r="A179"/>
      <c r="B179"/>
      <c r="C179"/>
      <c r="D179"/>
      <c r="E179"/>
      <c r="F179"/>
      <c r="G179"/>
      <c r="H179"/>
    </row>
    <row r="180" spans="1:8" ht="14.5">
      <c r="A180"/>
      <c r="B180"/>
      <c r="C180"/>
      <c r="D180"/>
      <c r="E180"/>
      <c r="F180"/>
      <c r="G180"/>
      <c r="H180"/>
    </row>
    <row r="181" spans="1:8" ht="14.5">
      <c r="A181"/>
      <c r="B181"/>
      <c r="C181"/>
      <c r="D181"/>
      <c r="E181"/>
      <c r="F181"/>
      <c r="G181"/>
      <c r="H181"/>
    </row>
    <row r="182" spans="1:8" ht="14.5">
      <c r="A182"/>
      <c r="B182"/>
      <c r="C182"/>
      <c r="D182"/>
      <c r="E182"/>
      <c r="F182"/>
      <c r="G182"/>
      <c r="H182"/>
    </row>
    <row r="183" spans="1:8" ht="14.5">
      <c r="A183"/>
      <c r="B183"/>
      <c r="C183"/>
      <c r="D183"/>
      <c r="E183"/>
      <c r="F183"/>
      <c r="G183"/>
      <c r="H183"/>
    </row>
    <row r="184" spans="1:8" ht="14.5">
      <c r="A184"/>
      <c r="B184"/>
      <c r="C184"/>
      <c r="D184"/>
      <c r="E184"/>
      <c r="F184"/>
      <c r="G184"/>
      <c r="H184"/>
    </row>
    <row r="185" spans="1:8" ht="14.5">
      <c r="A185"/>
      <c r="B185"/>
      <c r="C185"/>
      <c r="D185"/>
      <c r="E185"/>
      <c r="F185"/>
      <c r="G185"/>
      <c r="H185"/>
    </row>
    <row r="186" spans="1:8" ht="14.5">
      <c r="A186"/>
      <c r="B186"/>
      <c r="C186"/>
      <c r="D186"/>
      <c r="E186"/>
      <c r="F186"/>
      <c r="G186"/>
      <c r="H186"/>
    </row>
    <row r="187" spans="1:8" ht="14.5">
      <c r="A187"/>
      <c r="B187"/>
      <c r="C187"/>
      <c r="D187"/>
      <c r="E187"/>
      <c r="F187"/>
      <c r="G187"/>
      <c r="H187"/>
    </row>
    <row r="188" spans="1:8" ht="14.5">
      <c r="A188"/>
      <c r="B188"/>
      <c r="C188"/>
      <c r="D188"/>
      <c r="E188"/>
      <c r="F188"/>
      <c r="G188"/>
      <c r="H188"/>
    </row>
    <row r="189" spans="1:8" ht="14.5">
      <c r="A189"/>
      <c r="B189"/>
      <c r="C189"/>
      <c r="D189"/>
      <c r="E189"/>
      <c r="F189"/>
      <c r="G189"/>
      <c r="H189"/>
    </row>
    <row r="190" spans="1:8" ht="14.5">
      <c r="A190"/>
      <c r="B190"/>
      <c r="C190"/>
      <c r="D190"/>
      <c r="E190"/>
      <c r="F190"/>
      <c r="G190"/>
      <c r="H190"/>
    </row>
    <row r="191" spans="1:8" ht="14.5">
      <c r="A191"/>
      <c r="B191"/>
      <c r="C191"/>
      <c r="D191"/>
      <c r="E191"/>
      <c r="F191"/>
      <c r="G191"/>
      <c r="H191"/>
    </row>
    <row r="192" spans="1:8" ht="14.5">
      <c r="A192"/>
      <c r="B192"/>
      <c r="C192"/>
      <c r="D192"/>
      <c r="E192"/>
      <c r="F192"/>
      <c r="G192"/>
      <c r="H192"/>
    </row>
    <row r="193" spans="1:8" ht="14.5">
      <c r="A193"/>
      <c r="B193"/>
      <c r="C193"/>
      <c r="D193"/>
      <c r="E193"/>
      <c r="F193"/>
      <c r="G193"/>
      <c r="H193"/>
    </row>
    <row r="194" spans="1:8" ht="14.5">
      <c r="A194"/>
      <c r="B194"/>
      <c r="C194"/>
      <c r="D194"/>
      <c r="E194"/>
      <c r="F194"/>
      <c r="G194"/>
      <c r="H194"/>
    </row>
    <row r="195" spans="1:8" ht="14.5">
      <c r="A195"/>
      <c r="B195"/>
      <c r="C195"/>
      <c r="D195"/>
      <c r="E195"/>
      <c r="F195"/>
      <c r="G195"/>
      <c r="H195"/>
    </row>
    <row r="196" spans="1:8" ht="14.5">
      <c r="A196"/>
      <c r="B196"/>
      <c r="C196"/>
      <c r="D196"/>
      <c r="E196"/>
      <c r="F196"/>
      <c r="G196"/>
      <c r="H196"/>
    </row>
    <row r="197" spans="1:8" ht="14.5">
      <c r="A197"/>
      <c r="B197"/>
      <c r="C197"/>
      <c r="D197"/>
      <c r="E197"/>
      <c r="F197"/>
      <c r="G197"/>
      <c r="H197"/>
    </row>
    <row r="198" spans="1:8" ht="14.5">
      <c r="A198"/>
      <c r="B198"/>
      <c r="C198"/>
      <c r="D198"/>
      <c r="E198"/>
      <c r="F198"/>
      <c r="G198"/>
      <c r="H198"/>
    </row>
    <row r="199" spans="1:8" ht="14.5">
      <c r="A199"/>
      <c r="B199"/>
      <c r="C199"/>
      <c r="D199"/>
      <c r="E199"/>
      <c r="F199"/>
      <c r="G199"/>
      <c r="H199"/>
    </row>
    <row r="200" spans="1:8" ht="14.5">
      <c r="A200"/>
      <c r="B200"/>
      <c r="C200"/>
      <c r="D200"/>
      <c r="E200"/>
      <c r="F200"/>
      <c r="G200"/>
      <c r="H200"/>
    </row>
    <row r="201" spans="1:8" ht="14.5">
      <c r="A201"/>
      <c r="B201"/>
      <c r="C201"/>
      <c r="D201"/>
      <c r="E201"/>
      <c r="F201"/>
      <c r="G201"/>
      <c r="H201"/>
    </row>
    <row r="202" spans="1:8" ht="14.5">
      <c r="A202"/>
      <c r="B202"/>
      <c r="C202"/>
      <c r="D202"/>
      <c r="E202"/>
      <c r="F202"/>
      <c r="G202"/>
      <c r="H202"/>
    </row>
    <row r="203" spans="1:8" ht="14.5">
      <c r="A203"/>
      <c r="B203"/>
      <c r="C203"/>
      <c r="D203"/>
      <c r="E203"/>
      <c r="F203"/>
      <c r="G203"/>
      <c r="H203"/>
    </row>
    <row r="204" spans="1:8" ht="14.5">
      <c r="A204"/>
      <c r="B204"/>
      <c r="C204"/>
      <c r="D204"/>
      <c r="E204"/>
      <c r="F204"/>
      <c r="G204"/>
      <c r="H204"/>
    </row>
    <row r="205" spans="1:8" ht="14.5">
      <c r="A205"/>
      <c r="B205"/>
      <c r="C205"/>
      <c r="D205"/>
      <c r="E205"/>
      <c r="F205"/>
      <c r="G205"/>
      <c r="H205"/>
    </row>
    <row r="206" spans="1:8" ht="14.5">
      <c r="A206"/>
      <c r="B206"/>
      <c r="C206"/>
      <c r="D206"/>
      <c r="E206"/>
      <c r="F206"/>
      <c r="G206"/>
      <c r="H206"/>
    </row>
    <row r="207" spans="1:8" ht="14.5">
      <c r="A207"/>
      <c r="B207"/>
      <c r="C207"/>
      <c r="D207"/>
      <c r="E207"/>
      <c r="F207"/>
      <c r="G207"/>
      <c r="H207"/>
    </row>
    <row r="208" spans="1:8" ht="14.5">
      <c r="A208"/>
      <c r="B208"/>
      <c r="C208"/>
      <c r="D208"/>
      <c r="E208"/>
      <c r="F208"/>
      <c r="G208"/>
      <c r="H208"/>
    </row>
    <row r="209" spans="1:8" ht="14.5">
      <c r="A209"/>
      <c r="B209"/>
      <c r="C209"/>
      <c r="D209"/>
      <c r="E209"/>
      <c r="F209"/>
      <c r="G209"/>
      <c r="H209"/>
    </row>
    <row r="210" spans="1:8" ht="14.5">
      <c r="A210"/>
      <c r="B210"/>
      <c r="C210"/>
      <c r="D210"/>
      <c r="E210"/>
      <c r="F210"/>
      <c r="G210"/>
      <c r="H210"/>
    </row>
    <row r="211" spans="1:8" ht="14.5">
      <c r="A211"/>
      <c r="B211"/>
      <c r="C211"/>
      <c r="D211"/>
      <c r="E211"/>
      <c r="F211"/>
      <c r="G211"/>
      <c r="H211"/>
    </row>
    <row r="212" spans="1:8" ht="14.5">
      <c r="A212"/>
      <c r="B212"/>
      <c r="C212"/>
      <c r="D212"/>
      <c r="E212"/>
      <c r="F212"/>
      <c r="G212"/>
      <c r="H212"/>
    </row>
    <row r="213" spans="1:8" ht="14.5">
      <c r="A213"/>
      <c r="B213"/>
      <c r="C213"/>
      <c r="D213"/>
      <c r="E213"/>
      <c r="F213"/>
      <c r="G213"/>
      <c r="H213"/>
    </row>
    <row r="214" spans="1:8" ht="14.5">
      <c r="A214"/>
      <c r="B214"/>
      <c r="C214"/>
      <c r="D214"/>
      <c r="E214"/>
      <c r="F214"/>
      <c r="G214"/>
      <c r="H214"/>
    </row>
    <row r="215" spans="1:8" ht="14.5">
      <c r="A215"/>
      <c r="B215"/>
      <c r="C215"/>
      <c r="D215"/>
      <c r="E215"/>
      <c r="F215"/>
      <c r="G215"/>
      <c r="H215"/>
    </row>
    <row r="216" spans="1:8" ht="14.5">
      <c r="A216"/>
      <c r="B216"/>
      <c r="C216"/>
      <c r="D216"/>
      <c r="E216"/>
      <c r="F216"/>
      <c r="G216"/>
      <c r="H216"/>
    </row>
    <row r="217" spans="1:8" ht="14.5">
      <c r="A217"/>
      <c r="B217"/>
      <c r="C217"/>
      <c r="D217"/>
      <c r="E217"/>
      <c r="F217"/>
      <c r="G217"/>
      <c r="H217"/>
    </row>
    <row r="218" spans="1:8" ht="14.5">
      <c r="A218"/>
      <c r="B218"/>
      <c r="C218"/>
      <c r="D218"/>
      <c r="E218"/>
      <c r="F218"/>
      <c r="G218"/>
      <c r="H218"/>
    </row>
    <row r="219" spans="1:8" ht="14.5">
      <c r="A219"/>
      <c r="B219"/>
      <c r="C219"/>
      <c r="D219"/>
      <c r="E219"/>
      <c r="F219"/>
      <c r="G219"/>
      <c r="H219"/>
    </row>
    <row r="220" spans="1:8" ht="14.5">
      <c r="A220"/>
      <c r="B220"/>
      <c r="C220"/>
      <c r="D220"/>
      <c r="E220"/>
      <c r="F220"/>
      <c r="G220"/>
      <c r="H220"/>
    </row>
    <row r="221" spans="1:8" ht="14.5">
      <c r="A221"/>
      <c r="B221"/>
      <c r="C221"/>
      <c r="D221"/>
      <c r="E221"/>
      <c r="F221"/>
      <c r="G221"/>
      <c r="H221"/>
    </row>
    <row r="222" spans="1:8" ht="14.5">
      <c r="A222"/>
      <c r="B222"/>
      <c r="C222"/>
      <c r="D222"/>
      <c r="E222"/>
      <c r="F222"/>
      <c r="G222"/>
      <c r="H222"/>
    </row>
    <row r="223" spans="1:8" ht="14.5">
      <c r="A223"/>
      <c r="B223"/>
      <c r="C223"/>
      <c r="D223"/>
      <c r="E223"/>
      <c r="F223"/>
      <c r="G223"/>
      <c r="H223"/>
    </row>
    <row r="224" spans="1:8" ht="14.5">
      <c r="A224"/>
      <c r="B224"/>
      <c r="C224"/>
      <c r="D224"/>
      <c r="E224"/>
      <c r="F224"/>
      <c r="G224"/>
      <c r="H224"/>
    </row>
    <row r="225" spans="1:8" ht="14.5">
      <c r="A225"/>
      <c r="B225"/>
      <c r="C225"/>
      <c r="D225"/>
      <c r="E225"/>
      <c r="F225"/>
      <c r="G225"/>
      <c r="H225"/>
    </row>
    <row r="226" spans="1:8" ht="14.5">
      <c r="A226"/>
      <c r="B226"/>
      <c r="C226"/>
      <c r="D226"/>
      <c r="E226"/>
      <c r="F226"/>
      <c r="G226"/>
      <c r="H226"/>
    </row>
    <row r="227" spans="1:8" ht="14.5">
      <c r="A227"/>
      <c r="B227"/>
      <c r="C227"/>
      <c r="D227"/>
      <c r="E227"/>
      <c r="F227"/>
      <c r="G227"/>
      <c r="H227"/>
    </row>
    <row r="228" spans="1:8" ht="14.5">
      <c r="A228"/>
      <c r="B228"/>
      <c r="C228"/>
      <c r="D228"/>
      <c r="E228"/>
      <c r="F228"/>
      <c r="G228"/>
      <c r="H228"/>
    </row>
    <row r="229" spans="1:8" ht="14.5">
      <c r="A229"/>
      <c r="B229"/>
      <c r="C229"/>
      <c r="D229"/>
      <c r="E229"/>
      <c r="F229"/>
      <c r="G229"/>
      <c r="H229"/>
    </row>
    <row r="230" spans="1:8" ht="14.5">
      <c r="A230"/>
      <c r="B230"/>
      <c r="C230"/>
      <c r="D230"/>
      <c r="E230"/>
      <c r="F230"/>
      <c r="G230"/>
      <c r="H230"/>
    </row>
    <row r="231" spans="1:8" ht="14.5">
      <c r="A231"/>
      <c r="B231"/>
      <c r="C231"/>
      <c r="D231"/>
      <c r="E231"/>
      <c r="F231"/>
      <c r="G231"/>
      <c r="H231"/>
    </row>
    <row r="232" spans="1:8" ht="14.5">
      <c r="A232"/>
      <c r="B232"/>
      <c r="C232"/>
      <c r="D232"/>
      <c r="E232"/>
      <c r="F232"/>
      <c r="G232"/>
      <c r="H232"/>
    </row>
    <row r="233" spans="1:8" ht="14.5">
      <c r="A233"/>
      <c r="B233"/>
      <c r="C233"/>
      <c r="D233"/>
      <c r="E233"/>
      <c r="F233"/>
      <c r="G233"/>
      <c r="H233"/>
    </row>
    <row r="234" spans="1:8" ht="14.5">
      <c r="A234"/>
      <c r="B234"/>
      <c r="C234"/>
      <c r="D234"/>
      <c r="E234"/>
      <c r="F234"/>
      <c r="G234"/>
      <c r="H234"/>
    </row>
    <row r="235" spans="1:8" ht="14.5">
      <c r="A235"/>
      <c r="B235"/>
      <c r="C235"/>
      <c r="D235"/>
      <c r="E235"/>
      <c r="F235"/>
      <c r="G235"/>
      <c r="H235"/>
    </row>
    <row r="236" spans="1:8" ht="14.5">
      <c r="A236"/>
      <c r="B236"/>
      <c r="C236"/>
      <c r="D236"/>
      <c r="E236"/>
      <c r="F236"/>
      <c r="G236"/>
      <c r="H236"/>
    </row>
    <row r="237" spans="1:8" ht="14.5">
      <c r="A237"/>
      <c r="B237"/>
      <c r="C237"/>
      <c r="D237"/>
      <c r="E237"/>
      <c r="F237"/>
      <c r="G237"/>
      <c r="H237"/>
    </row>
    <row r="238" spans="1:8" ht="14.5">
      <c r="A238"/>
      <c r="B238"/>
      <c r="C238"/>
      <c r="D238"/>
      <c r="E238"/>
      <c r="F238"/>
      <c r="G238"/>
      <c r="H238"/>
    </row>
    <row r="239" spans="1:8" ht="14.5">
      <c r="A239"/>
      <c r="B239"/>
      <c r="C239"/>
      <c r="D239"/>
      <c r="E239"/>
      <c r="F239"/>
      <c r="G239"/>
      <c r="H239"/>
    </row>
    <row r="240" spans="1:8" ht="14.5">
      <c r="A240"/>
      <c r="B240"/>
      <c r="C240"/>
      <c r="D240"/>
      <c r="E240"/>
      <c r="F240"/>
      <c r="G240"/>
      <c r="H240"/>
    </row>
    <row r="241" spans="1:8" ht="14.5">
      <c r="A241"/>
      <c r="B241"/>
      <c r="C241"/>
      <c r="D241"/>
      <c r="E241"/>
      <c r="F241"/>
      <c r="G241"/>
      <c r="H241"/>
    </row>
    <row r="242" spans="1:8" ht="14.5">
      <c r="A242"/>
      <c r="B242"/>
      <c r="C242"/>
      <c r="D242"/>
      <c r="E242"/>
      <c r="F242"/>
      <c r="G242"/>
      <c r="H242"/>
    </row>
    <row r="243" spans="1:8" ht="14.5">
      <c r="A243"/>
      <c r="B243"/>
      <c r="C243"/>
      <c r="D243"/>
      <c r="E243"/>
      <c r="F243"/>
      <c r="G243"/>
      <c r="H243"/>
    </row>
    <row r="244" spans="1:8" ht="14.5">
      <c r="A244"/>
      <c r="B244"/>
      <c r="C244"/>
      <c r="D244"/>
      <c r="E244"/>
      <c r="F244"/>
      <c r="G244"/>
      <c r="H244"/>
    </row>
    <row r="245" spans="1:8" ht="14.5">
      <c r="A245"/>
      <c r="B245"/>
      <c r="C245"/>
      <c r="D245"/>
      <c r="E245"/>
      <c r="F245"/>
      <c r="G245"/>
      <c r="H245"/>
    </row>
    <row r="246" spans="1:8" ht="14.5">
      <c r="A246"/>
      <c r="B246"/>
      <c r="C246"/>
      <c r="D246"/>
      <c r="E246"/>
      <c r="F246"/>
      <c r="G246"/>
      <c r="H246"/>
    </row>
    <row r="247" spans="1:8" ht="14.5">
      <c r="A247"/>
      <c r="B247"/>
      <c r="C247"/>
      <c r="D247"/>
      <c r="E247"/>
      <c r="F247"/>
      <c r="G247"/>
      <c r="H247"/>
    </row>
    <row r="248" spans="1:8" ht="14.5">
      <c r="A248"/>
      <c r="B248"/>
      <c r="C248"/>
      <c r="D248"/>
      <c r="E248"/>
      <c r="F248"/>
      <c r="G248"/>
      <c r="H248"/>
    </row>
    <row r="249" spans="1:8" ht="14.5">
      <c r="A249"/>
      <c r="B249"/>
      <c r="C249"/>
      <c r="D249"/>
      <c r="E249"/>
      <c r="F249"/>
      <c r="G249"/>
      <c r="H249"/>
    </row>
    <row r="250" spans="1:8" ht="14.5">
      <c r="A250"/>
      <c r="B250"/>
      <c r="C250"/>
      <c r="D250"/>
      <c r="E250"/>
      <c r="F250"/>
      <c r="G250"/>
      <c r="H250"/>
    </row>
    <row r="251" spans="1:8" ht="14.5">
      <c r="A251"/>
      <c r="B251"/>
      <c r="C251"/>
      <c r="D251"/>
      <c r="E251"/>
      <c r="F251"/>
      <c r="G251"/>
      <c r="H251"/>
    </row>
    <row r="252" spans="1:8" ht="14.5">
      <c r="A252"/>
      <c r="B252"/>
      <c r="C252"/>
      <c r="D252"/>
      <c r="E252"/>
      <c r="F252"/>
      <c r="G252"/>
      <c r="H252"/>
    </row>
    <row r="253" spans="1:8" ht="14.5">
      <c r="A253"/>
      <c r="B253"/>
      <c r="C253"/>
      <c r="D253"/>
      <c r="E253"/>
      <c r="F253"/>
      <c r="G253"/>
      <c r="H253"/>
    </row>
    <row r="254" spans="1:8" ht="14.5">
      <c r="A254"/>
      <c r="B254"/>
      <c r="C254"/>
      <c r="D254"/>
      <c r="E254"/>
      <c r="F254"/>
      <c r="G254"/>
      <c r="H254"/>
    </row>
    <row r="255" spans="1:8" ht="14.5">
      <c r="A255"/>
      <c r="B255"/>
      <c r="C255"/>
      <c r="D255"/>
      <c r="E255"/>
      <c r="F255"/>
      <c r="G255"/>
      <c r="H255"/>
    </row>
    <row r="256" spans="1:8" ht="14.5">
      <c r="A256"/>
      <c r="B256"/>
      <c r="C256"/>
      <c r="D256"/>
      <c r="E256"/>
      <c r="F256"/>
      <c r="G256"/>
      <c r="H256"/>
    </row>
    <row r="257" spans="1:8" ht="14.5">
      <c r="A257"/>
      <c r="B257"/>
      <c r="C257"/>
      <c r="D257"/>
      <c r="E257"/>
      <c r="F257"/>
      <c r="G257"/>
      <c r="H257"/>
    </row>
    <row r="258" spans="1:8" ht="14.5">
      <c r="A258"/>
      <c r="B258"/>
      <c r="C258"/>
      <c r="D258"/>
      <c r="E258"/>
      <c r="F258"/>
      <c r="G258"/>
      <c r="H258"/>
    </row>
    <row r="259" spans="1:8" ht="14.5">
      <c r="A259"/>
      <c r="B259"/>
      <c r="C259"/>
      <c r="D259"/>
      <c r="E259"/>
      <c r="F259"/>
      <c r="G259"/>
      <c r="H259"/>
    </row>
    <row r="260" spans="1:8" ht="14.5">
      <c r="A260"/>
      <c r="B260"/>
      <c r="C260"/>
      <c r="D260"/>
      <c r="E260"/>
      <c r="F260"/>
      <c r="G260"/>
      <c r="H260"/>
    </row>
    <row r="261" spans="1:8" ht="14.5">
      <c r="A261"/>
      <c r="B261"/>
      <c r="C261"/>
      <c r="D261"/>
      <c r="E261"/>
      <c r="F261"/>
      <c r="G261"/>
      <c r="H261"/>
    </row>
    <row r="262" spans="1:8" ht="14.5">
      <c r="A262"/>
      <c r="B262"/>
      <c r="C262"/>
      <c r="D262"/>
      <c r="E262"/>
      <c r="F262"/>
      <c r="G262"/>
      <c r="H262"/>
    </row>
    <row r="263" spans="1:8" ht="14.5">
      <c r="A263"/>
      <c r="B263"/>
      <c r="C263"/>
      <c r="D263"/>
      <c r="E263"/>
      <c r="F263"/>
      <c r="G263"/>
      <c r="H263"/>
    </row>
    <row r="264" spans="1:8" ht="14.5">
      <c r="A264"/>
      <c r="B264"/>
      <c r="C264"/>
      <c r="D264"/>
      <c r="E264"/>
      <c r="F264"/>
      <c r="G264"/>
      <c r="H264"/>
    </row>
    <row r="265" spans="1:8" ht="14.5">
      <c r="A265"/>
      <c r="B265"/>
      <c r="C265"/>
      <c r="D265"/>
      <c r="E265"/>
      <c r="F265"/>
      <c r="G265"/>
      <c r="H265"/>
    </row>
    <row r="266" spans="1:8" ht="14.5">
      <c r="A266"/>
      <c r="B266"/>
      <c r="C266"/>
      <c r="D266"/>
      <c r="E266"/>
      <c r="F266"/>
      <c r="G266"/>
      <c r="H266"/>
    </row>
    <row r="267" spans="1:8" ht="14.5">
      <c r="A267"/>
      <c r="B267"/>
      <c r="C267"/>
      <c r="D267"/>
      <c r="E267"/>
      <c r="F267"/>
      <c r="G267"/>
      <c r="H267"/>
    </row>
    <row r="268" spans="1:8" ht="14.5">
      <c r="A268"/>
      <c r="B268"/>
      <c r="C268"/>
      <c r="D268"/>
      <c r="E268"/>
      <c r="F268"/>
      <c r="G268"/>
      <c r="H268"/>
    </row>
    <row r="269" spans="1:8" ht="14.5">
      <c r="A269"/>
      <c r="B269"/>
      <c r="C269"/>
      <c r="D269"/>
      <c r="E269"/>
      <c r="F269"/>
      <c r="G269"/>
      <c r="H269"/>
    </row>
    <row r="270" spans="1:8" ht="14.5">
      <c r="A270"/>
      <c r="B270"/>
      <c r="C270"/>
      <c r="D270"/>
      <c r="E270"/>
      <c r="F270"/>
      <c r="G270"/>
      <c r="H270"/>
    </row>
    <row r="271" spans="1:8" ht="14.5">
      <c r="A271"/>
      <c r="B271"/>
      <c r="C271"/>
      <c r="D271"/>
      <c r="E271"/>
      <c r="F271"/>
      <c r="G271"/>
      <c r="H271"/>
    </row>
    <row r="272" spans="1:8" ht="14.5">
      <c r="A272"/>
      <c r="B272"/>
      <c r="C272"/>
      <c r="D272"/>
      <c r="E272"/>
      <c r="F272"/>
      <c r="G272"/>
      <c r="H272"/>
    </row>
    <row r="273" spans="1:8" ht="14.5">
      <c r="A273"/>
      <c r="B273"/>
      <c r="C273"/>
      <c r="D273"/>
      <c r="E273"/>
      <c r="F273"/>
      <c r="G273"/>
      <c r="H273"/>
    </row>
    <row r="274" spans="1:8" ht="14.5">
      <c r="A274"/>
      <c r="B274"/>
      <c r="C274"/>
      <c r="D274"/>
      <c r="E274"/>
      <c r="F274"/>
      <c r="G274"/>
      <c r="H274"/>
    </row>
    <row r="275" spans="1:8" ht="14.5">
      <c r="A275"/>
      <c r="B275"/>
      <c r="C275"/>
      <c r="D275"/>
      <c r="E275"/>
      <c r="F275"/>
      <c r="G275"/>
      <c r="H275"/>
    </row>
    <row r="276" spans="1:8" ht="14.5">
      <c r="A276"/>
      <c r="B276"/>
      <c r="C276"/>
      <c r="D276"/>
      <c r="E276"/>
      <c r="F276"/>
      <c r="G276"/>
      <c r="H276"/>
    </row>
    <row r="277" spans="1:8" ht="14.5">
      <c r="A277"/>
      <c r="B277"/>
      <c r="C277"/>
      <c r="D277"/>
      <c r="E277"/>
      <c r="F277"/>
      <c r="G277"/>
      <c r="H277"/>
    </row>
    <row r="278" spans="1:8" ht="14.5">
      <c r="A278"/>
      <c r="B278"/>
      <c r="C278"/>
      <c r="D278"/>
      <c r="E278"/>
      <c r="F278"/>
      <c r="G278"/>
      <c r="H278"/>
    </row>
    <row r="279" spans="1:8" ht="14.5">
      <c r="A279"/>
      <c r="B279"/>
      <c r="C279"/>
      <c r="D279"/>
      <c r="E279"/>
      <c r="F279"/>
      <c r="G279"/>
      <c r="H279"/>
    </row>
    <row r="280" spans="1:8" ht="14.5">
      <c r="A280"/>
      <c r="B280"/>
      <c r="C280"/>
      <c r="D280"/>
      <c r="E280"/>
      <c r="F280"/>
      <c r="G280"/>
      <c r="H280"/>
    </row>
    <row r="281" spans="1:8" ht="14.5">
      <c r="A281"/>
      <c r="B281"/>
      <c r="C281"/>
      <c r="D281"/>
      <c r="E281"/>
      <c r="F281"/>
      <c r="G281"/>
      <c r="H281"/>
    </row>
    <row r="282" spans="1:8" ht="14.5">
      <c r="A282"/>
      <c r="B282"/>
      <c r="C282"/>
      <c r="D282"/>
      <c r="E282"/>
      <c r="F282"/>
      <c r="G282"/>
      <c r="H282"/>
    </row>
    <row r="283" spans="1:8" ht="14.5">
      <c r="A283"/>
      <c r="B283"/>
      <c r="C283"/>
      <c r="D283"/>
      <c r="E283"/>
      <c r="F283"/>
      <c r="G283"/>
      <c r="H283"/>
    </row>
    <row r="284" spans="1:8" ht="14.5">
      <c r="A284"/>
      <c r="B284"/>
      <c r="C284"/>
      <c r="D284"/>
      <c r="E284"/>
      <c r="F284"/>
      <c r="G284"/>
      <c r="H284"/>
    </row>
    <row r="285" spans="1:8" ht="14.5">
      <c r="A285"/>
      <c r="B285"/>
      <c r="C285"/>
      <c r="D285"/>
      <c r="E285"/>
      <c r="F285"/>
      <c r="G285"/>
      <c r="H285"/>
    </row>
    <row r="286" spans="1:8" ht="14.5">
      <c r="A286"/>
      <c r="B286"/>
      <c r="C286"/>
      <c r="D286"/>
      <c r="E286"/>
      <c r="F286"/>
      <c r="G286"/>
      <c r="H286"/>
    </row>
    <row r="287" spans="1:8" ht="14.5">
      <c r="A287"/>
      <c r="B287"/>
      <c r="C287"/>
      <c r="D287"/>
      <c r="E287"/>
      <c r="F287"/>
      <c r="G287"/>
      <c r="H287"/>
    </row>
    <row r="288" spans="1:8" ht="14.5">
      <c r="A288"/>
      <c r="B288"/>
      <c r="C288"/>
      <c r="D288"/>
      <c r="E288"/>
      <c r="F288"/>
      <c r="G288"/>
      <c r="H288"/>
    </row>
    <row r="289" spans="1:8" ht="14.5">
      <c r="A289"/>
      <c r="B289"/>
      <c r="C289"/>
      <c r="D289"/>
      <c r="E289"/>
      <c r="F289"/>
      <c r="G289"/>
      <c r="H289"/>
    </row>
    <row r="290" spans="1:8" ht="14.5">
      <c r="A290"/>
      <c r="B290"/>
      <c r="C290"/>
      <c r="D290"/>
      <c r="E290"/>
      <c r="F290"/>
      <c r="G290"/>
      <c r="H290"/>
    </row>
    <row r="291" spans="1:8" ht="14.5">
      <c r="A291"/>
      <c r="B291"/>
      <c r="C291"/>
      <c r="D291"/>
      <c r="E291"/>
      <c r="F291"/>
      <c r="G291"/>
      <c r="H291"/>
    </row>
    <row r="292" spans="1:8" ht="14.5">
      <c r="A292"/>
      <c r="B292"/>
      <c r="C292"/>
      <c r="D292"/>
      <c r="E292"/>
      <c r="F292"/>
      <c r="G292"/>
      <c r="H292"/>
    </row>
    <row r="293" spans="1:8" ht="14.5">
      <c r="A293"/>
      <c r="B293"/>
      <c r="C293"/>
      <c r="D293"/>
      <c r="E293"/>
      <c r="F293"/>
      <c r="G293"/>
      <c r="H293"/>
    </row>
    <row r="294" spans="1:8" ht="14.5">
      <c r="A294"/>
      <c r="B294"/>
      <c r="C294"/>
      <c r="D294"/>
      <c r="E294"/>
      <c r="F294"/>
      <c r="G294"/>
      <c r="H294"/>
    </row>
    <row r="295" spans="1:8" ht="14.5">
      <c r="A295"/>
      <c r="B295"/>
      <c r="C295"/>
      <c r="D295"/>
      <c r="E295"/>
      <c r="F295"/>
      <c r="G295"/>
      <c r="H295"/>
    </row>
    <row r="296" spans="1:8" ht="14.5">
      <c r="A296"/>
      <c r="B296"/>
      <c r="C296"/>
      <c r="D296"/>
      <c r="E296"/>
      <c r="F296"/>
      <c r="G296"/>
      <c r="H296"/>
    </row>
    <row r="297" spans="1:8" ht="14.5">
      <c r="A297"/>
      <c r="B297"/>
      <c r="C297"/>
      <c r="D297"/>
      <c r="E297"/>
      <c r="F297"/>
      <c r="G297"/>
      <c r="H297"/>
    </row>
    <row r="298" spans="1:8" ht="14.5">
      <c r="A298"/>
      <c r="B298"/>
      <c r="C298"/>
      <c r="D298"/>
      <c r="E298"/>
      <c r="F298"/>
      <c r="G298"/>
      <c r="H298"/>
    </row>
    <row r="299" spans="1:8" ht="14.5">
      <c r="A299"/>
      <c r="B299"/>
      <c r="C299"/>
      <c r="D299"/>
      <c r="E299"/>
      <c r="F299"/>
      <c r="G299"/>
      <c r="H299"/>
    </row>
    <row r="300" spans="1:8" ht="14.5">
      <c r="A300"/>
      <c r="B300"/>
      <c r="C300"/>
      <c r="D300"/>
      <c r="E300"/>
      <c r="F300"/>
      <c r="G300"/>
      <c r="H300"/>
    </row>
    <row r="301" spans="1:8" ht="14.5">
      <c r="A301"/>
      <c r="B301"/>
      <c r="C301"/>
      <c r="D301"/>
      <c r="E301"/>
      <c r="F301"/>
      <c r="G301"/>
      <c r="H301"/>
    </row>
    <row r="302" spans="1:8" ht="14.5">
      <c r="A302"/>
      <c r="B302"/>
      <c r="C302"/>
      <c r="D302"/>
      <c r="E302"/>
      <c r="F302"/>
      <c r="G302"/>
      <c r="H302"/>
    </row>
    <row r="303" spans="1:8" ht="14.5">
      <c r="A303"/>
      <c r="B303"/>
      <c r="C303"/>
      <c r="D303"/>
      <c r="E303"/>
      <c r="F303"/>
      <c r="G303"/>
      <c r="H303"/>
    </row>
    <row r="304" spans="1:8" ht="14.5">
      <c r="A304"/>
      <c r="B304"/>
      <c r="C304"/>
      <c r="D304"/>
      <c r="E304"/>
      <c r="F304"/>
      <c r="G304"/>
      <c r="H304"/>
    </row>
    <row r="305" spans="1:8" ht="14.5">
      <c r="A305"/>
      <c r="B305"/>
      <c r="C305"/>
      <c r="D305"/>
      <c r="E305"/>
      <c r="F305"/>
      <c r="G305"/>
      <c r="H305"/>
    </row>
    <row r="306" spans="1:8" ht="14.5">
      <c r="A306"/>
      <c r="B306"/>
      <c r="C306"/>
      <c r="D306"/>
      <c r="E306"/>
      <c r="F306"/>
      <c r="G306"/>
      <c r="H306"/>
    </row>
    <row r="307" spans="1:8" ht="14.5">
      <c r="A307"/>
      <c r="B307"/>
      <c r="C307"/>
      <c r="D307"/>
      <c r="E307"/>
      <c r="F307"/>
      <c r="G307"/>
      <c r="H307"/>
    </row>
    <row r="308" spans="1:8" ht="14.5">
      <c r="A308"/>
      <c r="B308"/>
    </row>
    <row r="309" spans="1:8" ht="14.5">
      <c r="A309"/>
      <c r="B309"/>
    </row>
    <row r="310" spans="1:8" ht="14.5">
      <c r="A310"/>
      <c r="B310"/>
    </row>
    <row r="311" spans="1:8" ht="14.5">
      <c r="A311"/>
      <c r="B311"/>
    </row>
    <row r="312" spans="1:8" ht="14.5">
      <c r="A312"/>
      <c r="B312"/>
    </row>
    <row r="313" spans="1:8" ht="14.5">
      <c r="A313"/>
    </row>
    <row r="314" spans="1:8" ht="14.5">
      <c r="A314"/>
    </row>
    <row r="315" spans="1:8" ht="14.5">
      <c r="A315"/>
    </row>
    <row r="316" spans="1:8" ht="14.5">
      <c r="A316"/>
    </row>
    <row r="317" spans="1:8" ht="14.5">
      <c r="A317"/>
    </row>
    <row r="318" spans="1:8" ht="14.5">
      <c r="A318"/>
    </row>
    <row r="319" spans="1:8" ht="14.5">
      <c r="A319"/>
    </row>
    <row r="320" spans="1:8" ht="14.5">
      <c r="A320"/>
    </row>
    <row r="321" spans="1:1" ht="14.5">
      <c r="A321"/>
    </row>
    <row r="322" spans="1:1" ht="14.5">
      <c r="A322"/>
    </row>
    <row r="323" spans="1:1" ht="14.5">
      <c r="A323"/>
    </row>
    <row r="324" spans="1:1" ht="14.5">
      <c r="A324"/>
    </row>
    <row r="325" spans="1:1" ht="14.5">
      <c r="A325"/>
    </row>
    <row r="326" spans="1:1" ht="14.5">
      <c r="A326"/>
    </row>
    <row r="327" spans="1:1" ht="14.5">
      <c r="A327"/>
    </row>
    <row r="328" spans="1:1" ht="14.5">
      <c r="A328"/>
    </row>
    <row r="329" spans="1:1" ht="14.5">
      <c r="A329"/>
    </row>
    <row r="330" spans="1:1" ht="14.5">
      <c r="A330"/>
    </row>
    <row r="331" spans="1:1" ht="14.5">
      <c r="A331"/>
    </row>
    <row r="332" spans="1:1" ht="14.5">
      <c r="A332"/>
    </row>
    <row r="333" spans="1:1" ht="14.5">
      <c r="A333"/>
    </row>
    <row r="334" spans="1:1" ht="14.5">
      <c r="A334"/>
    </row>
    <row r="335" spans="1:1" ht="14.5">
      <c r="A335"/>
    </row>
    <row r="336" spans="1:1" ht="14.5">
      <c r="A336"/>
    </row>
    <row r="337" spans="1:1" ht="14.5">
      <c r="A337"/>
    </row>
    <row r="338" spans="1:1" ht="14.5">
      <c r="A338"/>
    </row>
    <row r="339" spans="1:1" ht="14.5">
      <c r="A339"/>
    </row>
    <row r="340" spans="1:1" ht="14.5">
      <c r="A340"/>
    </row>
    <row r="341" spans="1:1" ht="14.5">
      <c r="A341"/>
    </row>
    <row r="342" spans="1:1" ht="14.5">
      <c r="A342"/>
    </row>
    <row r="343" spans="1:1" ht="14.5">
      <c r="A343"/>
    </row>
    <row r="344" spans="1:1" ht="14.5">
      <c r="A344"/>
    </row>
    <row r="345" spans="1:1" ht="14.5">
      <c r="A345"/>
    </row>
    <row r="346" spans="1:1" ht="14.5">
      <c r="A346"/>
    </row>
    <row r="347" spans="1:1" ht="14.5">
      <c r="A347"/>
    </row>
    <row r="348" spans="1:1" ht="14.5">
      <c r="A348"/>
    </row>
    <row r="349" spans="1:1" ht="14.5">
      <c r="A349"/>
    </row>
    <row r="350" spans="1:1" ht="14.5">
      <c r="A350"/>
    </row>
    <row r="351" spans="1:1" ht="14.5">
      <c r="A351"/>
    </row>
    <row r="352" spans="1:1" ht="14.5">
      <c r="A352"/>
    </row>
    <row r="353" spans="1:1" ht="14.5">
      <c r="A353"/>
    </row>
    <row r="354" spans="1:1" ht="14.5">
      <c r="A354"/>
    </row>
    <row r="355" spans="1:1" ht="14.5">
      <c r="A355"/>
    </row>
    <row r="356" spans="1:1" ht="14.5">
      <c r="A356"/>
    </row>
    <row r="357" spans="1:1" ht="14.5">
      <c r="A357"/>
    </row>
    <row r="358" spans="1:1" ht="14.5">
      <c r="A358"/>
    </row>
    <row r="359" spans="1:1" ht="14.5">
      <c r="A359"/>
    </row>
    <row r="360" spans="1:1" ht="14.5">
      <c r="A360"/>
    </row>
    <row r="361" spans="1:1" ht="14.5">
      <c r="A361"/>
    </row>
    <row r="362" spans="1:1" ht="14.5">
      <c r="A362"/>
    </row>
    <row r="363" spans="1:1" ht="14.5">
      <c r="A363"/>
    </row>
    <row r="364" spans="1:1" ht="14.5">
      <c r="A364"/>
    </row>
    <row r="365" spans="1:1" ht="14.5">
      <c r="A365"/>
    </row>
    <row r="366" spans="1:1" ht="14.5">
      <c r="A366"/>
    </row>
    <row r="367" spans="1:1" ht="14.5">
      <c r="A367"/>
    </row>
    <row r="368" spans="1:1" ht="14.5">
      <c r="A368"/>
    </row>
    <row r="369" spans="1:1" ht="14.5">
      <c r="A369"/>
    </row>
    <row r="370" spans="1:1" ht="14.5">
      <c r="A370"/>
    </row>
    <row r="371" spans="1:1" ht="14.5">
      <c r="A371"/>
    </row>
    <row r="372" spans="1:1" ht="14.5">
      <c r="A372"/>
    </row>
    <row r="373" spans="1:1" ht="14.5">
      <c r="A373"/>
    </row>
    <row r="374" spans="1:1" ht="14.5">
      <c r="A374"/>
    </row>
    <row r="375" spans="1:1" ht="14.5">
      <c r="A375"/>
    </row>
    <row r="376" spans="1:1" ht="14.5">
      <c r="A376"/>
    </row>
    <row r="377" spans="1:1" ht="14.5">
      <c r="A377"/>
    </row>
    <row r="378" spans="1:1" ht="14.5">
      <c r="A378"/>
    </row>
    <row r="379" spans="1:1" ht="14.5">
      <c r="A379"/>
    </row>
    <row r="380" spans="1:1" ht="14.5">
      <c r="A380"/>
    </row>
    <row r="381" spans="1:1" ht="14.5">
      <c r="A381"/>
    </row>
    <row r="382" spans="1:1" ht="14.5">
      <c r="A382"/>
    </row>
    <row r="383" spans="1:1" ht="14.5">
      <c r="A383"/>
    </row>
    <row r="384" spans="1:1" ht="14.5">
      <c r="A384"/>
    </row>
    <row r="385" spans="1:1" ht="14.5">
      <c r="A385"/>
    </row>
    <row r="386" spans="1:1" ht="14.5">
      <c r="A386"/>
    </row>
    <row r="387" spans="1:1" ht="14.5">
      <c r="A387"/>
    </row>
    <row r="388" spans="1:1" ht="14.5">
      <c r="A388"/>
    </row>
    <row r="389" spans="1:1" ht="14.5">
      <c r="A389"/>
    </row>
    <row r="390" spans="1:1" ht="14.5">
      <c r="A390"/>
    </row>
    <row r="391" spans="1:1" ht="14.5">
      <c r="A391"/>
    </row>
    <row r="392" spans="1:1" ht="14.5">
      <c r="A392"/>
    </row>
    <row r="393" spans="1:1" ht="14.5">
      <c r="A393"/>
    </row>
    <row r="394" spans="1:1" ht="14.5">
      <c r="A394"/>
    </row>
    <row r="395" spans="1:1" ht="14.5">
      <c r="A395"/>
    </row>
    <row r="396" spans="1:1" ht="14.5">
      <c r="A396"/>
    </row>
    <row r="397" spans="1:1" ht="14.5">
      <c r="A397"/>
    </row>
    <row r="398" spans="1:1" ht="14.5">
      <c r="A398"/>
    </row>
    <row r="399" spans="1:1" ht="14.5">
      <c r="A399"/>
    </row>
    <row r="400" spans="1:1" ht="14.5">
      <c r="A400"/>
    </row>
    <row r="401" spans="1:1" ht="14.5">
      <c r="A401"/>
    </row>
    <row r="402" spans="1:1" ht="14.5">
      <c r="A402"/>
    </row>
    <row r="403" spans="1:1" ht="14.5">
      <c r="A403"/>
    </row>
    <row r="404" spans="1:1" ht="14.5">
      <c r="A404"/>
    </row>
    <row r="405" spans="1:1" ht="14.5">
      <c r="A405"/>
    </row>
    <row r="406" spans="1:1" ht="14.5">
      <c r="A406"/>
    </row>
    <row r="407" spans="1:1" ht="14.5">
      <c r="A407"/>
    </row>
    <row r="408" spans="1:1" ht="14.5">
      <c r="A408"/>
    </row>
    <row r="409" spans="1:1" ht="14.5">
      <c r="A409"/>
    </row>
    <row r="410" spans="1:1" ht="14.5">
      <c r="A410"/>
    </row>
    <row r="411" spans="1:1" ht="14.5">
      <c r="A411"/>
    </row>
    <row r="412" spans="1:1" ht="14.5">
      <c r="A412"/>
    </row>
    <row r="413" spans="1:1" ht="14.5">
      <c r="A413"/>
    </row>
    <row r="414" spans="1:1" ht="14.5">
      <c r="A414"/>
    </row>
    <row r="415" spans="1:1" ht="14.5">
      <c r="A415"/>
    </row>
    <row r="416" spans="1:1" ht="14.5">
      <c r="A416"/>
    </row>
    <row r="417" spans="1:1" ht="14.5">
      <c r="A417"/>
    </row>
    <row r="418" spans="1:1" ht="14.5">
      <c r="A418"/>
    </row>
    <row r="419" spans="1:1" ht="14.5">
      <c r="A419"/>
    </row>
    <row r="420" spans="1:1" ht="14.5">
      <c r="A420"/>
    </row>
    <row r="421" spans="1:1" ht="14.5">
      <c r="A421"/>
    </row>
    <row r="422" spans="1:1" ht="14.5">
      <c r="A422"/>
    </row>
    <row r="423" spans="1:1" ht="14.5">
      <c r="A423"/>
    </row>
    <row r="424" spans="1:1" ht="14.5">
      <c r="A424"/>
    </row>
    <row r="425" spans="1:1" ht="14.5">
      <c r="A425"/>
    </row>
    <row r="426" spans="1:1" ht="14.5">
      <c r="A426"/>
    </row>
    <row r="427" spans="1:1" ht="14.5">
      <c r="A427"/>
    </row>
    <row r="428" spans="1:1" ht="14.5">
      <c r="A428"/>
    </row>
    <row r="429" spans="1:1" ht="14.5">
      <c r="A429"/>
    </row>
    <row r="430" spans="1:1" ht="14.5">
      <c r="A430"/>
    </row>
    <row r="431" spans="1:1" ht="14.5">
      <c r="A431"/>
    </row>
    <row r="432" spans="1:1" ht="14.5">
      <c r="A432"/>
    </row>
    <row r="433" spans="1:1" ht="14.5">
      <c r="A433"/>
    </row>
    <row r="434" spans="1:1" ht="14.5">
      <c r="A434"/>
    </row>
    <row r="435" spans="1:1" ht="14.5">
      <c r="A435"/>
    </row>
    <row r="436" spans="1:1" ht="14.5">
      <c r="A436"/>
    </row>
    <row r="437" spans="1:1" ht="14.5">
      <c r="A437"/>
    </row>
    <row r="438" spans="1:1" ht="14.5">
      <c r="A438"/>
    </row>
    <row r="439" spans="1:1" ht="14.5">
      <c r="A439"/>
    </row>
    <row r="440" spans="1:1" ht="14.5">
      <c r="A440"/>
    </row>
    <row r="441" spans="1:1" ht="14.5">
      <c r="A441"/>
    </row>
    <row r="442" spans="1:1" ht="14.5">
      <c r="A442"/>
    </row>
    <row r="443" spans="1:1" ht="14.5">
      <c r="A443"/>
    </row>
    <row r="444" spans="1:1" ht="14.5">
      <c r="A444"/>
    </row>
    <row r="445" spans="1:1" ht="14.5">
      <c r="A445"/>
    </row>
    <row r="446" spans="1:1" ht="14.5">
      <c r="A446"/>
    </row>
    <row r="447" spans="1:1" ht="14.5">
      <c r="A447"/>
    </row>
    <row r="448" spans="1:1" ht="14.5">
      <c r="A448"/>
    </row>
    <row r="449" spans="1:1" ht="14.5">
      <c r="A449"/>
    </row>
    <row r="450" spans="1:1" ht="14.5">
      <c r="A450"/>
    </row>
    <row r="451" spans="1:1" ht="14.5">
      <c r="A451"/>
    </row>
    <row r="452" spans="1:1" ht="14.5">
      <c r="A452"/>
    </row>
    <row r="453" spans="1:1" ht="14.5">
      <c r="A453"/>
    </row>
    <row r="454" spans="1:1" ht="14.5">
      <c r="A454"/>
    </row>
    <row r="455" spans="1:1" ht="14.5">
      <c r="A455"/>
    </row>
    <row r="456" spans="1:1" ht="14.5">
      <c r="A456"/>
    </row>
    <row r="457" spans="1:1" ht="14.5">
      <c r="A457"/>
    </row>
    <row r="458" spans="1:1" ht="14.5">
      <c r="A458"/>
    </row>
    <row r="459" spans="1:1" ht="14.5">
      <c r="A459"/>
    </row>
    <row r="460" spans="1:1" ht="14.5">
      <c r="A460"/>
    </row>
    <row r="461" spans="1:1" ht="14.5">
      <c r="A461"/>
    </row>
    <row r="462" spans="1:1" ht="14.5">
      <c r="A462"/>
    </row>
    <row r="463" spans="1:1" ht="14.5">
      <c r="A463"/>
    </row>
    <row r="464" spans="1:1" ht="14.5">
      <c r="A464"/>
    </row>
    <row r="465" spans="1:1" ht="14.5">
      <c r="A465"/>
    </row>
    <row r="466" spans="1:1" ht="14.5">
      <c r="A466"/>
    </row>
    <row r="467" spans="1:1" ht="14.5">
      <c r="A467"/>
    </row>
    <row r="468" spans="1:1" ht="14.5">
      <c r="A468"/>
    </row>
    <row r="469" spans="1:1" ht="14.5">
      <c r="A469"/>
    </row>
    <row r="470" spans="1:1" ht="14.5">
      <c r="A470"/>
    </row>
    <row r="471" spans="1:1" ht="14.5">
      <c r="A471"/>
    </row>
    <row r="472" spans="1:1" ht="14.5">
      <c r="A472"/>
    </row>
    <row r="473" spans="1:1" ht="14.5">
      <c r="A473"/>
    </row>
    <row r="474" spans="1:1" ht="14.5">
      <c r="A474"/>
    </row>
    <row r="475" spans="1:1" ht="14.5">
      <c r="A475"/>
    </row>
    <row r="476" spans="1:1" ht="14.5">
      <c r="A476"/>
    </row>
    <row r="477" spans="1:1" ht="14.5">
      <c r="A477"/>
    </row>
    <row r="478" spans="1:1" ht="14.5">
      <c r="A478"/>
    </row>
    <row r="479" spans="1:1" ht="14.5">
      <c r="A479"/>
    </row>
    <row r="480" spans="1:1" ht="14.5">
      <c r="A480"/>
    </row>
    <row r="481" spans="1:1" ht="14.5">
      <c r="A481"/>
    </row>
    <row r="482" spans="1:1" ht="14.5">
      <c r="A482"/>
    </row>
    <row r="483" spans="1:1" ht="14.5">
      <c r="A483" s="8"/>
    </row>
    <row r="484" spans="1:1" ht="14.5">
      <c r="A484" s="8"/>
    </row>
    <row r="485" spans="1:1" ht="14.5">
      <c r="A485" s="8"/>
    </row>
    <row r="486" spans="1:1" ht="14.5">
      <c r="A486" s="8"/>
    </row>
    <row r="487" spans="1:1" ht="14.5">
      <c r="A487" s="8"/>
    </row>
    <row r="488" spans="1:1" ht="14.5">
      <c r="A488" s="8"/>
    </row>
    <row r="489" spans="1:1" ht="14.5">
      <c r="A489" s="8"/>
    </row>
    <row r="490" spans="1:1" ht="14.5">
      <c r="A490" s="8"/>
    </row>
    <row r="491" spans="1:1" ht="14.5">
      <c r="A491" s="8"/>
    </row>
    <row r="492" spans="1:1" ht="14.5">
      <c r="A492" s="8"/>
    </row>
    <row r="493" spans="1:1" ht="14.5">
      <c r="A493" s="8"/>
    </row>
    <row r="494" spans="1:1" ht="14.5">
      <c r="A494" s="8"/>
    </row>
    <row r="495" spans="1:1" ht="14.5">
      <c r="A495" s="8"/>
    </row>
    <row r="496" spans="1:1" ht="14.5">
      <c r="A496" s="8"/>
    </row>
    <row r="497" spans="1:1" ht="14.5">
      <c r="A497" s="8"/>
    </row>
    <row r="498" spans="1:1" ht="14.5">
      <c r="A498" s="8"/>
    </row>
    <row r="499" spans="1:1" ht="14.5">
      <c r="A499" s="8"/>
    </row>
    <row r="500" spans="1:1" ht="14.5">
      <c r="A500" s="8"/>
    </row>
    <row r="501" spans="1:1" ht="14.5">
      <c r="A501" s="8"/>
    </row>
    <row r="502" spans="1:1" ht="14.5">
      <c r="A502" s="8"/>
    </row>
    <row r="503" spans="1:1" ht="14.5">
      <c r="A503" s="8"/>
    </row>
    <row r="504" spans="1:1" ht="14.5">
      <c r="A504" s="8"/>
    </row>
    <row r="505" spans="1:1" ht="14.5">
      <c r="A505" s="8"/>
    </row>
    <row r="506" spans="1:1" ht="14.5">
      <c r="A506" s="8"/>
    </row>
    <row r="507" spans="1:1" ht="14.5">
      <c r="A507" s="8"/>
    </row>
    <row r="508" spans="1:1" ht="14.5">
      <c r="A508" s="8"/>
    </row>
    <row r="509" spans="1:1" ht="14.5">
      <c r="A509" s="8"/>
    </row>
    <row r="510" spans="1:1" ht="14.5">
      <c r="A510" s="8"/>
    </row>
    <row r="511" spans="1:1" ht="14.5">
      <c r="A511" s="8"/>
    </row>
    <row r="512" spans="1:1" ht="14.5">
      <c r="A512" s="8"/>
    </row>
    <row r="513" spans="1:1" ht="14.5">
      <c r="A513" s="8"/>
    </row>
    <row r="514" spans="1:1" ht="14.5">
      <c r="A514" s="8"/>
    </row>
    <row r="515" spans="1:1" ht="14.5">
      <c r="A515" s="8"/>
    </row>
    <row r="516" spans="1:1" ht="14.5">
      <c r="A516" s="8"/>
    </row>
    <row r="517" spans="1:1" ht="14.5">
      <c r="A517" s="8"/>
    </row>
    <row r="518" spans="1:1" ht="14.5">
      <c r="A518" s="8"/>
    </row>
    <row r="519" spans="1:1" ht="14.5">
      <c r="A519" s="8"/>
    </row>
    <row r="520" spans="1:1" ht="14.5">
      <c r="A520" s="8"/>
    </row>
    <row r="521" spans="1:1" ht="14.5">
      <c r="A521" s="8"/>
    </row>
    <row r="522" spans="1:1" ht="14.5">
      <c r="A522" s="8"/>
    </row>
    <row r="523" spans="1:1" ht="14.5">
      <c r="A523" s="8"/>
    </row>
    <row r="524" spans="1:1" ht="14.5">
      <c r="A524" s="8"/>
    </row>
    <row r="525" spans="1:1" ht="14.5">
      <c r="A525" s="8"/>
    </row>
    <row r="526" spans="1:1" ht="14.5">
      <c r="A526" s="8"/>
    </row>
    <row r="527" spans="1:1" ht="14.5">
      <c r="A527" s="8"/>
    </row>
    <row r="528" spans="1:1" ht="14.5">
      <c r="A528" s="8"/>
    </row>
    <row r="529" spans="1:1" ht="14.5">
      <c r="A529" s="8"/>
    </row>
    <row r="530" spans="1:1" ht="14.5">
      <c r="A530" s="8"/>
    </row>
    <row r="531" spans="1:1" ht="14.5">
      <c r="A531" s="8"/>
    </row>
    <row r="532" spans="1:1" ht="14.5">
      <c r="A532" s="8"/>
    </row>
    <row r="533" spans="1:1" ht="14.5">
      <c r="A533" s="8"/>
    </row>
    <row r="534" spans="1:1" ht="14.5">
      <c r="A534" s="8"/>
    </row>
    <row r="535" spans="1:1" ht="14.5">
      <c r="A535" s="8"/>
    </row>
    <row r="536" spans="1:1" ht="14.5">
      <c r="A536" s="8"/>
    </row>
    <row r="537" spans="1:1" ht="14.5">
      <c r="A537" s="8"/>
    </row>
    <row r="538" spans="1:1" ht="14.5">
      <c r="A538" s="8"/>
    </row>
    <row r="539" spans="1:1" ht="14.5">
      <c r="A539" s="8"/>
    </row>
    <row r="540" spans="1:1" ht="14.5">
      <c r="A540" s="8"/>
    </row>
    <row r="541" spans="1:1" ht="14.5">
      <c r="A541" s="8"/>
    </row>
    <row r="542" spans="1:1" ht="14.5">
      <c r="A542" s="8"/>
    </row>
    <row r="543" spans="1:1" ht="14.5">
      <c r="A543" s="8"/>
    </row>
    <row r="544" spans="1:1" ht="14.5">
      <c r="A544" s="8"/>
    </row>
    <row r="545" spans="1:1" ht="14.5">
      <c r="A545" s="8"/>
    </row>
    <row r="546" spans="1:1" ht="14.5">
      <c r="A546" s="8"/>
    </row>
    <row r="547" spans="1:1" ht="14.5">
      <c r="A547" s="8"/>
    </row>
    <row r="548" spans="1:1" ht="14.5">
      <c r="A548" s="8"/>
    </row>
    <row r="549" spans="1:1" ht="14.5">
      <c r="A549" s="8"/>
    </row>
    <row r="550" spans="1:1" ht="14.5">
      <c r="A550" s="8"/>
    </row>
    <row r="551" spans="1:1" ht="14.5">
      <c r="A551" s="8"/>
    </row>
    <row r="552" spans="1:1" ht="14.5">
      <c r="A552" s="8"/>
    </row>
    <row r="553" spans="1:1" ht="14.5">
      <c r="A553" s="8"/>
    </row>
    <row r="554" spans="1:1" ht="14.5">
      <c r="A554" s="8"/>
    </row>
    <row r="555" spans="1:1" ht="14.5">
      <c r="A555" s="8"/>
    </row>
    <row r="556" spans="1:1" ht="14.5">
      <c r="A556" s="8"/>
    </row>
    <row r="557" spans="1:1" ht="14.5">
      <c r="A557" s="8"/>
    </row>
    <row r="558" spans="1:1" ht="14.5">
      <c r="A558" s="8"/>
    </row>
    <row r="559" spans="1:1" ht="14.5">
      <c r="A559" s="8"/>
    </row>
    <row r="560" spans="1:1" ht="14.5">
      <c r="A560" s="8"/>
    </row>
    <row r="561" spans="1:1" ht="14.5">
      <c r="A561" s="8"/>
    </row>
    <row r="562" spans="1:1" ht="14.5">
      <c r="A562" s="8"/>
    </row>
    <row r="563" spans="1:1" ht="14.5">
      <c r="A563" s="8"/>
    </row>
    <row r="564" spans="1:1" ht="14.5">
      <c r="A564" s="8"/>
    </row>
    <row r="565" spans="1:1" ht="14.5">
      <c r="A565" s="8"/>
    </row>
    <row r="566" spans="1:1" ht="14.5">
      <c r="A566" s="8"/>
    </row>
    <row r="567" spans="1:1" ht="14.5">
      <c r="A567" s="8"/>
    </row>
    <row r="568" spans="1:1" ht="14.5">
      <c r="A568" s="8"/>
    </row>
    <row r="569" spans="1:1" ht="14.5">
      <c r="A569" s="8"/>
    </row>
    <row r="570" spans="1:1" ht="14.5">
      <c r="A570" s="8"/>
    </row>
    <row r="571" spans="1:1" ht="14.5">
      <c r="A571" s="8"/>
    </row>
    <row r="572" spans="1:1" ht="14.5">
      <c r="A572" s="8"/>
    </row>
    <row r="573" spans="1:1" ht="14.5">
      <c r="A573" s="8"/>
    </row>
    <row r="574" spans="1:1" ht="14.5">
      <c r="A574" s="8"/>
    </row>
    <row r="575" spans="1:1" ht="14.5">
      <c r="A575" s="8"/>
    </row>
    <row r="576" spans="1:1" ht="14.5">
      <c r="A576" s="8"/>
    </row>
    <row r="577" spans="1:1" ht="14.5">
      <c r="A577" s="8"/>
    </row>
    <row r="578" spans="1:1" ht="14.5">
      <c r="A578" s="8"/>
    </row>
    <row r="579" spans="1:1" ht="14.5">
      <c r="A579" s="8"/>
    </row>
    <row r="580" spans="1:1" ht="14.5">
      <c r="A580" s="8"/>
    </row>
    <row r="581" spans="1:1" ht="14.5">
      <c r="A581" s="8"/>
    </row>
    <row r="582" spans="1:1" ht="14.5">
      <c r="A582" s="8"/>
    </row>
    <row r="583" spans="1:1" ht="14.5">
      <c r="A583" s="8"/>
    </row>
    <row r="584" spans="1:1" ht="14.5">
      <c r="A584" s="8"/>
    </row>
    <row r="585" spans="1:1" ht="14.5">
      <c r="A585" s="8"/>
    </row>
    <row r="586" spans="1:1" ht="14.5">
      <c r="A586" s="8"/>
    </row>
    <row r="587" spans="1:1" ht="14.5">
      <c r="A587" s="8"/>
    </row>
    <row r="588" spans="1:1" ht="14.5">
      <c r="A588" s="8"/>
    </row>
    <row r="589" spans="1:1" ht="14.5">
      <c r="A589" s="8"/>
    </row>
    <row r="590" spans="1:1" ht="14.5">
      <c r="A590" s="8"/>
    </row>
    <row r="591" spans="1:1" ht="14.5">
      <c r="A591" s="8"/>
    </row>
    <row r="592" spans="1:1" ht="14.5">
      <c r="A592" s="8"/>
    </row>
    <row r="593" spans="1:1" ht="14.5">
      <c r="A593" s="8"/>
    </row>
    <row r="594" spans="1:1" ht="14.5">
      <c r="A594" s="8"/>
    </row>
    <row r="595" spans="1:1" ht="14.5">
      <c r="A595" s="8"/>
    </row>
    <row r="596" spans="1:1" ht="14.5">
      <c r="A596" s="8"/>
    </row>
    <row r="597" spans="1:1" ht="14.5">
      <c r="A597" s="8"/>
    </row>
    <row r="598" spans="1:1" ht="14.5">
      <c r="A598" s="8"/>
    </row>
    <row r="599" spans="1:1" ht="14.5">
      <c r="A599" s="8"/>
    </row>
    <row r="600" spans="1:1" ht="14.5">
      <c r="A600" s="8"/>
    </row>
    <row r="601" spans="1:1" ht="14.5">
      <c r="A601" s="8"/>
    </row>
    <row r="602" spans="1:1" ht="14.5">
      <c r="A602" s="8"/>
    </row>
    <row r="603" spans="1:1" ht="14.5">
      <c r="A603" s="8"/>
    </row>
    <row r="604" spans="1:1" ht="14.5">
      <c r="A604" s="8"/>
    </row>
    <row r="605" spans="1:1" ht="14.5">
      <c r="A605" s="8"/>
    </row>
    <row r="606" spans="1:1" ht="14.5">
      <c r="A606" s="8"/>
    </row>
    <row r="607" spans="1:1" ht="14.5">
      <c r="A607" s="8"/>
    </row>
    <row r="608" spans="1:1" ht="14.5">
      <c r="A608" s="8"/>
    </row>
    <row r="609" spans="1:1" ht="14.5">
      <c r="A609" s="8"/>
    </row>
    <row r="610" spans="1:1" ht="14.5">
      <c r="A610" s="8"/>
    </row>
    <row r="611" spans="1:1" ht="14.5">
      <c r="A611" s="8"/>
    </row>
    <row r="612" spans="1:1" ht="14.5">
      <c r="A612" s="8"/>
    </row>
    <row r="613" spans="1:1" ht="14.5">
      <c r="A613" s="8"/>
    </row>
    <row r="614" spans="1:1" ht="14.5">
      <c r="A614" s="8"/>
    </row>
    <row r="615" spans="1:1" ht="14.5">
      <c r="A615" s="8"/>
    </row>
    <row r="616" spans="1:1" ht="14.5">
      <c r="A616" s="8"/>
    </row>
    <row r="617" spans="1:1" ht="14.5">
      <c r="A617" s="8"/>
    </row>
    <row r="618" spans="1:1" ht="14.5">
      <c r="A618" s="8"/>
    </row>
    <row r="619" spans="1:1" ht="14.5">
      <c r="A619" s="8"/>
    </row>
    <row r="620" spans="1:1" ht="14.5">
      <c r="A620" s="8"/>
    </row>
    <row r="621" spans="1:1" ht="14.5">
      <c r="A621" s="8"/>
    </row>
    <row r="622" spans="1:1" ht="14.5">
      <c r="A622" s="8"/>
    </row>
    <row r="623" spans="1:1" ht="14.5">
      <c r="A623" s="8"/>
    </row>
    <row r="624" spans="1:1" ht="14.5">
      <c r="A624" s="8"/>
    </row>
    <row r="625" spans="1:1" ht="14.5">
      <c r="A625" s="8"/>
    </row>
    <row r="626" spans="1:1" ht="14.5">
      <c r="A626" s="8"/>
    </row>
    <row r="627" spans="1:1" ht="14.5">
      <c r="A627" s="8"/>
    </row>
    <row r="628" spans="1:1" ht="14.5">
      <c r="A628" s="8"/>
    </row>
    <row r="629" spans="1:1" ht="14.5">
      <c r="A629" s="8"/>
    </row>
    <row r="630" spans="1:1" ht="14.5">
      <c r="A630" s="8"/>
    </row>
    <row r="631" spans="1:1" ht="14.5">
      <c r="A631" s="8"/>
    </row>
    <row r="632" spans="1:1" ht="14.5">
      <c r="A632" s="8"/>
    </row>
    <row r="633" spans="1:1" ht="14.5">
      <c r="A633" s="8"/>
    </row>
    <row r="634" spans="1:1" ht="14.5">
      <c r="A634" s="8"/>
    </row>
    <row r="635" spans="1:1" ht="14.5">
      <c r="A635" s="8"/>
    </row>
    <row r="636" spans="1:1" ht="14.5">
      <c r="A636" s="8"/>
    </row>
    <row r="637" spans="1:1" ht="14.5">
      <c r="A637" s="8"/>
    </row>
    <row r="638" spans="1:1" ht="14.5">
      <c r="A638" s="8"/>
    </row>
    <row r="639" spans="1:1" ht="14.5">
      <c r="A639" s="8"/>
    </row>
    <row r="640" spans="1:1" ht="14.5">
      <c r="A640" s="8"/>
    </row>
    <row r="641" spans="1:1" ht="14.5">
      <c r="A641" s="8"/>
    </row>
    <row r="642" spans="1:1" ht="14.5">
      <c r="A642" s="8"/>
    </row>
    <row r="643" spans="1:1" ht="14.5">
      <c r="A643" s="8"/>
    </row>
    <row r="644" spans="1:1" ht="14.5">
      <c r="A644" s="8"/>
    </row>
    <row r="645" spans="1:1" ht="14.5">
      <c r="A645" s="8"/>
    </row>
    <row r="646" spans="1:1" ht="14.5">
      <c r="A646" s="8"/>
    </row>
    <row r="647" spans="1:1" ht="14.5">
      <c r="A647" s="8"/>
    </row>
    <row r="648" spans="1:1" ht="14.5">
      <c r="A648" s="8"/>
    </row>
    <row r="649" spans="1:1" ht="14.5">
      <c r="A649" s="8"/>
    </row>
    <row r="650" spans="1:1" ht="14.5">
      <c r="A650" s="8"/>
    </row>
    <row r="651" spans="1:1" ht="14.5">
      <c r="A651" s="8"/>
    </row>
    <row r="652" spans="1:1" ht="14.5">
      <c r="A652" s="8"/>
    </row>
    <row r="653" spans="1:1" ht="14.5">
      <c r="A653" s="8"/>
    </row>
    <row r="654" spans="1:1" ht="14.5">
      <c r="A654" s="8"/>
    </row>
    <row r="655" spans="1:1" ht="14.5">
      <c r="A655" s="8"/>
    </row>
    <row r="656" spans="1:1" ht="14.5">
      <c r="A656" s="8"/>
    </row>
    <row r="657" spans="1:1" ht="14.5">
      <c r="A657" s="8"/>
    </row>
    <row r="658" spans="1:1" ht="14.5">
      <c r="A658" s="8"/>
    </row>
    <row r="659" spans="1:1" ht="14.5">
      <c r="A659" s="8"/>
    </row>
    <row r="660" spans="1:1" ht="14.5">
      <c r="A660" s="8"/>
    </row>
    <row r="661" spans="1:1" ht="14.5">
      <c r="A661" s="8"/>
    </row>
    <row r="662" spans="1:1" ht="14.5">
      <c r="A662" s="8"/>
    </row>
    <row r="663" spans="1:1" ht="14.5">
      <c r="A663" s="8"/>
    </row>
    <row r="664" spans="1:1" ht="14.5">
      <c r="A664" s="8"/>
    </row>
    <row r="665" spans="1:1" ht="14.5">
      <c r="A665" s="8"/>
    </row>
    <row r="666" spans="1:1" ht="14.5">
      <c r="A666" s="8"/>
    </row>
    <row r="667" spans="1:1" ht="14.5">
      <c r="A667" s="8"/>
    </row>
    <row r="668" spans="1:1" ht="14.5">
      <c r="A668" s="8"/>
    </row>
    <row r="669" spans="1:1" ht="14.5">
      <c r="A669" s="8"/>
    </row>
    <row r="670" spans="1:1" ht="14.5">
      <c r="A670" s="8"/>
    </row>
    <row r="671" spans="1:1" ht="14.5">
      <c r="A671" s="8"/>
    </row>
    <row r="672" spans="1:1" ht="14.5">
      <c r="A672" s="8"/>
    </row>
    <row r="673" spans="1:1" ht="14.5">
      <c r="A673" s="8"/>
    </row>
    <row r="674" spans="1:1" ht="14.5">
      <c r="A674" s="8"/>
    </row>
    <row r="675" spans="1:1" ht="14.5">
      <c r="A675" s="8"/>
    </row>
    <row r="676" spans="1:1" ht="14.5">
      <c r="A676" s="8"/>
    </row>
    <row r="677" spans="1:1" ht="14.5">
      <c r="A677" s="8"/>
    </row>
    <row r="678" spans="1:1" ht="14.5">
      <c r="A678" s="8"/>
    </row>
    <row r="679" spans="1:1" ht="14.5">
      <c r="A679" s="8"/>
    </row>
    <row r="680" spans="1:1" ht="14.5">
      <c r="A680" s="8"/>
    </row>
    <row r="681" spans="1:1" ht="14.5">
      <c r="A681" s="8"/>
    </row>
    <row r="682" spans="1:1" ht="14.5">
      <c r="A682" s="8"/>
    </row>
    <row r="683" spans="1:1" ht="14.5">
      <c r="A683" s="8"/>
    </row>
    <row r="684" spans="1:1" ht="14.5">
      <c r="A684" s="8"/>
    </row>
    <row r="685" spans="1:1" ht="14.5">
      <c r="A685" s="8"/>
    </row>
    <row r="686" spans="1:1" ht="14.5">
      <c r="A686" s="8"/>
    </row>
    <row r="687" spans="1:1" ht="14.5">
      <c r="A687" s="8"/>
    </row>
    <row r="688" spans="1:1" ht="14.5">
      <c r="A688" s="8"/>
    </row>
    <row r="689" spans="1:1" ht="14.5">
      <c r="A689" s="8"/>
    </row>
    <row r="690" spans="1:1" ht="14.5">
      <c r="A690" s="8"/>
    </row>
    <row r="691" spans="1:1" ht="14.5">
      <c r="A691" s="8"/>
    </row>
    <row r="692" spans="1:1" ht="14.5">
      <c r="A692" s="8"/>
    </row>
    <row r="693" spans="1:1" ht="14.5">
      <c r="A693" s="8"/>
    </row>
    <row r="694" spans="1:1" ht="14.5">
      <c r="A694" s="8"/>
    </row>
    <row r="695" spans="1:1" ht="14.5">
      <c r="A695" s="8"/>
    </row>
    <row r="696" spans="1:1" ht="14.5">
      <c r="A696" s="8"/>
    </row>
    <row r="697" spans="1:1" ht="14.5">
      <c r="A697" s="8"/>
    </row>
    <row r="698" spans="1:1" ht="14.5">
      <c r="A698"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4188D-4CF5-4AEF-8F50-A9F499C863A3}">
  <dimension ref="B2:AE39"/>
  <sheetViews>
    <sheetView showGridLines="0" workbookViewId="0">
      <selection activeCell="AE5" sqref="AE5"/>
    </sheetView>
  </sheetViews>
  <sheetFormatPr defaultRowHeight="12"/>
  <cols>
    <col min="1" max="2" width="8.7265625" style="1"/>
    <col min="3" max="3" width="45.7265625" style="1" bestFit="1" customWidth="1"/>
    <col min="4" max="4" width="38.36328125" style="1" bestFit="1" customWidth="1"/>
    <col min="5" max="5" width="8.7265625" style="1"/>
    <col min="6" max="6" width="25" style="1" bestFit="1" customWidth="1"/>
    <col min="7" max="7" width="23.26953125" style="1" bestFit="1" customWidth="1"/>
    <col min="8" max="8" width="21.1796875" style="1" bestFit="1" customWidth="1"/>
    <col min="9" max="9" width="8.7265625" style="1"/>
    <col min="10" max="10" width="21.08984375" style="1" bestFit="1" customWidth="1"/>
    <col min="11" max="11" width="26.90625" style="1" bestFit="1" customWidth="1"/>
    <col min="12" max="12" width="36.26953125" style="1" bestFit="1" customWidth="1"/>
    <col min="13" max="13" width="20.36328125" style="1" bestFit="1" customWidth="1"/>
    <col min="14" max="14" width="14.54296875" style="1" bestFit="1" customWidth="1"/>
    <col min="15" max="15" width="18.453125" style="1" bestFit="1" customWidth="1"/>
    <col min="16" max="16" width="21.08984375" style="1" bestFit="1" customWidth="1"/>
    <col min="17" max="17" width="14.1796875" style="1" bestFit="1" customWidth="1"/>
    <col min="18" max="18" width="13.36328125" style="1" customWidth="1"/>
    <col min="19" max="19" width="17.36328125" style="1" bestFit="1" customWidth="1"/>
    <col min="20" max="20" width="14.36328125" style="1" bestFit="1" customWidth="1"/>
    <col min="21" max="21" width="14.90625" style="1" bestFit="1" customWidth="1"/>
    <col min="22" max="23" width="8.7265625" style="1"/>
    <col min="24" max="24" width="11.08984375" style="1" bestFit="1" customWidth="1"/>
    <col min="25" max="25" width="11.08984375" style="1" customWidth="1"/>
    <col min="26" max="26" width="15.453125" style="1" bestFit="1" customWidth="1"/>
    <col min="27" max="27" width="22.81640625" style="1" customWidth="1"/>
    <col min="28" max="29" width="8.7265625" style="1"/>
    <col min="30" max="30" width="40.453125" style="1" customWidth="1"/>
    <col min="31" max="31" width="51.54296875" style="1" customWidth="1"/>
    <col min="32" max="16384" width="8.7265625" style="1"/>
  </cols>
  <sheetData>
    <row r="2" spans="2:31" ht="28.5" thickBot="1">
      <c r="B2" s="3"/>
      <c r="C2" s="44" t="s">
        <v>4235</v>
      </c>
      <c r="D2" s="44" t="s">
        <v>4236</v>
      </c>
      <c r="F2" s="44" t="s">
        <v>3054</v>
      </c>
      <c r="G2" s="44" t="s">
        <v>4237</v>
      </c>
      <c r="H2" s="44" t="s">
        <v>4237</v>
      </c>
      <c r="J2" s="44" t="s">
        <v>4238</v>
      </c>
      <c r="K2" s="44" t="s">
        <v>4239</v>
      </c>
      <c r="L2" s="44" t="s">
        <v>4240</v>
      </c>
      <c r="M2" s="44" t="s">
        <v>4241</v>
      </c>
      <c r="N2" s="44" t="s">
        <v>2823</v>
      </c>
      <c r="O2" s="44" t="s">
        <v>4242</v>
      </c>
      <c r="P2" s="44" t="s">
        <v>4243</v>
      </c>
      <c r="Q2" s="44" t="s">
        <v>4244</v>
      </c>
      <c r="R2" s="44" t="s">
        <v>4245</v>
      </c>
      <c r="S2" s="44" t="s">
        <v>4246</v>
      </c>
      <c r="T2" s="44" t="s">
        <v>4247</v>
      </c>
      <c r="U2" s="44" t="s">
        <v>4248</v>
      </c>
      <c r="V2" s="1" t="s">
        <v>4249</v>
      </c>
      <c r="Z2" s="2" t="s">
        <v>4948</v>
      </c>
      <c r="AA2" s="2" t="s">
        <v>4944</v>
      </c>
      <c r="AD2" s="54" t="s">
        <v>4957</v>
      </c>
    </row>
    <row r="3" spans="2:31" ht="14.5" thickBot="1">
      <c r="B3" s="3">
        <v>1</v>
      </c>
      <c r="C3" s="3" t="s">
        <v>4250</v>
      </c>
      <c r="D3" s="3" t="s">
        <v>4251</v>
      </c>
      <c r="F3" s="45" t="s">
        <v>2020</v>
      </c>
      <c r="G3" s="3" t="s">
        <v>4252</v>
      </c>
      <c r="H3" s="3" t="s">
        <v>4253</v>
      </c>
      <c r="J3" s="3" t="s">
        <v>1118</v>
      </c>
      <c r="K3" s="3" t="s">
        <v>4254</v>
      </c>
      <c r="L3" s="3" t="s">
        <v>4255</v>
      </c>
      <c r="M3" s="3" t="s">
        <v>4256</v>
      </c>
      <c r="N3" s="3" t="s">
        <v>4257</v>
      </c>
      <c r="O3" s="3" t="s">
        <v>4258</v>
      </c>
      <c r="P3" s="3" t="s">
        <v>4259</v>
      </c>
      <c r="Q3" s="3" t="s">
        <v>4260</v>
      </c>
      <c r="R3" s="3" t="s">
        <v>4261</v>
      </c>
      <c r="S3" s="3" t="s">
        <v>4262</v>
      </c>
      <c r="T3" s="3" t="s">
        <v>398</v>
      </c>
      <c r="U3" s="3" t="s">
        <v>4263</v>
      </c>
      <c r="X3" s="1" t="s">
        <v>2494</v>
      </c>
      <c r="Z3" s="1" t="s">
        <v>4947</v>
      </c>
      <c r="AA3" s="1" t="s">
        <v>147</v>
      </c>
      <c r="AD3" s="55" t="s">
        <v>4958</v>
      </c>
      <c r="AE3" s="56" t="s">
        <v>4959</v>
      </c>
    </row>
    <row r="4" spans="2:31" ht="14">
      <c r="B4" s="3">
        <v>2</v>
      </c>
      <c r="C4" s="3" t="s">
        <v>4264</v>
      </c>
      <c r="D4" s="3" t="s">
        <v>4265</v>
      </c>
      <c r="F4" s="45" t="s">
        <v>4266</v>
      </c>
      <c r="G4" s="3" t="s">
        <v>4267</v>
      </c>
      <c r="H4" s="3" t="s">
        <v>930</v>
      </c>
      <c r="J4" s="3" t="s">
        <v>4268</v>
      </c>
      <c r="K4" s="3" t="s">
        <v>4269</v>
      </c>
      <c r="L4" s="3" t="s">
        <v>4270</v>
      </c>
      <c r="M4" s="3" t="s">
        <v>4271</v>
      </c>
      <c r="N4" s="3" t="s">
        <v>4272</v>
      </c>
      <c r="O4" s="3" t="s">
        <v>4273</v>
      </c>
      <c r="P4" s="3" t="s">
        <v>4274</v>
      </c>
      <c r="Q4" s="3" t="s">
        <v>4275</v>
      </c>
      <c r="R4" s="3" t="s">
        <v>410</v>
      </c>
      <c r="S4" s="3" t="s">
        <v>425</v>
      </c>
      <c r="T4" s="3" t="s">
        <v>433</v>
      </c>
      <c r="U4" s="3" t="s">
        <v>4276</v>
      </c>
      <c r="AA4" s="1" t="s">
        <v>2499</v>
      </c>
      <c r="AD4" s="77" t="s">
        <v>2036</v>
      </c>
      <c r="AE4" s="57" t="s">
        <v>4960</v>
      </c>
    </row>
    <row r="5" spans="2:31" ht="14">
      <c r="B5" s="3">
        <v>3</v>
      </c>
      <c r="C5" s="3" t="s">
        <v>4277</v>
      </c>
      <c r="D5" s="3" t="s">
        <v>4278</v>
      </c>
      <c r="F5" s="45" t="s">
        <v>3237</v>
      </c>
      <c r="G5" s="3" t="s">
        <v>4279</v>
      </c>
      <c r="H5" s="3" t="s">
        <v>3105</v>
      </c>
      <c r="J5" s="3" t="s">
        <v>2451</v>
      </c>
      <c r="K5" s="3" t="s">
        <v>4280</v>
      </c>
      <c r="L5" s="3" t="s">
        <v>4281</v>
      </c>
      <c r="M5" s="3" t="s">
        <v>4282</v>
      </c>
      <c r="N5" s="3" t="s">
        <v>4283</v>
      </c>
      <c r="O5" s="3" t="s">
        <v>4284</v>
      </c>
      <c r="P5" s="3" t="s">
        <v>4285</v>
      </c>
      <c r="Q5" s="3" t="s">
        <v>4286</v>
      </c>
      <c r="R5" s="3" t="s">
        <v>4287</v>
      </c>
      <c r="S5" s="3" t="s">
        <v>4288</v>
      </c>
      <c r="T5" s="3"/>
      <c r="U5" s="3" t="s">
        <v>519</v>
      </c>
      <c r="AA5" s="1" t="s">
        <v>173</v>
      </c>
      <c r="AD5" s="78"/>
      <c r="AE5" s="57" t="s">
        <v>4961</v>
      </c>
    </row>
    <row r="6" spans="2:31" ht="14">
      <c r="B6" s="3">
        <v>4</v>
      </c>
      <c r="C6" s="3" t="s">
        <v>4265</v>
      </c>
      <c r="D6" s="3" t="s">
        <v>4289</v>
      </c>
      <c r="F6" s="45" t="s">
        <v>2037</v>
      </c>
      <c r="G6" s="3" t="s">
        <v>4290</v>
      </c>
      <c r="H6" s="3" t="s">
        <v>479</v>
      </c>
      <c r="J6" s="3" t="s">
        <v>4291</v>
      </c>
      <c r="K6" s="3" t="s">
        <v>4292</v>
      </c>
      <c r="L6" s="3" t="s">
        <v>4293</v>
      </c>
      <c r="M6" s="3" t="s">
        <v>4294</v>
      </c>
      <c r="N6" s="3" t="s">
        <v>4295</v>
      </c>
      <c r="O6" s="3" t="s">
        <v>4296</v>
      </c>
      <c r="P6" s="3" t="s">
        <v>4297</v>
      </c>
      <c r="Q6" s="3" t="s">
        <v>4298</v>
      </c>
      <c r="R6" s="3"/>
      <c r="S6" s="3" t="s">
        <v>4299</v>
      </c>
      <c r="T6" s="3"/>
      <c r="U6" s="3" t="s">
        <v>524</v>
      </c>
      <c r="AA6" s="1" t="s">
        <v>254</v>
      </c>
      <c r="AD6" s="78"/>
      <c r="AE6" s="57" t="s">
        <v>4962</v>
      </c>
    </row>
    <row r="7" spans="2:31" ht="14.5" thickBot="1">
      <c r="B7" s="3">
        <v>5</v>
      </c>
      <c r="C7" s="3" t="s">
        <v>4300</v>
      </c>
      <c r="D7" s="3" t="s">
        <v>4301</v>
      </c>
      <c r="F7" s="45" t="s">
        <v>920</v>
      </c>
      <c r="G7" s="3" t="s">
        <v>173</v>
      </c>
      <c r="H7" s="3" t="s">
        <v>4302</v>
      </c>
      <c r="J7" s="3" t="s">
        <v>4303</v>
      </c>
      <c r="K7" s="3" t="s">
        <v>4304</v>
      </c>
      <c r="L7" s="3" t="s">
        <v>4305</v>
      </c>
      <c r="M7" s="3" t="s">
        <v>4306</v>
      </c>
      <c r="N7" s="3" t="s">
        <v>4307</v>
      </c>
      <c r="O7" s="3" t="s">
        <v>4308</v>
      </c>
      <c r="P7" s="3" t="s">
        <v>4309</v>
      </c>
      <c r="Q7" s="3" t="s">
        <v>4310</v>
      </c>
      <c r="R7" s="3"/>
      <c r="S7" s="3" t="s">
        <v>4012</v>
      </c>
      <c r="T7" s="3"/>
      <c r="U7" s="3" t="s">
        <v>537</v>
      </c>
      <c r="AA7" s="1" t="s">
        <v>4945</v>
      </c>
      <c r="AD7" s="79"/>
      <c r="AE7" s="59" t="s">
        <v>4963</v>
      </c>
    </row>
    <row r="8" spans="2:31" ht="14">
      <c r="B8" s="3">
        <v>6</v>
      </c>
      <c r="C8" s="3" t="s">
        <v>4311</v>
      </c>
      <c r="D8" s="3" t="s">
        <v>4312</v>
      </c>
      <c r="F8" s="45" t="s">
        <v>4217</v>
      </c>
      <c r="G8" s="3" t="s">
        <v>4313</v>
      </c>
      <c r="H8" s="3" t="s">
        <v>4314</v>
      </c>
      <c r="J8" s="3" t="s">
        <v>4315</v>
      </c>
      <c r="K8" s="3" t="s">
        <v>4316</v>
      </c>
      <c r="L8" s="3"/>
      <c r="M8" s="3" t="s">
        <v>4317</v>
      </c>
      <c r="N8" s="3" t="s">
        <v>4318</v>
      </c>
      <c r="O8" s="3" t="s">
        <v>4319</v>
      </c>
      <c r="P8" s="3" t="s">
        <v>4320</v>
      </c>
      <c r="Q8" s="3" t="s">
        <v>843</v>
      </c>
      <c r="R8" s="3"/>
      <c r="S8" s="3"/>
      <c r="T8" s="3"/>
      <c r="U8" s="3" t="s">
        <v>544</v>
      </c>
      <c r="AA8" s="1" t="s">
        <v>4946</v>
      </c>
      <c r="AD8" s="77" t="s">
        <v>2445</v>
      </c>
      <c r="AE8" s="57" t="s">
        <v>4964</v>
      </c>
    </row>
    <row r="9" spans="2:31" ht="14">
      <c r="B9" s="3">
        <v>7</v>
      </c>
      <c r="C9" s="3" t="s">
        <v>4321</v>
      </c>
      <c r="D9" s="3"/>
      <c r="F9" s="45" t="s">
        <v>2035</v>
      </c>
      <c r="G9" s="3" t="s">
        <v>4322</v>
      </c>
      <c r="H9" s="3" t="s">
        <v>4323</v>
      </c>
      <c r="J9" s="3" t="s">
        <v>4324</v>
      </c>
      <c r="K9" s="3"/>
      <c r="L9" s="3"/>
      <c r="M9" s="3" t="s">
        <v>4325</v>
      </c>
      <c r="N9" s="3" t="s">
        <v>4326</v>
      </c>
      <c r="O9" s="3" t="s">
        <v>4327</v>
      </c>
      <c r="P9" s="3" t="s">
        <v>4328</v>
      </c>
      <c r="Q9" s="3" t="s">
        <v>4329</v>
      </c>
      <c r="R9" s="3"/>
      <c r="S9" s="3"/>
      <c r="T9" s="3"/>
      <c r="U9" s="3" t="s">
        <v>4330</v>
      </c>
      <c r="AA9" s="1" t="s">
        <v>345</v>
      </c>
      <c r="AD9" s="78"/>
      <c r="AE9" s="57" t="s">
        <v>4965</v>
      </c>
    </row>
    <row r="10" spans="2:31" ht="14">
      <c r="B10" s="3">
        <v>8</v>
      </c>
      <c r="C10" s="3" t="s">
        <v>4331</v>
      </c>
      <c r="D10" s="3"/>
      <c r="F10" s="45" t="s">
        <v>1396</v>
      </c>
      <c r="G10" s="3" t="s">
        <v>4332</v>
      </c>
      <c r="H10" s="3" t="s">
        <v>4333</v>
      </c>
      <c r="J10" s="3" t="s">
        <v>4268</v>
      </c>
      <c r="K10" s="3"/>
      <c r="L10" s="3"/>
      <c r="M10" s="3" t="s">
        <v>4334</v>
      </c>
      <c r="N10" s="3"/>
      <c r="O10" s="3"/>
      <c r="P10" s="3" t="s">
        <v>4335</v>
      </c>
      <c r="Q10" s="3" t="s">
        <v>4336</v>
      </c>
      <c r="R10" s="3"/>
      <c r="S10" s="3"/>
      <c r="T10" s="3"/>
      <c r="U10" s="3" t="s">
        <v>3461</v>
      </c>
      <c r="X10" s="1" t="s">
        <v>4949</v>
      </c>
      <c r="Y10" s="1" t="s">
        <v>4951</v>
      </c>
      <c r="Z10" s="1" t="s">
        <v>4950</v>
      </c>
      <c r="AA10" s="1" t="s">
        <v>4952</v>
      </c>
      <c r="AD10" s="78"/>
      <c r="AE10" s="57" t="s">
        <v>4966</v>
      </c>
    </row>
    <row r="11" spans="2:31" ht="14">
      <c r="B11" s="3">
        <v>9</v>
      </c>
      <c r="C11" s="3" t="s">
        <v>4337</v>
      </c>
      <c r="D11" s="3"/>
      <c r="F11" s="45" t="s">
        <v>4100</v>
      </c>
      <c r="G11" s="3" t="s">
        <v>254</v>
      </c>
      <c r="H11" s="3" t="s">
        <v>3206</v>
      </c>
      <c r="J11" s="3" t="s">
        <v>4338</v>
      </c>
      <c r="K11" s="3"/>
      <c r="L11" s="3"/>
      <c r="M11" s="3" t="s">
        <v>4339</v>
      </c>
      <c r="N11" s="3"/>
      <c r="O11" s="3"/>
      <c r="P11" s="3" t="s">
        <v>4340</v>
      </c>
      <c r="Q11" s="3"/>
      <c r="R11" s="3"/>
      <c r="S11" s="3"/>
      <c r="T11" s="3"/>
      <c r="U11" s="3"/>
      <c r="AA11" s="1" t="s">
        <v>4953</v>
      </c>
      <c r="AD11" s="78"/>
      <c r="AE11" s="57" t="s">
        <v>4967</v>
      </c>
    </row>
    <row r="12" spans="2:31" ht="14.5" thickBot="1">
      <c r="B12" s="3">
        <v>10</v>
      </c>
      <c r="C12" s="3" t="s">
        <v>4341</v>
      </c>
      <c r="D12" s="3"/>
      <c r="F12" s="45" t="s">
        <v>2036</v>
      </c>
      <c r="G12" s="3" t="s">
        <v>4342</v>
      </c>
      <c r="H12" s="3" t="s">
        <v>3208</v>
      </c>
      <c r="J12" s="3" t="s">
        <v>4343</v>
      </c>
      <c r="K12" s="3"/>
      <c r="L12" s="3"/>
      <c r="M12" s="3" t="s">
        <v>4344</v>
      </c>
      <c r="N12" s="3"/>
      <c r="O12" s="3"/>
      <c r="P12" s="3" t="s">
        <v>4345</v>
      </c>
      <c r="Q12" s="3"/>
      <c r="R12" s="3"/>
      <c r="S12" s="3"/>
      <c r="T12" s="3"/>
      <c r="U12" s="3"/>
      <c r="AA12" s="1" t="s">
        <v>1008</v>
      </c>
      <c r="AD12" s="79"/>
      <c r="AE12" s="59" t="s">
        <v>4968</v>
      </c>
    </row>
    <row r="13" spans="2:31" ht="14">
      <c r="B13" s="3">
        <v>11</v>
      </c>
      <c r="C13" s="3" t="s">
        <v>4346</v>
      </c>
      <c r="D13" s="3"/>
      <c r="F13" s="3" t="s">
        <v>2567</v>
      </c>
      <c r="G13" s="3" t="s">
        <v>275</v>
      </c>
      <c r="H13" s="3" t="s">
        <v>4347</v>
      </c>
      <c r="J13" s="3" t="s">
        <v>4348</v>
      </c>
      <c r="K13" s="3"/>
      <c r="L13" s="3"/>
      <c r="M13" s="3" t="s">
        <v>4349</v>
      </c>
      <c r="N13" s="3"/>
      <c r="O13" s="3"/>
      <c r="P13" s="3" t="s">
        <v>4350</v>
      </c>
      <c r="Q13" s="3"/>
      <c r="R13" s="3"/>
      <c r="S13" s="3"/>
      <c r="T13" s="3"/>
      <c r="U13" s="3"/>
      <c r="AA13" s="1" t="s">
        <v>4954</v>
      </c>
      <c r="AD13" s="77" t="s">
        <v>4969</v>
      </c>
      <c r="AE13" s="57" t="s">
        <v>4970</v>
      </c>
    </row>
    <row r="14" spans="2:31" ht="14">
      <c r="B14" s="3">
        <v>12</v>
      </c>
      <c r="C14" s="3" t="s">
        <v>4351</v>
      </c>
      <c r="D14" s="3"/>
      <c r="F14" s="3" t="s">
        <v>4352</v>
      </c>
      <c r="G14" s="3" t="s">
        <v>4353</v>
      </c>
      <c r="H14" s="3" t="s">
        <v>4354</v>
      </c>
      <c r="J14" s="3"/>
      <c r="K14" s="3"/>
      <c r="L14" s="3"/>
      <c r="M14" s="3" t="s">
        <v>4355</v>
      </c>
      <c r="N14" s="3"/>
      <c r="O14" s="3"/>
      <c r="P14" s="3" t="s">
        <v>4356</v>
      </c>
      <c r="Q14" s="3"/>
      <c r="R14" s="3"/>
      <c r="S14" s="3"/>
      <c r="T14" s="3"/>
      <c r="U14" s="3"/>
      <c r="AA14" s="1" t="s">
        <v>4955</v>
      </c>
      <c r="AD14" s="78"/>
      <c r="AE14" s="57" t="s">
        <v>4971</v>
      </c>
    </row>
    <row r="15" spans="2:31" ht="14">
      <c r="F15" s="45" t="s">
        <v>364</v>
      </c>
      <c r="G15" s="3" t="s">
        <v>4357</v>
      </c>
      <c r="H15" s="3" t="s">
        <v>4358</v>
      </c>
      <c r="J15" s="3"/>
      <c r="K15" s="3"/>
      <c r="L15" s="3"/>
      <c r="M15" s="3"/>
      <c r="N15" s="3"/>
      <c r="O15" s="3"/>
      <c r="P15" s="3"/>
      <c r="Q15" s="3"/>
      <c r="R15" s="3"/>
      <c r="S15" s="3"/>
      <c r="T15" s="3"/>
      <c r="U15" s="3"/>
      <c r="AA15" s="1" t="s">
        <v>4956</v>
      </c>
      <c r="AD15" s="78"/>
      <c r="AE15" s="57" t="s">
        <v>4972</v>
      </c>
    </row>
    <row r="16" spans="2:31" ht="14.5" thickBot="1">
      <c r="F16" s="45" t="s">
        <v>356</v>
      </c>
      <c r="G16" s="3" t="s">
        <v>4359</v>
      </c>
      <c r="H16" s="3" t="s">
        <v>3356</v>
      </c>
      <c r="J16" s="3"/>
      <c r="K16" s="3"/>
      <c r="L16" s="3"/>
      <c r="M16" s="3"/>
      <c r="N16" s="3"/>
      <c r="O16" s="3"/>
      <c r="P16" s="3"/>
      <c r="Q16" s="3"/>
      <c r="R16" s="3"/>
      <c r="S16" s="3"/>
      <c r="T16" s="3"/>
      <c r="U16" s="3"/>
      <c r="AD16" s="79"/>
      <c r="AE16" s="59" t="s">
        <v>4973</v>
      </c>
    </row>
    <row r="17" spans="3:31" ht="28.5" thickBot="1">
      <c r="C17" s="1">
        <v>7664363734</v>
      </c>
      <c r="F17" s="45" t="s">
        <v>2611</v>
      </c>
      <c r="G17" s="3" t="s">
        <v>3074</v>
      </c>
      <c r="H17" s="3" t="s">
        <v>4360</v>
      </c>
      <c r="J17" s="3"/>
      <c r="K17" s="3"/>
      <c r="L17" s="3"/>
      <c r="M17" s="3"/>
      <c r="N17" s="3"/>
      <c r="O17" s="3"/>
      <c r="P17" s="3"/>
      <c r="Q17" s="3"/>
      <c r="R17" s="3"/>
      <c r="S17" s="3"/>
      <c r="T17" s="3"/>
      <c r="U17" s="3"/>
      <c r="AD17" s="58" t="s">
        <v>4974</v>
      </c>
      <c r="AE17" s="59" t="s">
        <v>4975</v>
      </c>
    </row>
    <row r="18" spans="3:31" ht="14">
      <c r="F18" s="3" t="s">
        <v>4361</v>
      </c>
      <c r="G18" s="3" t="s">
        <v>4362</v>
      </c>
      <c r="H18" s="3"/>
      <c r="J18" s="3"/>
      <c r="K18" s="3"/>
      <c r="L18" s="3"/>
      <c r="M18" s="3"/>
      <c r="N18" s="3"/>
      <c r="O18" s="3"/>
      <c r="P18" s="3"/>
      <c r="Q18" s="3"/>
      <c r="R18" s="3"/>
      <c r="S18" s="3"/>
      <c r="T18" s="3"/>
      <c r="U18" s="3"/>
      <c r="AD18" s="77" t="s">
        <v>4976</v>
      </c>
      <c r="AE18" s="57" t="s">
        <v>4977</v>
      </c>
    </row>
    <row r="19" spans="3:31" ht="14.5" thickBot="1">
      <c r="F19" s="3" t="s">
        <v>4363</v>
      </c>
      <c r="G19" s="3" t="s">
        <v>4364</v>
      </c>
      <c r="H19" s="3"/>
      <c r="J19" s="3"/>
      <c r="K19" s="3"/>
      <c r="L19" s="3"/>
      <c r="M19" s="3"/>
      <c r="N19" s="3"/>
      <c r="O19" s="3"/>
      <c r="P19" s="3"/>
      <c r="Q19" s="3"/>
      <c r="R19" s="3"/>
      <c r="S19" s="3"/>
      <c r="T19" s="3"/>
      <c r="U19" s="3"/>
      <c r="AD19" s="79"/>
      <c r="AE19" s="59" t="s">
        <v>4978</v>
      </c>
    </row>
    <row r="20" spans="3:31" ht="14">
      <c r="F20" s="3" t="s">
        <v>4365</v>
      </c>
      <c r="G20" s="3" t="s">
        <v>4366</v>
      </c>
      <c r="H20" s="3"/>
      <c r="J20" s="3"/>
      <c r="K20" s="3"/>
      <c r="L20" s="3"/>
      <c r="M20" s="3"/>
      <c r="N20" s="3"/>
      <c r="O20" s="3"/>
      <c r="P20" s="3"/>
      <c r="Q20" s="3"/>
      <c r="R20" s="3"/>
      <c r="S20" s="3"/>
      <c r="T20" s="3"/>
      <c r="U20" s="3"/>
      <c r="AD20" s="77" t="s">
        <v>4979</v>
      </c>
      <c r="AE20" s="57" t="s">
        <v>4980</v>
      </c>
    </row>
    <row r="21" spans="3:31" ht="14">
      <c r="AD21" s="78"/>
      <c r="AE21" s="57" t="s">
        <v>4981</v>
      </c>
    </row>
    <row r="22" spans="3:31" ht="14.5" thickBot="1">
      <c r="AD22" s="79"/>
      <c r="AE22" s="59" t="s">
        <v>4982</v>
      </c>
    </row>
    <row r="23" spans="3:31" ht="14">
      <c r="AD23" s="77" t="s">
        <v>4983</v>
      </c>
      <c r="AE23" s="57" t="s">
        <v>4984</v>
      </c>
    </row>
    <row r="24" spans="3:31" ht="14">
      <c r="AD24" s="78"/>
      <c r="AE24" s="57" t="s">
        <v>4985</v>
      </c>
    </row>
    <row r="25" spans="3:31" ht="14">
      <c r="AD25" s="78"/>
      <c r="AE25" s="57" t="s">
        <v>4986</v>
      </c>
    </row>
    <row r="26" spans="3:31" ht="14">
      <c r="AD26" s="78"/>
      <c r="AE26" s="57" t="s">
        <v>4987</v>
      </c>
    </row>
    <row r="27" spans="3:31" ht="14.5" thickBot="1">
      <c r="AD27" s="79"/>
      <c r="AE27" s="59" t="s">
        <v>4988</v>
      </c>
    </row>
    <row r="28" spans="3:31" ht="14">
      <c r="AD28" s="74" t="s">
        <v>3392</v>
      </c>
      <c r="AE28" s="60" t="s">
        <v>4989</v>
      </c>
    </row>
    <row r="29" spans="3:31" ht="14">
      <c r="AD29" s="75"/>
      <c r="AE29" s="60" t="s">
        <v>4990</v>
      </c>
    </row>
    <row r="30" spans="3:31" ht="14">
      <c r="AD30" s="75"/>
      <c r="AE30" s="60" t="s">
        <v>4991</v>
      </c>
    </row>
    <row r="31" spans="3:31" ht="14">
      <c r="AD31" s="75"/>
      <c r="AE31" s="60" t="s">
        <v>4992</v>
      </c>
    </row>
    <row r="32" spans="3:31" ht="14">
      <c r="AD32" s="75"/>
      <c r="AE32" s="60" t="s">
        <v>4993</v>
      </c>
    </row>
    <row r="33" spans="30:31" ht="14.5" thickBot="1">
      <c r="AD33" s="76"/>
      <c r="AE33" s="61" t="s">
        <v>4994</v>
      </c>
    </row>
    <row r="34" spans="30:31" ht="14">
      <c r="AD34" s="77" t="s">
        <v>4221</v>
      </c>
      <c r="AE34" s="57" t="s">
        <v>4995</v>
      </c>
    </row>
    <row r="35" spans="30:31" ht="14">
      <c r="AD35" s="78"/>
      <c r="AE35" s="57" t="s">
        <v>4996</v>
      </c>
    </row>
    <row r="36" spans="30:31" ht="14.5" thickBot="1">
      <c r="AD36" s="79"/>
      <c r="AE36" s="59" t="s">
        <v>4997</v>
      </c>
    </row>
    <row r="37" spans="30:31" ht="14">
      <c r="AD37" s="77" t="s">
        <v>4100</v>
      </c>
      <c r="AE37" s="57" t="s">
        <v>4998</v>
      </c>
    </row>
    <row r="38" spans="30:31" ht="14">
      <c r="AD38" s="78"/>
      <c r="AE38" s="57" t="s">
        <v>4999</v>
      </c>
    </row>
    <row r="39" spans="30:31" ht="14.5" thickBot="1">
      <c r="AD39" s="79"/>
      <c r="AE39" s="59" t="s">
        <v>5000</v>
      </c>
    </row>
  </sheetData>
  <mergeCells count="9">
    <mergeCell ref="AD28:AD33"/>
    <mergeCell ref="AD34:AD36"/>
    <mergeCell ref="AD37:AD39"/>
    <mergeCell ref="AD4:AD7"/>
    <mergeCell ref="AD8:AD12"/>
    <mergeCell ref="AD13:AD16"/>
    <mergeCell ref="AD18:AD19"/>
    <mergeCell ref="AD20:AD22"/>
    <mergeCell ref="AD23:AD2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FB750-1642-4482-A160-24C929389865}">
  <dimension ref="B1:I388"/>
  <sheetViews>
    <sheetView workbookViewId="0">
      <pane xSplit="3" ySplit="2" topLeftCell="D3" activePane="bottomRight" state="frozen"/>
      <selection pane="topRight" activeCell="D1" sqref="D1"/>
      <selection pane="bottomLeft" activeCell="A3" sqref="A3"/>
      <selection pane="bottomRight" activeCell="D3" sqref="D3:D388"/>
    </sheetView>
  </sheetViews>
  <sheetFormatPr defaultRowHeight="12"/>
  <cols>
    <col min="1" max="2" width="8.7265625" style="1"/>
    <col min="3" max="3" width="34.6328125" style="1" customWidth="1"/>
    <col min="4" max="4" width="49.7265625" style="1" customWidth="1"/>
    <col min="5" max="5" width="28.90625" style="1" customWidth="1"/>
    <col min="6" max="6" width="16.90625" style="1" customWidth="1"/>
    <col min="7" max="7" width="18.08984375" style="1" customWidth="1"/>
    <col min="8" max="16384" width="8.7265625" style="1"/>
  </cols>
  <sheetData>
    <row r="1" spans="2:9">
      <c r="E1" s="50" cm="1">
        <f t="array" ref="E1">SUMPRODUCT(--(LEN(E2:E397)&gt;0))</f>
        <v>4</v>
      </c>
      <c r="F1" s="50" cm="1">
        <f t="array" ref="F1">SUMPRODUCT(--(LEN(F2:F397)&gt;0))</f>
        <v>2</v>
      </c>
      <c r="G1" s="50" cm="1">
        <f t="array" ref="G1">SUMPRODUCT(--(LEN(G2:G397)&gt;0))</f>
        <v>13</v>
      </c>
      <c r="H1" s="50" cm="1">
        <f t="array" ref="H1">SUMPRODUCT(--(LEN(H2:H397)&gt;0))</f>
        <v>6</v>
      </c>
      <c r="I1" s="50" cm="1">
        <f t="array" ref="I1">SUMPRODUCT(--(LEN(I2:I397)&gt;0))</f>
        <v>11</v>
      </c>
    </row>
    <row r="2" spans="2:9">
      <c r="C2" s="2" t="s">
        <v>2021</v>
      </c>
      <c r="D2" s="2" t="s">
        <v>4843</v>
      </c>
      <c r="E2" s="51" t="s">
        <v>4847</v>
      </c>
      <c r="F2" s="51" t="s">
        <v>4844</v>
      </c>
      <c r="G2" s="51" t="s">
        <v>4845</v>
      </c>
      <c r="H2" s="51" t="s">
        <v>2033</v>
      </c>
      <c r="I2" s="51" t="s">
        <v>4846</v>
      </c>
    </row>
    <row r="3" spans="2:9">
      <c r="B3" s="1" t="str">
        <f>TRIM(D3)</f>
        <v/>
      </c>
      <c r="C3" s="46" t="s">
        <v>4637</v>
      </c>
      <c r="D3" s="1" t="s">
        <v>4848</v>
      </c>
      <c r="E3" s="1" t="str" cm="1">
        <f t="array" ref="E3">IFERROR(
  _xlfn.LET(
    _xlpm.searchText, Tests!$C3,
    _xlpm.dataRange, ITTO!$B$3:$F$300,
    _xlpm.headers, ITTO!$B$2:$F$2,
    _xlpm.matchMatrix, ISNUMBER(SEARCH(_xlpm.searchText, _xlpm.dataRange)),
    _xlpm.colMatch, _xlfn.XMATCH(TRUE, _xlfn.BYCOL(_xlpm.matchMatrix, _xlfn.LAMBDA(_xlpm.col, OR(_xlpm.col)))),
    INDEX(_xlpm.headers, _xlpm.colMatch)
  ),
  ""
)</f>
        <v/>
      </c>
      <c r="F3" s="1" t="str" cm="1">
        <f t="array" ref="F3">IFERROR(_xlfn.LET(_xlpm.searchText, Tests!$C3,_xlpm.dataRange, PMBOK!$B$3:$F$300,_xlpm.headers, PMBOK!$B$2:$F$2,_xlpm.matchMatrix, ISNUMBER(SEARCH(_xlpm.searchText, _xlpm.dataRange)),_xlpm.colMatch, _xlfn.XMATCH(TRUE, _xlfn.BYCOL(_xlpm.matchMatrix, _xlfn.LAMBDA(_xlpm.col, OR(_xlpm.col)))),INDEX(_xlpm.headers, _xlpm.colMatch)),"")</f>
        <v/>
      </c>
      <c r="G3" s="1" t="str" cm="1">
        <f t="array" ref="G3">IFERROR(_xlfn.LET(_xlpm.searchText, Tests!$C3,_xlpm.dataRange, 'Rita Quick test'!$B$3:$P$57,_xlpm.headers, 'Rita Quick test'!$B$2:$P$2,_xlpm.matchMatrix, ISNUMBER(SEARCH(_xlpm.searchText, _xlpm.dataRange)),_xlpm.colMatch, _xlfn.XMATCH(TRUE, _xlfn.BYCOL(_xlpm.matchMatrix, _xlfn.LAMBDA(_xlpm.col, OR(_xlpm.col)))),INDEX(_xlpm.headers, _xlpm.colMatch)),"")</f>
        <v/>
      </c>
      <c r="H3" s="1" t="str">
        <f>IFERROR(VLOOKUP("*" &amp; C3 &amp; "*",Terms!D:E,2,FALSE),"")</f>
        <v/>
      </c>
      <c r="I3" s="1" t="str">
        <f>IFERROR(VLOOKUP("*" &amp; C3 &amp; "*",'Terms 2'!B:D,3,FALSE),"")</f>
        <v/>
      </c>
    </row>
    <row r="4" spans="2:9">
      <c r="B4" s="1" t="str">
        <f t="shared" ref="B4:B67" si="0">TRIM(D4)</f>
        <v/>
      </c>
      <c r="C4" s="47" t="s">
        <v>4623</v>
      </c>
      <c r="D4" s="1" t="s">
        <v>4848</v>
      </c>
      <c r="E4" s="1" t="str" cm="1">
        <f t="array" ref="E4">IFERROR(
  _xlfn.LET(
    _xlpm.searchText, Tests!$C4,
    _xlpm.dataRange, ITTO!$B$3:$F$300,
    _xlpm.headers, ITTO!$B$2:$F$2,
    _xlpm.matchMatrix, ISNUMBER(SEARCH(_xlpm.searchText, _xlpm.dataRange)),
    _xlpm.colMatch, _xlfn.XMATCH(TRUE, _xlfn.BYCOL(_xlpm.matchMatrix, _xlfn.LAMBDA(_xlpm.col, OR(_xlpm.col)))),
    INDEX(_xlpm.headers, _xlpm.colMatch)
  ),
  ""
)</f>
        <v/>
      </c>
      <c r="F4" s="1" t="str" cm="1">
        <f t="array" ref="F4">IFERROR(_xlfn.LET(_xlpm.searchText, Tests!$C4,_xlpm.dataRange, PMBOK!$B$3:$F$300,_xlpm.headers, PMBOK!$B$2:$F$2,_xlpm.matchMatrix, ISNUMBER(SEARCH(_xlpm.searchText, _xlpm.dataRange)),_xlpm.colMatch, _xlfn.XMATCH(TRUE, _xlfn.BYCOL(_xlpm.matchMatrix, _xlfn.LAMBDA(_xlpm.col, OR(_xlpm.col)))),INDEX(_xlpm.headers, _xlpm.colMatch)),"")</f>
        <v/>
      </c>
      <c r="G4" s="1" t="str" cm="1">
        <f t="array" ref="G4">IFERROR(_xlfn.LET(_xlpm.searchText, Tests!$C4,_xlpm.dataRange, 'Rita Quick test'!$B$3:$P$57,_xlpm.headers, 'Rita Quick test'!$B$2:$P$2,_xlpm.matchMatrix, ISNUMBER(SEARCH(_xlpm.searchText, _xlpm.dataRange)),_xlpm.colMatch, _xlfn.XMATCH(TRUE, _xlfn.BYCOL(_xlpm.matchMatrix, _xlfn.LAMBDA(_xlpm.col, OR(_xlpm.col)))),INDEX(_xlpm.headers, _xlpm.colMatch)),"")</f>
        <v/>
      </c>
      <c r="H4" s="1" t="str">
        <f>IFERROR(VLOOKUP("*" &amp; C4 &amp; "*",Terms!D:E,2,FALSE),"")</f>
        <v/>
      </c>
      <c r="I4" s="1" t="str">
        <f>IFERROR(VLOOKUP("*" &amp; C4 &amp; "*",'Terms 2'!B:D,3,FALSE),"")</f>
        <v/>
      </c>
    </row>
    <row r="5" spans="2:9">
      <c r="B5" s="1" t="str">
        <f t="shared" si="0"/>
        <v/>
      </c>
      <c r="C5" s="47" t="s">
        <v>4700</v>
      </c>
      <c r="D5" s="1" t="s">
        <v>4848</v>
      </c>
      <c r="E5" s="1" t="str" cm="1">
        <f t="array" ref="E5">IFERROR(
  _xlfn.LET(
    _xlpm.searchText, Tests!$C5,
    _xlpm.dataRange, ITTO!$B$3:$F$300,
    _xlpm.headers, ITTO!$B$2:$F$2,
    _xlpm.matchMatrix, ISNUMBER(SEARCH(_xlpm.searchText, _xlpm.dataRange)),
    _xlpm.colMatch, _xlfn.XMATCH(TRUE, _xlfn.BYCOL(_xlpm.matchMatrix, _xlfn.LAMBDA(_xlpm.col, OR(_xlpm.col)))),
    INDEX(_xlpm.headers, _xlpm.colMatch)
  ),
  ""
)</f>
        <v/>
      </c>
      <c r="F5" s="1" t="str" cm="1">
        <f t="array" ref="F5">IFERROR(_xlfn.LET(_xlpm.searchText, Tests!$C5,_xlpm.dataRange, PMBOK!$B$3:$F$300,_xlpm.headers, PMBOK!$B$2:$F$2,_xlpm.matchMatrix, ISNUMBER(SEARCH(_xlpm.searchText, _xlpm.dataRange)),_xlpm.colMatch, _xlfn.XMATCH(TRUE, _xlfn.BYCOL(_xlpm.matchMatrix, _xlfn.LAMBDA(_xlpm.col, OR(_xlpm.col)))),INDEX(_xlpm.headers, _xlpm.colMatch)),"")</f>
        <v/>
      </c>
      <c r="G5" s="1" t="str" cm="1">
        <f t="array" ref="G5">IFERROR(_xlfn.LET(_xlpm.searchText, Tests!$C5,_xlpm.dataRange, 'Rita Quick test'!$B$3:$P$57,_xlpm.headers, 'Rita Quick test'!$B$2:$P$2,_xlpm.matchMatrix, ISNUMBER(SEARCH(_xlpm.searchText, _xlpm.dataRange)),_xlpm.colMatch, _xlfn.XMATCH(TRUE, _xlfn.BYCOL(_xlpm.matchMatrix, _xlfn.LAMBDA(_xlpm.col, OR(_xlpm.col)))),INDEX(_xlpm.headers, _xlpm.colMatch)),"")</f>
        <v/>
      </c>
      <c r="H5" s="1" t="str">
        <f>IFERROR(VLOOKUP("*" &amp; C5 &amp; "*",Terms!D:E,2,FALSE),"")</f>
        <v/>
      </c>
      <c r="I5" s="1" t="str">
        <f>IFERROR(VLOOKUP("*" &amp; C5 &amp; "*",'Terms 2'!B:D,3,FALSE),"")</f>
        <v/>
      </c>
    </row>
    <row r="6" spans="2:9">
      <c r="B6" s="1" t="str">
        <f t="shared" si="0"/>
        <v/>
      </c>
      <c r="C6" s="47" t="s">
        <v>4523</v>
      </c>
      <c r="D6" s="1" t="s">
        <v>4848</v>
      </c>
      <c r="E6" s="1" t="str" cm="1">
        <f t="array" ref="E6">IFERROR(
  _xlfn.LET(
    _xlpm.searchText, Tests!$C6,
    _xlpm.dataRange, ITTO!$B$3:$F$300,
    _xlpm.headers, ITTO!$B$2:$F$2,
    _xlpm.matchMatrix, ISNUMBER(SEARCH(_xlpm.searchText, _xlpm.dataRange)),
    _xlpm.colMatch, _xlfn.XMATCH(TRUE, _xlfn.BYCOL(_xlpm.matchMatrix, _xlfn.LAMBDA(_xlpm.col, OR(_xlpm.col)))),
    INDEX(_xlpm.headers, _xlpm.colMatch)
  ),
  ""
)</f>
        <v/>
      </c>
      <c r="F6" s="1" t="str" cm="1">
        <f t="array" ref="F6">IFERROR(_xlfn.LET(_xlpm.searchText, Tests!$C6,_xlpm.dataRange, PMBOK!$B$3:$F$300,_xlpm.headers, PMBOK!$B$2:$F$2,_xlpm.matchMatrix, ISNUMBER(SEARCH(_xlpm.searchText, _xlpm.dataRange)),_xlpm.colMatch, _xlfn.XMATCH(TRUE, _xlfn.BYCOL(_xlpm.matchMatrix, _xlfn.LAMBDA(_xlpm.col, OR(_xlpm.col)))),INDEX(_xlpm.headers, _xlpm.colMatch)),"")</f>
        <v/>
      </c>
      <c r="G6" s="1" t="str" cm="1">
        <f t="array" ref="G6">IFERROR(_xlfn.LET(_xlpm.searchText, Tests!$C6,_xlpm.dataRange, 'Rita Quick test'!$B$3:$P$57,_xlpm.headers, 'Rita Quick test'!$B$2:$P$2,_xlpm.matchMatrix, ISNUMBER(SEARCH(_xlpm.searchText, _xlpm.dataRange)),_xlpm.colMatch, _xlfn.XMATCH(TRUE, _xlfn.BYCOL(_xlpm.matchMatrix, _xlfn.LAMBDA(_xlpm.col, OR(_xlpm.col)))),INDEX(_xlpm.headers, _xlpm.colMatch)),"")</f>
        <v/>
      </c>
      <c r="H6" s="1" t="str">
        <f>IFERROR(VLOOKUP("*" &amp; C6 &amp; "*",Terms!D:E,2,FALSE),"")</f>
        <v/>
      </c>
      <c r="I6" s="1" t="str">
        <f>IFERROR(VLOOKUP("*" &amp; C6 &amp; "*",'Terms 2'!B:D,3,FALSE),"")</f>
        <v/>
      </c>
    </row>
    <row r="7" spans="2:9">
      <c r="B7" s="1" t="str">
        <f t="shared" si="0"/>
        <v/>
      </c>
      <c r="C7" s="47" t="s">
        <v>4501</v>
      </c>
      <c r="D7" s="1" t="s">
        <v>4848</v>
      </c>
      <c r="E7" s="1" t="str" cm="1">
        <f t="array" ref="E7">IFERROR(
  _xlfn.LET(
    _xlpm.searchText, Tests!$C7,
    _xlpm.dataRange, ITTO!$B$3:$F$300,
    _xlpm.headers, ITTO!$B$2:$F$2,
    _xlpm.matchMatrix, ISNUMBER(SEARCH(_xlpm.searchText, _xlpm.dataRange)),
    _xlpm.colMatch, _xlfn.XMATCH(TRUE, _xlfn.BYCOL(_xlpm.matchMatrix, _xlfn.LAMBDA(_xlpm.col, OR(_xlpm.col)))),
    INDEX(_xlpm.headers, _xlpm.colMatch)
  ),
  ""
)</f>
        <v/>
      </c>
      <c r="F7" s="1" t="str" cm="1">
        <f t="array" ref="F7">IFERROR(_xlfn.LET(_xlpm.searchText, Tests!$C7,_xlpm.dataRange, PMBOK!$B$3:$F$300,_xlpm.headers, PMBOK!$B$2:$F$2,_xlpm.matchMatrix, ISNUMBER(SEARCH(_xlpm.searchText, _xlpm.dataRange)),_xlpm.colMatch, _xlfn.XMATCH(TRUE, _xlfn.BYCOL(_xlpm.matchMatrix, _xlfn.LAMBDA(_xlpm.col, OR(_xlpm.col)))),INDEX(_xlpm.headers, _xlpm.colMatch)),"")</f>
        <v/>
      </c>
      <c r="G7" s="1" t="str" cm="1">
        <f t="array" ref="G7">IFERROR(_xlfn.LET(_xlpm.searchText, Tests!$C7,_xlpm.dataRange, 'Rita Quick test'!$B$3:$P$57,_xlpm.headers, 'Rita Quick test'!$B$2:$P$2,_xlpm.matchMatrix, ISNUMBER(SEARCH(_xlpm.searchText, _xlpm.dataRange)),_xlpm.colMatch, _xlfn.XMATCH(TRUE, _xlfn.BYCOL(_xlpm.matchMatrix, _xlfn.LAMBDA(_xlpm.col, OR(_xlpm.col)))),INDEX(_xlpm.headers, _xlpm.colMatch)),"")</f>
        <v/>
      </c>
      <c r="H7" s="1" t="str">
        <f>IFERROR(VLOOKUP("*" &amp; C7 &amp; "*",Terms!D:E,2,FALSE),"")</f>
        <v/>
      </c>
      <c r="I7" s="1" t="str">
        <f>IFERROR(VLOOKUP("*" &amp; C7 &amp; "*",'Terms 2'!B:D,3,FALSE),"")</f>
        <v/>
      </c>
    </row>
    <row r="8" spans="2:9">
      <c r="B8" s="1" t="str">
        <f t="shared" si="0"/>
        <v/>
      </c>
      <c r="C8" s="47" t="s">
        <v>1118</v>
      </c>
      <c r="D8" s="1" t="s">
        <v>4848</v>
      </c>
      <c r="E8" s="1" t="str" cm="1">
        <f t="array" ref="E8">IFERROR(
  _xlfn.LET(
    _xlpm.searchText, Tests!$C8,
    _xlpm.dataRange, ITTO!$B$3:$F$300,
    _xlpm.headers, ITTO!$B$2:$F$2,
    _xlpm.matchMatrix, ISNUMBER(SEARCH(_xlpm.searchText, _xlpm.dataRange)),
    _xlpm.colMatch, _xlfn.XMATCH(TRUE, _xlfn.BYCOL(_xlpm.matchMatrix, _xlfn.LAMBDA(_xlpm.col, OR(_xlpm.col)))),
    INDEX(_xlpm.headers, _xlpm.colMatch)
  ),
  ""
)</f>
        <v/>
      </c>
      <c r="F8" s="1" t="str" cm="1">
        <f t="array" ref="F8">IFERROR(_xlfn.LET(_xlpm.searchText, Tests!$C8,_xlpm.dataRange, PMBOK!$B$3:$F$300,_xlpm.headers, PMBOK!$B$2:$F$2,_xlpm.matchMatrix, ISNUMBER(SEARCH(_xlpm.searchText, _xlpm.dataRange)),_xlpm.colMatch, _xlfn.XMATCH(TRUE, _xlfn.BYCOL(_xlpm.matchMatrix, _xlfn.LAMBDA(_xlpm.col, OR(_xlpm.col)))),INDEX(_xlpm.headers, _xlpm.colMatch)),"")</f>
        <v/>
      </c>
      <c r="G8" s="1" t="str" cm="1">
        <f t="array" ref="G8">IFERROR(_xlfn.LET(_xlpm.searchText, Tests!$C8,_xlpm.dataRange, 'Rita Quick test'!$B$3:$P$57,_xlpm.headers, 'Rita Quick test'!$B$2:$P$2,_xlpm.matchMatrix, ISNUMBER(SEARCH(_xlpm.searchText, _xlpm.dataRange)),_xlpm.colMatch, _xlfn.XMATCH(TRUE, _xlfn.BYCOL(_xlpm.matchMatrix, _xlfn.LAMBDA(_xlpm.col, OR(_xlpm.col)))),INDEX(_xlpm.headers, _xlpm.colMatch)),"")</f>
        <v>Leadership Skills</v>
      </c>
      <c r="H8" s="1" t="str">
        <f>IFERROR(VLOOKUP("*" &amp; C8 &amp; "*",Terms!D:E,2,FALSE),"")</f>
        <v xml:space="preserve">Active listening The receiver confirms that the message is being received through feedback, questions, prompts for clarity, and other signs of confirmation.           </v>
      </c>
      <c r="I8" s="1" t="str">
        <f>IFERROR(VLOOKUP("*" &amp; C8 &amp; "*",'Terms 2'!B:D,3,FALSE),"")</f>
        <v/>
      </c>
    </row>
    <row r="9" spans="2:9">
      <c r="B9" s="1" t="str">
        <f t="shared" si="0"/>
        <v>When a customer would like to add a change to an agile project, they simply added to the product backlog. That new feature will then be prioritized based on its value in the product backlog.</v>
      </c>
      <c r="C9" s="47" t="s">
        <v>4695</v>
      </c>
      <c r="D9" s="48" t="s">
        <v>4697</v>
      </c>
      <c r="E9" s="1" t="str" cm="1">
        <f t="array" ref="E9">IFERROR(
  _xlfn.LET(
    _xlpm.searchText, Tests!$C9,
    _xlpm.dataRange, ITTO!$B$3:$F$300,
    _xlpm.headers, ITTO!$B$2:$F$2,
    _xlpm.matchMatrix, ISNUMBER(SEARCH(_xlpm.searchText, _xlpm.dataRange)),
    _xlpm.colMatch, _xlfn.XMATCH(TRUE, _xlfn.BYCOL(_xlpm.matchMatrix, _xlfn.LAMBDA(_xlpm.col, OR(_xlpm.col)))),
    INDEX(_xlpm.headers, _xlpm.colMatch)
  ),
  ""
)</f>
        <v/>
      </c>
      <c r="F9" s="1" t="str" cm="1">
        <f t="array" ref="F9">IFERROR(_xlfn.LET(_xlpm.searchText, Tests!$C9,_xlpm.dataRange, PMBOK!$B$3:$F$300,_xlpm.headers, PMBOK!$B$2:$F$2,_xlpm.matchMatrix, ISNUMBER(SEARCH(_xlpm.searchText, _xlpm.dataRange)),_xlpm.colMatch, _xlfn.XMATCH(TRUE, _xlfn.BYCOL(_xlpm.matchMatrix, _xlfn.LAMBDA(_xlpm.col, OR(_xlpm.col)))),INDEX(_xlpm.headers, _xlpm.colMatch)),"")</f>
        <v/>
      </c>
      <c r="G9" s="1" t="str" cm="1">
        <f t="array" ref="G9">IFERROR(_xlfn.LET(_xlpm.searchText, Tests!$C9,_xlpm.dataRange, 'Rita Quick test'!$B$3:$P$57,_xlpm.headers, 'Rita Quick test'!$B$2:$P$2,_xlpm.matchMatrix, ISNUMBER(SEARCH(_xlpm.searchText, _xlpm.dataRange)),_xlpm.colMatch, _xlfn.XMATCH(TRUE, _xlfn.BYCOL(_xlpm.matchMatrix, _xlfn.LAMBDA(_xlpm.col, OR(_xlpm.col)))),INDEX(_xlpm.headers, _xlpm.colMatch)),"")</f>
        <v/>
      </c>
      <c r="H9" s="1" t="str">
        <f>IFERROR(VLOOKUP("*" &amp; C9 &amp; "*",Terms!D:E,2,FALSE),"")</f>
        <v/>
      </c>
      <c r="I9" s="1" t="str">
        <f>IFERROR(VLOOKUP("*" &amp; C9 &amp; "*",'Terms 2'!B:D,3,FALSE),"")</f>
        <v/>
      </c>
    </row>
    <row r="10" spans="2:9">
      <c r="B10" s="1" t="str">
        <f t="shared" si="0"/>
        <v/>
      </c>
      <c r="C10" s="47" t="s">
        <v>4761</v>
      </c>
      <c r="D10" s="1" t="s">
        <v>4848</v>
      </c>
      <c r="E10" s="1" t="str" cm="1">
        <f t="array" ref="E10">IFERROR(
  _xlfn.LET(
    _xlpm.searchText, Tests!$C10,
    _xlpm.dataRange, ITTO!$B$3:$F$300,
    _xlpm.headers, ITTO!$B$2:$F$2,
    _xlpm.matchMatrix, ISNUMBER(SEARCH(_xlpm.searchText, _xlpm.dataRange)),
    _xlpm.colMatch, _xlfn.XMATCH(TRUE, _xlfn.BYCOL(_xlpm.matchMatrix, _xlfn.LAMBDA(_xlpm.col, OR(_xlpm.col)))),
    INDEX(_xlpm.headers, _xlpm.colMatch)
  ),
  ""
)</f>
        <v/>
      </c>
      <c r="F10" s="1" t="str" cm="1">
        <f t="array" ref="F10">IFERROR(_xlfn.LET(_xlpm.searchText, Tests!$C10,_xlpm.dataRange, PMBOK!$B$3:$F$300,_xlpm.headers, PMBOK!$B$2:$F$2,_xlpm.matchMatrix, ISNUMBER(SEARCH(_xlpm.searchText, _xlpm.dataRange)),_xlpm.colMatch, _xlfn.XMATCH(TRUE, _xlfn.BYCOL(_xlpm.matchMatrix, _xlfn.LAMBDA(_xlpm.col, OR(_xlpm.col)))),INDEX(_xlpm.headers, _xlpm.colMatch)),"")</f>
        <v/>
      </c>
      <c r="G10" s="1" t="str" cm="1">
        <f t="array" ref="G10">IFERROR(_xlfn.LET(_xlpm.searchText, Tests!$C10,_xlpm.dataRange, 'Rita Quick test'!$B$3:$P$57,_xlpm.headers, 'Rita Quick test'!$B$2:$P$2,_xlpm.matchMatrix, ISNUMBER(SEARCH(_xlpm.searchText, _xlpm.dataRange)),_xlpm.colMatch, _xlfn.XMATCH(TRUE, _xlfn.BYCOL(_xlpm.matchMatrix, _xlfn.LAMBDA(_xlpm.col, OR(_xlpm.col)))),INDEX(_xlpm.headers, _xlpm.colMatch)),"")</f>
        <v/>
      </c>
      <c r="H10" s="1" t="str">
        <f>IFERROR(VLOOKUP("*" &amp; C10 &amp; "*",Terms!D:E,2,FALSE),"")</f>
        <v/>
      </c>
      <c r="I10" s="1" t="str">
        <f>IFERROR(VLOOKUP("*" &amp; C10 &amp; "*",'Terms 2'!B:D,3,FALSE),"")</f>
        <v/>
      </c>
    </row>
    <row r="11" spans="2:9">
      <c r="B11" s="1" t="str">
        <f t="shared" si="0"/>
        <v>A project scope statement not only contains the project’s deliverables but also the exclusions, which are features the project will not accomplish. Mark should not add the feature due to the company’s inability to install it.</v>
      </c>
      <c r="C11" s="47" t="s">
        <v>4762</v>
      </c>
      <c r="D11" s="48" t="s">
        <v>4765</v>
      </c>
      <c r="E11" s="1" t="str" cm="1">
        <f t="array" ref="E11">IFERROR(
  _xlfn.LET(
    _xlpm.searchText, Tests!$C11,
    _xlpm.dataRange, ITTO!$B$3:$F$300,
    _xlpm.headers, ITTO!$B$2:$F$2,
    _xlpm.matchMatrix, ISNUMBER(SEARCH(_xlpm.searchText, _xlpm.dataRange)),
    _xlpm.colMatch, _xlfn.XMATCH(TRUE, _xlfn.BYCOL(_xlpm.matchMatrix, _xlfn.LAMBDA(_xlpm.col, OR(_xlpm.col)))),
    INDEX(_xlpm.headers, _xlpm.colMatch)
  ),
  ""
)</f>
        <v/>
      </c>
      <c r="F11" s="1" t="str" cm="1">
        <f t="array" ref="F11">IFERROR(_xlfn.LET(_xlpm.searchText, Tests!$C11,_xlpm.dataRange, PMBOK!$B$3:$F$300,_xlpm.headers, PMBOK!$B$2:$F$2,_xlpm.matchMatrix, ISNUMBER(SEARCH(_xlpm.searchText, _xlpm.dataRange)),_xlpm.colMatch, _xlfn.XMATCH(TRUE, _xlfn.BYCOL(_xlpm.matchMatrix, _xlfn.LAMBDA(_xlpm.col, OR(_xlpm.col)))),INDEX(_xlpm.headers, _xlpm.colMatch)),"")</f>
        <v/>
      </c>
      <c r="G11" s="1" t="str" cm="1">
        <f t="array" ref="G11">IFERROR(_xlfn.LET(_xlpm.searchText, Tests!$C11,_xlpm.dataRange, 'Rita Quick test'!$B$3:$P$57,_xlpm.headers, 'Rita Quick test'!$B$2:$P$2,_xlpm.matchMatrix, ISNUMBER(SEARCH(_xlpm.searchText, _xlpm.dataRange)),_xlpm.colMatch, _xlfn.XMATCH(TRUE, _xlfn.BYCOL(_xlpm.matchMatrix, _xlfn.LAMBDA(_xlpm.col, OR(_xlpm.col)))),INDEX(_xlpm.headers, _xlpm.colMatch)),"")</f>
        <v/>
      </c>
      <c r="H11" s="1" t="str">
        <f>IFERROR(VLOOKUP("*" &amp; C11 &amp; "*",Terms!D:E,2,FALSE),"")</f>
        <v/>
      </c>
      <c r="I11" s="1" t="str">
        <f>IFERROR(VLOOKUP("*" &amp; C11 &amp; "*",'Terms 2'!B:D,3,FALSE),"")</f>
        <v/>
      </c>
    </row>
    <row r="12" spans="2:9">
      <c r="B12" s="1" t="str">
        <f t="shared" si="0"/>
        <v>You should not add changes to a project management plan without it being first approved</v>
      </c>
      <c r="C12" s="47" t="s">
        <v>4676</v>
      </c>
      <c r="D12" s="49" t="s">
        <v>4681</v>
      </c>
      <c r="E12" s="1" t="str" cm="1">
        <f t="array" ref="E12">IFERROR(
  _xlfn.LET(
    _xlpm.searchText, Tests!$C12,
    _xlpm.dataRange, ITTO!$B$3:$F$300,
    _xlpm.headers, ITTO!$B$2:$F$2,
    _xlpm.matchMatrix, ISNUMBER(SEARCH(_xlpm.searchText, _xlpm.dataRange)),
    _xlpm.colMatch, _xlfn.XMATCH(TRUE, _xlfn.BYCOL(_xlpm.matchMatrix, _xlfn.LAMBDA(_xlpm.col, OR(_xlpm.col)))),
    INDEX(_xlpm.headers, _xlpm.colMatch)
  ),
  ""
)</f>
        <v/>
      </c>
      <c r="F12" s="1" t="str" cm="1">
        <f t="array" ref="F12">IFERROR(_xlfn.LET(_xlpm.searchText, Tests!$C12,_xlpm.dataRange, PMBOK!$B$3:$F$300,_xlpm.headers, PMBOK!$B$2:$F$2,_xlpm.matchMatrix, ISNUMBER(SEARCH(_xlpm.searchText, _xlpm.dataRange)),_xlpm.colMatch, _xlfn.XMATCH(TRUE, _xlfn.BYCOL(_xlpm.matchMatrix, _xlfn.LAMBDA(_xlpm.col, OR(_xlpm.col)))),INDEX(_xlpm.headers, _xlpm.colMatch)),"")</f>
        <v/>
      </c>
      <c r="G12" s="1" t="str" cm="1">
        <f t="array" ref="G12">IFERROR(_xlfn.LET(_xlpm.searchText, Tests!$C12,_xlpm.dataRange, 'Rita Quick test'!$B$3:$P$57,_xlpm.headers, 'Rita Quick test'!$B$2:$P$2,_xlpm.matchMatrix, ISNUMBER(SEARCH(_xlpm.searchText, _xlpm.dataRange)),_xlpm.colMatch, _xlfn.XMATCH(TRUE, _xlfn.BYCOL(_xlpm.matchMatrix, _xlfn.LAMBDA(_xlpm.col, OR(_xlpm.col)))),INDEX(_xlpm.headers, _xlpm.colMatch)),"")</f>
        <v/>
      </c>
      <c r="H12" s="1" t="str">
        <f>IFERROR(VLOOKUP("*" &amp; C12 &amp; "*",Terms!D:E,2,FALSE),"")</f>
        <v/>
      </c>
      <c r="I12" s="1" t="str">
        <f>IFERROR(VLOOKUP("*" &amp; C12 &amp; "*",'Terms 2'!B:D,3,FALSE),"")</f>
        <v/>
      </c>
    </row>
    <row r="13" spans="2:9">
      <c r="B13" s="1" t="str">
        <f t="shared" si="0"/>
        <v/>
      </c>
      <c r="C13" s="47" t="s">
        <v>4434</v>
      </c>
      <c r="D13" s="1" t="s">
        <v>4848</v>
      </c>
      <c r="E13" s="1" t="str" cm="1">
        <f t="array" ref="E13">IFERROR(
  _xlfn.LET(
    _xlpm.searchText, Tests!$C13,
    _xlpm.dataRange, ITTO!$B$3:$F$300,
    _xlpm.headers, ITTO!$B$2:$F$2,
    _xlpm.matchMatrix, ISNUMBER(SEARCH(_xlpm.searchText, _xlpm.dataRange)),
    _xlpm.colMatch, _xlfn.XMATCH(TRUE, _xlfn.BYCOL(_xlpm.matchMatrix, _xlfn.LAMBDA(_xlpm.col, OR(_xlpm.col)))),
    INDEX(_xlpm.headers, _xlpm.colMatch)
  ),
  ""
)</f>
        <v/>
      </c>
      <c r="F13" s="1" t="str" cm="1">
        <f t="array" ref="F13">IFERROR(_xlfn.LET(_xlpm.searchText, Tests!$C13,_xlpm.dataRange, PMBOK!$B$3:$F$300,_xlpm.headers, PMBOK!$B$2:$F$2,_xlpm.matchMatrix, ISNUMBER(SEARCH(_xlpm.searchText, _xlpm.dataRange)),_xlpm.colMatch, _xlfn.XMATCH(TRUE, _xlfn.BYCOL(_xlpm.matchMatrix, _xlfn.LAMBDA(_xlpm.col, OR(_xlpm.col)))),INDEX(_xlpm.headers, _xlpm.colMatch)),"")</f>
        <v/>
      </c>
      <c r="G13" s="1" t="str" cm="1">
        <f t="array" ref="G13">IFERROR(_xlfn.LET(_xlpm.searchText, Tests!$C13,_xlpm.dataRange, 'Rita Quick test'!$B$3:$P$57,_xlpm.headers, 'Rita Quick test'!$B$2:$P$2,_xlpm.matchMatrix, ISNUMBER(SEARCH(_xlpm.searchText, _xlpm.dataRange)),_xlpm.colMatch, _xlfn.XMATCH(TRUE, _xlfn.BYCOL(_xlpm.matchMatrix, _xlfn.LAMBDA(_xlpm.col, OR(_xlpm.col)))),INDEX(_xlpm.headers, _xlpm.colMatch)),"")</f>
        <v/>
      </c>
      <c r="H13" s="1" t="str">
        <f>IFERROR(VLOOKUP("*" &amp; C13 &amp; "*",Terms!D:E,2,FALSE),"")</f>
        <v/>
      </c>
      <c r="I13" s="1" t="str">
        <f>IFERROR(VLOOKUP("*" &amp; C13 &amp; "*",'Terms 2'!B:D,3,FALSE),"")</f>
        <v/>
      </c>
    </row>
    <row r="14" spans="2:9">
      <c r="B14" s="1" t="str">
        <f t="shared" si="0"/>
        <v>An affinity diagram is used to group large numbers of ideas to be analyzed.</v>
      </c>
      <c r="C14" s="33" t="s">
        <v>856</v>
      </c>
      <c r="D14" s="49" t="s">
        <v>4849</v>
      </c>
      <c r="E14" s="1" t="str" cm="1">
        <f t="array" ref="E14">IFERROR(
  _xlfn.LET(
    _xlpm.searchText, Tests!$C14,
    _xlpm.dataRange, ITTO!$B$3:$F$300,
    _xlpm.headers, ITTO!$B$2:$F$2,
    _xlpm.matchMatrix, ISNUMBER(SEARCH(_xlpm.searchText, _xlpm.dataRange)),
    _xlpm.colMatch, _xlfn.XMATCH(TRUE, _xlfn.BYCOL(_xlpm.matchMatrix, _xlfn.LAMBDA(_xlpm.col, OR(_xlpm.col)))),
    INDEX(_xlpm.headers, _xlpm.colMatch)
  ),
  ""
)</f>
        <v/>
      </c>
      <c r="F14" s="1" t="str" cm="1">
        <f t="array" ref="F14">IFERROR(_xlfn.LET(_xlpm.searchText, Tests!$C14,_xlpm.dataRange, PMBOK!$B$3:$F$300,_xlpm.headers, PMBOK!$B$2:$F$2,_xlpm.matchMatrix, ISNUMBER(SEARCH(_xlpm.searchText, _xlpm.dataRange)),_xlpm.colMatch, _xlfn.XMATCH(TRUE, _xlfn.BYCOL(_xlpm.matchMatrix, _xlfn.LAMBDA(_xlpm.col, OR(_xlpm.col)))),INDEX(_xlpm.headers, _xlpm.colMatch)),"")</f>
        <v/>
      </c>
      <c r="G14" s="1" t="str" cm="1">
        <f t="array" ref="G14">IFERROR(_xlfn.LET(_xlpm.searchText, Tests!$C14,_xlpm.dataRange, 'Rita Quick test'!$B$3:$P$57,_xlpm.headers, 'Rita Quick test'!$B$2:$P$2,_xlpm.matchMatrix, ISNUMBER(SEARCH(_xlpm.searchText, _xlpm.dataRange)),_xlpm.colMatch, _xlfn.XMATCH(TRUE, _xlfn.BYCOL(_xlpm.matchMatrix, _xlfn.LAMBDA(_xlpm.col, OR(_xlpm.col)))),INDEX(_xlpm.headers, _xlpm.colMatch)),"")</f>
        <v>Scope</v>
      </c>
      <c r="H14" s="1" t="str">
        <f>IFERROR(VLOOKUP("*" &amp; C14 &amp; "*",Terms!D:E,2,FALSE),"")</f>
        <v xml:space="preserve">Affinity diagram This diagram breaks down ideas, solutions, causes, and project components and groups them together with other similar ideas and components.          </v>
      </c>
      <c r="I14" s="1" t="str">
        <f>IFERROR(VLOOKUP("*" &amp; C14 &amp; "*",'Terms 2'!B:D,3,FALSE),"")</f>
        <v xml:space="preserve"> A diagram that shows large numbers of ideas classified into groups for review and analysis</v>
      </c>
    </row>
    <row r="15" spans="2:9">
      <c r="B15" s="1" t="str">
        <f t="shared" si="0"/>
        <v/>
      </c>
      <c r="C15" s="47" t="s">
        <v>4737</v>
      </c>
      <c r="D15" s="1" t="s">
        <v>4848</v>
      </c>
      <c r="E15" s="1" t="str" cm="1">
        <f t="array" ref="E15">IFERROR(
  _xlfn.LET(
    _xlpm.searchText, Tests!$C15,
    _xlpm.dataRange, ITTO!$B$3:$F$300,
    _xlpm.headers, ITTO!$B$2:$F$2,
    _xlpm.matchMatrix, ISNUMBER(SEARCH(_xlpm.searchText, _xlpm.dataRange)),
    _xlpm.colMatch, _xlfn.XMATCH(TRUE, _xlfn.BYCOL(_xlpm.matchMatrix, _xlfn.LAMBDA(_xlpm.col, OR(_xlpm.col)))),
    INDEX(_xlpm.headers, _xlpm.colMatch)
  ),
  ""
)</f>
        <v/>
      </c>
      <c r="F15" s="1" t="str" cm="1">
        <f t="array" ref="F15">IFERROR(_xlfn.LET(_xlpm.searchText, Tests!$C15,_xlpm.dataRange, PMBOK!$B$3:$F$300,_xlpm.headers, PMBOK!$B$2:$F$2,_xlpm.matchMatrix, ISNUMBER(SEARCH(_xlpm.searchText, _xlpm.dataRange)),_xlpm.colMatch, _xlfn.XMATCH(TRUE, _xlfn.BYCOL(_xlpm.matchMatrix, _xlfn.LAMBDA(_xlpm.col, OR(_xlpm.col)))),INDEX(_xlpm.headers, _xlpm.colMatch)),"")</f>
        <v/>
      </c>
      <c r="G15" s="1" t="str" cm="1">
        <f t="array" ref="G15">IFERROR(_xlfn.LET(_xlpm.searchText, Tests!$C15,_xlpm.dataRange, 'Rita Quick test'!$B$3:$P$57,_xlpm.headers, 'Rita Quick test'!$B$2:$P$2,_xlpm.matchMatrix, ISNUMBER(SEARCH(_xlpm.searchText, _xlpm.dataRange)),_xlpm.colMatch, _xlfn.XMATCH(TRUE, _xlfn.BYCOL(_xlpm.matchMatrix, _xlfn.LAMBDA(_xlpm.col, OR(_xlpm.col)))),INDEX(_xlpm.headers, _xlpm.colMatch)),"")</f>
        <v/>
      </c>
      <c r="H15" s="1" t="str">
        <f>IFERROR(VLOOKUP("*" &amp; C15 &amp; "*",Terms!D:E,2,FALSE),"")</f>
        <v/>
      </c>
      <c r="I15" s="1" t="str">
        <f>IFERROR(VLOOKUP("*" &amp; C15 &amp; "*",'Terms 2'!B:D,3,FALSE),"")</f>
        <v/>
      </c>
    </row>
    <row r="16" spans="2:9">
      <c r="B16" s="1" t="str">
        <f t="shared" si="0"/>
        <v>Analogous estimates are based on historical information to estimate the cost of each activity.</v>
      </c>
      <c r="C16" s="47" t="s">
        <v>4444</v>
      </c>
      <c r="D16" s="48" t="s">
        <v>4448</v>
      </c>
      <c r="E16" s="1" t="str" cm="1">
        <f t="array" ref="E16">IFERROR(
  _xlfn.LET(
    _xlpm.searchText, Tests!$C16,
    _xlpm.dataRange, ITTO!$B$3:$F$300,
    _xlpm.headers, ITTO!$B$2:$F$2,
    _xlpm.matchMatrix, ISNUMBER(SEARCH(_xlpm.searchText, _xlpm.dataRange)),
    _xlpm.colMatch, _xlfn.XMATCH(TRUE, _xlfn.BYCOL(_xlpm.matchMatrix, _xlfn.LAMBDA(_xlpm.col, OR(_xlpm.col)))),
    INDEX(_xlpm.headers, _xlpm.colMatch)
  ),
  ""
)</f>
        <v/>
      </c>
      <c r="F16" s="1" t="str" cm="1">
        <f t="array" ref="F16">IFERROR(_xlfn.LET(_xlpm.searchText, Tests!$C16,_xlpm.dataRange, PMBOK!$B$3:$F$300,_xlpm.headers, PMBOK!$B$2:$F$2,_xlpm.matchMatrix, ISNUMBER(SEARCH(_xlpm.searchText, _xlpm.dataRange)),_xlpm.colMatch, _xlfn.XMATCH(TRUE, _xlfn.BYCOL(_xlpm.matchMatrix, _xlfn.LAMBDA(_xlpm.col, OR(_xlpm.col)))),INDEX(_xlpm.headers, _xlpm.colMatch)),"")</f>
        <v/>
      </c>
      <c r="G16" s="1" t="str" cm="1">
        <f t="array" ref="G16">IFERROR(_xlfn.LET(_xlpm.searchText, Tests!$C16,_xlpm.dataRange, 'Rita Quick test'!$B$3:$P$57,_xlpm.headers, 'Rita Quick test'!$B$2:$P$2,_xlpm.matchMatrix, ISNUMBER(SEARCH(_xlpm.searchText, _xlpm.dataRange)),_xlpm.colMatch, _xlfn.XMATCH(TRUE, _xlfn.BYCOL(_xlpm.matchMatrix, _xlfn.LAMBDA(_xlpm.col, OR(_xlpm.col)))),INDEX(_xlpm.headers, _xlpm.colMatch)),"")</f>
        <v/>
      </c>
      <c r="H16" s="1" t="str">
        <f>IFERROR(VLOOKUP("*" &amp; C16 &amp; "*",Terms!D:E,2,FALSE),"")</f>
        <v/>
      </c>
      <c r="I16" s="1" t="str">
        <f>IFERROR(VLOOKUP("*" &amp; C16 &amp; "*",'Terms 2'!B:D,3,FALSE),"")</f>
        <v/>
      </c>
    </row>
    <row r="17" spans="2:9">
      <c r="B17" s="1" t="str">
        <f t="shared" si="0"/>
        <v>Top-down and analogous are the same and are high-level estimates based on historical data.</v>
      </c>
      <c r="C17" s="47" t="s">
        <v>4742</v>
      </c>
      <c r="D17" s="49" t="s">
        <v>4850</v>
      </c>
      <c r="E17" s="1" t="str" cm="1">
        <f t="array" ref="E17">IFERROR(
  _xlfn.LET(
    _xlpm.searchText, Tests!$C17,
    _xlpm.dataRange, ITTO!$B$3:$F$300,
    _xlpm.headers, ITTO!$B$2:$F$2,
    _xlpm.matchMatrix, ISNUMBER(SEARCH(_xlpm.searchText, _xlpm.dataRange)),
    _xlpm.colMatch, _xlfn.XMATCH(TRUE, _xlfn.BYCOL(_xlpm.matchMatrix, _xlfn.LAMBDA(_xlpm.col, OR(_xlpm.col)))),
    INDEX(_xlpm.headers, _xlpm.colMatch)
  ),
  ""
)</f>
        <v/>
      </c>
      <c r="F17" s="1" t="str" cm="1">
        <f t="array" ref="F17">IFERROR(_xlfn.LET(_xlpm.searchText, Tests!$C17,_xlpm.dataRange, PMBOK!$B$3:$F$300,_xlpm.headers, PMBOK!$B$2:$F$2,_xlpm.matchMatrix, ISNUMBER(SEARCH(_xlpm.searchText, _xlpm.dataRange)),_xlpm.colMatch, _xlfn.XMATCH(TRUE, _xlfn.BYCOL(_xlpm.matchMatrix, _xlfn.LAMBDA(_xlpm.col, OR(_xlpm.col)))),INDEX(_xlpm.headers, _xlpm.colMatch)),"")</f>
        <v/>
      </c>
      <c r="G17" s="1" t="str" cm="1">
        <f t="array" ref="G17">IFERROR(_xlfn.LET(_xlpm.searchText, Tests!$C17,_xlpm.dataRange, 'Rita Quick test'!$B$3:$P$57,_xlpm.headers, 'Rita Quick test'!$B$2:$P$2,_xlpm.matchMatrix, ISNUMBER(SEARCH(_xlpm.searchText, _xlpm.dataRange)),_xlpm.colMatch, _xlfn.XMATCH(TRUE, _xlfn.BYCOL(_xlpm.matchMatrix, _xlfn.LAMBDA(_xlpm.col, OR(_xlpm.col)))),INDEX(_xlpm.headers, _xlpm.colMatch)),"")</f>
        <v/>
      </c>
      <c r="H17" s="1" t="str">
        <f>IFERROR(VLOOKUP("*" &amp; C17 &amp; "*",Terms!D:E,2,FALSE),"")</f>
        <v/>
      </c>
      <c r="I17" s="1" t="str">
        <f>IFERROR(VLOOKUP("*" &amp; C17 &amp; "*",'Terms 2'!B:D,3,FALSE),"")</f>
        <v/>
      </c>
    </row>
    <row r="18" spans="2:9">
      <c r="B18" s="1" t="str">
        <f t="shared" si="0"/>
        <v>On a very small project, the project manager may ask the sponsor to approve or deny changes. The project manager’s main job is to document and assess changes to the project.</v>
      </c>
      <c r="C18" s="47" t="s">
        <v>4645</v>
      </c>
      <c r="D18" s="49" t="s">
        <v>4649</v>
      </c>
      <c r="E18" s="1" t="str" cm="1">
        <f t="array" ref="E18">IFERROR(
  _xlfn.LET(
    _xlpm.searchText, Tests!$C18,
    _xlpm.dataRange, ITTO!$B$3:$F$300,
    _xlpm.headers, ITTO!$B$2:$F$2,
    _xlpm.matchMatrix, ISNUMBER(SEARCH(_xlpm.searchText, _xlpm.dataRange)),
    _xlpm.colMatch, _xlfn.XMATCH(TRUE, _xlfn.BYCOL(_xlpm.matchMatrix, _xlfn.LAMBDA(_xlpm.col, OR(_xlpm.col)))),
    INDEX(_xlpm.headers, _xlpm.colMatch)
  ),
  ""
)</f>
        <v/>
      </c>
      <c r="F18" s="1" t="str" cm="1">
        <f t="array" ref="F18">IFERROR(_xlfn.LET(_xlpm.searchText, Tests!$C18,_xlpm.dataRange, PMBOK!$B$3:$F$300,_xlpm.headers, PMBOK!$B$2:$F$2,_xlpm.matchMatrix, ISNUMBER(SEARCH(_xlpm.searchText, _xlpm.dataRange)),_xlpm.colMatch, _xlfn.XMATCH(TRUE, _xlfn.BYCOL(_xlpm.matchMatrix, _xlfn.LAMBDA(_xlpm.col, OR(_xlpm.col)))),INDEX(_xlpm.headers, _xlpm.colMatch)),"")</f>
        <v/>
      </c>
      <c r="G18" s="1" t="str" cm="1">
        <f t="array" ref="G18">IFERROR(_xlfn.LET(_xlpm.searchText, Tests!$C18,_xlpm.dataRange, 'Rita Quick test'!$B$3:$P$57,_xlpm.headers, 'Rita Quick test'!$B$2:$P$2,_xlpm.matchMatrix, ISNUMBER(SEARCH(_xlpm.searchText, _xlpm.dataRange)),_xlpm.colMatch, _xlfn.XMATCH(TRUE, _xlfn.BYCOL(_xlpm.matchMatrix, _xlfn.LAMBDA(_xlpm.col, OR(_xlpm.col)))),INDEX(_xlpm.headers, _xlpm.colMatch)),"")</f>
        <v/>
      </c>
      <c r="H18" s="1" t="str">
        <f>IFERROR(VLOOKUP("*" &amp; C18 &amp; "*",Terms!D:E,2,FALSE),"")</f>
        <v/>
      </c>
      <c r="I18" s="1" t="str">
        <f>IFERROR(VLOOKUP("*" &amp; C18 &amp; "*",'Terms 2'!B:D,3,FALSE),"")</f>
        <v/>
      </c>
    </row>
    <row r="19" spans="2:9">
      <c r="B19" s="1" t="str">
        <f t="shared" si="0"/>
        <v/>
      </c>
      <c r="C19" s="47" t="s">
        <v>4645</v>
      </c>
      <c r="D19" s="1" t="s">
        <v>4848</v>
      </c>
      <c r="E19" s="1" t="str" cm="1">
        <f t="array" ref="E19">IFERROR(
  _xlfn.LET(
    _xlpm.searchText, Tests!$C19,
    _xlpm.dataRange, ITTO!$B$3:$F$300,
    _xlpm.headers, ITTO!$B$2:$F$2,
    _xlpm.matchMatrix, ISNUMBER(SEARCH(_xlpm.searchText, _xlpm.dataRange)),
    _xlpm.colMatch, _xlfn.XMATCH(TRUE, _xlfn.BYCOL(_xlpm.matchMatrix, _xlfn.LAMBDA(_xlpm.col, OR(_xlpm.col)))),
    INDEX(_xlpm.headers, _xlpm.colMatch)
  ),
  ""
)</f>
        <v/>
      </c>
      <c r="F19" s="1" t="str" cm="1">
        <f t="array" ref="F19">IFERROR(_xlfn.LET(_xlpm.searchText, Tests!$C19,_xlpm.dataRange, PMBOK!$B$3:$F$300,_xlpm.headers, PMBOK!$B$2:$F$2,_xlpm.matchMatrix, ISNUMBER(SEARCH(_xlpm.searchText, _xlpm.dataRange)),_xlpm.colMatch, _xlfn.XMATCH(TRUE, _xlfn.BYCOL(_xlpm.matchMatrix, _xlfn.LAMBDA(_xlpm.col, OR(_xlpm.col)))),INDEX(_xlpm.headers, _xlpm.colMatch)),"")</f>
        <v/>
      </c>
      <c r="G19" s="1" t="str" cm="1">
        <f t="array" ref="G19">IFERROR(_xlfn.LET(_xlpm.searchText, Tests!$C19,_xlpm.dataRange, 'Rita Quick test'!$B$3:$P$57,_xlpm.headers, 'Rita Quick test'!$B$2:$P$2,_xlpm.matchMatrix, ISNUMBER(SEARCH(_xlpm.searchText, _xlpm.dataRange)),_xlpm.colMatch, _xlfn.XMATCH(TRUE, _xlfn.BYCOL(_xlpm.matchMatrix, _xlfn.LAMBDA(_xlpm.col, OR(_xlpm.col)))),INDEX(_xlpm.headers, _xlpm.colMatch)),"")</f>
        <v/>
      </c>
      <c r="H19" s="1" t="str">
        <f>IFERROR(VLOOKUP("*" &amp; C19 &amp; "*",Terms!D:E,2,FALSE),"")</f>
        <v/>
      </c>
      <c r="I19" s="1" t="str">
        <f>IFERROR(VLOOKUP("*" &amp; C19 &amp; "*",'Terms 2'!B:D,3,FALSE),"")</f>
        <v/>
      </c>
    </row>
    <row r="20" spans="2:9">
      <c r="B20" s="1" t="str">
        <f t="shared" si="0"/>
        <v>On a very small project, the project manager may ask the sponsor to approve or deny changes. The project manager’s main job is to document and assess changes to the project.</v>
      </c>
      <c r="C20" s="47" t="s">
        <v>4648</v>
      </c>
      <c r="D20" s="49" t="s">
        <v>4649</v>
      </c>
      <c r="E20" s="1" t="str" cm="1">
        <f t="array" ref="E20">IFERROR(
  _xlfn.LET(
    _xlpm.searchText, Tests!$C20,
    _xlpm.dataRange, ITTO!$B$3:$F$300,
    _xlpm.headers, ITTO!$B$2:$F$2,
    _xlpm.matchMatrix, ISNUMBER(SEARCH(_xlpm.searchText, _xlpm.dataRange)),
    _xlpm.colMatch, _xlfn.XMATCH(TRUE, _xlfn.BYCOL(_xlpm.matchMatrix, _xlfn.LAMBDA(_xlpm.col, OR(_xlpm.col)))),
    INDEX(_xlpm.headers, _xlpm.colMatch)
  ),
  ""
)</f>
        <v/>
      </c>
      <c r="F20" s="1" t="str" cm="1">
        <f t="array" ref="F20">IFERROR(_xlfn.LET(_xlpm.searchText, Tests!$C20,_xlpm.dataRange, PMBOK!$B$3:$F$300,_xlpm.headers, PMBOK!$B$2:$F$2,_xlpm.matchMatrix, ISNUMBER(SEARCH(_xlpm.searchText, _xlpm.dataRange)),_xlpm.colMatch, _xlfn.XMATCH(TRUE, _xlfn.BYCOL(_xlpm.matchMatrix, _xlfn.LAMBDA(_xlpm.col, OR(_xlpm.col)))),INDEX(_xlpm.headers, _xlpm.colMatch)),"")</f>
        <v/>
      </c>
      <c r="G20" s="1" t="str" cm="1">
        <f t="array" ref="G20">IFERROR(_xlfn.LET(_xlpm.searchText, Tests!$C20,_xlpm.dataRange, 'Rita Quick test'!$B$3:$P$57,_xlpm.headers, 'Rita Quick test'!$B$2:$P$2,_xlpm.matchMatrix, ISNUMBER(SEARCH(_xlpm.searchText, _xlpm.dataRange)),_xlpm.colMatch, _xlfn.XMATCH(TRUE, _xlfn.BYCOL(_xlpm.matchMatrix, _xlfn.LAMBDA(_xlpm.col, OR(_xlpm.col)))),INDEX(_xlpm.headers, _xlpm.colMatch)),"")</f>
        <v/>
      </c>
      <c r="H20" s="1" t="str">
        <f>IFERROR(VLOOKUP("*" &amp; C20 &amp; "*",Terms!D:E,2,FALSE),"")</f>
        <v/>
      </c>
      <c r="I20" s="1" t="str">
        <f>IFERROR(VLOOKUP("*" &amp; C20 &amp; "*",'Terms 2'!B:D,3,FALSE),"")</f>
        <v/>
      </c>
    </row>
    <row r="21" spans="2:9">
      <c r="B21" s="1" t="str">
        <f t="shared" si="0"/>
        <v/>
      </c>
      <c r="C21" s="47" t="s">
        <v>4648</v>
      </c>
      <c r="D21" s="1" t="s">
        <v>4848</v>
      </c>
      <c r="E21" s="1" t="str" cm="1">
        <f t="array" ref="E21">IFERROR(
  _xlfn.LET(
    _xlpm.searchText, Tests!$C21,
    _xlpm.dataRange, ITTO!$B$3:$F$300,
    _xlpm.headers, ITTO!$B$2:$F$2,
    _xlpm.matchMatrix, ISNUMBER(SEARCH(_xlpm.searchText, _xlpm.dataRange)),
    _xlpm.colMatch, _xlfn.XMATCH(TRUE, _xlfn.BYCOL(_xlpm.matchMatrix, _xlfn.LAMBDA(_xlpm.col, OR(_xlpm.col)))),
    INDEX(_xlpm.headers, _xlpm.colMatch)
  ),
  ""
)</f>
        <v/>
      </c>
      <c r="F21" s="1" t="str" cm="1">
        <f t="array" ref="F21">IFERROR(_xlfn.LET(_xlpm.searchText, Tests!$C21,_xlpm.dataRange, PMBOK!$B$3:$F$300,_xlpm.headers, PMBOK!$B$2:$F$2,_xlpm.matchMatrix, ISNUMBER(SEARCH(_xlpm.searchText, _xlpm.dataRange)),_xlpm.colMatch, _xlfn.XMATCH(TRUE, _xlfn.BYCOL(_xlpm.matchMatrix, _xlfn.LAMBDA(_xlpm.col, OR(_xlpm.col)))),INDEX(_xlpm.headers, _xlpm.colMatch)),"")</f>
        <v/>
      </c>
      <c r="G21" s="1" t="str" cm="1">
        <f t="array" ref="G21">IFERROR(_xlfn.LET(_xlpm.searchText, Tests!$C21,_xlpm.dataRange, 'Rita Quick test'!$B$3:$P$57,_xlpm.headers, 'Rita Quick test'!$B$2:$P$2,_xlpm.matchMatrix, ISNUMBER(SEARCH(_xlpm.searchText, _xlpm.dataRange)),_xlpm.colMatch, _xlfn.XMATCH(TRUE, _xlfn.BYCOL(_xlpm.matchMatrix, _xlfn.LAMBDA(_xlpm.col, OR(_xlpm.col)))),INDEX(_xlpm.headers, _xlpm.colMatch)),"")</f>
        <v/>
      </c>
      <c r="H21" s="1" t="str">
        <f>IFERROR(VLOOKUP("*" &amp; C21 &amp; "*",Terms!D:E,2,FALSE),"")</f>
        <v/>
      </c>
      <c r="I21" s="1" t="str">
        <f>IFERROR(VLOOKUP("*" &amp; C21 &amp; "*",'Terms 2'!B:D,3,FALSE),"")</f>
        <v/>
      </c>
    </row>
    <row r="22" spans="2:9">
      <c r="B22" s="1" t="str">
        <f t="shared" si="0"/>
        <v/>
      </c>
      <c r="C22" s="47" t="s">
        <v>4696</v>
      </c>
      <c r="D22" s="1" t="s">
        <v>4848</v>
      </c>
      <c r="E22" s="1" t="str" cm="1">
        <f t="array" ref="E22">IFERROR(
  _xlfn.LET(
    _xlpm.searchText, Tests!$C22,
    _xlpm.dataRange, ITTO!$B$3:$F$300,
    _xlpm.headers, ITTO!$B$2:$F$2,
    _xlpm.matchMatrix, ISNUMBER(SEARCH(_xlpm.searchText, _xlpm.dataRange)),
    _xlpm.colMatch, _xlfn.XMATCH(TRUE, _xlfn.BYCOL(_xlpm.matchMatrix, _xlfn.LAMBDA(_xlpm.col, OR(_xlpm.col)))),
    INDEX(_xlpm.headers, _xlpm.colMatch)
  ),
  ""
)</f>
        <v/>
      </c>
      <c r="F22" s="1" t="str" cm="1">
        <f t="array" ref="F22">IFERROR(_xlfn.LET(_xlpm.searchText, Tests!$C22,_xlpm.dataRange, PMBOK!$B$3:$F$300,_xlpm.headers, PMBOK!$B$2:$F$2,_xlpm.matchMatrix, ISNUMBER(SEARCH(_xlpm.searchText, _xlpm.dataRange)),_xlpm.colMatch, _xlfn.XMATCH(TRUE, _xlfn.BYCOL(_xlpm.matchMatrix, _xlfn.LAMBDA(_xlpm.col, OR(_xlpm.col)))),INDEX(_xlpm.headers, _xlpm.colMatch)),"")</f>
        <v/>
      </c>
      <c r="G22" s="1" t="str" cm="1">
        <f t="array" ref="G22">IFERROR(_xlfn.LET(_xlpm.searchText, Tests!$C22,_xlpm.dataRange, 'Rita Quick test'!$B$3:$P$57,_xlpm.headers, 'Rita Quick test'!$B$2:$P$2,_xlpm.matchMatrix, ISNUMBER(SEARCH(_xlpm.searchText, _xlpm.dataRange)),_xlpm.colMatch, _xlfn.XMATCH(TRUE, _xlfn.BYCOL(_xlpm.matchMatrix, _xlfn.LAMBDA(_xlpm.col, OR(_xlpm.col)))),INDEX(_xlpm.headers, _xlpm.colMatch)),"")</f>
        <v/>
      </c>
      <c r="H22" s="1" t="str">
        <f>IFERROR(VLOOKUP("*" &amp; C22 &amp; "*",Terms!D:E,2,FALSE),"")</f>
        <v/>
      </c>
      <c r="I22" s="1" t="str">
        <f>IFERROR(VLOOKUP("*" &amp; C22 &amp; "*",'Terms 2'!B:D,3,FALSE),"")</f>
        <v/>
      </c>
    </row>
    <row r="23" spans="2:9">
      <c r="B23" s="1" t="str">
        <f t="shared" si="0"/>
        <v/>
      </c>
      <c r="C23" s="47" t="s">
        <v>4806</v>
      </c>
      <c r="D23" s="1" t="s">
        <v>4848</v>
      </c>
      <c r="E23" s="1" t="str" cm="1">
        <f t="array" ref="E23">IFERROR(
  _xlfn.LET(
    _xlpm.searchText, Tests!$C23,
    _xlpm.dataRange, ITTO!$B$3:$F$300,
    _xlpm.headers, ITTO!$B$2:$F$2,
    _xlpm.matchMatrix, ISNUMBER(SEARCH(_xlpm.searchText, _xlpm.dataRange)),
    _xlpm.colMatch, _xlfn.XMATCH(TRUE, _xlfn.BYCOL(_xlpm.matchMatrix, _xlfn.LAMBDA(_xlpm.col, OR(_xlpm.col)))),
    INDEX(_xlpm.headers, _xlpm.colMatch)
  ),
  ""
)</f>
        <v/>
      </c>
      <c r="F23" s="1" t="str" cm="1">
        <f t="array" ref="F23">IFERROR(_xlfn.LET(_xlpm.searchText, Tests!$C23,_xlpm.dataRange, PMBOK!$B$3:$F$300,_xlpm.headers, PMBOK!$B$2:$F$2,_xlpm.matchMatrix, ISNUMBER(SEARCH(_xlpm.searchText, _xlpm.dataRange)),_xlpm.colMatch, _xlfn.XMATCH(TRUE, _xlfn.BYCOL(_xlpm.matchMatrix, _xlfn.LAMBDA(_xlpm.col, OR(_xlpm.col)))),INDEX(_xlpm.headers, _xlpm.colMatch)),"")</f>
        <v/>
      </c>
      <c r="G23" s="1" t="str" cm="1">
        <f t="array" ref="G23">IFERROR(_xlfn.LET(_xlpm.searchText, Tests!$C23,_xlpm.dataRange, 'Rita Quick test'!$B$3:$P$57,_xlpm.headers, 'Rita Quick test'!$B$2:$P$2,_xlpm.matchMatrix, ISNUMBER(SEARCH(_xlpm.searchText, _xlpm.dataRange)),_xlpm.colMatch, _xlfn.XMATCH(TRUE, _xlfn.BYCOL(_xlpm.matchMatrix, _xlfn.LAMBDA(_xlpm.col, OR(_xlpm.col)))),INDEX(_xlpm.headers, _xlpm.colMatch)),"")</f>
        <v/>
      </c>
      <c r="H23" s="1" t="str">
        <f>IFERROR(VLOOKUP("*" &amp; C23 &amp; "*",Terms!D:E,2,FALSE),"")</f>
        <v/>
      </c>
      <c r="I23" s="1" t="str">
        <f>IFERROR(VLOOKUP("*" &amp; C23 &amp; "*",'Terms 2'!B:D,3,FALSE),"")</f>
        <v/>
      </c>
    </row>
    <row r="24" spans="2:9">
      <c r="B24" s="1" t="str">
        <f t="shared" si="0"/>
        <v/>
      </c>
      <c r="C24" s="47" t="s">
        <v>4647</v>
      </c>
      <c r="D24" s="1" t="s">
        <v>4848</v>
      </c>
      <c r="E24" s="1" t="str" cm="1">
        <f t="array" ref="E24">IFERROR(
  _xlfn.LET(
    _xlpm.searchText, Tests!$C24,
    _xlpm.dataRange, ITTO!$B$3:$F$300,
    _xlpm.headers, ITTO!$B$2:$F$2,
    _xlpm.matchMatrix, ISNUMBER(SEARCH(_xlpm.searchText, _xlpm.dataRange)),
    _xlpm.colMatch, _xlfn.XMATCH(TRUE, _xlfn.BYCOL(_xlpm.matchMatrix, _xlfn.LAMBDA(_xlpm.col, OR(_xlpm.col)))),
    INDEX(_xlpm.headers, _xlpm.colMatch)
  ),
  ""
)</f>
        <v/>
      </c>
      <c r="F24" s="1" t="str" cm="1">
        <f t="array" ref="F24">IFERROR(_xlfn.LET(_xlpm.searchText, Tests!$C24,_xlpm.dataRange, PMBOK!$B$3:$F$300,_xlpm.headers, PMBOK!$B$2:$F$2,_xlpm.matchMatrix, ISNUMBER(SEARCH(_xlpm.searchText, _xlpm.dataRange)),_xlpm.colMatch, _xlfn.XMATCH(TRUE, _xlfn.BYCOL(_xlpm.matchMatrix, _xlfn.LAMBDA(_xlpm.col, OR(_xlpm.col)))),INDEX(_xlpm.headers, _xlpm.colMatch)),"")</f>
        <v/>
      </c>
      <c r="G24" s="1" t="str" cm="1">
        <f t="array" ref="G24">IFERROR(_xlfn.LET(_xlpm.searchText, Tests!$C24,_xlpm.dataRange, 'Rita Quick test'!$B$3:$P$57,_xlpm.headers, 'Rita Quick test'!$B$2:$P$2,_xlpm.matchMatrix, ISNUMBER(SEARCH(_xlpm.searchText, _xlpm.dataRange)),_xlpm.colMatch, _xlfn.XMATCH(TRUE, _xlfn.BYCOL(_xlpm.matchMatrix, _xlfn.LAMBDA(_xlpm.col, OR(_xlpm.col)))),INDEX(_xlpm.headers, _xlpm.colMatch)),"")</f>
        <v/>
      </c>
      <c r="H24" s="1" t="str">
        <f>IFERROR(VLOOKUP("*" &amp; C24 &amp; "*",Terms!D:E,2,FALSE),"")</f>
        <v/>
      </c>
      <c r="I24" s="1" t="str">
        <f>IFERROR(VLOOKUP("*" &amp; C24 &amp; "*",'Terms 2'!B:D,3,FALSE),"")</f>
        <v/>
      </c>
    </row>
    <row r="25" spans="2:9">
      <c r="B25" s="1" t="str">
        <f t="shared" si="0"/>
        <v/>
      </c>
      <c r="C25" s="47" t="s">
        <v>4805</v>
      </c>
      <c r="D25" s="1" t="s">
        <v>4848</v>
      </c>
      <c r="E25" s="1" t="str" cm="1">
        <f t="array" ref="E25">IFERROR(
  _xlfn.LET(
    _xlpm.searchText, Tests!$C25,
    _xlpm.dataRange, ITTO!$B$3:$F$300,
    _xlpm.headers, ITTO!$B$2:$F$2,
    _xlpm.matchMatrix, ISNUMBER(SEARCH(_xlpm.searchText, _xlpm.dataRange)),
    _xlpm.colMatch, _xlfn.XMATCH(TRUE, _xlfn.BYCOL(_xlpm.matchMatrix, _xlfn.LAMBDA(_xlpm.col, OR(_xlpm.col)))),
    INDEX(_xlpm.headers, _xlpm.colMatch)
  ),
  ""
)</f>
        <v/>
      </c>
      <c r="F25" s="1" t="str" cm="1">
        <f t="array" ref="F25">IFERROR(_xlfn.LET(_xlpm.searchText, Tests!$C25,_xlpm.dataRange, PMBOK!$B$3:$F$300,_xlpm.headers, PMBOK!$B$2:$F$2,_xlpm.matchMatrix, ISNUMBER(SEARCH(_xlpm.searchText, _xlpm.dataRange)),_xlpm.colMatch, _xlfn.XMATCH(TRUE, _xlfn.BYCOL(_xlpm.matchMatrix, _xlfn.LAMBDA(_xlpm.col, OR(_xlpm.col)))),INDEX(_xlpm.headers, _xlpm.colMatch)),"")</f>
        <v/>
      </c>
      <c r="G25" s="1" t="str" cm="1">
        <f t="array" ref="G25">IFERROR(_xlfn.LET(_xlpm.searchText, Tests!$C25,_xlpm.dataRange, 'Rita Quick test'!$B$3:$P$57,_xlpm.headers, 'Rita Quick test'!$B$2:$P$2,_xlpm.matchMatrix, ISNUMBER(SEARCH(_xlpm.searchText, _xlpm.dataRange)),_xlpm.colMatch, _xlfn.XMATCH(TRUE, _xlfn.BYCOL(_xlpm.matchMatrix, _xlfn.LAMBDA(_xlpm.col, OR(_xlpm.col)))),INDEX(_xlpm.headers, _xlpm.colMatch)),"")</f>
        <v/>
      </c>
      <c r="H25" s="1" t="str">
        <f>IFERROR(VLOOKUP("*" &amp; C25 &amp; "*",Terms!D:E,2,FALSE),"")</f>
        <v/>
      </c>
      <c r="I25" s="1" t="str">
        <f>IFERROR(VLOOKUP("*" &amp; C25 &amp; "*",'Terms 2'!B:D,3,FALSE),"")</f>
        <v/>
      </c>
    </row>
    <row r="26" spans="2:9">
      <c r="B26" s="1" t="str">
        <f t="shared" si="0"/>
        <v/>
      </c>
      <c r="C26" s="47" t="s">
        <v>4589</v>
      </c>
      <c r="D26" s="1" t="s">
        <v>4848</v>
      </c>
      <c r="E26" s="1" t="str" cm="1">
        <f t="array" ref="E26">IFERROR(
  _xlfn.LET(
    _xlpm.searchText, Tests!$C26,
    _xlpm.dataRange, ITTO!$B$3:$F$300,
    _xlpm.headers, ITTO!$B$2:$F$2,
    _xlpm.matchMatrix, ISNUMBER(SEARCH(_xlpm.searchText, _xlpm.dataRange)),
    _xlpm.colMatch, _xlfn.XMATCH(TRUE, _xlfn.BYCOL(_xlpm.matchMatrix, _xlfn.LAMBDA(_xlpm.col, OR(_xlpm.col)))),
    INDEX(_xlpm.headers, _xlpm.colMatch)
  ),
  ""
)</f>
        <v/>
      </c>
      <c r="F26" s="1" t="str" cm="1">
        <f t="array" ref="F26">IFERROR(_xlfn.LET(_xlpm.searchText, Tests!$C26,_xlpm.dataRange, PMBOK!$B$3:$F$300,_xlpm.headers, PMBOK!$B$2:$F$2,_xlpm.matchMatrix, ISNUMBER(SEARCH(_xlpm.searchText, _xlpm.dataRange)),_xlpm.colMatch, _xlfn.XMATCH(TRUE, _xlfn.BYCOL(_xlpm.matchMatrix, _xlfn.LAMBDA(_xlpm.col, OR(_xlpm.col)))),INDEX(_xlpm.headers, _xlpm.colMatch)),"")</f>
        <v/>
      </c>
      <c r="G26" s="1" t="str" cm="1">
        <f t="array" ref="G26">IFERROR(_xlfn.LET(_xlpm.searchText, Tests!$C26,_xlpm.dataRange, 'Rita Quick test'!$B$3:$P$57,_xlpm.headers, 'Rita Quick test'!$B$2:$P$2,_xlpm.matchMatrix, ISNUMBER(SEARCH(_xlpm.searchText, _xlpm.dataRange)),_xlpm.colMatch, _xlfn.XMATCH(TRUE, _xlfn.BYCOL(_xlpm.matchMatrix, _xlfn.LAMBDA(_xlpm.col, OR(_xlpm.col)))),INDEX(_xlpm.headers, _xlpm.colMatch)),"")</f>
        <v/>
      </c>
      <c r="H26" s="1" t="str">
        <f>IFERROR(VLOOKUP("*" &amp; C26 &amp; "*",Terms!D:E,2,FALSE),"")</f>
        <v/>
      </c>
      <c r="I26" s="1" t="str">
        <f>IFERROR(VLOOKUP("*" &amp; C26 &amp; "*",'Terms 2'!B:D,3,FALSE),"")</f>
        <v/>
      </c>
    </row>
    <row r="27" spans="2:9">
      <c r="B27" s="1" t="str">
        <f t="shared" si="0"/>
        <v/>
      </c>
      <c r="C27" s="47" t="s">
        <v>4678</v>
      </c>
      <c r="D27" s="1" t="s">
        <v>4848</v>
      </c>
      <c r="E27" s="1" t="str" cm="1">
        <f t="array" ref="E27">IFERROR(
  _xlfn.LET(
    _xlpm.searchText, Tests!$C27,
    _xlpm.dataRange, ITTO!$B$3:$F$300,
    _xlpm.headers, ITTO!$B$2:$F$2,
    _xlpm.matchMatrix, ISNUMBER(SEARCH(_xlpm.searchText, _xlpm.dataRange)),
    _xlpm.colMatch, _xlfn.XMATCH(TRUE, _xlfn.BYCOL(_xlpm.matchMatrix, _xlfn.LAMBDA(_xlpm.col, OR(_xlpm.col)))),
    INDEX(_xlpm.headers, _xlpm.colMatch)
  ),
  ""
)</f>
        <v/>
      </c>
      <c r="F27" s="1" t="str" cm="1">
        <f t="array" ref="F27">IFERROR(_xlfn.LET(_xlpm.searchText, Tests!$C27,_xlpm.dataRange, PMBOK!$B$3:$F$300,_xlpm.headers, PMBOK!$B$2:$F$2,_xlpm.matchMatrix, ISNUMBER(SEARCH(_xlpm.searchText, _xlpm.dataRange)),_xlpm.colMatch, _xlfn.XMATCH(TRUE, _xlfn.BYCOL(_xlpm.matchMatrix, _xlfn.LAMBDA(_xlpm.col, OR(_xlpm.col)))),INDEX(_xlpm.headers, _xlpm.colMatch)),"")</f>
        <v/>
      </c>
      <c r="G27" s="1" t="str" cm="1">
        <f t="array" ref="G27">IFERROR(_xlfn.LET(_xlpm.searchText, Tests!$C27,_xlpm.dataRange, 'Rita Quick test'!$B$3:$P$57,_xlpm.headers, 'Rita Quick test'!$B$2:$P$2,_xlpm.matchMatrix, ISNUMBER(SEARCH(_xlpm.searchText, _xlpm.dataRange)),_xlpm.colMatch, _xlfn.XMATCH(TRUE, _xlfn.BYCOL(_xlpm.matchMatrix, _xlfn.LAMBDA(_xlpm.col, OR(_xlpm.col)))),INDEX(_xlpm.headers, _xlpm.colMatch)),"")</f>
        <v/>
      </c>
      <c r="H27" s="1" t="str">
        <f>IFERROR(VLOOKUP("*" &amp; C27 &amp; "*",Terms!D:E,2,FALSE),"")</f>
        <v/>
      </c>
      <c r="I27" s="1" t="str">
        <f>IFERROR(VLOOKUP("*" &amp; C27 &amp; "*",'Terms 2'!B:D,3,FALSE),"")</f>
        <v/>
      </c>
    </row>
    <row r="28" spans="2:9">
      <c r="B28" s="1" t="str">
        <f t="shared" si="0"/>
        <v>The assumption log will only document assumptions that are made on a project</v>
      </c>
      <c r="C28" s="47" t="s">
        <v>4529</v>
      </c>
      <c r="D28" s="49" t="s">
        <v>4531</v>
      </c>
      <c r="E28" s="1" t="str" cm="1">
        <f t="array" ref="E28">IFERROR(
  _xlfn.LET(
    _xlpm.searchText, Tests!$C28,
    _xlpm.dataRange, ITTO!$B$3:$F$300,
    _xlpm.headers, ITTO!$B$2:$F$2,
    _xlpm.matchMatrix, ISNUMBER(SEARCH(_xlpm.searchText, _xlpm.dataRange)),
    _xlpm.colMatch, _xlfn.XMATCH(TRUE, _xlfn.BYCOL(_xlpm.matchMatrix, _xlfn.LAMBDA(_xlpm.col, OR(_xlpm.col)))),
    INDEX(_xlpm.headers, _xlpm.colMatch)
  ),
  ""
)</f>
        <v/>
      </c>
      <c r="F28" s="1" t="str" cm="1">
        <f t="array" ref="F28">IFERROR(_xlfn.LET(_xlpm.searchText, Tests!$C28,_xlpm.dataRange, PMBOK!$B$3:$F$300,_xlpm.headers, PMBOK!$B$2:$F$2,_xlpm.matchMatrix, ISNUMBER(SEARCH(_xlpm.searchText, _xlpm.dataRange)),_xlpm.colMatch, _xlfn.XMATCH(TRUE, _xlfn.BYCOL(_xlpm.matchMatrix, _xlfn.LAMBDA(_xlpm.col, OR(_xlpm.col)))),INDEX(_xlpm.headers, _xlpm.colMatch)),"")</f>
        <v/>
      </c>
      <c r="G28" s="1" t="str" cm="1">
        <f t="array" ref="G28">IFERROR(_xlfn.LET(_xlpm.searchText, Tests!$C28,_xlpm.dataRange, 'Rita Quick test'!$B$3:$P$57,_xlpm.headers, 'Rita Quick test'!$B$2:$P$2,_xlpm.matchMatrix, ISNUMBER(SEARCH(_xlpm.searchText, _xlpm.dataRange)),_xlpm.colMatch, _xlfn.XMATCH(TRUE, _xlfn.BYCOL(_xlpm.matchMatrix, _xlfn.LAMBDA(_xlpm.col, OR(_xlpm.col)))),INDEX(_xlpm.headers, _xlpm.colMatch)),"")</f>
        <v/>
      </c>
      <c r="H28" s="1" t="str">
        <f>IFERROR(VLOOKUP("*" &amp; C28 &amp; "*",Terms!D:E,2,FALSE),"")</f>
        <v/>
      </c>
      <c r="I28" s="1" t="str">
        <f>IFERROR(VLOOKUP("*" &amp; C28 &amp; "*",'Terms 2'!B:D,3,FALSE),"")</f>
        <v/>
      </c>
    </row>
    <row r="29" spans="2:9">
      <c r="B29" s="1" t="str">
        <f t="shared" si="0"/>
        <v>Assumptions analysis involves analyzing assumptions</v>
      </c>
      <c r="C29" s="47" t="s">
        <v>4494</v>
      </c>
      <c r="D29" s="49" t="s">
        <v>4496</v>
      </c>
      <c r="E29" s="1" t="str" cm="1">
        <f t="array" ref="E29">IFERROR(
  _xlfn.LET(
    _xlpm.searchText, Tests!$C29,
    _xlpm.dataRange, ITTO!$B$3:$F$300,
    _xlpm.headers, ITTO!$B$2:$F$2,
    _xlpm.matchMatrix, ISNUMBER(SEARCH(_xlpm.searchText, _xlpm.dataRange)),
    _xlpm.colMatch, _xlfn.XMATCH(TRUE, _xlfn.BYCOL(_xlpm.matchMatrix, _xlfn.LAMBDA(_xlpm.col, OR(_xlpm.col)))),
    INDEX(_xlpm.headers, _xlpm.colMatch)
  ),
  ""
)</f>
        <v/>
      </c>
      <c r="F29" s="1" t="str" cm="1">
        <f t="array" ref="F29">IFERROR(_xlfn.LET(_xlpm.searchText, Tests!$C29,_xlpm.dataRange, PMBOK!$B$3:$F$300,_xlpm.headers, PMBOK!$B$2:$F$2,_xlpm.matchMatrix, ISNUMBER(SEARCH(_xlpm.searchText, _xlpm.dataRange)),_xlpm.colMatch, _xlfn.XMATCH(TRUE, _xlfn.BYCOL(_xlpm.matchMatrix, _xlfn.LAMBDA(_xlpm.col, OR(_xlpm.col)))),INDEX(_xlpm.headers, _xlpm.colMatch)),"")</f>
        <v/>
      </c>
      <c r="G29" s="1" t="str" cm="1">
        <f t="array" ref="G29">IFERROR(_xlfn.LET(_xlpm.searchText, Tests!$C29,_xlpm.dataRange, 'Rita Quick test'!$B$3:$P$57,_xlpm.headers, 'Rita Quick test'!$B$2:$P$2,_xlpm.matchMatrix, ISNUMBER(SEARCH(_xlpm.searchText, _xlpm.dataRange)),_xlpm.colMatch, _xlfn.XMATCH(TRUE, _xlfn.BYCOL(_xlpm.matchMatrix, _xlfn.LAMBDA(_xlpm.col, OR(_xlpm.col)))),INDEX(_xlpm.headers, _xlpm.colMatch)),"")</f>
        <v/>
      </c>
      <c r="H29" s="1" t="str">
        <f>IFERROR(VLOOKUP("*" &amp; C29 &amp; "*",Terms!D:E,2,FALSE),"")</f>
        <v/>
      </c>
      <c r="I29" s="1" t="str">
        <f>IFERROR(VLOOKUP("*" &amp; C29 &amp; "*",'Terms 2'!B:D,3,FALSE),"")</f>
        <v/>
      </c>
    </row>
    <row r="30" spans="2:9">
      <c r="B30" s="1" t="str">
        <f t="shared" si="0"/>
        <v>An attribute sample is a measurement that is usually pass/fail or good/bad.</v>
      </c>
      <c r="C30" s="46" t="s">
        <v>4570</v>
      </c>
      <c r="D30" s="49" t="s">
        <v>4851</v>
      </c>
      <c r="E30" s="1" t="str" cm="1">
        <f t="array" ref="E30">IFERROR(
  _xlfn.LET(
    _xlpm.searchText, Tests!$C30,
    _xlpm.dataRange, ITTO!$B$3:$F$300,
    _xlpm.headers, ITTO!$B$2:$F$2,
    _xlpm.matchMatrix, ISNUMBER(SEARCH(_xlpm.searchText, _xlpm.dataRange)),
    _xlpm.colMatch, _xlfn.XMATCH(TRUE, _xlfn.BYCOL(_xlpm.matchMatrix, _xlfn.LAMBDA(_xlpm.col, OR(_xlpm.col)))),
    INDEX(_xlpm.headers, _xlpm.colMatch)
  ),
  ""
)</f>
        <v/>
      </c>
      <c r="F30" s="1" t="str" cm="1">
        <f t="array" ref="F30">IFERROR(_xlfn.LET(_xlpm.searchText, Tests!$C30,_xlpm.dataRange, PMBOK!$B$3:$F$300,_xlpm.headers, PMBOK!$B$2:$F$2,_xlpm.matchMatrix, ISNUMBER(SEARCH(_xlpm.searchText, _xlpm.dataRange)),_xlpm.colMatch, _xlfn.XMATCH(TRUE, _xlfn.BYCOL(_xlpm.matchMatrix, _xlfn.LAMBDA(_xlpm.col, OR(_xlpm.col)))),INDEX(_xlpm.headers, _xlpm.colMatch)),"")</f>
        <v/>
      </c>
      <c r="G30" s="1" t="str" cm="1">
        <f t="array" ref="G30">IFERROR(_xlfn.LET(_xlpm.searchText, Tests!$C30,_xlpm.dataRange, 'Rita Quick test'!$B$3:$P$57,_xlpm.headers, 'Rita Quick test'!$B$2:$P$2,_xlpm.matchMatrix, ISNUMBER(SEARCH(_xlpm.searchText, _xlpm.dataRange)),_xlpm.colMatch, _xlfn.XMATCH(TRUE, _xlfn.BYCOL(_xlpm.matchMatrix, _xlfn.LAMBDA(_xlpm.col, OR(_xlpm.col)))),INDEX(_xlpm.headers, _xlpm.colMatch)),"")</f>
        <v/>
      </c>
      <c r="H30" s="1" t="str">
        <f>IFERROR(VLOOKUP("*" &amp; C30 &amp; "*",Terms!D:E,2,FALSE),"")</f>
        <v/>
      </c>
      <c r="I30" s="1" t="str">
        <f>IFERROR(VLOOKUP("*" &amp; C30 &amp; "*",'Terms 2'!B:D,3,FALSE),"")</f>
        <v/>
      </c>
    </row>
    <row r="31" spans="2:9">
      <c r="B31" s="1" t="str">
        <f t="shared" si="0"/>
        <v>Project team calendar and availability calendar are made-up terms.</v>
      </c>
      <c r="C31" s="47" t="s">
        <v>4595</v>
      </c>
      <c r="D31" s="48" t="s">
        <v>4598</v>
      </c>
      <c r="E31" s="1" t="str" cm="1">
        <f t="array" ref="E31">IFERROR(
  _xlfn.LET(
    _xlpm.searchText, Tests!$C31,
    _xlpm.dataRange, ITTO!$B$3:$F$300,
    _xlpm.headers, ITTO!$B$2:$F$2,
    _xlpm.matchMatrix, ISNUMBER(SEARCH(_xlpm.searchText, _xlpm.dataRange)),
    _xlpm.colMatch, _xlfn.XMATCH(TRUE, _xlfn.BYCOL(_xlpm.matchMatrix, _xlfn.LAMBDA(_xlpm.col, OR(_xlpm.col)))),
    INDEX(_xlpm.headers, _xlpm.colMatch)
  ),
  ""
)</f>
        <v/>
      </c>
      <c r="F31" s="1" t="str" cm="1">
        <f t="array" ref="F31">IFERROR(_xlfn.LET(_xlpm.searchText, Tests!$C31,_xlpm.dataRange, PMBOK!$B$3:$F$300,_xlpm.headers, PMBOK!$B$2:$F$2,_xlpm.matchMatrix, ISNUMBER(SEARCH(_xlpm.searchText, _xlpm.dataRange)),_xlpm.colMatch, _xlfn.XMATCH(TRUE, _xlfn.BYCOL(_xlpm.matchMatrix, _xlfn.LAMBDA(_xlpm.col, OR(_xlpm.col)))),INDEX(_xlpm.headers, _xlpm.colMatch)),"")</f>
        <v/>
      </c>
      <c r="G31" s="1" t="str" cm="1">
        <f t="array" ref="G31">IFERROR(_xlfn.LET(_xlpm.searchText, Tests!$C31,_xlpm.dataRange, 'Rita Quick test'!$B$3:$P$57,_xlpm.headers, 'Rita Quick test'!$B$2:$P$2,_xlpm.matchMatrix, ISNUMBER(SEARCH(_xlpm.searchText, _xlpm.dataRange)),_xlpm.colMatch, _xlfn.XMATCH(TRUE, _xlfn.BYCOL(_xlpm.matchMatrix, _xlfn.LAMBDA(_xlpm.col, OR(_xlpm.col)))),INDEX(_xlpm.headers, _xlpm.colMatch)),"")</f>
        <v/>
      </c>
      <c r="H31" s="1" t="str">
        <f>IFERROR(VLOOKUP("*" &amp; C31 &amp; "*",Terms!D:E,2,FALSE),"")</f>
        <v/>
      </c>
      <c r="I31" s="1" t="str">
        <f>IFERROR(VLOOKUP("*" &amp; C31 &amp; "*",'Terms 2'!B:D,3,FALSE),"")</f>
        <v/>
      </c>
    </row>
    <row r="32" spans="2:9">
      <c r="B32" s="1" t="str">
        <f t="shared" si="0"/>
        <v>Best tracking is a made-up term.</v>
      </c>
      <c r="C32" s="46" t="s">
        <v>4538</v>
      </c>
      <c r="D32" s="49" t="s">
        <v>4540</v>
      </c>
      <c r="E32" s="1" t="str" cm="1">
        <f t="array" ref="E32">IFERROR(
  _xlfn.LET(
    _xlpm.searchText, Tests!$C32,
    _xlpm.dataRange, ITTO!$B$3:$F$300,
    _xlpm.headers, ITTO!$B$2:$F$2,
    _xlpm.matchMatrix, ISNUMBER(SEARCH(_xlpm.searchText, _xlpm.dataRange)),
    _xlpm.colMatch, _xlfn.XMATCH(TRUE, _xlfn.BYCOL(_xlpm.matchMatrix, _xlfn.LAMBDA(_xlpm.col, OR(_xlpm.col)))),
    INDEX(_xlpm.headers, _xlpm.colMatch)
  ),
  ""
)</f>
        <v/>
      </c>
      <c r="F32" s="1" t="str" cm="1">
        <f t="array" ref="F32">IFERROR(_xlfn.LET(_xlpm.searchText, Tests!$C32,_xlpm.dataRange, PMBOK!$B$3:$F$300,_xlpm.headers, PMBOK!$B$2:$F$2,_xlpm.matchMatrix, ISNUMBER(SEARCH(_xlpm.searchText, _xlpm.dataRange)),_xlpm.colMatch, _xlfn.XMATCH(TRUE, _xlfn.BYCOL(_xlpm.matchMatrix, _xlfn.LAMBDA(_xlpm.col, OR(_xlpm.col)))),INDEX(_xlpm.headers, _xlpm.colMatch)),"")</f>
        <v/>
      </c>
      <c r="G32" s="1" t="str" cm="1">
        <f t="array" ref="G32">IFERROR(_xlfn.LET(_xlpm.searchText, Tests!$C32,_xlpm.dataRange, 'Rita Quick test'!$B$3:$P$57,_xlpm.headers, 'Rita Quick test'!$B$2:$P$2,_xlpm.matchMatrix, ISNUMBER(SEARCH(_xlpm.searchText, _xlpm.dataRange)),_xlpm.colMatch, _xlfn.XMATCH(TRUE, _xlfn.BYCOL(_xlpm.matchMatrix, _xlfn.LAMBDA(_xlpm.col, OR(_xlpm.col)))),INDEX(_xlpm.headers, _xlpm.colMatch)),"")</f>
        <v/>
      </c>
      <c r="H32" s="1" t="str">
        <f>IFERROR(VLOOKUP("*" &amp; C32 &amp; "*",Terms!D:E,2,FALSE),"")</f>
        <v/>
      </c>
      <c r="I32" s="1" t="str">
        <f>IFERROR(VLOOKUP("*" &amp; C32 &amp; "*",'Terms 2'!B:D,3,FALSE),"")</f>
        <v/>
      </c>
    </row>
    <row r="33" spans="2:9">
      <c r="B33" s="1" t="str">
        <f t="shared" si="0"/>
        <v>A bidder conference is held by inviting all the potential sellers and reviewing the requirements for the project with them. This will ensure that no vendor receives more or less information than the others.</v>
      </c>
      <c r="C33" s="46" t="s">
        <v>4673</v>
      </c>
      <c r="D33" s="49" t="s">
        <v>4852</v>
      </c>
      <c r="E33" s="1" t="str" cm="1">
        <f t="array" ref="E33">IFERROR(
  _xlfn.LET(
    _xlpm.searchText, Tests!$C33,
    _xlpm.dataRange, ITTO!$B$3:$F$300,
    _xlpm.headers, ITTO!$B$2:$F$2,
    _xlpm.matchMatrix, ISNUMBER(SEARCH(_xlpm.searchText, _xlpm.dataRange)),
    _xlpm.colMatch, _xlfn.XMATCH(TRUE, _xlfn.BYCOL(_xlpm.matchMatrix, _xlfn.LAMBDA(_xlpm.col, OR(_xlpm.col)))),
    INDEX(_xlpm.headers, _xlpm.colMatch)
  ),
  ""
)</f>
        <v/>
      </c>
      <c r="F33" s="1" t="str" cm="1">
        <f t="array" ref="F33">IFERROR(_xlfn.LET(_xlpm.searchText, Tests!$C33,_xlpm.dataRange, PMBOK!$B$3:$F$300,_xlpm.headers, PMBOK!$B$2:$F$2,_xlpm.matchMatrix, ISNUMBER(SEARCH(_xlpm.searchText, _xlpm.dataRange)),_xlpm.colMatch, _xlfn.XMATCH(TRUE, _xlfn.BYCOL(_xlpm.matchMatrix, _xlfn.LAMBDA(_xlpm.col, OR(_xlpm.col)))),INDEX(_xlpm.headers, _xlpm.colMatch)),"")</f>
        <v/>
      </c>
      <c r="G33" s="1" t="str" cm="1">
        <f t="array" ref="G33">IFERROR(_xlfn.LET(_xlpm.searchText, Tests!$C33,_xlpm.dataRange, 'Rita Quick test'!$B$3:$P$57,_xlpm.headers, 'Rita Quick test'!$B$2:$P$2,_xlpm.matchMatrix, ISNUMBER(SEARCH(_xlpm.searchText, _xlpm.dataRange)),_xlpm.colMatch, _xlfn.XMATCH(TRUE, _xlfn.BYCOL(_xlpm.matchMatrix, _xlfn.LAMBDA(_xlpm.col, OR(_xlpm.col)))),INDEX(_xlpm.headers, _xlpm.colMatch)),"")</f>
        <v/>
      </c>
      <c r="H33" s="1" t="str">
        <f>IFERROR(VLOOKUP("*" &amp; C33 &amp; "*",Terms!D:E,2,FALSE),"")</f>
        <v/>
      </c>
      <c r="I33" s="1" t="str">
        <f>IFERROR(VLOOKUP("*" &amp; C33 &amp; "*",'Terms 2'!B:D,3,FALSE),"")</f>
        <v/>
      </c>
    </row>
    <row r="34" spans="2:9">
      <c r="B34" s="1" t="str">
        <f t="shared" si="0"/>
        <v>The tools of bottom-up estimation and parametric estimation are not used to determine a budget</v>
      </c>
      <c r="C34" s="47" t="s">
        <v>4414</v>
      </c>
      <c r="D34" s="49" t="s">
        <v>4418</v>
      </c>
      <c r="E34" s="1" t="str" cm="1">
        <f t="array" ref="E34">IFERROR(
  _xlfn.LET(
    _xlpm.searchText, Tests!$C34,
    _xlpm.dataRange, ITTO!$B$3:$F$300,
    _xlpm.headers, ITTO!$B$2:$F$2,
    _xlpm.matchMatrix, ISNUMBER(SEARCH(_xlpm.searchText, _xlpm.dataRange)),
    _xlpm.colMatch, _xlfn.XMATCH(TRUE, _xlfn.BYCOL(_xlpm.matchMatrix, _xlfn.LAMBDA(_xlpm.col, OR(_xlpm.col)))),
    INDEX(_xlpm.headers, _xlpm.colMatch)
  ),
  ""
)</f>
        <v/>
      </c>
      <c r="F34" s="1" t="str" cm="1">
        <f t="array" ref="F34">IFERROR(_xlfn.LET(_xlpm.searchText, Tests!$C34,_xlpm.dataRange, PMBOK!$B$3:$F$300,_xlpm.headers, PMBOK!$B$2:$F$2,_xlpm.matchMatrix, ISNUMBER(SEARCH(_xlpm.searchText, _xlpm.dataRange)),_xlpm.colMatch, _xlfn.XMATCH(TRUE, _xlfn.BYCOL(_xlpm.matchMatrix, _xlfn.LAMBDA(_xlpm.col, OR(_xlpm.col)))),INDEX(_xlpm.headers, _xlpm.colMatch)),"")</f>
        <v/>
      </c>
      <c r="G34" s="1" t="str" cm="1">
        <f t="array" ref="G34">IFERROR(_xlfn.LET(_xlpm.searchText, Tests!$C34,_xlpm.dataRange, 'Rita Quick test'!$B$3:$P$57,_xlpm.headers, 'Rita Quick test'!$B$2:$P$2,_xlpm.matchMatrix, ISNUMBER(SEARCH(_xlpm.searchText, _xlpm.dataRange)),_xlpm.colMatch, _xlfn.XMATCH(TRUE, _xlfn.BYCOL(_xlpm.matchMatrix, _xlfn.LAMBDA(_xlpm.col, OR(_xlpm.col)))),INDEX(_xlpm.headers, _xlpm.colMatch)),"")</f>
        <v/>
      </c>
      <c r="H34" s="1" t="str">
        <f>IFERROR(VLOOKUP("*" &amp; C34 &amp; "*",Terms!D:E,2,FALSE),"")</f>
        <v/>
      </c>
      <c r="I34" s="1" t="str">
        <f>IFERROR(VLOOKUP("*" &amp; C34 &amp; "*",'Terms 2'!B:D,3,FALSE),"")</f>
        <v/>
      </c>
    </row>
    <row r="35" spans="2:9">
      <c r="B35" s="1" t="str">
        <f t="shared" si="0"/>
        <v>Bottom-up involves breaking down the work and then adding it back up.</v>
      </c>
      <c r="C35" s="47" t="s">
        <v>4741</v>
      </c>
      <c r="D35" s="49" t="s">
        <v>4744</v>
      </c>
      <c r="E35" s="1" t="str" cm="1">
        <f t="array" ref="E35">IFERROR(
  _xlfn.LET(
    _xlpm.searchText, Tests!$C35,
    _xlpm.dataRange, ITTO!$B$3:$F$300,
    _xlpm.headers, ITTO!$B$2:$F$2,
    _xlpm.matchMatrix, ISNUMBER(SEARCH(_xlpm.searchText, _xlpm.dataRange)),
    _xlpm.colMatch, _xlfn.XMATCH(TRUE, _xlfn.BYCOL(_xlpm.matchMatrix, _xlfn.LAMBDA(_xlpm.col, OR(_xlpm.col)))),
    INDEX(_xlpm.headers, _xlpm.colMatch)
  ),
  ""
)</f>
        <v/>
      </c>
      <c r="F35" s="1" t="str" cm="1">
        <f t="array" ref="F35">IFERROR(_xlfn.LET(_xlpm.searchText, Tests!$C35,_xlpm.dataRange, PMBOK!$B$3:$F$300,_xlpm.headers, PMBOK!$B$2:$F$2,_xlpm.matchMatrix, ISNUMBER(SEARCH(_xlpm.searchText, _xlpm.dataRange)),_xlpm.colMatch, _xlfn.XMATCH(TRUE, _xlfn.BYCOL(_xlpm.matchMatrix, _xlfn.LAMBDA(_xlpm.col, OR(_xlpm.col)))),INDEX(_xlpm.headers, _xlpm.colMatch)),"")</f>
        <v/>
      </c>
      <c r="G35" s="1" t="str" cm="1">
        <f t="array" ref="G35">IFERROR(_xlfn.LET(_xlpm.searchText, Tests!$C35,_xlpm.dataRange, 'Rita Quick test'!$B$3:$P$57,_xlpm.headers, 'Rita Quick test'!$B$2:$P$2,_xlpm.matchMatrix, ISNUMBER(SEARCH(_xlpm.searchText, _xlpm.dataRange)),_xlpm.colMatch, _xlfn.XMATCH(TRUE, _xlfn.BYCOL(_xlpm.matchMatrix, _xlfn.LAMBDA(_xlpm.col, OR(_xlpm.col)))),INDEX(_xlpm.headers, _xlpm.colMatch)),"")</f>
        <v/>
      </c>
      <c r="H35" s="1" t="str">
        <f>IFERROR(VLOOKUP("*" &amp; C35 &amp; "*",Terms!D:E,2,FALSE),"")</f>
        <v/>
      </c>
      <c r="I35" s="1" t="str">
        <f>IFERROR(VLOOKUP("*" &amp; C35 &amp; "*",'Terms 2'!B:D,3,FALSE),"")</f>
        <v/>
      </c>
    </row>
    <row r="36" spans="2:9">
      <c r="B36" s="1" t="str">
        <f t="shared" si="0"/>
        <v>Bubble charts are tools in the perform quantitative risk analysis process and can show the probability, impact, and ranking of risk.</v>
      </c>
      <c r="C36" s="47" t="s">
        <v>4460</v>
      </c>
      <c r="D36" s="49" t="s">
        <v>4853</v>
      </c>
      <c r="E36" s="1" t="str" cm="1">
        <f t="array" ref="E36">IFERROR(
  _xlfn.LET(
    _xlpm.searchText, Tests!$C36,
    _xlpm.dataRange, ITTO!$B$3:$F$300,
    _xlpm.headers, ITTO!$B$2:$F$2,
    _xlpm.matchMatrix, ISNUMBER(SEARCH(_xlpm.searchText, _xlpm.dataRange)),
    _xlpm.colMatch, _xlfn.XMATCH(TRUE, _xlfn.BYCOL(_xlpm.matchMatrix, _xlfn.LAMBDA(_xlpm.col, OR(_xlpm.col)))),
    INDEX(_xlpm.headers, _xlpm.colMatch)
  ),
  ""
)</f>
        <v/>
      </c>
      <c r="F36" s="1" t="str" cm="1">
        <f t="array" ref="F36">IFERROR(_xlfn.LET(_xlpm.searchText, Tests!$C36,_xlpm.dataRange, PMBOK!$B$3:$F$300,_xlpm.headers, PMBOK!$B$2:$F$2,_xlpm.matchMatrix, ISNUMBER(SEARCH(_xlpm.searchText, _xlpm.dataRange)),_xlpm.colMatch, _xlfn.XMATCH(TRUE, _xlfn.BYCOL(_xlpm.matchMatrix, _xlfn.LAMBDA(_xlpm.col, OR(_xlpm.col)))),INDEX(_xlpm.headers, _xlpm.colMatch)),"")</f>
        <v/>
      </c>
      <c r="G36" s="1" t="str" cm="1">
        <f t="array" ref="G36">IFERROR(_xlfn.LET(_xlpm.searchText, Tests!$C36,_xlpm.dataRange, 'Rita Quick test'!$B$3:$P$57,_xlpm.headers, 'Rita Quick test'!$B$2:$P$2,_xlpm.matchMatrix, ISNUMBER(SEARCH(_xlpm.searchText, _xlpm.dataRange)),_xlpm.colMatch, _xlfn.XMATCH(TRUE, _xlfn.BYCOL(_xlpm.matchMatrix, _xlfn.LAMBDA(_xlpm.col, OR(_xlpm.col)))),INDEX(_xlpm.headers, _xlpm.colMatch)),"")</f>
        <v/>
      </c>
      <c r="H36" s="1" t="str">
        <f>IFERROR(VLOOKUP("*" &amp; C36 &amp; "*",Terms!D:E,2,FALSE),"")</f>
        <v/>
      </c>
      <c r="I36" s="1" t="str">
        <f>IFERROR(VLOOKUP("*" &amp; C36 &amp; "*",'Terms 2'!B:D,3,FALSE),"")</f>
        <v/>
      </c>
    </row>
    <row r="37" spans="2:9">
      <c r="B37" s="1" t="str">
        <f t="shared" si="0"/>
        <v/>
      </c>
      <c r="C37" s="46" t="s">
        <v>4466</v>
      </c>
      <c r="D37" s="1" t="s">
        <v>4848</v>
      </c>
      <c r="E37" s="1" t="str" cm="1">
        <f t="array" ref="E37">IFERROR(
  _xlfn.LET(
    _xlpm.searchText, Tests!$C37,
    _xlpm.dataRange, ITTO!$B$3:$F$300,
    _xlpm.headers, ITTO!$B$2:$F$2,
    _xlpm.matchMatrix, ISNUMBER(SEARCH(_xlpm.searchText, _xlpm.dataRange)),
    _xlpm.colMatch, _xlfn.XMATCH(TRUE, _xlfn.BYCOL(_xlpm.matchMatrix, _xlfn.LAMBDA(_xlpm.col, OR(_xlpm.col)))),
    INDEX(_xlpm.headers, _xlpm.colMatch)
  ),
  ""
)</f>
        <v/>
      </c>
      <c r="F37" s="1" t="str" cm="1">
        <f t="array" ref="F37">IFERROR(_xlfn.LET(_xlpm.searchText, Tests!$C37,_xlpm.dataRange, PMBOK!$B$3:$F$300,_xlpm.headers, PMBOK!$B$2:$F$2,_xlpm.matchMatrix, ISNUMBER(SEARCH(_xlpm.searchText, _xlpm.dataRange)),_xlpm.colMatch, _xlfn.XMATCH(TRUE, _xlfn.BYCOL(_xlpm.matchMatrix, _xlfn.LAMBDA(_xlpm.col, OR(_xlpm.col)))),INDEX(_xlpm.headers, _xlpm.colMatch)),"")</f>
        <v/>
      </c>
      <c r="G37" s="1" t="str" cm="1">
        <f t="array" ref="G37">IFERROR(_xlfn.LET(_xlpm.searchText, Tests!$C37,_xlpm.dataRange, 'Rita Quick test'!$B$3:$P$57,_xlpm.headers, 'Rita Quick test'!$B$2:$P$2,_xlpm.matchMatrix, ISNUMBER(SEARCH(_xlpm.searchText, _xlpm.dataRange)),_xlpm.colMatch, _xlfn.XMATCH(TRUE, _xlfn.BYCOL(_xlpm.matchMatrix, _xlfn.LAMBDA(_xlpm.col, OR(_xlpm.col)))),INDEX(_xlpm.headers, _xlpm.colMatch)),"")</f>
        <v>Build and Support Team Performance</v>
      </c>
      <c r="H37" s="1" t="str">
        <f>IFERROR(VLOOKUP("*" &amp; C37 &amp; "*",Terms!D:E,2,FALSE),"")</f>
        <v/>
      </c>
      <c r="I37" s="1" t="str">
        <f>IFERROR(VLOOKUP("*" &amp; C37 &amp; "*",'Terms 2'!B:D,3,FALSE),"")</f>
        <v/>
      </c>
    </row>
    <row r="38" spans="2:9">
      <c r="B38" s="1" t="str">
        <f t="shared" si="0"/>
        <v/>
      </c>
      <c r="C38" s="47" t="s">
        <v>4519</v>
      </c>
      <c r="D38" s="1" t="s">
        <v>4848</v>
      </c>
      <c r="E38" s="1" t="str" cm="1">
        <f t="array" ref="E38">IFERROR(
  _xlfn.LET(
    _xlpm.searchText, Tests!$C38,
    _xlpm.dataRange, ITTO!$B$3:$F$300,
    _xlpm.headers, ITTO!$B$2:$F$2,
    _xlpm.matchMatrix, ISNUMBER(SEARCH(_xlpm.searchText, _xlpm.dataRange)),
    _xlpm.colMatch, _xlfn.XMATCH(TRUE, _xlfn.BYCOL(_xlpm.matchMatrix, _xlfn.LAMBDA(_xlpm.col, OR(_xlpm.col)))),
    INDEX(_xlpm.headers, _xlpm.colMatch)
  ),
  ""
)</f>
        <v/>
      </c>
      <c r="F38" s="1" t="str" cm="1">
        <f t="array" ref="F38">IFERROR(_xlfn.LET(_xlpm.searchText, Tests!$C38,_xlpm.dataRange, PMBOK!$B$3:$F$300,_xlpm.headers, PMBOK!$B$2:$F$2,_xlpm.matchMatrix, ISNUMBER(SEARCH(_xlpm.searchText, _xlpm.dataRange)),_xlpm.colMatch, _xlfn.XMATCH(TRUE, _xlfn.BYCOL(_xlpm.matchMatrix, _xlfn.LAMBDA(_xlpm.col, OR(_xlpm.col)))),INDEX(_xlpm.headers, _xlpm.colMatch)),"")</f>
        <v/>
      </c>
      <c r="G38" s="1" t="str" cm="1">
        <f t="array" ref="G38">IFERROR(_xlfn.LET(_xlpm.searchText, Tests!$C38,_xlpm.dataRange, 'Rita Quick test'!$B$3:$P$57,_xlpm.headers, 'Rita Quick test'!$B$2:$P$2,_xlpm.matchMatrix, ISNUMBER(SEARCH(_xlpm.searchText, _xlpm.dataRange)),_xlpm.colMatch, _xlfn.XMATCH(TRUE, _xlfn.BYCOL(_xlpm.matchMatrix, _xlfn.LAMBDA(_xlpm.col, OR(_xlpm.col)))),INDEX(_xlpm.headers, _xlpm.colMatch)),"")</f>
        <v/>
      </c>
      <c r="H38" s="1" t="str">
        <f>IFERROR(VLOOKUP("*" &amp; C38 &amp; "*",Terms!D:E,2,FALSE),"")</f>
        <v/>
      </c>
      <c r="I38" s="1" t="str">
        <f>IFERROR(VLOOKUP("*" &amp; C38 &amp; "*",'Terms 2'!B:D,3,FALSE),"")</f>
        <v/>
      </c>
    </row>
    <row r="39" spans="2:9">
      <c r="B39" s="1" t="str">
        <f t="shared" si="0"/>
        <v>A change request is only issued when parts of the project management plan or document must be updated.</v>
      </c>
      <c r="C39" s="47" t="s">
        <v>4519</v>
      </c>
      <c r="D39" s="49" t="s">
        <v>4533</v>
      </c>
      <c r="E39" s="1" t="str" cm="1">
        <f t="array" ref="E39">IFERROR(
  _xlfn.LET(
    _xlpm.searchText, Tests!$C39,
    _xlpm.dataRange, ITTO!$B$3:$F$300,
    _xlpm.headers, ITTO!$B$2:$F$2,
    _xlpm.matchMatrix, ISNUMBER(SEARCH(_xlpm.searchText, _xlpm.dataRange)),
    _xlpm.colMatch, _xlfn.XMATCH(TRUE, _xlfn.BYCOL(_xlpm.matchMatrix, _xlfn.LAMBDA(_xlpm.col, OR(_xlpm.col)))),
    INDEX(_xlpm.headers, _xlpm.colMatch)
  ),
  ""
)</f>
        <v/>
      </c>
      <c r="F39" s="1" t="str" cm="1">
        <f t="array" ref="F39">IFERROR(_xlfn.LET(_xlpm.searchText, Tests!$C39,_xlpm.dataRange, PMBOK!$B$3:$F$300,_xlpm.headers, PMBOK!$B$2:$F$2,_xlpm.matchMatrix, ISNUMBER(SEARCH(_xlpm.searchText, _xlpm.dataRange)),_xlpm.colMatch, _xlfn.XMATCH(TRUE, _xlfn.BYCOL(_xlpm.matchMatrix, _xlfn.LAMBDA(_xlpm.col, OR(_xlpm.col)))),INDEX(_xlpm.headers, _xlpm.colMatch)),"")</f>
        <v/>
      </c>
      <c r="G39" s="1" t="str" cm="1">
        <f t="array" ref="G39">IFERROR(_xlfn.LET(_xlpm.searchText, Tests!$C39,_xlpm.dataRange, 'Rita Quick test'!$B$3:$P$57,_xlpm.headers, 'Rita Quick test'!$B$2:$P$2,_xlpm.matchMatrix, ISNUMBER(SEARCH(_xlpm.searchText, _xlpm.dataRange)),_xlpm.colMatch, _xlfn.XMATCH(TRUE, _xlfn.BYCOL(_xlpm.matchMatrix, _xlfn.LAMBDA(_xlpm.col, OR(_xlpm.col)))),INDEX(_xlpm.headers, _xlpm.colMatch)),"")</f>
        <v/>
      </c>
      <c r="H39" s="1" t="str">
        <f>IFERROR(VLOOKUP("*" &amp; C39 &amp; "*",Terms!D:E,2,FALSE),"")</f>
        <v/>
      </c>
      <c r="I39" s="1" t="str">
        <f>IFERROR(VLOOKUP("*" &amp; C39 &amp; "*",'Terms 2'!B:D,3,FALSE),"")</f>
        <v/>
      </c>
    </row>
    <row r="40" spans="2:9">
      <c r="B40" s="1" t="str">
        <f t="shared" si="0"/>
        <v/>
      </c>
      <c r="C40" s="47" t="s">
        <v>4694</v>
      </c>
      <c r="D40" s="1" t="s">
        <v>4848</v>
      </c>
      <c r="E40" s="1" t="str" cm="1">
        <f t="array" ref="E40">IFERROR(
  _xlfn.LET(
    _xlpm.searchText, Tests!$C40,
    _xlpm.dataRange, ITTO!$B$3:$F$300,
    _xlpm.headers, ITTO!$B$2:$F$2,
    _xlpm.matchMatrix, ISNUMBER(SEARCH(_xlpm.searchText, _xlpm.dataRange)),
    _xlpm.colMatch, _xlfn.XMATCH(TRUE, _xlfn.BYCOL(_xlpm.matchMatrix, _xlfn.LAMBDA(_xlpm.col, OR(_xlpm.col)))),
    INDEX(_xlpm.headers, _xlpm.colMatch)
  ),
  ""
)</f>
        <v/>
      </c>
      <c r="F40" s="1" t="str" cm="1">
        <f t="array" ref="F40">IFERROR(_xlfn.LET(_xlpm.searchText, Tests!$C40,_xlpm.dataRange, PMBOK!$B$3:$F$300,_xlpm.headers, PMBOK!$B$2:$F$2,_xlpm.matchMatrix, ISNUMBER(SEARCH(_xlpm.searchText, _xlpm.dataRange)),_xlpm.colMatch, _xlfn.XMATCH(TRUE, _xlfn.BYCOL(_xlpm.matchMatrix, _xlfn.LAMBDA(_xlpm.col, OR(_xlpm.col)))),INDEX(_xlpm.headers, _xlpm.colMatch)),"")</f>
        <v/>
      </c>
      <c r="G40" s="1" t="str" cm="1">
        <f t="array" ref="G40">IFERROR(_xlfn.LET(_xlpm.searchText, Tests!$C40,_xlpm.dataRange, 'Rita Quick test'!$B$3:$P$57,_xlpm.headers, 'Rita Quick test'!$B$2:$P$2,_xlpm.matchMatrix, ISNUMBER(SEARCH(_xlpm.searchText, _xlpm.dataRange)),_xlpm.colMatch, _xlfn.XMATCH(TRUE, _xlfn.BYCOL(_xlpm.matchMatrix, _xlfn.LAMBDA(_xlpm.col, OR(_xlpm.col)))),INDEX(_xlpm.headers, _xlpm.colMatch)),"")</f>
        <v/>
      </c>
      <c r="H40" s="1" t="str">
        <f>IFERROR(VLOOKUP("*" &amp; C40 &amp; "*",Terms!D:E,2,FALSE),"")</f>
        <v/>
      </c>
      <c r="I40" s="1" t="str">
        <f>IFERROR(VLOOKUP("*" &amp; C40 &amp; "*",'Terms 2'!B:D,3,FALSE),"")</f>
        <v/>
      </c>
    </row>
    <row r="41" spans="2:9">
      <c r="B41" s="1" t="str">
        <f t="shared" si="0"/>
        <v>Once a deliverable is complete in the process of direct and manage project work, the next process would be to control quality; the deliverable should be checked for quality requirements so it can be accepted by a customer or sponsor. The project should not be closed until the deliverable has been accepted. There is no need to have the project team review the deliverable since they have deemed it completed and handed it to the project manager.</v>
      </c>
      <c r="C41" s="47" t="s">
        <v>4590</v>
      </c>
      <c r="D41" s="48" t="s">
        <v>4591</v>
      </c>
      <c r="E41" s="1" t="str" cm="1">
        <f t="array" ref="E41">IFERROR(
  _xlfn.LET(
    _xlpm.searchText, Tests!$C41,
    _xlpm.dataRange, ITTO!$B$3:$F$300,
    _xlpm.headers, ITTO!$B$2:$F$2,
    _xlpm.matchMatrix, ISNUMBER(SEARCH(_xlpm.searchText, _xlpm.dataRange)),
    _xlpm.colMatch, _xlfn.XMATCH(TRUE, _xlfn.BYCOL(_xlpm.matchMatrix, _xlfn.LAMBDA(_xlpm.col, OR(_xlpm.col)))),
    INDEX(_xlpm.headers, _xlpm.colMatch)
  ),
  ""
)</f>
        <v/>
      </c>
      <c r="F41" s="1" t="str" cm="1">
        <f t="array" ref="F41">IFERROR(_xlfn.LET(_xlpm.searchText, Tests!$C41,_xlpm.dataRange, PMBOK!$B$3:$F$300,_xlpm.headers, PMBOK!$B$2:$F$2,_xlpm.matchMatrix, ISNUMBER(SEARCH(_xlpm.searchText, _xlpm.dataRange)),_xlpm.colMatch, _xlfn.XMATCH(TRUE, _xlfn.BYCOL(_xlpm.matchMatrix, _xlfn.LAMBDA(_xlpm.col, OR(_xlpm.col)))),INDEX(_xlpm.headers, _xlpm.colMatch)),"")</f>
        <v/>
      </c>
      <c r="G41" s="1" t="str" cm="1">
        <f t="array" ref="G41">IFERROR(_xlfn.LET(_xlpm.searchText, Tests!$C41,_xlpm.dataRange, 'Rita Quick test'!$B$3:$P$57,_xlpm.headers, 'Rita Quick test'!$B$2:$P$2,_xlpm.matchMatrix, ISNUMBER(SEARCH(_xlpm.searchText, _xlpm.dataRange)),_xlpm.colMatch, _xlfn.XMATCH(TRUE, _xlfn.BYCOL(_xlpm.matchMatrix, _xlfn.LAMBDA(_xlpm.col, OR(_xlpm.col)))),INDEX(_xlpm.headers, _xlpm.colMatch)),"")</f>
        <v/>
      </c>
      <c r="H41" s="1" t="str">
        <f>IFERROR(VLOOKUP("*" &amp; C41 &amp; "*",Terms!D:E,2,FALSE),"")</f>
        <v/>
      </c>
      <c r="I41" s="1" t="str">
        <f>IFERROR(VLOOKUP("*" &amp; C41 &amp; "*",'Terms 2'!B:D,3,FALSE),"")</f>
        <v/>
      </c>
    </row>
    <row r="42" spans="2:9">
      <c r="B42" s="1" t="str">
        <f t="shared" si="0"/>
        <v/>
      </c>
      <c r="C42" s="47" t="s">
        <v>4799</v>
      </c>
      <c r="D42" s="1" t="s">
        <v>4848</v>
      </c>
      <c r="E42" s="1" t="str" cm="1">
        <f t="array" ref="E42">IFERROR(
  _xlfn.LET(
    _xlpm.searchText, Tests!$C42,
    _xlpm.dataRange, ITTO!$B$3:$F$300,
    _xlpm.headers, ITTO!$B$2:$F$2,
    _xlpm.matchMatrix, ISNUMBER(SEARCH(_xlpm.searchText, _xlpm.dataRange)),
    _xlpm.colMatch, _xlfn.XMATCH(TRUE, _xlfn.BYCOL(_xlpm.matchMatrix, _xlfn.LAMBDA(_xlpm.col, OR(_xlpm.col)))),
    INDEX(_xlpm.headers, _xlpm.colMatch)
  ),
  ""
)</f>
        <v/>
      </c>
      <c r="F42" s="1" t="str" cm="1">
        <f t="array" ref="F42">IFERROR(_xlfn.LET(_xlpm.searchText, Tests!$C42,_xlpm.dataRange, PMBOK!$B$3:$F$300,_xlpm.headers, PMBOK!$B$2:$F$2,_xlpm.matchMatrix, ISNUMBER(SEARCH(_xlpm.searchText, _xlpm.dataRange)),_xlpm.colMatch, _xlfn.XMATCH(TRUE, _xlfn.BYCOL(_xlpm.matchMatrix, _xlfn.LAMBDA(_xlpm.col, OR(_xlpm.col)))),INDEX(_xlpm.headers, _xlpm.colMatch)),"")</f>
        <v/>
      </c>
      <c r="G42" s="1" t="str" cm="1">
        <f t="array" ref="G42">IFERROR(_xlfn.LET(_xlpm.searchText, Tests!$C42,_xlpm.dataRange, 'Rita Quick test'!$B$3:$P$57,_xlpm.headers, 'Rita Quick test'!$B$2:$P$2,_xlpm.matchMatrix, ISNUMBER(SEARCH(_xlpm.searchText, _xlpm.dataRange)),_xlpm.colMatch, _xlfn.XMATCH(TRUE, _xlfn.BYCOL(_xlpm.matchMatrix, _xlfn.LAMBDA(_xlpm.col, OR(_xlpm.col)))),INDEX(_xlpm.headers, _xlpm.colMatch)),"")</f>
        <v/>
      </c>
      <c r="H42" s="1" t="str">
        <f>IFERROR(VLOOKUP("*" &amp; C42 &amp; "*",Terms!D:E,2,FALSE),"")</f>
        <v/>
      </c>
      <c r="I42" s="1" t="str">
        <f>IFERROR(VLOOKUP("*" &amp; C42 &amp; "*",'Terms 2'!B:D,3,FALSE),"")</f>
        <v/>
      </c>
    </row>
    <row r="43" spans="2:9">
      <c r="B43" s="1" t="str">
        <f t="shared" si="0"/>
        <v/>
      </c>
      <c r="C43" s="47" t="s">
        <v>4684</v>
      </c>
      <c r="D43" s="1" t="s">
        <v>4848</v>
      </c>
      <c r="E43" s="1" t="str" cm="1">
        <f t="array" ref="E43">IFERROR(
  _xlfn.LET(
    _xlpm.searchText, Tests!$C43,
    _xlpm.dataRange, ITTO!$B$3:$F$300,
    _xlpm.headers, ITTO!$B$2:$F$2,
    _xlpm.matchMatrix, ISNUMBER(SEARCH(_xlpm.searchText, _xlpm.dataRange)),
    _xlpm.colMatch, _xlfn.XMATCH(TRUE, _xlfn.BYCOL(_xlpm.matchMatrix, _xlfn.LAMBDA(_xlpm.col, OR(_xlpm.col)))),
    INDEX(_xlpm.headers, _xlpm.colMatch)
  ),
  ""
)</f>
        <v/>
      </c>
      <c r="F43" s="1" t="str" cm="1">
        <f t="array" ref="F43">IFERROR(_xlfn.LET(_xlpm.searchText, Tests!$C43,_xlpm.dataRange, PMBOK!$B$3:$F$300,_xlpm.headers, PMBOK!$B$2:$F$2,_xlpm.matchMatrix, ISNUMBER(SEARCH(_xlpm.searchText, _xlpm.dataRange)),_xlpm.colMatch, _xlfn.XMATCH(TRUE, _xlfn.BYCOL(_xlpm.matchMatrix, _xlfn.LAMBDA(_xlpm.col, OR(_xlpm.col)))),INDEX(_xlpm.headers, _xlpm.colMatch)),"")</f>
        <v/>
      </c>
      <c r="G43" s="1" t="str" cm="1">
        <f t="array" ref="G43">IFERROR(_xlfn.LET(_xlpm.searchText, Tests!$C43,_xlpm.dataRange, 'Rita Quick test'!$B$3:$P$57,_xlpm.headers, 'Rita Quick test'!$B$2:$P$2,_xlpm.matchMatrix, ISNUMBER(SEARCH(_xlpm.searchText, _xlpm.dataRange)),_xlpm.colMatch, _xlfn.XMATCH(TRUE, _xlfn.BYCOL(_xlpm.matchMatrix, _xlfn.LAMBDA(_xlpm.col, OR(_xlpm.col)))),INDEX(_xlpm.headers, _xlpm.colMatch)),"")</f>
        <v/>
      </c>
      <c r="H43" s="1" t="str">
        <f>IFERROR(VLOOKUP("*" &amp; C43 &amp; "*",Terms!D:E,2,FALSE),"")</f>
        <v/>
      </c>
      <c r="I43" s="1" t="str">
        <f>IFERROR(VLOOKUP("*" &amp; C43 &amp; "*",'Terms 2'!B:D,3,FALSE),"")</f>
        <v/>
      </c>
    </row>
    <row r="44" spans="2:9">
      <c r="B44" s="1" t="str">
        <f t="shared" si="0"/>
        <v/>
      </c>
      <c r="C44" s="47" t="s">
        <v>4588</v>
      </c>
      <c r="D44" s="1" t="s">
        <v>4848</v>
      </c>
      <c r="E44" s="1" t="str" cm="1">
        <f t="array" ref="E44">IFERROR(
  _xlfn.LET(
    _xlpm.searchText, Tests!$C44,
    _xlpm.dataRange, ITTO!$B$3:$F$300,
    _xlpm.headers, ITTO!$B$2:$F$2,
    _xlpm.matchMatrix, ISNUMBER(SEARCH(_xlpm.searchText, _xlpm.dataRange)),
    _xlpm.colMatch, _xlfn.XMATCH(TRUE, _xlfn.BYCOL(_xlpm.matchMatrix, _xlfn.LAMBDA(_xlpm.col, OR(_xlpm.col)))),
    INDEX(_xlpm.headers, _xlpm.colMatch)
  ),
  ""
)</f>
        <v/>
      </c>
      <c r="F44" s="1" t="str" cm="1">
        <f t="array" ref="F44">IFERROR(_xlfn.LET(_xlpm.searchText, Tests!$C44,_xlpm.dataRange, PMBOK!$B$3:$F$300,_xlpm.headers, PMBOK!$B$2:$F$2,_xlpm.matchMatrix, ISNUMBER(SEARCH(_xlpm.searchText, _xlpm.dataRange)),_xlpm.colMatch, _xlfn.XMATCH(TRUE, _xlfn.BYCOL(_xlpm.matchMatrix, _xlfn.LAMBDA(_xlpm.col, OR(_xlpm.col)))),INDEX(_xlpm.headers, _xlpm.colMatch)),"")</f>
        <v/>
      </c>
      <c r="G44" s="1" t="str" cm="1">
        <f t="array" ref="G44">IFERROR(_xlfn.LET(_xlpm.searchText, Tests!$C44,_xlpm.dataRange, 'Rita Quick test'!$B$3:$P$57,_xlpm.headers, 'Rita Quick test'!$B$2:$P$2,_xlpm.matchMatrix, ISNUMBER(SEARCH(_xlpm.searchText, _xlpm.dataRange)),_xlpm.colMatch, _xlfn.XMATCH(TRUE, _xlfn.BYCOL(_xlpm.matchMatrix, _xlfn.LAMBDA(_xlpm.col, OR(_xlpm.col)))),INDEX(_xlpm.headers, _xlpm.colMatch)),"")</f>
        <v/>
      </c>
      <c r="H44" s="1" t="str">
        <f>IFERROR(VLOOKUP("*" &amp; C44 &amp; "*",Terms!D:E,2,FALSE),"")</f>
        <v/>
      </c>
      <c r="I44" s="1" t="str">
        <f>IFERROR(VLOOKUP("*" &amp; C44 &amp; "*",'Terms 2'!B:D,3,FALSE),"")</f>
        <v/>
      </c>
    </row>
    <row r="45" spans="2:9">
      <c r="B45" s="1" t="str">
        <f t="shared" si="0"/>
        <v>During the closing process, the project or phase is brought to formal closure</v>
      </c>
      <c r="C45" s="47" t="s">
        <v>4407</v>
      </c>
      <c r="D45" s="49" t="s">
        <v>4412</v>
      </c>
      <c r="E45" s="1" t="str" cm="1">
        <f t="array" ref="E45">IFERROR(
  _xlfn.LET(
    _xlpm.searchText, Tests!$C45,
    _xlpm.dataRange, ITTO!$B$3:$F$300,
    _xlpm.headers, ITTO!$B$2:$F$2,
    _xlpm.matchMatrix, ISNUMBER(SEARCH(_xlpm.searchText, _xlpm.dataRange)),
    _xlpm.colMatch, _xlfn.XMATCH(TRUE, _xlfn.BYCOL(_xlpm.matchMatrix, _xlfn.LAMBDA(_xlpm.col, OR(_xlpm.col)))),
    INDEX(_xlpm.headers, _xlpm.colMatch)
  ),
  ""
)</f>
        <v/>
      </c>
      <c r="F45" s="1" t="str" cm="1">
        <f t="array" ref="F45">IFERROR(_xlfn.LET(_xlpm.searchText, Tests!$C45,_xlpm.dataRange, PMBOK!$B$3:$F$300,_xlpm.headers, PMBOK!$B$2:$F$2,_xlpm.matchMatrix, ISNUMBER(SEARCH(_xlpm.searchText, _xlpm.dataRange)),_xlpm.colMatch, _xlfn.XMATCH(TRUE, _xlfn.BYCOL(_xlpm.matchMatrix, _xlfn.LAMBDA(_xlpm.col, OR(_xlpm.col)))),INDEX(_xlpm.headers, _xlpm.colMatch)),"")</f>
        <v/>
      </c>
      <c r="G45" s="1" t="str" cm="1">
        <f t="array" ref="G45">IFERROR(_xlfn.LET(_xlpm.searchText, Tests!$C45,_xlpm.dataRange, 'Rita Quick test'!$B$3:$P$57,_xlpm.headers, 'Rita Quick test'!$B$2:$P$2,_xlpm.matchMatrix, ISNUMBER(SEARCH(_xlpm.searchText, _xlpm.dataRange)),_xlpm.colMatch, _xlfn.XMATCH(TRUE, _xlfn.BYCOL(_xlpm.matchMatrix, _xlfn.LAMBDA(_xlpm.col, OR(_xlpm.col)))),INDEX(_xlpm.headers, _xlpm.colMatch)),"")</f>
        <v/>
      </c>
      <c r="H45" s="1" t="str">
        <f>IFERROR(VLOOKUP("*" &amp; C45 &amp; "*",Terms!D:E,2,FALSE),"")</f>
        <v/>
      </c>
      <c r="I45" s="1" t="str">
        <f>IFERROR(VLOOKUP("*" &amp; C45 &amp; "*",'Terms 2'!B:D,3,FALSE),"")</f>
        <v/>
      </c>
    </row>
    <row r="46" spans="2:9">
      <c r="B46" s="1" t="str">
        <f t="shared" si="0"/>
        <v>The output for closing would be the final product service or result transition and the final report.</v>
      </c>
      <c r="C46" s="47" t="s">
        <v>4407</v>
      </c>
      <c r="D46" s="49" t="s">
        <v>4854</v>
      </c>
      <c r="E46" s="1" t="str" cm="1">
        <f t="array" ref="E46">IFERROR(
  _xlfn.LET(
    _xlpm.searchText, Tests!$C46,
    _xlpm.dataRange, ITTO!$B$3:$F$300,
    _xlpm.headers, ITTO!$B$2:$F$2,
    _xlpm.matchMatrix, ISNUMBER(SEARCH(_xlpm.searchText, _xlpm.dataRange)),
    _xlpm.colMatch, _xlfn.XMATCH(TRUE, _xlfn.BYCOL(_xlpm.matchMatrix, _xlfn.LAMBDA(_xlpm.col, OR(_xlpm.col)))),
    INDEX(_xlpm.headers, _xlpm.colMatch)
  ),
  ""
)</f>
        <v/>
      </c>
      <c r="F46" s="1" t="str" cm="1">
        <f t="array" ref="F46">IFERROR(_xlfn.LET(_xlpm.searchText, Tests!$C46,_xlpm.dataRange, PMBOK!$B$3:$F$300,_xlpm.headers, PMBOK!$B$2:$F$2,_xlpm.matchMatrix, ISNUMBER(SEARCH(_xlpm.searchText, _xlpm.dataRange)),_xlpm.colMatch, _xlfn.XMATCH(TRUE, _xlfn.BYCOL(_xlpm.matchMatrix, _xlfn.LAMBDA(_xlpm.col, OR(_xlpm.col)))),INDEX(_xlpm.headers, _xlpm.colMatch)),"")</f>
        <v/>
      </c>
      <c r="G46" s="1" t="str" cm="1">
        <f t="array" ref="G46">IFERROR(_xlfn.LET(_xlpm.searchText, Tests!$C46,_xlpm.dataRange, 'Rita Quick test'!$B$3:$P$57,_xlpm.headers, 'Rita Quick test'!$B$2:$P$2,_xlpm.matchMatrix, ISNUMBER(SEARCH(_xlpm.searchText, _xlpm.dataRange)),_xlpm.colMatch, _xlfn.XMATCH(TRUE, _xlfn.BYCOL(_xlpm.matchMatrix, _xlfn.LAMBDA(_xlpm.col, OR(_xlpm.col)))),INDEX(_xlpm.headers, _xlpm.colMatch)),"")</f>
        <v/>
      </c>
      <c r="H46" s="1" t="str">
        <f>IFERROR(VLOOKUP("*" &amp; C46 &amp; "*",Terms!D:E,2,FALSE),"")</f>
        <v/>
      </c>
      <c r="I46" s="1" t="str">
        <f>IFERROR(VLOOKUP("*" &amp; C46 &amp; "*",'Terms 2'!B:D,3,FALSE),"")</f>
        <v/>
      </c>
    </row>
    <row r="47" spans="2:9">
      <c r="B47" s="1" t="str">
        <f t="shared" si="0"/>
        <v/>
      </c>
      <c r="C47" s="47" t="s">
        <v>4682</v>
      </c>
      <c r="D47" s="1" t="s">
        <v>4848</v>
      </c>
      <c r="E47" s="1" t="str" cm="1">
        <f t="array" ref="E47">IFERROR(
  _xlfn.LET(
    _xlpm.searchText, Tests!$C47,
    _xlpm.dataRange, ITTO!$B$3:$F$300,
    _xlpm.headers, ITTO!$B$2:$F$2,
    _xlpm.matchMatrix, ISNUMBER(SEARCH(_xlpm.searchText, _xlpm.dataRange)),
    _xlpm.colMatch, _xlfn.XMATCH(TRUE, _xlfn.BYCOL(_xlpm.matchMatrix, _xlfn.LAMBDA(_xlpm.col, OR(_xlpm.col)))),
    INDEX(_xlpm.headers, _xlpm.colMatch)
  ),
  ""
)</f>
        <v/>
      </c>
      <c r="F47" s="1" t="str" cm="1">
        <f t="array" ref="F47">IFERROR(_xlfn.LET(_xlpm.searchText, Tests!$C47,_xlpm.dataRange, PMBOK!$B$3:$F$300,_xlpm.headers, PMBOK!$B$2:$F$2,_xlpm.matchMatrix, ISNUMBER(SEARCH(_xlpm.searchText, _xlpm.dataRange)),_xlpm.colMatch, _xlfn.XMATCH(TRUE, _xlfn.BYCOL(_xlpm.matchMatrix, _xlfn.LAMBDA(_xlpm.col, OR(_xlpm.col)))),INDEX(_xlpm.headers, _xlpm.colMatch)),"")</f>
        <v/>
      </c>
      <c r="G47" s="1" t="str" cm="1">
        <f t="array" ref="G47">IFERROR(_xlfn.LET(_xlpm.searchText, Tests!$C47,_xlpm.dataRange, 'Rita Quick test'!$B$3:$P$57,_xlpm.headers, 'Rita Quick test'!$B$2:$P$2,_xlpm.matchMatrix, ISNUMBER(SEARCH(_xlpm.searchText, _xlpm.dataRange)),_xlpm.colMatch, _xlfn.XMATCH(TRUE, _xlfn.BYCOL(_xlpm.matchMatrix, _xlfn.LAMBDA(_xlpm.col, OR(_xlpm.col)))),INDEX(_xlpm.headers, _xlpm.colMatch)),"")</f>
        <v/>
      </c>
      <c r="H47" s="1" t="str">
        <f>IFERROR(VLOOKUP("*" &amp; C47 &amp; "*",Terms!D:E,2,FALSE),"")</f>
        <v/>
      </c>
      <c r="I47" s="1" t="str">
        <f>IFERROR(VLOOKUP("*" &amp; C47 &amp; "*",'Terms 2'!B:D,3,FALSE),"")</f>
        <v/>
      </c>
    </row>
    <row r="48" spans="2:9">
      <c r="B48" s="1" t="str">
        <f t="shared" si="0"/>
        <v>Communication models are used when looking at the communication processes.</v>
      </c>
      <c r="C48" s="47" t="s">
        <v>4525</v>
      </c>
      <c r="D48" s="49" t="s">
        <v>4855</v>
      </c>
      <c r="E48" s="1" t="str" cm="1">
        <f t="array" ref="E48">IFERROR(
  _xlfn.LET(
    _xlpm.searchText, Tests!$C48,
    _xlpm.dataRange, ITTO!$B$3:$F$300,
    _xlpm.headers, ITTO!$B$2:$F$2,
    _xlpm.matchMatrix, ISNUMBER(SEARCH(_xlpm.searchText, _xlpm.dataRange)),
    _xlpm.colMatch, _xlfn.XMATCH(TRUE, _xlfn.BYCOL(_xlpm.matchMatrix, _xlfn.LAMBDA(_xlpm.col, OR(_xlpm.col)))),
    INDEX(_xlpm.headers, _xlpm.colMatch)
  ),
  ""
)</f>
        <v/>
      </c>
      <c r="F48" s="1" t="str" cm="1">
        <f t="array" ref="F48">IFERROR(_xlfn.LET(_xlpm.searchText, Tests!$C48,_xlpm.dataRange, PMBOK!$B$3:$F$300,_xlpm.headers, PMBOK!$B$2:$F$2,_xlpm.matchMatrix, ISNUMBER(SEARCH(_xlpm.searchText, _xlpm.dataRange)),_xlpm.colMatch, _xlfn.XMATCH(TRUE, _xlfn.BYCOL(_xlpm.matchMatrix, _xlfn.LAMBDA(_xlpm.col, OR(_xlpm.col)))),INDEX(_xlpm.headers, _xlpm.colMatch)),"")</f>
        <v/>
      </c>
      <c r="G48" s="1" t="str" cm="1">
        <f t="array" ref="G48">IFERROR(_xlfn.LET(_xlpm.searchText, Tests!$C48,_xlpm.dataRange, 'Rita Quick test'!$B$3:$P$57,_xlpm.headers, 'Rita Quick test'!$B$2:$P$2,_xlpm.matchMatrix, ISNUMBER(SEARCH(_xlpm.searchText, _xlpm.dataRange)),_xlpm.colMatch, _xlfn.XMATCH(TRUE, _xlfn.BYCOL(_xlpm.matchMatrix, _xlfn.LAMBDA(_xlpm.col, OR(_xlpm.col)))),INDEX(_xlpm.headers, _xlpm.colMatch)),"")</f>
        <v/>
      </c>
      <c r="H48" s="1" t="str">
        <f>IFERROR(VLOOKUP("*" &amp; C48 &amp; "*",Terms!D:E,2,FALSE),"")</f>
        <v/>
      </c>
      <c r="I48" s="1" t="str">
        <f>IFERROR(VLOOKUP("*" &amp; C48 &amp; "*",'Terms 2'!B:D,3,FALSE),"")</f>
        <v/>
      </c>
    </row>
    <row r="49" spans="2:9">
      <c r="B49" s="1" t="str">
        <f t="shared" si="0"/>
        <v>Communication technology factors include sensitivity and confidentiality of the information on the project, which will require the project manager to assess the security needs of the project information</v>
      </c>
      <c r="C49" s="47" t="s">
        <v>4526</v>
      </c>
      <c r="D49" s="49" t="s">
        <v>4527</v>
      </c>
      <c r="E49" s="1" t="str" cm="1">
        <f t="array" ref="E49">IFERROR(
  _xlfn.LET(
    _xlpm.searchText, Tests!$C49,
    _xlpm.dataRange, ITTO!$B$3:$F$300,
    _xlpm.headers, ITTO!$B$2:$F$2,
    _xlpm.matchMatrix, ISNUMBER(SEARCH(_xlpm.searchText, _xlpm.dataRange)),
    _xlpm.colMatch, _xlfn.XMATCH(TRUE, _xlfn.BYCOL(_xlpm.matchMatrix, _xlfn.LAMBDA(_xlpm.col, OR(_xlpm.col)))),
    INDEX(_xlpm.headers, _xlpm.colMatch)
  ),
  ""
)</f>
        <v/>
      </c>
      <c r="F49" s="1" t="str" cm="1">
        <f t="array" ref="F49">IFERROR(_xlfn.LET(_xlpm.searchText, Tests!$C49,_xlpm.dataRange, PMBOK!$B$3:$F$300,_xlpm.headers, PMBOK!$B$2:$F$2,_xlpm.matchMatrix, ISNUMBER(SEARCH(_xlpm.searchText, _xlpm.dataRange)),_xlpm.colMatch, _xlfn.XMATCH(TRUE, _xlfn.BYCOL(_xlpm.matchMatrix, _xlfn.LAMBDA(_xlpm.col, OR(_xlpm.col)))),INDEX(_xlpm.headers, _xlpm.colMatch)),"")</f>
        <v/>
      </c>
      <c r="G49" s="1" t="str" cm="1">
        <f t="array" ref="G49">IFERROR(_xlfn.LET(_xlpm.searchText, Tests!$C49,_xlpm.dataRange, 'Rita Quick test'!$B$3:$P$57,_xlpm.headers, 'Rita Quick test'!$B$2:$P$2,_xlpm.matchMatrix, ISNUMBER(SEARCH(_xlpm.searchText, _xlpm.dataRange)),_xlpm.colMatch, _xlfn.XMATCH(TRUE, _xlfn.BYCOL(_xlpm.matchMatrix, _xlfn.LAMBDA(_xlpm.col, OR(_xlpm.col)))),INDEX(_xlpm.headers, _xlpm.colMatch)),"")</f>
        <v/>
      </c>
      <c r="H49" s="1" t="str">
        <f>IFERROR(VLOOKUP("*" &amp; C49 &amp; "*",Terms!D:E,2,FALSE),"")</f>
        <v/>
      </c>
      <c r="I49" s="1" t="str">
        <f>IFERROR(VLOOKUP("*" &amp; C49 &amp; "*",'Terms 2'!B:D,3,FALSE),"")</f>
        <v/>
      </c>
    </row>
    <row r="50" spans="2:9">
      <c r="B50" s="1" t="str">
        <f t="shared" si="0"/>
        <v>Communication technology factors include sensitivity and confidentiality of the information on the project, which will require the project manager to assess the security needs of the project information.</v>
      </c>
      <c r="C50" s="47" t="s">
        <v>4526</v>
      </c>
      <c r="D50" s="49" t="s">
        <v>4856</v>
      </c>
      <c r="E50" s="1" t="str" cm="1">
        <f t="array" ref="E50">IFERROR(
  _xlfn.LET(
    _xlpm.searchText, Tests!$C50,
    _xlpm.dataRange, ITTO!$B$3:$F$300,
    _xlpm.headers, ITTO!$B$2:$F$2,
    _xlpm.matchMatrix, ISNUMBER(SEARCH(_xlpm.searchText, _xlpm.dataRange)),
    _xlpm.colMatch, _xlfn.XMATCH(TRUE, _xlfn.BYCOL(_xlpm.matchMatrix, _xlfn.LAMBDA(_xlpm.col, OR(_xlpm.col)))),
    INDEX(_xlpm.headers, _xlpm.colMatch)
  ),
  ""
)</f>
        <v/>
      </c>
      <c r="F50" s="1" t="str" cm="1">
        <f t="array" ref="F50">IFERROR(_xlfn.LET(_xlpm.searchText, Tests!$C50,_xlpm.dataRange, PMBOK!$B$3:$F$300,_xlpm.headers, PMBOK!$B$2:$F$2,_xlpm.matchMatrix, ISNUMBER(SEARCH(_xlpm.searchText, _xlpm.dataRange)),_xlpm.colMatch, _xlfn.XMATCH(TRUE, _xlfn.BYCOL(_xlpm.matchMatrix, _xlfn.LAMBDA(_xlpm.col, OR(_xlpm.col)))),INDEX(_xlpm.headers, _xlpm.colMatch)),"")</f>
        <v/>
      </c>
      <c r="G50" s="1" t="str" cm="1">
        <f t="array" ref="G50">IFERROR(_xlfn.LET(_xlpm.searchText, Tests!$C50,_xlpm.dataRange, 'Rita Quick test'!$B$3:$P$57,_xlpm.headers, 'Rita Quick test'!$B$2:$P$2,_xlpm.matchMatrix, ISNUMBER(SEARCH(_xlpm.searchText, _xlpm.dataRange)),_xlpm.colMatch, _xlfn.XMATCH(TRUE, _xlfn.BYCOL(_xlpm.matchMatrix, _xlfn.LAMBDA(_xlpm.col, OR(_xlpm.col)))),INDEX(_xlpm.headers, _xlpm.colMatch)),"")</f>
        <v/>
      </c>
      <c r="H50" s="1" t="str">
        <f>IFERROR(VLOOKUP("*" &amp; C50 &amp; "*",Terms!D:E,2,FALSE),"")</f>
        <v/>
      </c>
      <c r="I50" s="1" t="str">
        <f>IFERROR(VLOOKUP("*" &amp; C50 &amp; "*",'Terms 2'!B:D,3,FALSE),"")</f>
        <v/>
      </c>
    </row>
    <row r="51" spans="2:9">
      <c r="B51" s="1" t="str">
        <f t="shared" si="0"/>
        <v/>
      </c>
      <c r="C51" s="46" t="s">
        <v>4470</v>
      </c>
      <c r="D51" s="1" t="s">
        <v>4848</v>
      </c>
      <c r="E51" s="1" t="str" cm="1">
        <f t="array" ref="E51">IFERROR(
  _xlfn.LET(
    _xlpm.searchText, Tests!$C51,
    _xlpm.dataRange, ITTO!$B$3:$F$300,
    _xlpm.headers, ITTO!$B$2:$F$2,
    _xlpm.matchMatrix, ISNUMBER(SEARCH(_xlpm.searchText, _xlpm.dataRange)),
    _xlpm.colMatch, _xlfn.XMATCH(TRUE, _xlfn.BYCOL(_xlpm.matchMatrix, _xlfn.LAMBDA(_xlpm.col, OR(_xlpm.col)))),
    INDEX(_xlpm.headers, _xlpm.colMatch)
  ),
  ""
)</f>
        <v/>
      </c>
      <c r="F51" s="1" t="str" cm="1">
        <f t="array" ref="F51">IFERROR(_xlfn.LET(_xlpm.searchText, Tests!$C51,_xlpm.dataRange, PMBOK!$B$3:$F$300,_xlpm.headers, PMBOK!$B$2:$F$2,_xlpm.matchMatrix, ISNUMBER(SEARCH(_xlpm.searchText, _xlpm.dataRange)),_xlpm.colMatch, _xlfn.XMATCH(TRUE, _xlfn.BYCOL(_xlpm.matchMatrix, _xlfn.LAMBDA(_xlpm.col, OR(_xlpm.col)))),INDEX(_xlpm.headers, _xlpm.colMatch)),"")</f>
        <v/>
      </c>
      <c r="G51" s="1" t="str" cm="1">
        <f t="array" ref="G51">IFERROR(_xlfn.LET(_xlpm.searchText, Tests!$C51,_xlpm.dataRange, 'Rita Quick test'!$B$3:$P$57,_xlpm.headers, 'Rita Quick test'!$B$2:$P$2,_xlpm.matchMatrix, ISNUMBER(SEARCH(_xlpm.searchText, _xlpm.dataRange)),_xlpm.colMatch, _xlfn.XMATCH(TRUE, _xlfn.BYCOL(_xlpm.matchMatrix, _xlfn.LAMBDA(_xlpm.col, OR(_xlpm.col)))),INDEX(_xlpm.headers, _xlpm.colMatch)),"")</f>
        <v/>
      </c>
      <c r="H51" s="1" t="str">
        <f>IFERROR(VLOOKUP("*" &amp; C51 &amp; "*",Terms!D:E,2,FALSE),"")</f>
        <v/>
      </c>
      <c r="I51" s="1" t="str">
        <f>IFERROR(VLOOKUP("*" &amp; C51 &amp; "*",'Terms 2'!B:D,3,FALSE),"")</f>
        <v/>
      </c>
    </row>
    <row r="52" spans="2:9">
      <c r="B52" s="1" t="str">
        <f t="shared" si="0"/>
        <v/>
      </c>
      <c r="C52" s="47" t="s">
        <v>4711</v>
      </c>
      <c r="D52" s="1" t="s">
        <v>4848</v>
      </c>
      <c r="E52" s="1" t="str" cm="1">
        <f t="array" ref="E52">IFERROR(
  _xlfn.LET(
    _xlpm.searchText, Tests!$C52,
    _xlpm.dataRange, ITTO!$B$3:$F$300,
    _xlpm.headers, ITTO!$B$2:$F$2,
    _xlpm.matchMatrix, ISNUMBER(SEARCH(_xlpm.searchText, _xlpm.dataRange)),
    _xlpm.colMatch, _xlfn.XMATCH(TRUE, _xlfn.BYCOL(_xlpm.matchMatrix, _xlfn.LAMBDA(_xlpm.col, OR(_xlpm.col)))),
    INDEX(_xlpm.headers, _xlpm.colMatch)
  ),
  ""
)</f>
        <v/>
      </c>
      <c r="F52" s="1" t="str" cm="1">
        <f t="array" ref="F52">IFERROR(_xlfn.LET(_xlpm.searchText, Tests!$C52,_xlpm.dataRange, PMBOK!$B$3:$F$300,_xlpm.headers, PMBOK!$B$2:$F$2,_xlpm.matchMatrix, ISNUMBER(SEARCH(_xlpm.searchText, _xlpm.dataRange)),_xlpm.colMatch, _xlfn.XMATCH(TRUE, _xlfn.BYCOL(_xlpm.matchMatrix, _xlfn.LAMBDA(_xlpm.col, OR(_xlpm.col)))),INDEX(_xlpm.headers, _xlpm.colMatch)),"")</f>
        <v/>
      </c>
      <c r="G52" s="1" t="str" cm="1">
        <f t="array" ref="G52">IFERROR(_xlfn.LET(_xlpm.searchText, Tests!$C52,_xlpm.dataRange, 'Rita Quick test'!$B$3:$P$57,_xlpm.headers, 'Rita Quick test'!$B$2:$P$2,_xlpm.matchMatrix, ISNUMBER(SEARCH(_xlpm.searchText, _xlpm.dataRange)),_xlpm.colMatch, _xlfn.XMATCH(TRUE, _xlfn.BYCOL(_xlpm.matchMatrix, _xlfn.LAMBDA(_xlpm.col, OR(_xlpm.col)))),INDEX(_xlpm.headers, _xlpm.colMatch)),"")</f>
        <v/>
      </c>
      <c r="H52" s="1" t="str">
        <f>IFERROR(VLOOKUP("*" &amp; C52 &amp; "*",Terms!D:E,2,FALSE),"")</f>
        <v/>
      </c>
      <c r="I52" s="1" t="str">
        <f>IFERROR(VLOOKUP("*" &amp; C52 &amp; "*",'Terms 2'!B:D,3,FALSE),"")</f>
        <v/>
      </c>
    </row>
    <row r="53" spans="2:9">
      <c r="B53" s="1" t="str">
        <f t="shared" si="0"/>
        <v>Compromise is when the two sides reach an agreement but both sides have to give up something</v>
      </c>
      <c r="C53" s="47" t="s">
        <v>4500</v>
      </c>
      <c r="D53" s="49" t="s">
        <v>4503</v>
      </c>
      <c r="E53" s="1" t="str" cm="1">
        <f t="array" ref="E53">IFERROR(
  _xlfn.LET(
    _xlpm.searchText, Tests!$C53,
    _xlpm.dataRange, ITTO!$B$3:$F$300,
    _xlpm.headers, ITTO!$B$2:$F$2,
    _xlpm.matchMatrix, ISNUMBER(SEARCH(_xlpm.searchText, _xlpm.dataRange)),
    _xlpm.colMatch, _xlfn.XMATCH(TRUE, _xlfn.BYCOL(_xlpm.matchMatrix, _xlfn.LAMBDA(_xlpm.col, OR(_xlpm.col)))),
    INDEX(_xlpm.headers, _xlpm.colMatch)
  ),
  ""
)</f>
        <v/>
      </c>
      <c r="F53" s="1" t="str" cm="1">
        <f t="array" ref="F53">IFERROR(_xlfn.LET(_xlpm.searchText, Tests!$C53,_xlpm.dataRange, PMBOK!$B$3:$F$300,_xlpm.headers, PMBOK!$B$2:$F$2,_xlpm.matchMatrix, ISNUMBER(SEARCH(_xlpm.searchText, _xlpm.dataRange)),_xlpm.colMatch, _xlfn.XMATCH(TRUE, _xlfn.BYCOL(_xlpm.matchMatrix, _xlfn.LAMBDA(_xlpm.col, OR(_xlpm.col)))),INDEX(_xlpm.headers, _xlpm.colMatch)),"")</f>
        <v/>
      </c>
      <c r="G53" s="1" t="str" cm="1">
        <f t="array" ref="G53">IFERROR(_xlfn.LET(_xlpm.searchText, Tests!$C53,_xlpm.dataRange, 'Rita Quick test'!$B$3:$P$57,_xlpm.headers, 'Rita Quick test'!$B$2:$P$2,_xlpm.matchMatrix, ISNUMBER(SEARCH(_xlpm.searchText, _xlpm.dataRange)),_xlpm.colMatch, _xlfn.XMATCH(TRUE, _xlfn.BYCOL(_xlpm.matchMatrix, _xlfn.LAMBDA(_xlpm.col, OR(_xlpm.col)))),INDEX(_xlpm.headers, _xlpm.colMatch)),"")</f>
        <v/>
      </c>
      <c r="H53" s="1" t="str">
        <f>IFERROR(VLOOKUP("*" &amp; C53 &amp; "*",Terms!D:E,2,FALSE),"")</f>
        <v/>
      </c>
      <c r="I53" s="1" t="str">
        <f>IFERROR(VLOOKUP("*" &amp; C53 &amp; "*",'Terms 2'!B:D,3,FALSE),"")</f>
        <v/>
      </c>
    </row>
    <row r="54" spans="2:9">
      <c r="B54" s="1" t="str">
        <f t="shared" si="0"/>
        <v>Compromise is when the two sides reach an agreement but both sides have to give up something.</v>
      </c>
      <c r="C54" s="47" t="s">
        <v>4500</v>
      </c>
      <c r="D54" s="49" t="s">
        <v>4857</v>
      </c>
      <c r="E54" s="1" t="str" cm="1">
        <f t="array" ref="E54">IFERROR(
  _xlfn.LET(
    _xlpm.searchText, Tests!$C54,
    _xlpm.dataRange, ITTO!$B$3:$F$300,
    _xlpm.headers, ITTO!$B$2:$F$2,
    _xlpm.matchMatrix, ISNUMBER(SEARCH(_xlpm.searchText, _xlpm.dataRange)),
    _xlpm.colMatch, _xlfn.XMATCH(TRUE, _xlfn.BYCOL(_xlpm.matchMatrix, _xlfn.LAMBDA(_xlpm.col, OR(_xlpm.col)))),
    INDEX(_xlpm.headers, _xlpm.colMatch)
  ),
  ""
)</f>
        <v/>
      </c>
      <c r="F54" s="1" t="str" cm="1">
        <f t="array" ref="F54">IFERROR(_xlfn.LET(_xlpm.searchText, Tests!$C54,_xlpm.dataRange, PMBOK!$B$3:$F$300,_xlpm.headers, PMBOK!$B$2:$F$2,_xlpm.matchMatrix, ISNUMBER(SEARCH(_xlpm.searchText, _xlpm.dataRange)),_xlpm.colMatch, _xlfn.XMATCH(TRUE, _xlfn.BYCOL(_xlpm.matchMatrix, _xlfn.LAMBDA(_xlpm.col, OR(_xlpm.col)))),INDEX(_xlpm.headers, _xlpm.colMatch)),"")</f>
        <v/>
      </c>
      <c r="G54" s="1" t="str" cm="1">
        <f t="array" ref="G54">IFERROR(_xlfn.LET(_xlpm.searchText, Tests!$C54,_xlpm.dataRange, 'Rita Quick test'!$B$3:$P$57,_xlpm.headers, 'Rita Quick test'!$B$2:$P$2,_xlpm.matchMatrix, ISNUMBER(SEARCH(_xlpm.searchText, _xlpm.dataRange)),_xlpm.colMatch, _xlfn.XMATCH(TRUE, _xlfn.BYCOL(_xlpm.matchMatrix, _xlfn.LAMBDA(_xlpm.col, OR(_xlpm.col)))),INDEX(_xlpm.headers, _xlpm.colMatch)),"")</f>
        <v/>
      </c>
      <c r="H54" s="1" t="str">
        <f>IFERROR(VLOOKUP("*" &amp; C54 &amp; "*",Terms!D:E,2,FALSE),"")</f>
        <v/>
      </c>
      <c r="I54" s="1" t="str">
        <f>IFERROR(VLOOKUP("*" &amp; C54 &amp; "*",'Terms 2'!B:D,3,FALSE),"")</f>
        <v/>
      </c>
    </row>
    <row r="55" spans="2:9">
      <c r="B55" s="1" t="str">
        <f t="shared" si="0"/>
        <v>Compromising is when both sides in a conflict give up something to come up with a solution.</v>
      </c>
      <c r="C55" s="47" t="s">
        <v>4791</v>
      </c>
      <c r="D55" s="49" t="s">
        <v>4858</v>
      </c>
      <c r="E55" s="1" t="str" cm="1">
        <f t="array" ref="E55">IFERROR(
  _xlfn.LET(
    _xlpm.searchText, Tests!$C55,
    _xlpm.dataRange, ITTO!$B$3:$F$300,
    _xlpm.headers, ITTO!$B$2:$F$2,
    _xlpm.matchMatrix, ISNUMBER(SEARCH(_xlpm.searchText, _xlpm.dataRange)),
    _xlpm.colMatch, _xlfn.XMATCH(TRUE, _xlfn.BYCOL(_xlpm.matchMatrix, _xlfn.LAMBDA(_xlpm.col, OR(_xlpm.col)))),
    INDEX(_xlpm.headers, _xlpm.colMatch)
  ),
  ""
)</f>
        <v/>
      </c>
      <c r="F55" s="1" t="str" cm="1">
        <f t="array" ref="F55">IFERROR(_xlfn.LET(_xlpm.searchText, Tests!$C55,_xlpm.dataRange, PMBOK!$B$3:$F$300,_xlpm.headers, PMBOK!$B$2:$F$2,_xlpm.matchMatrix, ISNUMBER(SEARCH(_xlpm.searchText, _xlpm.dataRange)),_xlpm.colMatch, _xlfn.XMATCH(TRUE, _xlfn.BYCOL(_xlpm.matchMatrix, _xlfn.LAMBDA(_xlpm.col, OR(_xlpm.col)))),INDEX(_xlpm.headers, _xlpm.colMatch)),"")</f>
        <v/>
      </c>
      <c r="G55" s="1" t="str" cm="1">
        <f t="array" ref="G55">IFERROR(_xlfn.LET(_xlpm.searchText, Tests!$C55,_xlpm.dataRange, 'Rita Quick test'!$B$3:$P$57,_xlpm.headers, 'Rita Quick test'!$B$2:$P$2,_xlpm.matchMatrix, ISNUMBER(SEARCH(_xlpm.searchText, _xlpm.dataRange)),_xlpm.colMatch, _xlfn.XMATCH(TRUE, _xlfn.BYCOL(_xlpm.matchMatrix, _xlfn.LAMBDA(_xlpm.col, OR(_xlpm.col)))),INDEX(_xlpm.headers, _xlpm.colMatch)),"")</f>
        <v/>
      </c>
      <c r="H55" s="1" t="str">
        <f>IFERROR(VLOOKUP("*" &amp; C55 &amp; "*",Terms!D:E,2,FALSE),"")</f>
        <v/>
      </c>
      <c r="I55" s="1" t="str">
        <f>IFERROR(VLOOKUP("*" &amp; C55 &amp; "*",'Terms 2'!B:D,3,FALSE),"")</f>
        <v/>
      </c>
    </row>
    <row r="56" spans="2:9">
      <c r="B56" s="1" t="str">
        <f t="shared" si="0"/>
        <v>Conducting a bidder conference will not come up with solutions to the problem with the project</v>
      </c>
      <c r="C56" s="47" t="s">
        <v>4689</v>
      </c>
      <c r="D56" s="49" t="s">
        <v>4691</v>
      </c>
      <c r="E56" s="1" t="str" cm="1">
        <f t="array" ref="E56">IFERROR(
  _xlfn.LET(
    _xlpm.searchText, Tests!$C56,
    _xlpm.dataRange, ITTO!$B$3:$F$300,
    _xlpm.headers, ITTO!$B$2:$F$2,
    _xlpm.matchMatrix, ISNUMBER(SEARCH(_xlpm.searchText, _xlpm.dataRange)),
    _xlpm.colMatch, _xlfn.XMATCH(TRUE, _xlfn.BYCOL(_xlpm.matchMatrix, _xlfn.LAMBDA(_xlpm.col, OR(_xlpm.col)))),
    INDEX(_xlpm.headers, _xlpm.colMatch)
  ),
  ""
)</f>
        <v/>
      </c>
      <c r="F56" s="1" t="str" cm="1">
        <f t="array" ref="F56">IFERROR(_xlfn.LET(_xlpm.searchText, Tests!$C56,_xlpm.dataRange, PMBOK!$B$3:$F$300,_xlpm.headers, PMBOK!$B$2:$F$2,_xlpm.matchMatrix, ISNUMBER(SEARCH(_xlpm.searchText, _xlpm.dataRange)),_xlpm.colMatch, _xlfn.XMATCH(TRUE, _xlfn.BYCOL(_xlpm.matchMatrix, _xlfn.LAMBDA(_xlpm.col, OR(_xlpm.col)))),INDEX(_xlpm.headers, _xlpm.colMatch)),"")</f>
        <v/>
      </c>
      <c r="G56" s="1" t="str" cm="1">
        <f t="array" ref="G56">IFERROR(_xlfn.LET(_xlpm.searchText, Tests!$C56,_xlpm.dataRange, 'Rita Quick test'!$B$3:$P$57,_xlpm.headers, 'Rita Quick test'!$B$2:$P$2,_xlpm.matchMatrix, ISNUMBER(SEARCH(_xlpm.searchText, _xlpm.dataRange)),_xlpm.colMatch, _xlfn.XMATCH(TRUE, _xlfn.BYCOL(_xlpm.matchMatrix, _xlfn.LAMBDA(_xlpm.col, OR(_xlpm.col)))),INDEX(_xlpm.headers, _xlpm.colMatch)),"")</f>
        <v/>
      </c>
      <c r="H56" s="1" t="str">
        <f>IFERROR(VLOOKUP("*" &amp; C56 &amp; "*",Terms!D:E,2,FALSE),"")</f>
        <v/>
      </c>
      <c r="I56" s="1" t="str">
        <f>IFERROR(VLOOKUP("*" &amp; C56 &amp; "*",'Terms 2'!B:D,3,FALSE),"")</f>
        <v/>
      </c>
    </row>
    <row r="57" spans="2:9">
      <c r="B57" s="1" t="str">
        <f t="shared" si="0"/>
        <v>Control and conduct communication are made-up processes.</v>
      </c>
      <c r="C57" s="47" t="s">
        <v>4779</v>
      </c>
      <c r="D57" s="48" t="s">
        <v>4780</v>
      </c>
      <c r="E57" s="1" t="str" cm="1">
        <f t="array" ref="E57">IFERROR(
  _xlfn.LET(
    _xlpm.searchText, Tests!$C57,
    _xlpm.dataRange, ITTO!$B$3:$F$300,
    _xlpm.headers, ITTO!$B$2:$F$2,
    _xlpm.matchMatrix, ISNUMBER(SEARCH(_xlpm.searchText, _xlpm.dataRange)),
    _xlpm.colMatch, _xlfn.XMATCH(TRUE, _xlfn.BYCOL(_xlpm.matchMatrix, _xlfn.LAMBDA(_xlpm.col, OR(_xlpm.col)))),
    INDEX(_xlpm.headers, _xlpm.colMatch)
  ),
  ""
)</f>
        <v/>
      </c>
      <c r="F57" s="1" t="str" cm="1">
        <f t="array" ref="F57">IFERROR(_xlfn.LET(_xlpm.searchText, Tests!$C57,_xlpm.dataRange, PMBOK!$B$3:$F$300,_xlpm.headers, PMBOK!$B$2:$F$2,_xlpm.matchMatrix, ISNUMBER(SEARCH(_xlpm.searchText, _xlpm.dataRange)),_xlpm.colMatch, _xlfn.XMATCH(TRUE, _xlfn.BYCOL(_xlpm.matchMatrix, _xlfn.LAMBDA(_xlpm.col, OR(_xlpm.col)))),INDEX(_xlpm.headers, _xlpm.colMatch)),"")</f>
        <v/>
      </c>
      <c r="G57" s="1" t="str" cm="1">
        <f t="array" ref="G57">IFERROR(_xlfn.LET(_xlpm.searchText, Tests!$C57,_xlpm.dataRange, 'Rita Quick test'!$B$3:$P$57,_xlpm.headers, 'Rita Quick test'!$B$2:$P$2,_xlpm.matchMatrix, ISNUMBER(SEARCH(_xlpm.searchText, _xlpm.dataRange)),_xlpm.colMatch, _xlfn.XMATCH(TRUE, _xlfn.BYCOL(_xlpm.matchMatrix, _xlfn.LAMBDA(_xlpm.col, OR(_xlpm.col)))),INDEX(_xlpm.headers, _xlpm.colMatch)),"")</f>
        <v/>
      </c>
      <c r="H57" s="1" t="str">
        <f>IFERROR(VLOOKUP("*" &amp; C57 &amp; "*",Terms!D:E,2,FALSE),"")</f>
        <v/>
      </c>
      <c r="I57" s="1" t="str">
        <f>IFERROR(VLOOKUP("*" &amp; C57 &amp; "*",'Terms 2'!B:D,3,FALSE),"")</f>
        <v/>
      </c>
    </row>
    <row r="58" spans="2:9">
      <c r="B58" s="1" t="str">
        <f t="shared" si="0"/>
        <v/>
      </c>
      <c r="C58" s="47" t="s">
        <v>4662</v>
      </c>
      <c r="D58" s="1" t="s">
        <v>4848</v>
      </c>
      <c r="E58" s="1" t="str" cm="1">
        <f t="array" ref="E58">IFERROR(
  _xlfn.LET(
    _xlpm.searchText, Tests!$C58,
    _xlpm.dataRange, ITTO!$B$3:$F$300,
    _xlpm.headers, ITTO!$B$2:$F$2,
    _xlpm.matchMatrix, ISNUMBER(SEARCH(_xlpm.searchText, _xlpm.dataRange)),
    _xlpm.colMatch, _xlfn.XMATCH(TRUE, _xlfn.BYCOL(_xlpm.matchMatrix, _xlfn.LAMBDA(_xlpm.col, OR(_xlpm.col)))),
    INDEX(_xlpm.headers, _xlpm.colMatch)
  ),
  ""
)</f>
        <v/>
      </c>
      <c r="F58" s="1" t="str" cm="1">
        <f t="array" ref="F58">IFERROR(_xlfn.LET(_xlpm.searchText, Tests!$C58,_xlpm.dataRange, PMBOK!$B$3:$F$300,_xlpm.headers, PMBOK!$B$2:$F$2,_xlpm.matchMatrix, ISNUMBER(SEARCH(_xlpm.searchText, _xlpm.dataRange)),_xlpm.colMatch, _xlfn.XMATCH(TRUE, _xlfn.BYCOL(_xlpm.matchMatrix, _xlfn.LAMBDA(_xlpm.col, OR(_xlpm.col)))),INDEX(_xlpm.headers, _xlpm.colMatch)),"")</f>
        <v/>
      </c>
      <c r="G58" s="1" t="str" cm="1">
        <f t="array" ref="G58">IFERROR(_xlfn.LET(_xlpm.searchText, Tests!$C58,_xlpm.dataRange, 'Rita Quick test'!$B$3:$P$57,_xlpm.headers, 'Rita Quick test'!$B$2:$P$2,_xlpm.matchMatrix, ISNUMBER(SEARCH(_xlpm.searchText, _xlpm.dataRange)),_xlpm.colMatch, _xlfn.XMATCH(TRUE, _xlfn.BYCOL(_xlpm.matchMatrix, _xlfn.LAMBDA(_xlpm.col, OR(_xlpm.col)))),INDEX(_xlpm.headers, _xlpm.colMatch)),"")</f>
        <v/>
      </c>
      <c r="H58" s="1" t="str">
        <f>IFERROR(VLOOKUP("*" &amp; C58 &amp; "*",Terms!D:E,2,FALSE),"")</f>
        <v/>
      </c>
      <c r="I58" s="1" t="str">
        <f>IFERROR(VLOOKUP("*" &amp; C58 &amp; "*",'Terms 2'!B:D,3,FALSE),"")</f>
        <v/>
      </c>
    </row>
    <row r="59" spans="2:9">
      <c r="B59" s="1" t="str">
        <f t="shared" si="0"/>
        <v>Conduct procurement is done to select a seller and award a contract.</v>
      </c>
      <c r="C59" s="47" t="s">
        <v>4554</v>
      </c>
      <c r="D59" s="49" t="s">
        <v>4859</v>
      </c>
      <c r="E59" s="1" t="str" cm="1">
        <f t="array" ref="E59">IFERROR(
  _xlfn.LET(
    _xlpm.searchText, Tests!$C59,
    _xlpm.dataRange, ITTO!$B$3:$F$300,
    _xlpm.headers, ITTO!$B$2:$F$2,
    _xlpm.matchMatrix, ISNUMBER(SEARCH(_xlpm.searchText, _xlpm.dataRange)),
    _xlpm.colMatch, _xlfn.XMATCH(TRUE, _xlfn.BYCOL(_xlpm.matchMatrix, _xlfn.LAMBDA(_xlpm.col, OR(_xlpm.col)))),
    INDEX(_xlpm.headers, _xlpm.colMatch)
  ),
  ""
)</f>
        <v/>
      </c>
      <c r="F59" s="1" t="str" cm="1">
        <f t="array" ref="F59">IFERROR(_xlfn.LET(_xlpm.searchText, Tests!$C59,_xlpm.dataRange, PMBOK!$B$3:$F$300,_xlpm.headers, PMBOK!$B$2:$F$2,_xlpm.matchMatrix, ISNUMBER(SEARCH(_xlpm.searchText, _xlpm.dataRange)),_xlpm.colMatch, _xlfn.XMATCH(TRUE, _xlfn.BYCOL(_xlpm.matchMatrix, _xlfn.LAMBDA(_xlpm.col, OR(_xlpm.col)))),INDEX(_xlpm.headers, _xlpm.colMatch)),"")</f>
        <v/>
      </c>
      <c r="G59" s="1" t="str" cm="1">
        <f t="array" ref="G59">IFERROR(_xlfn.LET(_xlpm.searchText, Tests!$C59,_xlpm.dataRange, 'Rita Quick test'!$B$3:$P$57,_xlpm.headers, 'Rita Quick test'!$B$2:$P$2,_xlpm.matchMatrix, ISNUMBER(SEARCH(_xlpm.searchText, _xlpm.dataRange)),_xlpm.colMatch, _xlfn.XMATCH(TRUE, _xlfn.BYCOL(_xlpm.matchMatrix, _xlfn.LAMBDA(_xlpm.col, OR(_xlpm.col)))),INDEX(_xlpm.headers, _xlpm.colMatch)),"")</f>
        <v/>
      </c>
      <c r="H59" s="1" t="str">
        <f>IFERROR(VLOOKUP("*" &amp; C59 &amp; "*",Terms!D:E,2,FALSE),"")</f>
        <v/>
      </c>
      <c r="I59" s="1" t="str">
        <f>IFERROR(VLOOKUP("*" &amp; C59 &amp; "*",'Terms 2'!B:D,3,FALSE),"")</f>
        <v/>
      </c>
    </row>
    <row r="60" spans="2:9">
      <c r="B60" s="1" t="str">
        <f t="shared" si="0"/>
        <v>When there is a dispute between a buyer and a seller for additional funds, the dispute should be resolved by going to the claims administration, who can then facilitate the dispute. The other choices will not resolve the dispute between the buyer and the seller.</v>
      </c>
      <c r="C60" s="47" t="s">
        <v>4652</v>
      </c>
      <c r="D60" s="48" t="s">
        <v>4653</v>
      </c>
      <c r="E60" s="1" t="str" cm="1">
        <f t="array" ref="E60">IFERROR(
  _xlfn.LET(
    _xlpm.searchText, Tests!$C60,
    _xlpm.dataRange, ITTO!$B$3:$F$300,
    _xlpm.headers, ITTO!$B$2:$F$2,
    _xlpm.matchMatrix, ISNUMBER(SEARCH(_xlpm.searchText, _xlpm.dataRange)),
    _xlpm.colMatch, _xlfn.XMATCH(TRUE, _xlfn.BYCOL(_xlpm.matchMatrix, _xlfn.LAMBDA(_xlpm.col, OR(_xlpm.col)))),
    INDEX(_xlpm.headers, _xlpm.colMatch)
  ),
  ""
)</f>
        <v/>
      </c>
      <c r="F60" s="1" t="str" cm="1">
        <f t="array" ref="F60">IFERROR(_xlfn.LET(_xlpm.searchText, Tests!$C60,_xlpm.dataRange, PMBOK!$B$3:$F$300,_xlpm.headers, PMBOK!$B$2:$F$2,_xlpm.matchMatrix, ISNUMBER(SEARCH(_xlpm.searchText, _xlpm.dataRange)),_xlpm.colMatch, _xlfn.XMATCH(TRUE, _xlfn.BYCOL(_xlpm.matchMatrix, _xlfn.LAMBDA(_xlpm.col, OR(_xlpm.col)))),INDEX(_xlpm.headers, _xlpm.colMatch)),"")</f>
        <v/>
      </c>
      <c r="G60" s="1" t="str" cm="1">
        <f t="array" ref="G60">IFERROR(_xlfn.LET(_xlpm.searchText, Tests!$C60,_xlpm.dataRange, 'Rita Quick test'!$B$3:$P$57,_xlpm.headers, 'Rita Quick test'!$B$2:$P$2,_xlpm.matchMatrix, ISNUMBER(SEARCH(_xlpm.searchText, _xlpm.dataRange)),_xlpm.colMatch, _xlfn.XMATCH(TRUE, _xlfn.BYCOL(_xlpm.matchMatrix, _xlfn.LAMBDA(_xlpm.col, OR(_xlpm.col)))),INDEX(_xlpm.headers, _xlpm.colMatch)),"")</f>
        <v/>
      </c>
      <c r="H60" s="1" t="str">
        <f>IFERROR(VLOOKUP("*" &amp; C60 &amp; "*",Terms!D:E,2,FALSE),"")</f>
        <v/>
      </c>
      <c r="I60" s="1" t="str">
        <f>IFERROR(VLOOKUP("*" &amp; C60 &amp; "*",'Terms 2'!B:D,3,FALSE),"")</f>
        <v/>
      </c>
    </row>
    <row r="61" spans="2:9">
      <c r="B61" s="1" t="str">
        <f t="shared" si="0"/>
        <v>One of the core task of being an agile project manager is to educate and promote the values of agile practices even when stakeholders are reluctant to follow those principles.</v>
      </c>
      <c r="C61" s="47" t="s">
        <v>4758</v>
      </c>
      <c r="D61" s="48" t="s">
        <v>4760</v>
      </c>
      <c r="E61" s="1" t="str" cm="1">
        <f t="array" ref="E61">IFERROR(
  _xlfn.LET(
    _xlpm.searchText, Tests!$C61,
    _xlpm.dataRange, ITTO!$B$3:$F$300,
    _xlpm.headers, ITTO!$B$2:$F$2,
    _xlpm.matchMatrix, ISNUMBER(SEARCH(_xlpm.searchText, _xlpm.dataRange)),
    _xlpm.colMatch, _xlfn.XMATCH(TRUE, _xlfn.BYCOL(_xlpm.matchMatrix, _xlfn.LAMBDA(_xlpm.col, OR(_xlpm.col)))),
    INDEX(_xlpm.headers, _xlpm.colMatch)
  ),
  ""
)</f>
        <v/>
      </c>
      <c r="F61" s="1" t="str" cm="1">
        <f t="array" ref="F61">IFERROR(_xlfn.LET(_xlpm.searchText, Tests!$C61,_xlpm.dataRange, PMBOK!$B$3:$F$300,_xlpm.headers, PMBOK!$B$2:$F$2,_xlpm.matchMatrix, ISNUMBER(SEARCH(_xlpm.searchText, _xlpm.dataRange)),_xlpm.colMatch, _xlfn.XMATCH(TRUE, _xlfn.BYCOL(_xlpm.matchMatrix, _xlfn.LAMBDA(_xlpm.col, OR(_xlpm.col)))),INDEX(_xlpm.headers, _xlpm.colMatch)),"")</f>
        <v/>
      </c>
      <c r="G61" s="1" t="str" cm="1">
        <f t="array" ref="G61">IFERROR(_xlfn.LET(_xlpm.searchText, Tests!$C61,_xlpm.dataRange, 'Rita Quick test'!$B$3:$P$57,_xlpm.headers, 'Rita Quick test'!$B$2:$P$2,_xlpm.matchMatrix, ISNUMBER(SEARCH(_xlpm.searchText, _xlpm.dataRange)),_xlpm.colMatch, _xlfn.XMATCH(TRUE, _xlfn.BYCOL(_xlpm.matchMatrix, _xlfn.LAMBDA(_xlpm.col, OR(_xlpm.col)))),INDEX(_xlpm.headers, _xlpm.colMatch)),"")</f>
        <v/>
      </c>
      <c r="H61" s="1" t="str">
        <f>IFERROR(VLOOKUP("*" &amp; C61 &amp; "*",Terms!D:E,2,FALSE),"")</f>
        <v/>
      </c>
      <c r="I61" s="1" t="str">
        <f>IFERROR(VLOOKUP("*" &amp; C61 &amp; "*",'Terms 2'!B:D,3,FALSE),"")</f>
        <v/>
      </c>
    </row>
    <row r="62" spans="2:9">
      <c r="B62" s="1" t="str">
        <f t="shared" si="0"/>
        <v>Continuous improvement is a theory that is used to continuously improve a product over its life cycle.</v>
      </c>
      <c r="C62" s="47" t="s">
        <v>4655</v>
      </c>
      <c r="D62" s="48" t="s">
        <v>4657</v>
      </c>
      <c r="E62" s="1" t="str" cm="1">
        <f t="array" ref="E62">IFERROR(
  _xlfn.LET(
    _xlpm.searchText, Tests!$C62,
    _xlpm.dataRange, ITTO!$B$3:$F$300,
    _xlpm.headers, ITTO!$B$2:$F$2,
    _xlpm.matchMatrix, ISNUMBER(SEARCH(_xlpm.searchText, _xlpm.dataRange)),
    _xlpm.colMatch, _xlfn.XMATCH(TRUE, _xlfn.BYCOL(_xlpm.matchMatrix, _xlfn.LAMBDA(_xlpm.col, OR(_xlpm.col)))),
    INDEX(_xlpm.headers, _xlpm.colMatch)
  ),
  ""
)</f>
        <v/>
      </c>
      <c r="F62" s="1" t="str" cm="1">
        <f t="array" ref="F62">IFERROR(_xlfn.LET(_xlpm.searchText, Tests!$C62,_xlpm.dataRange, PMBOK!$B$3:$F$300,_xlpm.headers, PMBOK!$B$2:$F$2,_xlpm.matchMatrix, ISNUMBER(SEARCH(_xlpm.searchText, _xlpm.dataRange)),_xlpm.colMatch, _xlfn.XMATCH(TRUE, _xlfn.BYCOL(_xlpm.matchMatrix, _xlfn.LAMBDA(_xlpm.col, OR(_xlpm.col)))),INDEX(_xlpm.headers, _xlpm.colMatch)),"")</f>
        <v/>
      </c>
      <c r="G62" s="1" t="str" cm="1">
        <f t="array" ref="G62">IFERROR(_xlfn.LET(_xlpm.searchText, Tests!$C62,_xlpm.dataRange, 'Rita Quick test'!$B$3:$P$57,_xlpm.headers, 'Rita Quick test'!$B$2:$P$2,_xlpm.matchMatrix, ISNUMBER(SEARCH(_xlpm.searchText, _xlpm.dataRange)),_xlpm.colMatch, _xlfn.XMATCH(TRUE, _xlfn.BYCOL(_xlpm.matchMatrix, _xlfn.LAMBDA(_xlpm.col, OR(_xlpm.col)))),INDEX(_xlpm.headers, _xlpm.colMatch)),"")</f>
        <v/>
      </c>
      <c r="H62" s="1" t="str">
        <f>IFERROR(VLOOKUP("*" &amp; C62 &amp; "*",Terms!D:E,2,FALSE),"")</f>
        <v/>
      </c>
      <c r="I62" s="1" t="str">
        <f>IFERROR(VLOOKUP("*" &amp; C62 &amp; "*",'Terms 2'!B:D,3,FALSE),"")</f>
        <v/>
      </c>
    </row>
    <row r="63" spans="2:9">
      <c r="B63" s="1" t="str">
        <f t="shared" si="0"/>
        <v>A control chart will show if a process is in “control” by illustrating the rule of 7.</v>
      </c>
      <c r="C63" s="47" t="s">
        <v>4604</v>
      </c>
      <c r="D63" s="49" t="s">
        <v>4607</v>
      </c>
      <c r="E63" s="1" t="str" cm="1">
        <f t="array" ref="E63">IFERROR(
  _xlfn.LET(
    _xlpm.searchText, Tests!$C63,
    _xlpm.dataRange, ITTO!$B$3:$F$300,
    _xlpm.headers, ITTO!$B$2:$F$2,
    _xlpm.matchMatrix, ISNUMBER(SEARCH(_xlpm.searchText, _xlpm.dataRange)),
    _xlpm.colMatch, _xlfn.XMATCH(TRUE, _xlfn.BYCOL(_xlpm.matchMatrix, _xlfn.LAMBDA(_xlpm.col, OR(_xlpm.col)))),
    INDEX(_xlpm.headers, _xlpm.colMatch)
  ),
  ""
)</f>
        <v/>
      </c>
      <c r="F63" s="1" t="str" cm="1">
        <f t="array" ref="F63">IFERROR(_xlfn.LET(_xlpm.searchText, Tests!$C63,_xlpm.dataRange, PMBOK!$B$3:$F$300,_xlpm.headers, PMBOK!$B$2:$F$2,_xlpm.matchMatrix, ISNUMBER(SEARCH(_xlpm.searchText, _xlpm.dataRange)),_xlpm.colMatch, _xlfn.XMATCH(TRUE, _xlfn.BYCOL(_xlpm.matchMatrix, _xlfn.LAMBDA(_xlpm.col, OR(_xlpm.col)))),INDEX(_xlpm.headers, _xlpm.colMatch)),"")</f>
        <v/>
      </c>
      <c r="G63" s="1" t="str" cm="1">
        <f t="array" ref="G63">IFERROR(_xlfn.LET(_xlpm.searchText, Tests!$C63,_xlpm.dataRange, 'Rita Quick test'!$B$3:$P$57,_xlpm.headers, 'Rita Quick test'!$B$2:$P$2,_xlpm.matchMatrix, ISNUMBER(SEARCH(_xlpm.searchText, _xlpm.dataRange)),_xlpm.colMatch, _xlfn.XMATCH(TRUE, _xlfn.BYCOL(_xlpm.matchMatrix, _xlfn.LAMBDA(_xlpm.col, OR(_xlpm.col)))),INDEX(_xlpm.headers, _xlpm.colMatch)),"")</f>
        <v/>
      </c>
      <c r="H63" s="1" t="str">
        <f>IFERROR(VLOOKUP("*" &amp; C63 &amp; "*",Terms!D:E,2,FALSE),"")</f>
        <v/>
      </c>
      <c r="I63" s="1" t="str">
        <f>IFERROR(VLOOKUP("*" &amp; C63 &amp; "*",'Terms 2'!B:D,3,FALSE),"")</f>
        <v/>
      </c>
    </row>
    <row r="64" spans="2:9">
      <c r="B64" s="1" t="str">
        <f t="shared" si="0"/>
        <v>A control chart will show if a process is in “control” by illustrating the rule of 7.</v>
      </c>
      <c r="C64" s="46" t="s">
        <v>4604</v>
      </c>
      <c r="D64" s="49" t="s">
        <v>4607</v>
      </c>
      <c r="E64" s="1" t="str" cm="1">
        <f t="array" ref="E64">IFERROR(
  _xlfn.LET(
    _xlpm.searchText, Tests!$C64,
    _xlpm.dataRange, ITTO!$B$3:$F$300,
    _xlpm.headers, ITTO!$B$2:$F$2,
    _xlpm.matchMatrix, ISNUMBER(SEARCH(_xlpm.searchText, _xlpm.dataRange)),
    _xlpm.colMatch, _xlfn.XMATCH(TRUE, _xlfn.BYCOL(_xlpm.matchMatrix, _xlfn.LAMBDA(_xlpm.col, OR(_xlpm.col)))),
    INDEX(_xlpm.headers, _xlpm.colMatch)
  ),
  ""
)</f>
        <v/>
      </c>
      <c r="F64" s="1" t="str" cm="1">
        <f t="array" ref="F64">IFERROR(_xlfn.LET(_xlpm.searchText, Tests!$C64,_xlpm.dataRange, PMBOK!$B$3:$F$300,_xlpm.headers, PMBOK!$B$2:$F$2,_xlpm.matchMatrix, ISNUMBER(SEARCH(_xlpm.searchText, _xlpm.dataRange)),_xlpm.colMatch, _xlfn.XMATCH(TRUE, _xlfn.BYCOL(_xlpm.matchMatrix, _xlfn.LAMBDA(_xlpm.col, OR(_xlpm.col)))),INDEX(_xlpm.headers, _xlpm.colMatch)),"")</f>
        <v/>
      </c>
      <c r="G64" s="1" t="str" cm="1">
        <f t="array" ref="G64">IFERROR(_xlfn.LET(_xlpm.searchText, Tests!$C64,_xlpm.dataRange, 'Rita Quick test'!$B$3:$P$57,_xlpm.headers, 'Rita Quick test'!$B$2:$P$2,_xlpm.matchMatrix, ISNUMBER(SEARCH(_xlpm.searchText, _xlpm.dataRange)),_xlpm.colMatch, _xlfn.XMATCH(TRUE, _xlfn.BYCOL(_xlpm.matchMatrix, _xlfn.LAMBDA(_xlpm.col, OR(_xlpm.col)))),INDEX(_xlpm.headers, _xlpm.colMatch)),"")</f>
        <v/>
      </c>
      <c r="H64" s="1" t="str">
        <f>IFERROR(VLOOKUP("*" &amp; C64 &amp; "*",Terms!D:E,2,FALSE),"")</f>
        <v/>
      </c>
      <c r="I64" s="1" t="str">
        <f>IFERROR(VLOOKUP("*" &amp; C64 &amp; "*",'Terms 2'!B:D,3,FALSE),"")</f>
        <v/>
      </c>
    </row>
    <row r="65" spans="2:9">
      <c r="B65" s="1" t="str">
        <f t="shared" si="0"/>
        <v>Control and conduct communication are made-up processes.</v>
      </c>
      <c r="C65" s="47" t="s">
        <v>4778</v>
      </c>
      <c r="D65" s="48" t="s">
        <v>4780</v>
      </c>
      <c r="E65" s="1" t="str" cm="1">
        <f t="array" ref="E65">IFERROR(
  _xlfn.LET(
    _xlpm.searchText, Tests!$C65,
    _xlpm.dataRange, ITTO!$B$3:$F$300,
    _xlpm.headers, ITTO!$B$2:$F$2,
    _xlpm.matchMatrix, ISNUMBER(SEARCH(_xlpm.searchText, _xlpm.dataRange)),
    _xlpm.colMatch, _xlfn.XMATCH(TRUE, _xlfn.BYCOL(_xlpm.matchMatrix, _xlfn.LAMBDA(_xlpm.col, OR(_xlpm.col)))),
    INDEX(_xlpm.headers, _xlpm.colMatch)
  ),
  ""
)</f>
        <v/>
      </c>
      <c r="F65" s="1" t="str" cm="1">
        <f t="array" ref="F65">IFERROR(_xlfn.LET(_xlpm.searchText, Tests!$C65,_xlpm.dataRange, PMBOK!$B$3:$F$300,_xlpm.headers, PMBOK!$B$2:$F$2,_xlpm.matchMatrix, ISNUMBER(SEARCH(_xlpm.searchText, _xlpm.dataRange)),_xlpm.colMatch, _xlfn.XMATCH(TRUE, _xlfn.BYCOL(_xlpm.matchMatrix, _xlfn.LAMBDA(_xlpm.col, OR(_xlpm.col)))),INDEX(_xlpm.headers, _xlpm.colMatch)),"")</f>
        <v/>
      </c>
      <c r="G65" s="1" t="str" cm="1">
        <f t="array" ref="G65">IFERROR(_xlfn.LET(_xlpm.searchText, Tests!$C65,_xlpm.dataRange, 'Rita Quick test'!$B$3:$P$57,_xlpm.headers, 'Rita Quick test'!$B$2:$P$2,_xlpm.matchMatrix, ISNUMBER(SEARCH(_xlpm.searchText, _xlpm.dataRange)),_xlpm.colMatch, _xlfn.XMATCH(TRUE, _xlfn.BYCOL(_xlpm.matchMatrix, _xlfn.LAMBDA(_xlpm.col, OR(_xlpm.col)))),INDEX(_xlpm.headers, _xlpm.colMatch)),"")</f>
        <v/>
      </c>
      <c r="H65" s="1" t="str">
        <f>IFERROR(VLOOKUP("*" &amp; C65 &amp; "*",Terms!D:E,2,FALSE),"")</f>
        <v/>
      </c>
      <c r="I65" s="1" t="str">
        <f>IFERROR(VLOOKUP("*" &amp; C65 &amp; "*",'Terms 2'!B:D,3,FALSE),"")</f>
        <v/>
      </c>
    </row>
    <row r="66" spans="2:9">
      <c r="B66" s="1" t="str">
        <f t="shared" si="0"/>
        <v>Control procurement is when the agreement has already been signed, the contractor is completing the work, and the contractor should be paid according to the terms in the contract.</v>
      </c>
      <c r="C66" s="47" t="s">
        <v>4553</v>
      </c>
      <c r="D66" s="49" t="s">
        <v>4860</v>
      </c>
      <c r="E66" s="1" t="str" cm="1">
        <f t="array" ref="E66">IFERROR(
  _xlfn.LET(
    _xlpm.searchText, Tests!$C66,
    _xlpm.dataRange, ITTO!$B$3:$F$300,
    _xlpm.headers, ITTO!$B$2:$F$2,
    _xlpm.matchMatrix, ISNUMBER(SEARCH(_xlpm.searchText, _xlpm.dataRange)),
    _xlpm.colMatch, _xlfn.XMATCH(TRUE, _xlfn.BYCOL(_xlpm.matchMatrix, _xlfn.LAMBDA(_xlpm.col, OR(_xlpm.col)))),
    INDEX(_xlpm.headers, _xlpm.colMatch)
  ),
  ""
)</f>
        <v/>
      </c>
      <c r="F66" s="1" t="str" cm="1">
        <f t="array" ref="F66">IFERROR(_xlfn.LET(_xlpm.searchText, Tests!$C66,_xlpm.dataRange, PMBOK!$B$3:$F$300,_xlpm.headers, PMBOK!$B$2:$F$2,_xlpm.matchMatrix, ISNUMBER(SEARCH(_xlpm.searchText, _xlpm.dataRange)),_xlpm.colMatch, _xlfn.XMATCH(TRUE, _xlfn.BYCOL(_xlpm.matchMatrix, _xlfn.LAMBDA(_xlpm.col, OR(_xlpm.col)))),INDEX(_xlpm.headers, _xlpm.colMatch)),"")</f>
        <v/>
      </c>
      <c r="G66" s="1" t="str" cm="1">
        <f t="array" ref="G66">IFERROR(_xlfn.LET(_xlpm.searchText, Tests!$C66,_xlpm.dataRange, 'Rita Quick test'!$B$3:$P$57,_xlpm.headers, 'Rita Quick test'!$B$2:$P$2,_xlpm.matchMatrix, ISNUMBER(SEARCH(_xlpm.searchText, _xlpm.dataRange)),_xlpm.colMatch, _xlfn.XMATCH(TRUE, _xlfn.BYCOL(_xlpm.matchMatrix, _xlfn.LAMBDA(_xlpm.col, OR(_xlpm.col)))),INDEX(_xlpm.headers, _xlpm.colMatch)),"")</f>
        <v/>
      </c>
      <c r="H66" s="1" t="str">
        <f>IFERROR(VLOOKUP("*" &amp; C66 &amp; "*",Terms!D:E,2,FALSE),"")</f>
        <v/>
      </c>
      <c r="I66" s="1" t="str">
        <f>IFERROR(VLOOKUP("*" &amp; C66 &amp; "*",'Terms 2'!B:D,3,FALSE),"")</f>
        <v/>
      </c>
    </row>
    <row r="67" spans="2:9">
      <c r="B67" s="1" t="str">
        <f t="shared" si="0"/>
        <v>Control quality is done to check the deliverables to ensure they meet the quality requirements.</v>
      </c>
      <c r="C67" s="46" t="s">
        <v>4451</v>
      </c>
      <c r="D67" s="49" t="s">
        <v>4861</v>
      </c>
      <c r="E67" s="1" t="str" cm="1">
        <f t="array" ref="E67">IFERROR(
  _xlfn.LET(
    _xlpm.searchText, Tests!$C67,
    _xlpm.dataRange, ITTO!$B$3:$F$300,
    _xlpm.headers, ITTO!$B$2:$F$2,
    _xlpm.matchMatrix, ISNUMBER(SEARCH(_xlpm.searchText, _xlpm.dataRange)),
    _xlpm.colMatch, _xlfn.XMATCH(TRUE, _xlfn.BYCOL(_xlpm.matchMatrix, _xlfn.LAMBDA(_xlpm.col, OR(_xlpm.col)))),
    INDEX(_xlpm.headers, _xlpm.colMatch)
  ),
  ""
)</f>
        <v/>
      </c>
      <c r="F67" s="1" t="str" cm="1">
        <f t="array" ref="F67">IFERROR(_xlfn.LET(_xlpm.searchText, Tests!$C67,_xlpm.dataRange, PMBOK!$B$3:$F$300,_xlpm.headers, PMBOK!$B$2:$F$2,_xlpm.matchMatrix, ISNUMBER(SEARCH(_xlpm.searchText, _xlpm.dataRange)),_xlpm.colMatch, _xlfn.XMATCH(TRUE, _xlfn.BYCOL(_xlpm.matchMatrix, _xlfn.LAMBDA(_xlpm.col, OR(_xlpm.col)))),INDEX(_xlpm.headers, _xlpm.colMatch)),"")</f>
        <v/>
      </c>
      <c r="G67" s="1" t="str" cm="1">
        <f t="array" ref="G67">IFERROR(_xlfn.LET(_xlpm.searchText, Tests!$C67,_xlpm.dataRange, 'Rita Quick test'!$B$3:$P$57,_xlpm.headers, 'Rita Quick test'!$B$2:$P$2,_xlpm.matchMatrix, ISNUMBER(SEARCH(_xlpm.searchText, _xlpm.dataRange)),_xlpm.colMatch, _xlfn.XMATCH(TRUE, _xlfn.BYCOL(_xlpm.matchMatrix, _xlfn.LAMBDA(_xlpm.col, OR(_xlpm.col)))),INDEX(_xlpm.headers, _xlpm.colMatch)),"")</f>
        <v/>
      </c>
      <c r="H67" s="1" t="str">
        <f>IFERROR(VLOOKUP("*" &amp; C67 &amp; "*",Terms!D:E,2,FALSE),"")</f>
        <v/>
      </c>
      <c r="I67" s="1" t="str">
        <f>IFERROR(VLOOKUP("*" &amp; C67 &amp; "*",'Terms 2'!B:D,3,FALSE),"")</f>
        <v/>
      </c>
    </row>
    <row r="68" spans="2:9">
      <c r="B68" s="1" t="str">
        <f t="shared" ref="B68:B131" si="1">TRIM(D68)</f>
        <v>monitoring and controlling processes that will be used to measure the work against the project management plan.</v>
      </c>
      <c r="C68" s="46" t="s">
        <v>4451</v>
      </c>
      <c r="D68" s="49" t="s">
        <v>4506</v>
      </c>
      <c r="E68" s="1" t="str" cm="1">
        <f t="array" ref="E68">IFERROR(
  _xlfn.LET(
    _xlpm.searchText, Tests!$C68,
    _xlpm.dataRange, ITTO!$B$3:$F$300,
    _xlpm.headers, ITTO!$B$2:$F$2,
    _xlpm.matchMatrix, ISNUMBER(SEARCH(_xlpm.searchText, _xlpm.dataRange)),
    _xlpm.colMatch, _xlfn.XMATCH(TRUE, _xlfn.BYCOL(_xlpm.matchMatrix, _xlfn.LAMBDA(_xlpm.col, OR(_xlpm.col)))),
    INDEX(_xlpm.headers, _xlpm.colMatch)
  ),
  ""
)</f>
        <v/>
      </c>
      <c r="F68" s="1" t="str" cm="1">
        <f t="array" ref="F68">IFERROR(_xlfn.LET(_xlpm.searchText, Tests!$C68,_xlpm.dataRange, PMBOK!$B$3:$F$300,_xlpm.headers, PMBOK!$B$2:$F$2,_xlpm.matchMatrix, ISNUMBER(SEARCH(_xlpm.searchText, _xlpm.dataRange)),_xlpm.colMatch, _xlfn.XMATCH(TRUE, _xlfn.BYCOL(_xlpm.matchMatrix, _xlfn.LAMBDA(_xlpm.col, OR(_xlpm.col)))),INDEX(_xlpm.headers, _xlpm.colMatch)),"")</f>
        <v/>
      </c>
      <c r="G68" s="1" t="str" cm="1">
        <f t="array" ref="G68">IFERROR(_xlfn.LET(_xlpm.searchText, Tests!$C68,_xlpm.dataRange, 'Rita Quick test'!$B$3:$P$57,_xlpm.headers, 'Rita Quick test'!$B$2:$P$2,_xlpm.matchMatrix, ISNUMBER(SEARCH(_xlpm.searchText, _xlpm.dataRange)),_xlpm.colMatch, _xlfn.XMATCH(TRUE, _xlfn.BYCOL(_xlpm.matchMatrix, _xlfn.LAMBDA(_xlpm.col, OR(_xlpm.col)))),INDEX(_xlpm.headers, _xlpm.colMatch)),"")</f>
        <v/>
      </c>
      <c r="H68" s="1" t="str">
        <f>IFERROR(VLOOKUP("*" &amp; C68 &amp; "*",Terms!D:E,2,FALSE),"")</f>
        <v/>
      </c>
      <c r="I68" s="1" t="str">
        <f>IFERROR(VLOOKUP("*" &amp; C68 &amp; "*",'Terms 2'!B:D,3,FALSE),"")</f>
        <v/>
      </c>
    </row>
    <row r="69" spans="2:9">
      <c r="B69" s="1" t="str">
        <f t="shared" si="1"/>
        <v>Control quality is generally done before the process of validate scope, where the deliverables will be inspected by the customers for a formal acceptance.</v>
      </c>
      <c r="C69" s="47" t="s">
        <v>4451</v>
      </c>
      <c r="D69" s="49" t="s">
        <v>4862</v>
      </c>
      <c r="E69" s="1" t="str" cm="1">
        <f t="array" ref="E69">IFERROR(
  _xlfn.LET(
    _xlpm.searchText, Tests!$C69,
    _xlpm.dataRange, ITTO!$B$3:$F$300,
    _xlpm.headers, ITTO!$B$2:$F$2,
    _xlpm.matchMatrix, ISNUMBER(SEARCH(_xlpm.searchText, _xlpm.dataRange)),
    _xlpm.colMatch, _xlfn.XMATCH(TRUE, _xlfn.BYCOL(_xlpm.matchMatrix, _xlfn.LAMBDA(_xlpm.col, OR(_xlpm.col)))),
    INDEX(_xlpm.headers, _xlpm.colMatch)
  ),
  ""
)</f>
        <v/>
      </c>
      <c r="F69" s="1" t="str" cm="1">
        <f t="array" ref="F69">IFERROR(_xlfn.LET(_xlpm.searchText, Tests!$C69,_xlpm.dataRange, PMBOK!$B$3:$F$300,_xlpm.headers, PMBOK!$B$2:$F$2,_xlpm.matchMatrix, ISNUMBER(SEARCH(_xlpm.searchText, _xlpm.dataRange)),_xlpm.colMatch, _xlfn.XMATCH(TRUE, _xlfn.BYCOL(_xlpm.matchMatrix, _xlfn.LAMBDA(_xlpm.col, OR(_xlpm.col)))),INDEX(_xlpm.headers, _xlpm.colMatch)),"")</f>
        <v/>
      </c>
      <c r="G69" s="1" t="str" cm="1">
        <f t="array" ref="G69">IFERROR(_xlfn.LET(_xlpm.searchText, Tests!$C69,_xlpm.dataRange, 'Rita Quick test'!$B$3:$P$57,_xlpm.headers, 'Rita Quick test'!$B$2:$P$2,_xlpm.matchMatrix, ISNUMBER(SEARCH(_xlpm.searchText, _xlpm.dataRange)),_xlpm.colMatch, _xlfn.XMATCH(TRUE, _xlfn.BYCOL(_xlpm.matchMatrix, _xlfn.LAMBDA(_xlpm.col, OR(_xlpm.col)))),INDEX(_xlpm.headers, _xlpm.colMatch)),"")</f>
        <v/>
      </c>
      <c r="H69" s="1" t="str">
        <f>IFERROR(VLOOKUP("*" &amp; C69 &amp; "*",Terms!D:E,2,FALSE),"")</f>
        <v/>
      </c>
      <c r="I69" s="1" t="str">
        <f>IFERROR(VLOOKUP("*" &amp; C69 &amp; "*",'Terms 2'!B:D,3,FALSE),"")</f>
        <v/>
      </c>
    </row>
    <row r="70" spans="2:9">
      <c r="B70" s="1" t="str">
        <f t="shared" si="1"/>
        <v>Control resources is a process which ensures that physical resources are being utilized correctly.</v>
      </c>
      <c r="C70" s="47" t="s">
        <v>4479</v>
      </c>
      <c r="D70" s="49" t="s">
        <v>4863</v>
      </c>
      <c r="E70" s="1" t="str" cm="1">
        <f t="array" ref="E70">IFERROR(
  _xlfn.LET(
    _xlpm.searchText, Tests!$C70,
    _xlpm.dataRange, ITTO!$B$3:$F$300,
    _xlpm.headers, ITTO!$B$2:$F$2,
    _xlpm.matchMatrix, ISNUMBER(SEARCH(_xlpm.searchText, _xlpm.dataRange)),
    _xlpm.colMatch, _xlfn.XMATCH(TRUE, _xlfn.BYCOL(_xlpm.matchMatrix, _xlfn.LAMBDA(_xlpm.col, OR(_xlpm.col)))),
    INDEX(_xlpm.headers, _xlpm.colMatch)
  ),
  ""
)</f>
        <v/>
      </c>
      <c r="F70" s="1" t="str" cm="1">
        <f t="array" ref="F70">IFERROR(_xlfn.LET(_xlpm.searchText, Tests!$C70,_xlpm.dataRange, PMBOK!$B$3:$F$300,_xlpm.headers, PMBOK!$B$2:$F$2,_xlpm.matchMatrix, ISNUMBER(SEARCH(_xlpm.searchText, _xlpm.dataRange)),_xlpm.colMatch, _xlfn.XMATCH(TRUE, _xlfn.BYCOL(_xlpm.matchMatrix, _xlfn.LAMBDA(_xlpm.col, OR(_xlpm.col)))),INDEX(_xlpm.headers, _xlpm.colMatch)),"")</f>
        <v/>
      </c>
      <c r="G70" s="1" t="str" cm="1">
        <f t="array" ref="G70">IFERROR(_xlfn.LET(_xlpm.searchText, Tests!$C70,_xlpm.dataRange, 'Rita Quick test'!$B$3:$P$57,_xlpm.headers, 'Rita Quick test'!$B$2:$P$2,_xlpm.matchMatrix, ISNUMBER(SEARCH(_xlpm.searchText, _xlpm.dataRange)),_xlpm.colMatch, _xlfn.XMATCH(TRUE, _xlfn.BYCOL(_xlpm.matchMatrix, _xlfn.LAMBDA(_xlpm.col, OR(_xlpm.col)))),INDEX(_xlpm.headers, _xlpm.colMatch)),"")</f>
        <v/>
      </c>
      <c r="H70" s="1" t="str">
        <f>IFERROR(VLOOKUP("*" &amp; C70 &amp; "*",Terms!D:E,2,FALSE),"")</f>
        <v/>
      </c>
      <c r="I70" s="1" t="str">
        <f>IFERROR(VLOOKUP("*" &amp; C70 &amp; "*",'Terms 2'!B:D,3,FALSE),"")</f>
        <v/>
      </c>
    </row>
    <row r="71" spans="2:9">
      <c r="B71" s="1" t="str">
        <f t="shared" si="1"/>
        <v/>
      </c>
      <c r="C71" s="47" t="s">
        <v>4439</v>
      </c>
      <c r="D71" s="1" t="s">
        <v>4848</v>
      </c>
      <c r="E71" s="1" t="str" cm="1">
        <f t="array" ref="E71">IFERROR(
  _xlfn.LET(
    _xlpm.searchText, Tests!$C71,
    _xlpm.dataRange, ITTO!$B$3:$F$300,
    _xlpm.headers, ITTO!$B$2:$F$2,
    _xlpm.matchMatrix, ISNUMBER(SEARCH(_xlpm.searchText, _xlpm.dataRange)),
    _xlpm.colMatch, _xlfn.XMATCH(TRUE, _xlfn.BYCOL(_xlpm.matchMatrix, _xlfn.LAMBDA(_xlpm.col, OR(_xlpm.col)))),
    INDEX(_xlpm.headers, _xlpm.colMatch)
  ),
  ""
)</f>
        <v/>
      </c>
      <c r="F71" s="1" t="str" cm="1">
        <f t="array" ref="F71">IFERROR(_xlfn.LET(_xlpm.searchText, Tests!$C71,_xlpm.dataRange, PMBOK!$B$3:$F$300,_xlpm.headers, PMBOK!$B$2:$F$2,_xlpm.matchMatrix, ISNUMBER(SEARCH(_xlpm.searchText, _xlpm.dataRange)),_xlpm.colMatch, _xlfn.XMATCH(TRUE, _xlfn.BYCOL(_xlpm.matchMatrix, _xlfn.LAMBDA(_xlpm.col, OR(_xlpm.col)))),INDEX(_xlpm.headers, _xlpm.colMatch)),"")</f>
        <v/>
      </c>
      <c r="G71" s="1" t="str" cm="1">
        <f t="array" ref="G71">IFERROR(_xlfn.LET(_xlpm.searchText, Tests!$C71,_xlpm.dataRange, 'Rita Quick test'!$B$3:$P$57,_xlpm.headers, 'Rita Quick test'!$B$2:$P$2,_xlpm.matchMatrix, ISNUMBER(SEARCH(_xlpm.searchText, _xlpm.dataRange)),_xlpm.colMatch, _xlfn.XMATCH(TRUE, _xlfn.BYCOL(_xlpm.matchMatrix, _xlfn.LAMBDA(_xlpm.col, OR(_xlpm.col)))),INDEX(_xlpm.headers, _xlpm.colMatch)),"")</f>
        <v/>
      </c>
      <c r="H71" s="1" t="str">
        <f>IFERROR(VLOOKUP("*" &amp; C71 &amp; "*",Terms!D:E,2,FALSE),"")</f>
        <v/>
      </c>
      <c r="I71" s="1" t="str">
        <f>IFERROR(VLOOKUP("*" &amp; C71 &amp; "*",'Terms 2'!B:D,3,FALSE),"")</f>
        <v/>
      </c>
    </row>
    <row r="72" spans="2:9">
      <c r="B72" s="1" t="str">
        <f t="shared" si="1"/>
        <v>Control scope is a process where you compare the work that has been completed to the project management plan to see if they line up. If there is a variance, the project manager should initiate actions to fix the variance.</v>
      </c>
      <c r="C72" s="47" t="s">
        <v>4454</v>
      </c>
      <c r="D72" s="49" t="s">
        <v>4864</v>
      </c>
      <c r="E72" s="1" t="str" cm="1">
        <f t="array" ref="E72">IFERROR(
  _xlfn.LET(
    _xlpm.searchText, Tests!$C72,
    _xlpm.dataRange, ITTO!$B$3:$F$300,
    _xlpm.headers, ITTO!$B$2:$F$2,
    _xlpm.matchMatrix, ISNUMBER(SEARCH(_xlpm.searchText, _xlpm.dataRange)),
    _xlpm.colMatch, _xlfn.XMATCH(TRUE, _xlfn.BYCOL(_xlpm.matchMatrix, _xlfn.LAMBDA(_xlpm.col, OR(_xlpm.col)))),
    INDEX(_xlpm.headers, _xlpm.colMatch)
  ),
  ""
)</f>
        <v/>
      </c>
      <c r="F72" s="1" t="str" cm="1">
        <f t="array" ref="F72">IFERROR(_xlfn.LET(_xlpm.searchText, Tests!$C72,_xlpm.dataRange, PMBOK!$B$3:$F$300,_xlpm.headers, PMBOK!$B$2:$F$2,_xlpm.matchMatrix, ISNUMBER(SEARCH(_xlpm.searchText, _xlpm.dataRange)),_xlpm.colMatch, _xlfn.XMATCH(TRUE, _xlfn.BYCOL(_xlpm.matchMatrix, _xlfn.LAMBDA(_xlpm.col, OR(_xlpm.col)))),INDEX(_xlpm.headers, _xlpm.colMatch)),"")</f>
        <v/>
      </c>
      <c r="G72" s="1" t="str" cm="1">
        <f t="array" ref="G72">IFERROR(_xlfn.LET(_xlpm.searchText, Tests!$C72,_xlpm.dataRange, 'Rita Quick test'!$B$3:$P$57,_xlpm.headers, 'Rita Quick test'!$B$2:$P$2,_xlpm.matchMatrix, ISNUMBER(SEARCH(_xlpm.searchText, _xlpm.dataRange)),_xlpm.colMatch, _xlfn.XMATCH(TRUE, _xlfn.BYCOL(_xlpm.matchMatrix, _xlfn.LAMBDA(_xlpm.col, OR(_xlpm.col)))),INDEX(_xlpm.headers, _xlpm.colMatch)),"")</f>
        <v/>
      </c>
      <c r="H72" s="1" t="str">
        <f>IFERROR(VLOOKUP("*" &amp; C72 &amp; "*",Terms!D:E,2,FALSE),"")</f>
        <v/>
      </c>
      <c r="I72" s="1" t="str">
        <f>IFERROR(VLOOKUP("*" &amp; C72 &amp; "*",'Terms 2'!B:D,3,FALSE),"")</f>
        <v/>
      </c>
    </row>
    <row r="73" spans="2:9">
      <c r="B73" s="1" t="str">
        <f t="shared" si="1"/>
        <v>If the activities have been assigned costs, then the process of estimate costs has been completed. The next process would be to determine budget and use the cost aggregation tool to integrate all the activities into the overall budget of the project</v>
      </c>
      <c r="C73" s="47" t="s">
        <v>4415</v>
      </c>
      <c r="D73" s="49" t="s">
        <v>4420</v>
      </c>
      <c r="E73" s="1" t="str" cm="1">
        <f t="array" ref="E73">IFERROR(
  _xlfn.LET(
    _xlpm.searchText, Tests!$C73,
    _xlpm.dataRange, ITTO!$B$3:$F$300,
    _xlpm.headers, ITTO!$B$2:$F$2,
    _xlpm.matchMatrix, ISNUMBER(SEARCH(_xlpm.searchText, _xlpm.dataRange)),
    _xlpm.colMatch, _xlfn.XMATCH(TRUE, _xlfn.BYCOL(_xlpm.matchMatrix, _xlfn.LAMBDA(_xlpm.col, OR(_xlpm.col)))),
    INDEX(_xlpm.headers, _xlpm.colMatch)
  ),
  ""
)</f>
        <v/>
      </c>
      <c r="F73" s="1" t="str" cm="1">
        <f t="array" ref="F73">IFERROR(_xlfn.LET(_xlpm.searchText, Tests!$C73,_xlpm.dataRange, PMBOK!$B$3:$F$300,_xlpm.headers, PMBOK!$B$2:$F$2,_xlpm.matchMatrix, ISNUMBER(SEARCH(_xlpm.searchText, _xlpm.dataRange)),_xlpm.colMatch, _xlfn.XMATCH(TRUE, _xlfn.BYCOL(_xlpm.matchMatrix, _xlfn.LAMBDA(_xlpm.col, OR(_xlpm.col)))),INDEX(_xlpm.headers, _xlpm.colMatch)),"")</f>
        <v/>
      </c>
      <c r="G73" s="1" t="str" cm="1">
        <f t="array" ref="G73">IFERROR(_xlfn.LET(_xlpm.searchText, Tests!$C73,_xlpm.dataRange, 'Rita Quick test'!$B$3:$P$57,_xlpm.headers, 'Rita Quick test'!$B$2:$P$2,_xlpm.matchMatrix, ISNUMBER(SEARCH(_xlpm.searchText, _xlpm.dataRange)),_xlpm.colMatch, _xlfn.XMATCH(TRUE, _xlfn.BYCOL(_xlpm.matchMatrix, _xlfn.LAMBDA(_xlpm.col, OR(_xlpm.col)))),INDEX(_xlpm.headers, _xlpm.colMatch)),"")</f>
        <v/>
      </c>
      <c r="H73" s="1" t="str">
        <f>IFERROR(VLOOKUP("*" &amp; C73 &amp; "*",Terms!D:E,2,FALSE),"")</f>
        <v/>
      </c>
      <c r="I73" s="1" t="str">
        <f>IFERROR(VLOOKUP("*" &amp; C73 &amp; "*",'Terms 2'!B:D,3,FALSE),"")</f>
        <v/>
      </c>
    </row>
    <row r="74" spans="2:9">
      <c r="B74" s="1" t="str">
        <f t="shared" si="1"/>
        <v/>
      </c>
      <c r="C74" s="47" t="s">
        <v>4582</v>
      </c>
      <c r="D74" s="1" t="s">
        <v>4848</v>
      </c>
      <c r="E74" s="1" t="str" cm="1">
        <f t="array" ref="E74">IFERROR(
  _xlfn.LET(
    _xlpm.searchText, Tests!$C74,
    _xlpm.dataRange, ITTO!$B$3:$F$300,
    _xlpm.headers, ITTO!$B$2:$F$2,
    _xlpm.matchMatrix, ISNUMBER(SEARCH(_xlpm.searchText, _xlpm.dataRange)),
    _xlpm.colMatch, _xlfn.XMATCH(TRUE, _xlfn.BYCOL(_xlpm.matchMatrix, _xlfn.LAMBDA(_xlpm.col, OR(_xlpm.col)))),
    INDEX(_xlpm.headers, _xlpm.colMatch)
  ),
  ""
)</f>
        <v/>
      </c>
      <c r="F74" s="1" t="str" cm="1">
        <f t="array" ref="F74">IFERROR(_xlfn.LET(_xlpm.searchText, Tests!$C74,_xlpm.dataRange, PMBOK!$B$3:$F$300,_xlpm.headers, PMBOK!$B$2:$F$2,_xlpm.matchMatrix, ISNUMBER(SEARCH(_xlpm.searchText, _xlpm.dataRange)),_xlpm.colMatch, _xlfn.XMATCH(TRUE, _xlfn.BYCOL(_xlpm.matchMatrix, _xlfn.LAMBDA(_xlpm.col, OR(_xlpm.col)))),INDEX(_xlpm.headers, _xlpm.colMatch)),"")</f>
        <v/>
      </c>
      <c r="G74" s="1" t="str" cm="1">
        <f t="array" ref="G74">IFERROR(_xlfn.LET(_xlpm.searchText, Tests!$C74,_xlpm.dataRange, 'Rita Quick test'!$B$3:$P$57,_xlpm.headers, 'Rita Quick test'!$B$2:$P$2,_xlpm.matchMatrix, ISNUMBER(SEARCH(_xlpm.searchText, _xlpm.dataRange)),_xlpm.colMatch, _xlfn.XMATCH(TRUE, _xlfn.BYCOL(_xlpm.matchMatrix, _xlfn.LAMBDA(_xlpm.col, OR(_xlpm.col)))),INDEX(_xlpm.headers, _xlpm.colMatch)),"")</f>
        <v/>
      </c>
      <c r="H74" s="1" t="str">
        <f>IFERROR(VLOOKUP("*" &amp; C74 &amp; "*",Terms!D:E,2,FALSE),"")</f>
        <v/>
      </c>
      <c r="I74" s="1" t="str">
        <f>IFERROR(VLOOKUP("*" &amp; C74 &amp; "*",'Terms 2'!B:D,3,FALSE),"")</f>
        <v/>
      </c>
    </row>
    <row r="75" spans="2:9">
      <c r="B75" s="1" t="str">
        <f t="shared" si="1"/>
        <v>The cost of quality includes all prevention and inspection costs.</v>
      </c>
      <c r="C75" s="47" t="s">
        <v>4582</v>
      </c>
      <c r="D75" s="49" t="s">
        <v>4685</v>
      </c>
      <c r="E75" s="1" t="str" cm="1">
        <f t="array" ref="E75">IFERROR(
  _xlfn.LET(
    _xlpm.searchText, Tests!$C75,
    _xlpm.dataRange, ITTO!$B$3:$F$300,
    _xlpm.headers, ITTO!$B$2:$F$2,
    _xlpm.matchMatrix, ISNUMBER(SEARCH(_xlpm.searchText, _xlpm.dataRange)),
    _xlpm.colMatch, _xlfn.XMATCH(TRUE, _xlfn.BYCOL(_xlpm.matchMatrix, _xlfn.LAMBDA(_xlpm.col, OR(_xlpm.col)))),
    INDEX(_xlpm.headers, _xlpm.colMatch)
  ),
  ""
)</f>
        <v/>
      </c>
      <c r="F75" s="1" t="str" cm="1">
        <f t="array" ref="F75">IFERROR(_xlfn.LET(_xlpm.searchText, Tests!$C75,_xlpm.dataRange, PMBOK!$B$3:$F$300,_xlpm.headers, PMBOK!$B$2:$F$2,_xlpm.matchMatrix, ISNUMBER(SEARCH(_xlpm.searchText, _xlpm.dataRange)),_xlpm.colMatch, _xlfn.XMATCH(TRUE, _xlfn.BYCOL(_xlpm.matchMatrix, _xlfn.LAMBDA(_xlpm.col, OR(_xlpm.col)))),INDEX(_xlpm.headers, _xlpm.colMatch)),"")</f>
        <v/>
      </c>
      <c r="G75" s="1" t="str" cm="1">
        <f t="array" ref="G75">IFERROR(_xlfn.LET(_xlpm.searchText, Tests!$C75,_xlpm.dataRange, 'Rita Quick test'!$B$3:$P$57,_xlpm.headers, 'Rita Quick test'!$B$2:$P$2,_xlpm.matchMatrix, ISNUMBER(SEARCH(_xlpm.searchText, _xlpm.dataRange)),_xlpm.colMatch, _xlfn.XMATCH(TRUE, _xlfn.BYCOL(_xlpm.matchMatrix, _xlfn.LAMBDA(_xlpm.col, OR(_xlpm.col)))),INDEX(_xlpm.headers, _xlpm.colMatch)),"")</f>
        <v/>
      </c>
      <c r="H75" s="1" t="str">
        <f>IFERROR(VLOOKUP("*" &amp; C75 &amp; "*",Terms!D:E,2,FALSE),"")</f>
        <v/>
      </c>
      <c r="I75" s="1" t="str">
        <f>IFERROR(VLOOKUP("*" &amp; C75 &amp; "*",'Terms 2'!B:D,3,FALSE),"")</f>
        <v/>
      </c>
    </row>
    <row r="76" spans="2:9">
      <c r="B76" s="1" t="str">
        <f t="shared" si="1"/>
        <v/>
      </c>
      <c r="C76" s="47" t="s">
        <v>4823</v>
      </c>
      <c r="D76" s="1" t="s">
        <v>4848</v>
      </c>
      <c r="E76" s="1" t="str" cm="1">
        <f t="array" ref="E76">IFERROR(
  _xlfn.LET(
    _xlpm.searchText, Tests!$C76,
    _xlpm.dataRange, ITTO!$B$3:$F$300,
    _xlpm.headers, ITTO!$B$2:$F$2,
    _xlpm.matchMatrix, ISNUMBER(SEARCH(_xlpm.searchText, _xlpm.dataRange)),
    _xlpm.colMatch, _xlfn.XMATCH(TRUE, _xlfn.BYCOL(_xlpm.matchMatrix, _xlfn.LAMBDA(_xlpm.col, OR(_xlpm.col)))),
    INDEX(_xlpm.headers, _xlpm.colMatch)
  ),
  ""
)</f>
        <v/>
      </c>
      <c r="F76" s="1" t="str" cm="1">
        <f t="array" ref="F76">IFERROR(_xlfn.LET(_xlpm.searchText, Tests!$C76,_xlpm.dataRange, PMBOK!$B$3:$F$300,_xlpm.headers, PMBOK!$B$2:$F$2,_xlpm.matchMatrix, ISNUMBER(SEARCH(_xlpm.searchText, _xlpm.dataRange)),_xlpm.colMatch, _xlfn.XMATCH(TRUE, _xlfn.BYCOL(_xlpm.matchMatrix, _xlfn.LAMBDA(_xlpm.col, OR(_xlpm.col)))),INDEX(_xlpm.headers, _xlpm.colMatch)),"")</f>
        <v/>
      </c>
      <c r="G76" s="1" t="str" cm="1">
        <f t="array" ref="G76">IFERROR(_xlfn.LET(_xlpm.searchText, Tests!$C76,_xlpm.dataRange, 'Rita Quick test'!$B$3:$P$57,_xlpm.headers, 'Rita Quick test'!$B$2:$P$2,_xlpm.matchMatrix, ISNUMBER(SEARCH(_xlpm.searchText, _xlpm.dataRange)),_xlpm.colMatch, _xlfn.XMATCH(TRUE, _xlfn.BYCOL(_xlpm.matchMatrix, _xlfn.LAMBDA(_xlpm.col, OR(_xlpm.col)))),INDEX(_xlpm.headers, _xlpm.colMatch)),"")</f>
        <v/>
      </c>
      <c r="H76" s="1" t="str">
        <f>IFERROR(VLOOKUP("*" &amp; C76 &amp; "*",Terms!D:E,2,FALSE),"")</f>
        <v/>
      </c>
      <c r="I76" s="1" t="str">
        <f>IFERROR(VLOOKUP("*" &amp; C76 &amp; "*",'Terms 2'!B:D,3,FALSE),"")</f>
        <v/>
      </c>
    </row>
    <row r="77" spans="2:9">
      <c r="B77" s="1" t="str">
        <f t="shared" si="1"/>
        <v>A cost-plus-fixed-fee contract is where the buyer pays all the work expenses and then pays a fixed price for the work.</v>
      </c>
      <c r="C77" s="47" t="s">
        <v>4825</v>
      </c>
      <c r="D77" s="49" t="s">
        <v>4865</v>
      </c>
      <c r="E77" s="1" t="str" cm="1">
        <f t="array" ref="E77">IFERROR(
  _xlfn.LET(
    _xlpm.searchText, Tests!$C77,
    _xlpm.dataRange, ITTO!$B$3:$F$300,
    _xlpm.headers, ITTO!$B$2:$F$2,
    _xlpm.matchMatrix, ISNUMBER(SEARCH(_xlpm.searchText, _xlpm.dataRange)),
    _xlpm.colMatch, _xlfn.XMATCH(TRUE, _xlfn.BYCOL(_xlpm.matchMatrix, _xlfn.LAMBDA(_xlpm.col, OR(_xlpm.col)))),
    INDEX(_xlpm.headers, _xlpm.colMatch)
  ),
  ""
)</f>
        <v/>
      </c>
      <c r="F77" s="1" t="str" cm="1">
        <f t="array" ref="F77">IFERROR(_xlfn.LET(_xlpm.searchText, Tests!$C77,_xlpm.dataRange, PMBOK!$B$3:$F$300,_xlpm.headers, PMBOK!$B$2:$F$2,_xlpm.matchMatrix, ISNUMBER(SEARCH(_xlpm.searchText, _xlpm.dataRange)),_xlpm.colMatch, _xlfn.XMATCH(TRUE, _xlfn.BYCOL(_xlpm.matchMatrix, _xlfn.LAMBDA(_xlpm.col, OR(_xlpm.col)))),INDEX(_xlpm.headers, _xlpm.colMatch)),"")</f>
        <v/>
      </c>
      <c r="G77" s="1" t="str" cm="1">
        <f t="array" ref="G77">IFERROR(_xlfn.LET(_xlpm.searchText, Tests!$C77,_xlpm.dataRange, 'Rita Quick test'!$B$3:$P$57,_xlpm.headers, 'Rita Quick test'!$B$2:$P$2,_xlpm.matchMatrix, ISNUMBER(SEARCH(_xlpm.searchText, _xlpm.dataRange)),_xlpm.colMatch, _xlfn.XMATCH(TRUE, _xlfn.BYCOL(_xlpm.matchMatrix, _xlfn.LAMBDA(_xlpm.col, OR(_xlpm.col)))),INDEX(_xlpm.headers, _xlpm.colMatch)),"")</f>
        <v/>
      </c>
      <c r="H77" s="1" t="str">
        <f>IFERROR(VLOOKUP("*" &amp; C77 &amp; "*",Terms!D:E,2,FALSE),"")</f>
        <v/>
      </c>
      <c r="I77" s="1" t="str">
        <f>IFERROR(VLOOKUP("*" &amp; C77 &amp; "*",'Terms 2'!B:D,3,FALSE),"")</f>
        <v xml:space="preserve"> A type of cost-reimbursable contract where the buyer reimburses the seller for the seller’s allowable costs (allowable costs are defined by the contract)</v>
      </c>
    </row>
    <row r="78" spans="2:9">
      <c r="B78" s="1" t="str">
        <f t="shared" si="1"/>
        <v>A cost plus fixed fee contract is a type of cost reimbursable contract.</v>
      </c>
      <c r="C78" s="47" t="s">
        <v>4836</v>
      </c>
      <c r="D78" s="49" t="s">
        <v>4838</v>
      </c>
      <c r="E78" s="1" t="str" cm="1">
        <f t="array" ref="E78">IFERROR(
  _xlfn.LET(
    _xlpm.searchText, Tests!$C78,
    _xlpm.dataRange, ITTO!$B$3:$F$300,
    _xlpm.headers, ITTO!$B$2:$F$2,
    _xlpm.matchMatrix, ISNUMBER(SEARCH(_xlpm.searchText, _xlpm.dataRange)),
    _xlpm.colMatch, _xlfn.XMATCH(TRUE, _xlfn.BYCOL(_xlpm.matchMatrix, _xlfn.LAMBDA(_xlpm.col, OR(_xlpm.col)))),
    INDEX(_xlpm.headers, _xlpm.colMatch)
  ),
  ""
)</f>
        <v/>
      </c>
      <c r="F78" s="1" t="str" cm="1">
        <f t="array" ref="F78">IFERROR(_xlfn.LET(_xlpm.searchText, Tests!$C78,_xlpm.dataRange, PMBOK!$B$3:$F$300,_xlpm.headers, PMBOK!$B$2:$F$2,_xlpm.matchMatrix, ISNUMBER(SEARCH(_xlpm.searchText, _xlpm.dataRange)),_xlpm.colMatch, _xlfn.XMATCH(TRUE, _xlfn.BYCOL(_xlpm.matchMatrix, _xlfn.LAMBDA(_xlpm.col, OR(_xlpm.col)))),INDEX(_xlpm.headers, _xlpm.colMatch)),"")</f>
        <v/>
      </c>
      <c r="G78" s="1" t="str" cm="1">
        <f t="array" ref="G78">IFERROR(_xlfn.LET(_xlpm.searchText, Tests!$C78,_xlpm.dataRange, 'Rita Quick test'!$B$3:$P$57,_xlpm.headers, 'Rita Quick test'!$B$2:$P$2,_xlpm.matchMatrix, ISNUMBER(SEARCH(_xlpm.searchText, _xlpm.dataRange)),_xlpm.colMatch, _xlfn.XMATCH(TRUE, _xlfn.BYCOL(_xlpm.matchMatrix, _xlfn.LAMBDA(_xlpm.col, OR(_xlpm.col)))),INDEX(_xlpm.headers, _xlpm.colMatch)),"")</f>
        <v/>
      </c>
      <c r="H78" s="1" t="str">
        <f>IFERROR(VLOOKUP("*" &amp; C78 &amp; "*",Terms!D:E,2,FALSE),"")</f>
        <v/>
      </c>
      <c r="I78" s="1" t="str">
        <f>IFERROR(VLOOKUP("*" &amp; C78 &amp; "*",'Terms 2'!B:D,3,FALSE),"")</f>
        <v/>
      </c>
    </row>
    <row r="79" spans="2:9">
      <c r="B79" s="1" t="str">
        <f t="shared" si="1"/>
        <v/>
      </c>
      <c r="C79" s="47" t="s">
        <v>4826</v>
      </c>
      <c r="D79" s="1" t="s">
        <v>4848</v>
      </c>
      <c r="E79" s="1" t="str" cm="1">
        <f t="array" ref="E79">IFERROR(
  _xlfn.LET(
    _xlpm.searchText, Tests!$C79,
    _xlpm.dataRange, ITTO!$B$3:$F$300,
    _xlpm.headers, ITTO!$B$2:$F$2,
    _xlpm.matchMatrix, ISNUMBER(SEARCH(_xlpm.searchText, _xlpm.dataRange)),
    _xlpm.colMatch, _xlfn.XMATCH(TRUE, _xlfn.BYCOL(_xlpm.matchMatrix, _xlfn.LAMBDA(_xlpm.col, OR(_xlpm.col)))),
    INDEX(_xlpm.headers, _xlpm.colMatch)
  ),
  ""
)</f>
        <v/>
      </c>
      <c r="F79" s="1" t="str" cm="1">
        <f t="array" ref="F79">IFERROR(_xlfn.LET(_xlpm.searchText, Tests!$C79,_xlpm.dataRange, PMBOK!$B$3:$F$300,_xlpm.headers, PMBOK!$B$2:$F$2,_xlpm.matchMatrix, ISNUMBER(SEARCH(_xlpm.searchText, _xlpm.dataRange)),_xlpm.colMatch, _xlfn.XMATCH(TRUE, _xlfn.BYCOL(_xlpm.matchMatrix, _xlfn.LAMBDA(_xlpm.col, OR(_xlpm.col)))),INDEX(_xlpm.headers, _xlpm.colMatch)),"")</f>
        <v/>
      </c>
      <c r="G79" s="1" t="str" cm="1">
        <f t="array" ref="G79">IFERROR(_xlfn.LET(_xlpm.searchText, Tests!$C79,_xlpm.dataRange, 'Rita Quick test'!$B$3:$P$57,_xlpm.headers, 'Rita Quick test'!$B$2:$P$2,_xlpm.matchMatrix, ISNUMBER(SEARCH(_xlpm.searchText, _xlpm.dataRange)),_xlpm.colMatch, _xlfn.XMATCH(TRUE, _xlfn.BYCOL(_xlpm.matchMatrix, _xlfn.LAMBDA(_xlpm.col, OR(_xlpm.col)))),INDEX(_xlpm.headers, _xlpm.colMatch)),"")</f>
        <v/>
      </c>
      <c r="H79" s="1" t="str">
        <f>IFERROR(VLOOKUP("*" &amp; C79 &amp; "*",Terms!D:E,2,FALSE),"")</f>
        <v/>
      </c>
      <c r="I79" s="1" t="str">
        <f>IFERROR(VLOOKUP("*" &amp; C79 &amp; "*",'Terms 2'!B:D,3,FALSE),"")</f>
        <v/>
      </c>
    </row>
    <row r="80" spans="2:9">
      <c r="B80" s="1" t="str">
        <f t="shared" si="1"/>
        <v>cost reimbursable and time and material will have more risks for the buyers than the sellers.</v>
      </c>
      <c r="C80" s="47" t="s">
        <v>4834</v>
      </c>
      <c r="D80" s="49" t="s">
        <v>4866</v>
      </c>
      <c r="E80" s="1" t="str" cm="1">
        <f t="array" ref="E80">IFERROR(
  _xlfn.LET(
    _xlpm.searchText, Tests!$C80,
    _xlpm.dataRange, ITTO!$B$3:$F$300,
    _xlpm.headers, ITTO!$B$2:$F$2,
    _xlpm.matchMatrix, ISNUMBER(SEARCH(_xlpm.searchText, _xlpm.dataRange)),
    _xlpm.colMatch, _xlfn.XMATCH(TRUE, _xlfn.BYCOL(_xlpm.matchMatrix, _xlfn.LAMBDA(_xlpm.col, OR(_xlpm.col)))),
    INDEX(_xlpm.headers, _xlpm.colMatch)
  ),
  ""
)</f>
        <v/>
      </c>
      <c r="F80" s="1" t="str" cm="1">
        <f t="array" ref="F80">IFERROR(_xlfn.LET(_xlpm.searchText, Tests!$C80,_xlpm.dataRange, PMBOK!$B$3:$F$300,_xlpm.headers, PMBOK!$B$2:$F$2,_xlpm.matchMatrix, ISNUMBER(SEARCH(_xlpm.searchText, _xlpm.dataRange)),_xlpm.colMatch, _xlfn.XMATCH(TRUE, _xlfn.BYCOL(_xlpm.matchMatrix, _xlfn.LAMBDA(_xlpm.col, OR(_xlpm.col)))),INDEX(_xlpm.headers, _xlpm.colMatch)),"")</f>
        <v/>
      </c>
      <c r="G80" s="1" t="str" cm="1">
        <f t="array" ref="G80">IFERROR(_xlfn.LET(_xlpm.searchText, Tests!$C80,_xlpm.dataRange, 'Rita Quick test'!$B$3:$P$57,_xlpm.headers, 'Rita Quick test'!$B$2:$P$2,_xlpm.matchMatrix, ISNUMBER(SEARCH(_xlpm.searchText, _xlpm.dataRange)),_xlpm.colMatch, _xlfn.XMATCH(TRUE, _xlfn.BYCOL(_xlpm.matchMatrix, _xlfn.LAMBDA(_xlpm.col, OR(_xlpm.col)))),INDEX(_xlpm.headers, _xlpm.colMatch)),"")</f>
        <v/>
      </c>
      <c r="H80" s="1" t="str">
        <f>IFERROR(VLOOKUP("*" &amp; C80 &amp; "*",Terms!D:E,2,FALSE),"")</f>
        <v/>
      </c>
      <c r="I80" s="1" t="str">
        <f>IFERROR(VLOOKUP("*" &amp; C80 &amp; "*",'Terms 2'!B:D,3,FALSE),"")</f>
        <v/>
      </c>
    </row>
    <row r="81" spans="2:9">
      <c r="B81" s="1" t="str">
        <f t="shared" si="1"/>
        <v>Crashing adds resources to the project and will generally increase the cost. Since the team will be working overtime, this will result in additional costs to the project.</v>
      </c>
      <c r="C81" s="46" t="s">
        <v>4436</v>
      </c>
      <c r="D81" s="49" t="s">
        <v>4867</v>
      </c>
      <c r="E81" s="1" t="str" cm="1">
        <f t="array" ref="E81">IFERROR(
  _xlfn.LET(
    _xlpm.searchText, Tests!$C81,
    _xlpm.dataRange, ITTO!$B$3:$F$300,
    _xlpm.headers, ITTO!$B$2:$F$2,
    _xlpm.matchMatrix, ISNUMBER(SEARCH(_xlpm.searchText, _xlpm.dataRange)),
    _xlpm.colMatch, _xlfn.XMATCH(TRUE, _xlfn.BYCOL(_xlpm.matchMatrix, _xlfn.LAMBDA(_xlpm.col, OR(_xlpm.col)))),
    INDEX(_xlpm.headers, _xlpm.colMatch)
  ),
  ""
)</f>
        <v/>
      </c>
      <c r="F81" s="1" t="str" cm="1">
        <f t="array" ref="F81">IFERROR(_xlfn.LET(_xlpm.searchText, Tests!$C81,_xlpm.dataRange, PMBOK!$B$3:$F$300,_xlpm.headers, PMBOK!$B$2:$F$2,_xlpm.matchMatrix, ISNUMBER(SEARCH(_xlpm.searchText, _xlpm.dataRange)),_xlpm.colMatch, _xlfn.XMATCH(TRUE, _xlfn.BYCOL(_xlpm.matchMatrix, _xlfn.LAMBDA(_xlpm.col, OR(_xlpm.col)))),INDEX(_xlpm.headers, _xlpm.colMatch)),"")</f>
        <v/>
      </c>
      <c r="G81" s="1" t="str" cm="1">
        <f t="array" ref="G81">IFERROR(_xlfn.LET(_xlpm.searchText, Tests!$C81,_xlpm.dataRange, 'Rita Quick test'!$B$3:$P$57,_xlpm.headers, 'Rita Quick test'!$B$2:$P$2,_xlpm.matchMatrix, ISNUMBER(SEARCH(_xlpm.searchText, _xlpm.dataRange)),_xlpm.colMatch, _xlfn.XMATCH(TRUE, _xlfn.BYCOL(_xlpm.matchMatrix, _xlfn.LAMBDA(_xlpm.col, OR(_xlpm.col)))),INDEX(_xlpm.headers, _xlpm.colMatch)),"")</f>
        <v/>
      </c>
      <c r="H81" s="1" t="str">
        <f>IFERROR(VLOOKUP("*" &amp; C81 &amp; "*",Terms!D:E,2,FALSE),"")</f>
        <v/>
      </c>
      <c r="I81" s="1" t="str">
        <f>IFERROR(VLOOKUP("*" &amp; C81 &amp; "*",'Terms 2'!B:D,3,FALSE),"")</f>
        <v/>
      </c>
    </row>
    <row r="82" spans="2:9">
      <c r="B82" s="1" t="str">
        <f t="shared" si="1"/>
        <v>Crashing involves adding more resources to a project to decrease the schedule. In this scenario, the project is 7% over budget but is 10% ahead of schedule</v>
      </c>
      <c r="C82" s="47" t="s">
        <v>4436</v>
      </c>
      <c r="D82" s="49" t="s">
        <v>4539</v>
      </c>
      <c r="E82" s="1" t="str" cm="1">
        <f t="array" ref="E82">IFERROR(
  _xlfn.LET(
    _xlpm.searchText, Tests!$C82,
    _xlpm.dataRange, ITTO!$B$3:$F$300,
    _xlpm.headers, ITTO!$B$2:$F$2,
    _xlpm.matchMatrix, ISNUMBER(SEARCH(_xlpm.searchText, _xlpm.dataRange)),
    _xlpm.colMatch, _xlfn.XMATCH(TRUE, _xlfn.BYCOL(_xlpm.matchMatrix, _xlfn.LAMBDA(_xlpm.col, OR(_xlpm.col)))),
    INDEX(_xlpm.headers, _xlpm.colMatch)
  ),
  ""
)</f>
        <v/>
      </c>
      <c r="F82" s="1" t="str" cm="1">
        <f t="array" ref="F82">IFERROR(_xlfn.LET(_xlpm.searchText, Tests!$C82,_xlpm.dataRange, PMBOK!$B$3:$F$300,_xlpm.headers, PMBOK!$B$2:$F$2,_xlpm.matchMatrix, ISNUMBER(SEARCH(_xlpm.searchText, _xlpm.dataRange)),_xlpm.colMatch, _xlfn.XMATCH(TRUE, _xlfn.BYCOL(_xlpm.matchMatrix, _xlfn.LAMBDA(_xlpm.col, OR(_xlpm.col)))),INDEX(_xlpm.headers, _xlpm.colMatch)),"")</f>
        <v/>
      </c>
      <c r="G82" s="1" t="str" cm="1">
        <f t="array" ref="G82">IFERROR(_xlfn.LET(_xlpm.searchText, Tests!$C82,_xlpm.dataRange, 'Rita Quick test'!$B$3:$P$57,_xlpm.headers, 'Rita Quick test'!$B$2:$P$2,_xlpm.matchMatrix, ISNUMBER(SEARCH(_xlpm.searchText, _xlpm.dataRange)),_xlpm.colMatch, _xlfn.XMATCH(TRUE, _xlfn.BYCOL(_xlpm.matchMatrix, _xlfn.LAMBDA(_xlpm.col, OR(_xlpm.col)))),INDEX(_xlpm.headers, _xlpm.colMatch)),"")</f>
        <v/>
      </c>
      <c r="H82" s="1" t="str">
        <f>IFERROR(VLOOKUP("*" &amp; C82 &amp; "*",Terms!D:E,2,FALSE),"")</f>
        <v/>
      </c>
      <c r="I82" s="1" t="str">
        <f>IFERROR(VLOOKUP("*" &amp; C82 &amp; "*",'Terms 2'!B:D,3,FALSE),"")</f>
        <v/>
      </c>
    </row>
    <row r="83" spans="2:9">
      <c r="B83" s="1" t="str">
        <f t="shared" si="1"/>
        <v>Crashing is a scheduled compression method where you add more resources to complete the project sooner.</v>
      </c>
      <c r="C83" s="47" t="s">
        <v>4436</v>
      </c>
      <c r="D83" s="49" t="s">
        <v>4868</v>
      </c>
      <c r="E83" s="1" t="str" cm="1">
        <f t="array" ref="E83">IFERROR(
  _xlfn.LET(
    _xlpm.searchText, Tests!$C83,
    _xlpm.dataRange, ITTO!$B$3:$F$300,
    _xlpm.headers, ITTO!$B$2:$F$2,
    _xlpm.matchMatrix, ISNUMBER(SEARCH(_xlpm.searchText, _xlpm.dataRange)),
    _xlpm.colMatch, _xlfn.XMATCH(TRUE, _xlfn.BYCOL(_xlpm.matchMatrix, _xlfn.LAMBDA(_xlpm.col, OR(_xlpm.col)))),
    INDEX(_xlpm.headers, _xlpm.colMatch)
  ),
  ""
)</f>
        <v/>
      </c>
      <c r="F83" s="1" t="str" cm="1">
        <f t="array" ref="F83">IFERROR(_xlfn.LET(_xlpm.searchText, Tests!$C83,_xlpm.dataRange, PMBOK!$B$3:$F$300,_xlpm.headers, PMBOK!$B$2:$F$2,_xlpm.matchMatrix, ISNUMBER(SEARCH(_xlpm.searchText, _xlpm.dataRange)),_xlpm.colMatch, _xlfn.XMATCH(TRUE, _xlfn.BYCOL(_xlpm.matchMatrix, _xlfn.LAMBDA(_xlpm.col, OR(_xlpm.col)))),INDEX(_xlpm.headers, _xlpm.colMatch)),"")</f>
        <v/>
      </c>
      <c r="G83" s="1" t="str" cm="1">
        <f t="array" ref="G83">IFERROR(_xlfn.LET(_xlpm.searchText, Tests!$C83,_xlpm.dataRange, 'Rita Quick test'!$B$3:$P$57,_xlpm.headers, 'Rita Quick test'!$B$2:$P$2,_xlpm.matchMatrix, ISNUMBER(SEARCH(_xlpm.searchText, _xlpm.dataRange)),_xlpm.colMatch, _xlfn.XMATCH(TRUE, _xlfn.BYCOL(_xlpm.matchMatrix, _xlfn.LAMBDA(_xlpm.col, OR(_xlpm.col)))),INDEX(_xlpm.headers, _xlpm.colMatch)),"")</f>
        <v/>
      </c>
      <c r="H83" s="1" t="str">
        <f>IFERROR(VLOOKUP("*" &amp; C83 &amp; "*",Terms!D:E,2,FALSE),"")</f>
        <v/>
      </c>
      <c r="I83" s="1" t="str">
        <f>IFERROR(VLOOKUP("*" &amp; C83 &amp; "*",'Terms 2'!B:D,3,FALSE),"")</f>
        <v/>
      </c>
    </row>
    <row r="84" spans="2:9">
      <c r="B84" s="1" t="str">
        <f t="shared" si="1"/>
        <v>A request for proposal is used when there’s a problem on the project, and the solution is not easy to determine. This is generally a formal request made by project vendors to understand how they would rewrite the scope statement</v>
      </c>
      <c r="C84" s="47" t="s">
        <v>4686</v>
      </c>
      <c r="D84" s="49" t="s">
        <v>4690</v>
      </c>
      <c r="E84" s="1" t="str" cm="1">
        <f t="array" ref="E84">IFERROR(
  _xlfn.LET(
    _xlpm.searchText, Tests!$C84,
    _xlpm.dataRange, ITTO!$B$3:$F$300,
    _xlpm.headers, ITTO!$B$2:$F$2,
    _xlpm.matchMatrix, ISNUMBER(SEARCH(_xlpm.searchText, _xlpm.dataRange)),
    _xlpm.colMatch, _xlfn.XMATCH(TRUE, _xlfn.BYCOL(_xlpm.matchMatrix, _xlfn.LAMBDA(_xlpm.col, OR(_xlpm.col)))),
    INDEX(_xlpm.headers, _xlpm.colMatch)
  ),
  ""
)</f>
        <v/>
      </c>
      <c r="F84" s="1" t="str" cm="1">
        <f t="array" ref="F84">IFERROR(_xlfn.LET(_xlpm.searchText, Tests!$C84,_xlpm.dataRange, PMBOK!$B$3:$F$300,_xlpm.headers, PMBOK!$B$2:$F$2,_xlpm.matchMatrix, ISNUMBER(SEARCH(_xlpm.searchText, _xlpm.dataRange)),_xlpm.colMatch, _xlfn.XMATCH(TRUE, _xlfn.BYCOL(_xlpm.matchMatrix, _xlfn.LAMBDA(_xlpm.col, OR(_xlpm.col)))),INDEX(_xlpm.headers, _xlpm.colMatch)),"")</f>
        <v/>
      </c>
      <c r="G84" s="1" t="str" cm="1">
        <f t="array" ref="G84">IFERROR(_xlfn.LET(_xlpm.searchText, Tests!$C84,_xlpm.dataRange, 'Rita Quick test'!$B$3:$P$57,_xlpm.headers, 'Rita Quick test'!$B$2:$P$2,_xlpm.matchMatrix, ISNUMBER(SEARCH(_xlpm.searchText, _xlpm.dataRange)),_xlpm.colMatch, _xlfn.XMATCH(TRUE, _xlfn.BYCOL(_xlpm.matchMatrix, _xlfn.LAMBDA(_xlpm.col, OR(_xlpm.col)))),INDEX(_xlpm.headers, _xlpm.colMatch)),"")</f>
        <v/>
      </c>
      <c r="H84" s="1" t="str">
        <f>IFERROR(VLOOKUP("*" &amp; C84 &amp; "*",Terms!D:E,2,FALSE),"")</f>
        <v/>
      </c>
      <c r="I84" s="1" t="str">
        <f>IFERROR(VLOOKUP("*" &amp; C84 &amp; "*",'Terms 2'!B:D,3,FALSE),"")</f>
        <v/>
      </c>
    </row>
    <row r="85" spans="2:9">
      <c r="B85" s="1" t="str">
        <f t="shared" si="1"/>
        <v>A request for quotation is made to understand how a vendor develops satisfied requirements and how much it will cost.</v>
      </c>
      <c r="C85" s="47" t="s">
        <v>4688</v>
      </c>
      <c r="D85" s="49" t="s">
        <v>4692</v>
      </c>
      <c r="E85" s="1" t="str" cm="1">
        <f t="array" ref="E85">IFERROR(
  _xlfn.LET(
    _xlpm.searchText, Tests!$C85,
    _xlpm.dataRange, ITTO!$B$3:$F$300,
    _xlpm.headers, ITTO!$B$2:$F$2,
    _xlpm.matchMatrix, ISNUMBER(SEARCH(_xlpm.searchText, _xlpm.dataRange)),
    _xlpm.colMatch, _xlfn.XMATCH(TRUE, _xlfn.BYCOL(_xlpm.matchMatrix, _xlfn.LAMBDA(_xlpm.col, OR(_xlpm.col)))),
    INDEX(_xlpm.headers, _xlpm.colMatch)
  ),
  ""
)</f>
        <v/>
      </c>
      <c r="F85" s="1" t="str" cm="1">
        <f t="array" ref="F85">IFERROR(_xlfn.LET(_xlpm.searchText, Tests!$C85,_xlpm.dataRange, PMBOK!$B$3:$F$300,_xlpm.headers, PMBOK!$B$2:$F$2,_xlpm.matchMatrix, ISNUMBER(SEARCH(_xlpm.searchText, _xlpm.dataRange)),_xlpm.colMatch, _xlfn.XMATCH(TRUE, _xlfn.BYCOL(_xlpm.matchMatrix, _xlfn.LAMBDA(_xlpm.col, OR(_xlpm.col)))),INDEX(_xlpm.headers, _xlpm.colMatch)),"")</f>
        <v/>
      </c>
      <c r="G85" s="1" t="str" cm="1">
        <f t="array" ref="G85">IFERROR(_xlfn.LET(_xlpm.searchText, Tests!$C85,_xlpm.dataRange, 'Rita Quick test'!$B$3:$P$57,_xlpm.headers, 'Rita Quick test'!$B$2:$P$2,_xlpm.matchMatrix, ISNUMBER(SEARCH(_xlpm.searchText, _xlpm.dataRange)),_xlpm.colMatch, _xlfn.XMATCH(TRUE, _xlfn.BYCOL(_xlpm.matchMatrix, _xlfn.LAMBDA(_xlpm.col, OR(_xlpm.col)))),INDEX(_xlpm.headers, _xlpm.colMatch)),"")</f>
        <v/>
      </c>
      <c r="H85" s="1" t="str">
        <f>IFERROR(VLOOKUP("*" &amp; C85 &amp; "*",Terms!D:E,2,FALSE),"")</f>
        <v/>
      </c>
      <c r="I85" s="1" t="str">
        <f>IFERROR(VLOOKUP("*" &amp; C85 &amp; "*",'Terms 2'!B:D,3,FALSE),"")</f>
        <v/>
      </c>
    </row>
    <row r="86" spans="2:9">
      <c r="B86" s="1" t="str">
        <f t="shared" si="1"/>
        <v>Create scope baseline is a made-up term.</v>
      </c>
      <c r="C86" s="47" t="s">
        <v>4542</v>
      </c>
      <c r="D86" s="49" t="s">
        <v>4544</v>
      </c>
      <c r="E86" s="1" t="str" cm="1">
        <f t="array" ref="E86">IFERROR(
  _xlfn.LET(
    _xlpm.searchText, Tests!$C86,
    _xlpm.dataRange, ITTO!$B$3:$F$300,
    _xlpm.headers, ITTO!$B$2:$F$2,
    _xlpm.matchMatrix, ISNUMBER(SEARCH(_xlpm.searchText, _xlpm.dataRange)),
    _xlpm.colMatch, _xlfn.XMATCH(TRUE, _xlfn.BYCOL(_xlpm.matchMatrix, _xlfn.LAMBDA(_xlpm.col, OR(_xlpm.col)))),
    INDEX(_xlpm.headers, _xlpm.colMatch)
  ),
  ""
)</f>
        <v/>
      </c>
      <c r="F86" s="1" t="str" cm="1">
        <f t="array" ref="F86">IFERROR(_xlfn.LET(_xlpm.searchText, Tests!$C86,_xlpm.dataRange, PMBOK!$B$3:$F$300,_xlpm.headers, PMBOK!$B$2:$F$2,_xlpm.matchMatrix, ISNUMBER(SEARCH(_xlpm.searchText, _xlpm.dataRange)),_xlpm.colMatch, _xlfn.XMATCH(TRUE, _xlfn.BYCOL(_xlpm.matchMatrix, _xlfn.LAMBDA(_xlpm.col, OR(_xlpm.col)))),INDEX(_xlpm.headers, _xlpm.colMatch)),"")</f>
        <v/>
      </c>
      <c r="G86" s="1" t="str" cm="1">
        <f t="array" ref="G86">IFERROR(_xlfn.LET(_xlpm.searchText, Tests!$C86,_xlpm.dataRange, 'Rita Quick test'!$B$3:$P$57,_xlpm.headers, 'Rita Quick test'!$B$2:$P$2,_xlpm.matchMatrix, ISNUMBER(SEARCH(_xlpm.searchText, _xlpm.dataRange)),_xlpm.colMatch, _xlfn.XMATCH(TRUE, _xlfn.BYCOL(_xlpm.matchMatrix, _xlfn.LAMBDA(_xlpm.col, OR(_xlpm.col)))),INDEX(_xlpm.headers, _xlpm.colMatch)),"")</f>
        <v/>
      </c>
      <c r="H86" s="1" t="str">
        <f>IFERROR(VLOOKUP("*" &amp; C86 &amp; "*",Terms!D:E,2,FALSE),"")</f>
        <v/>
      </c>
      <c r="I86" s="1" t="str">
        <f>IFERROR(VLOOKUP("*" &amp; C86 &amp; "*",'Terms 2'!B:D,3,FALSE),"")</f>
        <v/>
      </c>
    </row>
    <row r="87" spans="2:9">
      <c r="B87" s="1" t="str">
        <f t="shared" si="1"/>
        <v/>
      </c>
      <c r="C87" s="47" t="s">
        <v>4639</v>
      </c>
      <c r="D87" s="1" t="s">
        <v>4848</v>
      </c>
      <c r="E87" s="1" t="str" cm="1">
        <f t="array" ref="E87">IFERROR(
  _xlfn.LET(
    _xlpm.searchText, Tests!$C87,
    _xlpm.dataRange, ITTO!$B$3:$F$300,
    _xlpm.headers, ITTO!$B$2:$F$2,
    _xlpm.matchMatrix, ISNUMBER(SEARCH(_xlpm.searchText, _xlpm.dataRange)),
    _xlpm.colMatch, _xlfn.XMATCH(TRUE, _xlfn.BYCOL(_xlpm.matchMatrix, _xlfn.LAMBDA(_xlpm.col, OR(_xlpm.col)))),
    INDEX(_xlpm.headers, _xlpm.colMatch)
  ),
  ""
)</f>
        <v/>
      </c>
      <c r="F87" s="1" t="str" cm="1">
        <f t="array" ref="F87">IFERROR(_xlfn.LET(_xlpm.searchText, Tests!$C87,_xlpm.dataRange, PMBOK!$B$3:$F$300,_xlpm.headers, PMBOK!$B$2:$F$2,_xlpm.matchMatrix, ISNUMBER(SEARCH(_xlpm.searchText, _xlpm.dataRange)),_xlpm.colMatch, _xlfn.XMATCH(TRUE, _xlfn.BYCOL(_xlpm.matchMatrix, _xlfn.LAMBDA(_xlpm.col, OR(_xlpm.col)))),INDEX(_xlpm.headers, _xlpm.colMatch)),"")</f>
        <v/>
      </c>
      <c r="G87" s="1" t="str" cm="1">
        <f t="array" ref="G87">IFERROR(_xlfn.LET(_xlpm.searchText, Tests!$C87,_xlpm.dataRange, 'Rita Quick test'!$B$3:$P$57,_xlpm.headers, 'Rita Quick test'!$B$2:$P$2,_xlpm.matchMatrix, ISNUMBER(SEARCH(_xlpm.searchText, _xlpm.dataRange)),_xlpm.colMatch, _xlfn.XMATCH(TRUE, _xlfn.BYCOL(_xlpm.matchMatrix, _xlfn.LAMBDA(_xlpm.col, OR(_xlpm.col)))),INDEX(_xlpm.headers, _xlpm.colMatch)),"")</f>
        <v/>
      </c>
      <c r="H87" s="1" t="str">
        <f>IFERROR(VLOOKUP("*" &amp; C87 &amp; "*",Terms!D:E,2,FALSE),"")</f>
        <v/>
      </c>
      <c r="I87" s="1" t="str">
        <f>IFERROR(VLOOKUP("*" &amp; C87 &amp; "*",'Terms 2'!B:D,3,FALSE),"")</f>
        <v/>
      </c>
    </row>
    <row r="88" spans="2:9">
      <c r="B88" s="1" t="str">
        <f t="shared" si="1"/>
        <v>Once the project charter is created, the next step would be to collect the requirements and then create the scope statement and the WBS.</v>
      </c>
      <c r="C88" s="47" t="s">
        <v>4639</v>
      </c>
      <c r="D88" s="49" t="s">
        <v>4869</v>
      </c>
      <c r="E88" s="1" t="str" cm="1">
        <f t="array" ref="E88">IFERROR(
  _xlfn.LET(
    _xlpm.searchText, Tests!$C88,
    _xlpm.dataRange, ITTO!$B$3:$F$300,
    _xlpm.headers, ITTO!$B$2:$F$2,
    _xlpm.matchMatrix, ISNUMBER(SEARCH(_xlpm.searchText, _xlpm.dataRange)),
    _xlpm.colMatch, _xlfn.XMATCH(TRUE, _xlfn.BYCOL(_xlpm.matchMatrix, _xlfn.LAMBDA(_xlpm.col, OR(_xlpm.col)))),
    INDEX(_xlpm.headers, _xlpm.colMatch)
  ),
  ""
)</f>
        <v/>
      </c>
      <c r="F88" s="1" t="str" cm="1">
        <f t="array" ref="F88">IFERROR(_xlfn.LET(_xlpm.searchText, Tests!$C88,_xlpm.dataRange, PMBOK!$B$3:$F$300,_xlpm.headers, PMBOK!$B$2:$F$2,_xlpm.matchMatrix, ISNUMBER(SEARCH(_xlpm.searchText, _xlpm.dataRange)),_xlpm.colMatch, _xlfn.XMATCH(TRUE, _xlfn.BYCOL(_xlpm.matchMatrix, _xlfn.LAMBDA(_xlpm.col, OR(_xlpm.col)))),INDEX(_xlpm.headers, _xlpm.colMatch)),"")</f>
        <v/>
      </c>
      <c r="G88" s="1" t="str" cm="1">
        <f t="array" ref="G88">IFERROR(_xlfn.LET(_xlpm.searchText, Tests!$C88,_xlpm.dataRange, 'Rita Quick test'!$B$3:$P$57,_xlpm.headers, 'Rita Quick test'!$B$2:$P$2,_xlpm.matchMatrix, ISNUMBER(SEARCH(_xlpm.searchText, _xlpm.dataRange)),_xlpm.colMatch, _xlfn.XMATCH(TRUE, _xlfn.BYCOL(_xlpm.matchMatrix, _xlfn.LAMBDA(_xlpm.col, OR(_xlpm.col)))),INDEX(_xlpm.headers, _xlpm.colMatch)),"")</f>
        <v/>
      </c>
      <c r="H88" s="1" t="str">
        <f>IFERROR(VLOOKUP("*" &amp; C88 &amp; "*",Terms!D:E,2,FALSE),"")</f>
        <v/>
      </c>
      <c r="I88" s="1" t="str">
        <f>IFERROR(VLOOKUP("*" &amp; C88 &amp; "*",'Terms 2'!B:D,3,FALSE),"")</f>
        <v/>
      </c>
    </row>
    <row r="89" spans="2:9">
      <c r="B89" s="1" t="str">
        <f t="shared" si="1"/>
        <v>The create WBS process is generally done after the scope statement has been created, as it will decompose the deliverables in the scope statement. You cannot define activities or sequence activities until the WBS is complete, as you will need to know work packages to create the activities.</v>
      </c>
      <c r="C89" s="47" t="s">
        <v>4541</v>
      </c>
      <c r="D89" s="49" t="s">
        <v>4543</v>
      </c>
      <c r="E89" s="1" t="str" cm="1">
        <f t="array" ref="E89">IFERROR(
  _xlfn.LET(
    _xlpm.searchText, Tests!$C89,
    _xlpm.dataRange, ITTO!$B$3:$F$300,
    _xlpm.headers, ITTO!$B$2:$F$2,
    _xlpm.matchMatrix, ISNUMBER(SEARCH(_xlpm.searchText, _xlpm.dataRange)),
    _xlpm.colMatch, _xlfn.XMATCH(TRUE, _xlfn.BYCOL(_xlpm.matchMatrix, _xlfn.LAMBDA(_xlpm.col, OR(_xlpm.col)))),
    INDEX(_xlpm.headers, _xlpm.colMatch)
  ),
  ""
)</f>
        <v/>
      </c>
      <c r="F89" s="1" t="str" cm="1">
        <f t="array" ref="F89">IFERROR(_xlfn.LET(_xlpm.searchText, Tests!$C89,_xlpm.dataRange, PMBOK!$B$3:$F$300,_xlpm.headers, PMBOK!$B$2:$F$2,_xlpm.matchMatrix, ISNUMBER(SEARCH(_xlpm.searchText, _xlpm.dataRange)),_xlpm.colMatch, _xlfn.XMATCH(TRUE, _xlfn.BYCOL(_xlpm.matchMatrix, _xlfn.LAMBDA(_xlpm.col, OR(_xlpm.col)))),INDEX(_xlpm.headers, _xlpm.colMatch)),"")</f>
        <v/>
      </c>
      <c r="G89" s="1" t="str" cm="1">
        <f t="array" ref="G89">IFERROR(_xlfn.LET(_xlpm.searchText, Tests!$C89,_xlpm.dataRange, 'Rita Quick test'!$B$3:$P$57,_xlpm.headers, 'Rita Quick test'!$B$2:$P$2,_xlpm.matchMatrix, ISNUMBER(SEARCH(_xlpm.searchText, _xlpm.dataRange)),_xlpm.colMatch, _xlfn.XMATCH(TRUE, _xlfn.BYCOL(_xlpm.matchMatrix, _xlfn.LAMBDA(_xlpm.col, OR(_xlpm.col)))),INDEX(_xlpm.headers, _xlpm.colMatch)),"")</f>
        <v/>
      </c>
      <c r="H89" s="1" t="str">
        <f>IFERROR(VLOOKUP("*" &amp; C89 &amp; "*",Terms!D:E,2,FALSE),"")</f>
        <v/>
      </c>
      <c r="I89" s="1" t="str">
        <f>IFERROR(VLOOKUP("*" &amp; C89 &amp; "*",'Terms 2'!B:D,3,FALSE),"")</f>
        <v/>
      </c>
    </row>
    <row r="90" spans="2:9">
      <c r="B90" s="1" t="str">
        <f t="shared" si="1"/>
        <v/>
      </c>
      <c r="C90" s="46" t="s">
        <v>4541</v>
      </c>
      <c r="D90" s="1" t="s">
        <v>4848</v>
      </c>
      <c r="E90" s="1" t="str" cm="1">
        <f t="array" ref="E90">IFERROR(
  _xlfn.LET(
    _xlpm.searchText, Tests!$C90,
    _xlpm.dataRange, ITTO!$B$3:$F$300,
    _xlpm.headers, ITTO!$B$2:$F$2,
    _xlpm.matchMatrix, ISNUMBER(SEARCH(_xlpm.searchText, _xlpm.dataRange)),
    _xlpm.colMatch, _xlfn.XMATCH(TRUE, _xlfn.BYCOL(_xlpm.matchMatrix, _xlfn.LAMBDA(_xlpm.col, OR(_xlpm.col)))),
    INDEX(_xlpm.headers, _xlpm.colMatch)
  ),
  ""
)</f>
        <v/>
      </c>
      <c r="F90" s="1" t="str" cm="1">
        <f t="array" ref="F90">IFERROR(_xlfn.LET(_xlpm.searchText, Tests!$C90,_xlpm.dataRange, PMBOK!$B$3:$F$300,_xlpm.headers, PMBOK!$B$2:$F$2,_xlpm.matchMatrix, ISNUMBER(SEARCH(_xlpm.searchText, _xlpm.dataRange)),_xlpm.colMatch, _xlfn.XMATCH(TRUE, _xlfn.BYCOL(_xlpm.matchMatrix, _xlfn.LAMBDA(_xlpm.col, OR(_xlpm.col)))),INDEX(_xlpm.headers, _xlpm.colMatch)),"")</f>
        <v/>
      </c>
      <c r="G90" s="1" t="str" cm="1">
        <f t="array" ref="G90">IFERROR(_xlfn.LET(_xlpm.searchText, Tests!$C90,_xlpm.dataRange, 'Rita Quick test'!$B$3:$P$57,_xlpm.headers, 'Rita Quick test'!$B$2:$P$2,_xlpm.matchMatrix, ISNUMBER(SEARCH(_xlpm.searchText, _xlpm.dataRange)),_xlpm.colMatch, _xlfn.XMATCH(TRUE, _xlfn.BYCOL(_xlpm.matchMatrix, _xlfn.LAMBDA(_xlpm.col, OR(_xlpm.col)))),INDEX(_xlpm.headers, _xlpm.colMatch)),"")</f>
        <v/>
      </c>
      <c r="H90" s="1" t="str">
        <f>IFERROR(VLOOKUP("*" &amp; C90 &amp; "*",Terms!D:E,2,FALSE),"")</f>
        <v/>
      </c>
      <c r="I90" s="1" t="str">
        <f>IFERROR(VLOOKUP("*" &amp; C90 &amp; "*",'Terms 2'!B:D,3,FALSE),"")</f>
        <v/>
      </c>
    </row>
    <row r="91" spans="2:9">
      <c r="B91" s="1" t="str">
        <f t="shared" si="1"/>
        <v>The create WBS process is generally done after the scope statement has been created, as it will decompose the deliverables in the scope statement</v>
      </c>
      <c r="C91" s="47" t="s">
        <v>4541</v>
      </c>
      <c r="D91" s="49" t="s">
        <v>4699</v>
      </c>
      <c r="E91" s="1" t="str" cm="1">
        <f t="array" ref="E91">IFERROR(
  _xlfn.LET(
    _xlpm.searchText, Tests!$C91,
    _xlpm.dataRange, ITTO!$B$3:$F$300,
    _xlpm.headers, ITTO!$B$2:$F$2,
    _xlpm.matchMatrix, ISNUMBER(SEARCH(_xlpm.searchText, _xlpm.dataRange)),
    _xlpm.colMatch, _xlfn.XMATCH(TRUE, _xlfn.BYCOL(_xlpm.matchMatrix, _xlfn.LAMBDA(_xlpm.col, OR(_xlpm.col)))),
    INDEX(_xlpm.headers, _xlpm.colMatch)
  ),
  ""
)</f>
        <v/>
      </c>
      <c r="F91" s="1" t="str" cm="1">
        <f t="array" ref="F91">IFERROR(_xlfn.LET(_xlpm.searchText, Tests!$C91,_xlpm.dataRange, PMBOK!$B$3:$F$300,_xlpm.headers, PMBOK!$B$2:$F$2,_xlpm.matchMatrix, ISNUMBER(SEARCH(_xlpm.searchText, _xlpm.dataRange)),_xlpm.colMatch, _xlfn.XMATCH(TRUE, _xlfn.BYCOL(_xlpm.matchMatrix, _xlfn.LAMBDA(_xlpm.col, OR(_xlpm.col)))),INDEX(_xlpm.headers, _xlpm.colMatch)),"")</f>
        <v/>
      </c>
      <c r="G91" s="1" t="str" cm="1">
        <f t="array" ref="G91">IFERROR(_xlfn.LET(_xlpm.searchText, Tests!$C91,_xlpm.dataRange, 'Rita Quick test'!$B$3:$P$57,_xlpm.headers, 'Rita Quick test'!$B$2:$P$2,_xlpm.matchMatrix, ISNUMBER(SEARCH(_xlpm.searchText, _xlpm.dataRange)),_xlpm.colMatch, _xlfn.XMATCH(TRUE, _xlfn.BYCOL(_xlpm.matchMatrix, _xlfn.LAMBDA(_xlpm.col, OR(_xlpm.col)))),INDEX(_xlpm.headers, _xlpm.colMatch)),"")</f>
        <v/>
      </c>
      <c r="H91" s="1" t="str">
        <f>IFERROR(VLOOKUP("*" &amp; C91 &amp; "*",Terms!D:E,2,FALSE),"")</f>
        <v/>
      </c>
      <c r="I91" s="1" t="str">
        <f>IFERROR(VLOOKUP("*" &amp; C91 &amp; "*",'Terms 2'!B:D,3,FALSE),"")</f>
        <v/>
      </c>
    </row>
    <row r="92" spans="2:9">
      <c r="B92" s="1" t="str">
        <f t="shared" si="1"/>
        <v>Creating WBS and defining scope will come before defining activities.</v>
      </c>
      <c r="C92" s="47" t="s">
        <v>4541</v>
      </c>
      <c r="D92" s="49" t="s">
        <v>4729</v>
      </c>
      <c r="E92" s="1" t="str" cm="1">
        <f t="array" ref="E92">IFERROR(
  _xlfn.LET(
    _xlpm.searchText, Tests!$C92,
    _xlpm.dataRange, ITTO!$B$3:$F$300,
    _xlpm.headers, ITTO!$B$2:$F$2,
    _xlpm.matchMatrix, ISNUMBER(SEARCH(_xlpm.searchText, _xlpm.dataRange)),
    _xlpm.colMatch, _xlfn.XMATCH(TRUE, _xlfn.BYCOL(_xlpm.matchMatrix, _xlfn.LAMBDA(_xlpm.col, OR(_xlpm.col)))),
    INDEX(_xlpm.headers, _xlpm.colMatch)
  ),
  ""
)</f>
        <v/>
      </c>
      <c r="F92" s="1" t="str" cm="1">
        <f t="array" ref="F92">IFERROR(_xlfn.LET(_xlpm.searchText, Tests!$C92,_xlpm.dataRange, PMBOK!$B$3:$F$300,_xlpm.headers, PMBOK!$B$2:$F$2,_xlpm.matchMatrix, ISNUMBER(SEARCH(_xlpm.searchText, _xlpm.dataRange)),_xlpm.colMatch, _xlfn.XMATCH(TRUE, _xlfn.BYCOL(_xlpm.matchMatrix, _xlfn.LAMBDA(_xlpm.col, OR(_xlpm.col)))),INDEX(_xlpm.headers, _xlpm.colMatch)),"")</f>
        <v/>
      </c>
      <c r="G92" s="1" t="str" cm="1">
        <f t="array" ref="G92">IFERROR(_xlfn.LET(_xlpm.searchText, Tests!$C92,_xlpm.dataRange, 'Rita Quick test'!$B$3:$P$57,_xlpm.headers, 'Rita Quick test'!$B$2:$P$2,_xlpm.matchMatrix, ISNUMBER(SEARCH(_xlpm.searchText, _xlpm.dataRange)),_xlpm.colMatch, _xlfn.XMATCH(TRUE, _xlfn.BYCOL(_xlpm.matchMatrix, _xlfn.LAMBDA(_xlpm.col, OR(_xlpm.col)))),INDEX(_xlpm.headers, _xlpm.colMatch)),"")</f>
        <v/>
      </c>
      <c r="H92" s="1" t="str">
        <f>IFERROR(VLOOKUP("*" &amp; C92 &amp; "*",Terms!D:E,2,FALSE),"")</f>
        <v/>
      </c>
      <c r="I92" s="1" t="str">
        <f>IFERROR(VLOOKUP("*" &amp; C92 &amp; "*",'Terms 2'!B:D,3,FALSE),"")</f>
        <v/>
      </c>
    </row>
    <row r="93" spans="2:9">
      <c r="B93" s="1" t="str">
        <f t="shared" si="1"/>
        <v>The critical path method is about creating a network diagram and finding the critical path.</v>
      </c>
      <c r="C93" s="47" t="s">
        <v>4670</v>
      </c>
      <c r="D93" s="49" t="s">
        <v>4671</v>
      </c>
      <c r="E93" s="1" t="str" cm="1">
        <f t="array" ref="E93">IFERROR(
  _xlfn.LET(
    _xlpm.searchText, Tests!$C93,
    _xlpm.dataRange, ITTO!$B$3:$F$300,
    _xlpm.headers, ITTO!$B$2:$F$2,
    _xlpm.matchMatrix, ISNUMBER(SEARCH(_xlpm.searchText, _xlpm.dataRange)),
    _xlpm.colMatch, _xlfn.XMATCH(TRUE, _xlfn.BYCOL(_xlpm.matchMatrix, _xlfn.LAMBDA(_xlpm.col, OR(_xlpm.col)))),
    INDEX(_xlpm.headers, _xlpm.colMatch)
  ),
  ""
)</f>
        <v/>
      </c>
      <c r="F93" s="1" t="str" cm="1">
        <f t="array" ref="F93">IFERROR(_xlfn.LET(_xlpm.searchText, Tests!$C93,_xlpm.dataRange, PMBOK!$B$3:$F$300,_xlpm.headers, PMBOK!$B$2:$F$2,_xlpm.matchMatrix, ISNUMBER(SEARCH(_xlpm.searchText, _xlpm.dataRange)),_xlpm.colMatch, _xlfn.XMATCH(TRUE, _xlfn.BYCOL(_xlpm.matchMatrix, _xlfn.LAMBDA(_xlpm.col, OR(_xlpm.col)))),INDEX(_xlpm.headers, _xlpm.colMatch)),"")</f>
        <v/>
      </c>
      <c r="G93" s="1" t="str" cm="1">
        <f t="array" ref="G93">IFERROR(_xlfn.LET(_xlpm.searchText, Tests!$C93,_xlpm.dataRange, 'Rita Quick test'!$B$3:$P$57,_xlpm.headers, 'Rita Quick test'!$B$2:$P$2,_xlpm.matchMatrix, ISNUMBER(SEARCH(_xlpm.searchText, _xlpm.dataRange)),_xlpm.colMatch, _xlfn.XMATCH(TRUE, _xlfn.BYCOL(_xlpm.matchMatrix, _xlfn.LAMBDA(_xlpm.col, OR(_xlpm.col)))),INDEX(_xlpm.headers, _xlpm.colMatch)),"")</f>
        <v/>
      </c>
      <c r="H93" s="1" t="str">
        <f>IFERROR(VLOOKUP("*" &amp; C93 &amp; "*",Terms!D:E,2,FALSE),"")</f>
        <v/>
      </c>
      <c r="I93" s="1" t="str">
        <f>IFERROR(VLOOKUP("*" &amp; C93 &amp; "*",'Terms 2'!B:D,3,FALSE),"")</f>
        <v/>
      </c>
    </row>
    <row r="94" spans="2:9">
      <c r="B94" s="1" t="str">
        <f t="shared" si="1"/>
        <v/>
      </c>
      <c r="C94" s="47" t="s">
        <v>4565</v>
      </c>
      <c r="D94" s="1" t="s">
        <v>4848</v>
      </c>
      <c r="E94" s="1" t="str" cm="1">
        <f t="array" ref="E94">IFERROR(
  _xlfn.LET(
    _xlpm.searchText, Tests!$C94,
    _xlpm.dataRange, ITTO!$B$3:$F$300,
    _xlpm.headers, ITTO!$B$2:$F$2,
    _xlpm.matchMatrix, ISNUMBER(SEARCH(_xlpm.searchText, _xlpm.dataRange)),
    _xlpm.colMatch, _xlfn.XMATCH(TRUE, _xlfn.BYCOL(_xlpm.matchMatrix, _xlfn.LAMBDA(_xlpm.col, OR(_xlpm.col)))),
    INDEX(_xlpm.headers, _xlpm.colMatch)
  ),
  ""
)</f>
        <v/>
      </c>
      <c r="F94" s="1" t="str" cm="1">
        <f t="array" ref="F94">IFERROR(_xlfn.LET(_xlpm.searchText, Tests!$C94,_xlpm.dataRange, PMBOK!$B$3:$F$300,_xlpm.headers, PMBOK!$B$2:$F$2,_xlpm.matchMatrix, ISNUMBER(SEARCH(_xlpm.searchText, _xlpm.dataRange)),_xlpm.colMatch, _xlfn.XMATCH(TRUE, _xlfn.BYCOL(_xlpm.matchMatrix, _xlfn.LAMBDA(_xlpm.col, OR(_xlpm.col)))),INDEX(_xlpm.headers, _xlpm.colMatch)),"")</f>
        <v/>
      </c>
      <c r="G94" s="1" t="str" cm="1">
        <f t="array" ref="G94">IFERROR(_xlfn.LET(_xlpm.searchText, Tests!$C94,_xlpm.dataRange, 'Rita Quick test'!$B$3:$P$57,_xlpm.headers, 'Rita Quick test'!$B$2:$P$2,_xlpm.matchMatrix, ISNUMBER(SEARCH(_xlpm.searchText, _xlpm.dataRange)),_xlpm.colMatch, _xlfn.XMATCH(TRUE, _xlfn.BYCOL(_xlpm.matchMatrix, _xlfn.LAMBDA(_xlpm.col, OR(_xlpm.col)))),INDEX(_xlpm.headers, _xlpm.colMatch)),"")</f>
        <v/>
      </c>
      <c r="H94" s="1" t="str">
        <f>IFERROR(VLOOKUP("*" &amp; C94 &amp; "*",Terms!D:E,2,FALSE),"")</f>
        <v/>
      </c>
      <c r="I94" s="1" t="str">
        <f>IFERROR(VLOOKUP("*" &amp; C94 &amp; "*",'Terms 2'!B:D,3,FALSE),"")</f>
        <v/>
      </c>
    </row>
    <row r="95" spans="2:9">
      <c r="B95" s="1" t="str">
        <f t="shared" si="1"/>
        <v>Decomposition is a tool used to break work down into more detailed activities.</v>
      </c>
      <c r="C95" s="47" t="s">
        <v>4753</v>
      </c>
      <c r="D95" s="49" t="s">
        <v>4870</v>
      </c>
      <c r="E95" s="1" t="str" cm="1">
        <f t="array" ref="E95">IFERROR(
  _xlfn.LET(
    _xlpm.searchText, Tests!$C95,
    _xlpm.dataRange, ITTO!$B$3:$F$300,
    _xlpm.headers, ITTO!$B$2:$F$2,
    _xlpm.matchMatrix, ISNUMBER(SEARCH(_xlpm.searchText, _xlpm.dataRange)),
    _xlpm.colMatch, _xlfn.XMATCH(TRUE, _xlfn.BYCOL(_xlpm.matchMatrix, _xlfn.LAMBDA(_xlpm.col, OR(_xlpm.col)))),
    INDEX(_xlpm.headers, _xlpm.colMatch)
  ),
  ""
)</f>
        <v/>
      </c>
      <c r="F95" s="1" t="str" cm="1">
        <f t="array" ref="F95">IFERROR(_xlfn.LET(_xlpm.searchText, Tests!$C95,_xlpm.dataRange, PMBOK!$B$3:$F$300,_xlpm.headers, PMBOK!$B$2:$F$2,_xlpm.matchMatrix, ISNUMBER(SEARCH(_xlpm.searchText, _xlpm.dataRange)),_xlpm.colMatch, _xlfn.XMATCH(TRUE, _xlfn.BYCOL(_xlpm.matchMatrix, _xlfn.LAMBDA(_xlpm.col, OR(_xlpm.col)))),INDEX(_xlpm.headers, _xlpm.colMatch)),"")</f>
        <v/>
      </c>
      <c r="G95" s="1" t="str" cm="1">
        <f t="array" ref="G95">IFERROR(_xlfn.LET(_xlpm.searchText, Tests!$C95,_xlpm.dataRange, 'Rita Quick test'!$B$3:$P$57,_xlpm.headers, 'Rita Quick test'!$B$2:$P$2,_xlpm.matchMatrix, ISNUMBER(SEARCH(_xlpm.searchText, _xlpm.dataRange)),_xlpm.colMatch, _xlfn.XMATCH(TRUE, _xlfn.BYCOL(_xlpm.matchMatrix, _xlfn.LAMBDA(_xlpm.col, OR(_xlpm.col)))),INDEX(_xlpm.headers, _xlpm.colMatch)),"")</f>
        <v/>
      </c>
      <c r="H95" s="1" t="str">
        <f>IFERROR(VLOOKUP("*" &amp; C95 &amp; "*",Terms!D:E,2,FALSE),"")</f>
        <v/>
      </c>
      <c r="I95" s="1" t="str">
        <f>IFERROR(VLOOKUP("*" &amp; C95 &amp; "*",'Terms 2'!B:D,3,FALSE),"")</f>
        <v/>
      </c>
    </row>
    <row r="96" spans="2:9">
      <c r="B96" s="1" t="str">
        <f t="shared" si="1"/>
        <v/>
      </c>
      <c r="C96" s="47" t="s">
        <v>4487</v>
      </c>
      <c r="D96" s="1" t="s">
        <v>4848</v>
      </c>
      <c r="E96" s="1" t="str" cm="1">
        <f t="array" ref="E96">IFERROR(
  _xlfn.LET(
    _xlpm.searchText, Tests!$C96,
    _xlpm.dataRange, ITTO!$B$3:$F$300,
    _xlpm.headers, ITTO!$B$2:$F$2,
    _xlpm.matchMatrix, ISNUMBER(SEARCH(_xlpm.searchText, _xlpm.dataRange)),
    _xlpm.colMatch, _xlfn.XMATCH(TRUE, _xlfn.BYCOL(_xlpm.matchMatrix, _xlfn.LAMBDA(_xlpm.col, OR(_xlpm.col)))),
    INDEX(_xlpm.headers, _xlpm.colMatch)
  ),
  ""
)</f>
        <v/>
      </c>
      <c r="F96" s="1" t="str" cm="1">
        <f t="array" ref="F96">IFERROR(_xlfn.LET(_xlpm.searchText, Tests!$C96,_xlpm.dataRange, PMBOK!$B$3:$F$300,_xlpm.headers, PMBOK!$B$2:$F$2,_xlpm.matchMatrix, ISNUMBER(SEARCH(_xlpm.searchText, _xlpm.dataRange)),_xlpm.colMatch, _xlfn.XMATCH(TRUE, _xlfn.BYCOL(_xlpm.matchMatrix, _xlfn.LAMBDA(_xlpm.col, OR(_xlpm.col)))),INDEX(_xlpm.headers, _xlpm.colMatch)),"")</f>
        <v/>
      </c>
      <c r="G96" s="1" t="str" cm="1">
        <f t="array" ref="G96">IFERROR(_xlfn.LET(_xlpm.searchText, Tests!$C96,_xlpm.dataRange, 'Rita Quick test'!$B$3:$P$57,_xlpm.headers, 'Rita Quick test'!$B$2:$P$2,_xlpm.matchMatrix, ISNUMBER(SEARCH(_xlpm.searchText, _xlpm.dataRange)),_xlpm.colMatch, _xlfn.XMATCH(TRUE, _xlfn.BYCOL(_xlpm.matchMatrix, _xlfn.LAMBDA(_xlpm.col, OR(_xlpm.col)))),INDEX(_xlpm.headers, _xlpm.colMatch)),"")</f>
        <v/>
      </c>
      <c r="H96" s="1" t="str">
        <f>IFERROR(VLOOKUP("*" &amp; C96 &amp; "*",Terms!D:E,2,FALSE),"")</f>
        <v/>
      </c>
      <c r="I96" s="1" t="str">
        <f>IFERROR(VLOOKUP("*" &amp; C96 &amp; "*",'Terms 2'!B:D,3,FALSE),"")</f>
        <v/>
      </c>
    </row>
    <row r="97" spans="2:9">
      <c r="B97" s="1" t="str">
        <f t="shared" si="1"/>
        <v>You cannot define activities or sequence activities until the WBS is complete, as you will need to know work packages to create the activities</v>
      </c>
      <c r="C97" s="46" t="s">
        <v>4487</v>
      </c>
      <c r="D97" s="49" t="s">
        <v>4698</v>
      </c>
      <c r="E97" s="1" t="str" cm="1">
        <f t="array" ref="E97">IFERROR(
  _xlfn.LET(
    _xlpm.searchText, Tests!$C97,
    _xlpm.dataRange, ITTO!$B$3:$F$300,
    _xlpm.headers, ITTO!$B$2:$F$2,
    _xlpm.matchMatrix, ISNUMBER(SEARCH(_xlpm.searchText, _xlpm.dataRange)),
    _xlpm.colMatch, _xlfn.XMATCH(TRUE, _xlfn.BYCOL(_xlpm.matchMatrix, _xlfn.LAMBDA(_xlpm.col, OR(_xlpm.col)))),
    INDEX(_xlpm.headers, _xlpm.colMatch)
  ),
  ""
)</f>
        <v/>
      </c>
      <c r="F97" s="1" t="str" cm="1">
        <f t="array" ref="F97">IFERROR(_xlfn.LET(_xlpm.searchText, Tests!$C97,_xlpm.dataRange, PMBOK!$B$3:$F$300,_xlpm.headers, PMBOK!$B$2:$F$2,_xlpm.matchMatrix, ISNUMBER(SEARCH(_xlpm.searchText, _xlpm.dataRange)),_xlpm.colMatch, _xlfn.XMATCH(TRUE, _xlfn.BYCOL(_xlpm.matchMatrix, _xlfn.LAMBDA(_xlpm.col, OR(_xlpm.col)))),INDEX(_xlpm.headers, _xlpm.colMatch)),"")</f>
        <v/>
      </c>
      <c r="G97" s="1" t="str" cm="1">
        <f t="array" ref="G97">IFERROR(_xlfn.LET(_xlpm.searchText, Tests!$C97,_xlpm.dataRange, 'Rita Quick test'!$B$3:$P$57,_xlpm.headers, 'Rita Quick test'!$B$2:$P$2,_xlpm.matchMatrix, ISNUMBER(SEARCH(_xlpm.searchText, _xlpm.dataRange)),_xlpm.colMatch, _xlfn.XMATCH(TRUE, _xlfn.BYCOL(_xlpm.matchMatrix, _xlfn.LAMBDA(_xlpm.col, OR(_xlpm.col)))),INDEX(_xlpm.headers, _xlpm.colMatch)),"")</f>
        <v/>
      </c>
      <c r="H97" s="1" t="str">
        <f>IFERROR(VLOOKUP("*" &amp; C97 &amp; "*",Terms!D:E,2,FALSE),"")</f>
        <v/>
      </c>
      <c r="I97" s="1" t="str">
        <f>IFERROR(VLOOKUP("*" &amp; C97 &amp; "*",'Terms 2'!B:D,3,FALSE),"")</f>
        <v/>
      </c>
    </row>
    <row r="98" spans="2:9">
      <c r="B98" s="1" t="str">
        <f t="shared" si="1"/>
        <v/>
      </c>
      <c r="C98" s="47" t="s">
        <v>4683</v>
      </c>
      <c r="D98" s="1" t="s">
        <v>4848</v>
      </c>
      <c r="E98" s="1" t="str" cm="1">
        <f t="array" ref="E98">IFERROR(
  _xlfn.LET(
    _xlpm.searchText, Tests!$C98,
    _xlpm.dataRange, ITTO!$B$3:$F$300,
    _xlpm.headers, ITTO!$B$2:$F$2,
    _xlpm.matchMatrix, ISNUMBER(SEARCH(_xlpm.searchText, _xlpm.dataRange)),
    _xlpm.colMatch, _xlfn.XMATCH(TRUE, _xlfn.BYCOL(_xlpm.matchMatrix, _xlfn.LAMBDA(_xlpm.col, OR(_xlpm.col)))),
    INDEX(_xlpm.headers, _xlpm.colMatch)
  ),
  ""
)</f>
        <v/>
      </c>
      <c r="F98" s="1" t="str" cm="1">
        <f t="array" ref="F98">IFERROR(_xlfn.LET(_xlpm.searchText, Tests!$C98,_xlpm.dataRange, PMBOK!$B$3:$F$300,_xlpm.headers, PMBOK!$B$2:$F$2,_xlpm.matchMatrix, ISNUMBER(SEARCH(_xlpm.searchText, _xlpm.dataRange)),_xlpm.colMatch, _xlfn.XMATCH(TRUE, _xlfn.BYCOL(_xlpm.matchMatrix, _xlfn.LAMBDA(_xlpm.col, OR(_xlpm.col)))),INDEX(_xlpm.headers, _xlpm.colMatch)),"")</f>
        <v/>
      </c>
      <c r="G98" s="1" t="str" cm="1">
        <f t="array" ref="G98">IFERROR(_xlfn.LET(_xlpm.searchText, Tests!$C98,_xlpm.dataRange, 'Rita Quick test'!$B$3:$P$57,_xlpm.headers, 'Rita Quick test'!$B$2:$P$2,_xlpm.matchMatrix, ISNUMBER(SEARCH(_xlpm.searchText, _xlpm.dataRange)),_xlpm.colMatch, _xlfn.XMATCH(TRUE, _xlfn.BYCOL(_xlpm.matchMatrix, _xlfn.LAMBDA(_xlpm.col, OR(_xlpm.col)))),INDEX(_xlpm.headers, _xlpm.colMatch)),"")</f>
        <v/>
      </c>
      <c r="H98" s="1" t="str">
        <f>IFERROR(VLOOKUP("*" &amp; C98 &amp; "*",Terms!D:E,2,FALSE),"")</f>
        <v/>
      </c>
      <c r="I98" s="1" t="str">
        <f>IFERROR(VLOOKUP("*" &amp; C98 &amp; "*",'Terms 2'!B:D,3,FALSE),"")</f>
        <v/>
      </c>
    </row>
    <row r="99" spans="2:9">
      <c r="B99" s="1" t="str">
        <f t="shared" si="1"/>
        <v>Creating WBS and defining scope will come before defining activities.</v>
      </c>
      <c r="C99" s="47" t="s">
        <v>4683</v>
      </c>
      <c r="D99" s="49" t="s">
        <v>4729</v>
      </c>
      <c r="E99" s="1" t="str" cm="1">
        <f t="array" ref="E99">IFERROR(
  _xlfn.LET(
    _xlpm.searchText, Tests!$C99,
    _xlpm.dataRange, ITTO!$B$3:$F$300,
    _xlpm.headers, ITTO!$B$2:$F$2,
    _xlpm.matchMatrix, ISNUMBER(SEARCH(_xlpm.searchText, _xlpm.dataRange)),
    _xlpm.colMatch, _xlfn.XMATCH(TRUE, _xlfn.BYCOL(_xlpm.matchMatrix, _xlfn.LAMBDA(_xlpm.col, OR(_xlpm.col)))),
    INDEX(_xlpm.headers, _xlpm.colMatch)
  ),
  ""
)</f>
        <v/>
      </c>
      <c r="F99" s="1" t="str" cm="1">
        <f t="array" ref="F99">IFERROR(_xlfn.LET(_xlpm.searchText, Tests!$C99,_xlpm.dataRange, PMBOK!$B$3:$F$300,_xlpm.headers, PMBOK!$B$2:$F$2,_xlpm.matchMatrix, ISNUMBER(SEARCH(_xlpm.searchText, _xlpm.dataRange)),_xlpm.colMatch, _xlfn.XMATCH(TRUE, _xlfn.BYCOL(_xlpm.matchMatrix, _xlfn.LAMBDA(_xlpm.col, OR(_xlpm.col)))),INDEX(_xlpm.headers, _xlpm.colMatch)),"")</f>
        <v/>
      </c>
      <c r="G99" s="1" t="str" cm="1">
        <f t="array" ref="G99">IFERROR(_xlfn.LET(_xlpm.searchText, Tests!$C99,_xlpm.dataRange, 'Rita Quick test'!$B$3:$P$57,_xlpm.headers, 'Rita Quick test'!$B$2:$P$2,_xlpm.matchMatrix, ISNUMBER(SEARCH(_xlpm.searchText, _xlpm.dataRange)),_xlpm.colMatch, _xlfn.XMATCH(TRUE, _xlfn.BYCOL(_xlpm.matchMatrix, _xlfn.LAMBDA(_xlpm.col, OR(_xlpm.col)))),INDEX(_xlpm.headers, _xlpm.colMatch)),"")</f>
        <v/>
      </c>
      <c r="H99" s="1" t="str">
        <f>IFERROR(VLOOKUP("*" &amp; C99 &amp; "*",Terms!D:E,2,FALSE),"")</f>
        <v/>
      </c>
      <c r="I99" s="1" t="str">
        <f>IFERROR(VLOOKUP("*" &amp; C99 &amp; "*",'Terms 2'!B:D,3,FALSE),"")</f>
        <v/>
      </c>
    </row>
    <row r="100" spans="2:9">
      <c r="B100" s="1" t="str">
        <f t="shared" si="1"/>
        <v>The determine budget process is where the tool of financing is used to seek funding for the project.</v>
      </c>
      <c r="C100" s="47" t="s">
        <v>4473</v>
      </c>
      <c r="D100" s="49" t="s">
        <v>4871</v>
      </c>
      <c r="E100" s="1" t="str" cm="1">
        <f t="array" ref="E100">IFERROR(
  _xlfn.LET(
    _xlpm.searchText, Tests!$C100,
    _xlpm.dataRange, ITTO!$B$3:$F$300,
    _xlpm.headers, ITTO!$B$2:$F$2,
    _xlpm.matchMatrix, ISNUMBER(SEARCH(_xlpm.searchText, _xlpm.dataRange)),
    _xlpm.colMatch, _xlfn.XMATCH(TRUE, _xlfn.BYCOL(_xlpm.matchMatrix, _xlfn.LAMBDA(_xlpm.col, OR(_xlpm.col)))),
    INDEX(_xlpm.headers, _xlpm.colMatch)
  ),
  ""
)</f>
        <v/>
      </c>
      <c r="F100" s="1" t="str" cm="1">
        <f t="array" ref="F100">IFERROR(_xlfn.LET(_xlpm.searchText, Tests!$C100,_xlpm.dataRange, PMBOK!$B$3:$F$300,_xlpm.headers, PMBOK!$B$2:$F$2,_xlpm.matchMatrix, ISNUMBER(SEARCH(_xlpm.searchText, _xlpm.dataRange)),_xlpm.colMatch, _xlfn.XMATCH(TRUE, _xlfn.BYCOL(_xlpm.matchMatrix, _xlfn.LAMBDA(_xlpm.col, OR(_xlpm.col)))),INDEX(_xlpm.headers, _xlpm.colMatch)),"")</f>
        <v/>
      </c>
      <c r="G100" s="1" t="str" cm="1">
        <f t="array" ref="G100">IFERROR(_xlfn.LET(_xlpm.searchText, Tests!$C100,_xlpm.dataRange, 'Rita Quick test'!$B$3:$P$57,_xlpm.headers, 'Rita Quick test'!$B$2:$P$2,_xlpm.matchMatrix, ISNUMBER(SEARCH(_xlpm.searchText, _xlpm.dataRange)),_xlpm.colMatch, _xlfn.XMATCH(TRUE, _xlfn.BYCOL(_xlpm.matchMatrix, _xlfn.LAMBDA(_xlpm.col, OR(_xlpm.col)))),INDEX(_xlpm.headers, _xlpm.colMatch)),"")</f>
        <v/>
      </c>
      <c r="H100" s="1" t="str">
        <f>IFERROR(VLOOKUP("*" &amp; C100 &amp; "*",Terms!D:E,2,FALSE),"")</f>
        <v/>
      </c>
      <c r="I100" s="1" t="str">
        <f>IFERROR(VLOOKUP("*" &amp; C100 &amp; "*",'Terms 2'!B:D,3,FALSE),"")</f>
        <v/>
      </c>
    </row>
    <row r="101" spans="2:9">
      <c r="B101" s="1" t="str">
        <f t="shared" si="1"/>
        <v>Determine project financing is a made-up process.</v>
      </c>
      <c r="C101" s="46" t="s">
        <v>4475</v>
      </c>
      <c r="D101" s="49" t="s">
        <v>4476</v>
      </c>
      <c r="E101" s="1" t="str" cm="1">
        <f t="array" ref="E101">IFERROR(
  _xlfn.LET(
    _xlpm.searchText, Tests!$C101,
    _xlpm.dataRange, ITTO!$B$3:$F$300,
    _xlpm.headers, ITTO!$B$2:$F$2,
    _xlpm.matchMatrix, ISNUMBER(SEARCH(_xlpm.searchText, _xlpm.dataRange)),
    _xlpm.colMatch, _xlfn.XMATCH(TRUE, _xlfn.BYCOL(_xlpm.matchMatrix, _xlfn.LAMBDA(_xlpm.col, OR(_xlpm.col)))),
    INDEX(_xlpm.headers, _xlpm.colMatch)
  ),
  ""
)</f>
        <v/>
      </c>
      <c r="F101" s="1" t="str" cm="1">
        <f t="array" ref="F101">IFERROR(_xlfn.LET(_xlpm.searchText, Tests!$C101,_xlpm.dataRange, PMBOK!$B$3:$F$300,_xlpm.headers, PMBOK!$B$2:$F$2,_xlpm.matchMatrix, ISNUMBER(SEARCH(_xlpm.searchText, _xlpm.dataRange)),_xlpm.colMatch, _xlfn.XMATCH(TRUE, _xlfn.BYCOL(_xlpm.matchMatrix, _xlfn.LAMBDA(_xlpm.col, OR(_xlpm.col)))),INDEX(_xlpm.headers, _xlpm.colMatch)),"")</f>
        <v/>
      </c>
      <c r="G101" s="1" t="str" cm="1">
        <f t="array" ref="G101">IFERROR(_xlfn.LET(_xlpm.searchText, Tests!$C101,_xlpm.dataRange, 'Rita Quick test'!$B$3:$P$57,_xlpm.headers, 'Rita Quick test'!$B$2:$P$2,_xlpm.matchMatrix, ISNUMBER(SEARCH(_xlpm.searchText, _xlpm.dataRange)),_xlpm.colMatch, _xlfn.XMATCH(TRUE, _xlfn.BYCOL(_xlpm.matchMatrix, _xlfn.LAMBDA(_xlpm.col, OR(_xlpm.col)))),INDEX(_xlpm.headers, _xlpm.colMatch)),"")</f>
        <v/>
      </c>
      <c r="H101" s="1" t="str">
        <f>IFERROR(VLOOKUP("*" &amp; C101 &amp; "*",Terms!D:E,2,FALSE),"")</f>
        <v/>
      </c>
      <c r="I101" s="1" t="str">
        <f>IFERROR(VLOOKUP("*" &amp; C101 &amp; "*",'Terms 2'!B:D,3,FALSE),"")</f>
        <v/>
      </c>
    </row>
    <row r="102" spans="2:9">
      <c r="B102" s="1" t="str">
        <f t="shared" si="1"/>
        <v>Develop project charter is used to get the project authorized.</v>
      </c>
      <c r="C102" s="47" t="s">
        <v>4472</v>
      </c>
      <c r="D102" s="49" t="s">
        <v>4872</v>
      </c>
      <c r="E102" s="1" t="str" cm="1">
        <f t="array" ref="E102">IFERROR(
  _xlfn.LET(
    _xlpm.searchText, Tests!$C102,
    _xlpm.dataRange, ITTO!$B$3:$F$300,
    _xlpm.headers, ITTO!$B$2:$F$2,
    _xlpm.matchMatrix, ISNUMBER(SEARCH(_xlpm.searchText, _xlpm.dataRange)),
    _xlpm.colMatch, _xlfn.XMATCH(TRUE, _xlfn.BYCOL(_xlpm.matchMatrix, _xlfn.LAMBDA(_xlpm.col, OR(_xlpm.col)))),
    INDEX(_xlpm.headers, _xlpm.colMatch)
  ),
  ""
)</f>
        <v/>
      </c>
      <c r="F102" s="1" t="str" cm="1">
        <f t="array" ref="F102">IFERROR(_xlfn.LET(_xlpm.searchText, Tests!$C102,_xlpm.dataRange, PMBOK!$B$3:$F$300,_xlpm.headers, PMBOK!$B$2:$F$2,_xlpm.matchMatrix, ISNUMBER(SEARCH(_xlpm.searchText, _xlpm.dataRange)),_xlpm.colMatch, _xlfn.XMATCH(TRUE, _xlfn.BYCOL(_xlpm.matchMatrix, _xlfn.LAMBDA(_xlpm.col, OR(_xlpm.col)))),INDEX(_xlpm.headers, _xlpm.colMatch)),"")</f>
        <v/>
      </c>
      <c r="G102" s="1" t="str" cm="1">
        <f t="array" ref="G102">IFERROR(_xlfn.LET(_xlpm.searchText, Tests!$C102,_xlpm.dataRange, 'Rita Quick test'!$B$3:$P$57,_xlpm.headers, 'Rita Quick test'!$B$2:$P$2,_xlpm.matchMatrix, ISNUMBER(SEARCH(_xlpm.searchText, _xlpm.dataRange)),_xlpm.colMatch, _xlfn.XMATCH(TRUE, _xlfn.BYCOL(_xlpm.matchMatrix, _xlfn.LAMBDA(_xlpm.col, OR(_xlpm.col)))),INDEX(_xlpm.headers, _xlpm.colMatch)),"")</f>
        <v/>
      </c>
      <c r="H102" s="1" t="str">
        <f>IFERROR(VLOOKUP("*" &amp; C102 &amp; "*",Terms!D:E,2,FALSE),"")</f>
        <v/>
      </c>
      <c r="I102" s="1" t="str">
        <f>IFERROR(VLOOKUP("*" &amp; C102 &amp; "*",'Terms 2'!B:D,3,FALSE),"")</f>
        <v/>
      </c>
    </row>
    <row r="103" spans="2:9">
      <c r="B103" s="1" t="str">
        <f t="shared" si="1"/>
        <v>Develop project charter is used to get the project authorized</v>
      </c>
      <c r="C103" s="47" t="s">
        <v>4472</v>
      </c>
      <c r="D103" s="49" t="s">
        <v>4726</v>
      </c>
      <c r="E103" s="1" t="str" cm="1">
        <f t="array" ref="E103">IFERROR(
  _xlfn.LET(
    _xlpm.searchText, Tests!$C103,
    _xlpm.dataRange, ITTO!$B$3:$F$300,
    _xlpm.headers, ITTO!$B$2:$F$2,
    _xlpm.matchMatrix, ISNUMBER(SEARCH(_xlpm.searchText, _xlpm.dataRange)),
    _xlpm.colMatch, _xlfn.XMATCH(TRUE, _xlfn.BYCOL(_xlpm.matchMatrix, _xlfn.LAMBDA(_xlpm.col, OR(_xlpm.col)))),
    INDEX(_xlpm.headers, _xlpm.colMatch)
  ),
  ""
)</f>
        <v/>
      </c>
      <c r="F103" s="1" t="str" cm="1">
        <f t="array" ref="F103">IFERROR(_xlfn.LET(_xlpm.searchText, Tests!$C103,_xlpm.dataRange, PMBOK!$B$3:$F$300,_xlpm.headers, PMBOK!$B$2:$F$2,_xlpm.matchMatrix, ISNUMBER(SEARCH(_xlpm.searchText, _xlpm.dataRange)),_xlpm.colMatch, _xlfn.XMATCH(TRUE, _xlfn.BYCOL(_xlpm.matchMatrix, _xlfn.LAMBDA(_xlpm.col, OR(_xlpm.col)))),INDEX(_xlpm.headers, _xlpm.colMatch)),"")</f>
        <v/>
      </c>
      <c r="G103" s="1" t="str" cm="1">
        <f t="array" ref="G103">IFERROR(_xlfn.LET(_xlpm.searchText, Tests!$C103,_xlpm.dataRange, 'Rita Quick test'!$B$3:$P$57,_xlpm.headers, 'Rita Quick test'!$B$2:$P$2,_xlpm.matchMatrix, ISNUMBER(SEARCH(_xlpm.searchText, _xlpm.dataRange)),_xlpm.colMatch, _xlfn.XMATCH(TRUE, _xlfn.BYCOL(_xlpm.matchMatrix, _xlfn.LAMBDA(_xlpm.col, OR(_xlpm.col)))),INDEX(_xlpm.headers, _xlpm.colMatch)),"")</f>
        <v/>
      </c>
      <c r="H103" s="1" t="str">
        <f>IFERROR(VLOOKUP("*" &amp; C103 &amp; "*",Terms!D:E,2,FALSE),"")</f>
        <v/>
      </c>
      <c r="I103" s="1" t="str">
        <f>IFERROR(VLOOKUP("*" &amp; C103 &amp; "*",'Terms 2'!B:D,3,FALSE),"")</f>
        <v/>
      </c>
    </row>
    <row r="104" spans="2:9">
      <c r="B104" s="1" t="str">
        <f t="shared" si="1"/>
        <v>Work performance data is an output of the integration process of direct and manage project work.</v>
      </c>
      <c r="C104" s="47" t="s">
        <v>4440</v>
      </c>
      <c r="D104" s="48" t="s">
        <v>4441</v>
      </c>
      <c r="E104" s="1" t="str" cm="1">
        <f t="array" ref="E104">IFERROR(
  _xlfn.LET(
    _xlpm.searchText, Tests!$C104,
    _xlpm.dataRange, ITTO!$B$3:$F$300,
    _xlpm.headers, ITTO!$B$2:$F$2,
    _xlpm.matchMatrix, ISNUMBER(SEARCH(_xlpm.searchText, _xlpm.dataRange)),
    _xlpm.colMatch, _xlfn.XMATCH(TRUE, _xlfn.BYCOL(_xlpm.matchMatrix, _xlfn.LAMBDA(_xlpm.col, OR(_xlpm.col)))),
    INDEX(_xlpm.headers, _xlpm.colMatch)
  ),
  ""
)</f>
        <v/>
      </c>
      <c r="F104" s="1" t="str" cm="1">
        <f t="array" ref="F104">IFERROR(_xlfn.LET(_xlpm.searchText, Tests!$C104,_xlpm.dataRange, PMBOK!$B$3:$F$300,_xlpm.headers, PMBOK!$B$2:$F$2,_xlpm.matchMatrix, ISNUMBER(SEARCH(_xlpm.searchText, _xlpm.dataRange)),_xlpm.colMatch, _xlfn.XMATCH(TRUE, _xlfn.BYCOL(_xlpm.matchMatrix, _xlfn.LAMBDA(_xlpm.col, OR(_xlpm.col)))),INDEX(_xlpm.headers, _xlpm.colMatch)),"")</f>
        <v/>
      </c>
      <c r="G104" s="1" t="str" cm="1">
        <f t="array" ref="G104">IFERROR(_xlfn.LET(_xlpm.searchText, Tests!$C104,_xlpm.dataRange, 'Rita Quick test'!$B$3:$P$57,_xlpm.headers, 'Rita Quick test'!$B$2:$P$2,_xlpm.matchMatrix, ISNUMBER(SEARCH(_xlpm.searchText, _xlpm.dataRange)),_xlpm.colMatch, _xlfn.XMATCH(TRUE, _xlfn.BYCOL(_xlpm.matchMatrix, _xlfn.LAMBDA(_xlpm.col, OR(_xlpm.col)))),INDEX(_xlpm.headers, _xlpm.colMatch)),"")</f>
        <v/>
      </c>
      <c r="H104" s="1" t="str">
        <f>IFERROR(VLOOKUP("*" &amp; C104 &amp; "*",Terms!D:E,2,FALSE),"")</f>
        <v/>
      </c>
      <c r="I104" s="1" t="str">
        <f>IFERROR(VLOOKUP("*" &amp; C104 &amp; "*",'Terms 2'!B:D,3,FALSE),"")</f>
        <v/>
      </c>
    </row>
    <row r="105" spans="2:9">
      <c r="B105" s="1" t="str">
        <f t="shared" si="1"/>
        <v/>
      </c>
      <c r="C105" s="47" t="s">
        <v>4440</v>
      </c>
      <c r="D105" s="1" t="s">
        <v>4848</v>
      </c>
      <c r="E105" s="1" t="str" cm="1">
        <f t="array" ref="E105">IFERROR(
  _xlfn.LET(
    _xlpm.searchText, Tests!$C105,
    _xlpm.dataRange, ITTO!$B$3:$F$300,
    _xlpm.headers, ITTO!$B$2:$F$2,
    _xlpm.matchMatrix, ISNUMBER(SEARCH(_xlpm.searchText, _xlpm.dataRange)),
    _xlpm.colMatch, _xlfn.XMATCH(TRUE, _xlfn.BYCOL(_xlpm.matchMatrix, _xlfn.LAMBDA(_xlpm.col, OR(_xlpm.col)))),
    INDEX(_xlpm.headers, _xlpm.colMatch)
  ),
  ""
)</f>
        <v/>
      </c>
      <c r="F105" s="1" t="str" cm="1">
        <f t="array" ref="F105">IFERROR(_xlfn.LET(_xlpm.searchText, Tests!$C105,_xlpm.dataRange, PMBOK!$B$3:$F$300,_xlpm.headers, PMBOK!$B$2:$F$2,_xlpm.matchMatrix, ISNUMBER(SEARCH(_xlpm.searchText, _xlpm.dataRange)),_xlpm.colMatch, _xlfn.XMATCH(TRUE, _xlfn.BYCOL(_xlpm.matchMatrix, _xlfn.LAMBDA(_xlpm.col, OR(_xlpm.col)))),INDEX(_xlpm.headers, _xlpm.colMatch)),"")</f>
        <v/>
      </c>
      <c r="G105" s="1" t="str" cm="1">
        <f t="array" ref="G105">IFERROR(_xlfn.LET(_xlpm.searchText, Tests!$C105,_xlpm.dataRange, 'Rita Quick test'!$B$3:$P$57,_xlpm.headers, 'Rita Quick test'!$B$2:$P$2,_xlpm.matchMatrix, ISNUMBER(SEARCH(_xlpm.searchText, _xlpm.dataRange)),_xlpm.colMatch, _xlfn.XMATCH(TRUE, _xlfn.BYCOL(_xlpm.matchMatrix, _xlfn.LAMBDA(_xlpm.col, OR(_xlpm.col)))),INDEX(_xlpm.headers, _xlpm.colMatch)),"")</f>
        <v/>
      </c>
      <c r="H105" s="1" t="str">
        <f>IFERROR(VLOOKUP("*" &amp; C105 &amp; "*",Terms!D:E,2,FALSE),"")</f>
        <v/>
      </c>
      <c r="I105" s="1" t="str">
        <f>IFERROR(VLOOKUP("*" &amp; C105 &amp; "*",'Terms 2'!B:D,3,FALSE),"")</f>
        <v/>
      </c>
    </row>
    <row r="106" spans="2:9">
      <c r="B106" s="1" t="str">
        <f t="shared" si="1"/>
        <v/>
      </c>
      <c r="C106" s="46" t="s">
        <v>4490</v>
      </c>
      <c r="D106" s="1" t="s">
        <v>4848</v>
      </c>
      <c r="E106" s="1" t="str" cm="1">
        <f t="array" ref="E106">IFERROR(
  _xlfn.LET(
    _xlpm.searchText, Tests!$C106,
    _xlpm.dataRange, ITTO!$B$3:$F$300,
    _xlpm.headers, ITTO!$B$2:$F$2,
    _xlpm.matchMatrix, ISNUMBER(SEARCH(_xlpm.searchText, _xlpm.dataRange)),
    _xlpm.colMatch, _xlfn.XMATCH(TRUE, _xlfn.BYCOL(_xlpm.matchMatrix, _xlfn.LAMBDA(_xlpm.col, OR(_xlpm.col)))),
    INDEX(_xlpm.headers, _xlpm.colMatch)
  ),
  ""
)</f>
        <v/>
      </c>
      <c r="F106" s="1" t="str" cm="1">
        <f t="array" ref="F106">IFERROR(_xlfn.LET(_xlpm.searchText, Tests!$C106,_xlpm.dataRange, PMBOK!$B$3:$F$300,_xlpm.headers, PMBOK!$B$2:$F$2,_xlpm.matchMatrix, ISNUMBER(SEARCH(_xlpm.searchText, _xlpm.dataRange)),_xlpm.colMatch, _xlfn.XMATCH(TRUE, _xlfn.BYCOL(_xlpm.matchMatrix, _xlfn.LAMBDA(_xlpm.col, OR(_xlpm.col)))),INDEX(_xlpm.headers, _xlpm.colMatch)),"")</f>
        <v/>
      </c>
      <c r="G106" s="1" t="str" cm="1">
        <f t="array" ref="G106">IFERROR(_xlfn.LET(_xlpm.searchText, Tests!$C106,_xlpm.dataRange, 'Rita Quick test'!$B$3:$P$57,_xlpm.headers, 'Rita Quick test'!$B$2:$P$2,_xlpm.matchMatrix, ISNUMBER(SEARCH(_xlpm.searchText, _xlpm.dataRange)),_xlpm.colMatch, _xlfn.XMATCH(TRUE, _xlfn.BYCOL(_xlpm.matchMatrix, _xlfn.LAMBDA(_xlpm.col, OR(_xlpm.col)))),INDEX(_xlpm.headers, _xlpm.colMatch)),"")</f>
        <v/>
      </c>
      <c r="H106" s="1" t="str">
        <f>IFERROR(VLOOKUP("*" &amp; C106 &amp; "*",Terms!D:E,2,FALSE),"")</f>
        <v/>
      </c>
      <c r="I106" s="1" t="str">
        <f>IFERROR(VLOOKUP("*" &amp; C106 &amp; "*",'Terms 2'!B:D,3,FALSE),"")</f>
        <v/>
      </c>
    </row>
    <row r="107" spans="2:9">
      <c r="B107" s="1" t="str">
        <f t="shared" si="1"/>
        <v>Manage team and develop team are used to manage the project team and not the physical resources.</v>
      </c>
      <c r="C107" s="46" t="s">
        <v>4480</v>
      </c>
      <c r="D107" s="49" t="s">
        <v>4873</v>
      </c>
      <c r="E107" s="1" t="str" cm="1">
        <f t="array" ref="E107">IFERROR(
  _xlfn.LET(
    _xlpm.searchText, Tests!$C107,
    _xlpm.dataRange, ITTO!$B$3:$F$300,
    _xlpm.headers, ITTO!$B$2:$F$2,
    _xlpm.matchMatrix, ISNUMBER(SEARCH(_xlpm.searchText, _xlpm.dataRange)),
    _xlpm.colMatch, _xlfn.XMATCH(TRUE, _xlfn.BYCOL(_xlpm.matchMatrix, _xlfn.LAMBDA(_xlpm.col, OR(_xlpm.col)))),
    INDEX(_xlpm.headers, _xlpm.colMatch)
  ),
  ""
)</f>
        <v/>
      </c>
      <c r="F107" s="1" t="str" cm="1">
        <f t="array" ref="F107">IFERROR(_xlfn.LET(_xlpm.searchText, Tests!$C107,_xlpm.dataRange, PMBOK!$B$3:$F$300,_xlpm.headers, PMBOK!$B$2:$F$2,_xlpm.matchMatrix, ISNUMBER(SEARCH(_xlpm.searchText, _xlpm.dataRange)),_xlpm.colMatch, _xlfn.XMATCH(TRUE, _xlfn.BYCOL(_xlpm.matchMatrix, _xlfn.LAMBDA(_xlpm.col, OR(_xlpm.col)))),INDEX(_xlpm.headers, _xlpm.colMatch)),"")</f>
        <v/>
      </c>
      <c r="G107" s="1" t="str" cm="1">
        <f t="array" ref="G107">IFERROR(_xlfn.LET(_xlpm.searchText, Tests!$C107,_xlpm.dataRange, 'Rita Quick test'!$B$3:$P$57,_xlpm.headers, 'Rita Quick test'!$B$2:$P$2,_xlpm.matchMatrix, ISNUMBER(SEARCH(_xlpm.searchText, _xlpm.dataRange)),_xlpm.colMatch, _xlfn.XMATCH(TRUE, _xlfn.BYCOL(_xlpm.matchMatrix, _xlfn.LAMBDA(_xlpm.col, OR(_xlpm.col)))),INDEX(_xlpm.headers, _xlpm.colMatch)),"")</f>
        <v/>
      </c>
      <c r="H107" s="1" t="str">
        <f>IFERROR(VLOOKUP("*" &amp; C107 &amp; "*",Terms!D:E,2,FALSE),"")</f>
        <v/>
      </c>
      <c r="I107" s="1" t="str">
        <f>IFERROR(VLOOKUP("*" &amp; C107 &amp; "*",'Terms 2'!B:D,3,FALSE),"")</f>
        <v/>
      </c>
    </row>
    <row r="108" spans="2:9">
      <c r="B108" s="1" t="str">
        <f t="shared" si="1"/>
        <v/>
      </c>
      <c r="C108" s="46" t="s">
        <v>4480</v>
      </c>
      <c r="D108" s="1" t="s">
        <v>4848</v>
      </c>
      <c r="E108" s="1" t="str" cm="1">
        <f t="array" ref="E108">IFERROR(
  _xlfn.LET(
    _xlpm.searchText, Tests!$C108,
    _xlpm.dataRange, ITTO!$B$3:$F$300,
    _xlpm.headers, ITTO!$B$2:$F$2,
    _xlpm.matchMatrix, ISNUMBER(SEARCH(_xlpm.searchText, _xlpm.dataRange)),
    _xlpm.colMatch, _xlfn.XMATCH(TRUE, _xlfn.BYCOL(_xlpm.matchMatrix, _xlfn.LAMBDA(_xlpm.col, OR(_xlpm.col)))),
    INDEX(_xlpm.headers, _xlpm.colMatch)
  ),
  ""
)</f>
        <v/>
      </c>
      <c r="F108" s="1" t="str" cm="1">
        <f t="array" ref="F108">IFERROR(_xlfn.LET(_xlpm.searchText, Tests!$C108,_xlpm.dataRange, PMBOK!$B$3:$F$300,_xlpm.headers, PMBOK!$B$2:$F$2,_xlpm.matchMatrix, ISNUMBER(SEARCH(_xlpm.searchText, _xlpm.dataRange)),_xlpm.colMatch, _xlfn.XMATCH(TRUE, _xlfn.BYCOL(_xlpm.matchMatrix, _xlfn.LAMBDA(_xlpm.col, OR(_xlpm.col)))),INDEX(_xlpm.headers, _xlpm.colMatch)),"")</f>
        <v/>
      </c>
      <c r="G108" s="1" t="str" cm="1">
        <f t="array" ref="G108">IFERROR(_xlfn.LET(_xlpm.searchText, Tests!$C108,_xlpm.dataRange, 'Rita Quick test'!$B$3:$P$57,_xlpm.headers, 'Rita Quick test'!$B$2:$P$2,_xlpm.matchMatrix, ISNUMBER(SEARCH(_xlpm.searchText, _xlpm.dataRange)),_xlpm.colMatch, _xlfn.XMATCH(TRUE, _xlfn.BYCOL(_xlpm.matchMatrix, _xlfn.LAMBDA(_xlpm.col, OR(_xlpm.col)))),INDEX(_xlpm.headers, _xlpm.colMatch)),"")</f>
        <v/>
      </c>
      <c r="H108" s="1" t="str">
        <f>IFERROR(VLOOKUP("*" &amp; C108 &amp; "*",Terms!D:E,2,FALSE),"")</f>
        <v/>
      </c>
      <c r="I108" s="1" t="str">
        <f>IFERROR(VLOOKUP("*" &amp; C108 &amp; "*",'Terms 2'!B:D,3,FALSE),"")</f>
        <v/>
      </c>
    </row>
    <row r="109" spans="2:9">
      <c r="B109" s="1" t="str">
        <f t="shared" si="1"/>
        <v>Once a change has been approved, it is then moved to the direct and manage project work process for implementation</v>
      </c>
      <c r="C109" s="46" t="s">
        <v>4429</v>
      </c>
      <c r="D109" s="49" t="s">
        <v>4430</v>
      </c>
      <c r="E109" s="1" t="str" cm="1">
        <f t="array" ref="E109">IFERROR(
  _xlfn.LET(
    _xlpm.searchText, Tests!$C109,
    _xlpm.dataRange, ITTO!$B$3:$F$300,
    _xlpm.headers, ITTO!$B$2:$F$2,
    _xlpm.matchMatrix, ISNUMBER(SEARCH(_xlpm.searchText, _xlpm.dataRange)),
    _xlpm.colMatch, _xlfn.XMATCH(TRUE, _xlfn.BYCOL(_xlpm.matchMatrix, _xlfn.LAMBDA(_xlpm.col, OR(_xlpm.col)))),
    INDEX(_xlpm.headers, _xlpm.colMatch)
  ),
  ""
)</f>
        <v>Execute</v>
      </c>
      <c r="F109" s="1" t="str" cm="1">
        <f t="array" ref="F109">IFERROR(_xlfn.LET(_xlpm.searchText, Tests!$C109,_xlpm.dataRange, PMBOK!$B$3:$F$300,_xlpm.headers, PMBOK!$B$2:$F$2,_xlpm.matchMatrix, ISNUMBER(SEARCH(_xlpm.searchText, _xlpm.dataRange)),_xlpm.colMatch, _xlfn.XMATCH(TRUE, _xlfn.BYCOL(_xlpm.matchMatrix, _xlfn.LAMBDA(_xlpm.col, OR(_xlpm.col)))),INDEX(_xlpm.headers, _xlpm.colMatch)),"")</f>
        <v/>
      </c>
      <c r="G109" s="1" t="str" cm="1">
        <f t="array" ref="G109">IFERROR(_xlfn.LET(_xlpm.searchText, Tests!$C109,_xlpm.dataRange, 'Rita Quick test'!$B$3:$P$57,_xlpm.headers, 'Rita Quick test'!$B$2:$P$2,_xlpm.matchMatrix, ISNUMBER(SEARCH(_xlpm.searchText, _xlpm.dataRange)),_xlpm.colMatch, _xlfn.XMATCH(TRUE, _xlfn.BYCOL(_xlpm.matchMatrix, _xlfn.LAMBDA(_xlpm.col, OR(_xlpm.col)))),INDEX(_xlpm.headers, _xlpm.colMatch)),"")</f>
        <v/>
      </c>
      <c r="H109" s="1" t="str">
        <f>IFERROR(VLOOKUP("*" &amp; C109 &amp; "*",Terms!D:E,2,FALSE),"")</f>
        <v/>
      </c>
      <c r="I109" s="1" t="str">
        <f>IFERROR(VLOOKUP("*" &amp; C109 &amp; "*",'Terms 2'!B:D,3,FALSE),"")</f>
        <v/>
      </c>
    </row>
    <row r="110" spans="2:9">
      <c r="B110" s="1" t="str">
        <f t="shared" si="1"/>
        <v/>
      </c>
      <c r="C110" s="47" t="s">
        <v>4438</v>
      </c>
      <c r="D110" s="1" t="s">
        <v>4848</v>
      </c>
      <c r="E110" s="1" t="str" cm="1">
        <f t="array" ref="E110">IFERROR(
  _xlfn.LET(
    _xlpm.searchText, Tests!$C110,
    _xlpm.dataRange, ITTO!$B$3:$F$300,
    _xlpm.headers, ITTO!$B$2:$F$2,
    _xlpm.matchMatrix, ISNUMBER(SEARCH(_xlpm.searchText, _xlpm.dataRange)),
    _xlpm.colMatch, _xlfn.XMATCH(TRUE, _xlfn.BYCOL(_xlpm.matchMatrix, _xlfn.LAMBDA(_xlpm.col, OR(_xlpm.col)))),
    INDEX(_xlpm.headers, _xlpm.colMatch)
  ),
  ""
)</f>
        <v/>
      </c>
      <c r="F110" s="1" t="str" cm="1">
        <f t="array" ref="F110">IFERROR(_xlfn.LET(_xlpm.searchText, Tests!$C110,_xlpm.dataRange, PMBOK!$B$3:$F$300,_xlpm.headers, PMBOK!$B$2:$F$2,_xlpm.matchMatrix, ISNUMBER(SEARCH(_xlpm.searchText, _xlpm.dataRange)),_xlpm.colMatch, _xlfn.XMATCH(TRUE, _xlfn.BYCOL(_xlpm.matchMatrix, _xlfn.LAMBDA(_xlpm.col, OR(_xlpm.col)))),INDEX(_xlpm.headers, _xlpm.colMatch)),"")</f>
        <v/>
      </c>
      <c r="G110" s="1" t="str" cm="1">
        <f t="array" ref="G110">IFERROR(_xlfn.LET(_xlpm.searchText, Tests!$C110,_xlpm.dataRange, 'Rita Quick test'!$B$3:$P$57,_xlpm.headers, 'Rita Quick test'!$B$2:$P$2,_xlpm.matchMatrix, ISNUMBER(SEARCH(_xlpm.searchText, _xlpm.dataRange)),_xlpm.colMatch, _xlfn.XMATCH(TRUE, _xlfn.BYCOL(_xlpm.matchMatrix, _xlfn.LAMBDA(_xlpm.col, OR(_xlpm.col)))),INDEX(_xlpm.headers, _xlpm.colMatch)),"")</f>
        <v/>
      </c>
      <c r="H110" s="1" t="str">
        <f>IFERROR(VLOOKUP("*" &amp; C110 &amp; "*",Terms!D:E,2,FALSE),"")</f>
        <v/>
      </c>
      <c r="I110" s="1" t="str">
        <f>IFERROR(VLOOKUP("*" &amp; C110 &amp; "*",'Terms 2'!B:D,3,FALSE),"")</f>
        <v/>
      </c>
    </row>
    <row r="111" spans="2:9">
      <c r="B111" s="1" t="str">
        <f t="shared" si="1"/>
        <v>Once a change has been approved, it is time to execute the change, which is done in the executing process of direct and manage project work.</v>
      </c>
      <c r="C111" s="47" t="s">
        <v>4438</v>
      </c>
      <c r="D111" s="49" t="s">
        <v>4874</v>
      </c>
      <c r="E111" s="1" t="str" cm="1">
        <f t="array" ref="E111">IFERROR(
  _xlfn.LET(
    _xlpm.searchText, Tests!$C111,
    _xlpm.dataRange, ITTO!$B$3:$F$300,
    _xlpm.headers, ITTO!$B$2:$F$2,
    _xlpm.matchMatrix, ISNUMBER(SEARCH(_xlpm.searchText, _xlpm.dataRange)),
    _xlpm.colMatch, _xlfn.XMATCH(TRUE, _xlfn.BYCOL(_xlpm.matchMatrix, _xlfn.LAMBDA(_xlpm.col, OR(_xlpm.col)))),
    INDEX(_xlpm.headers, _xlpm.colMatch)
  ),
  ""
)</f>
        <v/>
      </c>
      <c r="F111" s="1" t="str" cm="1">
        <f t="array" ref="F111">IFERROR(_xlfn.LET(_xlpm.searchText, Tests!$C111,_xlpm.dataRange, PMBOK!$B$3:$F$300,_xlpm.headers, PMBOK!$B$2:$F$2,_xlpm.matchMatrix, ISNUMBER(SEARCH(_xlpm.searchText, _xlpm.dataRange)),_xlpm.colMatch, _xlfn.XMATCH(TRUE, _xlfn.BYCOL(_xlpm.matchMatrix, _xlfn.LAMBDA(_xlpm.col, OR(_xlpm.col)))),INDEX(_xlpm.headers, _xlpm.colMatch)),"")</f>
        <v/>
      </c>
      <c r="G111" s="1" t="str" cm="1">
        <f t="array" ref="G111">IFERROR(_xlfn.LET(_xlpm.searchText, Tests!$C111,_xlpm.dataRange, 'Rita Quick test'!$B$3:$P$57,_xlpm.headers, 'Rita Quick test'!$B$2:$P$2,_xlpm.matchMatrix, ISNUMBER(SEARCH(_xlpm.searchText, _xlpm.dataRange)),_xlpm.colMatch, _xlfn.XMATCH(TRUE, _xlfn.BYCOL(_xlpm.matchMatrix, _xlfn.LAMBDA(_xlpm.col, OR(_xlpm.col)))),INDEX(_xlpm.headers, _xlpm.colMatch)),"")</f>
        <v/>
      </c>
      <c r="H111" s="1" t="str">
        <f>IFERROR(VLOOKUP("*" &amp; C111 &amp; "*",Terms!D:E,2,FALSE),"")</f>
        <v/>
      </c>
      <c r="I111" s="1" t="str">
        <f>IFERROR(VLOOKUP("*" &amp; C111 &amp; "*",'Terms 2'!B:D,3,FALSE),"")</f>
        <v/>
      </c>
    </row>
    <row r="112" spans="2:9">
      <c r="B112" s="1" t="str">
        <f t="shared" si="1"/>
        <v>Work performance data is an output of the integration process of direct and manage project work.</v>
      </c>
      <c r="C112" s="47" t="s">
        <v>4438</v>
      </c>
      <c r="D112" s="48" t="s">
        <v>4441</v>
      </c>
      <c r="E112" s="1" t="str" cm="1">
        <f t="array" ref="E112">IFERROR(
  _xlfn.LET(
    _xlpm.searchText, Tests!$C112,
    _xlpm.dataRange, ITTO!$B$3:$F$300,
    _xlpm.headers, ITTO!$B$2:$F$2,
    _xlpm.matchMatrix, ISNUMBER(SEARCH(_xlpm.searchText, _xlpm.dataRange)),
    _xlpm.colMatch, _xlfn.XMATCH(TRUE, _xlfn.BYCOL(_xlpm.matchMatrix, _xlfn.LAMBDA(_xlpm.col, OR(_xlpm.col)))),
    INDEX(_xlpm.headers, _xlpm.colMatch)
  ),
  ""
)</f>
        <v/>
      </c>
      <c r="F112" s="1" t="str" cm="1">
        <f t="array" ref="F112">IFERROR(_xlfn.LET(_xlpm.searchText, Tests!$C112,_xlpm.dataRange, PMBOK!$B$3:$F$300,_xlpm.headers, PMBOK!$B$2:$F$2,_xlpm.matchMatrix, ISNUMBER(SEARCH(_xlpm.searchText, _xlpm.dataRange)),_xlpm.colMatch, _xlfn.XMATCH(TRUE, _xlfn.BYCOL(_xlpm.matchMatrix, _xlfn.LAMBDA(_xlpm.col, OR(_xlpm.col)))),INDEX(_xlpm.headers, _xlpm.colMatch)),"")</f>
        <v/>
      </c>
      <c r="G112" s="1" t="str" cm="1">
        <f t="array" ref="G112">IFERROR(_xlfn.LET(_xlpm.searchText, Tests!$C112,_xlpm.dataRange, 'Rita Quick test'!$B$3:$P$57,_xlpm.headers, 'Rita Quick test'!$B$2:$P$2,_xlpm.matchMatrix, ISNUMBER(SEARCH(_xlpm.searchText, _xlpm.dataRange)),_xlpm.colMatch, _xlfn.XMATCH(TRUE, _xlfn.BYCOL(_xlpm.matchMatrix, _xlfn.LAMBDA(_xlpm.col, OR(_xlpm.col)))),INDEX(_xlpm.headers, _xlpm.colMatch)),"")</f>
        <v/>
      </c>
      <c r="H112" s="1" t="str">
        <f>IFERROR(VLOOKUP("*" &amp; C112 &amp; "*",Terms!D:E,2,FALSE),"")</f>
        <v/>
      </c>
      <c r="I112" s="1" t="str">
        <f>IFERROR(VLOOKUP("*" &amp; C112 &amp; "*",'Terms 2'!B:D,3,FALSE),"")</f>
        <v/>
      </c>
    </row>
    <row r="113" spans="2:9">
      <c r="B113" s="1" t="str">
        <f t="shared" si="1"/>
        <v>Once a change has been approved, it is time to execute the change, which is done in the executing process of direct and manage project work</v>
      </c>
      <c r="C113" s="47" t="s">
        <v>4438</v>
      </c>
      <c r="D113" s="49" t="s">
        <v>4751</v>
      </c>
      <c r="E113" s="1" t="str" cm="1">
        <f t="array" ref="E113">IFERROR(
  _xlfn.LET(
    _xlpm.searchText, Tests!$C113,
    _xlpm.dataRange, ITTO!$B$3:$F$300,
    _xlpm.headers, ITTO!$B$2:$F$2,
    _xlpm.matchMatrix, ISNUMBER(SEARCH(_xlpm.searchText, _xlpm.dataRange)),
    _xlpm.colMatch, _xlfn.XMATCH(TRUE, _xlfn.BYCOL(_xlpm.matchMatrix, _xlfn.LAMBDA(_xlpm.col, OR(_xlpm.col)))),
    INDEX(_xlpm.headers, _xlpm.colMatch)
  ),
  ""
)</f>
        <v/>
      </c>
      <c r="F113" s="1" t="str" cm="1">
        <f t="array" ref="F113">IFERROR(_xlfn.LET(_xlpm.searchText, Tests!$C113,_xlpm.dataRange, PMBOK!$B$3:$F$300,_xlpm.headers, PMBOK!$B$2:$F$2,_xlpm.matchMatrix, ISNUMBER(SEARCH(_xlpm.searchText, _xlpm.dataRange)),_xlpm.colMatch, _xlfn.XMATCH(TRUE, _xlfn.BYCOL(_xlpm.matchMatrix, _xlfn.LAMBDA(_xlpm.col, OR(_xlpm.col)))),INDEX(_xlpm.headers, _xlpm.colMatch)),"")</f>
        <v/>
      </c>
      <c r="G113" s="1" t="str" cm="1">
        <f t="array" ref="G113">IFERROR(_xlfn.LET(_xlpm.searchText, Tests!$C113,_xlpm.dataRange, 'Rita Quick test'!$B$3:$P$57,_xlpm.headers, 'Rita Quick test'!$B$2:$P$2,_xlpm.matchMatrix, ISNUMBER(SEARCH(_xlpm.searchText, _xlpm.dataRange)),_xlpm.colMatch, _xlfn.XMATCH(TRUE, _xlfn.BYCOL(_xlpm.matchMatrix, _xlfn.LAMBDA(_xlpm.col, OR(_xlpm.col)))),INDEX(_xlpm.headers, _xlpm.colMatch)),"")</f>
        <v/>
      </c>
      <c r="H113" s="1" t="str">
        <f>IFERROR(VLOOKUP("*" &amp; C113 &amp; "*",Terms!D:E,2,FALSE),"")</f>
        <v/>
      </c>
      <c r="I113" s="1" t="str">
        <f>IFERROR(VLOOKUP("*" &amp; C113 &amp; "*",'Terms 2'!B:D,3,FALSE),"")</f>
        <v/>
      </c>
    </row>
    <row r="114" spans="2:9">
      <c r="B114" s="1" t="str">
        <f t="shared" si="1"/>
        <v>Once a change has been approved, it is then moved to the direct and manage project work process for implementation.</v>
      </c>
      <c r="C114" s="47" t="s">
        <v>4438</v>
      </c>
      <c r="D114" s="49" t="s">
        <v>4875</v>
      </c>
      <c r="E114" s="1" t="str" cm="1">
        <f t="array" ref="E114">IFERROR(
  _xlfn.LET(
    _xlpm.searchText, Tests!$C114,
    _xlpm.dataRange, ITTO!$B$3:$F$300,
    _xlpm.headers, ITTO!$B$2:$F$2,
    _xlpm.matchMatrix, ISNUMBER(SEARCH(_xlpm.searchText, _xlpm.dataRange)),
    _xlpm.colMatch, _xlfn.XMATCH(TRUE, _xlfn.BYCOL(_xlpm.matchMatrix, _xlfn.LAMBDA(_xlpm.col, OR(_xlpm.col)))),
    INDEX(_xlpm.headers, _xlpm.colMatch)
  ),
  ""
)</f>
        <v/>
      </c>
      <c r="F114" s="1" t="str" cm="1">
        <f t="array" ref="F114">IFERROR(_xlfn.LET(_xlpm.searchText, Tests!$C114,_xlpm.dataRange, PMBOK!$B$3:$F$300,_xlpm.headers, PMBOK!$B$2:$F$2,_xlpm.matchMatrix, ISNUMBER(SEARCH(_xlpm.searchText, _xlpm.dataRange)),_xlpm.colMatch, _xlfn.XMATCH(TRUE, _xlfn.BYCOL(_xlpm.matchMatrix, _xlfn.LAMBDA(_xlpm.col, OR(_xlpm.col)))),INDEX(_xlpm.headers, _xlpm.colMatch)),"")</f>
        <v/>
      </c>
      <c r="G114" s="1" t="str" cm="1">
        <f t="array" ref="G114">IFERROR(_xlfn.LET(_xlpm.searchText, Tests!$C114,_xlpm.dataRange, 'Rita Quick test'!$B$3:$P$57,_xlpm.headers, 'Rita Quick test'!$B$2:$P$2,_xlpm.matchMatrix, ISNUMBER(SEARCH(_xlpm.searchText, _xlpm.dataRange)),_xlpm.colMatch, _xlfn.XMATCH(TRUE, _xlfn.BYCOL(_xlpm.matchMatrix, _xlfn.LAMBDA(_xlpm.col, OR(_xlpm.col)))),INDEX(_xlpm.headers, _xlpm.colMatch)),"")</f>
        <v/>
      </c>
      <c r="H114" s="1" t="str">
        <f>IFERROR(VLOOKUP("*" &amp; C114 &amp; "*",Terms!D:E,2,FALSE),"")</f>
        <v/>
      </c>
      <c r="I114" s="1" t="str">
        <f>IFERROR(VLOOKUP("*" &amp; C114 &amp; "*",'Terms 2'!B:D,3,FALSE),"")</f>
        <v/>
      </c>
    </row>
    <row r="115" spans="2:9">
      <c r="B115" s="1" t="str">
        <f t="shared" si="1"/>
        <v>When using any prioritization technique, it is important the customer understands not to worry too much about the specifics of the technique but rather to prioritize the features based on relative value.</v>
      </c>
      <c r="C115" s="47" t="s">
        <v>4821</v>
      </c>
      <c r="D115" s="48" t="s">
        <v>4822</v>
      </c>
      <c r="E115" s="1" t="str" cm="1">
        <f t="array" ref="E115">IFERROR(
  _xlfn.LET(
    _xlpm.searchText, Tests!$C115,
    _xlpm.dataRange, ITTO!$B$3:$F$300,
    _xlpm.headers, ITTO!$B$2:$F$2,
    _xlpm.matchMatrix, ISNUMBER(SEARCH(_xlpm.searchText, _xlpm.dataRange)),
    _xlpm.colMatch, _xlfn.XMATCH(TRUE, _xlfn.BYCOL(_xlpm.matchMatrix, _xlfn.LAMBDA(_xlpm.col, OR(_xlpm.col)))),
    INDEX(_xlpm.headers, _xlpm.colMatch)
  ),
  ""
)</f>
        <v/>
      </c>
      <c r="F115" s="1" t="str" cm="1">
        <f t="array" ref="F115">IFERROR(_xlfn.LET(_xlpm.searchText, Tests!$C115,_xlpm.dataRange, PMBOK!$B$3:$F$300,_xlpm.headers, PMBOK!$B$2:$F$2,_xlpm.matchMatrix, ISNUMBER(SEARCH(_xlpm.searchText, _xlpm.dataRange)),_xlpm.colMatch, _xlfn.XMATCH(TRUE, _xlfn.BYCOL(_xlpm.matchMatrix, _xlfn.LAMBDA(_xlpm.col, OR(_xlpm.col)))),INDEX(_xlpm.headers, _xlpm.colMatch)),"")</f>
        <v/>
      </c>
      <c r="G115" s="1" t="str" cm="1">
        <f t="array" ref="G115">IFERROR(_xlfn.LET(_xlpm.searchText, Tests!$C115,_xlpm.dataRange, 'Rita Quick test'!$B$3:$P$57,_xlpm.headers, 'Rita Quick test'!$B$2:$P$2,_xlpm.matchMatrix, ISNUMBER(SEARCH(_xlpm.searchText, _xlpm.dataRange)),_xlpm.colMatch, _xlfn.XMATCH(TRUE, _xlfn.BYCOL(_xlpm.matchMatrix, _xlfn.LAMBDA(_xlpm.col, OR(_xlpm.col)))),INDEX(_xlpm.headers, _xlpm.colMatch)),"")</f>
        <v/>
      </c>
      <c r="H115" s="1" t="str">
        <f>IFERROR(VLOOKUP("*" &amp; C115 &amp; "*",Terms!D:E,2,FALSE),"")</f>
        <v/>
      </c>
      <c r="I115" s="1" t="str">
        <f>IFERROR(VLOOKUP("*" &amp; C115 &amp; "*",'Terms 2'!B:D,3,FALSE),"")</f>
        <v/>
      </c>
    </row>
    <row r="116" spans="2:9">
      <c r="B116" s="1" t="str">
        <f t="shared" si="1"/>
        <v>Downward influence is for those below you such as team members.</v>
      </c>
      <c r="C116" s="47" t="s">
        <v>4610</v>
      </c>
      <c r="D116" s="49" t="s">
        <v>4613</v>
      </c>
      <c r="E116" s="1" t="str" cm="1">
        <f t="array" ref="E116">IFERROR(
  _xlfn.LET(
    _xlpm.searchText, Tests!$C116,
    _xlpm.dataRange, ITTO!$B$3:$F$300,
    _xlpm.headers, ITTO!$B$2:$F$2,
    _xlpm.matchMatrix, ISNUMBER(SEARCH(_xlpm.searchText, _xlpm.dataRange)),
    _xlpm.colMatch, _xlfn.XMATCH(TRUE, _xlfn.BYCOL(_xlpm.matchMatrix, _xlfn.LAMBDA(_xlpm.col, OR(_xlpm.col)))),
    INDEX(_xlpm.headers, _xlpm.colMatch)
  ),
  ""
)</f>
        <v/>
      </c>
      <c r="F116" s="1" t="str" cm="1">
        <f t="array" ref="F116">IFERROR(_xlfn.LET(_xlpm.searchText, Tests!$C116,_xlpm.dataRange, PMBOK!$B$3:$F$300,_xlpm.headers, PMBOK!$B$2:$F$2,_xlpm.matchMatrix, ISNUMBER(SEARCH(_xlpm.searchText, _xlpm.dataRange)),_xlpm.colMatch, _xlfn.XMATCH(TRUE, _xlfn.BYCOL(_xlpm.matchMatrix, _xlfn.LAMBDA(_xlpm.col, OR(_xlpm.col)))),INDEX(_xlpm.headers, _xlpm.colMatch)),"")</f>
        <v/>
      </c>
      <c r="G116" s="1" t="str" cm="1">
        <f t="array" ref="G116">IFERROR(_xlfn.LET(_xlpm.searchText, Tests!$C116,_xlpm.dataRange, 'Rita Quick test'!$B$3:$P$57,_xlpm.headers, 'Rita Quick test'!$B$2:$P$2,_xlpm.matchMatrix, ISNUMBER(SEARCH(_xlpm.searchText, _xlpm.dataRange)),_xlpm.colMatch, _xlfn.XMATCH(TRUE, _xlfn.BYCOL(_xlpm.matchMatrix, _xlfn.LAMBDA(_xlpm.col, OR(_xlpm.col)))),INDEX(_xlpm.headers, _xlpm.colMatch)),"")</f>
        <v/>
      </c>
      <c r="H116" s="1" t="str">
        <f>IFERROR(VLOOKUP("*" &amp; C116 &amp; "*",Terms!D:E,2,FALSE),"")</f>
        <v/>
      </c>
      <c r="I116" s="1" t="str">
        <f>IFERROR(VLOOKUP("*" &amp; C116 &amp; "*",'Terms 2'!B:D,3,FALSE),"")</f>
        <v/>
      </c>
    </row>
    <row r="117" spans="2:9">
      <c r="B117" s="1" t="str">
        <f t="shared" si="1"/>
        <v>Downward influence is for those below you such as team members.</v>
      </c>
      <c r="C117" s="47" t="s">
        <v>4610</v>
      </c>
      <c r="D117" s="49" t="s">
        <v>4613</v>
      </c>
      <c r="E117" s="1" t="str" cm="1">
        <f t="array" ref="E117">IFERROR(
  _xlfn.LET(
    _xlpm.searchText, Tests!$C117,
    _xlpm.dataRange, ITTO!$B$3:$F$300,
    _xlpm.headers, ITTO!$B$2:$F$2,
    _xlpm.matchMatrix, ISNUMBER(SEARCH(_xlpm.searchText, _xlpm.dataRange)),
    _xlpm.colMatch, _xlfn.XMATCH(TRUE, _xlfn.BYCOL(_xlpm.matchMatrix, _xlfn.LAMBDA(_xlpm.col, OR(_xlpm.col)))),
    INDEX(_xlpm.headers, _xlpm.colMatch)
  ),
  ""
)</f>
        <v/>
      </c>
      <c r="F117" s="1" t="str" cm="1">
        <f t="array" ref="F117">IFERROR(_xlfn.LET(_xlpm.searchText, Tests!$C117,_xlpm.dataRange, PMBOK!$B$3:$F$300,_xlpm.headers, PMBOK!$B$2:$F$2,_xlpm.matchMatrix, ISNUMBER(SEARCH(_xlpm.searchText, _xlpm.dataRange)),_xlpm.colMatch, _xlfn.XMATCH(TRUE, _xlfn.BYCOL(_xlpm.matchMatrix, _xlfn.LAMBDA(_xlpm.col, OR(_xlpm.col)))),INDEX(_xlpm.headers, _xlpm.colMatch)),"")</f>
        <v/>
      </c>
      <c r="G117" s="1" t="str" cm="1">
        <f t="array" ref="G117">IFERROR(_xlfn.LET(_xlpm.searchText, Tests!$C117,_xlpm.dataRange, 'Rita Quick test'!$B$3:$P$57,_xlpm.headers, 'Rita Quick test'!$B$2:$P$2,_xlpm.matchMatrix, ISNUMBER(SEARCH(_xlpm.searchText, _xlpm.dataRange)),_xlpm.colMatch, _xlfn.XMATCH(TRUE, _xlfn.BYCOL(_xlpm.matchMatrix, _xlfn.LAMBDA(_xlpm.col, OR(_xlpm.col)))),INDEX(_xlpm.headers, _xlpm.colMatch)),"")</f>
        <v/>
      </c>
      <c r="H117" s="1" t="str">
        <f>IFERROR(VLOOKUP("*" &amp; C117 &amp; "*",Terms!D:E,2,FALSE),"")</f>
        <v/>
      </c>
      <c r="I117" s="1" t="str">
        <f>IFERROR(VLOOKUP("*" &amp; C117 &amp; "*",'Terms 2'!B:D,3,FALSE),"")</f>
        <v/>
      </c>
    </row>
    <row r="118" spans="2:9">
      <c r="B118" s="1" t="str">
        <f t="shared" si="1"/>
        <v/>
      </c>
      <c r="C118" s="47" t="s">
        <v>4736</v>
      </c>
      <c r="D118" s="1" t="s">
        <v>4848</v>
      </c>
      <c r="E118" s="1" t="str" cm="1">
        <f t="array" ref="E118">IFERROR(
  _xlfn.LET(
    _xlpm.searchText, Tests!$C118,
    _xlpm.dataRange, ITTO!$B$3:$F$300,
    _xlpm.headers, ITTO!$B$2:$F$2,
    _xlpm.matchMatrix, ISNUMBER(SEARCH(_xlpm.searchText, _xlpm.dataRange)),
    _xlpm.colMatch, _xlfn.XMATCH(TRUE, _xlfn.BYCOL(_xlpm.matchMatrix, _xlfn.LAMBDA(_xlpm.col, OR(_xlpm.col)))),
    INDEX(_xlpm.headers, _xlpm.colMatch)
  ),
  ""
)</f>
        <v/>
      </c>
      <c r="F118" s="1" t="str" cm="1">
        <f t="array" ref="F118">IFERROR(_xlfn.LET(_xlpm.searchText, Tests!$C118,_xlpm.dataRange, PMBOK!$B$3:$F$300,_xlpm.headers, PMBOK!$B$2:$F$2,_xlpm.matchMatrix, ISNUMBER(SEARCH(_xlpm.searchText, _xlpm.dataRange)),_xlpm.colMatch, _xlfn.XMATCH(TRUE, _xlfn.BYCOL(_xlpm.matchMatrix, _xlfn.LAMBDA(_xlpm.col, OR(_xlpm.col)))),INDEX(_xlpm.headers, _xlpm.colMatch)),"")</f>
        <v/>
      </c>
      <c r="G118" s="1" t="str" cm="1">
        <f t="array" ref="G118">IFERROR(_xlfn.LET(_xlpm.searchText, Tests!$C118,_xlpm.dataRange, 'Rita Quick test'!$B$3:$P$57,_xlpm.headers, 'Rita Quick test'!$B$2:$P$2,_xlpm.matchMatrix, ISNUMBER(SEARCH(_xlpm.searchText, _xlpm.dataRange)),_xlpm.colMatch, _xlfn.XMATCH(TRUE, _xlfn.BYCOL(_xlpm.matchMatrix, _xlfn.LAMBDA(_xlpm.col, OR(_xlpm.col)))),INDEX(_xlpm.headers, _xlpm.colMatch)),"")</f>
        <v/>
      </c>
      <c r="H118" s="1" t="str">
        <f>IFERROR(VLOOKUP("*" &amp; C118 &amp; "*",Terms!D:E,2,FALSE),"")</f>
        <v/>
      </c>
      <c r="I118" s="1" t="str">
        <f>IFERROR(VLOOKUP("*" &amp; C118 &amp; "*",'Terms 2'!B:D,3,FALSE),"")</f>
        <v/>
      </c>
    </row>
    <row r="119" spans="2:9">
      <c r="B119" s="1" t="str">
        <f t="shared" si="1"/>
        <v>Emotional intelligence is defined as the ability to identify, assess, and influence emotions of ourselves and others around us.</v>
      </c>
      <c r="C119" s="47" t="s">
        <v>4534</v>
      </c>
      <c r="D119" s="48" t="s">
        <v>4536</v>
      </c>
      <c r="E119" s="1" t="str" cm="1">
        <f t="array" ref="E119">IFERROR(
  _xlfn.LET(
    _xlpm.searchText, Tests!$C119,
    _xlpm.dataRange, ITTO!$B$3:$F$300,
    _xlpm.headers, ITTO!$B$2:$F$2,
    _xlpm.matchMatrix, ISNUMBER(SEARCH(_xlpm.searchText, _xlpm.dataRange)),
    _xlpm.colMatch, _xlfn.XMATCH(TRUE, _xlfn.BYCOL(_xlpm.matchMatrix, _xlfn.LAMBDA(_xlpm.col, OR(_xlpm.col)))),
    INDEX(_xlpm.headers, _xlpm.colMatch)
  ),
  ""
)</f>
        <v/>
      </c>
      <c r="F119" s="1" t="str" cm="1">
        <f t="array" ref="F119">IFERROR(_xlfn.LET(_xlpm.searchText, Tests!$C119,_xlpm.dataRange, PMBOK!$B$3:$F$300,_xlpm.headers, PMBOK!$B$2:$F$2,_xlpm.matchMatrix, ISNUMBER(SEARCH(_xlpm.searchText, _xlpm.dataRange)),_xlpm.colMatch, _xlfn.XMATCH(TRUE, _xlfn.BYCOL(_xlpm.matchMatrix, _xlfn.LAMBDA(_xlpm.col, OR(_xlpm.col)))),INDEX(_xlpm.headers, _xlpm.colMatch)),"")</f>
        <v>A GUIDE TO THE PROJECT MANAGEMENT</v>
      </c>
      <c r="G119" s="1" t="str" cm="1">
        <f t="array" ref="G119">IFERROR(_xlfn.LET(_xlpm.searchText, Tests!$C119,_xlpm.dataRange, 'Rita Quick test'!$B$3:$P$57,_xlpm.headers, 'Rita Quick test'!$B$2:$P$2,_xlpm.matchMatrix, ISNUMBER(SEARCH(_xlpm.searchText, _xlpm.dataRange)),_xlpm.colMatch, _xlfn.XMATCH(TRUE, _xlfn.BYCOL(_xlpm.matchMatrix, _xlfn.LAMBDA(_xlpm.col, OR(_xlpm.col)))),INDEX(_xlpm.headers, _xlpm.colMatch)),"")</f>
        <v>Leadership Skills</v>
      </c>
      <c r="H119" s="1" t="str">
        <f>IFERROR(VLOOKUP("*" &amp; C119 &amp; "*",Terms!D:E,2,FALSE),"")</f>
        <v/>
      </c>
      <c r="I119" s="1" t="str">
        <f>IFERROR(VLOOKUP("*" &amp; C119 &amp; "*",'Terms 2'!B:D,3,FALSE),"")</f>
        <v xml:space="preserve"> The ability to identify, assess, and manage the personal emotions of oneself and other people, as well as the collective emotions of groups of people</v>
      </c>
    </row>
    <row r="120" spans="2:9">
      <c r="B120" s="1" t="str">
        <f t="shared" si="1"/>
        <v>Encryption is not a tool in the PMBOK.</v>
      </c>
      <c r="C120" s="47" t="s">
        <v>4524</v>
      </c>
      <c r="D120" s="49" t="s">
        <v>4528</v>
      </c>
      <c r="E120" s="1" t="str" cm="1">
        <f t="array" ref="E120">IFERROR(
  _xlfn.LET(
    _xlpm.searchText, Tests!$C120,
    _xlpm.dataRange, ITTO!$B$3:$F$300,
    _xlpm.headers, ITTO!$B$2:$F$2,
    _xlpm.matchMatrix, ISNUMBER(SEARCH(_xlpm.searchText, _xlpm.dataRange)),
    _xlpm.colMatch, _xlfn.XMATCH(TRUE, _xlfn.BYCOL(_xlpm.matchMatrix, _xlfn.LAMBDA(_xlpm.col, OR(_xlpm.col)))),
    INDEX(_xlpm.headers, _xlpm.colMatch)
  ),
  ""
)</f>
        <v/>
      </c>
      <c r="F120" s="1" t="str" cm="1">
        <f t="array" ref="F120">IFERROR(_xlfn.LET(_xlpm.searchText, Tests!$C120,_xlpm.dataRange, PMBOK!$B$3:$F$300,_xlpm.headers, PMBOK!$B$2:$F$2,_xlpm.matchMatrix, ISNUMBER(SEARCH(_xlpm.searchText, _xlpm.dataRange)),_xlpm.colMatch, _xlfn.XMATCH(TRUE, _xlfn.BYCOL(_xlpm.matchMatrix, _xlfn.LAMBDA(_xlpm.col, OR(_xlpm.col)))),INDEX(_xlpm.headers, _xlpm.colMatch)),"")</f>
        <v/>
      </c>
      <c r="G120" s="1" t="str" cm="1">
        <f t="array" ref="G120">IFERROR(_xlfn.LET(_xlpm.searchText, Tests!$C120,_xlpm.dataRange, 'Rita Quick test'!$B$3:$P$57,_xlpm.headers, 'Rita Quick test'!$B$2:$P$2,_xlpm.matchMatrix, ISNUMBER(SEARCH(_xlpm.searchText, _xlpm.dataRange)),_xlpm.colMatch, _xlfn.XMATCH(TRUE, _xlfn.BYCOL(_xlpm.matchMatrix, _xlfn.LAMBDA(_xlpm.col, OR(_xlpm.col)))),INDEX(_xlpm.headers, _xlpm.colMatch)),"")</f>
        <v/>
      </c>
      <c r="H120" s="1" t="str">
        <f>IFERROR(VLOOKUP("*" &amp; C120 &amp; "*",Terms!D:E,2,FALSE),"")</f>
        <v/>
      </c>
      <c r="I120" s="1" t="str">
        <f>IFERROR(VLOOKUP("*" &amp; C120 &amp; "*",'Terms 2'!B:D,3,FALSE),"")</f>
        <v/>
      </c>
    </row>
    <row r="121" spans="2:9">
      <c r="B121" s="1" t="str">
        <f t="shared" si="1"/>
        <v>Since this is a large project that will affect a large population, it would be best to establish a change control board for the project to have the changes reviewed and approved.</v>
      </c>
      <c r="C121" s="47" t="s">
        <v>4646</v>
      </c>
      <c r="D121" s="49" t="s">
        <v>4876</v>
      </c>
      <c r="E121" s="1" t="str" cm="1">
        <f t="array" ref="E121">IFERROR(
  _xlfn.LET(
    _xlpm.searchText, Tests!$C121,
    _xlpm.dataRange, ITTO!$B$3:$F$300,
    _xlpm.headers, ITTO!$B$2:$F$2,
    _xlpm.matchMatrix, ISNUMBER(SEARCH(_xlpm.searchText, _xlpm.dataRange)),
    _xlpm.colMatch, _xlfn.XMATCH(TRUE, _xlfn.BYCOL(_xlpm.matchMatrix, _xlfn.LAMBDA(_xlpm.col, OR(_xlpm.col)))),
    INDEX(_xlpm.headers, _xlpm.colMatch)
  ),
  ""
)</f>
        <v/>
      </c>
      <c r="F121" s="1" t="str" cm="1">
        <f t="array" ref="F121">IFERROR(_xlfn.LET(_xlpm.searchText, Tests!$C121,_xlpm.dataRange, PMBOK!$B$3:$F$300,_xlpm.headers, PMBOK!$B$2:$F$2,_xlpm.matchMatrix, ISNUMBER(SEARCH(_xlpm.searchText, _xlpm.dataRange)),_xlpm.colMatch, _xlfn.XMATCH(TRUE, _xlfn.BYCOL(_xlpm.matchMatrix, _xlfn.LAMBDA(_xlpm.col, OR(_xlpm.col)))),INDEX(_xlpm.headers, _xlpm.colMatch)),"")</f>
        <v/>
      </c>
      <c r="G121" s="1" t="str" cm="1">
        <f t="array" ref="G121">IFERROR(_xlfn.LET(_xlpm.searchText, Tests!$C121,_xlpm.dataRange, 'Rita Quick test'!$B$3:$P$57,_xlpm.headers, 'Rita Quick test'!$B$2:$P$2,_xlpm.matchMatrix, ISNUMBER(SEARCH(_xlpm.searchText, _xlpm.dataRange)),_xlpm.colMatch, _xlfn.XMATCH(TRUE, _xlfn.BYCOL(_xlpm.matchMatrix, _xlfn.LAMBDA(_xlpm.col, OR(_xlpm.col)))),INDEX(_xlpm.headers, _xlpm.colMatch)),"")</f>
        <v/>
      </c>
      <c r="H121" s="1" t="str">
        <f>IFERROR(VLOOKUP("*" &amp; C121 &amp; "*",Terms!D:E,2,FALSE),"")</f>
        <v/>
      </c>
      <c r="I121" s="1" t="str">
        <f>IFERROR(VLOOKUP("*" &amp; C121 &amp; "*",'Terms 2'!B:D,3,FALSE),"")</f>
        <v/>
      </c>
    </row>
    <row r="122" spans="2:9">
      <c r="B122" s="1" t="str">
        <f t="shared" si="1"/>
        <v>Since this is a large project that will affect a large population, it would be best to establish a change control board for the project to have the changes reviewed and approved. On a very small project, the project manager may ask the sponsor to approve or deny changes. The project manager’s main job is to document and assess changes to the project.</v>
      </c>
      <c r="C122" s="47" t="s">
        <v>4646</v>
      </c>
      <c r="D122" s="48" t="s">
        <v>4789</v>
      </c>
      <c r="E122" s="1" t="str" cm="1">
        <f t="array" ref="E122">IFERROR(
  _xlfn.LET(
    _xlpm.searchText, Tests!$C122,
    _xlpm.dataRange, ITTO!$B$3:$F$300,
    _xlpm.headers, ITTO!$B$2:$F$2,
    _xlpm.matchMatrix, ISNUMBER(SEARCH(_xlpm.searchText, _xlpm.dataRange)),
    _xlpm.colMatch, _xlfn.XMATCH(TRUE, _xlfn.BYCOL(_xlpm.matchMatrix, _xlfn.LAMBDA(_xlpm.col, OR(_xlpm.col)))),
    INDEX(_xlpm.headers, _xlpm.colMatch)
  ),
  ""
)</f>
        <v/>
      </c>
      <c r="F122" s="1" t="str" cm="1">
        <f t="array" ref="F122">IFERROR(_xlfn.LET(_xlpm.searchText, Tests!$C122,_xlpm.dataRange, PMBOK!$B$3:$F$300,_xlpm.headers, PMBOK!$B$2:$F$2,_xlpm.matchMatrix, ISNUMBER(SEARCH(_xlpm.searchText, _xlpm.dataRange)),_xlpm.colMatch, _xlfn.XMATCH(TRUE, _xlfn.BYCOL(_xlpm.matchMatrix, _xlfn.LAMBDA(_xlpm.col, OR(_xlpm.col)))),INDEX(_xlpm.headers, _xlpm.colMatch)),"")</f>
        <v/>
      </c>
      <c r="G122" s="1" t="str" cm="1">
        <f t="array" ref="G122">IFERROR(_xlfn.LET(_xlpm.searchText, Tests!$C122,_xlpm.dataRange, 'Rita Quick test'!$B$3:$P$57,_xlpm.headers, 'Rita Quick test'!$B$2:$P$2,_xlpm.matchMatrix, ISNUMBER(SEARCH(_xlpm.searchText, _xlpm.dataRange)),_xlpm.colMatch, _xlfn.XMATCH(TRUE, _xlfn.BYCOL(_xlpm.matchMatrix, _xlfn.LAMBDA(_xlpm.col, OR(_xlpm.col)))),INDEX(_xlpm.headers, _xlpm.colMatch)),"")</f>
        <v/>
      </c>
      <c r="H122" s="1" t="str">
        <f>IFERROR(VLOOKUP("*" &amp; C122 &amp; "*",Terms!D:E,2,FALSE),"")</f>
        <v/>
      </c>
      <c r="I122" s="1" t="str">
        <f>IFERROR(VLOOKUP("*" &amp; C122 &amp; "*",'Terms 2'!B:D,3,FALSE),"")</f>
        <v/>
      </c>
    </row>
    <row r="123" spans="2:9">
      <c r="B123" s="1" t="str">
        <f t="shared" si="1"/>
        <v>The process of estimate activity resources will output the resource breakdown structure, which is a hierarchal breakdown of resources by their categories and types. No other choice will output this project document.</v>
      </c>
      <c r="C123" s="47" t="s">
        <v>4489</v>
      </c>
      <c r="D123" s="48" t="s">
        <v>4491</v>
      </c>
      <c r="E123" s="1" t="str" cm="1">
        <f t="array" ref="E123">IFERROR(
  _xlfn.LET(
    _xlpm.searchText, Tests!$C123,
    _xlpm.dataRange, ITTO!$B$3:$F$300,
    _xlpm.headers, ITTO!$B$2:$F$2,
    _xlpm.matchMatrix, ISNUMBER(SEARCH(_xlpm.searchText, _xlpm.dataRange)),
    _xlpm.colMatch, _xlfn.XMATCH(TRUE, _xlfn.BYCOL(_xlpm.matchMatrix, _xlfn.LAMBDA(_xlpm.col, OR(_xlpm.col)))),
    INDEX(_xlpm.headers, _xlpm.colMatch)
  ),
  ""
)</f>
        <v/>
      </c>
      <c r="F123" s="1" t="str" cm="1">
        <f t="array" ref="F123">IFERROR(_xlfn.LET(_xlpm.searchText, Tests!$C123,_xlpm.dataRange, PMBOK!$B$3:$F$300,_xlpm.headers, PMBOK!$B$2:$F$2,_xlpm.matchMatrix, ISNUMBER(SEARCH(_xlpm.searchText, _xlpm.dataRange)),_xlpm.colMatch, _xlfn.XMATCH(TRUE, _xlfn.BYCOL(_xlpm.matchMatrix, _xlfn.LAMBDA(_xlpm.col, OR(_xlpm.col)))),INDEX(_xlpm.headers, _xlpm.colMatch)),"")</f>
        <v/>
      </c>
      <c r="G123" s="1" t="str" cm="1">
        <f t="array" ref="G123">IFERROR(_xlfn.LET(_xlpm.searchText, Tests!$C123,_xlpm.dataRange, 'Rita Quick test'!$B$3:$P$57,_xlpm.headers, 'Rita Quick test'!$B$2:$P$2,_xlpm.matchMatrix, ISNUMBER(SEARCH(_xlpm.searchText, _xlpm.dataRange)),_xlpm.colMatch, _xlfn.XMATCH(TRUE, _xlfn.BYCOL(_xlpm.matchMatrix, _xlfn.LAMBDA(_xlpm.col, OR(_xlpm.col)))),INDEX(_xlpm.headers, _xlpm.colMatch)),"")</f>
        <v/>
      </c>
      <c r="H123" s="1" t="str">
        <f>IFERROR(VLOOKUP("*" &amp; C123 &amp; "*",Terms!D:E,2,FALSE),"")</f>
        <v/>
      </c>
      <c r="I123" s="1" t="str">
        <f>IFERROR(VLOOKUP("*" &amp; C123 &amp; "*",'Terms 2'!B:D,3,FALSE),"")</f>
        <v/>
      </c>
    </row>
    <row r="124" spans="2:9">
      <c r="B124" s="1" t="str">
        <f t="shared" si="1"/>
        <v>The process of estimate activity resources will output the resource breakdown structure, which is a hierarchal breakdown of resources by their categories and types.</v>
      </c>
      <c r="C124" s="47" t="s">
        <v>4489</v>
      </c>
      <c r="D124" s="49" t="s">
        <v>4877</v>
      </c>
      <c r="E124" s="1" t="str" cm="1">
        <f t="array" ref="E124">IFERROR(
  _xlfn.LET(
    _xlpm.searchText, Tests!$C124,
    _xlpm.dataRange, ITTO!$B$3:$F$300,
    _xlpm.headers, ITTO!$B$2:$F$2,
    _xlpm.matchMatrix, ISNUMBER(SEARCH(_xlpm.searchText, _xlpm.dataRange)),
    _xlpm.colMatch, _xlfn.XMATCH(TRUE, _xlfn.BYCOL(_xlpm.matchMatrix, _xlfn.LAMBDA(_xlpm.col, OR(_xlpm.col)))),
    INDEX(_xlpm.headers, _xlpm.colMatch)
  ),
  ""
)</f>
        <v/>
      </c>
      <c r="F124" s="1" t="str" cm="1">
        <f t="array" ref="F124">IFERROR(_xlfn.LET(_xlpm.searchText, Tests!$C124,_xlpm.dataRange, PMBOK!$B$3:$F$300,_xlpm.headers, PMBOK!$B$2:$F$2,_xlpm.matchMatrix, ISNUMBER(SEARCH(_xlpm.searchText, _xlpm.dataRange)),_xlpm.colMatch, _xlfn.XMATCH(TRUE, _xlfn.BYCOL(_xlpm.matchMatrix, _xlfn.LAMBDA(_xlpm.col, OR(_xlpm.col)))),INDEX(_xlpm.headers, _xlpm.colMatch)),"")</f>
        <v/>
      </c>
      <c r="G124" s="1" t="str" cm="1">
        <f t="array" ref="G124">IFERROR(_xlfn.LET(_xlpm.searchText, Tests!$C124,_xlpm.dataRange, 'Rita Quick test'!$B$3:$P$57,_xlpm.headers, 'Rita Quick test'!$B$2:$P$2,_xlpm.matchMatrix, ISNUMBER(SEARCH(_xlpm.searchText, _xlpm.dataRange)),_xlpm.colMatch, _xlfn.XMATCH(TRUE, _xlfn.BYCOL(_xlpm.matchMatrix, _xlfn.LAMBDA(_xlpm.col, OR(_xlpm.col)))),INDEX(_xlpm.headers, _xlpm.colMatch)),"")</f>
        <v/>
      </c>
      <c r="H124" s="1" t="str">
        <f>IFERROR(VLOOKUP("*" &amp; C124 &amp; "*",Terms!D:E,2,FALSE),"")</f>
        <v/>
      </c>
      <c r="I124" s="1" t="str">
        <f>IFERROR(VLOOKUP("*" &amp; C124 &amp; "*",'Terms 2'!B:D,3,FALSE),"")</f>
        <v/>
      </c>
    </row>
    <row r="125" spans="2:9">
      <c r="B125" s="1" t="str">
        <f t="shared" si="1"/>
        <v>In the executing process group, the team completes the deliverables.</v>
      </c>
      <c r="C125" s="47" t="s">
        <v>4408</v>
      </c>
      <c r="D125" s="49" t="s">
        <v>4413</v>
      </c>
      <c r="E125" s="1" t="str" cm="1">
        <f t="array" ref="E125">IFERROR(
  _xlfn.LET(
    _xlpm.searchText, Tests!$C125,
    _xlpm.dataRange, ITTO!$B$3:$F$300,
    _xlpm.headers, ITTO!$B$2:$F$2,
    _xlpm.matchMatrix, ISNUMBER(SEARCH(_xlpm.searchText, _xlpm.dataRange)),
    _xlpm.colMatch, _xlfn.XMATCH(TRUE, _xlfn.BYCOL(_xlpm.matchMatrix, _xlfn.LAMBDA(_xlpm.col, OR(_xlpm.col)))),
    INDEX(_xlpm.headers, _xlpm.colMatch)
  ),
  ""
)</f>
        <v/>
      </c>
      <c r="F125" s="1" t="str" cm="1">
        <f t="array" ref="F125">IFERROR(_xlfn.LET(_xlpm.searchText, Tests!$C125,_xlpm.dataRange, PMBOK!$B$3:$F$300,_xlpm.headers, PMBOK!$B$2:$F$2,_xlpm.matchMatrix, ISNUMBER(SEARCH(_xlpm.searchText, _xlpm.dataRange)),_xlpm.colMatch, _xlfn.XMATCH(TRUE, _xlfn.BYCOL(_xlpm.matchMatrix, _xlfn.LAMBDA(_xlpm.col, OR(_xlpm.col)))),INDEX(_xlpm.headers, _xlpm.colMatch)),"")</f>
        <v/>
      </c>
      <c r="G125" s="1" t="str" cm="1">
        <f t="array" ref="G125">IFERROR(_xlfn.LET(_xlpm.searchText, Tests!$C125,_xlpm.dataRange, 'Rita Quick test'!$B$3:$P$57,_xlpm.headers, 'Rita Quick test'!$B$2:$P$2,_xlpm.matchMatrix, ISNUMBER(SEARCH(_xlpm.searchText, _xlpm.dataRange)),_xlpm.colMatch, _xlfn.XMATCH(TRUE, _xlfn.BYCOL(_xlpm.matchMatrix, _xlfn.LAMBDA(_xlpm.col, OR(_xlpm.col)))),INDEX(_xlpm.headers, _xlpm.colMatch)),"")</f>
        <v/>
      </c>
      <c r="H125" s="1" t="str">
        <f>IFERROR(VLOOKUP("*" &amp; C125 &amp; "*",Terms!D:E,2,FALSE),"")</f>
        <v/>
      </c>
      <c r="I125" s="1" t="str">
        <f>IFERROR(VLOOKUP("*" &amp; C125 &amp; "*",'Terms 2'!B:D,3,FALSE),"")</f>
        <v/>
      </c>
    </row>
    <row r="126" spans="2:9">
      <c r="B126" s="1" t="str">
        <f t="shared" si="1"/>
        <v>The outputs of all the executed processes combined, including directly executing the process and managing project work, are the project deliverables.</v>
      </c>
      <c r="C126" s="47" t="s">
        <v>4408</v>
      </c>
      <c r="D126" s="49" t="s">
        <v>4878</v>
      </c>
      <c r="E126" s="1" t="str" cm="1">
        <f t="array" ref="E126">IFERROR(
  _xlfn.LET(
    _xlpm.searchText, Tests!$C126,
    _xlpm.dataRange, ITTO!$B$3:$F$300,
    _xlpm.headers, ITTO!$B$2:$F$2,
    _xlpm.matchMatrix, ISNUMBER(SEARCH(_xlpm.searchText, _xlpm.dataRange)),
    _xlpm.colMatch, _xlfn.XMATCH(TRUE, _xlfn.BYCOL(_xlpm.matchMatrix, _xlfn.LAMBDA(_xlpm.col, OR(_xlpm.col)))),
    INDEX(_xlpm.headers, _xlpm.colMatch)
  ),
  ""
)</f>
        <v/>
      </c>
      <c r="F126" s="1" t="str" cm="1">
        <f t="array" ref="F126">IFERROR(_xlfn.LET(_xlpm.searchText, Tests!$C126,_xlpm.dataRange, PMBOK!$B$3:$F$300,_xlpm.headers, PMBOK!$B$2:$F$2,_xlpm.matchMatrix, ISNUMBER(SEARCH(_xlpm.searchText, _xlpm.dataRange)),_xlpm.colMatch, _xlfn.XMATCH(TRUE, _xlfn.BYCOL(_xlpm.matchMatrix, _xlfn.LAMBDA(_xlpm.col, OR(_xlpm.col)))),INDEX(_xlpm.headers, _xlpm.colMatch)),"")</f>
        <v/>
      </c>
      <c r="G126" s="1" t="str" cm="1">
        <f t="array" ref="G126">IFERROR(_xlfn.LET(_xlpm.searchText, Tests!$C126,_xlpm.dataRange, 'Rita Quick test'!$B$3:$P$57,_xlpm.headers, 'Rita Quick test'!$B$2:$P$2,_xlpm.matchMatrix, ISNUMBER(SEARCH(_xlpm.searchText, _xlpm.dataRange)),_xlpm.colMatch, _xlfn.XMATCH(TRUE, _xlfn.BYCOL(_xlpm.matchMatrix, _xlfn.LAMBDA(_xlpm.col, OR(_xlpm.col)))),INDEX(_xlpm.headers, _xlpm.colMatch)),"")</f>
        <v/>
      </c>
      <c r="H126" s="1" t="str">
        <f>IFERROR(VLOOKUP("*" &amp; C126 &amp; "*",Terms!D:E,2,FALSE),"")</f>
        <v/>
      </c>
      <c r="I126" s="1" t="str">
        <f>IFERROR(VLOOKUP("*" &amp; C126 &amp; "*",'Terms 2'!B:D,3,FALSE),"")</f>
        <v/>
      </c>
    </row>
    <row r="127" spans="2:9">
      <c r="B127" s="1" t="str">
        <f t="shared" si="1"/>
        <v>During the executing process group, the project manager will assess the team’s performance and try to improve it through the process of developing and managing the team.</v>
      </c>
      <c r="C127" s="47" t="s">
        <v>4408</v>
      </c>
      <c r="D127" s="48" t="s">
        <v>4592</v>
      </c>
      <c r="E127" s="1" t="str" cm="1">
        <f t="array" ref="E127">IFERROR(
  _xlfn.LET(
    _xlpm.searchText, Tests!$C127,
    _xlpm.dataRange, ITTO!$B$3:$F$300,
    _xlpm.headers, ITTO!$B$2:$F$2,
    _xlpm.matchMatrix, ISNUMBER(SEARCH(_xlpm.searchText, _xlpm.dataRange)),
    _xlpm.colMatch, _xlfn.XMATCH(TRUE, _xlfn.BYCOL(_xlpm.matchMatrix, _xlfn.LAMBDA(_xlpm.col, OR(_xlpm.col)))),
    INDEX(_xlpm.headers, _xlpm.colMatch)
  ),
  ""
)</f>
        <v/>
      </c>
      <c r="F127" s="1" t="str" cm="1">
        <f t="array" ref="F127">IFERROR(_xlfn.LET(_xlpm.searchText, Tests!$C127,_xlpm.dataRange, PMBOK!$B$3:$F$300,_xlpm.headers, PMBOK!$B$2:$F$2,_xlpm.matchMatrix, ISNUMBER(SEARCH(_xlpm.searchText, _xlpm.dataRange)),_xlpm.colMatch, _xlfn.XMATCH(TRUE, _xlfn.BYCOL(_xlpm.matchMatrix, _xlfn.LAMBDA(_xlpm.col, OR(_xlpm.col)))),INDEX(_xlpm.headers, _xlpm.colMatch)),"")</f>
        <v/>
      </c>
      <c r="G127" s="1" t="str" cm="1">
        <f t="array" ref="G127">IFERROR(_xlfn.LET(_xlpm.searchText, Tests!$C127,_xlpm.dataRange, 'Rita Quick test'!$B$3:$P$57,_xlpm.headers, 'Rita Quick test'!$B$2:$P$2,_xlpm.matchMatrix, ISNUMBER(SEARCH(_xlpm.searchText, _xlpm.dataRange)),_xlpm.colMatch, _xlfn.XMATCH(TRUE, _xlfn.BYCOL(_xlpm.matchMatrix, _xlfn.LAMBDA(_xlpm.col, OR(_xlpm.col)))),INDEX(_xlpm.headers, _xlpm.colMatch)),"")</f>
        <v/>
      </c>
      <c r="H127" s="1" t="str">
        <f>IFERROR(VLOOKUP("*" &amp; C127 &amp; "*",Terms!D:E,2,FALSE),"")</f>
        <v/>
      </c>
      <c r="I127" s="1" t="str">
        <f>IFERROR(VLOOKUP("*" &amp; C127 &amp; "*",'Terms 2'!B:D,3,FALSE),"")</f>
        <v/>
      </c>
    </row>
    <row r="128" spans="2:9">
      <c r="B128" s="1" t="str">
        <f t="shared" si="1"/>
        <v>An expert may help in determining the costs, but not to aggregate them.</v>
      </c>
      <c r="C128" s="46" t="s">
        <v>4417</v>
      </c>
      <c r="D128" s="49" t="s">
        <v>4419</v>
      </c>
      <c r="E128" s="1" t="str" cm="1">
        <f t="array" ref="E128">IFERROR(
  _xlfn.LET(
    _xlpm.searchText, Tests!$C128,
    _xlpm.dataRange, ITTO!$B$3:$F$300,
    _xlpm.headers, ITTO!$B$2:$F$2,
    _xlpm.matchMatrix, ISNUMBER(SEARCH(_xlpm.searchText, _xlpm.dataRange)),
    _xlpm.colMatch, _xlfn.XMATCH(TRUE, _xlfn.BYCOL(_xlpm.matchMatrix, _xlfn.LAMBDA(_xlpm.col, OR(_xlpm.col)))),
    INDEX(_xlpm.headers, _xlpm.colMatch)
  ),
  ""
)</f>
        <v/>
      </c>
      <c r="F128" s="1" t="str" cm="1">
        <f t="array" ref="F128">IFERROR(_xlfn.LET(_xlpm.searchText, Tests!$C128,_xlpm.dataRange, PMBOK!$B$3:$F$300,_xlpm.headers, PMBOK!$B$2:$F$2,_xlpm.matchMatrix, ISNUMBER(SEARCH(_xlpm.searchText, _xlpm.dataRange)),_xlpm.colMatch, _xlfn.XMATCH(TRUE, _xlfn.BYCOL(_xlpm.matchMatrix, _xlfn.LAMBDA(_xlpm.col, OR(_xlpm.col)))),INDEX(_xlpm.headers, _xlpm.colMatch)),"")</f>
        <v/>
      </c>
      <c r="G128" s="1" t="str" cm="1">
        <f t="array" ref="G128">IFERROR(_xlfn.LET(_xlpm.searchText, Tests!$C128,_xlpm.dataRange, 'Rita Quick test'!$B$3:$P$57,_xlpm.headers, 'Rita Quick test'!$B$2:$P$2,_xlpm.matchMatrix, ISNUMBER(SEARCH(_xlpm.searchText, _xlpm.dataRange)),_xlpm.colMatch, _xlfn.XMATCH(TRUE, _xlfn.BYCOL(_xlpm.matchMatrix, _xlfn.LAMBDA(_xlpm.col, OR(_xlpm.col)))),INDEX(_xlpm.headers, _xlpm.colMatch)),"")</f>
        <v/>
      </c>
      <c r="H128" s="1" t="str">
        <f>IFERROR(VLOOKUP("*" &amp; C128 &amp; "*",Terms!D:E,2,FALSE),"")</f>
        <v/>
      </c>
      <c r="I128" s="1" t="str">
        <f>IFERROR(VLOOKUP("*" &amp; C128 &amp; "*",'Terms 2'!B:D,3,FALSE),"")</f>
        <v/>
      </c>
    </row>
    <row r="129" spans="2:9">
      <c r="B129" s="1" t="str">
        <f t="shared" si="1"/>
        <v/>
      </c>
      <c r="C129" s="47" t="s">
        <v>4268</v>
      </c>
      <c r="D129" s="1" t="s">
        <v>4848</v>
      </c>
      <c r="E129" s="1" t="str" cm="1">
        <f t="array" ref="E129">IFERROR(
  _xlfn.LET(
    _xlpm.searchText, Tests!$C129,
    _xlpm.dataRange, ITTO!$B$3:$F$300,
    _xlpm.headers, ITTO!$B$2:$F$2,
    _xlpm.matchMatrix, ISNUMBER(SEARCH(_xlpm.searchText, _xlpm.dataRange)),
    _xlpm.colMatch, _xlfn.XMATCH(TRUE, _xlfn.BYCOL(_xlpm.matchMatrix, _xlfn.LAMBDA(_xlpm.col, OR(_xlpm.col)))),
    INDEX(_xlpm.headers, _xlpm.colMatch)
  ),
  ""
)</f>
        <v/>
      </c>
      <c r="F129" s="1" t="str" cm="1">
        <f t="array" ref="F129">IFERROR(_xlfn.LET(_xlpm.searchText, Tests!$C129,_xlpm.dataRange, PMBOK!$B$3:$F$300,_xlpm.headers, PMBOK!$B$2:$F$2,_xlpm.matchMatrix, ISNUMBER(SEARCH(_xlpm.searchText, _xlpm.dataRange)),_xlpm.colMatch, _xlfn.XMATCH(TRUE, _xlfn.BYCOL(_xlpm.matchMatrix, _xlfn.LAMBDA(_xlpm.col, OR(_xlpm.col)))),INDEX(_xlpm.headers, _xlpm.colMatch)),"")</f>
        <v/>
      </c>
      <c r="G129" s="1" t="str" cm="1">
        <f t="array" ref="G129">IFERROR(_xlfn.LET(_xlpm.searchText, Tests!$C129,_xlpm.dataRange, 'Rita Quick test'!$B$3:$P$57,_xlpm.headers, 'Rita Quick test'!$B$2:$P$2,_xlpm.matchMatrix, ISNUMBER(SEARCH(_xlpm.searchText, _xlpm.dataRange)),_xlpm.colMatch, _xlfn.XMATCH(TRUE, _xlfn.BYCOL(_xlpm.matchMatrix, _xlfn.LAMBDA(_xlpm.col, OR(_xlpm.col)))),INDEX(_xlpm.headers, _xlpm.colMatch)),"")</f>
        <v>Scope</v>
      </c>
      <c r="H129" s="1" t="str">
        <f>IFERROR(VLOOKUP("*" &amp; C129 &amp; "*",Terms!D:E,2,FALSE),"")</f>
        <v/>
      </c>
      <c r="I129" s="1" t="str">
        <f>IFERROR(VLOOKUP("*" &amp; C129 &amp; "*",'Terms 2'!B:D,3,FALSE),"")</f>
        <v/>
      </c>
    </row>
    <row r="130" spans="2:9">
      <c r="B130" s="1" t="str">
        <f t="shared" si="1"/>
        <v>Fast tracking is when you run activities in parallel.</v>
      </c>
      <c r="C130" s="47" t="s">
        <v>4435</v>
      </c>
      <c r="D130" s="49" t="s">
        <v>4879</v>
      </c>
      <c r="E130" s="1" t="str" cm="1">
        <f t="array" ref="E130">IFERROR(
  _xlfn.LET(
    _xlpm.searchText, Tests!$C130,
    _xlpm.dataRange, ITTO!$B$3:$F$300,
    _xlpm.headers, ITTO!$B$2:$F$2,
    _xlpm.matchMatrix, ISNUMBER(SEARCH(_xlpm.searchText, _xlpm.dataRange)),
    _xlpm.colMatch, _xlfn.XMATCH(TRUE, _xlfn.BYCOL(_xlpm.matchMatrix, _xlfn.LAMBDA(_xlpm.col, OR(_xlpm.col)))),
    INDEX(_xlpm.headers, _xlpm.colMatch)
  ),
  ""
)</f>
        <v/>
      </c>
      <c r="F130" s="1" t="str" cm="1">
        <f t="array" ref="F130">IFERROR(_xlfn.LET(_xlpm.searchText, Tests!$C130,_xlpm.dataRange, PMBOK!$B$3:$F$300,_xlpm.headers, PMBOK!$B$2:$F$2,_xlpm.matchMatrix, ISNUMBER(SEARCH(_xlpm.searchText, _xlpm.dataRange)),_xlpm.colMatch, _xlfn.XMATCH(TRUE, _xlfn.BYCOL(_xlpm.matchMatrix, _xlfn.LAMBDA(_xlpm.col, OR(_xlpm.col)))),INDEX(_xlpm.headers, _xlpm.colMatch)),"")</f>
        <v/>
      </c>
      <c r="G130" s="1" t="str" cm="1">
        <f t="array" ref="G130">IFERROR(_xlfn.LET(_xlpm.searchText, Tests!$C130,_xlpm.dataRange, 'Rita Quick test'!$B$3:$P$57,_xlpm.headers, 'Rita Quick test'!$B$2:$P$2,_xlpm.matchMatrix, ISNUMBER(SEARCH(_xlpm.searchText, _xlpm.dataRange)),_xlpm.colMatch, _xlfn.XMATCH(TRUE, _xlfn.BYCOL(_xlpm.matchMatrix, _xlfn.LAMBDA(_xlpm.col, OR(_xlpm.col)))),INDEX(_xlpm.headers, _xlpm.colMatch)),"")</f>
        <v/>
      </c>
      <c r="H130" s="1" t="str">
        <f>IFERROR(VLOOKUP("*" &amp; C130 &amp; "*",Terms!D:E,2,FALSE),"")</f>
        <v/>
      </c>
      <c r="I130" s="1" t="str">
        <f>IFERROR(VLOOKUP("*" &amp; C130 &amp; "*",'Terms 2'!B:D,3,FALSE),"")</f>
        <v/>
      </c>
    </row>
    <row r="131" spans="2:9">
      <c r="B131" s="1" t="str">
        <f t="shared" si="1"/>
        <v>Fast tracking and resource leveling generally do not increase costs.</v>
      </c>
      <c r="C131" s="47" t="s">
        <v>4435</v>
      </c>
      <c r="D131" s="49" t="s">
        <v>4880</v>
      </c>
      <c r="E131" s="1" t="str" cm="1">
        <f t="array" ref="E131">IFERROR(
  _xlfn.LET(
    _xlpm.searchText, Tests!$C131,
    _xlpm.dataRange, ITTO!$B$3:$F$300,
    _xlpm.headers, ITTO!$B$2:$F$2,
    _xlpm.matchMatrix, ISNUMBER(SEARCH(_xlpm.searchText, _xlpm.dataRange)),
    _xlpm.colMatch, _xlfn.XMATCH(TRUE, _xlfn.BYCOL(_xlpm.matchMatrix, _xlfn.LAMBDA(_xlpm.col, OR(_xlpm.col)))),
    INDEX(_xlpm.headers, _xlpm.colMatch)
  ),
  ""
)</f>
        <v/>
      </c>
      <c r="F131" s="1" t="str" cm="1">
        <f t="array" ref="F131">IFERROR(_xlfn.LET(_xlpm.searchText, Tests!$C131,_xlpm.dataRange, PMBOK!$B$3:$F$300,_xlpm.headers, PMBOK!$B$2:$F$2,_xlpm.matchMatrix, ISNUMBER(SEARCH(_xlpm.searchText, _xlpm.dataRange)),_xlpm.colMatch, _xlfn.XMATCH(TRUE, _xlfn.BYCOL(_xlpm.matchMatrix, _xlfn.LAMBDA(_xlpm.col, OR(_xlpm.col)))),INDEX(_xlpm.headers, _xlpm.colMatch)),"")</f>
        <v/>
      </c>
      <c r="G131" s="1" t="str" cm="1">
        <f t="array" ref="G131">IFERROR(_xlfn.LET(_xlpm.searchText, Tests!$C131,_xlpm.dataRange, 'Rita Quick test'!$B$3:$P$57,_xlpm.headers, 'Rita Quick test'!$B$2:$P$2,_xlpm.matchMatrix, ISNUMBER(SEARCH(_xlpm.searchText, _xlpm.dataRange)),_xlpm.colMatch, _xlfn.XMATCH(TRUE, _xlfn.BYCOL(_xlpm.matchMatrix, _xlfn.LAMBDA(_xlpm.col, OR(_xlpm.col)))),INDEX(_xlpm.headers, _xlpm.colMatch)),"")</f>
        <v/>
      </c>
      <c r="H131" s="1" t="str">
        <f>IFERROR(VLOOKUP("*" &amp; C131 &amp; "*",Terms!D:E,2,FALSE),"")</f>
        <v/>
      </c>
      <c r="I131" s="1" t="str">
        <f>IFERROR(VLOOKUP("*" &amp; C131 &amp; "*",'Terms 2'!B:D,3,FALSE),"")</f>
        <v/>
      </c>
    </row>
    <row r="132" spans="2:9">
      <c r="B132" s="1" t="str">
        <f t="shared" ref="B132:B195" si="2">TRIM(D132)</f>
        <v>Fast tracking is about running activities in parallel.</v>
      </c>
      <c r="C132" s="46" t="s">
        <v>4435</v>
      </c>
      <c r="D132" s="49" t="s">
        <v>4881</v>
      </c>
      <c r="E132" s="1" t="str" cm="1">
        <f t="array" ref="E132">IFERROR(
  _xlfn.LET(
    _xlpm.searchText, Tests!$C132,
    _xlpm.dataRange, ITTO!$B$3:$F$300,
    _xlpm.headers, ITTO!$B$2:$F$2,
    _xlpm.matchMatrix, ISNUMBER(SEARCH(_xlpm.searchText, _xlpm.dataRange)),
    _xlpm.colMatch, _xlfn.XMATCH(TRUE, _xlfn.BYCOL(_xlpm.matchMatrix, _xlfn.LAMBDA(_xlpm.col, OR(_xlpm.col)))),
    INDEX(_xlpm.headers, _xlpm.colMatch)
  ),
  ""
)</f>
        <v/>
      </c>
      <c r="F132" s="1" t="str" cm="1">
        <f t="array" ref="F132">IFERROR(_xlfn.LET(_xlpm.searchText, Tests!$C132,_xlpm.dataRange, PMBOK!$B$3:$F$300,_xlpm.headers, PMBOK!$B$2:$F$2,_xlpm.matchMatrix, ISNUMBER(SEARCH(_xlpm.searchText, _xlpm.dataRange)),_xlpm.colMatch, _xlfn.XMATCH(TRUE, _xlfn.BYCOL(_xlpm.matchMatrix, _xlfn.LAMBDA(_xlpm.col, OR(_xlpm.col)))),INDEX(_xlpm.headers, _xlpm.colMatch)),"")</f>
        <v/>
      </c>
      <c r="G132" s="1" t="str" cm="1">
        <f t="array" ref="G132">IFERROR(_xlfn.LET(_xlpm.searchText, Tests!$C132,_xlpm.dataRange, 'Rita Quick test'!$B$3:$P$57,_xlpm.headers, 'Rita Quick test'!$B$2:$P$2,_xlpm.matchMatrix, ISNUMBER(SEARCH(_xlpm.searchText, _xlpm.dataRange)),_xlpm.colMatch, _xlfn.XMATCH(TRUE, _xlfn.BYCOL(_xlpm.matchMatrix, _xlfn.LAMBDA(_xlpm.col, OR(_xlpm.col)))),INDEX(_xlpm.headers, _xlpm.colMatch)),"")</f>
        <v/>
      </c>
      <c r="H132" s="1" t="str">
        <f>IFERROR(VLOOKUP("*" &amp; C132 &amp; "*",Terms!D:E,2,FALSE),"")</f>
        <v/>
      </c>
      <c r="I132" s="1" t="str">
        <f>IFERROR(VLOOKUP("*" &amp; C132 &amp; "*",'Terms 2'!B:D,3,FALSE),"")</f>
        <v/>
      </c>
    </row>
    <row r="133" spans="2:9">
      <c r="B133" s="1" t="str">
        <f t="shared" si="2"/>
        <v>Fast tracking is when you run activities in parallel. Adding leads to activities will overlap activities</v>
      </c>
      <c r="C133" s="47" t="s">
        <v>4435</v>
      </c>
      <c r="D133" s="49" t="s">
        <v>4750</v>
      </c>
      <c r="E133" s="1" t="str" cm="1">
        <f t="array" ref="E133">IFERROR(
  _xlfn.LET(
    _xlpm.searchText, Tests!$C133,
    _xlpm.dataRange, ITTO!$B$3:$F$300,
    _xlpm.headers, ITTO!$B$2:$F$2,
    _xlpm.matchMatrix, ISNUMBER(SEARCH(_xlpm.searchText, _xlpm.dataRange)),
    _xlpm.colMatch, _xlfn.XMATCH(TRUE, _xlfn.BYCOL(_xlpm.matchMatrix, _xlfn.LAMBDA(_xlpm.col, OR(_xlpm.col)))),
    INDEX(_xlpm.headers, _xlpm.colMatch)
  ),
  ""
)</f>
        <v/>
      </c>
      <c r="F133" s="1" t="str" cm="1">
        <f t="array" ref="F133">IFERROR(_xlfn.LET(_xlpm.searchText, Tests!$C133,_xlpm.dataRange, PMBOK!$B$3:$F$300,_xlpm.headers, PMBOK!$B$2:$F$2,_xlpm.matchMatrix, ISNUMBER(SEARCH(_xlpm.searchText, _xlpm.dataRange)),_xlpm.colMatch, _xlfn.XMATCH(TRUE, _xlfn.BYCOL(_xlpm.matchMatrix, _xlfn.LAMBDA(_xlpm.col, OR(_xlpm.col)))),INDEX(_xlpm.headers, _xlpm.colMatch)),"")</f>
        <v/>
      </c>
      <c r="G133" s="1" t="str" cm="1">
        <f t="array" ref="G133">IFERROR(_xlfn.LET(_xlpm.searchText, Tests!$C133,_xlpm.dataRange, 'Rita Quick test'!$B$3:$P$57,_xlpm.headers, 'Rita Quick test'!$B$2:$P$2,_xlpm.matchMatrix, ISNUMBER(SEARCH(_xlpm.searchText, _xlpm.dataRange)),_xlpm.colMatch, _xlfn.XMATCH(TRUE, _xlfn.BYCOL(_xlpm.matchMatrix, _xlfn.LAMBDA(_xlpm.col, OR(_xlpm.col)))),INDEX(_xlpm.headers, _xlpm.colMatch)),"")</f>
        <v/>
      </c>
      <c r="H133" s="1" t="str">
        <f>IFERROR(VLOOKUP("*" &amp; C133 &amp; "*",Terms!D:E,2,FALSE),"")</f>
        <v/>
      </c>
      <c r="I133" s="1" t="str">
        <f>IFERROR(VLOOKUP("*" &amp; C133 &amp; "*",'Terms 2'!B:D,3,FALSE),"")</f>
        <v/>
      </c>
    </row>
    <row r="134" spans="2:9">
      <c r="B134" s="1" t="str">
        <f t="shared" si="2"/>
        <v/>
      </c>
      <c r="C134" s="47" t="s">
        <v>4693</v>
      </c>
      <c r="D134" s="1" t="s">
        <v>4848</v>
      </c>
      <c r="E134" s="1" t="str" cm="1">
        <f t="array" ref="E134">IFERROR(
  _xlfn.LET(
    _xlpm.searchText, Tests!$C134,
    _xlpm.dataRange, ITTO!$B$3:$F$300,
    _xlpm.headers, ITTO!$B$2:$F$2,
    _xlpm.matchMatrix, ISNUMBER(SEARCH(_xlpm.searchText, _xlpm.dataRange)),
    _xlpm.colMatch, _xlfn.XMATCH(TRUE, _xlfn.BYCOL(_xlpm.matchMatrix, _xlfn.LAMBDA(_xlpm.col, OR(_xlpm.col)))),
    INDEX(_xlpm.headers, _xlpm.colMatch)
  ),
  ""
)</f>
        <v/>
      </c>
      <c r="F134" s="1" t="str" cm="1">
        <f t="array" ref="F134">IFERROR(_xlfn.LET(_xlpm.searchText, Tests!$C134,_xlpm.dataRange, PMBOK!$B$3:$F$300,_xlpm.headers, PMBOK!$B$2:$F$2,_xlpm.matchMatrix, ISNUMBER(SEARCH(_xlpm.searchText, _xlpm.dataRange)),_xlpm.colMatch, _xlfn.XMATCH(TRUE, _xlfn.BYCOL(_xlpm.matchMatrix, _xlfn.LAMBDA(_xlpm.col, OR(_xlpm.col)))),INDEX(_xlpm.headers, _xlpm.colMatch)),"")</f>
        <v/>
      </c>
      <c r="G134" s="1" t="str" cm="1">
        <f t="array" ref="G134">IFERROR(_xlfn.LET(_xlpm.searchText, Tests!$C134,_xlpm.dataRange, 'Rita Quick test'!$B$3:$P$57,_xlpm.headers, 'Rita Quick test'!$B$2:$P$2,_xlpm.matchMatrix, ISNUMBER(SEARCH(_xlpm.searchText, _xlpm.dataRange)),_xlpm.colMatch, _xlfn.XMATCH(TRUE, _xlfn.BYCOL(_xlpm.matchMatrix, _xlfn.LAMBDA(_xlpm.col, OR(_xlpm.col)))),INDEX(_xlpm.headers, _xlpm.colMatch)),"")</f>
        <v/>
      </c>
      <c r="H134" s="1" t="str">
        <f>IFERROR(VLOOKUP("*" &amp; C134 &amp; "*",Terms!D:E,2,FALSE),"")</f>
        <v/>
      </c>
      <c r="I134" s="1" t="str">
        <f>IFERROR(VLOOKUP("*" &amp; C134 &amp; "*",'Terms 2'!B:D,3,FALSE),"")</f>
        <v/>
      </c>
    </row>
    <row r="135" spans="2:9">
      <c r="B135" s="1" t="str">
        <f t="shared" si="2"/>
        <v>Financing is a tool used in the process of determine budget. This is when a company looks at external sources to fund the project.</v>
      </c>
      <c r="C135" s="47" t="s">
        <v>4442</v>
      </c>
      <c r="D135" s="49" t="s">
        <v>4882</v>
      </c>
      <c r="E135" s="1" t="str" cm="1">
        <f t="array" ref="E135">IFERROR(
  _xlfn.LET(
    _xlpm.searchText, Tests!$C135,
    _xlpm.dataRange, ITTO!$B$3:$F$300,
    _xlpm.headers, ITTO!$B$2:$F$2,
    _xlpm.matchMatrix, ISNUMBER(SEARCH(_xlpm.searchText, _xlpm.dataRange)),
    _xlpm.colMatch, _xlfn.XMATCH(TRUE, _xlfn.BYCOL(_xlpm.matchMatrix, _xlfn.LAMBDA(_xlpm.col, OR(_xlpm.col)))),
    INDEX(_xlpm.headers, _xlpm.colMatch)
  ),
  ""
)</f>
        <v/>
      </c>
      <c r="F135" s="1" t="str" cm="1">
        <f t="array" ref="F135">IFERROR(_xlfn.LET(_xlpm.searchText, Tests!$C135,_xlpm.dataRange, PMBOK!$B$3:$F$300,_xlpm.headers, PMBOK!$B$2:$F$2,_xlpm.matchMatrix, ISNUMBER(SEARCH(_xlpm.searchText, _xlpm.dataRange)),_xlpm.colMatch, _xlfn.XMATCH(TRUE, _xlfn.BYCOL(_xlpm.matchMatrix, _xlfn.LAMBDA(_xlpm.col, OR(_xlpm.col)))),INDEX(_xlpm.headers, _xlpm.colMatch)),"")</f>
        <v/>
      </c>
      <c r="G135" s="1" t="str" cm="1">
        <f t="array" ref="G135">IFERROR(_xlfn.LET(_xlpm.searchText, Tests!$C135,_xlpm.dataRange, 'Rita Quick test'!$B$3:$P$57,_xlpm.headers, 'Rita Quick test'!$B$2:$P$2,_xlpm.matchMatrix, ISNUMBER(SEARCH(_xlpm.searchText, _xlpm.dataRange)),_xlpm.colMatch, _xlfn.XMATCH(TRUE, _xlfn.BYCOL(_xlpm.matchMatrix, _xlfn.LAMBDA(_xlpm.col, OR(_xlpm.col)))),INDEX(_xlpm.headers, _xlpm.colMatch)),"")</f>
        <v/>
      </c>
      <c r="H135" s="1" t="str">
        <f>IFERROR(VLOOKUP("*" &amp; C135 &amp; "*",Terms!D:E,2,FALSE),"")</f>
        <v/>
      </c>
      <c r="I135" s="1" t="str">
        <f>IFERROR(VLOOKUP("*" &amp; C135 &amp; "*",'Terms 2'!B:D,3,FALSE),"")</f>
        <v/>
      </c>
    </row>
    <row r="136" spans="2:9">
      <c r="B136" s="1" t="str">
        <f t="shared" si="2"/>
        <v>A Fishbone analysis is done during the generate insight step in a retrospective to show the reasons for why something failed.</v>
      </c>
      <c r="C136" s="47" t="s">
        <v>4800</v>
      </c>
      <c r="D136" s="48" t="s">
        <v>4802</v>
      </c>
      <c r="E136" s="1" t="str" cm="1">
        <f t="array" ref="E136">IFERROR(
  _xlfn.LET(
    _xlpm.searchText, Tests!$C136,
    _xlpm.dataRange, ITTO!$B$3:$F$300,
    _xlpm.headers, ITTO!$B$2:$F$2,
    _xlpm.matchMatrix, ISNUMBER(SEARCH(_xlpm.searchText, _xlpm.dataRange)),
    _xlpm.colMatch, _xlfn.XMATCH(TRUE, _xlfn.BYCOL(_xlpm.matchMatrix, _xlfn.LAMBDA(_xlpm.col, OR(_xlpm.col)))),
    INDEX(_xlpm.headers, _xlpm.colMatch)
  ),
  ""
)</f>
        <v/>
      </c>
      <c r="F136" s="1" t="str" cm="1">
        <f t="array" ref="F136">IFERROR(_xlfn.LET(_xlpm.searchText, Tests!$C136,_xlpm.dataRange, PMBOK!$B$3:$F$300,_xlpm.headers, PMBOK!$B$2:$F$2,_xlpm.matchMatrix, ISNUMBER(SEARCH(_xlpm.searchText, _xlpm.dataRange)),_xlpm.colMatch, _xlfn.XMATCH(TRUE, _xlfn.BYCOL(_xlpm.matchMatrix, _xlfn.LAMBDA(_xlpm.col, OR(_xlpm.col)))),INDEX(_xlpm.headers, _xlpm.colMatch)),"")</f>
        <v/>
      </c>
      <c r="G136" s="1" t="str" cm="1">
        <f t="array" ref="G136">IFERROR(_xlfn.LET(_xlpm.searchText, Tests!$C136,_xlpm.dataRange, 'Rita Quick test'!$B$3:$P$57,_xlpm.headers, 'Rita Quick test'!$B$2:$P$2,_xlpm.matchMatrix, ISNUMBER(SEARCH(_xlpm.searchText, _xlpm.dataRange)),_xlpm.colMatch, _xlfn.XMATCH(TRUE, _xlfn.BYCOL(_xlpm.matchMatrix, _xlfn.LAMBDA(_xlpm.col, OR(_xlpm.col)))),INDEX(_xlpm.headers, _xlpm.colMatch)),"")</f>
        <v/>
      </c>
      <c r="H136" s="1" t="str">
        <f>IFERROR(VLOOKUP("*" &amp; C136 &amp; "*",Terms!D:E,2,FALSE),"")</f>
        <v/>
      </c>
      <c r="I136" s="1" t="str">
        <f>IFERROR(VLOOKUP("*" &amp; C136 &amp; "*",'Terms 2'!B:D,3,FALSE),"")</f>
        <v/>
      </c>
    </row>
    <row r="137" spans="2:9">
      <c r="B137" s="1" t="str">
        <f t="shared" si="2"/>
        <v>A fishbone diagram is used to help identify potential causes of defects</v>
      </c>
      <c r="C137" s="47" t="s">
        <v>4830</v>
      </c>
      <c r="D137" s="49" t="s">
        <v>4832</v>
      </c>
      <c r="E137" s="1" t="str" cm="1">
        <f t="array" ref="E137">IFERROR(
  _xlfn.LET(
    _xlpm.searchText, Tests!$C137,
    _xlpm.dataRange, ITTO!$B$3:$F$300,
    _xlpm.headers, ITTO!$B$2:$F$2,
    _xlpm.matchMatrix, ISNUMBER(SEARCH(_xlpm.searchText, _xlpm.dataRange)),
    _xlpm.colMatch, _xlfn.XMATCH(TRUE, _xlfn.BYCOL(_xlpm.matchMatrix, _xlfn.LAMBDA(_xlpm.col, OR(_xlpm.col)))),
    INDEX(_xlpm.headers, _xlpm.colMatch)
  ),
  ""
)</f>
        <v/>
      </c>
      <c r="F137" s="1" t="str" cm="1">
        <f t="array" ref="F137">IFERROR(_xlfn.LET(_xlpm.searchText, Tests!$C137,_xlpm.dataRange, PMBOK!$B$3:$F$300,_xlpm.headers, PMBOK!$B$2:$F$2,_xlpm.matchMatrix, ISNUMBER(SEARCH(_xlpm.searchText, _xlpm.dataRange)),_xlpm.colMatch, _xlfn.XMATCH(TRUE, _xlfn.BYCOL(_xlpm.matchMatrix, _xlfn.LAMBDA(_xlpm.col, OR(_xlpm.col)))),INDEX(_xlpm.headers, _xlpm.colMatch)),"")</f>
        <v/>
      </c>
      <c r="G137" s="1" t="str" cm="1">
        <f t="array" ref="G137">IFERROR(_xlfn.LET(_xlpm.searchText, Tests!$C137,_xlpm.dataRange, 'Rita Quick test'!$B$3:$P$57,_xlpm.headers, 'Rita Quick test'!$B$2:$P$2,_xlpm.matchMatrix, ISNUMBER(SEARCH(_xlpm.searchText, _xlpm.dataRange)),_xlpm.colMatch, _xlfn.XMATCH(TRUE, _xlfn.BYCOL(_xlpm.matchMatrix, _xlfn.LAMBDA(_xlpm.col, OR(_xlpm.col)))),INDEX(_xlpm.headers, _xlpm.colMatch)),"")</f>
        <v/>
      </c>
      <c r="H137" s="1" t="str">
        <f>IFERROR(VLOOKUP("*" &amp; C137 &amp; "*",Terms!D:E,2,FALSE),"")</f>
        <v/>
      </c>
      <c r="I137" s="1" t="str">
        <f>IFERROR(VLOOKUP("*" &amp; C137 &amp; "*",'Terms 2'!B:D,3,FALSE),"")</f>
        <v/>
      </c>
    </row>
    <row r="138" spans="2:9">
      <c r="B138" s="1" t="str">
        <f t="shared" si="2"/>
        <v>A fixed price contract will have the lowest risk for the project, since the costs of the labor and material are known up front.</v>
      </c>
      <c r="C138" s="46" t="s">
        <v>4837</v>
      </c>
      <c r="D138" s="49" t="s">
        <v>4883</v>
      </c>
      <c r="E138" s="1" t="str" cm="1">
        <f t="array" ref="E138">IFERROR(
  _xlfn.LET(
    _xlpm.searchText, Tests!$C138,
    _xlpm.dataRange, ITTO!$B$3:$F$300,
    _xlpm.headers, ITTO!$B$2:$F$2,
    _xlpm.matchMatrix, ISNUMBER(SEARCH(_xlpm.searchText, _xlpm.dataRange)),
    _xlpm.colMatch, _xlfn.XMATCH(TRUE, _xlfn.BYCOL(_xlpm.matchMatrix, _xlfn.LAMBDA(_xlpm.col, OR(_xlpm.col)))),
    INDEX(_xlpm.headers, _xlpm.colMatch)
  ),
  ""
)</f>
        <v/>
      </c>
      <c r="F138" s="1" t="str" cm="1">
        <f t="array" ref="F138">IFERROR(_xlfn.LET(_xlpm.searchText, Tests!$C138,_xlpm.dataRange, PMBOK!$B$3:$F$300,_xlpm.headers, PMBOK!$B$2:$F$2,_xlpm.matchMatrix, ISNUMBER(SEARCH(_xlpm.searchText, _xlpm.dataRange)),_xlpm.colMatch, _xlfn.XMATCH(TRUE, _xlfn.BYCOL(_xlpm.matchMatrix, _xlfn.LAMBDA(_xlpm.col, OR(_xlpm.col)))),INDEX(_xlpm.headers, _xlpm.colMatch)),"")</f>
        <v/>
      </c>
      <c r="G138" s="1" t="str" cm="1">
        <f t="array" ref="G138">IFERROR(_xlfn.LET(_xlpm.searchText, Tests!$C138,_xlpm.dataRange, 'Rita Quick test'!$B$3:$P$57,_xlpm.headers, 'Rita Quick test'!$B$2:$P$2,_xlpm.matchMatrix, ISNUMBER(SEARCH(_xlpm.searchText, _xlpm.dataRange)),_xlpm.colMatch, _xlfn.XMATCH(TRUE, _xlfn.BYCOL(_xlpm.matchMatrix, _xlfn.LAMBDA(_xlpm.col, OR(_xlpm.col)))),INDEX(_xlpm.headers, _xlpm.colMatch)),"")</f>
        <v/>
      </c>
      <c r="H138" s="1" t="str">
        <f>IFERROR(VLOOKUP("*" &amp; C138 &amp; "*",Terms!D:E,2,FALSE),"")</f>
        <v/>
      </c>
      <c r="I138" s="1" t="str">
        <f>IFERROR(VLOOKUP("*" &amp; C138 &amp; "*",'Terms 2'!B:D,3,FALSE),"")</f>
        <v/>
      </c>
    </row>
    <row r="139" spans="2:9">
      <c r="B139" s="1" t="str">
        <f t="shared" si="2"/>
        <v>A fixed price contract will have the lowest risk for the project, since the costs of the labor and material are known up front.</v>
      </c>
      <c r="C139" s="47" t="s">
        <v>4840</v>
      </c>
      <c r="D139" s="49" t="s">
        <v>4883</v>
      </c>
      <c r="E139" s="1" t="str" cm="1">
        <f t="array" ref="E139">IFERROR(
  _xlfn.LET(
    _xlpm.searchText, Tests!$C139,
    _xlpm.dataRange, ITTO!$B$3:$F$300,
    _xlpm.headers, ITTO!$B$2:$F$2,
    _xlpm.matchMatrix, ISNUMBER(SEARCH(_xlpm.searchText, _xlpm.dataRange)),
    _xlpm.colMatch, _xlfn.XMATCH(TRUE, _xlfn.BYCOL(_xlpm.matchMatrix, _xlfn.LAMBDA(_xlpm.col, OR(_xlpm.col)))),
    INDEX(_xlpm.headers, _xlpm.colMatch)
  ),
  ""
)</f>
        <v/>
      </c>
      <c r="F139" s="1" t="str" cm="1">
        <f t="array" ref="F139">IFERROR(_xlfn.LET(_xlpm.searchText, Tests!$C139,_xlpm.dataRange, PMBOK!$B$3:$F$300,_xlpm.headers, PMBOK!$B$2:$F$2,_xlpm.matchMatrix, ISNUMBER(SEARCH(_xlpm.searchText, _xlpm.dataRange)),_xlpm.colMatch, _xlfn.XMATCH(TRUE, _xlfn.BYCOL(_xlpm.matchMatrix, _xlfn.LAMBDA(_xlpm.col, OR(_xlpm.col)))),INDEX(_xlpm.headers, _xlpm.colMatch)),"")</f>
        <v/>
      </c>
      <c r="G139" s="1" t="str" cm="1">
        <f t="array" ref="G139">IFERROR(_xlfn.LET(_xlpm.searchText, Tests!$C139,_xlpm.dataRange, 'Rita Quick test'!$B$3:$P$57,_xlpm.headers, 'Rita Quick test'!$B$2:$P$2,_xlpm.matchMatrix, ISNUMBER(SEARCH(_xlpm.searchText, _xlpm.dataRange)),_xlpm.colMatch, _xlfn.XMATCH(TRUE, _xlfn.BYCOL(_xlpm.matchMatrix, _xlfn.LAMBDA(_xlpm.col, OR(_xlpm.col)))),INDEX(_xlpm.headers, _xlpm.colMatch)),"")</f>
        <v/>
      </c>
      <c r="H139" s="1" t="str">
        <f>IFERROR(VLOOKUP("*" &amp; C139 &amp; "*",Terms!D:E,2,FALSE),"")</f>
        <v/>
      </c>
      <c r="I139" s="1" t="str">
        <f>IFERROR(VLOOKUP("*" &amp; C139 &amp; "*",'Terms 2'!B:D,3,FALSE),"")</f>
        <v/>
      </c>
    </row>
    <row r="140" spans="2:9">
      <c r="B140" s="1" t="str">
        <f t="shared" si="2"/>
        <v>Slack and floats refer to the same thing: the amount of time you can delay an activity without delaying the project.</v>
      </c>
      <c r="C140" s="47" t="s">
        <v>4772</v>
      </c>
      <c r="D140" s="49" t="s">
        <v>4775</v>
      </c>
      <c r="E140" s="1" t="str" cm="1">
        <f t="array" ref="E140">IFERROR(
  _xlfn.LET(
    _xlpm.searchText, Tests!$C140,
    _xlpm.dataRange, ITTO!$B$3:$F$300,
    _xlpm.headers, ITTO!$B$2:$F$2,
    _xlpm.matchMatrix, ISNUMBER(SEARCH(_xlpm.searchText, _xlpm.dataRange)),
    _xlpm.colMatch, _xlfn.XMATCH(TRUE, _xlfn.BYCOL(_xlpm.matchMatrix, _xlfn.LAMBDA(_xlpm.col, OR(_xlpm.col)))),
    INDEX(_xlpm.headers, _xlpm.colMatch)
  ),
  ""
)</f>
        <v/>
      </c>
      <c r="F140" s="1" t="str" cm="1">
        <f t="array" ref="F140">IFERROR(_xlfn.LET(_xlpm.searchText, Tests!$C140,_xlpm.dataRange, PMBOK!$B$3:$F$300,_xlpm.headers, PMBOK!$B$2:$F$2,_xlpm.matchMatrix, ISNUMBER(SEARCH(_xlpm.searchText, _xlpm.dataRange)),_xlpm.colMatch, _xlfn.XMATCH(TRUE, _xlfn.BYCOL(_xlpm.matchMatrix, _xlfn.LAMBDA(_xlpm.col, OR(_xlpm.col)))),INDEX(_xlpm.headers, _xlpm.colMatch)),"")</f>
        <v/>
      </c>
      <c r="G140" s="1" t="str" cm="1">
        <f t="array" ref="G140">IFERROR(_xlfn.LET(_xlpm.searchText, Tests!$C140,_xlpm.dataRange, 'Rita Quick test'!$B$3:$P$57,_xlpm.headers, 'Rita Quick test'!$B$2:$P$2,_xlpm.matchMatrix, ISNUMBER(SEARCH(_xlpm.searchText, _xlpm.dataRange)),_xlpm.colMatch, _xlfn.XMATCH(TRUE, _xlfn.BYCOL(_xlpm.matchMatrix, _xlfn.LAMBDA(_xlpm.col, OR(_xlpm.col)))),INDEX(_xlpm.headers, _xlpm.colMatch)),"")</f>
        <v/>
      </c>
      <c r="H140" s="1" t="str">
        <f>IFERROR(VLOOKUP("*" &amp; C140 &amp; "*",Terms!D:E,2,FALSE),"")</f>
        <v/>
      </c>
      <c r="I140" s="1" t="str">
        <f>IFERROR(VLOOKUP("*" &amp; C140 &amp; "*",'Terms 2'!B:D,3,FALSE),"")</f>
        <v/>
      </c>
    </row>
    <row r="141" spans="2:9">
      <c r="B141" s="1" t="str">
        <f t="shared" si="2"/>
        <v>A flowchart is used to visually follow the steps in a process or multiple processes.</v>
      </c>
      <c r="C141" s="47" t="s">
        <v>4606</v>
      </c>
      <c r="D141" s="49" t="s">
        <v>4884</v>
      </c>
      <c r="E141" s="1" t="str" cm="1">
        <f t="array" ref="E141">IFERROR(
  _xlfn.LET(
    _xlpm.searchText, Tests!$C141,
    _xlpm.dataRange, ITTO!$B$3:$F$300,
    _xlpm.headers, ITTO!$B$2:$F$2,
    _xlpm.matchMatrix, ISNUMBER(SEARCH(_xlpm.searchText, _xlpm.dataRange)),
    _xlpm.colMatch, _xlfn.XMATCH(TRUE, _xlfn.BYCOL(_xlpm.matchMatrix, _xlfn.LAMBDA(_xlpm.col, OR(_xlpm.col)))),
    INDEX(_xlpm.headers, _xlpm.colMatch)
  ),
  ""
)</f>
        <v/>
      </c>
      <c r="F141" s="1" t="str" cm="1">
        <f t="array" ref="F141">IFERROR(_xlfn.LET(_xlpm.searchText, Tests!$C141,_xlpm.dataRange, PMBOK!$B$3:$F$300,_xlpm.headers, PMBOK!$B$2:$F$2,_xlpm.matchMatrix, ISNUMBER(SEARCH(_xlpm.searchText, _xlpm.dataRange)),_xlpm.colMatch, _xlfn.XMATCH(TRUE, _xlfn.BYCOL(_xlpm.matchMatrix, _xlfn.LAMBDA(_xlpm.col, OR(_xlpm.col)))),INDEX(_xlpm.headers, _xlpm.colMatch)),"")</f>
        <v/>
      </c>
      <c r="G141" s="1" t="str" cm="1">
        <f t="array" ref="G141">IFERROR(_xlfn.LET(_xlpm.searchText, Tests!$C141,_xlpm.dataRange, 'Rita Quick test'!$B$3:$P$57,_xlpm.headers, 'Rita Quick test'!$B$2:$P$2,_xlpm.matchMatrix, ISNUMBER(SEARCH(_xlpm.searchText, _xlpm.dataRange)),_xlpm.colMatch, _xlfn.XMATCH(TRUE, _xlfn.BYCOL(_xlpm.matchMatrix, _xlfn.LAMBDA(_xlpm.col, OR(_xlpm.col)))),INDEX(_xlpm.headers, _xlpm.colMatch)),"")</f>
        <v/>
      </c>
      <c r="H141" s="1" t="str">
        <f>IFERROR(VLOOKUP("*" &amp; C141 &amp; "*",Terms!D:E,2,FALSE),"")</f>
        <v/>
      </c>
      <c r="I141" s="1" t="str">
        <f>IFERROR(VLOOKUP("*" &amp; C141 &amp; "*",'Terms 2'!B:D,3,FALSE),"")</f>
        <v/>
      </c>
    </row>
    <row r="142" spans="2:9">
      <c r="B142" s="1" t="str">
        <f t="shared" si="2"/>
        <v/>
      </c>
      <c r="C142" s="47" t="s">
        <v>4606</v>
      </c>
      <c r="D142" s="1" t="s">
        <v>4848</v>
      </c>
      <c r="E142" s="1" t="str" cm="1">
        <f t="array" ref="E142">IFERROR(
  _xlfn.LET(
    _xlpm.searchText, Tests!$C142,
    _xlpm.dataRange, ITTO!$B$3:$F$300,
    _xlpm.headers, ITTO!$B$2:$F$2,
    _xlpm.matchMatrix, ISNUMBER(SEARCH(_xlpm.searchText, _xlpm.dataRange)),
    _xlpm.colMatch, _xlfn.XMATCH(TRUE, _xlfn.BYCOL(_xlpm.matchMatrix, _xlfn.LAMBDA(_xlpm.col, OR(_xlpm.col)))),
    INDEX(_xlpm.headers, _xlpm.colMatch)
  ),
  ""
)</f>
        <v/>
      </c>
      <c r="F142" s="1" t="str" cm="1">
        <f t="array" ref="F142">IFERROR(_xlfn.LET(_xlpm.searchText, Tests!$C142,_xlpm.dataRange, PMBOK!$B$3:$F$300,_xlpm.headers, PMBOK!$B$2:$F$2,_xlpm.matchMatrix, ISNUMBER(SEARCH(_xlpm.searchText, _xlpm.dataRange)),_xlpm.colMatch, _xlfn.XMATCH(TRUE, _xlfn.BYCOL(_xlpm.matchMatrix, _xlfn.LAMBDA(_xlpm.col, OR(_xlpm.col)))),INDEX(_xlpm.headers, _xlpm.colMatch)),"")</f>
        <v/>
      </c>
      <c r="G142" s="1" t="str" cm="1">
        <f t="array" ref="G142">IFERROR(_xlfn.LET(_xlpm.searchText, Tests!$C142,_xlpm.dataRange, 'Rita Quick test'!$B$3:$P$57,_xlpm.headers, 'Rita Quick test'!$B$2:$P$2,_xlpm.matchMatrix, ISNUMBER(SEARCH(_xlpm.searchText, _xlpm.dataRange)),_xlpm.colMatch, _xlfn.XMATCH(TRUE, _xlfn.BYCOL(_xlpm.matchMatrix, _xlfn.LAMBDA(_xlpm.col, OR(_xlpm.col)))),INDEX(_xlpm.headers, _xlpm.colMatch)),"")</f>
        <v/>
      </c>
      <c r="H142" s="1" t="str">
        <f>IFERROR(VLOOKUP("*" &amp; C142 &amp; "*",Terms!D:E,2,FALSE),"")</f>
        <v/>
      </c>
      <c r="I142" s="1" t="str">
        <f>IFERROR(VLOOKUP("*" &amp; C142 &amp; "*",'Terms 2'!B:D,3,FALSE),"")</f>
        <v/>
      </c>
    </row>
    <row r="143" spans="2:9">
      <c r="B143" s="1" t="str">
        <f t="shared" si="2"/>
        <v>A flowchart is a tool that is used to help visually display a process. It can show decision points, loops, or paths.</v>
      </c>
      <c r="C143" s="47" t="s">
        <v>4606</v>
      </c>
      <c r="D143" s="49" t="s">
        <v>4842</v>
      </c>
      <c r="E143" s="1" t="str" cm="1">
        <f t="array" ref="E143">IFERROR(
  _xlfn.LET(
    _xlpm.searchText, Tests!$C143,
    _xlpm.dataRange, ITTO!$B$3:$F$300,
    _xlpm.headers, ITTO!$B$2:$F$2,
    _xlpm.matchMatrix, ISNUMBER(SEARCH(_xlpm.searchText, _xlpm.dataRange)),
    _xlpm.colMatch, _xlfn.XMATCH(TRUE, _xlfn.BYCOL(_xlpm.matchMatrix, _xlfn.LAMBDA(_xlpm.col, OR(_xlpm.col)))),
    INDEX(_xlpm.headers, _xlpm.colMatch)
  ),
  ""
)</f>
        <v/>
      </c>
      <c r="F143" s="1" t="str" cm="1">
        <f t="array" ref="F143">IFERROR(_xlfn.LET(_xlpm.searchText, Tests!$C143,_xlpm.dataRange, PMBOK!$B$3:$F$300,_xlpm.headers, PMBOK!$B$2:$F$2,_xlpm.matchMatrix, ISNUMBER(SEARCH(_xlpm.searchText, _xlpm.dataRange)),_xlpm.colMatch, _xlfn.XMATCH(TRUE, _xlfn.BYCOL(_xlpm.matchMatrix, _xlfn.LAMBDA(_xlpm.col, OR(_xlpm.col)))),INDEX(_xlpm.headers, _xlpm.colMatch)),"")</f>
        <v/>
      </c>
      <c r="G143" s="1" t="str" cm="1">
        <f t="array" ref="G143">IFERROR(_xlfn.LET(_xlpm.searchText, Tests!$C143,_xlpm.dataRange, 'Rita Quick test'!$B$3:$P$57,_xlpm.headers, 'Rita Quick test'!$B$2:$P$2,_xlpm.matchMatrix, ISNUMBER(SEARCH(_xlpm.searchText, _xlpm.dataRange)),_xlpm.colMatch, _xlfn.XMATCH(TRUE, _xlfn.BYCOL(_xlpm.matchMatrix, _xlfn.LAMBDA(_xlpm.col, OR(_xlpm.col)))),INDEX(_xlpm.headers, _xlpm.colMatch)),"")</f>
        <v/>
      </c>
      <c r="H143" s="1" t="str">
        <f>IFERROR(VLOOKUP("*" &amp; C143 &amp; "*",Terms!D:E,2,FALSE),"")</f>
        <v/>
      </c>
      <c r="I143" s="1" t="str">
        <f>IFERROR(VLOOKUP("*" &amp; C143 &amp; "*",'Terms 2'!B:D,3,FALSE),"")</f>
        <v/>
      </c>
    </row>
    <row r="144" spans="2:9">
      <c r="B144" s="1" t="str">
        <f t="shared" si="2"/>
        <v>A flowchart is a tool that is used to help visually display a process. It can show decision points, loops, or paths.</v>
      </c>
      <c r="C144" s="47" t="s">
        <v>4606</v>
      </c>
      <c r="D144" s="49" t="s">
        <v>4842</v>
      </c>
      <c r="E144" s="1" t="str" cm="1">
        <f t="array" ref="E144">IFERROR(
  _xlfn.LET(
    _xlpm.searchText, Tests!$C144,
    _xlpm.dataRange, ITTO!$B$3:$F$300,
    _xlpm.headers, ITTO!$B$2:$F$2,
    _xlpm.matchMatrix, ISNUMBER(SEARCH(_xlpm.searchText, _xlpm.dataRange)),
    _xlpm.colMatch, _xlfn.XMATCH(TRUE, _xlfn.BYCOL(_xlpm.matchMatrix, _xlfn.LAMBDA(_xlpm.col, OR(_xlpm.col)))),
    INDEX(_xlpm.headers, _xlpm.colMatch)
  ),
  ""
)</f>
        <v/>
      </c>
      <c r="F144" s="1" t="str" cm="1">
        <f t="array" ref="F144">IFERROR(_xlfn.LET(_xlpm.searchText, Tests!$C144,_xlpm.dataRange, PMBOK!$B$3:$F$300,_xlpm.headers, PMBOK!$B$2:$F$2,_xlpm.matchMatrix, ISNUMBER(SEARCH(_xlpm.searchText, _xlpm.dataRange)),_xlpm.colMatch, _xlfn.XMATCH(TRUE, _xlfn.BYCOL(_xlpm.matchMatrix, _xlfn.LAMBDA(_xlpm.col, OR(_xlpm.col)))),INDEX(_xlpm.headers, _xlpm.colMatch)),"")</f>
        <v/>
      </c>
      <c r="G144" s="1" t="str" cm="1">
        <f t="array" ref="G144">IFERROR(_xlfn.LET(_xlpm.searchText, Tests!$C144,_xlpm.dataRange, 'Rita Quick test'!$B$3:$P$57,_xlpm.headers, 'Rita Quick test'!$B$2:$P$2,_xlpm.matchMatrix, ISNUMBER(SEARCH(_xlpm.searchText, _xlpm.dataRange)),_xlpm.colMatch, _xlfn.XMATCH(TRUE, _xlfn.BYCOL(_xlpm.matchMatrix, _xlfn.LAMBDA(_xlpm.col, OR(_xlpm.col)))),INDEX(_xlpm.headers, _xlpm.colMatch)),"")</f>
        <v/>
      </c>
      <c r="H144" s="1" t="str">
        <f>IFERROR(VLOOKUP("*" &amp; C144 &amp; "*",Terms!D:E,2,FALSE),"")</f>
        <v/>
      </c>
      <c r="I144" s="1" t="str">
        <f>IFERROR(VLOOKUP("*" &amp; C144 &amp; "*",'Terms 2'!B:D,3,FALSE),"")</f>
        <v/>
      </c>
    </row>
    <row r="145" spans="2:9">
      <c r="B145" s="1" t="str">
        <f t="shared" si="2"/>
        <v>forcing is when one side completely wins and the other side completely loses.</v>
      </c>
      <c r="C145" s="47" t="s">
        <v>4790</v>
      </c>
      <c r="D145" s="49" t="s">
        <v>4795</v>
      </c>
      <c r="E145" s="1" t="str" cm="1">
        <f t="array" ref="E145">IFERROR(
  _xlfn.LET(
    _xlpm.searchText, Tests!$C145,
    _xlpm.dataRange, ITTO!$B$3:$F$300,
    _xlpm.headers, ITTO!$B$2:$F$2,
    _xlpm.matchMatrix, ISNUMBER(SEARCH(_xlpm.searchText, _xlpm.dataRange)),
    _xlpm.colMatch, _xlfn.XMATCH(TRUE, _xlfn.BYCOL(_xlpm.matchMatrix, _xlfn.LAMBDA(_xlpm.col, OR(_xlpm.col)))),
    INDEX(_xlpm.headers, _xlpm.colMatch)
  ),
  ""
)</f>
        <v/>
      </c>
      <c r="F145" s="1" t="str" cm="1">
        <f t="array" ref="F145">IFERROR(_xlfn.LET(_xlpm.searchText, Tests!$C145,_xlpm.dataRange, PMBOK!$B$3:$F$300,_xlpm.headers, PMBOK!$B$2:$F$2,_xlpm.matchMatrix, ISNUMBER(SEARCH(_xlpm.searchText, _xlpm.dataRange)),_xlpm.colMatch, _xlfn.XMATCH(TRUE, _xlfn.BYCOL(_xlpm.matchMatrix, _xlfn.LAMBDA(_xlpm.col, OR(_xlpm.col)))),INDEX(_xlpm.headers, _xlpm.colMatch)),"")</f>
        <v/>
      </c>
      <c r="G145" s="1" t="str" cm="1">
        <f t="array" ref="G145">IFERROR(_xlfn.LET(_xlpm.searchText, Tests!$C145,_xlpm.dataRange, 'Rita Quick test'!$B$3:$P$57,_xlpm.headers, 'Rita Quick test'!$B$2:$P$2,_xlpm.matchMatrix, ISNUMBER(SEARCH(_xlpm.searchText, _xlpm.dataRange)),_xlpm.colMatch, _xlfn.XMATCH(TRUE, _xlfn.BYCOL(_xlpm.matchMatrix, _xlfn.LAMBDA(_xlpm.col, OR(_xlpm.col)))),INDEX(_xlpm.headers, _xlpm.colMatch)),"")</f>
        <v/>
      </c>
      <c r="H145" s="1" t="str">
        <f>IFERROR(VLOOKUP("*" &amp; C145 &amp; "*",Terms!D:E,2,FALSE),"")</f>
        <v/>
      </c>
      <c r="I145" s="1" t="str">
        <f>IFERROR(VLOOKUP("*" &amp; C145 &amp; "*",'Terms 2'!B:D,3,FALSE),"")</f>
        <v/>
      </c>
    </row>
    <row r="146" spans="2:9">
      <c r="B146" s="1" t="str">
        <f t="shared" si="2"/>
        <v>The team is currently in the forming stage and will move next to the storming stage. The stages are forming, storming, norming, performing and adjourning.</v>
      </c>
      <c r="C146" s="47" t="s">
        <v>4559</v>
      </c>
      <c r="D146" s="48" t="s">
        <v>4561</v>
      </c>
      <c r="E146" s="1" t="str" cm="1">
        <f t="array" ref="E146">IFERROR(
  _xlfn.LET(
    _xlpm.searchText, Tests!$C146,
    _xlpm.dataRange, ITTO!$B$3:$F$300,
    _xlpm.headers, ITTO!$B$2:$F$2,
    _xlpm.matchMatrix, ISNUMBER(SEARCH(_xlpm.searchText, _xlpm.dataRange)),
    _xlpm.colMatch, _xlfn.XMATCH(TRUE, _xlfn.BYCOL(_xlpm.matchMatrix, _xlfn.LAMBDA(_xlpm.col, OR(_xlpm.col)))),
    INDEX(_xlpm.headers, _xlpm.colMatch)
  ),
  ""
)</f>
        <v/>
      </c>
      <c r="F146" s="1" t="str" cm="1">
        <f t="array" ref="F146">IFERROR(_xlfn.LET(_xlpm.searchText, Tests!$C146,_xlpm.dataRange, PMBOK!$B$3:$F$300,_xlpm.headers, PMBOK!$B$2:$F$2,_xlpm.matchMatrix, ISNUMBER(SEARCH(_xlpm.searchText, _xlpm.dataRange)),_xlpm.colMatch, _xlfn.XMATCH(TRUE, _xlfn.BYCOL(_xlpm.matchMatrix, _xlfn.LAMBDA(_xlpm.col, OR(_xlpm.col)))),INDEX(_xlpm.headers, _xlpm.colMatch)),"")</f>
        <v/>
      </c>
      <c r="G146" s="1" t="str" cm="1">
        <f t="array" ref="G146">IFERROR(_xlfn.LET(_xlpm.searchText, Tests!$C146,_xlpm.dataRange, 'Rita Quick test'!$B$3:$P$57,_xlpm.headers, 'Rita Quick test'!$B$2:$P$2,_xlpm.matchMatrix, ISNUMBER(SEARCH(_xlpm.searchText, _xlpm.dataRange)),_xlpm.colMatch, _xlfn.XMATCH(TRUE, _xlfn.BYCOL(_xlpm.matchMatrix, _xlfn.LAMBDA(_xlpm.col, OR(_xlpm.col)))),INDEX(_xlpm.headers, _xlpm.colMatch)),"")</f>
        <v/>
      </c>
      <c r="H146" s="1" t="str">
        <f>IFERROR(VLOOKUP("*" &amp; C146 &amp; "*",Terms!D:E,2,FALSE),"")</f>
        <v/>
      </c>
      <c r="I146" s="1" t="str">
        <f>IFERROR(VLOOKUP("*" &amp; C146 &amp; "*",'Terms 2'!B:D,3,FALSE),"")</f>
        <v/>
      </c>
    </row>
    <row r="147" spans="2:9">
      <c r="B147" s="1" t="str">
        <f t="shared" si="2"/>
        <v>Free float is the amount of time you can delay an activity without delaying the next activity</v>
      </c>
      <c r="C147" s="47" t="s">
        <v>4546</v>
      </c>
      <c r="D147" s="49" t="s">
        <v>4548</v>
      </c>
      <c r="E147" s="1" t="str" cm="1">
        <f t="array" ref="E147">IFERROR(
  _xlfn.LET(
    _xlpm.searchText, Tests!$C147,
    _xlpm.dataRange, ITTO!$B$3:$F$300,
    _xlpm.headers, ITTO!$B$2:$F$2,
    _xlpm.matchMatrix, ISNUMBER(SEARCH(_xlpm.searchText, _xlpm.dataRange)),
    _xlpm.colMatch, _xlfn.XMATCH(TRUE, _xlfn.BYCOL(_xlpm.matchMatrix, _xlfn.LAMBDA(_xlpm.col, OR(_xlpm.col)))),
    INDEX(_xlpm.headers, _xlpm.colMatch)
  ),
  ""
)</f>
        <v/>
      </c>
      <c r="F147" s="1" t="str" cm="1">
        <f t="array" ref="F147">IFERROR(_xlfn.LET(_xlpm.searchText, Tests!$C147,_xlpm.dataRange, PMBOK!$B$3:$F$300,_xlpm.headers, PMBOK!$B$2:$F$2,_xlpm.matchMatrix, ISNUMBER(SEARCH(_xlpm.searchText, _xlpm.dataRange)),_xlpm.colMatch, _xlfn.XMATCH(TRUE, _xlfn.BYCOL(_xlpm.matchMatrix, _xlfn.LAMBDA(_xlpm.col, OR(_xlpm.col)))),INDEX(_xlpm.headers, _xlpm.colMatch)),"")</f>
        <v/>
      </c>
      <c r="G147" s="1" t="str" cm="1">
        <f t="array" ref="G147">IFERROR(_xlfn.LET(_xlpm.searchText, Tests!$C147,_xlpm.dataRange, 'Rita Quick test'!$B$3:$P$57,_xlpm.headers, 'Rita Quick test'!$B$2:$P$2,_xlpm.matchMatrix, ISNUMBER(SEARCH(_xlpm.searchText, _xlpm.dataRange)),_xlpm.colMatch, _xlfn.XMATCH(TRUE, _xlfn.BYCOL(_xlpm.matchMatrix, _xlfn.LAMBDA(_xlpm.col, OR(_xlpm.col)))),INDEX(_xlpm.headers, _xlpm.colMatch)),"")</f>
        <v/>
      </c>
      <c r="H147" s="1" t="str">
        <f>IFERROR(VLOOKUP("*" &amp; C147 &amp; "*",Terms!D:E,2,FALSE),"")</f>
        <v/>
      </c>
      <c r="I147" s="1" t="str">
        <f>IFERROR(VLOOKUP("*" &amp; C147 &amp; "*",'Terms 2'!B:D,3,FALSE),"")</f>
        <v/>
      </c>
    </row>
    <row r="148" spans="2:9">
      <c r="B148" s="1" t="str">
        <f t="shared" si="2"/>
        <v>Free float is the amount of time you can delay an activity without delaying the next activity.</v>
      </c>
      <c r="C148" s="47" t="s">
        <v>4546</v>
      </c>
      <c r="D148" s="49" t="s">
        <v>4885</v>
      </c>
      <c r="E148" s="1" t="str" cm="1">
        <f t="array" ref="E148">IFERROR(
  _xlfn.LET(
    _xlpm.searchText, Tests!$C148,
    _xlpm.dataRange, ITTO!$B$3:$F$300,
    _xlpm.headers, ITTO!$B$2:$F$2,
    _xlpm.matchMatrix, ISNUMBER(SEARCH(_xlpm.searchText, _xlpm.dataRange)),
    _xlpm.colMatch, _xlfn.XMATCH(TRUE, _xlfn.BYCOL(_xlpm.matchMatrix, _xlfn.LAMBDA(_xlpm.col, OR(_xlpm.col)))),
    INDEX(_xlpm.headers, _xlpm.colMatch)
  ),
  ""
)</f>
        <v/>
      </c>
      <c r="F148" s="1" t="str" cm="1">
        <f t="array" ref="F148">IFERROR(_xlfn.LET(_xlpm.searchText, Tests!$C148,_xlpm.dataRange, PMBOK!$B$3:$F$300,_xlpm.headers, PMBOK!$B$2:$F$2,_xlpm.matchMatrix, ISNUMBER(SEARCH(_xlpm.searchText, _xlpm.dataRange)),_xlpm.colMatch, _xlfn.XMATCH(TRUE, _xlfn.BYCOL(_xlpm.matchMatrix, _xlfn.LAMBDA(_xlpm.col, OR(_xlpm.col)))),INDEX(_xlpm.headers, _xlpm.colMatch)),"")</f>
        <v/>
      </c>
      <c r="G148" s="1" t="str" cm="1">
        <f t="array" ref="G148">IFERROR(_xlfn.LET(_xlpm.searchText, Tests!$C148,_xlpm.dataRange, 'Rita Quick test'!$B$3:$P$57,_xlpm.headers, 'Rita Quick test'!$B$2:$P$2,_xlpm.matchMatrix, ISNUMBER(SEARCH(_xlpm.searchText, _xlpm.dataRange)),_xlpm.colMatch, _xlfn.XMATCH(TRUE, _xlfn.BYCOL(_xlpm.matchMatrix, _xlfn.LAMBDA(_xlpm.col, OR(_xlpm.col)))),INDEX(_xlpm.headers, _xlpm.colMatch)),"")</f>
        <v/>
      </c>
      <c r="H148" s="1" t="str">
        <f>IFERROR(VLOOKUP("*" &amp; C148 &amp; "*",Terms!D:E,2,FALSE),"")</f>
        <v/>
      </c>
      <c r="I148" s="1" t="str">
        <f>IFERROR(VLOOKUP("*" &amp; C148 &amp; "*",'Terms 2'!B:D,3,FALSE),"")</f>
        <v/>
      </c>
    </row>
    <row r="149" spans="2:9">
      <c r="B149" s="1" t="str">
        <f t="shared" si="2"/>
        <v>Funding limit reconciliation is done when there are limited funds to spend on the project and work may need to be rescheduled</v>
      </c>
      <c r="C149" s="47" t="s">
        <v>4443</v>
      </c>
      <c r="D149" s="49" t="s">
        <v>4446</v>
      </c>
      <c r="E149" s="1" t="str" cm="1">
        <f t="array" ref="E149">IFERROR(
  _xlfn.LET(
    _xlpm.searchText, Tests!$C149,
    _xlpm.dataRange, ITTO!$B$3:$F$300,
    _xlpm.headers, ITTO!$B$2:$F$2,
    _xlpm.matchMatrix, ISNUMBER(SEARCH(_xlpm.searchText, _xlpm.dataRange)),
    _xlpm.colMatch, _xlfn.XMATCH(TRUE, _xlfn.BYCOL(_xlpm.matchMatrix, _xlfn.LAMBDA(_xlpm.col, OR(_xlpm.col)))),
    INDEX(_xlpm.headers, _xlpm.colMatch)
  ),
  ""
)</f>
        <v/>
      </c>
      <c r="F149" s="1" t="str" cm="1">
        <f t="array" ref="F149">IFERROR(_xlfn.LET(_xlpm.searchText, Tests!$C149,_xlpm.dataRange, PMBOK!$B$3:$F$300,_xlpm.headers, PMBOK!$B$2:$F$2,_xlpm.matchMatrix, ISNUMBER(SEARCH(_xlpm.searchText, _xlpm.dataRange)),_xlpm.colMatch, _xlfn.XMATCH(TRUE, _xlfn.BYCOL(_xlpm.matchMatrix, _xlfn.LAMBDA(_xlpm.col, OR(_xlpm.col)))),INDEX(_xlpm.headers, _xlpm.colMatch)),"")</f>
        <v/>
      </c>
      <c r="G149" s="1" t="str" cm="1">
        <f t="array" ref="G149">IFERROR(_xlfn.LET(_xlpm.searchText, Tests!$C149,_xlpm.dataRange, 'Rita Quick test'!$B$3:$P$57,_xlpm.headers, 'Rita Quick test'!$B$2:$P$2,_xlpm.matchMatrix, ISNUMBER(SEARCH(_xlpm.searchText, _xlpm.dataRange)),_xlpm.colMatch, _xlfn.XMATCH(TRUE, _xlfn.BYCOL(_xlpm.matchMatrix, _xlfn.LAMBDA(_xlpm.col, OR(_xlpm.col)))),INDEX(_xlpm.headers, _xlpm.colMatch)),"")</f>
        <v/>
      </c>
      <c r="H149" s="1" t="str">
        <f>IFERROR(VLOOKUP("*" &amp; C149 &amp; "*",Terms!D:E,2,FALSE),"")</f>
        <v/>
      </c>
      <c r="I149" s="1" t="str">
        <f>IFERROR(VLOOKUP("*" &amp; C149 &amp; "*",'Terms 2'!B:D,3,FALSE),"")</f>
        <v/>
      </c>
    </row>
    <row r="150" spans="2:9">
      <c r="B150" s="1" t="str">
        <f t="shared" si="2"/>
        <v/>
      </c>
      <c r="C150" s="47" t="s">
        <v>4463</v>
      </c>
      <c r="D150" s="1" t="s">
        <v>4848</v>
      </c>
      <c r="E150" s="1" t="str" cm="1">
        <f t="array" ref="E150">IFERROR(
  _xlfn.LET(
    _xlpm.searchText, Tests!$C150,
    _xlpm.dataRange, ITTO!$B$3:$F$300,
    _xlpm.headers, ITTO!$B$2:$F$2,
    _xlpm.matchMatrix, ISNUMBER(SEARCH(_xlpm.searchText, _xlpm.dataRange)),
    _xlpm.colMatch, _xlfn.XMATCH(TRUE, _xlfn.BYCOL(_xlpm.matchMatrix, _xlfn.LAMBDA(_xlpm.col, OR(_xlpm.col)))),
    INDEX(_xlpm.headers, _xlpm.colMatch)
  ),
  ""
)</f>
        <v/>
      </c>
      <c r="F150" s="1" t="str" cm="1">
        <f t="array" ref="F150">IFERROR(_xlfn.LET(_xlpm.searchText, Tests!$C150,_xlpm.dataRange, PMBOK!$B$3:$F$300,_xlpm.headers, PMBOK!$B$2:$F$2,_xlpm.matchMatrix, ISNUMBER(SEARCH(_xlpm.searchText, _xlpm.dataRange)),_xlpm.colMatch, _xlfn.XMATCH(TRUE, _xlfn.BYCOL(_xlpm.matchMatrix, _xlfn.LAMBDA(_xlpm.col, OR(_xlpm.col)))),INDEX(_xlpm.headers, _xlpm.colMatch)),"")</f>
        <v/>
      </c>
      <c r="G150" s="1" t="str" cm="1">
        <f t="array" ref="G150">IFERROR(_xlfn.LET(_xlpm.searchText, Tests!$C150,_xlpm.dataRange, 'Rita Quick test'!$B$3:$P$57,_xlpm.headers, 'Rita Quick test'!$B$2:$P$2,_xlpm.matchMatrix, ISNUMBER(SEARCH(_xlpm.searchText, _xlpm.dataRange)),_xlpm.colMatch, _xlfn.XMATCH(TRUE, _xlfn.BYCOL(_xlpm.matchMatrix, _xlfn.LAMBDA(_xlpm.col, OR(_xlpm.col)))),INDEX(_xlpm.headers, _xlpm.colMatch)),"")</f>
        <v/>
      </c>
      <c r="H150" s="1" t="str">
        <f>IFERROR(VLOOKUP("*" &amp; C150 &amp; "*",Terms!D:E,2,FALSE),"")</f>
        <v/>
      </c>
      <c r="I150" s="1" t="str">
        <f>IFERROR(VLOOKUP("*" &amp; C150 &amp; "*",'Terms 2'!B:D,3,FALSE),"")</f>
        <v xml:space="preserve"> A bar chart of schedule information where activities are listed on the vertical axis, dates are shown on the horizontal axis, and activity durations are shown as horizontal bars placed</v>
      </c>
    </row>
    <row r="151" spans="2:9">
      <c r="B151" s="1" t="str">
        <f t="shared" si="2"/>
        <v>All other choices would give you a detailed view of the project schedule and work.</v>
      </c>
      <c r="C151" s="47" t="s">
        <v>4664</v>
      </c>
      <c r="D151" s="49" t="s">
        <v>4668</v>
      </c>
      <c r="E151" s="1" t="str" cm="1">
        <f t="array" ref="E151">IFERROR(
  _xlfn.LET(
    _xlpm.searchText, Tests!$C151,
    _xlpm.dataRange, ITTO!$B$3:$F$300,
    _xlpm.headers, ITTO!$B$2:$F$2,
    _xlpm.matchMatrix, ISNUMBER(SEARCH(_xlpm.searchText, _xlpm.dataRange)),
    _xlpm.colMatch, _xlfn.XMATCH(TRUE, _xlfn.BYCOL(_xlpm.matchMatrix, _xlfn.LAMBDA(_xlpm.col, OR(_xlpm.col)))),
    INDEX(_xlpm.headers, _xlpm.colMatch)
  ),
  ""
)</f>
        <v/>
      </c>
      <c r="F151" s="1" t="str" cm="1">
        <f t="array" ref="F151">IFERROR(_xlfn.LET(_xlpm.searchText, Tests!$C151,_xlpm.dataRange, PMBOK!$B$3:$F$300,_xlpm.headers, PMBOK!$B$2:$F$2,_xlpm.matchMatrix, ISNUMBER(SEARCH(_xlpm.searchText, _xlpm.dataRange)),_xlpm.colMatch, _xlfn.XMATCH(TRUE, _xlfn.BYCOL(_xlpm.matchMatrix, _xlfn.LAMBDA(_xlpm.col, OR(_xlpm.col)))),INDEX(_xlpm.headers, _xlpm.colMatch)),"")</f>
        <v/>
      </c>
      <c r="G151" s="1" t="str" cm="1">
        <f t="array" ref="G151">IFERROR(_xlfn.LET(_xlpm.searchText, Tests!$C151,_xlpm.dataRange, 'Rita Quick test'!$B$3:$P$57,_xlpm.headers, 'Rita Quick test'!$B$2:$P$2,_xlpm.matchMatrix, ISNUMBER(SEARCH(_xlpm.searchText, _xlpm.dataRange)),_xlpm.colMatch, _xlfn.XMATCH(TRUE, _xlfn.BYCOL(_xlpm.matchMatrix, _xlfn.LAMBDA(_xlpm.col, OR(_xlpm.col)))),INDEX(_xlpm.headers, _xlpm.colMatch)),"")</f>
        <v/>
      </c>
      <c r="H151" s="1" t="str">
        <f>IFERROR(VLOOKUP("*" &amp; C151 &amp; "*",Terms!D:E,2,FALSE),"")</f>
        <v/>
      </c>
      <c r="I151" s="1" t="str">
        <f>IFERROR(VLOOKUP("*" &amp; C151 &amp; "*",'Terms 2'!B:D,3,FALSE),"")</f>
        <v/>
      </c>
    </row>
    <row r="152" spans="2:9">
      <c r="B152" s="1" t="str">
        <f t="shared" si="2"/>
        <v/>
      </c>
      <c r="C152" s="47" t="s">
        <v>4587</v>
      </c>
      <c r="D152" s="1" t="s">
        <v>4848</v>
      </c>
      <c r="E152" s="1" t="str" cm="1">
        <f t="array" ref="E152">IFERROR(
  _xlfn.LET(
    _xlpm.searchText, Tests!$C152,
    _xlpm.dataRange, ITTO!$B$3:$F$300,
    _xlpm.headers, ITTO!$B$2:$F$2,
    _xlpm.matchMatrix, ISNUMBER(SEARCH(_xlpm.searchText, _xlpm.dataRange)),
    _xlpm.colMatch, _xlfn.XMATCH(TRUE, _xlfn.BYCOL(_xlpm.matchMatrix, _xlfn.LAMBDA(_xlpm.col, OR(_xlpm.col)))),
    INDEX(_xlpm.headers, _xlpm.colMatch)
  ),
  ""
)</f>
        <v/>
      </c>
      <c r="F152" s="1" t="str" cm="1">
        <f t="array" ref="F152">IFERROR(_xlfn.LET(_xlpm.searchText, Tests!$C152,_xlpm.dataRange, PMBOK!$B$3:$F$300,_xlpm.headers, PMBOK!$B$2:$F$2,_xlpm.matchMatrix, ISNUMBER(SEARCH(_xlpm.searchText, _xlpm.dataRange)),_xlpm.colMatch, _xlfn.XMATCH(TRUE, _xlfn.BYCOL(_xlpm.matchMatrix, _xlfn.LAMBDA(_xlpm.col, OR(_xlpm.col)))),INDEX(_xlpm.headers, _xlpm.colMatch)),"")</f>
        <v/>
      </c>
      <c r="G152" s="1" t="str" cm="1">
        <f t="array" ref="G152">IFERROR(_xlfn.LET(_xlpm.searchText, Tests!$C152,_xlpm.dataRange, 'Rita Quick test'!$B$3:$P$57,_xlpm.headers, 'Rita Quick test'!$B$2:$P$2,_xlpm.matchMatrix, ISNUMBER(SEARCH(_xlpm.searchText, _xlpm.dataRange)),_xlpm.colMatch, _xlfn.XMATCH(TRUE, _xlfn.BYCOL(_xlpm.matchMatrix, _xlfn.LAMBDA(_xlpm.col, OR(_xlpm.col)))),INDEX(_xlpm.headers, _xlpm.colMatch)),"")</f>
        <v/>
      </c>
      <c r="H152" s="1" t="str">
        <f>IFERROR(VLOOKUP("*" &amp; C152 &amp; "*",Terms!D:E,2,FALSE),"")</f>
        <v/>
      </c>
      <c r="I152" s="1" t="str">
        <f>IFERROR(VLOOKUP("*" &amp; C152 &amp; "*",'Terms 2'!B:D,3,FALSE),"")</f>
        <v/>
      </c>
    </row>
    <row r="153" spans="2:9">
      <c r="B153" s="1" t="str">
        <f t="shared" si="2"/>
        <v/>
      </c>
      <c r="C153" s="47" t="s">
        <v>4629</v>
      </c>
      <c r="D153" s="1" t="s">
        <v>4848</v>
      </c>
      <c r="E153" s="1" t="str" cm="1">
        <f t="array" ref="E153">IFERROR(
  _xlfn.LET(
    _xlpm.searchText, Tests!$C153,
    _xlpm.dataRange, ITTO!$B$3:$F$300,
    _xlpm.headers, ITTO!$B$2:$F$2,
    _xlpm.matchMatrix, ISNUMBER(SEARCH(_xlpm.searchText, _xlpm.dataRange)),
    _xlpm.colMatch, _xlfn.XMATCH(TRUE, _xlfn.BYCOL(_xlpm.matchMatrix, _xlfn.LAMBDA(_xlpm.col, OR(_xlpm.col)))),
    INDEX(_xlpm.headers, _xlpm.colMatch)
  ),
  ""
)</f>
        <v/>
      </c>
      <c r="F153" s="1" t="str" cm="1">
        <f t="array" ref="F153">IFERROR(_xlfn.LET(_xlpm.searchText, Tests!$C153,_xlpm.dataRange, PMBOK!$B$3:$F$300,_xlpm.headers, PMBOK!$B$2:$F$2,_xlpm.matchMatrix, ISNUMBER(SEARCH(_xlpm.searchText, _xlpm.dataRange)),_xlpm.colMatch, _xlfn.XMATCH(TRUE, _xlfn.BYCOL(_xlpm.matchMatrix, _xlfn.LAMBDA(_xlpm.col, OR(_xlpm.col)))),INDEX(_xlpm.headers, _xlpm.colMatch)),"")</f>
        <v/>
      </c>
      <c r="G153" s="1" t="str" cm="1">
        <f t="array" ref="G153">IFERROR(_xlfn.LET(_xlpm.searchText, Tests!$C153,_xlpm.dataRange, 'Rita Quick test'!$B$3:$P$57,_xlpm.headers, 'Rita Quick test'!$B$2:$P$2,_xlpm.matchMatrix, ISNUMBER(SEARCH(_xlpm.searchText, _xlpm.dataRange)),_xlpm.colMatch, _xlfn.XMATCH(TRUE, _xlfn.BYCOL(_xlpm.matchMatrix, _xlfn.LAMBDA(_xlpm.col, OR(_xlpm.col)))),INDEX(_xlpm.headers, _xlpm.colMatch)),"")</f>
        <v/>
      </c>
      <c r="H153" s="1" t="str">
        <f>IFERROR(VLOOKUP("*" &amp; C153 &amp; "*",Terms!D:E,2,FALSE),"")</f>
        <v/>
      </c>
      <c r="I153" s="1" t="str">
        <f>IFERROR(VLOOKUP("*" &amp; C153 &amp; "*",'Terms 2'!B:D,3,FALSE),"")</f>
        <v/>
      </c>
    </row>
    <row r="154" spans="2:9">
      <c r="B154" s="1" t="str">
        <f t="shared" si="2"/>
        <v/>
      </c>
      <c r="C154" s="47" t="s">
        <v>4808</v>
      </c>
      <c r="D154" s="1" t="s">
        <v>4848</v>
      </c>
      <c r="E154" s="1" t="str" cm="1">
        <f t="array" ref="E154">IFERROR(
  _xlfn.LET(
    _xlpm.searchText, Tests!$C154,
    _xlpm.dataRange, ITTO!$B$3:$F$300,
    _xlpm.headers, ITTO!$B$2:$F$2,
    _xlpm.matchMatrix, ISNUMBER(SEARCH(_xlpm.searchText, _xlpm.dataRange)),
    _xlpm.colMatch, _xlfn.XMATCH(TRUE, _xlfn.BYCOL(_xlpm.matchMatrix, _xlfn.LAMBDA(_xlpm.col, OR(_xlpm.col)))),
    INDEX(_xlpm.headers, _xlpm.colMatch)
  ),
  ""
)</f>
        <v/>
      </c>
      <c r="F154" s="1" t="str" cm="1">
        <f t="array" ref="F154">IFERROR(_xlfn.LET(_xlpm.searchText, Tests!$C154,_xlpm.dataRange, PMBOK!$B$3:$F$300,_xlpm.headers, PMBOK!$B$2:$F$2,_xlpm.matchMatrix, ISNUMBER(SEARCH(_xlpm.searchText, _xlpm.dataRange)),_xlpm.colMatch, _xlfn.XMATCH(TRUE, _xlfn.BYCOL(_xlpm.matchMatrix, _xlfn.LAMBDA(_xlpm.col, OR(_xlpm.col)))),INDEX(_xlpm.headers, _xlpm.colMatch)),"")</f>
        <v/>
      </c>
      <c r="G154" s="1" t="str" cm="1">
        <f t="array" ref="G154">IFERROR(_xlfn.LET(_xlpm.searchText, Tests!$C154,_xlpm.dataRange, 'Rita Quick test'!$B$3:$P$57,_xlpm.headers, 'Rita Quick test'!$B$2:$P$2,_xlpm.matchMatrix, ISNUMBER(SEARCH(_xlpm.searchText, _xlpm.dataRange)),_xlpm.colMatch, _xlfn.XMATCH(TRUE, _xlfn.BYCOL(_xlpm.matchMatrix, _xlfn.LAMBDA(_xlpm.col, OR(_xlpm.col)))),INDEX(_xlpm.headers, _xlpm.colMatch)),"")</f>
        <v/>
      </c>
      <c r="H154" s="1" t="str">
        <f>IFERROR(VLOOKUP("*" &amp; C154 &amp; "*",Terms!D:E,2,FALSE),"")</f>
        <v/>
      </c>
      <c r="I154" s="1" t="str">
        <f>IFERROR(VLOOKUP("*" &amp; C154 &amp; "*",'Terms 2'!B:D,3,FALSE),"")</f>
        <v/>
      </c>
    </row>
    <row r="155" spans="2:9">
      <c r="B155" s="1" t="str">
        <f t="shared" si="2"/>
        <v/>
      </c>
      <c r="C155" s="47" t="s">
        <v>4757</v>
      </c>
      <c r="D155" s="1" t="s">
        <v>4848</v>
      </c>
      <c r="E155" s="1" t="str" cm="1">
        <f t="array" ref="E155">IFERROR(
  _xlfn.LET(
    _xlpm.searchText, Tests!$C155,
    _xlpm.dataRange, ITTO!$B$3:$F$300,
    _xlpm.headers, ITTO!$B$2:$F$2,
    _xlpm.matchMatrix, ISNUMBER(SEARCH(_xlpm.searchText, _xlpm.dataRange)),
    _xlpm.colMatch, _xlfn.XMATCH(TRUE, _xlfn.BYCOL(_xlpm.matchMatrix, _xlfn.LAMBDA(_xlpm.col, OR(_xlpm.col)))),
    INDEX(_xlpm.headers, _xlpm.colMatch)
  ),
  ""
)</f>
        <v/>
      </c>
      <c r="F155" s="1" t="str" cm="1">
        <f t="array" ref="F155">IFERROR(_xlfn.LET(_xlpm.searchText, Tests!$C155,_xlpm.dataRange, PMBOK!$B$3:$F$300,_xlpm.headers, PMBOK!$B$2:$F$2,_xlpm.matchMatrix, ISNUMBER(SEARCH(_xlpm.searchText, _xlpm.dataRange)),_xlpm.colMatch, _xlfn.XMATCH(TRUE, _xlfn.BYCOL(_xlpm.matchMatrix, _xlfn.LAMBDA(_xlpm.col, OR(_xlpm.col)))),INDEX(_xlpm.headers, _xlpm.colMatch)),"")</f>
        <v/>
      </c>
      <c r="G155" s="1" t="str" cm="1">
        <f t="array" ref="G155">IFERROR(_xlfn.LET(_xlpm.searchText, Tests!$C155,_xlpm.dataRange, 'Rita Quick test'!$B$3:$P$57,_xlpm.headers, 'Rita Quick test'!$B$2:$P$2,_xlpm.matchMatrix, ISNUMBER(SEARCH(_xlpm.searchText, _xlpm.dataRange)),_xlpm.colMatch, _xlfn.XMATCH(TRUE, _xlfn.BYCOL(_xlpm.matchMatrix, _xlfn.LAMBDA(_xlpm.col, OR(_xlpm.col)))),INDEX(_xlpm.headers, _xlpm.colMatch)),"")</f>
        <v/>
      </c>
      <c r="H155" s="1" t="str">
        <f>IFERROR(VLOOKUP("*" &amp; C155 &amp; "*",Terms!D:E,2,FALSE),"")</f>
        <v/>
      </c>
      <c r="I155" s="1" t="str">
        <f>IFERROR(VLOOKUP("*" &amp; C155 &amp; "*",'Terms 2'!B:D,3,FALSE),"")</f>
        <v/>
      </c>
    </row>
    <row r="156" spans="2:9">
      <c r="B156" s="1" t="str">
        <f t="shared" si="2"/>
        <v/>
      </c>
      <c r="C156" s="47" t="s">
        <v>4579</v>
      </c>
      <c r="D156" s="1" t="s">
        <v>4848</v>
      </c>
      <c r="E156" s="1" t="str" cm="1">
        <f t="array" ref="E156">IFERROR(
  _xlfn.LET(
    _xlpm.searchText, Tests!$C156,
    _xlpm.dataRange, ITTO!$B$3:$F$300,
    _xlpm.headers, ITTO!$B$2:$F$2,
    _xlpm.matchMatrix, ISNUMBER(SEARCH(_xlpm.searchText, _xlpm.dataRange)),
    _xlpm.colMatch, _xlfn.XMATCH(TRUE, _xlfn.BYCOL(_xlpm.matchMatrix, _xlfn.LAMBDA(_xlpm.col, OR(_xlpm.col)))),
    INDEX(_xlpm.headers, _xlpm.colMatch)
  ),
  ""
)</f>
        <v/>
      </c>
      <c r="F156" s="1" t="str" cm="1">
        <f t="array" ref="F156">IFERROR(_xlfn.LET(_xlpm.searchText, Tests!$C156,_xlpm.dataRange, PMBOK!$B$3:$F$300,_xlpm.headers, PMBOK!$B$2:$F$2,_xlpm.matchMatrix, ISNUMBER(SEARCH(_xlpm.searchText, _xlpm.dataRange)),_xlpm.colMatch, _xlfn.XMATCH(TRUE, _xlfn.BYCOL(_xlpm.matchMatrix, _xlfn.LAMBDA(_xlpm.col, OR(_xlpm.col)))),INDEX(_xlpm.headers, _xlpm.colMatch)),"")</f>
        <v/>
      </c>
      <c r="G156" s="1" t="str" cm="1">
        <f t="array" ref="G156">IFERROR(_xlfn.LET(_xlpm.searchText, Tests!$C156,_xlpm.dataRange, 'Rita Quick test'!$B$3:$P$57,_xlpm.headers, 'Rita Quick test'!$B$2:$P$2,_xlpm.matchMatrix, ISNUMBER(SEARCH(_xlpm.searchText, _xlpm.dataRange)),_xlpm.colMatch, _xlfn.XMATCH(TRUE, _xlfn.BYCOL(_xlpm.matchMatrix, _xlfn.LAMBDA(_xlpm.col, OR(_xlpm.col)))),INDEX(_xlpm.headers, _xlpm.colMatch)),"")</f>
        <v/>
      </c>
      <c r="H156" s="1" t="str">
        <f>IFERROR(VLOOKUP("*" &amp; C156 &amp; "*",Terms!D:E,2,FALSE),"")</f>
        <v/>
      </c>
      <c r="I156" s="1" t="str">
        <f>IFERROR(VLOOKUP("*" &amp; C156 &amp; "*",'Terms 2'!B:D,3,FALSE),"")</f>
        <v/>
      </c>
    </row>
    <row r="157" spans="2:9">
      <c r="B157" s="1" t="str">
        <f t="shared" si="2"/>
        <v>It’s more important to have high quality than high grade.</v>
      </c>
      <c r="C157" s="47" t="s">
        <v>4579</v>
      </c>
      <c r="D157" s="49" t="s">
        <v>4886</v>
      </c>
      <c r="E157" s="1" t="str" cm="1">
        <f t="array" ref="E157">IFERROR(
  _xlfn.LET(
    _xlpm.searchText, Tests!$C157,
    _xlpm.dataRange, ITTO!$B$3:$F$300,
    _xlpm.headers, ITTO!$B$2:$F$2,
    _xlpm.matchMatrix, ISNUMBER(SEARCH(_xlpm.searchText, _xlpm.dataRange)),
    _xlpm.colMatch, _xlfn.XMATCH(TRUE, _xlfn.BYCOL(_xlpm.matchMatrix, _xlfn.LAMBDA(_xlpm.col, OR(_xlpm.col)))),
    INDEX(_xlpm.headers, _xlpm.colMatch)
  ),
  ""
)</f>
        <v/>
      </c>
      <c r="F157" s="1" t="str" cm="1">
        <f t="array" ref="F157">IFERROR(_xlfn.LET(_xlpm.searchText, Tests!$C157,_xlpm.dataRange, PMBOK!$B$3:$F$300,_xlpm.headers, PMBOK!$B$2:$F$2,_xlpm.matchMatrix, ISNUMBER(SEARCH(_xlpm.searchText, _xlpm.dataRange)),_xlpm.colMatch, _xlfn.XMATCH(TRUE, _xlfn.BYCOL(_xlpm.matchMatrix, _xlfn.LAMBDA(_xlpm.col, OR(_xlpm.col)))),INDEX(_xlpm.headers, _xlpm.colMatch)),"")</f>
        <v/>
      </c>
      <c r="G157" s="1" t="str" cm="1">
        <f t="array" ref="G157">IFERROR(_xlfn.LET(_xlpm.searchText, Tests!$C157,_xlpm.dataRange, 'Rita Quick test'!$B$3:$P$57,_xlpm.headers, 'Rita Quick test'!$B$2:$P$2,_xlpm.matchMatrix, ISNUMBER(SEARCH(_xlpm.searchText, _xlpm.dataRange)),_xlpm.colMatch, _xlfn.XMATCH(TRUE, _xlfn.BYCOL(_xlpm.matchMatrix, _xlfn.LAMBDA(_xlpm.col, OR(_xlpm.col)))),INDEX(_xlpm.headers, _xlpm.colMatch)),"")</f>
        <v/>
      </c>
      <c r="H157" s="1" t="str">
        <f>IFERROR(VLOOKUP("*" &amp; C157 &amp; "*",Terms!D:E,2,FALSE),"")</f>
        <v/>
      </c>
      <c r="I157" s="1" t="str">
        <f>IFERROR(VLOOKUP("*" &amp; C157 &amp; "*",'Terms 2'!B:D,3,FALSE),"")</f>
        <v/>
      </c>
    </row>
    <row r="158" spans="2:9">
      <c r="B158" s="1" t="str">
        <f t="shared" si="2"/>
        <v>Low quality is never okay.</v>
      </c>
      <c r="C158" s="47" t="s">
        <v>4513</v>
      </c>
      <c r="D158" s="49" t="s">
        <v>4887</v>
      </c>
      <c r="E158" s="1" t="str" cm="1">
        <f t="array" ref="E158">IFERROR(
  _xlfn.LET(
    _xlpm.searchText, Tests!$C158,
    _xlpm.dataRange, ITTO!$B$3:$F$300,
    _xlpm.headers, ITTO!$B$2:$F$2,
    _xlpm.matchMatrix, ISNUMBER(SEARCH(_xlpm.searchText, _xlpm.dataRange)),
    _xlpm.colMatch, _xlfn.XMATCH(TRUE, _xlfn.BYCOL(_xlpm.matchMatrix, _xlfn.LAMBDA(_xlpm.col, OR(_xlpm.col)))),
    INDEX(_xlpm.headers, _xlpm.colMatch)
  ),
  ""
)</f>
        <v/>
      </c>
      <c r="F158" s="1" t="str" cm="1">
        <f t="array" ref="F158">IFERROR(_xlfn.LET(_xlpm.searchText, Tests!$C158,_xlpm.dataRange, PMBOK!$B$3:$F$300,_xlpm.headers, PMBOK!$B$2:$F$2,_xlpm.matchMatrix, ISNUMBER(SEARCH(_xlpm.searchText, _xlpm.dataRange)),_xlpm.colMatch, _xlfn.XMATCH(TRUE, _xlfn.BYCOL(_xlpm.matchMatrix, _xlfn.LAMBDA(_xlpm.col, OR(_xlpm.col)))),INDEX(_xlpm.headers, _xlpm.colMatch)),"")</f>
        <v/>
      </c>
      <c r="G158" s="1" t="str" cm="1">
        <f t="array" ref="G158">IFERROR(_xlfn.LET(_xlpm.searchText, Tests!$C158,_xlpm.dataRange, 'Rita Quick test'!$B$3:$P$57,_xlpm.headers, 'Rita Quick test'!$B$2:$P$2,_xlpm.matchMatrix, ISNUMBER(SEARCH(_xlpm.searchText, _xlpm.dataRange)),_xlpm.colMatch, _xlfn.XMATCH(TRUE, _xlfn.BYCOL(_xlpm.matchMatrix, _xlfn.LAMBDA(_xlpm.col, OR(_xlpm.col)))),INDEX(_xlpm.headers, _xlpm.colMatch)),"")</f>
        <v/>
      </c>
      <c r="H158" s="1" t="str">
        <f>IFERROR(VLOOKUP("*" &amp; C158 &amp; "*",Terms!D:E,2,FALSE),"")</f>
        <v/>
      </c>
      <c r="I158" s="1" t="str">
        <f>IFERROR(VLOOKUP("*" &amp; C158 &amp; "*",'Terms 2'!B:D,3,FALSE),"")</f>
        <v/>
      </c>
    </row>
    <row r="159" spans="2:9">
      <c r="B159" s="1" t="str">
        <f t="shared" si="2"/>
        <v/>
      </c>
      <c r="C159" s="47" t="s">
        <v>4810</v>
      </c>
      <c r="D159" s="1" t="s">
        <v>4848</v>
      </c>
      <c r="E159" s="1" t="str" cm="1">
        <f t="array" ref="E159">IFERROR(
  _xlfn.LET(
    _xlpm.searchText, Tests!$C159,
    _xlpm.dataRange, ITTO!$B$3:$F$300,
    _xlpm.headers, ITTO!$B$2:$F$2,
    _xlpm.matchMatrix, ISNUMBER(SEARCH(_xlpm.searchText, _xlpm.dataRange)),
    _xlpm.colMatch, _xlfn.XMATCH(TRUE, _xlfn.BYCOL(_xlpm.matchMatrix, _xlfn.LAMBDA(_xlpm.col, OR(_xlpm.col)))),
    INDEX(_xlpm.headers, _xlpm.colMatch)
  ),
  ""
)</f>
        <v/>
      </c>
      <c r="F159" s="1" t="str" cm="1">
        <f t="array" ref="F159">IFERROR(_xlfn.LET(_xlpm.searchText, Tests!$C159,_xlpm.dataRange, PMBOK!$B$3:$F$300,_xlpm.headers, PMBOK!$B$2:$F$2,_xlpm.matchMatrix, ISNUMBER(SEARCH(_xlpm.searchText, _xlpm.dataRange)),_xlpm.colMatch, _xlfn.XMATCH(TRUE, _xlfn.BYCOL(_xlpm.matchMatrix, _xlfn.LAMBDA(_xlpm.col, OR(_xlpm.col)))),INDEX(_xlpm.headers, _xlpm.colMatch)),"")</f>
        <v/>
      </c>
      <c r="G159" s="1" t="str" cm="1">
        <f t="array" ref="G159">IFERROR(_xlfn.LET(_xlpm.searchText, Tests!$C159,_xlpm.dataRange, 'Rita Quick test'!$B$3:$P$57,_xlpm.headers, 'Rita Quick test'!$B$2:$P$2,_xlpm.matchMatrix, ISNUMBER(SEARCH(_xlpm.searchText, _xlpm.dataRange)),_xlpm.colMatch, _xlfn.XMATCH(TRUE, _xlfn.BYCOL(_xlpm.matchMatrix, _xlfn.LAMBDA(_xlpm.col, OR(_xlpm.col)))),INDEX(_xlpm.headers, _xlpm.colMatch)),"")</f>
        <v/>
      </c>
      <c r="H159" s="1" t="str">
        <f>IFERROR(VLOOKUP("*" &amp; C159 &amp; "*",Terms!D:E,2,FALSE),"")</f>
        <v/>
      </c>
      <c r="I159" s="1" t="str">
        <f>IFERROR(VLOOKUP("*" &amp; C159 &amp; "*",'Terms 2'!B:D,3,FALSE),"")</f>
        <v/>
      </c>
    </row>
    <row r="160" spans="2:9">
      <c r="B160" s="1" t="str">
        <f t="shared" si="2"/>
        <v/>
      </c>
      <c r="C160" s="47" t="s">
        <v>4811</v>
      </c>
      <c r="D160" s="1" t="s">
        <v>4848</v>
      </c>
      <c r="E160" s="1" t="str" cm="1">
        <f t="array" ref="E160">IFERROR(
  _xlfn.LET(
    _xlpm.searchText, Tests!$C160,
    _xlpm.dataRange, ITTO!$B$3:$F$300,
    _xlpm.headers, ITTO!$B$2:$F$2,
    _xlpm.matchMatrix, ISNUMBER(SEARCH(_xlpm.searchText, _xlpm.dataRange)),
    _xlpm.colMatch, _xlfn.XMATCH(TRUE, _xlfn.BYCOL(_xlpm.matchMatrix, _xlfn.LAMBDA(_xlpm.col, OR(_xlpm.col)))),
    INDEX(_xlpm.headers, _xlpm.colMatch)
  ),
  ""
)</f>
        <v/>
      </c>
      <c r="F160" s="1" t="str" cm="1">
        <f t="array" ref="F160">IFERROR(_xlfn.LET(_xlpm.searchText, Tests!$C160,_xlpm.dataRange, PMBOK!$B$3:$F$300,_xlpm.headers, PMBOK!$B$2:$F$2,_xlpm.matchMatrix, ISNUMBER(SEARCH(_xlpm.searchText, _xlpm.dataRange)),_xlpm.colMatch, _xlfn.XMATCH(TRUE, _xlfn.BYCOL(_xlpm.matchMatrix, _xlfn.LAMBDA(_xlpm.col, OR(_xlpm.col)))),INDEX(_xlpm.headers, _xlpm.colMatch)),"")</f>
        <v/>
      </c>
      <c r="G160" s="1" t="str" cm="1">
        <f t="array" ref="G160">IFERROR(_xlfn.LET(_xlpm.searchText, Tests!$C160,_xlpm.dataRange, 'Rita Quick test'!$B$3:$P$57,_xlpm.headers, 'Rita Quick test'!$B$2:$P$2,_xlpm.matchMatrix, ISNUMBER(SEARCH(_xlpm.searchText, _xlpm.dataRange)),_xlpm.colMatch, _xlfn.XMATCH(TRUE, _xlfn.BYCOL(_xlpm.matchMatrix, _xlfn.LAMBDA(_xlpm.col, OR(_xlpm.col)))),INDEX(_xlpm.headers, _xlpm.colMatch)),"")</f>
        <v/>
      </c>
      <c r="H160" s="1" t="str">
        <f>IFERROR(VLOOKUP("*" &amp; C160 &amp; "*",Terms!D:E,2,FALSE),"")</f>
        <v/>
      </c>
      <c r="I160" s="1" t="str">
        <f>IFERROR(VLOOKUP("*" &amp; C160 &amp; "*",'Terms 2'!B:D,3,FALSE),"")</f>
        <v/>
      </c>
    </row>
    <row r="161" spans="2:9">
      <c r="B161" s="1" t="str">
        <f t="shared" si="2"/>
        <v>A histogram is a bar chart that usually shows frequency of something.</v>
      </c>
      <c r="C161" s="47" t="s">
        <v>2790</v>
      </c>
      <c r="D161" s="49" t="s">
        <v>4888</v>
      </c>
      <c r="E161" s="1" t="str" cm="1">
        <f t="array" ref="E161">IFERROR(
  _xlfn.LET(
    _xlpm.searchText, Tests!$C161,
    _xlpm.dataRange, ITTO!$B$3:$F$300,
    _xlpm.headers, ITTO!$B$2:$F$2,
    _xlpm.matchMatrix, ISNUMBER(SEARCH(_xlpm.searchText, _xlpm.dataRange)),
    _xlpm.colMatch, _xlfn.XMATCH(TRUE, _xlfn.BYCOL(_xlpm.matchMatrix, _xlfn.LAMBDA(_xlpm.col, OR(_xlpm.col)))),
    INDEX(_xlpm.headers, _xlpm.colMatch)
  ),
  ""
)</f>
        <v/>
      </c>
      <c r="F161" s="1" t="str" cm="1">
        <f t="array" ref="F161">IFERROR(_xlfn.LET(_xlpm.searchText, Tests!$C161,_xlpm.dataRange, PMBOK!$B$3:$F$300,_xlpm.headers, PMBOK!$B$2:$F$2,_xlpm.matchMatrix, ISNUMBER(SEARCH(_xlpm.searchText, _xlpm.dataRange)),_xlpm.colMatch, _xlfn.XMATCH(TRUE, _xlfn.BYCOL(_xlpm.matchMatrix, _xlfn.LAMBDA(_xlpm.col, OR(_xlpm.col)))),INDEX(_xlpm.headers, _xlpm.colMatch)),"")</f>
        <v/>
      </c>
      <c r="G161" s="1" t="str" cm="1">
        <f t="array" ref="G161">IFERROR(_xlfn.LET(_xlpm.searchText, Tests!$C161,_xlpm.dataRange, 'Rita Quick test'!$B$3:$P$57,_xlpm.headers, 'Rita Quick test'!$B$2:$P$2,_xlpm.matchMatrix, ISNUMBER(SEARCH(_xlpm.searchText, _xlpm.dataRange)),_xlpm.colMatch, _xlfn.XMATCH(TRUE, _xlfn.BYCOL(_xlpm.matchMatrix, _xlfn.LAMBDA(_xlpm.col, OR(_xlpm.col)))),INDEX(_xlpm.headers, _xlpm.colMatch)),"")</f>
        <v>Build and Support Team Performance</v>
      </c>
      <c r="H161" s="1" t="str">
        <f>IFERROR(VLOOKUP("*" &amp; C161 &amp; "*",Terms!D:E,2,FALSE),"")</f>
        <v/>
      </c>
      <c r="I161" s="1" t="str">
        <f>IFERROR(VLOOKUP("*" &amp; C161 &amp; "*",'Terms 2'!B:D,3,FALSE),"")</f>
        <v xml:space="preserve"> A bar chart that shows the graphical representation of numerical data</v>
      </c>
    </row>
    <row r="162" spans="2:9">
      <c r="B162" s="1" t="str">
        <f t="shared" si="2"/>
        <v>A histogram is a bar chart and a flowchart is used to represent a process graphically.</v>
      </c>
      <c r="C162" s="47" t="s">
        <v>4654</v>
      </c>
      <c r="D162" s="49" t="s">
        <v>4889</v>
      </c>
      <c r="E162" s="1" t="str" cm="1">
        <f t="array" ref="E162">IFERROR(
  _xlfn.LET(
    _xlpm.searchText, Tests!$C162,
    _xlpm.dataRange, ITTO!$B$3:$F$300,
    _xlpm.headers, ITTO!$B$2:$F$2,
    _xlpm.matchMatrix, ISNUMBER(SEARCH(_xlpm.searchText, _xlpm.dataRange)),
    _xlpm.colMatch, _xlfn.XMATCH(TRUE, _xlfn.BYCOL(_xlpm.matchMatrix, _xlfn.LAMBDA(_xlpm.col, OR(_xlpm.col)))),
    INDEX(_xlpm.headers, _xlpm.colMatch)
  ),
  ""
)</f>
        <v/>
      </c>
      <c r="F162" s="1" t="str" cm="1">
        <f t="array" ref="F162">IFERROR(_xlfn.LET(_xlpm.searchText, Tests!$C162,_xlpm.dataRange, PMBOK!$B$3:$F$300,_xlpm.headers, PMBOK!$B$2:$F$2,_xlpm.matchMatrix, ISNUMBER(SEARCH(_xlpm.searchText, _xlpm.dataRange)),_xlpm.colMatch, _xlfn.XMATCH(TRUE, _xlfn.BYCOL(_xlpm.matchMatrix, _xlfn.LAMBDA(_xlpm.col, OR(_xlpm.col)))),INDEX(_xlpm.headers, _xlpm.colMatch)),"")</f>
        <v/>
      </c>
      <c r="G162" s="1" t="str" cm="1">
        <f t="array" ref="G162">IFERROR(_xlfn.LET(_xlpm.searchText, Tests!$C162,_xlpm.dataRange, 'Rita Quick test'!$B$3:$P$57,_xlpm.headers, 'Rita Quick test'!$B$2:$P$2,_xlpm.matchMatrix, ISNUMBER(SEARCH(_xlpm.searchText, _xlpm.dataRange)),_xlpm.colMatch, _xlfn.XMATCH(TRUE, _xlfn.BYCOL(_xlpm.matchMatrix, _xlfn.LAMBDA(_xlpm.col, OR(_xlpm.col)))),INDEX(_xlpm.headers, _xlpm.colMatch)),"")</f>
        <v/>
      </c>
      <c r="H162" s="1" t="str">
        <f>IFERROR(VLOOKUP("*" &amp; C162 &amp; "*",Terms!D:E,2,FALSE),"")</f>
        <v/>
      </c>
      <c r="I162" s="1" t="str">
        <f>IFERROR(VLOOKUP("*" &amp; C162 &amp; "*",'Terms 2'!B:D,3,FALSE),"")</f>
        <v/>
      </c>
    </row>
    <row r="163" spans="2:9">
      <c r="B163" s="1" t="str">
        <f t="shared" si="2"/>
        <v>histogram, such as a Pareto chart, is a bar chart that shows the frequency of things.</v>
      </c>
      <c r="C163" s="47" t="s">
        <v>4654</v>
      </c>
      <c r="D163" s="48" t="s">
        <v>4833</v>
      </c>
      <c r="E163" s="1" t="str" cm="1">
        <f t="array" ref="E163">IFERROR(
  _xlfn.LET(
    _xlpm.searchText, Tests!$C163,
    _xlpm.dataRange, ITTO!$B$3:$F$300,
    _xlpm.headers, ITTO!$B$2:$F$2,
    _xlpm.matchMatrix, ISNUMBER(SEARCH(_xlpm.searchText, _xlpm.dataRange)),
    _xlpm.colMatch, _xlfn.XMATCH(TRUE, _xlfn.BYCOL(_xlpm.matchMatrix, _xlfn.LAMBDA(_xlpm.col, OR(_xlpm.col)))),
    INDEX(_xlpm.headers, _xlpm.colMatch)
  ),
  ""
)</f>
        <v/>
      </c>
      <c r="F163" s="1" t="str" cm="1">
        <f t="array" ref="F163">IFERROR(_xlfn.LET(_xlpm.searchText, Tests!$C163,_xlpm.dataRange, PMBOK!$B$3:$F$300,_xlpm.headers, PMBOK!$B$2:$F$2,_xlpm.matchMatrix, ISNUMBER(SEARCH(_xlpm.searchText, _xlpm.dataRange)),_xlpm.colMatch, _xlfn.XMATCH(TRUE, _xlfn.BYCOL(_xlpm.matchMatrix, _xlfn.LAMBDA(_xlpm.col, OR(_xlpm.col)))),INDEX(_xlpm.headers, _xlpm.colMatch)),"")</f>
        <v/>
      </c>
      <c r="G163" s="1" t="str" cm="1">
        <f t="array" ref="G163">IFERROR(_xlfn.LET(_xlpm.searchText, Tests!$C163,_xlpm.dataRange, 'Rita Quick test'!$B$3:$P$57,_xlpm.headers, 'Rita Quick test'!$B$2:$P$2,_xlpm.matchMatrix, ISNUMBER(SEARCH(_xlpm.searchText, _xlpm.dataRange)),_xlpm.colMatch, _xlfn.XMATCH(TRUE, _xlfn.BYCOL(_xlpm.matchMatrix, _xlfn.LAMBDA(_xlpm.col, OR(_xlpm.col)))),INDEX(_xlpm.headers, _xlpm.colMatch)),"")</f>
        <v/>
      </c>
      <c r="H163" s="1" t="str">
        <f>IFERROR(VLOOKUP("*" &amp; C163 &amp; "*",Terms!D:E,2,FALSE),"")</f>
        <v/>
      </c>
      <c r="I163" s="1" t="str">
        <f>IFERROR(VLOOKUP("*" &amp; C163 &amp; "*",'Terms 2'!B:D,3,FALSE),"")</f>
        <v/>
      </c>
    </row>
    <row r="164" spans="2:9">
      <c r="B164" s="1" t="str">
        <f t="shared" si="2"/>
        <v>histograms are used to show the frequency of defects</v>
      </c>
      <c r="C164" s="47" t="s">
        <v>4492</v>
      </c>
      <c r="D164" s="49" t="s">
        <v>4497</v>
      </c>
      <c r="E164" s="1" t="str" cm="1">
        <f t="array" ref="E164">IFERROR(
  _xlfn.LET(
    _xlpm.searchText, Tests!$C164,
    _xlpm.dataRange, ITTO!$B$3:$F$300,
    _xlpm.headers, ITTO!$B$2:$F$2,
    _xlpm.matchMatrix, ISNUMBER(SEARCH(_xlpm.searchText, _xlpm.dataRange)),
    _xlpm.colMatch, _xlfn.XMATCH(TRUE, _xlfn.BYCOL(_xlpm.matchMatrix, _xlfn.LAMBDA(_xlpm.col, OR(_xlpm.col)))),
    INDEX(_xlpm.headers, _xlpm.colMatch)
  ),
  ""
)</f>
        <v/>
      </c>
      <c r="F164" s="1" t="str" cm="1">
        <f t="array" ref="F164">IFERROR(_xlfn.LET(_xlpm.searchText, Tests!$C164,_xlpm.dataRange, PMBOK!$B$3:$F$300,_xlpm.headers, PMBOK!$B$2:$F$2,_xlpm.matchMatrix, ISNUMBER(SEARCH(_xlpm.searchText, _xlpm.dataRange)),_xlpm.colMatch, _xlfn.XMATCH(TRUE, _xlfn.BYCOL(_xlpm.matchMatrix, _xlfn.LAMBDA(_xlpm.col, OR(_xlpm.col)))),INDEX(_xlpm.headers, _xlpm.colMatch)),"")</f>
        <v/>
      </c>
      <c r="G164" s="1" t="str" cm="1">
        <f t="array" ref="G164">IFERROR(_xlfn.LET(_xlpm.searchText, Tests!$C164,_xlpm.dataRange, 'Rita Quick test'!$B$3:$P$57,_xlpm.headers, 'Rita Quick test'!$B$2:$P$2,_xlpm.matchMatrix, ISNUMBER(SEARCH(_xlpm.searchText, _xlpm.dataRange)),_xlpm.colMatch, _xlfn.XMATCH(TRUE, _xlfn.BYCOL(_xlpm.matchMatrix, _xlfn.LAMBDA(_xlpm.col, OR(_xlpm.col)))),INDEX(_xlpm.headers, _xlpm.colMatch)),"")</f>
        <v/>
      </c>
      <c r="H164" s="1" t="str">
        <f>IFERROR(VLOOKUP("*" &amp; C164 &amp; "*",Terms!D:E,2,FALSE),"")</f>
        <v/>
      </c>
      <c r="I164" s="1" t="str">
        <f>IFERROR(VLOOKUP("*" &amp; C164 &amp; "*",'Terms 2'!B:D,3,FALSE),"")</f>
        <v/>
      </c>
    </row>
    <row r="165" spans="2:9">
      <c r="B165" s="1" t="str">
        <f t="shared" si="2"/>
        <v>A project kickoff meeting is generally done after planning a large project to bring the team together and inform them of the project requirements</v>
      </c>
      <c r="C165" s="47" t="s">
        <v>4630</v>
      </c>
      <c r="D165" s="49" t="s">
        <v>4632</v>
      </c>
      <c r="E165" s="1" t="str" cm="1">
        <f t="array" ref="E165">IFERROR(
  _xlfn.LET(
    _xlpm.searchText, Tests!$C165,
    _xlpm.dataRange, ITTO!$B$3:$F$300,
    _xlpm.headers, ITTO!$B$2:$F$2,
    _xlpm.matchMatrix, ISNUMBER(SEARCH(_xlpm.searchText, _xlpm.dataRange)),
    _xlpm.colMatch, _xlfn.XMATCH(TRUE, _xlfn.BYCOL(_xlpm.matchMatrix, _xlfn.LAMBDA(_xlpm.col, OR(_xlpm.col)))),
    INDEX(_xlpm.headers, _xlpm.colMatch)
  ),
  ""
)</f>
        <v/>
      </c>
      <c r="F165" s="1" t="str" cm="1">
        <f t="array" ref="F165">IFERROR(_xlfn.LET(_xlpm.searchText, Tests!$C165,_xlpm.dataRange, PMBOK!$B$3:$F$300,_xlpm.headers, PMBOK!$B$2:$F$2,_xlpm.matchMatrix, ISNUMBER(SEARCH(_xlpm.searchText, _xlpm.dataRange)),_xlpm.colMatch, _xlfn.XMATCH(TRUE, _xlfn.BYCOL(_xlpm.matchMatrix, _xlfn.LAMBDA(_xlpm.col, OR(_xlpm.col)))),INDEX(_xlpm.headers, _xlpm.colMatch)),"")</f>
        <v/>
      </c>
      <c r="G165" s="1" t="str" cm="1">
        <f t="array" ref="G165">IFERROR(_xlfn.LET(_xlpm.searchText, Tests!$C165,_xlpm.dataRange, 'Rita Quick test'!$B$3:$P$57,_xlpm.headers, 'Rita Quick test'!$B$2:$P$2,_xlpm.matchMatrix, ISNUMBER(SEARCH(_xlpm.searchText, _xlpm.dataRange)),_xlpm.colMatch, _xlfn.XMATCH(TRUE, _xlfn.BYCOL(_xlpm.matchMatrix, _xlfn.LAMBDA(_xlpm.col, OR(_xlpm.col)))),INDEX(_xlpm.headers, _xlpm.colMatch)),"")</f>
        <v/>
      </c>
      <c r="H165" s="1" t="str">
        <f>IFERROR(VLOOKUP("*" &amp; C165 &amp; "*",Terms!D:E,2,FALSE),"")</f>
        <v/>
      </c>
      <c r="I165" s="1" t="str">
        <f>IFERROR(VLOOKUP("*" &amp; C165 &amp; "*",'Terms 2'!B:D,3,FALSE),"")</f>
        <v/>
      </c>
    </row>
    <row r="166" spans="2:9">
      <c r="B166" s="1" t="str">
        <f t="shared" si="2"/>
        <v/>
      </c>
      <c r="C166" s="47" t="s">
        <v>4766</v>
      </c>
      <c r="D166" s="1" t="s">
        <v>4848</v>
      </c>
      <c r="E166" s="1" t="str" cm="1">
        <f t="array" ref="E166">IFERROR(
  _xlfn.LET(
    _xlpm.searchText, Tests!$C166,
    _xlpm.dataRange, ITTO!$B$3:$F$300,
    _xlpm.headers, ITTO!$B$2:$F$2,
    _xlpm.matchMatrix, ISNUMBER(SEARCH(_xlpm.searchText, _xlpm.dataRange)),
    _xlpm.colMatch, _xlfn.XMATCH(TRUE, _xlfn.BYCOL(_xlpm.matchMatrix, _xlfn.LAMBDA(_xlpm.col, OR(_xlpm.col)))),
    INDEX(_xlpm.headers, _xlpm.colMatch)
  ),
  ""
)</f>
        <v/>
      </c>
      <c r="F166" s="1" t="str" cm="1">
        <f t="array" ref="F166">IFERROR(_xlfn.LET(_xlpm.searchText, Tests!$C166,_xlpm.dataRange, PMBOK!$B$3:$F$300,_xlpm.headers, PMBOK!$B$2:$F$2,_xlpm.matchMatrix, ISNUMBER(SEARCH(_xlpm.searchText, _xlpm.dataRange)),_xlpm.colMatch, _xlfn.XMATCH(TRUE, _xlfn.BYCOL(_xlpm.matchMatrix, _xlfn.LAMBDA(_xlpm.col, OR(_xlpm.col)))),INDEX(_xlpm.headers, _xlpm.colMatch)),"")</f>
        <v/>
      </c>
      <c r="G166" s="1" t="str" cm="1">
        <f t="array" ref="G166">IFERROR(_xlfn.LET(_xlpm.searchText, Tests!$C166,_xlpm.dataRange, 'Rita Quick test'!$B$3:$P$57,_xlpm.headers, 'Rita Quick test'!$B$2:$P$2,_xlpm.matchMatrix, ISNUMBER(SEARCH(_xlpm.searchText, _xlpm.dataRange)),_xlpm.colMatch, _xlfn.XMATCH(TRUE, _xlfn.BYCOL(_xlpm.matchMatrix, _xlfn.LAMBDA(_xlpm.col, OR(_xlpm.col)))),INDEX(_xlpm.headers, _xlpm.colMatch)),"")</f>
        <v/>
      </c>
      <c r="H166" s="1" t="str">
        <f>IFERROR(VLOOKUP("*" &amp; C166 &amp; "*",Terms!D:E,2,FALSE),"")</f>
        <v/>
      </c>
      <c r="I166" s="1" t="str">
        <f>IFERROR(VLOOKUP("*" &amp; C166 &amp; "*",'Terms 2'!B:D,3,FALSE),"")</f>
        <v/>
      </c>
    </row>
    <row r="167" spans="2:9">
      <c r="B167" s="1" t="str">
        <f t="shared" si="2"/>
        <v>When determining how much story work can get done in an iteration, the team should look at its velocity, which is based on how many points they were able to get done in previous iterations.</v>
      </c>
      <c r="C167" s="47" t="s">
        <v>4769</v>
      </c>
      <c r="D167" s="48" t="s">
        <v>4770</v>
      </c>
      <c r="E167" s="1" t="str" cm="1">
        <f t="array" ref="E167">IFERROR(
  _xlfn.LET(
    _xlpm.searchText, Tests!$C167,
    _xlpm.dataRange, ITTO!$B$3:$F$300,
    _xlpm.headers, ITTO!$B$2:$F$2,
    _xlpm.matchMatrix, ISNUMBER(SEARCH(_xlpm.searchText, _xlpm.dataRange)),
    _xlpm.colMatch, _xlfn.XMATCH(TRUE, _xlfn.BYCOL(_xlpm.matchMatrix, _xlfn.LAMBDA(_xlpm.col, OR(_xlpm.col)))),
    INDEX(_xlpm.headers, _xlpm.colMatch)
  ),
  ""
)</f>
        <v/>
      </c>
      <c r="F167" s="1" t="str" cm="1">
        <f t="array" ref="F167">IFERROR(_xlfn.LET(_xlpm.searchText, Tests!$C167,_xlpm.dataRange, PMBOK!$B$3:$F$300,_xlpm.headers, PMBOK!$B$2:$F$2,_xlpm.matchMatrix, ISNUMBER(SEARCH(_xlpm.searchText, _xlpm.dataRange)),_xlpm.colMatch, _xlfn.XMATCH(TRUE, _xlfn.BYCOL(_xlpm.matchMatrix, _xlfn.LAMBDA(_xlpm.col, OR(_xlpm.col)))),INDEX(_xlpm.headers, _xlpm.colMatch)),"")</f>
        <v/>
      </c>
      <c r="G167" s="1" t="str" cm="1">
        <f t="array" ref="G167">IFERROR(_xlfn.LET(_xlpm.searchText, Tests!$C167,_xlpm.dataRange, 'Rita Quick test'!$B$3:$P$57,_xlpm.headers, 'Rita Quick test'!$B$2:$P$2,_xlpm.matchMatrix, ISNUMBER(SEARCH(_xlpm.searchText, _xlpm.dataRange)),_xlpm.colMatch, _xlfn.XMATCH(TRUE, _xlfn.BYCOL(_xlpm.matchMatrix, _xlfn.LAMBDA(_xlpm.col, OR(_xlpm.col)))),INDEX(_xlpm.headers, _xlpm.colMatch)),"")</f>
        <v/>
      </c>
      <c r="H167" s="1" t="str">
        <f>IFERROR(VLOOKUP("*" &amp; C167 &amp; "*",Terms!D:E,2,FALSE),"")</f>
        <v/>
      </c>
      <c r="I167" s="1" t="str">
        <f>IFERROR(VLOOKUP("*" &amp; C167 &amp; "*",'Terms 2'!B:D,3,FALSE),"")</f>
        <v/>
      </c>
    </row>
    <row r="168" spans="2:9">
      <c r="B168" s="1" t="str">
        <f t="shared" si="2"/>
        <v/>
      </c>
      <c r="C168" s="46" t="s">
        <v>4733</v>
      </c>
      <c r="D168" s="1" t="s">
        <v>4848</v>
      </c>
      <c r="E168" s="1" t="str" cm="1">
        <f t="array" ref="E168">IFERROR(
  _xlfn.LET(
    _xlpm.searchText, Tests!$C168,
    _xlpm.dataRange, ITTO!$B$3:$F$300,
    _xlpm.headers, ITTO!$B$2:$F$2,
    _xlpm.matchMatrix, ISNUMBER(SEARCH(_xlpm.searchText, _xlpm.dataRange)),
    _xlpm.colMatch, _xlfn.XMATCH(TRUE, _xlfn.BYCOL(_xlpm.matchMatrix, _xlfn.LAMBDA(_xlpm.col, OR(_xlpm.col)))),
    INDEX(_xlpm.headers, _xlpm.colMatch)
  ),
  ""
)</f>
        <v/>
      </c>
      <c r="F168" s="1" t="str" cm="1">
        <f t="array" ref="F168">IFERROR(_xlfn.LET(_xlpm.searchText, Tests!$C168,_xlpm.dataRange, PMBOK!$B$3:$F$300,_xlpm.headers, PMBOK!$B$2:$F$2,_xlpm.matchMatrix, ISNUMBER(SEARCH(_xlpm.searchText, _xlpm.dataRange)),_xlpm.colMatch, _xlfn.XMATCH(TRUE, _xlfn.BYCOL(_xlpm.matchMatrix, _xlfn.LAMBDA(_xlpm.col, OR(_xlpm.col)))),INDEX(_xlpm.headers, _xlpm.colMatch)),"")</f>
        <v/>
      </c>
      <c r="G168" s="1" t="str" cm="1">
        <f t="array" ref="G168">IFERROR(_xlfn.LET(_xlpm.searchText, Tests!$C168,_xlpm.dataRange, 'Rita Quick test'!$B$3:$P$57,_xlpm.headers, 'Rita Quick test'!$B$2:$P$2,_xlpm.matchMatrix, ISNUMBER(SEARCH(_xlpm.searchText, _xlpm.dataRange)),_xlpm.colMatch, _xlfn.XMATCH(TRUE, _xlfn.BYCOL(_xlpm.matchMatrix, _xlfn.LAMBDA(_xlpm.col, OR(_xlpm.col)))),INDEX(_xlpm.headers, _xlpm.colMatch)),"")</f>
        <v/>
      </c>
      <c r="H168" s="1" t="str">
        <f>IFERROR(VLOOKUP("*" &amp; C168 &amp; "*",Terms!D:E,2,FALSE),"")</f>
        <v/>
      </c>
      <c r="I168" s="1" t="str">
        <f>IFERROR(VLOOKUP("*" &amp; C168 &amp; "*",'Terms 2'!B:D,3,FALSE),"")</f>
        <v/>
      </c>
    </row>
    <row r="169" spans="2:9">
      <c r="B169" s="1" t="str">
        <f t="shared" si="2"/>
        <v>There is no such thing as a cost reduction program in PMBOK.</v>
      </c>
      <c r="C169" s="47" t="s">
        <v>4640</v>
      </c>
      <c r="D169" s="49" t="s">
        <v>4644</v>
      </c>
      <c r="E169" s="1" t="str" cm="1">
        <f t="array" ref="E169">IFERROR(
  _xlfn.LET(
    _xlpm.searchText, Tests!$C169,
    _xlpm.dataRange, ITTO!$B$3:$F$300,
    _xlpm.headers, ITTO!$B$2:$F$2,
    _xlpm.matchMatrix, ISNUMBER(SEARCH(_xlpm.searchText, _xlpm.dataRange)),
    _xlpm.colMatch, _xlfn.XMATCH(TRUE, _xlfn.BYCOL(_xlpm.matchMatrix, _xlfn.LAMBDA(_xlpm.col, OR(_xlpm.col)))),
    INDEX(_xlpm.headers, _xlpm.colMatch)
  ),
  ""
)</f>
        <v/>
      </c>
      <c r="F169" s="1" t="str" cm="1">
        <f t="array" ref="F169">IFERROR(_xlfn.LET(_xlpm.searchText, Tests!$C169,_xlpm.dataRange, PMBOK!$B$3:$F$300,_xlpm.headers, PMBOK!$B$2:$F$2,_xlpm.matchMatrix, ISNUMBER(SEARCH(_xlpm.searchText, _xlpm.dataRange)),_xlpm.colMatch, _xlfn.XMATCH(TRUE, _xlfn.BYCOL(_xlpm.matchMatrix, _xlfn.LAMBDA(_xlpm.col, OR(_xlpm.col)))),INDEX(_xlpm.headers, _xlpm.colMatch)),"")</f>
        <v/>
      </c>
      <c r="G169" s="1" t="str" cm="1">
        <f t="array" ref="G169">IFERROR(_xlfn.LET(_xlpm.searchText, Tests!$C169,_xlpm.dataRange, 'Rita Quick test'!$B$3:$P$57,_xlpm.headers, 'Rita Quick test'!$B$2:$P$2,_xlpm.matchMatrix, ISNUMBER(SEARCH(_xlpm.searchText, _xlpm.dataRange)),_xlpm.colMatch, _xlfn.XMATCH(TRUE, _xlfn.BYCOL(_xlpm.matchMatrix, _xlfn.LAMBDA(_xlpm.col, OR(_xlpm.col)))),INDEX(_xlpm.headers, _xlpm.colMatch)),"")</f>
        <v/>
      </c>
      <c r="H169" s="1" t="str">
        <f>IFERROR(VLOOKUP("*" &amp; C169 &amp; "*",Terms!D:E,2,FALSE),"")</f>
        <v/>
      </c>
      <c r="I169" s="1" t="str">
        <f>IFERROR(VLOOKUP("*" &amp; C169 &amp; "*",'Terms 2'!B:D,3,FALSE),"")</f>
        <v/>
      </c>
    </row>
    <row r="170" spans="2:9">
      <c r="B170" s="1" t="str">
        <f t="shared" si="2"/>
        <v>An independent estimate is usually done by an outside entity to help give the project manager a more independent understanding of what certain project work will cost.</v>
      </c>
      <c r="C170" s="47" t="s">
        <v>4600</v>
      </c>
      <c r="D170" s="49" t="s">
        <v>4890</v>
      </c>
      <c r="E170" s="1" t="str" cm="1">
        <f t="array" ref="E170">IFERROR(
  _xlfn.LET(
    _xlpm.searchText, Tests!$C170,
    _xlpm.dataRange, ITTO!$B$3:$F$300,
    _xlpm.headers, ITTO!$B$2:$F$2,
    _xlpm.matchMatrix, ISNUMBER(SEARCH(_xlpm.searchText, _xlpm.dataRange)),
    _xlpm.colMatch, _xlfn.XMATCH(TRUE, _xlfn.BYCOL(_xlpm.matchMatrix, _xlfn.LAMBDA(_xlpm.col, OR(_xlpm.col)))),
    INDEX(_xlpm.headers, _xlpm.colMatch)
  ),
  ""
)</f>
        <v/>
      </c>
      <c r="F170" s="1" t="str" cm="1">
        <f t="array" ref="F170">IFERROR(_xlfn.LET(_xlpm.searchText, Tests!$C170,_xlpm.dataRange, PMBOK!$B$3:$F$300,_xlpm.headers, PMBOK!$B$2:$F$2,_xlpm.matchMatrix, ISNUMBER(SEARCH(_xlpm.searchText, _xlpm.dataRange)),_xlpm.colMatch, _xlfn.XMATCH(TRUE, _xlfn.BYCOL(_xlpm.matchMatrix, _xlfn.LAMBDA(_xlpm.col, OR(_xlpm.col)))),INDEX(_xlpm.headers, _xlpm.colMatch)),"")</f>
        <v/>
      </c>
      <c r="G170" s="1" t="str" cm="1">
        <f t="array" ref="G170">IFERROR(_xlfn.LET(_xlpm.searchText, Tests!$C170,_xlpm.dataRange, 'Rita Quick test'!$B$3:$P$57,_xlpm.headers, 'Rita Quick test'!$B$2:$P$2,_xlpm.matchMatrix, ISNUMBER(SEARCH(_xlpm.searchText, _xlpm.dataRange)),_xlpm.colMatch, _xlfn.XMATCH(TRUE, _xlfn.BYCOL(_xlpm.matchMatrix, _xlfn.LAMBDA(_xlpm.col, OR(_xlpm.col)))),INDEX(_xlpm.headers, _xlpm.colMatch)),"")</f>
        <v/>
      </c>
      <c r="H170" s="1" t="str">
        <f>IFERROR(VLOOKUP("*" &amp; C170 &amp; "*",Terms!D:E,2,FALSE),"")</f>
        <v/>
      </c>
      <c r="I170" s="1" t="str">
        <f>IFERROR(VLOOKUP("*" &amp; C170 &amp; "*",'Terms 2'!B:D,3,FALSE),"")</f>
        <v/>
      </c>
    </row>
    <row r="171" spans="2:9">
      <c r="B171" s="1" t="str">
        <f t="shared" si="2"/>
        <v/>
      </c>
      <c r="C171" s="47" t="s">
        <v>4782</v>
      </c>
      <c r="D171" s="1" t="s">
        <v>4848</v>
      </c>
      <c r="E171" s="1" t="str" cm="1">
        <f t="array" ref="E171">IFERROR(
  _xlfn.LET(
    _xlpm.searchText, Tests!$C171,
    _xlpm.dataRange, ITTO!$B$3:$F$300,
    _xlpm.headers, ITTO!$B$2:$F$2,
    _xlpm.matchMatrix, ISNUMBER(SEARCH(_xlpm.searchText, _xlpm.dataRange)),
    _xlpm.colMatch, _xlfn.XMATCH(TRUE, _xlfn.BYCOL(_xlpm.matchMatrix, _xlfn.LAMBDA(_xlpm.col, OR(_xlpm.col)))),
    INDEX(_xlpm.headers, _xlpm.colMatch)
  ),
  ""
)</f>
        <v/>
      </c>
      <c r="F171" s="1" t="str" cm="1">
        <f t="array" ref="F171">IFERROR(_xlfn.LET(_xlpm.searchText, Tests!$C171,_xlpm.dataRange, PMBOK!$B$3:$F$300,_xlpm.headers, PMBOK!$B$2:$F$2,_xlpm.matchMatrix, ISNUMBER(SEARCH(_xlpm.searchText, _xlpm.dataRange)),_xlpm.colMatch, _xlfn.XMATCH(TRUE, _xlfn.BYCOL(_xlpm.matchMatrix, _xlfn.LAMBDA(_xlpm.col, OR(_xlpm.col)))),INDEX(_xlpm.headers, _xlpm.colMatch)),"")</f>
        <v/>
      </c>
      <c r="G171" s="1" t="str" cm="1">
        <f t="array" ref="G171">IFERROR(_xlfn.LET(_xlpm.searchText, Tests!$C171,_xlpm.dataRange, 'Rita Quick test'!$B$3:$P$57,_xlpm.headers, 'Rita Quick test'!$B$2:$P$2,_xlpm.matchMatrix, ISNUMBER(SEARCH(_xlpm.searchText, _xlpm.dataRange)),_xlpm.colMatch, _xlfn.XMATCH(TRUE, _xlfn.BYCOL(_xlpm.matchMatrix, _xlfn.LAMBDA(_xlpm.col, OR(_xlpm.col)))),INDEX(_xlpm.headers, _xlpm.colMatch)),"")</f>
        <v/>
      </c>
      <c r="H171" s="1" t="str">
        <f>IFERROR(VLOOKUP("*" &amp; C171 &amp; "*",Terms!D:E,2,FALSE),"")</f>
        <v/>
      </c>
      <c r="I171" s="1" t="str">
        <f>IFERROR(VLOOKUP("*" &amp; C171 &amp; "*",'Terms 2'!B:D,3,FALSE),"")</f>
        <v/>
      </c>
    </row>
    <row r="172" spans="2:9">
      <c r="B172" s="1" t="str">
        <f t="shared" si="2"/>
        <v>There is no need to inform senior management, as they approved the plan</v>
      </c>
      <c r="C172" s="46" t="s">
        <v>4631</v>
      </c>
      <c r="D172" s="49" t="s">
        <v>4633</v>
      </c>
      <c r="E172" s="1" t="str" cm="1">
        <f t="array" ref="E172">IFERROR(
  _xlfn.LET(
    _xlpm.searchText, Tests!$C172,
    _xlpm.dataRange, ITTO!$B$3:$F$300,
    _xlpm.headers, ITTO!$B$2:$F$2,
    _xlpm.matchMatrix, ISNUMBER(SEARCH(_xlpm.searchText, _xlpm.dataRange)),
    _xlpm.colMatch, _xlfn.XMATCH(TRUE, _xlfn.BYCOL(_xlpm.matchMatrix, _xlfn.LAMBDA(_xlpm.col, OR(_xlpm.col)))),
    INDEX(_xlpm.headers, _xlpm.colMatch)
  ),
  ""
)</f>
        <v/>
      </c>
      <c r="F172" s="1" t="str" cm="1">
        <f t="array" ref="F172">IFERROR(_xlfn.LET(_xlpm.searchText, Tests!$C172,_xlpm.dataRange, PMBOK!$B$3:$F$300,_xlpm.headers, PMBOK!$B$2:$F$2,_xlpm.matchMatrix, ISNUMBER(SEARCH(_xlpm.searchText, _xlpm.dataRange)),_xlpm.colMatch, _xlfn.XMATCH(TRUE, _xlfn.BYCOL(_xlpm.matchMatrix, _xlfn.LAMBDA(_xlpm.col, OR(_xlpm.col)))),INDEX(_xlpm.headers, _xlpm.colMatch)),"")</f>
        <v/>
      </c>
      <c r="G172" s="1" t="str" cm="1">
        <f t="array" ref="G172">IFERROR(_xlfn.LET(_xlpm.searchText, Tests!$C172,_xlpm.dataRange, 'Rita Quick test'!$B$3:$P$57,_xlpm.headers, 'Rita Quick test'!$B$2:$P$2,_xlpm.matchMatrix, ISNUMBER(SEARCH(_xlpm.searchText, _xlpm.dataRange)),_xlpm.colMatch, _xlfn.XMATCH(TRUE, _xlfn.BYCOL(_xlpm.matchMatrix, _xlfn.LAMBDA(_xlpm.col, OR(_xlpm.col)))),INDEX(_xlpm.headers, _xlpm.colMatch)),"")</f>
        <v/>
      </c>
      <c r="H172" s="1" t="str">
        <f>IFERROR(VLOOKUP("*" &amp; C172 &amp; "*",Terms!D:E,2,FALSE),"")</f>
        <v/>
      </c>
      <c r="I172" s="1" t="str">
        <f>IFERROR(VLOOKUP("*" &amp; C172 &amp; "*",'Terms 2'!B:D,3,FALSE),"")</f>
        <v/>
      </c>
    </row>
    <row r="173" spans="2:9">
      <c r="B173" s="1" t="str">
        <f t="shared" si="2"/>
        <v>there is no need to inform the change control board again since its members have already denied it.</v>
      </c>
      <c r="C173" s="47" t="s">
        <v>4677</v>
      </c>
      <c r="D173" s="49" t="s">
        <v>4680</v>
      </c>
      <c r="E173" s="1" t="str" cm="1">
        <f t="array" ref="E173">IFERROR(
  _xlfn.LET(
    _xlpm.searchText, Tests!$C173,
    _xlpm.dataRange, ITTO!$B$3:$F$300,
    _xlpm.headers, ITTO!$B$2:$F$2,
    _xlpm.matchMatrix, ISNUMBER(SEARCH(_xlpm.searchText, _xlpm.dataRange)),
    _xlpm.colMatch, _xlfn.XMATCH(TRUE, _xlfn.BYCOL(_xlpm.matchMatrix, _xlfn.LAMBDA(_xlpm.col, OR(_xlpm.col)))),
    INDEX(_xlpm.headers, _xlpm.colMatch)
  ),
  ""
)</f>
        <v/>
      </c>
      <c r="F173" s="1" t="str" cm="1">
        <f t="array" ref="F173">IFERROR(_xlfn.LET(_xlpm.searchText, Tests!$C173,_xlpm.dataRange, PMBOK!$B$3:$F$300,_xlpm.headers, PMBOK!$B$2:$F$2,_xlpm.matchMatrix, ISNUMBER(SEARCH(_xlpm.searchText, _xlpm.dataRange)),_xlpm.colMatch, _xlfn.XMATCH(TRUE, _xlfn.BYCOL(_xlpm.matchMatrix, _xlfn.LAMBDA(_xlpm.col, OR(_xlpm.col)))),INDEX(_xlpm.headers, _xlpm.colMatch)),"")</f>
        <v/>
      </c>
      <c r="G173" s="1" t="str" cm="1">
        <f t="array" ref="G173">IFERROR(_xlfn.LET(_xlpm.searchText, Tests!$C173,_xlpm.dataRange, 'Rita Quick test'!$B$3:$P$57,_xlpm.headers, 'Rita Quick test'!$B$2:$P$2,_xlpm.matchMatrix, ISNUMBER(SEARCH(_xlpm.searchText, _xlpm.dataRange)),_xlpm.colMatch, _xlfn.XMATCH(TRUE, _xlfn.BYCOL(_xlpm.matchMatrix, _xlfn.LAMBDA(_xlpm.col, OR(_xlpm.col)))),INDEX(_xlpm.headers, _xlpm.colMatch)),"")</f>
        <v/>
      </c>
      <c r="H173" s="1" t="str">
        <f>IFERROR(VLOOKUP("*" &amp; C173 &amp; "*",Terms!D:E,2,FALSE),"")</f>
        <v/>
      </c>
      <c r="I173" s="1" t="str">
        <f>IFERROR(VLOOKUP("*" &amp; C173 &amp; "*",'Terms 2'!B:D,3,FALSE),"")</f>
        <v/>
      </c>
    </row>
    <row r="174" spans="2:9">
      <c r="B174" s="1" t="str">
        <f t="shared" si="2"/>
        <v/>
      </c>
      <c r="C174" s="47" t="s">
        <v>4797</v>
      </c>
      <c r="D174" s="1" t="s">
        <v>4848</v>
      </c>
      <c r="E174" s="1" t="str" cm="1">
        <f t="array" ref="E174">IFERROR(
  _xlfn.LET(
    _xlpm.searchText, Tests!$C174,
    _xlpm.dataRange, ITTO!$B$3:$F$300,
    _xlpm.headers, ITTO!$B$2:$F$2,
    _xlpm.matchMatrix, ISNUMBER(SEARCH(_xlpm.searchText, _xlpm.dataRange)),
    _xlpm.colMatch, _xlfn.XMATCH(TRUE, _xlfn.BYCOL(_xlpm.matchMatrix, _xlfn.LAMBDA(_xlpm.col, OR(_xlpm.col)))),
    INDEX(_xlpm.headers, _xlpm.colMatch)
  ),
  ""
)</f>
        <v/>
      </c>
      <c r="F174" s="1" t="str" cm="1">
        <f t="array" ref="F174">IFERROR(_xlfn.LET(_xlpm.searchText, Tests!$C174,_xlpm.dataRange, PMBOK!$B$3:$F$300,_xlpm.headers, PMBOK!$B$2:$F$2,_xlpm.matchMatrix, ISNUMBER(SEARCH(_xlpm.searchText, _xlpm.dataRange)),_xlpm.colMatch, _xlfn.XMATCH(TRUE, _xlfn.BYCOL(_xlpm.matchMatrix, _xlfn.LAMBDA(_xlpm.col, OR(_xlpm.col)))),INDEX(_xlpm.headers, _xlpm.colMatch)),"")</f>
        <v/>
      </c>
      <c r="G174" s="1" t="str" cm="1">
        <f t="array" ref="G174">IFERROR(_xlfn.LET(_xlpm.searchText, Tests!$C174,_xlpm.dataRange, 'Rita Quick test'!$B$3:$P$57,_xlpm.headers, 'Rita Quick test'!$B$2:$P$2,_xlpm.matchMatrix, ISNUMBER(SEARCH(_xlpm.searchText, _xlpm.dataRange)),_xlpm.colMatch, _xlfn.XMATCH(TRUE, _xlfn.BYCOL(_xlpm.matchMatrix, _xlfn.LAMBDA(_xlpm.col, OR(_xlpm.col)))),INDEX(_xlpm.headers, _xlpm.colMatch)),"")</f>
        <v/>
      </c>
      <c r="H174" s="1" t="str">
        <f>IFERROR(VLOOKUP("*" &amp; C174 &amp; "*",Terms!D:E,2,FALSE),"")</f>
        <v/>
      </c>
      <c r="I174" s="1" t="str">
        <f>IFERROR(VLOOKUP("*" &amp; C174 &amp; "*",'Terms 2'!B:D,3,FALSE),"")</f>
        <v/>
      </c>
    </row>
    <row r="175" spans="2:9">
      <c r="B175" s="1" t="str">
        <f t="shared" si="2"/>
        <v>The best thing to do in this scenario would be to inform the customer that the change cannot be added due to the fact that it was already rejected by the change control board</v>
      </c>
      <c r="C175" s="47" t="s">
        <v>4675</v>
      </c>
      <c r="D175" s="49" t="s">
        <v>4679</v>
      </c>
      <c r="E175" s="1" t="str" cm="1">
        <f t="array" ref="E175">IFERROR(
  _xlfn.LET(
    _xlpm.searchText, Tests!$C175,
    _xlpm.dataRange, ITTO!$B$3:$F$300,
    _xlpm.headers, ITTO!$B$2:$F$2,
    _xlpm.matchMatrix, ISNUMBER(SEARCH(_xlpm.searchText, _xlpm.dataRange)),
    _xlpm.colMatch, _xlfn.XMATCH(TRUE, _xlfn.BYCOL(_xlpm.matchMatrix, _xlfn.LAMBDA(_xlpm.col, OR(_xlpm.col)))),
    INDEX(_xlpm.headers, _xlpm.colMatch)
  ),
  ""
)</f>
        <v/>
      </c>
      <c r="F175" s="1" t="str" cm="1">
        <f t="array" ref="F175">IFERROR(_xlfn.LET(_xlpm.searchText, Tests!$C175,_xlpm.dataRange, PMBOK!$B$3:$F$300,_xlpm.headers, PMBOK!$B$2:$F$2,_xlpm.matchMatrix, ISNUMBER(SEARCH(_xlpm.searchText, _xlpm.dataRange)),_xlpm.colMatch, _xlfn.XMATCH(TRUE, _xlfn.BYCOL(_xlpm.matchMatrix, _xlfn.LAMBDA(_xlpm.col, OR(_xlpm.col)))),INDEX(_xlpm.headers, _xlpm.colMatch)),"")</f>
        <v/>
      </c>
      <c r="G175" s="1" t="str" cm="1">
        <f t="array" ref="G175">IFERROR(_xlfn.LET(_xlpm.searchText, Tests!$C175,_xlpm.dataRange, 'Rita Quick test'!$B$3:$P$57,_xlpm.headers, 'Rita Quick test'!$B$2:$P$2,_xlpm.matchMatrix, ISNUMBER(SEARCH(_xlpm.searchText, _xlpm.dataRange)),_xlpm.colMatch, _xlfn.XMATCH(TRUE, _xlfn.BYCOL(_xlpm.matchMatrix, _xlfn.LAMBDA(_xlpm.col, OR(_xlpm.col)))),INDEX(_xlpm.headers, _xlpm.colMatch)),"")</f>
        <v/>
      </c>
      <c r="H175" s="1" t="str">
        <f>IFERROR(VLOOKUP("*" &amp; C175 &amp; "*",Terms!D:E,2,FALSE),"")</f>
        <v/>
      </c>
      <c r="I175" s="1" t="str">
        <f>IFERROR(VLOOKUP("*" &amp; C175 &amp; "*",'Terms 2'!B:D,3,FALSE),"")</f>
        <v/>
      </c>
    </row>
    <row r="176" spans="2:9">
      <c r="B176" s="1" t="str">
        <f t="shared" si="2"/>
        <v/>
      </c>
      <c r="C176" s="47" t="s">
        <v>4803</v>
      </c>
      <c r="D176" s="1" t="s">
        <v>4848</v>
      </c>
      <c r="E176" s="1" t="str" cm="1">
        <f t="array" ref="E176">IFERROR(
  _xlfn.LET(
    _xlpm.searchText, Tests!$C176,
    _xlpm.dataRange, ITTO!$B$3:$F$300,
    _xlpm.headers, ITTO!$B$2:$F$2,
    _xlpm.matchMatrix, ISNUMBER(SEARCH(_xlpm.searchText, _xlpm.dataRange)),
    _xlpm.colMatch, _xlfn.XMATCH(TRUE, _xlfn.BYCOL(_xlpm.matchMatrix, _xlfn.LAMBDA(_xlpm.col, OR(_xlpm.col)))),
    INDEX(_xlpm.headers, _xlpm.colMatch)
  ),
  ""
)</f>
        <v/>
      </c>
      <c r="F176" s="1" t="str" cm="1">
        <f t="array" ref="F176">IFERROR(_xlfn.LET(_xlpm.searchText, Tests!$C176,_xlpm.dataRange, PMBOK!$B$3:$F$300,_xlpm.headers, PMBOK!$B$2:$F$2,_xlpm.matchMatrix, ISNUMBER(SEARCH(_xlpm.searchText, _xlpm.dataRange)),_xlpm.colMatch, _xlfn.XMATCH(TRUE, _xlfn.BYCOL(_xlpm.matchMatrix, _xlfn.LAMBDA(_xlpm.col, OR(_xlpm.col)))),INDEX(_xlpm.headers, _xlpm.colMatch)),"")</f>
        <v/>
      </c>
      <c r="G176" s="1" t="str" cm="1">
        <f t="array" ref="G176">IFERROR(_xlfn.LET(_xlpm.searchText, Tests!$C176,_xlpm.dataRange, 'Rita Quick test'!$B$3:$P$57,_xlpm.headers, 'Rita Quick test'!$B$2:$P$2,_xlpm.matchMatrix, ISNUMBER(SEARCH(_xlpm.searchText, _xlpm.dataRange)),_xlpm.colMatch, _xlfn.XMATCH(TRUE, _xlfn.BYCOL(_xlpm.matchMatrix, _xlfn.LAMBDA(_xlpm.col, OR(_xlpm.col)))),INDEX(_xlpm.headers, _xlpm.colMatch)),"")</f>
        <v/>
      </c>
      <c r="H176" s="1" t="str">
        <f>IFERROR(VLOOKUP("*" &amp; C176 &amp; "*",Terms!D:E,2,FALSE),"")</f>
        <v/>
      </c>
      <c r="I176" s="1" t="str">
        <f>IFERROR(VLOOKUP("*" &amp; C176 &amp; "*",'Terms 2'!B:D,3,FALSE),"")</f>
        <v/>
      </c>
    </row>
    <row r="177" spans="2:9">
      <c r="B177" s="1" t="str">
        <f t="shared" si="2"/>
        <v/>
      </c>
      <c r="C177" s="47" t="s">
        <v>4651</v>
      </c>
      <c r="D177" s="1" t="s">
        <v>4848</v>
      </c>
      <c r="E177" s="1" t="str" cm="1">
        <f t="array" ref="E177">IFERROR(
  _xlfn.LET(
    _xlpm.searchText, Tests!$C177,
    _xlpm.dataRange, ITTO!$B$3:$F$300,
    _xlpm.headers, ITTO!$B$2:$F$2,
    _xlpm.matchMatrix, ISNUMBER(SEARCH(_xlpm.searchText, _xlpm.dataRange)),
    _xlpm.colMatch, _xlfn.XMATCH(TRUE, _xlfn.BYCOL(_xlpm.matchMatrix, _xlfn.LAMBDA(_xlpm.col, OR(_xlpm.col)))),
    INDEX(_xlpm.headers, _xlpm.colMatch)
  ),
  ""
)</f>
        <v/>
      </c>
      <c r="F177" s="1" t="str" cm="1">
        <f t="array" ref="F177">IFERROR(_xlfn.LET(_xlpm.searchText, Tests!$C177,_xlpm.dataRange, PMBOK!$B$3:$F$300,_xlpm.headers, PMBOK!$B$2:$F$2,_xlpm.matchMatrix, ISNUMBER(SEARCH(_xlpm.searchText, _xlpm.dataRange)),_xlpm.colMatch, _xlfn.XMATCH(TRUE, _xlfn.BYCOL(_xlpm.matchMatrix, _xlfn.LAMBDA(_xlpm.col, OR(_xlpm.col)))),INDEX(_xlpm.headers, _xlpm.colMatch)),"")</f>
        <v/>
      </c>
      <c r="G177" s="1" t="str" cm="1">
        <f t="array" ref="G177">IFERROR(_xlfn.LET(_xlpm.searchText, Tests!$C177,_xlpm.dataRange, 'Rita Quick test'!$B$3:$P$57,_xlpm.headers, 'Rita Quick test'!$B$2:$P$2,_xlpm.matchMatrix, ISNUMBER(SEARCH(_xlpm.searchText, _xlpm.dataRange)),_xlpm.colMatch, _xlfn.XMATCH(TRUE, _xlfn.BYCOL(_xlpm.matchMatrix, _xlfn.LAMBDA(_xlpm.col, OR(_xlpm.col)))),INDEX(_xlpm.headers, _xlpm.colMatch)),"")</f>
        <v/>
      </c>
      <c r="H177" s="1" t="str">
        <f>IFERROR(VLOOKUP("*" &amp; C177 &amp; "*",Terms!D:E,2,FALSE),"")</f>
        <v/>
      </c>
      <c r="I177" s="1" t="str">
        <f>IFERROR(VLOOKUP("*" &amp; C177 &amp; "*",'Terms 2'!B:D,3,FALSE),"")</f>
        <v/>
      </c>
    </row>
    <row r="178" spans="2:9">
      <c r="B178" s="1" t="str">
        <f t="shared" si="2"/>
        <v>The process of identifying stakeholders is part of the initiating process group</v>
      </c>
      <c r="C178" s="47" t="s">
        <v>4468</v>
      </c>
      <c r="D178" s="49" t="s">
        <v>4471</v>
      </c>
      <c r="E178" s="1" t="str" cm="1">
        <f t="array" ref="E178">IFERROR(
  _xlfn.LET(
    _xlpm.searchText, Tests!$C178,
    _xlpm.dataRange, ITTO!$B$3:$F$300,
    _xlpm.headers, ITTO!$B$2:$F$2,
    _xlpm.matchMatrix, ISNUMBER(SEARCH(_xlpm.searchText, _xlpm.dataRange)),
    _xlpm.colMatch, _xlfn.XMATCH(TRUE, _xlfn.BYCOL(_xlpm.matchMatrix, _xlfn.LAMBDA(_xlpm.col, OR(_xlpm.col)))),
    INDEX(_xlpm.headers, _xlpm.colMatch)
  ),
  ""
)</f>
        <v/>
      </c>
      <c r="F178" s="1" t="str" cm="1">
        <f t="array" ref="F178">IFERROR(_xlfn.LET(_xlpm.searchText, Tests!$C178,_xlpm.dataRange, PMBOK!$B$3:$F$300,_xlpm.headers, PMBOK!$B$2:$F$2,_xlpm.matchMatrix, ISNUMBER(SEARCH(_xlpm.searchText, _xlpm.dataRange)),_xlpm.colMatch, _xlfn.XMATCH(TRUE, _xlfn.BYCOL(_xlpm.matchMatrix, _xlfn.LAMBDA(_xlpm.col, OR(_xlpm.col)))),INDEX(_xlpm.headers, _xlpm.colMatch)),"")</f>
        <v/>
      </c>
      <c r="G178" s="1" t="str" cm="1">
        <f t="array" ref="G178">IFERROR(_xlfn.LET(_xlpm.searchText, Tests!$C178,_xlpm.dataRange, 'Rita Quick test'!$B$3:$P$57,_xlpm.headers, 'Rita Quick test'!$B$2:$P$2,_xlpm.matchMatrix, ISNUMBER(SEARCH(_xlpm.searchText, _xlpm.dataRange)),_xlpm.colMatch, _xlfn.XMATCH(TRUE, _xlfn.BYCOL(_xlpm.matchMatrix, _xlfn.LAMBDA(_xlpm.col, OR(_xlpm.col)))),INDEX(_xlpm.headers, _xlpm.colMatch)),"")</f>
        <v/>
      </c>
      <c r="H178" s="1" t="str">
        <f>IFERROR(VLOOKUP("*" &amp; C178 &amp; "*",Terms!D:E,2,FALSE),"")</f>
        <v/>
      </c>
      <c r="I178" s="1" t="str">
        <f>IFERROR(VLOOKUP("*" &amp; C178 &amp; "*",'Terms 2'!B:D,3,FALSE),"")</f>
        <v/>
      </c>
    </row>
    <row r="179" spans="2:9">
      <c r="B179" s="1" t="str">
        <f t="shared" si="2"/>
        <v/>
      </c>
      <c r="C179" s="47" t="s">
        <v>4468</v>
      </c>
      <c r="D179" s="1" t="s">
        <v>4848</v>
      </c>
      <c r="E179" s="1" t="str" cm="1">
        <f t="array" ref="E179">IFERROR(
  _xlfn.LET(
    _xlpm.searchText, Tests!$C179,
    _xlpm.dataRange, ITTO!$B$3:$F$300,
    _xlpm.headers, ITTO!$B$2:$F$2,
    _xlpm.matchMatrix, ISNUMBER(SEARCH(_xlpm.searchText, _xlpm.dataRange)),
    _xlpm.colMatch, _xlfn.XMATCH(TRUE, _xlfn.BYCOL(_xlpm.matchMatrix, _xlfn.LAMBDA(_xlpm.col, OR(_xlpm.col)))),
    INDEX(_xlpm.headers, _xlpm.colMatch)
  ),
  ""
)</f>
        <v/>
      </c>
      <c r="F179" s="1" t="str" cm="1">
        <f t="array" ref="F179">IFERROR(_xlfn.LET(_xlpm.searchText, Tests!$C179,_xlpm.dataRange, PMBOK!$B$3:$F$300,_xlpm.headers, PMBOK!$B$2:$F$2,_xlpm.matchMatrix, ISNUMBER(SEARCH(_xlpm.searchText, _xlpm.dataRange)),_xlpm.colMatch, _xlfn.XMATCH(TRUE, _xlfn.BYCOL(_xlpm.matchMatrix, _xlfn.LAMBDA(_xlpm.col, OR(_xlpm.col)))),INDEX(_xlpm.headers, _xlpm.colMatch)),"")</f>
        <v/>
      </c>
      <c r="G179" s="1" t="str" cm="1">
        <f t="array" ref="G179">IFERROR(_xlfn.LET(_xlpm.searchText, Tests!$C179,_xlpm.dataRange, 'Rita Quick test'!$B$3:$P$57,_xlpm.headers, 'Rita Quick test'!$B$2:$P$2,_xlpm.matchMatrix, ISNUMBER(SEARCH(_xlpm.searchText, _xlpm.dataRange)),_xlpm.colMatch, _xlfn.XMATCH(TRUE, _xlfn.BYCOL(_xlpm.matchMatrix, _xlfn.LAMBDA(_xlpm.col, OR(_xlpm.col)))),INDEX(_xlpm.headers, _xlpm.colMatch)),"")</f>
        <v/>
      </c>
      <c r="H179" s="1" t="str">
        <f>IFERROR(VLOOKUP("*" &amp; C179 &amp; "*",Terms!D:E,2,FALSE),"")</f>
        <v/>
      </c>
      <c r="I179" s="1" t="str">
        <f>IFERROR(VLOOKUP("*" &amp; C179 &amp; "*",'Terms 2'!B:D,3,FALSE),"")</f>
        <v/>
      </c>
    </row>
    <row r="180" spans="2:9">
      <c r="B180" s="1" t="str">
        <f t="shared" si="2"/>
        <v>The process of identifying stakeholders is part of the initiating process group.</v>
      </c>
      <c r="C180" s="47" t="s">
        <v>4468</v>
      </c>
      <c r="D180" s="48" t="s">
        <v>4712</v>
      </c>
      <c r="E180" s="1" t="str" cm="1">
        <f t="array" ref="E180">IFERROR(
  _xlfn.LET(
    _xlpm.searchText, Tests!$C180,
    _xlpm.dataRange, ITTO!$B$3:$F$300,
    _xlpm.headers, ITTO!$B$2:$F$2,
    _xlpm.matchMatrix, ISNUMBER(SEARCH(_xlpm.searchText, _xlpm.dataRange)),
    _xlpm.colMatch, _xlfn.XMATCH(TRUE, _xlfn.BYCOL(_xlpm.matchMatrix, _xlfn.LAMBDA(_xlpm.col, OR(_xlpm.col)))),
    INDEX(_xlpm.headers, _xlpm.colMatch)
  ),
  ""
)</f>
        <v/>
      </c>
      <c r="F180" s="1" t="str" cm="1">
        <f t="array" ref="F180">IFERROR(_xlfn.LET(_xlpm.searchText, Tests!$C180,_xlpm.dataRange, PMBOK!$B$3:$F$300,_xlpm.headers, PMBOK!$B$2:$F$2,_xlpm.matchMatrix, ISNUMBER(SEARCH(_xlpm.searchText, _xlpm.dataRange)),_xlpm.colMatch, _xlfn.XMATCH(TRUE, _xlfn.BYCOL(_xlpm.matchMatrix, _xlfn.LAMBDA(_xlpm.col, OR(_xlpm.col)))),INDEX(_xlpm.headers, _xlpm.colMatch)),"")</f>
        <v/>
      </c>
      <c r="G180" s="1" t="str" cm="1">
        <f t="array" ref="G180">IFERROR(_xlfn.LET(_xlpm.searchText, Tests!$C180,_xlpm.dataRange, 'Rita Quick test'!$B$3:$P$57,_xlpm.headers, 'Rita Quick test'!$B$2:$P$2,_xlpm.matchMatrix, ISNUMBER(SEARCH(_xlpm.searchText, _xlpm.dataRange)),_xlpm.colMatch, _xlfn.XMATCH(TRUE, _xlfn.BYCOL(_xlpm.matchMatrix, _xlfn.LAMBDA(_xlpm.col, OR(_xlpm.col)))),INDEX(_xlpm.headers, _xlpm.colMatch)),"")</f>
        <v/>
      </c>
      <c r="H180" s="1" t="str">
        <f>IFERROR(VLOOKUP("*" &amp; C180 &amp; "*",Terms!D:E,2,FALSE),"")</f>
        <v/>
      </c>
      <c r="I180" s="1" t="str">
        <f>IFERROR(VLOOKUP("*" &amp; C180 &amp; "*",'Terms 2'!B:D,3,FALSE),"")</f>
        <v/>
      </c>
    </row>
    <row r="181" spans="2:9">
      <c r="B181" s="1" t="str">
        <f t="shared" si="2"/>
        <v>Inspections and audits are done after the seller is selected to ensure the work stays on contract.</v>
      </c>
      <c r="C181" s="46" t="s">
        <v>4602</v>
      </c>
      <c r="D181" s="49" t="s">
        <v>4891</v>
      </c>
      <c r="E181" s="1" t="str" cm="1">
        <f t="array" ref="E181">IFERROR(
  _xlfn.LET(
    _xlpm.searchText, Tests!$C181,
    _xlpm.dataRange, ITTO!$B$3:$F$300,
    _xlpm.headers, ITTO!$B$2:$F$2,
    _xlpm.matchMatrix, ISNUMBER(SEARCH(_xlpm.searchText, _xlpm.dataRange)),
    _xlpm.colMatch, _xlfn.XMATCH(TRUE, _xlfn.BYCOL(_xlpm.matchMatrix, _xlfn.LAMBDA(_xlpm.col, OR(_xlpm.col)))),
    INDEX(_xlpm.headers, _xlpm.colMatch)
  ),
  ""
)</f>
        <v/>
      </c>
      <c r="F181" s="1" t="str" cm="1">
        <f t="array" ref="F181">IFERROR(_xlfn.LET(_xlpm.searchText, Tests!$C181,_xlpm.dataRange, PMBOK!$B$3:$F$300,_xlpm.headers, PMBOK!$B$2:$F$2,_xlpm.matchMatrix, ISNUMBER(SEARCH(_xlpm.searchText, _xlpm.dataRange)),_xlpm.colMatch, _xlfn.XMATCH(TRUE, _xlfn.BYCOL(_xlpm.matchMatrix, _xlfn.LAMBDA(_xlpm.col, OR(_xlpm.col)))),INDEX(_xlpm.headers, _xlpm.colMatch)),"")</f>
        <v/>
      </c>
      <c r="G181" s="1" t="str" cm="1">
        <f t="array" ref="G181">IFERROR(_xlfn.LET(_xlpm.searchText, Tests!$C181,_xlpm.dataRange, 'Rita Quick test'!$B$3:$P$57,_xlpm.headers, 'Rita Quick test'!$B$2:$P$2,_xlpm.matchMatrix, ISNUMBER(SEARCH(_xlpm.searchText, _xlpm.dataRange)),_xlpm.colMatch, _xlfn.XMATCH(TRUE, _xlfn.BYCOL(_xlpm.matchMatrix, _xlfn.LAMBDA(_xlpm.col, OR(_xlpm.col)))),INDEX(_xlpm.headers, _xlpm.colMatch)),"")</f>
        <v/>
      </c>
      <c r="H181" s="1" t="str">
        <f>IFERROR(VLOOKUP("*" &amp; C181 &amp; "*",Terms!D:E,2,FALSE),"")</f>
        <v/>
      </c>
      <c r="I181" s="1" t="str">
        <f>IFERROR(VLOOKUP("*" &amp; C181 &amp; "*",'Terms 2'!B:D,3,FALSE),"")</f>
        <v/>
      </c>
    </row>
    <row r="182" spans="2:9">
      <c r="B182" s="1" t="str">
        <f t="shared" si="2"/>
        <v>Prevention leads to less inspection.</v>
      </c>
      <c r="C182" s="47" t="s">
        <v>4512</v>
      </c>
      <c r="D182" s="49" t="s">
        <v>4516</v>
      </c>
      <c r="E182" s="1" t="str" cm="1">
        <f t="array" ref="E182">IFERROR(
  _xlfn.LET(
    _xlpm.searchText, Tests!$C182,
    _xlpm.dataRange, ITTO!$B$3:$F$300,
    _xlpm.headers, ITTO!$B$2:$F$2,
    _xlpm.matchMatrix, ISNUMBER(SEARCH(_xlpm.searchText, _xlpm.dataRange)),
    _xlpm.colMatch, _xlfn.XMATCH(TRUE, _xlfn.BYCOL(_xlpm.matchMatrix, _xlfn.LAMBDA(_xlpm.col, OR(_xlpm.col)))),
    INDEX(_xlpm.headers, _xlpm.colMatch)
  ),
  ""
)</f>
        <v/>
      </c>
      <c r="F182" s="1" t="str" cm="1">
        <f t="array" ref="F182">IFERROR(_xlfn.LET(_xlpm.searchText, Tests!$C182,_xlpm.dataRange, PMBOK!$B$3:$F$300,_xlpm.headers, PMBOK!$B$2:$F$2,_xlpm.matchMatrix, ISNUMBER(SEARCH(_xlpm.searchText, _xlpm.dataRange)),_xlpm.colMatch, _xlfn.XMATCH(TRUE, _xlfn.BYCOL(_xlpm.matchMatrix, _xlfn.LAMBDA(_xlpm.col, OR(_xlpm.col)))),INDEX(_xlpm.headers, _xlpm.colMatch)),"")</f>
        <v/>
      </c>
      <c r="G182" s="1" t="str" cm="1">
        <f t="array" ref="G182">IFERROR(_xlfn.LET(_xlpm.searchText, Tests!$C182,_xlpm.dataRange, 'Rita Quick test'!$B$3:$P$57,_xlpm.headers, 'Rita Quick test'!$B$2:$P$2,_xlpm.matchMatrix, ISNUMBER(SEARCH(_xlpm.searchText, _xlpm.dataRange)),_xlpm.colMatch, _xlfn.XMATCH(TRUE, _xlfn.BYCOL(_xlpm.matchMatrix, _xlfn.LAMBDA(_xlpm.col, OR(_xlpm.col)))),INDEX(_xlpm.headers, _xlpm.colMatch)),"")</f>
        <v/>
      </c>
      <c r="H182" s="1" t="str">
        <f>IFERROR(VLOOKUP("*" &amp; C182 &amp; "*",Terms!D:E,2,FALSE),"")</f>
        <v/>
      </c>
      <c r="I182" s="1" t="str">
        <f>IFERROR(VLOOKUP("*" &amp; C182 &amp; "*",'Terms 2'!B:D,3,FALSE),"")</f>
        <v/>
      </c>
    </row>
    <row r="183" spans="2:9">
      <c r="B183" s="1" t="str">
        <f t="shared" si="2"/>
        <v>and inspections are used to see if a deliverable has met its requirements.</v>
      </c>
      <c r="C183" s="46" t="s">
        <v>4495</v>
      </c>
      <c r="D183" s="49" t="s">
        <v>4498</v>
      </c>
      <c r="E183" s="1" t="str" cm="1">
        <f t="array" ref="E183">IFERROR(
  _xlfn.LET(
    _xlpm.searchText, Tests!$C183,
    _xlpm.dataRange, ITTO!$B$3:$F$300,
    _xlpm.headers, ITTO!$B$2:$F$2,
    _xlpm.matchMatrix, ISNUMBER(SEARCH(_xlpm.searchText, _xlpm.dataRange)),
    _xlpm.colMatch, _xlfn.XMATCH(TRUE, _xlfn.BYCOL(_xlpm.matchMatrix, _xlfn.LAMBDA(_xlpm.col, OR(_xlpm.col)))),
    INDEX(_xlpm.headers, _xlpm.colMatch)
  ),
  ""
)</f>
        <v/>
      </c>
      <c r="F183" s="1" t="str" cm="1">
        <f t="array" ref="F183">IFERROR(_xlfn.LET(_xlpm.searchText, Tests!$C183,_xlpm.dataRange, PMBOK!$B$3:$F$300,_xlpm.headers, PMBOK!$B$2:$F$2,_xlpm.matchMatrix, ISNUMBER(SEARCH(_xlpm.searchText, _xlpm.dataRange)),_xlpm.colMatch, _xlfn.XMATCH(TRUE, _xlfn.BYCOL(_xlpm.matchMatrix, _xlfn.LAMBDA(_xlpm.col, OR(_xlpm.col)))),INDEX(_xlpm.headers, _xlpm.colMatch)),"")</f>
        <v/>
      </c>
      <c r="G183" s="1" t="str" cm="1">
        <f t="array" ref="G183">IFERROR(_xlfn.LET(_xlpm.searchText, Tests!$C183,_xlpm.dataRange, 'Rita Quick test'!$B$3:$P$57,_xlpm.headers, 'Rita Quick test'!$B$2:$P$2,_xlpm.matchMatrix, ISNUMBER(SEARCH(_xlpm.searchText, _xlpm.dataRange)),_xlpm.colMatch, _xlfn.XMATCH(TRUE, _xlfn.BYCOL(_xlpm.matchMatrix, _xlfn.LAMBDA(_xlpm.col, OR(_xlpm.col)))),INDEX(_xlpm.headers, _xlpm.colMatch)),"")</f>
        <v/>
      </c>
      <c r="H183" s="1" t="str">
        <f>IFERROR(VLOOKUP("*" &amp; C183 &amp; "*",Terms!D:E,2,FALSE),"")</f>
        <v/>
      </c>
      <c r="I183" s="1" t="str">
        <f>IFERROR(VLOOKUP("*" &amp; C183 &amp; "*",'Terms 2'!B:D,3,FALSE),"")</f>
        <v/>
      </c>
    </row>
    <row r="184" spans="2:9">
      <c r="B184" s="1" t="str">
        <f t="shared" si="2"/>
        <v/>
      </c>
      <c r="C184" s="47" t="s">
        <v>4625</v>
      </c>
      <c r="D184" s="1" t="s">
        <v>4848</v>
      </c>
      <c r="E184" s="1" t="str" cm="1">
        <f t="array" ref="E184">IFERROR(
  _xlfn.LET(
    _xlpm.searchText, Tests!$C184,
    _xlpm.dataRange, ITTO!$B$3:$F$300,
    _xlpm.headers, ITTO!$B$2:$F$2,
    _xlpm.matchMatrix, ISNUMBER(SEARCH(_xlpm.searchText, _xlpm.dataRange)),
    _xlpm.colMatch, _xlfn.XMATCH(TRUE, _xlfn.BYCOL(_xlpm.matchMatrix, _xlfn.LAMBDA(_xlpm.col, OR(_xlpm.col)))),
    INDEX(_xlpm.headers, _xlpm.colMatch)
  ),
  ""
)</f>
        <v/>
      </c>
      <c r="F184" s="1" t="str" cm="1">
        <f t="array" ref="F184">IFERROR(_xlfn.LET(_xlpm.searchText, Tests!$C184,_xlpm.dataRange, PMBOK!$B$3:$F$300,_xlpm.headers, PMBOK!$B$2:$F$2,_xlpm.matchMatrix, ISNUMBER(SEARCH(_xlpm.searchText, _xlpm.dataRange)),_xlpm.colMatch, _xlfn.XMATCH(TRUE, _xlfn.BYCOL(_xlpm.matchMatrix, _xlfn.LAMBDA(_xlpm.col, OR(_xlpm.col)))),INDEX(_xlpm.headers, _xlpm.colMatch)),"")</f>
        <v/>
      </c>
      <c r="G184" s="1" t="str" cm="1">
        <f t="array" ref="G184">IFERROR(_xlfn.LET(_xlpm.searchText, Tests!$C184,_xlpm.dataRange, 'Rita Quick test'!$B$3:$P$57,_xlpm.headers, 'Rita Quick test'!$B$2:$P$2,_xlpm.matchMatrix, ISNUMBER(SEARCH(_xlpm.searchText, _xlpm.dataRange)),_xlpm.colMatch, _xlfn.XMATCH(TRUE, _xlfn.BYCOL(_xlpm.matchMatrix, _xlfn.LAMBDA(_xlpm.col, OR(_xlpm.col)))),INDEX(_xlpm.headers, _xlpm.colMatch)),"")</f>
        <v/>
      </c>
      <c r="H184" s="1" t="str">
        <f>IFERROR(VLOOKUP("*" &amp; C184 &amp; "*",Terms!D:E,2,FALSE),"")</f>
        <v/>
      </c>
      <c r="I184" s="1" t="str">
        <f>IFERROR(VLOOKUP("*" &amp; C184 &amp; "*",'Terms 2'!B:D,3,FALSE),"")</f>
        <v/>
      </c>
    </row>
    <row r="185" spans="2:9">
      <c r="B185" s="1" t="str">
        <f t="shared" si="2"/>
        <v>Ishikawa diagrams, or cause-and-effect diagrams, are used to identify probable causes and sub-causes of a particular problem.</v>
      </c>
      <c r="C185" s="47" t="s">
        <v>4656</v>
      </c>
      <c r="D185" s="49" t="s">
        <v>4892</v>
      </c>
      <c r="E185" s="1" t="str" cm="1">
        <f t="array" ref="E185">IFERROR(
  _xlfn.LET(
    _xlpm.searchText, Tests!$C185,
    _xlpm.dataRange, ITTO!$B$3:$F$300,
    _xlpm.headers, ITTO!$B$2:$F$2,
    _xlpm.matchMatrix, ISNUMBER(SEARCH(_xlpm.searchText, _xlpm.dataRange)),
    _xlpm.colMatch, _xlfn.XMATCH(TRUE, _xlfn.BYCOL(_xlpm.matchMatrix, _xlfn.LAMBDA(_xlpm.col, OR(_xlpm.col)))),
    INDEX(_xlpm.headers, _xlpm.colMatch)
  ),
  ""
)</f>
        <v/>
      </c>
      <c r="F185" s="1" t="str" cm="1">
        <f t="array" ref="F185">IFERROR(_xlfn.LET(_xlpm.searchText, Tests!$C185,_xlpm.dataRange, PMBOK!$B$3:$F$300,_xlpm.headers, PMBOK!$B$2:$F$2,_xlpm.matchMatrix, ISNUMBER(SEARCH(_xlpm.searchText, _xlpm.dataRange)),_xlpm.colMatch, _xlfn.XMATCH(TRUE, _xlfn.BYCOL(_xlpm.matchMatrix, _xlfn.LAMBDA(_xlpm.col, OR(_xlpm.col)))),INDEX(_xlpm.headers, _xlpm.colMatch)),"")</f>
        <v/>
      </c>
      <c r="G185" s="1" t="str" cm="1">
        <f t="array" ref="G185">IFERROR(_xlfn.LET(_xlpm.searchText, Tests!$C185,_xlpm.dataRange, 'Rita Quick test'!$B$3:$P$57,_xlpm.headers, 'Rita Quick test'!$B$2:$P$2,_xlpm.matchMatrix, ISNUMBER(SEARCH(_xlpm.searchText, _xlpm.dataRange)),_xlpm.colMatch, _xlfn.XMATCH(TRUE, _xlfn.BYCOL(_xlpm.matchMatrix, _xlfn.LAMBDA(_xlpm.col, OR(_xlpm.col)))),INDEX(_xlpm.headers, _xlpm.colMatch)),"")</f>
        <v/>
      </c>
      <c r="H185" s="1" t="str">
        <f>IFERROR(VLOOKUP("*" &amp; C185 &amp; "*",Terms!D:E,2,FALSE),"")</f>
        <v xml:space="preserve">Ishikawa diagrams These cause-and-effect diagrams are also called fishbone diagrams and are used to find the root cause of factors that are causing risks within the project.          </v>
      </c>
      <c r="I185" s="1" t="str">
        <f>IFERROR(VLOOKUP("*" &amp; C185 &amp; "*",'Terms 2'!B:D,3,FALSE),"")</f>
        <v/>
      </c>
    </row>
    <row r="186" spans="2:9">
      <c r="B186" s="1" t="str">
        <f t="shared" si="2"/>
        <v>An Ishikawa diagram, also known as a cause-and-effect diagram, is used to list the many different probabilities for a project’s defect.</v>
      </c>
      <c r="C186" s="47" t="s">
        <v>4493</v>
      </c>
      <c r="D186" s="49" t="s">
        <v>4893</v>
      </c>
      <c r="E186" s="1" t="str" cm="1">
        <f t="array" ref="E186">IFERROR(
  _xlfn.LET(
    _xlpm.searchText, Tests!$C186,
    _xlpm.dataRange, ITTO!$B$3:$F$300,
    _xlpm.headers, ITTO!$B$2:$F$2,
    _xlpm.matchMatrix, ISNUMBER(SEARCH(_xlpm.searchText, _xlpm.dataRange)),
    _xlpm.colMatch, _xlfn.XMATCH(TRUE, _xlfn.BYCOL(_xlpm.matchMatrix, _xlfn.LAMBDA(_xlpm.col, OR(_xlpm.col)))),
    INDEX(_xlpm.headers, _xlpm.colMatch)
  ),
  ""
)</f>
        <v/>
      </c>
      <c r="F186" s="1" t="str" cm="1">
        <f t="array" ref="F186">IFERROR(_xlfn.LET(_xlpm.searchText, Tests!$C186,_xlpm.dataRange, PMBOK!$B$3:$F$300,_xlpm.headers, PMBOK!$B$2:$F$2,_xlpm.matchMatrix, ISNUMBER(SEARCH(_xlpm.searchText, _xlpm.dataRange)),_xlpm.colMatch, _xlfn.XMATCH(TRUE, _xlfn.BYCOL(_xlpm.matchMatrix, _xlfn.LAMBDA(_xlpm.col, OR(_xlpm.col)))),INDEX(_xlpm.headers, _xlpm.colMatch)),"")</f>
        <v/>
      </c>
      <c r="G186" s="1" t="str" cm="1">
        <f t="array" ref="G186">IFERROR(_xlfn.LET(_xlpm.searchText, Tests!$C186,_xlpm.dataRange, 'Rita Quick test'!$B$3:$P$57,_xlpm.headers, 'Rita Quick test'!$B$2:$P$2,_xlpm.matchMatrix, ISNUMBER(SEARCH(_xlpm.searchText, _xlpm.dataRange)),_xlpm.colMatch, _xlfn.XMATCH(TRUE, _xlfn.BYCOL(_xlpm.matchMatrix, _xlfn.LAMBDA(_xlpm.col, OR(_xlpm.col)))),INDEX(_xlpm.headers, _xlpm.colMatch)),"")</f>
        <v/>
      </c>
      <c r="H186" s="1" t="str">
        <f>IFERROR(VLOOKUP("*" &amp; C186 &amp; "*",Terms!D:E,2,FALSE),"")</f>
        <v/>
      </c>
      <c r="I186" s="1" t="str">
        <f>IFERROR(VLOOKUP("*" &amp; C186 &amp; "*",'Terms 2'!B:D,3,FALSE),"")</f>
        <v/>
      </c>
    </row>
    <row r="187" spans="2:9">
      <c r="B187" s="1" t="str">
        <f t="shared" si="2"/>
        <v>The issue log is used to keep track of all issues in the project. The delay of a server will mean the project might be delayed, so it should be entered into the issue log immediately. After that the project manager might implement a change request to extend the schedule baseline and update the project management plan</v>
      </c>
      <c r="C187" s="46" t="s">
        <v>4520</v>
      </c>
      <c r="D187" s="49" t="s">
        <v>4521</v>
      </c>
      <c r="E187" s="1" t="str" cm="1">
        <f t="array" ref="E187">IFERROR(
  _xlfn.LET(
    _xlpm.searchText, Tests!$C187,
    _xlpm.dataRange, ITTO!$B$3:$F$300,
    _xlpm.headers, ITTO!$B$2:$F$2,
    _xlpm.matchMatrix, ISNUMBER(SEARCH(_xlpm.searchText, _xlpm.dataRange)),
    _xlpm.colMatch, _xlfn.XMATCH(TRUE, _xlfn.BYCOL(_xlpm.matchMatrix, _xlfn.LAMBDA(_xlpm.col, OR(_xlpm.col)))),
    INDEX(_xlpm.headers, _xlpm.colMatch)
  ),
  ""
)</f>
        <v/>
      </c>
      <c r="F187" s="1" t="str" cm="1">
        <f t="array" ref="F187">IFERROR(_xlfn.LET(_xlpm.searchText, Tests!$C187,_xlpm.dataRange, PMBOK!$B$3:$F$300,_xlpm.headers, PMBOK!$B$2:$F$2,_xlpm.matchMatrix, ISNUMBER(SEARCH(_xlpm.searchText, _xlpm.dataRange)),_xlpm.colMatch, _xlfn.XMATCH(TRUE, _xlfn.BYCOL(_xlpm.matchMatrix, _xlfn.LAMBDA(_xlpm.col, OR(_xlpm.col)))),INDEX(_xlpm.headers, _xlpm.colMatch)),"")</f>
        <v/>
      </c>
      <c r="G187" s="1" t="str" cm="1">
        <f t="array" ref="G187">IFERROR(_xlfn.LET(_xlpm.searchText, Tests!$C187,_xlpm.dataRange, 'Rita Quick test'!$B$3:$P$57,_xlpm.headers, 'Rita Quick test'!$B$2:$P$2,_xlpm.matchMatrix, ISNUMBER(SEARCH(_xlpm.searchText, _xlpm.dataRange)),_xlpm.colMatch, _xlfn.XMATCH(TRUE, _xlfn.BYCOL(_xlpm.matchMatrix, _xlfn.LAMBDA(_xlpm.col, OR(_xlpm.col)))),INDEX(_xlpm.headers, _xlpm.colMatch)),"")</f>
        <v/>
      </c>
      <c r="H187" s="1" t="str">
        <f>IFERROR(VLOOKUP("*" &amp; C187 &amp; "*",Terms!D:E,2,FALSE),"")</f>
        <v/>
      </c>
      <c r="I187" s="1" t="str">
        <f>IFERROR(VLOOKUP("*" &amp; C187 &amp; "*",'Terms 2'!B:D,3,FALSE),"")</f>
        <v/>
      </c>
    </row>
    <row r="188" spans="2:9">
      <c r="B188" s="1" t="str">
        <f t="shared" si="2"/>
        <v>and the issue log will have a list of issues that are currently taking place on a project.</v>
      </c>
      <c r="C188" s="47" t="s">
        <v>4530</v>
      </c>
      <c r="D188" s="49" t="s">
        <v>4532</v>
      </c>
      <c r="E188" s="1" t="str" cm="1">
        <f t="array" ref="E188">IFERROR(
  _xlfn.LET(
    _xlpm.searchText, Tests!$C188,
    _xlpm.dataRange, ITTO!$B$3:$F$300,
    _xlpm.headers, ITTO!$B$2:$F$2,
    _xlpm.matchMatrix, ISNUMBER(SEARCH(_xlpm.searchText, _xlpm.dataRange)),
    _xlpm.colMatch, _xlfn.XMATCH(TRUE, _xlfn.BYCOL(_xlpm.matchMatrix, _xlfn.LAMBDA(_xlpm.col, OR(_xlpm.col)))),
    INDEX(_xlpm.headers, _xlpm.colMatch)
  ),
  ""
)</f>
        <v/>
      </c>
      <c r="F188" s="1" t="str" cm="1">
        <f t="array" ref="F188">IFERROR(_xlfn.LET(_xlpm.searchText, Tests!$C188,_xlpm.dataRange, PMBOK!$B$3:$F$300,_xlpm.headers, PMBOK!$B$2:$F$2,_xlpm.matchMatrix, ISNUMBER(SEARCH(_xlpm.searchText, _xlpm.dataRange)),_xlpm.colMatch, _xlfn.XMATCH(TRUE, _xlfn.BYCOL(_xlpm.matchMatrix, _xlfn.LAMBDA(_xlpm.col, OR(_xlpm.col)))),INDEX(_xlpm.headers, _xlpm.colMatch)),"")</f>
        <v/>
      </c>
      <c r="G188" s="1" t="str" cm="1">
        <f t="array" ref="G188">IFERROR(_xlfn.LET(_xlpm.searchText, Tests!$C188,_xlpm.dataRange, 'Rita Quick test'!$B$3:$P$57,_xlpm.headers, 'Rita Quick test'!$B$2:$P$2,_xlpm.matchMatrix, ISNUMBER(SEARCH(_xlpm.searchText, _xlpm.dataRange)),_xlpm.colMatch, _xlfn.XMATCH(TRUE, _xlfn.BYCOL(_xlpm.matchMatrix, _xlfn.LAMBDA(_xlpm.col, OR(_xlpm.col)))),INDEX(_xlpm.headers, _xlpm.colMatch)),"")</f>
        <v/>
      </c>
      <c r="H188" s="1" t="str">
        <f>IFERROR(VLOOKUP("*" &amp; C188 &amp; "*",Terms!D:E,2,FALSE),"")</f>
        <v/>
      </c>
      <c r="I188" s="1" t="str">
        <f>IFERROR(VLOOKUP("*" &amp; C188 &amp; "*",'Terms 2'!B:D,3,FALSE),"")</f>
        <v/>
      </c>
    </row>
    <row r="189" spans="2:9">
      <c r="B189" s="1" t="str">
        <f t="shared" si="2"/>
        <v>the issue log will have a list of issues that are currently taking place on a project.</v>
      </c>
      <c r="C189" s="47" t="s">
        <v>4530</v>
      </c>
      <c r="D189" s="49" t="s">
        <v>4894</v>
      </c>
      <c r="E189" s="1" t="str" cm="1">
        <f t="array" ref="E189">IFERROR(
  _xlfn.LET(
    _xlpm.searchText, Tests!$C189,
    _xlpm.dataRange, ITTO!$B$3:$F$300,
    _xlpm.headers, ITTO!$B$2:$F$2,
    _xlpm.matchMatrix, ISNUMBER(SEARCH(_xlpm.searchText, _xlpm.dataRange)),
    _xlpm.colMatch, _xlfn.XMATCH(TRUE, _xlfn.BYCOL(_xlpm.matchMatrix, _xlfn.LAMBDA(_xlpm.col, OR(_xlpm.col)))),
    INDEX(_xlpm.headers, _xlpm.colMatch)
  ),
  ""
)</f>
        <v/>
      </c>
      <c r="F189" s="1" t="str" cm="1">
        <f t="array" ref="F189">IFERROR(_xlfn.LET(_xlpm.searchText, Tests!$C189,_xlpm.dataRange, PMBOK!$B$3:$F$300,_xlpm.headers, PMBOK!$B$2:$F$2,_xlpm.matchMatrix, ISNUMBER(SEARCH(_xlpm.searchText, _xlpm.dataRange)),_xlpm.colMatch, _xlfn.XMATCH(TRUE, _xlfn.BYCOL(_xlpm.matchMatrix, _xlfn.LAMBDA(_xlpm.col, OR(_xlpm.col)))),INDEX(_xlpm.headers, _xlpm.colMatch)),"")</f>
        <v/>
      </c>
      <c r="G189" s="1" t="str" cm="1">
        <f t="array" ref="G189">IFERROR(_xlfn.LET(_xlpm.searchText, Tests!$C189,_xlpm.dataRange, 'Rita Quick test'!$B$3:$P$57,_xlpm.headers, 'Rita Quick test'!$B$2:$P$2,_xlpm.matchMatrix, ISNUMBER(SEARCH(_xlpm.searchText, _xlpm.dataRange)),_xlpm.colMatch, _xlfn.XMATCH(TRUE, _xlfn.BYCOL(_xlpm.matchMatrix, _xlfn.LAMBDA(_xlpm.col, OR(_xlpm.col)))),INDEX(_xlpm.headers, _xlpm.colMatch)),"")</f>
        <v/>
      </c>
      <c r="H189" s="1" t="str">
        <f>IFERROR(VLOOKUP("*" &amp; C189 &amp; "*",Terms!D:E,2,FALSE),"")</f>
        <v/>
      </c>
      <c r="I189" s="1" t="str">
        <f>IFERROR(VLOOKUP("*" &amp; C189 &amp; "*",'Terms 2'!B:D,3,FALSE),"")</f>
        <v/>
      </c>
    </row>
    <row r="190" spans="2:9">
      <c r="B190" s="1" t="str">
        <f t="shared" si="2"/>
        <v/>
      </c>
      <c r="C190" s="46" t="s">
        <v>4530</v>
      </c>
      <c r="D190" s="1" t="s">
        <v>4848</v>
      </c>
      <c r="E190" s="1" t="str" cm="1">
        <f t="array" ref="E190">IFERROR(
  _xlfn.LET(
    _xlpm.searchText, Tests!$C190,
    _xlpm.dataRange, ITTO!$B$3:$F$300,
    _xlpm.headers, ITTO!$B$2:$F$2,
    _xlpm.matchMatrix, ISNUMBER(SEARCH(_xlpm.searchText, _xlpm.dataRange)),
    _xlpm.colMatch, _xlfn.XMATCH(TRUE, _xlfn.BYCOL(_xlpm.matchMatrix, _xlfn.LAMBDA(_xlpm.col, OR(_xlpm.col)))),
    INDEX(_xlpm.headers, _xlpm.colMatch)
  ),
  ""
)</f>
        <v/>
      </c>
      <c r="F190" s="1" t="str" cm="1">
        <f t="array" ref="F190">IFERROR(_xlfn.LET(_xlpm.searchText, Tests!$C190,_xlpm.dataRange, PMBOK!$B$3:$F$300,_xlpm.headers, PMBOK!$B$2:$F$2,_xlpm.matchMatrix, ISNUMBER(SEARCH(_xlpm.searchText, _xlpm.dataRange)),_xlpm.colMatch, _xlfn.XMATCH(TRUE, _xlfn.BYCOL(_xlpm.matchMatrix, _xlfn.LAMBDA(_xlpm.col, OR(_xlpm.col)))),INDEX(_xlpm.headers, _xlpm.colMatch)),"")</f>
        <v/>
      </c>
      <c r="G190" s="1" t="str" cm="1">
        <f t="array" ref="G190">IFERROR(_xlfn.LET(_xlpm.searchText, Tests!$C190,_xlpm.dataRange, 'Rita Quick test'!$B$3:$P$57,_xlpm.headers, 'Rita Quick test'!$B$2:$P$2,_xlpm.matchMatrix, ISNUMBER(SEARCH(_xlpm.searchText, _xlpm.dataRange)),_xlpm.colMatch, _xlfn.XMATCH(TRUE, _xlfn.BYCOL(_xlpm.matchMatrix, _xlfn.LAMBDA(_xlpm.col, OR(_xlpm.col)))),INDEX(_xlpm.headers, _xlpm.colMatch)),"")</f>
        <v/>
      </c>
      <c r="H190" s="1" t="str">
        <f>IFERROR(VLOOKUP("*" &amp; C190 &amp; "*",Terms!D:E,2,FALSE),"")</f>
        <v/>
      </c>
      <c r="I190" s="1" t="str">
        <f>IFERROR(VLOOKUP("*" &amp; C190 &amp; "*",'Terms 2'!B:D,3,FALSE),"")</f>
        <v/>
      </c>
    </row>
    <row r="191" spans="2:9">
      <c r="B191" s="1" t="str">
        <f t="shared" si="2"/>
        <v/>
      </c>
      <c r="C191" s="47" t="s">
        <v>4584</v>
      </c>
      <c r="D191" s="1" t="s">
        <v>4848</v>
      </c>
      <c r="E191" s="1" t="str" cm="1">
        <f t="array" ref="E191">IFERROR(
  _xlfn.LET(
    _xlpm.searchText, Tests!$C191,
    _xlpm.dataRange, ITTO!$B$3:$F$300,
    _xlpm.headers, ITTO!$B$2:$F$2,
    _xlpm.matchMatrix, ISNUMBER(SEARCH(_xlpm.searchText, _xlpm.dataRange)),
    _xlpm.colMatch, _xlfn.XMATCH(TRUE, _xlfn.BYCOL(_xlpm.matchMatrix, _xlfn.LAMBDA(_xlpm.col, OR(_xlpm.col)))),
    INDEX(_xlpm.headers, _xlpm.colMatch)
  ),
  ""
)</f>
        <v/>
      </c>
      <c r="F191" s="1" t="str" cm="1">
        <f t="array" ref="F191">IFERROR(_xlfn.LET(_xlpm.searchText, Tests!$C191,_xlpm.dataRange, PMBOK!$B$3:$F$300,_xlpm.headers, PMBOK!$B$2:$F$2,_xlpm.matchMatrix, ISNUMBER(SEARCH(_xlpm.searchText, _xlpm.dataRange)),_xlpm.colMatch, _xlfn.XMATCH(TRUE, _xlfn.BYCOL(_xlpm.matchMatrix, _xlfn.LAMBDA(_xlpm.col, OR(_xlpm.col)))),INDEX(_xlpm.headers, _xlpm.colMatch)),"")</f>
        <v/>
      </c>
      <c r="G191" s="1" t="str" cm="1">
        <f t="array" ref="G191">IFERROR(_xlfn.LET(_xlpm.searchText, Tests!$C191,_xlpm.dataRange, 'Rita Quick test'!$B$3:$P$57,_xlpm.headers, 'Rita Quick test'!$B$2:$P$2,_xlpm.matchMatrix, ISNUMBER(SEARCH(_xlpm.searchText, _xlpm.dataRange)),_xlpm.colMatch, _xlfn.XMATCH(TRUE, _xlfn.BYCOL(_xlpm.matchMatrix, _xlfn.LAMBDA(_xlpm.col, OR(_xlpm.col)))),INDEX(_xlpm.headers, _xlpm.colMatch)),"")</f>
        <v/>
      </c>
      <c r="H191" s="1" t="str">
        <f>IFERROR(VLOOKUP("*" &amp; C191 &amp; "*",Terms!D:E,2,FALSE),"")</f>
        <v/>
      </c>
      <c r="I191" s="1" t="str">
        <f>IFERROR(VLOOKUP("*" &amp; C191 &amp; "*",'Terms 2'!B:D,3,FALSE),"")</f>
        <v/>
      </c>
    </row>
    <row r="192" spans="2:9">
      <c r="B192" s="1" t="str">
        <f t="shared" si="2"/>
        <v/>
      </c>
      <c r="C192" s="47" t="s">
        <v>4583</v>
      </c>
      <c r="D192" s="1" t="s">
        <v>4848</v>
      </c>
      <c r="E192" s="1" t="str" cm="1">
        <f t="array" ref="E192">IFERROR(
  _xlfn.LET(
    _xlpm.searchText, Tests!$C192,
    _xlpm.dataRange, ITTO!$B$3:$F$300,
    _xlpm.headers, ITTO!$B$2:$F$2,
    _xlpm.matchMatrix, ISNUMBER(SEARCH(_xlpm.searchText, _xlpm.dataRange)),
    _xlpm.colMatch, _xlfn.XMATCH(TRUE, _xlfn.BYCOL(_xlpm.matchMatrix, _xlfn.LAMBDA(_xlpm.col, OR(_xlpm.col)))),
    INDEX(_xlpm.headers, _xlpm.colMatch)
  ),
  ""
)</f>
        <v/>
      </c>
      <c r="F192" s="1" t="str" cm="1">
        <f t="array" ref="F192">IFERROR(_xlfn.LET(_xlpm.searchText, Tests!$C192,_xlpm.dataRange, PMBOK!$B$3:$F$300,_xlpm.headers, PMBOK!$B$2:$F$2,_xlpm.matchMatrix, ISNUMBER(SEARCH(_xlpm.searchText, _xlpm.dataRange)),_xlpm.colMatch, _xlfn.XMATCH(TRUE, _xlfn.BYCOL(_xlpm.matchMatrix, _xlfn.LAMBDA(_xlpm.col, OR(_xlpm.col)))),INDEX(_xlpm.headers, _xlpm.colMatch)),"")</f>
        <v/>
      </c>
      <c r="G192" s="1" t="str" cm="1">
        <f t="array" ref="G192">IFERROR(_xlfn.LET(_xlpm.searchText, Tests!$C192,_xlpm.dataRange, 'Rita Quick test'!$B$3:$P$57,_xlpm.headers, 'Rita Quick test'!$B$2:$P$2,_xlpm.matchMatrix, ISNUMBER(SEARCH(_xlpm.searchText, _xlpm.dataRange)),_xlpm.colMatch, _xlfn.XMATCH(TRUE, _xlfn.BYCOL(_xlpm.matchMatrix, _xlfn.LAMBDA(_xlpm.col, OR(_xlpm.col)))),INDEX(_xlpm.headers, _xlpm.colMatch)),"")</f>
        <v/>
      </c>
      <c r="H192" s="1" t="str">
        <f>IFERROR(VLOOKUP("*" &amp; C192 &amp; "*",Terms!D:E,2,FALSE),"")</f>
        <v/>
      </c>
      <c r="I192" s="1" t="str">
        <f>IFERROR(VLOOKUP("*" &amp; C192 &amp; "*",'Terms 2'!B:D,3,FALSE),"")</f>
        <v xml:space="preserve"> A meeting to clarify the details of the backlog items, acceptance criteria, and work effort required to meet an upcoming iteration commitment</v>
      </c>
    </row>
    <row r="193" spans="2:9">
      <c r="B193" s="1" t="str">
        <f t="shared" si="2"/>
        <v/>
      </c>
      <c r="C193" s="47" t="s">
        <v>4585</v>
      </c>
      <c r="D193" s="1" t="s">
        <v>4848</v>
      </c>
      <c r="E193" s="1" t="str" cm="1">
        <f t="array" ref="E193">IFERROR(
  _xlfn.LET(
    _xlpm.searchText, Tests!$C193,
    _xlpm.dataRange, ITTO!$B$3:$F$300,
    _xlpm.headers, ITTO!$B$2:$F$2,
    _xlpm.matchMatrix, ISNUMBER(SEARCH(_xlpm.searchText, _xlpm.dataRange)),
    _xlpm.colMatch, _xlfn.XMATCH(TRUE, _xlfn.BYCOL(_xlpm.matchMatrix, _xlfn.LAMBDA(_xlpm.col, OR(_xlpm.col)))),
    INDEX(_xlpm.headers, _xlpm.colMatch)
  ),
  ""
)</f>
        <v/>
      </c>
      <c r="F193" s="1" t="str" cm="1">
        <f t="array" ref="F193">IFERROR(_xlfn.LET(_xlpm.searchText, Tests!$C193,_xlpm.dataRange, PMBOK!$B$3:$F$300,_xlpm.headers, PMBOK!$B$2:$F$2,_xlpm.matchMatrix, ISNUMBER(SEARCH(_xlpm.searchText, _xlpm.dataRange)),_xlpm.colMatch, _xlfn.XMATCH(TRUE, _xlfn.BYCOL(_xlpm.matchMatrix, _xlfn.LAMBDA(_xlpm.col, OR(_xlpm.col)))),INDEX(_xlpm.headers, _xlpm.colMatch)),"")</f>
        <v/>
      </c>
      <c r="G193" s="1" t="str" cm="1">
        <f t="array" ref="G193">IFERROR(_xlfn.LET(_xlpm.searchText, Tests!$C193,_xlpm.dataRange, 'Rita Quick test'!$B$3:$P$57,_xlpm.headers, 'Rita Quick test'!$B$2:$P$2,_xlpm.matchMatrix, ISNUMBER(SEARCH(_xlpm.searchText, _xlpm.dataRange)),_xlpm.colMatch, _xlfn.XMATCH(TRUE, _xlfn.BYCOL(_xlpm.matchMatrix, _xlfn.LAMBDA(_xlpm.col, OR(_xlpm.col)))),INDEX(_xlpm.headers, _xlpm.colMatch)),"")</f>
        <v>Scope</v>
      </c>
      <c r="H193" s="1" t="str">
        <f>IFERROR(VLOOKUP("*" &amp; C193 &amp; "*",Terms!D:E,2,FALSE),"")</f>
        <v/>
      </c>
      <c r="I193" s="1" t="str">
        <f>IFERROR(VLOOKUP("*" &amp; C193 &amp; "*",'Terms 2'!B:D,3,FALSE),"")</f>
        <v xml:space="preserve"> A meeting held at the end of an iteration to demonstrate the work that was accomplished during the iteration</v>
      </c>
    </row>
    <row r="194" spans="2:9">
      <c r="B194" s="1" t="str">
        <f t="shared" si="2"/>
        <v/>
      </c>
      <c r="C194" s="47" t="s">
        <v>4563</v>
      </c>
      <c r="D194" s="1" t="s">
        <v>4848</v>
      </c>
      <c r="E194" s="1" t="str" cm="1">
        <f t="array" ref="E194">IFERROR(
  _xlfn.LET(
    _xlpm.searchText, Tests!$C194,
    _xlpm.dataRange, ITTO!$B$3:$F$300,
    _xlpm.headers, ITTO!$B$2:$F$2,
    _xlpm.matchMatrix, ISNUMBER(SEARCH(_xlpm.searchText, _xlpm.dataRange)),
    _xlpm.colMatch, _xlfn.XMATCH(TRUE, _xlfn.BYCOL(_xlpm.matchMatrix, _xlfn.LAMBDA(_xlpm.col, OR(_xlpm.col)))),
    INDEX(_xlpm.headers, _xlpm.colMatch)
  ),
  ""
)</f>
        <v/>
      </c>
      <c r="F194" s="1" t="str" cm="1">
        <f t="array" ref="F194">IFERROR(_xlfn.LET(_xlpm.searchText, Tests!$C194,_xlpm.dataRange, PMBOK!$B$3:$F$300,_xlpm.headers, PMBOK!$B$2:$F$2,_xlpm.matchMatrix, ISNUMBER(SEARCH(_xlpm.searchText, _xlpm.dataRange)),_xlpm.colMatch, _xlfn.XMATCH(TRUE, _xlfn.BYCOL(_xlpm.matchMatrix, _xlfn.LAMBDA(_xlpm.col, OR(_xlpm.col)))),INDEX(_xlpm.headers, _xlpm.colMatch)),"")</f>
        <v/>
      </c>
      <c r="G194" s="1" t="str" cm="1">
        <f t="array" ref="G194">IFERROR(_xlfn.LET(_xlpm.searchText, Tests!$C194,_xlpm.dataRange, 'Rita Quick test'!$B$3:$P$57,_xlpm.headers, 'Rita Quick test'!$B$2:$P$2,_xlpm.matchMatrix, ISNUMBER(SEARCH(_xlpm.searchText, _xlpm.dataRange)),_xlpm.colMatch, _xlfn.XMATCH(TRUE, _xlfn.BYCOL(_xlpm.matchMatrix, _xlfn.LAMBDA(_xlpm.col, OR(_xlpm.col)))),INDEX(_xlpm.headers, _xlpm.colMatch)),"")</f>
        <v/>
      </c>
      <c r="H194" s="1" t="str">
        <f>IFERROR(VLOOKUP("*" &amp; C194 &amp; "*",Terms!D:E,2,FALSE),"")</f>
        <v/>
      </c>
      <c r="I194" s="1" t="str">
        <f>IFERROR(VLOOKUP("*" &amp; C194 &amp; "*",'Terms 2'!B:D,3,FALSE),"")</f>
        <v/>
      </c>
    </row>
    <row r="195" spans="2:9">
      <c r="B195" s="1" t="str">
        <f t="shared" si="2"/>
        <v>Kanban development involves the use of a signboard that is used to help track the work in progress and limit the work in progress.</v>
      </c>
      <c r="C195" s="47" t="s">
        <v>4464</v>
      </c>
      <c r="D195" s="48" t="s">
        <v>4467</v>
      </c>
      <c r="E195" s="1" t="str" cm="1">
        <f t="array" ref="E195">IFERROR(
  _xlfn.LET(
    _xlpm.searchText, Tests!$C195,
    _xlpm.dataRange, ITTO!$B$3:$F$300,
    _xlpm.headers, ITTO!$B$2:$F$2,
    _xlpm.matchMatrix, ISNUMBER(SEARCH(_xlpm.searchText, _xlpm.dataRange)),
    _xlpm.colMatch, _xlfn.XMATCH(TRUE, _xlfn.BYCOL(_xlpm.matchMatrix, _xlfn.LAMBDA(_xlpm.col, OR(_xlpm.col)))),
    INDEX(_xlpm.headers, _xlpm.colMatch)
  ),
  ""
)</f>
        <v/>
      </c>
      <c r="F195" s="1" t="str" cm="1">
        <f t="array" ref="F195">IFERROR(_xlfn.LET(_xlpm.searchText, Tests!$C195,_xlpm.dataRange, PMBOK!$B$3:$F$300,_xlpm.headers, PMBOK!$B$2:$F$2,_xlpm.matchMatrix, ISNUMBER(SEARCH(_xlpm.searchText, _xlpm.dataRange)),_xlpm.colMatch, _xlfn.XMATCH(TRUE, _xlfn.BYCOL(_xlpm.matchMatrix, _xlfn.LAMBDA(_xlpm.col, OR(_xlpm.col)))),INDEX(_xlpm.headers, _xlpm.colMatch)),"")</f>
        <v/>
      </c>
      <c r="G195" s="1" t="str" cm="1">
        <f t="array" ref="G195">IFERROR(_xlfn.LET(_xlpm.searchText, Tests!$C195,_xlpm.dataRange, 'Rita Quick test'!$B$3:$P$57,_xlpm.headers, 'Rita Quick test'!$B$2:$P$2,_xlpm.matchMatrix, ISNUMBER(SEARCH(_xlpm.searchText, _xlpm.dataRange)),_xlpm.colMatch, _xlfn.XMATCH(TRUE, _xlfn.BYCOL(_xlpm.matchMatrix, _xlfn.LAMBDA(_xlpm.col, OR(_xlpm.col)))),INDEX(_xlpm.headers, _xlpm.colMatch)),"")</f>
        <v/>
      </c>
      <c r="H195" s="1" t="str">
        <f>IFERROR(VLOOKUP("*" &amp; C195 &amp; "*",Terms!D:E,2,FALSE),"")</f>
        <v/>
      </c>
      <c r="I195" s="1" t="str">
        <f>IFERROR(VLOOKUP("*" &amp; C195 &amp; "*",'Terms 2'!B:D,3,FALSE),"")</f>
        <v/>
      </c>
    </row>
    <row r="196" spans="2:9">
      <c r="B196" s="1" t="str">
        <f t="shared" ref="B196:B259" si="3">TRIM(D196)</f>
        <v>Opportunity and knowledge management registers are made-up terms.</v>
      </c>
      <c r="C196" s="47" t="s">
        <v>4615</v>
      </c>
      <c r="D196" s="49" t="s">
        <v>4617</v>
      </c>
      <c r="E196" s="1" t="str" cm="1">
        <f t="array" ref="E196">IFERROR(
  _xlfn.LET(
    _xlpm.searchText, Tests!$C196,
    _xlpm.dataRange, ITTO!$B$3:$F$300,
    _xlpm.headers, ITTO!$B$2:$F$2,
    _xlpm.matchMatrix, ISNUMBER(SEARCH(_xlpm.searchText, _xlpm.dataRange)),
    _xlpm.colMatch, _xlfn.XMATCH(TRUE, _xlfn.BYCOL(_xlpm.matchMatrix, _xlfn.LAMBDA(_xlpm.col, OR(_xlpm.col)))),
    INDEX(_xlpm.headers, _xlpm.colMatch)
  ),
  ""
)</f>
        <v/>
      </c>
      <c r="F196" s="1" t="str" cm="1">
        <f t="array" ref="F196">IFERROR(_xlfn.LET(_xlpm.searchText, Tests!$C196,_xlpm.dataRange, PMBOK!$B$3:$F$300,_xlpm.headers, PMBOK!$B$2:$F$2,_xlpm.matchMatrix, ISNUMBER(SEARCH(_xlpm.searchText, _xlpm.dataRange)),_xlpm.colMatch, _xlfn.XMATCH(TRUE, _xlfn.BYCOL(_xlpm.matchMatrix, _xlfn.LAMBDA(_xlpm.col, OR(_xlpm.col)))),INDEX(_xlpm.headers, _xlpm.colMatch)),"")</f>
        <v/>
      </c>
      <c r="G196" s="1" t="str" cm="1">
        <f t="array" ref="G196">IFERROR(_xlfn.LET(_xlpm.searchText, Tests!$C196,_xlpm.dataRange, 'Rita Quick test'!$B$3:$P$57,_xlpm.headers, 'Rita Quick test'!$B$2:$P$2,_xlpm.matchMatrix, ISNUMBER(SEARCH(_xlpm.searchText, _xlpm.dataRange)),_xlpm.colMatch, _xlfn.XMATCH(TRUE, _xlfn.BYCOL(_xlpm.matchMatrix, _xlfn.LAMBDA(_xlpm.col, OR(_xlpm.col)))),INDEX(_xlpm.headers, _xlpm.colMatch)),"")</f>
        <v/>
      </c>
      <c r="H196" s="1" t="str">
        <f>IFERROR(VLOOKUP("*" &amp; C196 &amp; "*",Terms!D:E,2,FALSE),"")</f>
        <v/>
      </c>
      <c r="I196" s="1" t="str">
        <f>IFERROR(VLOOKUP("*" &amp; C196 &amp; "*",'Terms 2'!B:D,3,FALSE),"")</f>
        <v/>
      </c>
    </row>
    <row r="197" spans="2:9">
      <c r="B197" s="1" t="str">
        <f t="shared" si="3"/>
        <v>Lag is the amount of time you need to delay an activity before the next activity starts.</v>
      </c>
      <c r="C197" s="46" t="s">
        <v>4547</v>
      </c>
      <c r="D197" s="49" t="s">
        <v>4549</v>
      </c>
      <c r="E197" s="1" t="str" cm="1">
        <f t="array" ref="E197">IFERROR(
  _xlfn.LET(
    _xlpm.searchText, Tests!$C197,
    _xlpm.dataRange, ITTO!$B$3:$F$300,
    _xlpm.headers, ITTO!$B$2:$F$2,
    _xlpm.matchMatrix, ISNUMBER(SEARCH(_xlpm.searchText, _xlpm.dataRange)),
    _xlpm.colMatch, _xlfn.XMATCH(TRUE, _xlfn.BYCOL(_xlpm.matchMatrix, _xlfn.LAMBDA(_xlpm.col, OR(_xlpm.col)))),
    INDEX(_xlpm.headers, _xlpm.colMatch)
  ),
  ""
)</f>
        <v/>
      </c>
      <c r="F197" s="1" t="str" cm="1">
        <f t="array" ref="F197">IFERROR(_xlfn.LET(_xlpm.searchText, Tests!$C197,_xlpm.dataRange, PMBOK!$B$3:$F$300,_xlpm.headers, PMBOK!$B$2:$F$2,_xlpm.matchMatrix, ISNUMBER(SEARCH(_xlpm.searchText, _xlpm.dataRange)),_xlpm.colMatch, _xlfn.XMATCH(TRUE, _xlfn.BYCOL(_xlpm.matchMatrix, _xlfn.LAMBDA(_xlpm.col, OR(_xlpm.col)))),INDEX(_xlpm.headers, _xlpm.colMatch)),"")</f>
        <v/>
      </c>
      <c r="G197" s="1" t="str" cm="1">
        <f t="array" ref="G197">IFERROR(_xlfn.LET(_xlpm.searchText, Tests!$C197,_xlpm.dataRange, 'Rita Quick test'!$B$3:$P$57,_xlpm.headers, 'Rita Quick test'!$B$2:$P$2,_xlpm.matchMatrix, ISNUMBER(SEARCH(_xlpm.searchText, _xlpm.dataRange)),_xlpm.colMatch, _xlfn.XMATCH(TRUE, _xlfn.BYCOL(_xlpm.matchMatrix, _xlfn.LAMBDA(_xlpm.col, OR(_xlpm.col)))),INDEX(_xlpm.headers, _xlpm.colMatch)),"")</f>
        <v/>
      </c>
      <c r="H197" s="1" t="str">
        <f>IFERROR(VLOOKUP("*" &amp; C197 &amp; "*",Terms!D:E,2,FALSE),"")</f>
        <v/>
      </c>
      <c r="I197" s="1" t="str">
        <f>IFERROR(VLOOKUP("*" &amp; C197 &amp; "*",'Terms 2'!B:D,3,FALSE),"")</f>
        <v/>
      </c>
    </row>
    <row r="198" spans="2:9">
      <c r="B198" s="1" t="str">
        <f t="shared" si="3"/>
        <v>A lag is a delay between activities.</v>
      </c>
      <c r="C198" s="47" t="s">
        <v>4547</v>
      </c>
      <c r="D198" s="49" t="s">
        <v>4895</v>
      </c>
      <c r="E198" s="1" t="str" cm="1">
        <f t="array" ref="E198">IFERROR(
  _xlfn.LET(
    _xlpm.searchText, Tests!$C198,
    _xlpm.dataRange, ITTO!$B$3:$F$300,
    _xlpm.headers, ITTO!$B$2:$F$2,
    _xlpm.matchMatrix, ISNUMBER(SEARCH(_xlpm.searchText, _xlpm.dataRange)),
    _xlpm.colMatch, _xlfn.XMATCH(TRUE, _xlfn.BYCOL(_xlpm.matchMatrix, _xlfn.LAMBDA(_xlpm.col, OR(_xlpm.col)))),
    INDEX(_xlpm.headers, _xlpm.colMatch)
  ),
  ""
)</f>
        <v/>
      </c>
      <c r="F198" s="1" t="str" cm="1">
        <f t="array" ref="F198">IFERROR(_xlfn.LET(_xlpm.searchText, Tests!$C198,_xlpm.dataRange, PMBOK!$B$3:$F$300,_xlpm.headers, PMBOK!$B$2:$F$2,_xlpm.matchMatrix, ISNUMBER(SEARCH(_xlpm.searchText, _xlpm.dataRange)),_xlpm.colMatch, _xlfn.XMATCH(TRUE, _xlfn.BYCOL(_xlpm.matchMatrix, _xlfn.LAMBDA(_xlpm.col, OR(_xlpm.col)))),INDEX(_xlpm.headers, _xlpm.colMatch)),"")</f>
        <v/>
      </c>
      <c r="G198" s="1" t="str" cm="1">
        <f t="array" ref="G198">IFERROR(_xlfn.LET(_xlpm.searchText, Tests!$C198,_xlpm.dataRange, 'Rita Quick test'!$B$3:$P$57,_xlpm.headers, 'Rita Quick test'!$B$2:$P$2,_xlpm.matchMatrix, ISNUMBER(SEARCH(_xlpm.searchText, _xlpm.dataRange)),_xlpm.colMatch, _xlfn.XMATCH(TRUE, _xlfn.BYCOL(_xlpm.matchMatrix, _xlfn.LAMBDA(_xlpm.col, OR(_xlpm.col)))),INDEX(_xlpm.headers, _xlpm.colMatch)),"")</f>
        <v/>
      </c>
      <c r="H198" s="1" t="str">
        <f>IFERROR(VLOOKUP("*" &amp; C198 &amp; "*",Terms!D:E,2,FALSE),"")</f>
        <v/>
      </c>
      <c r="I198" s="1" t="str">
        <f>IFERROR(VLOOKUP("*" &amp; C198 &amp; "*",'Terms 2'!B:D,3,FALSE),"")</f>
        <v/>
      </c>
    </row>
    <row r="199" spans="2:9">
      <c r="B199" s="1" t="str">
        <f t="shared" si="3"/>
        <v>A lead is an overlap between activities.</v>
      </c>
      <c r="C199" s="47" t="s">
        <v>4773</v>
      </c>
      <c r="D199" s="49" t="s">
        <v>4896</v>
      </c>
      <c r="E199" s="1" t="str" cm="1">
        <f t="array" ref="E199">IFERROR(
  _xlfn.LET(
    _xlpm.searchText, Tests!$C199,
    _xlpm.dataRange, ITTO!$B$3:$F$300,
    _xlpm.headers, ITTO!$B$2:$F$2,
    _xlpm.matchMatrix, ISNUMBER(SEARCH(_xlpm.searchText, _xlpm.dataRange)),
    _xlpm.colMatch, _xlfn.XMATCH(TRUE, _xlfn.BYCOL(_xlpm.matchMatrix, _xlfn.LAMBDA(_xlpm.col, OR(_xlpm.col)))),
    INDEX(_xlpm.headers, _xlpm.colMatch)
  ),
  ""
)</f>
        <v/>
      </c>
      <c r="F199" s="1" t="str" cm="1">
        <f t="array" ref="F199">IFERROR(_xlfn.LET(_xlpm.searchText, Tests!$C199,_xlpm.dataRange, PMBOK!$B$3:$F$300,_xlpm.headers, PMBOK!$B$2:$F$2,_xlpm.matchMatrix, ISNUMBER(SEARCH(_xlpm.searchText, _xlpm.dataRange)),_xlpm.colMatch, _xlfn.XMATCH(TRUE, _xlfn.BYCOL(_xlpm.matchMatrix, _xlfn.LAMBDA(_xlpm.col, OR(_xlpm.col)))),INDEX(_xlpm.headers, _xlpm.colMatch)),"")</f>
        <v/>
      </c>
      <c r="G199" s="1" t="str" cm="1">
        <f t="array" ref="G199">IFERROR(_xlfn.LET(_xlpm.searchText, Tests!$C199,_xlpm.dataRange, 'Rita Quick test'!$B$3:$P$57,_xlpm.headers, 'Rita Quick test'!$B$2:$P$2,_xlpm.matchMatrix, ISNUMBER(SEARCH(_xlpm.searchText, _xlpm.dataRange)),_xlpm.colMatch, _xlfn.XMATCH(TRUE, _xlfn.BYCOL(_xlpm.matchMatrix, _xlfn.LAMBDA(_xlpm.col, OR(_xlpm.col)))),INDEX(_xlpm.headers, _xlpm.colMatch)),"")</f>
        <v/>
      </c>
      <c r="H199" s="1" t="str">
        <f>IFERROR(VLOOKUP("*" &amp; C199 &amp; "*",Terms!D:E,2,FALSE),"")</f>
        <v/>
      </c>
      <c r="I199" s="1" t="str">
        <f>IFERROR(VLOOKUP("*" &amp; C199 &amp; "*",'Terms 2'!B:D,3,FALSE),"")</f>
        <v/>
      </c>
    </row>
    <row r="200" spans="2:9">
      <c r="B200" s="1" t="str">
        <f t="shared" si="3"/>
        <v>The lessons learned register is used to keep track of all new knowledge gained during the project.</v>
      </c>
      <c r="C200" s="47" t="s">
        <v>4596</v>
      </c>
      <c r="D200" s="49" t="s">
        <v>4597</v>
      </c>
      <c r="E200" s="1" t="str" cm="1">
        <f t="array" ref="E200">IFERROR(
  _xlfn.LET(
    _xlpm.searchText, Tests!$C200,
    _xlpm.dataRange, ITTO!$B$3:$F$300,
    _xlpm.headers, ITTO!$B$2:$F$2,
    _xlpm.matchMatrix, ISNUMBER(SEARCH(_xlpm.searchText, _xlpm.dataRange)),
    _xlpm.colMatch, _xlfn.XMATCH(TRUE, _xlfn.BYCOL(_xlpm.matchMatrix, _xlfn.LAMBDA(_xlpm.col, OR(_xlpm.col)))),
    INDEX(_xlpm.headers, _xlpm.colMatch)
  ),
  ""
)</f>
        <v/>
      </c>
      <c r="F200" s="1" t="str" cm="1">
        <f t="array" ref="F200">IFERROR(_xlfn.LET(_xlpm.searchText, Tests!$C200,_xlpm.dataRange, PMBOK!$B$3:$F$300,_xlpm.headers, PMBOK!$B$2:$F$2,_xlpm.matchMatrix, ISNUMBER(SEARCH(_xlpm.searchText, _xlpm.dataRange)),_xlpm.colMatch, _xlfn.XMATCH(TRUE, _xlfn.BYCOL(_xlpm.matchMatrix, _xlfn.LAMBDA(_xlpm.col, OR(_xlpm.col)))),INDEX(_xlpm.headers, _xlpm.colMatch)),"")</f>
        <v/>
      </c>
      <c r="G200" s="1" t="str" cm="1">
        <f t="array" ref="G200">IFERROR(_xlfn.LET(_xlpm.searchText, Tests!$C200,_xlpm.dataRange, 'Rita Quick test'!$B$3:$P$57,_xlpm.headers, 'Rita Quick test'!$B$2:$P$2,_xlpm.matchMatrix, ISNUMBER(SEARCH(_xlpm.searchText, _xlpm.dataRange)),_xlpm.colMatch, _xlfn.XMATCH(TRUE, _xlfn.BYCOL(_xlpm.matchMatrix, _xlfn.LAMBDA(_xlpm.col, OR(_xlpm.col)))),INDEX(_xlpm.headers, _xlpm.colMatch)),"")</f>
        <v/>
      </c>
      <c r="H200" s="1" t="str">
        <f>IFERROR(VLOOKUP("*" &amp; C200 &amp; "*",Terms!D:E,2,FALSE),"")</f>
        <v/>
      </c>
      <c r="I200" s="1" t="str">
        <f>IFERROR(VLOOKUP("*" &amp; C200 &amp; "*",'Terms 2'!B:D,3,FALSE),"")</f>
        <v/>
      </c>
    </row>
    <row r="201" spans="2:9">
      <c r="B201" s="1" t="str">
        <f t="shared" si="3"/>
        <v>Any time new knowledge is gained on a project, it should be added to the lessons learned register to be used throughout the project and on future projects.</v>
      </c>
      <c r="C201" s="47" t="s">
        <v>4596</v>
      </c>
      <c r="D201" s="49" t="s">
        <v>4897</v>
      </c>
      <c r="E201" s="1" t="str" cm="1">
        <f t="array" ref="E201">IFERROR(
  _xlfn.LET(
    _xlpm.searchText, Tests!$C201,
    _xlpm.dataRange, ITTO!$B$3:$F$300,
    _xlpm.headers, ITTO!$B$2:$F$2,
    _xlpm.matchMatrix, ISNUMBER(SEARCH(_xlpm.searchText, _xlpm.dataRange)),
    _xlpm.colMatch, _xlfn.XMATCH(TRUE, _xlfn.BYCOL(_xlpm.matchMatrix, _xlfn.LAMBDA(_xlpm.col, OR(_xlpm.col)))),
    INDEX(_xlpm.headers, _xlpm.colMatch)
  ),
  ""
)</f>
        <v/>
      </c>
      <c r="F201" s="1" t="str" cm="1">
        <f t="array" ref="F201">IFERROR(_xlfn.LET(_xlpm.searchText, Tests!$C201,_xlpm.dataRange, PMBOK!$B$3:$F$300,_xlpm.headers, PMBOK!$B$2:$F$2,_xlpm.matchMatrix, ISNUMBER(SEARCH(_xlpm.searchText, _xlpm.dataRange)),_xlpm.colMatch, _xlfn.XMATCH(TRUE, _xlfn.BYCOL(_xlpm.matchMatrix, _xlfn.LAMBDA(_xlpm.col, OR(_xlpm.col)))),INDEX(_xlpm.headers, _xlpm.colMatch)),"")</f>
        <v/>
      </c>
      <c r="G201" s="1" t="str" cm="1">
        <f t="array" ref="G201">IFERROR(_xlfn.LET(_xlpm.searchText, Tests!$C201,_xlpm.dataRange, 'Rita Quick test'!$B$3:$P$57,_xlpm.headers, 'Rita Quick test'!$B$2:$P$2,_xlpm.matchMatrix, ISNUMBER(SEARCH(_xlpm.searchText, _xlpm.dataRange)),_xlpm.colMatch, _xlfn.XMATCH(TRUE, _xlfn.BYCOL(_xlpm.matchMatrix, _xlfn.LAMBDA(_xlpm.col, OR(_xlpm.col)))),INDEX(_xlpm.headers, _xlpm.colMatch)),"")</f>
        <v/>
      </c>
      <c r="H201" s="1" t="str">
        <f>IFERROR(VLOOKUP("*" &amp; C201 &amp; "*",Terms!D:E,2,FALSE),"")</f>
        <v/>
      </c>
      <c r="I201" s="1" t="str">
        <f>IFERROR(VLOOKUP("*" &amp; C201 &amp; "*",'Terms 2'!B:D,3,FALSE),"")</f>
        <v/>
      </c>
    </row>
    <row r="202" spans="2:9">
      <c r="B202" s="1" t="str">
        <f t="shared" si="3"/>
        <v>A low-grade, high-quality project is acceptable. The grade just represents the number of features a project had.</v>
      </c>
      <c r="C202" s="47" t="s">
        <v>4515</v>
      </c>
      <c r="D202" s="49" t="s">
        <v>4898</v>
      </c>
      <c r="E202" s="1" t="str" cm="1">
        <f t="array" ref="E202">IFERROR(
  _xlfn.LET(
    _xlpm.searchText, Tests!$C202,
    _xlpm.dataRange, ITTO!$B$3:$F$300,
    _xlpm.headers, ITTO!$B$2:$F$2,
    _xlpm.matchMatrix, ISNUMBER(SEARCH(_xlpm.searchText, _xlpm.dataRange)),
    _xlpm.colMatch, _xlfn.XMATCH(TRUE, _xlfn.BYCOL(_xlpm.matchMatrix, _xlfn.LAMBDA(_xlpm.col, OR(_xlpm.col)))),
    INDEX(_xlpm.headers, _xlpm.colMatch)
  ),
  ""
)</f>
        <v/>
      </c>
      <c r="F202" s="1" t="str" cm="1">
        <f t="array" ref="F202">IFERROR(_xlfn.LET(_xlpm.searchText, Tests!$C202,_xlpm.dataRange, PMBOK!$B$3:$F$300,_xlpm.headers, PMBOK!$B$2:$F$2,_xlpm.matchMatrix, ISNUMBER(SEARCH(_xlpm.searchText, _xlpm.dataRange)),_xlpm.colMatch, _xlfn.XMATCH(TRUE, _xlfn.BYCOL(_xlpm.matchMatrix, _xlfn.LAMBDA(_xlpm.col, OR(_xlpm.col)))),INDEX(_xlpm.headers, _xlpm.colMatch)),"")</f>
        <v/>
      </c>
      <c r="G202" s="1" t="str" cm="1">
        <f t="array" ref="G202">IFERROR(_xlfn.LET(_xlpm.searchText, Tests!$C202,_xlpm.dataRange, 'Rita Quick test'!$B$3:$P$57,_xlpm.headers, 'Rita Quick test'!$B$2:$P$2,_xlpm.matchMatrix, ISNUMBER(SEARCH(_xlpm.searchText, _xlpm.dataRange)),_xlpm.colMatch, _xlfn.XMATCH(TRUE, _xlfn.BYCOL(_xlpm.matchMatrix, _xlfn.LAMBDA(_xlpm.col, OR(_xlpm.col)))),INDEX(_xlpm.headers, _xlpm.colMatch)),"")</f>
        <v/>
      </c>
      <c r="H202" s="1" t="str">
        <f>IFERROR(VLOOKUP("*" &amp; C202 &amp; "*",Terms!D:E,2,FALSE),"")</f>
        <v/>
      </c>
      <c r="I202" s="1" t="str">
        <f>IFERROR(VLOOKUP("*" &amp; C202 &amp; "*",'Terms 2'!B:D,3,FALSE),"")</f>
        <v/>
      </c>
    </row>
    <row r="203" spans="2:9">
      <c r="B203" s="1" t="str">
        <f t="shared" si="3"/>
        <v>Low quality is never okay.</v>
      </c>
      <c r="C203" s="47" t="s">
        <v>4514</v>
      </c>
      <c r="D203" s="49" t="s">
        <v>4887</v>
      </c>
      <c r="E203" s="1" t="str" cm="1">
        <f t="array" ref="E203">IFERROR(
  _xlfn.LET(
    _xlpm.searchText, Tests!$C203,
    _xlpm.dataRange, ITTO!$B$3:$F$300,
    _xlpm.headers, ITTO!$B$2:$F$2,
    _xlpm.matchMatrix, ISNUMBER(SEARCH(_xlpm.searchText, _xlpm.dataRange)),
    _xlpm.colMatch, _xlfn.XMATCH(TRUE, _xlfn.BYCOL(_xlpm.matchMatrix, _xlfn.LAMBDA(_xlpm.col, OR(_xlpm.col)))),
    INDEX(_xlpm.headers, _xlpm.colMatch)
  ),
  ""
)</f>
        <v/>
      </c>
      <c r="F203" s="1" t="str" cm="1">
        <f t="array" ref="F203">IFERROR(_xlfn.LET(_xlpm.searchText, Tests!$C203,_xlpm.dataRange, PMBOK!$B$3:$F$300,_xlpm.headers, PMBOK!$B$2:$F$2,_xlpm.matchMatrix, ISNUMBER(SEARCH(_xlpm.searchText, _xlpm.dataRange)),_xlpm.colMatch, _xlfn.XMATCH(TRUE, _xlfn.BYCOL(_xlpm.matchMatrix, _xlfn.LAMBDA(_xlpm.col, OR(_xlpm.col)))),INDEX(_xlpm.headers, _xlpm.colMatch)),"")</f>
        <v/>
      </c>
      <c r="G203" s="1" t="str" cm="1">
        <f t="array" ref="G203">IFERROR(_xlfn.LET(_xlpm.searchText, Tests!$C203,_xlpm.dataRange, 'Rita Quick test'!$B$3:$P$57,_xlpm.headers, 'Rita Quick test'!$B$2:$P$2,_xlpm.matchMatrix, ISNUMBER(SEARCH(_xlpm.searchText, _xlpm.dataRange)),_xlpm.colMatch, _xlfn.XMATCH(TRUE, _xlfn.BYCOL(_xlpm.matchMatrix, _xlfn.LAMBDA(_xlpm.col, OR(_xlpm.col)))),INDEX(_xlpm.headers, _xlpm.colMatch)),"")</f>
        <v/>
      </c>
      <c r="H203" s="1" t="str">
        <f>IFERROR(VLOOKUP("*" &amp; C203 &amp; "*",Terms!D:E,2,FALSE),"")</f>
        <v/>
      </c>
      <c r="I203" s="1" t="str">
        <f>IFERROR(VLOOKUP("*" &amp; C203 &amp; "*",'Terms 2'!B:D,3,FALSE),"")</f>
        <v/>
      </c>
    </row>
    <row r="204" spans="2:9">
      <c r="B204" s="1" t="str">
        <f t="shared" si="3"/>
        <v/>
      </c>
      <c r="C204" s="47" t="s">
        <v>4819</v>
      </c>
      <c r="D204" s="1" t="s">
        <v>4848</v>
      </c>
      <c r="E204" s="1" t="str" cm="1">
        <f t="array" ref="E204">IFERROR(
  _xlfn.LET(
    _xlpm.searchText, Tests!$C204,
    _xlpm.dataRange, ITTO!$B$3:$F$300,
    _xlpm.headers, ITTO!$B$2:$F$2,
    _xlpm.matchMatrix, ISNUMBER(SEARCH(_xlpm.searchText, _xlpm.dataRange)),
    _xlpm.colMatch, _xlfn.XMATCH(TRUE, _xlfn.BYCOL(_xlpm.matchMatrix, _xlfn.LAMBDA(_xlpm.col, OR(_xlpm.col)))),
    INDEX(_xlpm.headers, _xlpm.colMatch)
  ),
  ""
)</f>
        <v/>
      </c>
      <c r="F204" s="1" t="str" cm="1">
        <f t="array" ref="F204">IFERROR(_xlfn.LET(_xlpm.searchText, Tests!$C204,_xlpm.dataRange, PMBOK!$B$3:$F$300,_xlpm.headers, PMBOK!$B$2:$F$2,_xlpm.matchMatrix, ISNUMBER(SEARCH(_xlpm.searchText, _xlpm.dataRange)),_xlpm.colMatch, _xlfn.XMATCH(TRUE, _xlfn.BYCOL(_xlpm.matchMatrix, _xlfn.LAMBDA(_xlpm.col, OR(_xlpm.col)))),INDEX(_xlpm.headers, _xlpm.colMatch)),"")</f>
        <v/>
      </c>
      <c r="G204" s="1" t="str" cm="1">
        <f t="array" ref="G204">IFERROR(_xlfn.LET(_xlpm.searchText, Tests!$C204,_xlpm.dataRange, 'Rita Quick test'!$B$3:$P$57,_xlpm.headers, 'Rita Quick test'!$B$2:$P$2,_xlpm.matchMatrix, ISNUMBER(SEARCH(_xlpm.searchText, _xlpm.dataRange)),_xlpm.colMatch, _xlfn.XMATCH(TRUE, _xlfn.BYCOL(_xlpm.matchMatrix, _xlfn.LAMBDA(_xlpm.col, OR(_xlpm.col)))),INDEX(_xlpm.headers, _xlpm.colMatch)),"")</f>
        <v/>
      </c>
      <c r="H204" s="1" t="str">
        <f>IFERROR(VLOOKUP("*" &amp; C204 &amp; "*",Terms!D:E,2,FALSE),"")</f>
        <v/>
      </c>
      <c r="I204" s="1" t="str">
        <f>IFERROR(VLOOKUP("*" &amp; C204 &amp; "*",'Terms 2'!B:D,3,FALSE),"")</f>
        <v/>
      </c>
    </row>
    <row r="205" spans="2:9">
      <c r="B205" s="1" t="str">
        <f t="shared" si="3"/>
        <v/>
      </c>
      <c r="C205" s="47" t="s">
        <v>4820</v>
      </c>
      <c r="D205" s="1" t="s">
        <v>4848</v>
      </c>
      <c r="E205" s="1" t="str" cm="1">
        <f t="array" ref="E205">IFERROR(
  _xlfn.LET(
    _xlpm.searchText, Tests!$C205,
    _xlpm.dataRange, ITTO!$B$3:$F$300,
    _xlpm.headers, ITTO!$B$2:$F$2,
    _xlpm.matchMatrix, ISNUMBER(SEARCH(_xlpm.searchText, _xlpm.dataRange)),
    _xlpm.colMatch, _xlfn.XMATCH(TRUE, _xlfn.BYCOL(_xlpm.matchMatrix, _xlfn.LAMBDA(_xlpm.col, OR(_xlpm.col)))),
    INDEX(_xlpm.headers, _xlpm.colMatch)
  ),
  ""
)</f>
        <v/>
      </c>
      <c r="F205" s="1" t="str" cm="1">
        <f t="array" ref="F205">IFERROR(_xlfn.LET(_xlpm.searchText, Tests!$C205,_xlpm.dataRange, PMBOK!$B$3:$F$300,_xlpm.headers, PMBOK!$B$2:$F$2,_xlpm.matchMatrix, ISNUMBER(SEARCH(_xlpm.searchText, _xlpm.dataRange)),_xlpm.colMatch, _xlfn.XMATCH(TRUE, _xlfn.BYCOL(_xlpm.matchMatrix, _xlfn.LAMBDA(_xlpm.col, OR(_xlpm.col)))),INDEX(_xlpm.headers, _xlpm.colMatch)),"")</f>
        <v/>
      </c>
      <c r="G205" s="1" t="str" cm="1">
        <f t="array" ref="G205">IFERROR(_xlfn.LET(_xlpm.searchText, Tests!$C205,_xlpm.dataRange, 'Rita Quick test'!$B$3:$P$57,_xlpm.headers, 'Rita Quick test'!$B$2:$P$2,_xlpm.matchMatrix, ISNUMBER(SEARCH(_xlpm.searchText, _xlpm.dataRange)),_xlpm.colMatch, _xlfn.XMATCH(TRUE, _xlfn.BYCOL(_xlpm.matchMatrix, _xlfn.LAMBDA(_xlpm.col, OR(_xlpm.col)))),INDEX(_xlpm.headers, _xlpm.colMatch)),"")</f>
        <v/>
      </c>
      <c r="H205" s="1" t="str">
        <f>IFERROR(VLOOKUP("*" &amp; C205 &amp; "*",Terms!D:E,2,FALSE),"")</f>
        <v/>
      </c>
      <c r="I205" s="1" t="str">
        <f>IFERROR(VLOOKUP("*" &amp; C205 &amp; "*",'Terms 2'!B:D,3,FALSE),"")</f>
        <v/>
      </c>
    </row>
    <row r="206" spans="2:9">
      <c r="B206" s="1" t="str">
        <f t="shared" si="3"/>
        <v>Manage communication is done in the executing section of the project to update the stakeholders on the project’s progress.</v>
      </c>
      <c r="C206" s="47" t="s">
        <v>4776</v>
      </c>
      <c r="D206" s="49" t="s">
        <v>4899</v>
      </c>
      <c r="E206" s="1" t="str" cm="1">
        <f t="array" ref="E206">IFERROR(
  _xlfn.LET(
    _xlpm.searchText, Tests!$C206,
    _xlpm.dataRange, ITTO!$B$3:$F$300,
    _xlpm.headers, ITTO!$B$2:$F$2,
    _xlpm.matchMatrix, ISNUMBER(SEARCH(_xlpm.searchText, _xlpm.dataRange)),
    _xlpm.colMatch, _xlfn.XMATCH(TRUE, _xlfn.BYCOL(_xlpm.matchMatrix, _xlfn.LAMBDA(_xlpm.col, OR(_xlpm.col)))),
    INDEX(_xlpm.headers, _xlpm.colMatch)
  ),
  ""
)</f>
        <v/>
      </c>
      <c r="F206" s="1" t="str" cm="1">
        <f t="array" ref="F206">IFERROR(_xlfn.LET(_xlpm.searchText, Tests!$C206,_xlpm.dataRange, PMBOK!$B$3:$F$300,_xlpm.headers, PMBOK!$B$2:$F$2,_xlpm.matchMatrix, ISNUMBER(SEARCH(_xlpm.searchText, _xlpm.dataRange)),_xlpm.colMatch, _xlfn.XMATCH(TRUE, _xlfn.BYCOL(_xlpm.matchMatrix, _xlfn.LAMBDA(_xlpm.col, OR(_xlpm.col)))),INDEX(_xlpm.headers, _xlpm.colMatch)),"")</f>
        <v/>
      </c>
      <c r="G206" s="1" t="str" cm="1">
        <f t="array" ref="G206">IFERROR(_xlfn.LET(_xlpm.searchText, Tests!$C206,_xlpm.dataRange, 'Rita Quick test'!$B$3:$P$57,_xlpm.headers, 'Rita Quick test'!$B$2:$P$2,_xlpm.matchMatrix, ISNUMBER(SEARCH(_xlpm.searchText, _xlpm.dataRange)),_xlpm.colMatch, _xlfn.XMATCH(TRUE, _xlfn.BYCOL(_xlpm.matchMatrix, _xlfn.LAMBDA(_xlpm.col, OR(_xlpm.col)))),INDEX(_xlpm.headers, _xlpm.colMatch)),"")</f>
        <v/>
      </c>
      <c r="H206" s="1" t="str">
        <f>IFERROR(VLOOKUP("*" &amp; C206 &amp; "*",Terms!D:E,2,FALSE),"")</f>
        <v/>
      </c>
      <c r="I206" s="1" t="str">
        <f>IFERROR(VLOOKUP("*" &amp; C206 &amp; "*",'Terms 2'!B:D,3,FALSE),"")</f>
        <v/>
      </c>
    </row>
    <row r="207" spans="2:9">
      <c r="B207" s="1" t="str">
        <f t="shared" si="3"/>
        <v>Manage procurement is not a PMBOK process.</v>
      </c>
      <c r="C207" s="47" t="s">
        <v>4552</v>
      </c>
      <c r="D207" s="49" t="s">
        <v>4556</v>
      </c>
      <c r="E207" s="1" t="str" cm="1">
        <f t="array" ref="E207">IFERROR(
  _xlfn.LET(
    _xlpm.searchText, Tests!$C207,
    _xlpm.dataRange, ITTO!$B$3:$F$300,
    _xlpm.headers, ITTO!$B$2:$F$2,
    _xlpm.matchMatrix, ISNUMBER(SEARCH(_xlpm.searchText, _xlpm.dataRange)),
    _xlpm.colMatch, _xlfn.XMATCH(TRUE, _xlfn.BYCOL(_xlpm.matchMatrix, _xlfn.LAMBDA(_xlpm.col, OR(_xlpm.col)))),
    INDEX(_xlpm.headers, _xlpm.colMatch)
  ),
  ""
)</f>
        <v/>
      </c>
      <c r="F207" s="1" t="str" cm="1">
        <f t="array" ref="F207">IFERROR(_xlfn.LET(_xlpm.searchText, Tests!$C207,_xlpm.dataRange, PMBOK!$B$3:$F$300,_xlpm.headers, PMBOK!$B$2:$F$2,_xlpm.matchMatrix, ISNUMBER(SEARCH(_xlpm.searchText, _xlpm.dataRange)),_xlpm.colMatch, _xlfn.XMATCH(TRUE, _xlfn.BYCOL(_xlpm.matchMatrix, _xlfn.LAMBDA(_xlpm.col, OR(_xlpm.col)))),INDEX(_xlpm.headers, _xlpm.colMatch)),"")</f>
        <v/>
      </c>
      <c r="G207" s="1" t="str" cm="1">
        <f t="array" ref="G207">IFERROR(_xlfn.LET(_xlpm.searchText, Tests!$C207,_xlpm.dataRange, 'Rita Quick test'!$B$3:$P$57,_xlpm.headers, 'Rita Quick test'!$B$2:$P$2,_xlpm.matchMatrix, ISNUMBER(SEARCH(_xlpm.searchText, _xlpm.dataRange)),_xlpm.colMatch, _xlfn.XMATCH(TRUE, _xlfn.BYCOL(_xlpm.matchMatrix, _xlfn.LAMBDA(_xlpm.col, OR(_xlpm.col)))),INDEX(_xlpm.headers, _xlpm.colMatch)),"")</f>
        <v/>
      </c>
      <c r="H207" s="1" t="str">
        <f>IFERROR(VLOOKUP("*" &amp; C207 &amp; "*",Terms!D:E,2,FALSE),"")</f>
        <v/>
      </c>
      <c r="I207" s="1" t="str">
        <f>IFERROR(VLOOKUP("*" &amp; C207 &amp; "*",'Terms 2'!B:D,3,FALSE),"")</f>
        <v/>
      </c>
    </row>
    <row r="208" spans="2:9">
      <c r="B208" s="1" t="str">
        <f t="shared" si="3"/>
        <v>Manage quality is an executing process where you will improve processes by conducting audits and process analysis.</v>
      </c>
      <c r="C208" s="47" t="s">
        <v>4505</v>
      </c>
      <c r="D208" s="49" t="s">
        <v>4900</v>
      </c>
      <c r="E208" s="1" t="str" cm="1">
        <f t="array" ref="E208">IFERROR(
  _xlfn.LET(
    _xlpm.searchText, Tests!$C208,
    _xlpm.dataRange, ITTO!$B$3:$F$300,
    _xlpm.headers, ITTO!$B$2:$F$2,
    _xlpm.matchMatrix, ISNUMBER(SEARCH(_xlpm.searchText, _xlpm.dataRange)),
    _xlpm.colMatch, _xlfn.XMATCH(TRUE, _xlfn.BYCOL(_xlpm.matchMatrix, _xlfn.LAMBDA(_xlpm.col, OR(_xlpm.col)))),
    INDEX(_xlpm.headers, _xlpm.colMatch)
  ),
  ""
)</f>
        <v/>
      </c>
      <c r="F208" s="1" t="str" cm="1">
        <f t="array" ref="F208">IFERROR(_xlfn.LET(_xlpm.searchText, Tests!$C208,_xlpm.dataRange, PMBOK!$B$3:$F$300,_xlpm.headers, PMBOK!$B$2:$F$2,_xlpm.matchMatrix, ISNUMBER(SEARCH(_xlpm.searchText, _xlpm.dataRange)),_xlpm.colMatch, _xlfn.XMATCH(TRUE, _xlfn.BYCOL(_xlpm.matchMatrix, _xlfn.LAMBDA(_xlpm.col, OR(_xlpm.col)))),INDEX(_xlpm.headers, _xlpm.colMatch)),"")</f>
        <v/>
      </c>
      <c r="G208" s="1" t="str" cm="1">
        <f t="array" ref="G208">IFERROR(_xlfn.LET(_xlpm.searchText, Tests!$C208,_xlpm.dataRange, 'Rita Quick test'!$B$3:$P$57,_xlpm.headers, 'Rita Quick test'!$B$2:$P$2,_xlpm.matchMatrix, ISNUMBER(SEARCH(_xlpm.searchText, _xlpm.dataRange)),_xlpm.colMatch, _xlfn.XMATCH(TRUE, _xlfn.BYCOL(_xlpm.matchMatrix, _xlfn.LAMBDA(_xlpm.col, OR(_xlpm.col)))),INDEX(_xlpm.headers, _xlpm.colMatch)),"")</f>
        <v/>
      </c>
      <c r="H208" s="1" t="str">
        <f>IFERROR(VLOOKUP("*" &amp; C208 &amp; "*",Terms!D:E,2,FALSE),"")</f>
        <v/>
      </c>
      <c r="I208" s="1" t="str">
        <f>IFERROR(VLOOKUP("*" &amp; C208 &amp; "*",'Terms 2'!B:D,3,FALSE),"")</f>
        <v/>
      </c>
    </row>
    <row r="209" spans="2:9">
      <c r="B209" s="1" t="str">
        <f t="shared" si="3"/>
        <v>Monitor and manage scope are made-up processes.</v>
      </c>
      <c r="C209" s="46" t="s">
        <v>4455</v>
      </c>
      <c r="D209" s="48" t="s">
        <v>4457</v>
      </c>
      <c r="E209" s="1" t="str" cm="1">
        <f t="array" ref="E209">IFERROR(
  _xlfn.LET(
    _xlpm.searchText, Tests!$C209,
    _xlpm.dataRange, ITTO!$B$3:$F$300,
    _xlpm.headers, ITTO!$B$2:$F$2,
    _xlpm.matchMatrix, ISNUMBER(SEARCH(_xlpm.searchText, _xlpm.dataRange)),
    _xlpm.colMatch, _xlfn.XMATCH(TRUE, _xlfn.BYCOL(_xlpm.matchMatrix, _xlfn.LAMBDA(_xlpm.col, OR(_xlpm.col)))),
    INDEX(_xlpm.headers, _xlpm.colMatch)
  ),
  ""
)</f>
        <v/>
      </c>
      <c r="F209" s="1" t="str" cm="1">
        <f t="array" ref="F209">IFERROR(_xlfn.LET(_xlpm.searchText, Tests!$C209,_xlpm.dataRange, PMBOK!$B$3:$F$300,_xlpm.headers, PMBOK!$B$2:$F$2,_xlpm.matchMatrix, ISNUMBER(SEARCH(_xlpm.searchText, _xlpm.dataRange)),_xlpm.colMatch, _xlfn.XMATCH(TRUE, _xlfn.BYCOL(_xlpm.matchMatrix, _xlfn.LAMBDA(_xlpm.col, OR(_xlpm.col)))),INDEX(_xlpm.headers, _xlpm.colMatch)),"")</f>
        <v/>
      </c>
      <c r="G209" s="1" t="str" cm="1">
        <f t="array" ref="G209">IFERROR(_xlfn.LET(_xlpm.searchText, Tests!$C209,_xlpm.dataRange, 'Rita Quick test'!$B$3:$P$57,_xlpm.headers, 'Rita Quick test'!$B$2:$P$2,_xlpm.matchMatrix, ISNUMBER(SEARCH(_xlpm.searchText, _xlpm.dataRange)),_xlpm.colMatch, _xlfn.XMATCH(TRUE, _xlfn.BYCOL(_xlpm.matchMatrix, _xlfn.LAMBDA(_xlpm.col, OR(_xlpm.col)))),INDEX(_xlpm.headers, _xlpm.colMatch)),"")</f>
        <v/>
      </c>
      <c r="H209" s="1" t="str">
        <f>IFERROR(VLOOKUP("*" &amp; C209 &amp; "*",Terms!D:E,2,FALSE),"")</f>
        <v/>
      </c>
      <c r="I209" s="1" t="str">
        <f>IFERROR(VLOOKUP("*" &amp; C209 &amp; "*",'Terms 2'!B:D,3,FALSE),"")</f>
        <v/>
      </c>
    </row>
    <row r="210" spans="2:9">
      <c r="B210" s="1" t="str">
        <f t="shared" si="3"/>
        <v>Manage team and develop team are used to manage the project team and not the physical resources.</v>
      </c>
      <c r="C210" s="47" t="s">
        <v>4477</v>
      </c>
      <c r="D210" s="49" t="s">
        <v>4873</v>
      </c>
      <c r="E210" s="1" t="str" cm="1">
        <f t="array" ref="E210">IFERROR(
  _xlfn.LET(
    _xlpm.searchText, Tests!$C210,
    _xlpm.dataRange, ITTO!$B$3:$F$300,
    _xlpm.headers, ITTO!$B$2:$F$2,
    _xlpm.matchMatrix, ISNUMBER(SEARCH(_xlpm.searchText, _xlpm.dataRange)),
    _xlpm.colMatch, _xlfn.XMATCH(TRUE, _xlfn.BYCOL(_xlpm.matchMatrix, _xlfn.LAMBDA(_xlpm.col, OR(_xlpm.col)))),
    INDEX(_xlpm.headers, _xlpm.colMatch)
  ),
  ""
)</f>
        <v/>
      </c>
      <c r="F210" s="1" t="str" cm="1">
        <f t="array" ref="F210">IFERROR(_xlfn.LET(_xlpm.searchText, Tests!$C210,_xlpm.dataRange, PMBOK!$B$3:$F$300,_xlpm.headers, PMBOK!$B$2:$F$2,_xlpm.matchMatrix, ISNUMBER(SEARCH(_xlpm.searchText, _xlpm.dataRange)),_xlpm.colMatch, _xlfn.XMATCH(TRUE, _xlfn.BYCOL(_xlpm.matchMatrix, _xlfn.LAMBDA(_xlpm.col, OR(_xlpm.col)))),INDEX(_xlpm.headers, _xlpm.colMatch)),"")</f>
        <v/>
      </c>
      <c r="G210" s="1" t="str" cm="1">
        <f t="array" ref="G210">IFERROR(_xlfn.LET(_xlpm.searchText, Tests!$C210,_xlpm.dataRange, 'Rita Quick test'!$B$3:$P$57,_xlpm.headers, 'Rita Quick test'!$B$2:$P$2,_xlpm.matchMatrix, ISNUMBER(SEARCH(_xlpm.searchText, _xlpm.dataRange)),_xlpm.colMatch, _xlfn.XMATCH(TRUE, _xlfn.BYCOL(_xlpm.matchMatrix, _xlfn.LAMBDA(_xlpm.col, OR(_xlpm.col)))),INDEX(_xlpm.headers, _xlpm.colMatch)),"")</f>
        <v/>
      </c>
      <c r="H210" s="1" t="str">
        <f>IFERROR(VLOOKUP("*" &amp; C210 &amp; "*",Terms!D:E,2,FALSE),"")</f>
        <v/>
      </c>
      <c r="I210" s="1" t="str">
        <f>IFERROR(VLOOKUP("*" &amp; C210 &amp; "*",'Terms 2'!B:D,3,FALSE),"")</f>
        <v/>
      </c>
    </row>
    <row r="211" spans="2:9">
      <c r="B211" s="1" t="str">
        <f t="shared" si="3"/>
        <v>Maslow’s hierarchy of needs specifies what a company must have in order for employees to stay motivated.</v>
      </c>
      <c r="C211" s="47" t="s">
        <v>4815</v>
      </c>
      <c r="D211" s="49" t="s">
        <v>4817</v>
      </c>
      <c r="E211" s="1" t="str" cm="1">
        <f t="array" ref="E211">IFERROR(
  _xlfn.LET(
    _xlpm.searchText, Tests!$C211,
    _xlpm.dataRange, ITTO!$B$3:$F$300,
    _xlpm.headers, ITTO!$B$2:$F$2,
    _xlpm.matchMatrix, ISNUMBER(SEARCH(_xlpm.searchText, _xlpm.dataRange)),
    _xlpm.colMatch, _xlfn.XMATCH(TRUE, _xlfn.BYCOL(_xlpm.matchMatrix, _xlfn.LAMBDA(_xlpm.col, OR(_xlpm.col)))),
    INDEX(_xlpm.headers, _xlpm.colMatch)
  ),
  ""
)</f>
        <v/>
      </c>
      <c r="F211" s="1" t="str" cm="1">
        <f t="array" ref="F211">IFERROR(_xlfn.LET(_xlpm.searchText, Tests!$C211,_xlpm.dataRange, PMBOK!$B$3:$F$300,_xlpm.headers, PMBOK!$B$2:$F$2,_xlpm.matchMatrix, ISNUMBER(SEARCH(_xlpm.searchText, _xlpm.dataRange)),_xlpm.colMatch, _xlfn.XMATCH(TRUE, _xlfn.BYCOL(_xlpm.matchMatrix, _xlfn.LAMBDA(_xlpm.col, OR(_xlpm.col)))),INDEX(_xlpm.headers, _xlpm.colMatch)),"")</f>
        <v/>
      </c>
      <c r="G211" s="1" t="str" cm="1">
        <f t="array" ref="G211">IFERROR(_xlfn.LET(_xlpm.searchText, Tests!$C211,_xlpm.dataRange, 'Rita Quick test'!$B$3:$P$57,_xlpm.headers, 'Rita Quick test'!$B$2:$P$2,_xlpm.matchMatrix, ISNUMBER(SEARCH(_xlpm.searchText, _xlpm.dataRange)),_xlpm.colMatch, _xlfn.XMATCH(TRUE, _xlfn.BYCOL(_xlpm.matchMatrix, _xlfn.LAMBDA(_xlpm.col, OR(_xlpm.col)))),INDEX(_xlpm.headers, _xlpm.colMatch)),"")</f>
        <v/>
      </c>
      <c r="H211" s="1" t="str">
        <f>IFERROR(VLOOKUP("*" &amp; C211 &amp; "*",Terms!D:E,2,FALSE),"")</f>
        <v/>
      </c>
      <c r="I211" s="1" t="str">
        <f>IFERROR(VLOOKUP("*" &amp; C211 &amp; "*",'Terms 2'!B:D,3,FALSE),"")</f>
        <v/>
      </c>
    </row>
    <row r="212" spans="2:9">
      <c r="B212" s="1" t="str">
        <f t="shared" si="3"/>
        <v>Once the project charter is created, the next step would be to collect the requirements and then create the scope statement and the WBS.</v>
      </c>
      <c r="C212" s="47" t="s">
        <v>4641</v>
      </c>
      <c r="D212" s="49" t="s">
        <v>4869</v>
      </c>
      <c r="E212" s="1" t="str" cm="1">
        <f t="array" ref="E212">IFERROR(
  _xlfn.LET(
    _xlpm.searchText, Tests!$C212,
    _xlpm.dataRange, ITTO!$B$3:$F$300,
    _xlpm.headers, ITTO!$B$2:$F$2,
    _xlpm.matchMatrix, ISNUMBER(SEARCH(_xlpm.searchText, _xlpm.dataRange)),
    _xlpm.colMatch, _xlfn.XMATCH(TRUE, _xlfn.BYCOL(_xlpm.matchMatrix, _xlfn.LAMBDA(_xlpm.col, OR(_xlpm.col)))),
    INDEX(_xlpm.headers, _xlpm.colMatch)
  ),
  ""
)</f>
        <v/>
      </c>
      <c r="F212" s="1" t="str" cm="1">
        <f t="array" ref="F212">IFERROR(_xlfn.LET(_xlpm.searchText, Tests!$C212,_xlpm.dataRange, PMBOK!$B$3:$F$300,_xlpm.headers, PMBOK!$B$2:$F$2,_xlpm.matchMatrix, ISNUMBER(SEARCH(_xlpm.searchText, _xlpm.dataRange)),_xlpm.colMatch, _xlfn.XMATCH(TRUE, _xlfn.BYCOL(_xlpm.matchMatrix, _xlfn.LAMBDA(_xlpm.col, OR(_xlpm.col)))),INDEX(_xlpm.headers, _xlpm.colMatch)),"")</f>
        <v/>
      </c>
      <c r="G212" s="1" t="str" cm="1">
        <f t="array" ref="G212">IFERROR(_xlfn.LET(_xlpm.searchText, Tests!$C212,_xlpm.dataRange, 'Rita Quick test'!$B$3:$P$57,_xlpm.headers, 'Rita Quick test'!$B$2:$P$2,_xlpm.matchMatrix, ISNUMBER(SEARCH(_xlpm.searchText, _xlpm.dataRange)),_xlpm.colMatch, _xlfn.XMATCH(TRUE, _xlfn.BYCOL(_xlpm.matchMatrix, _xlfn.LAMBDA(_xlpm.col, OR(_xlpm.col)))),INDEX(_xlpm.headers, _xlpm.colMatch)),"")</f>
        <v/>
      </c>
      <c r="H212" s="1" t="str">
        <f>IFERROR(VLOOKUP("*" &amp; C212 &amp; "*",Terms!D:E,2,FALSE),"")</f>
        <v/>
      </c>
      <c r="I212" s="1" t="str">
        <f>IFERROR(VLOOKUP("*" &amp; C212 &amp; "*",'Terms 2'!B:D,3,FALSE),"")</f>
        <v/>
      </c>
    </row>
    <row r="213" spans="2:9">
      <c r="B213" s="1" t="str">
        <f t="shared" si="3"/>
        <v>You cannot meet with the team to reduce cost if you don’t know the requirements.</v>
      </c>
      <c r="C213" s="47" t="s">
        <v>4642</v>
      </c>
      <c r="D213" s="49" t="s">
        <v>4643</v>
      </c>
      <c r="E213" s="1" t="str" cm="1">
        <f t="array" ref="E213">IFERROR(
  _xlfn.LET(
    _xlpm.searchText, Tests!$C213,
    _xlpm.dataRange, ITTO!$B$3:$F$300,
    _xlpm.headers, ITTO!$B$2:$F$2,
    _xlpm.matchMatrix, ISNUMBER(SEARCH(_xlpm.searchText, _xlpm.dataRange)),
    _xlpm.colMatch, _xlfn.XMATCH(TRUE, _xlfn.BYCOL(_xlpm.matchMatrix, _xlfn.LAMBDA(_xlpm.col, OR(_xlpm.col)))),
    INDEX(_xlpm.headers, _xlpm.colMatch)
  ),
  ""
)</f>
        <v/>
      </c>
      <c r="F213" s="1" t="str" cm="1">
        <f t="array" ref="F213">IFERROR(_xlfn.LET(_xlpm.searchText, Tests!$C213,_xlpm.dataRange, PMBOK!$B$3:$F$300,_xlpm.headers, PMBOK!$B$2:$F$2,_xlpm.matchMatrix, ISNUMBER(SEARCH(_xlpm.searchText, _xlpm.dataRange)),_xlpm.colMatch, _xlfn.XMATCH(TRUE, _xlfn.BYCOL(_xlpm.matchMatrix, _xlfn.LAMBDA(_xlpm.col, OR(_xlpm.col)))),INDEX(_xlpm.headers, _xlpm.colMatch)),"")</f>
        <v/>
      </c>
      <c r="G213" s="1" t="str" cm="1">
        <f t="array" ref="G213">IFERROR(_xlfn.LET(_xlpm.searchText, Tests!$C213,_xlpm.dataRange, 'Rita Quick test'!$B$3:$P$57,_xlpm.headers, 'Rita Quick test'!$B$2:$P$2,_xlpm.matchMatrix, ISNUMBER(SEARCH(_xlpm.searchText, _xlpm.dataRange)),_xlpm.colMatch, _xlfn.XMATCH(TRUE, _xlfn.BYCOL(_xlpm.matchMatrix, _xlfn.LAMBDA(_xlpm.col, OR(_xlpm.col)))),INDEX(_xlpm.headers, _xlpm.colMatch)),"")</f>
        <v/>
      </c>
      <c r="H213" s="1" t="str">
        <f>IFERROR(VLOOKUP("*" &amp; C213 &amp; "*",Terms!D:E,2,FALSE),"")</f>
        <v/>
      </c>
      <c r="I213" s="1" t="str">
        <f>IFERROR(VLOOKUP("*" &amp; C213 &amp; "*",'Terms 2'!B:D,3,FALSE),"")</f>
        <v/>
      </c>
    </row>
    <row r="214" spans="2:9">
      <c r="B214" s="1" t="str">
        <f t="shared" si="3"/>
        <v>You cannot meet with the team to reduce cost if you don’t know the requirements.</v>
      </c>
      <c r="C214" s="47" t="s">
        <v>4642</v>
      </c>
      <c r="D214" s="49" t="s">
        <v>4643</v>
      </c>
      <c r="E214" s="1" t="str" cm="1">
        <f t="array" ref="E214">IFERROR(
  _xlfn.LET(
    _xlpm.searchText, Tests!$C214,
    _xlpm.dataRange, ITTO!$B$3:$F$300,
    _xlpm.headers, ITTO!$B$2:$F$2,
    _xlpm.matchMatrix, ISNUMBER(SEARCH(_xlpm.searchText, _xlpm.dataRange)),
    _xlpm.colMatch, _xlfn.XMATCH(TRUE, _xlfn.BYCOL(_xlpm.matchMatrix, _xlfn.LAMBDA(_xlpm.col, OR(_xlpm.col)))),
    INDEX(_xlpm.headers, _xlpm.colMatch)
  ),
  ""
)</f>
        <v/>
      </c>
      <c r="F214" s="1" t="str" cm="1">
        <f t="array" ref="F214">IFERROR(_xlfn.LET(_xlpm.searchText, Tests!$C214,_xlpm.dataRange, PMBOK!$B$3:$F$300,_xlpm.headers, PMBOK!$B$2:$F$2,_xlpm.matchMatrix, ISNUMBER(SEARCH(_xlpm.searchText, _xlpm.dataRange)),_xlpm.colMatch, _xlfn.XMATCH(TRUE, _xlfn.BYCOL(_xlpm.matchMatrix, _xlfn.LAMBDA(_xlpm.col, OR(_xlpm.col)))),INDEX(_xlpm.headers, _xlpm.colMatch)),"")</f>
        <v/>
      </c>
      <c r="G214" s="1" t="str" cm="1">
        <f t="array" ref="G214">IFERROR(_xlfn.LET(_xlpm.searchText, Tests!$C214,_xlpm.dataRange, 'Rita Quick test'!$B$3:$P$57,_xlpm.headers, 'Rita Quick test'!$B$2:$P$2,_xlpm.matchMatrix, ISNUMBER(SEARCH(_xlpm.searchText, _xlpm.dataRange)),_xlpm.colMatch, _xlfn.XMATCH(TRUE, _xlfn.BYCOL(_xlpm.matchMatrix, _xlfn.LAMBDA(_xlpm.col, OR(_xlpm.col)))),INDEX(_xlpm.headers, _xlpm.colMatch)),"")</f>
        <v/>
      </c>
      <c r="H214" s="1" t="str">
        <f>IFERROR(VLOOKUP("*" &amp; C214 &amp; "*",Terms!D:E,2,FALSE),"")</f>
        <v/>
      </c>
      <c r="I214" s="1" t="str">
        <f>IFERROR(VLOOKUP("*" &amp; C214 &amp; "*",'Terms 2'!B:D,3,FALSE),"")</f>
        <v/>
      </c>
    </row>
    <row r="215" spans="2:9">
      <c r="B215" s="1" t="str">
        <f t="shared" si="3"/>
        <v>A metaphor is using XP to explain designs and create a shared vision between customers and the development team.</v>
      </c>
      <c r="C215" s="47" t="s">
        <v>4562</v>
      </c>
      <c r="D215" s="48" t="s">
        <v>4566</v>
      </c>
      <c r="E215" s="1" t="str" cm="1">
        <f t="array" ref="E215">IFERROR(
  _xlfn.LET(
    _xlpm.searchText, Tests!$C215,
    _xlpm.dataRange, ITTO!$B$3:$F$300,
    _xlpm.headers, ITTO!$B$2:$F$2,
    _xlpm.matchMatrix, ISNUMBER(SEARCH(_xlpm.searchText, _xlpm.dataRange)),
    _xlpm.colMatch, _xlfn.XMATCH(TRUE, _xlfn.BYCOL(_xlpm.matchMatrix, _xlfn.LAMBDA(_xlpm.col, OR(_xlpm.col)))),
    INDEX(_xlpm.headers, _xlpm.colMatch)
  ),
  ""
)</f>
        <v/>
      </c>
      <c r="F215" s="1" t="str" cm="1">
        <f t="array" ref="F215">IFERROR(_xlfn.LET(_xlpm.searchText, Tests!$C215,_xlpm.dataRange, PMBOK!$B$3:$F$300,_xlpm.headers, PMBOK!$B$2:$F$2,_xlpm.matchMatrix, ISNUMBER(SEARCH(_xlpm.searchText, _xlpm.dataRange)),_xlpm.colMatch, _xlfn.XMATCH(TRUE, _xlfn.BYCOL(_xlpm.matchMatrix, _xlfn.LAMBDA(_xlpm.col, OR(_xlpm.col)))),INDEX(_xlpm.headers, _xlpm.colMatch)),"")</f>
        <v/>
      </c>
      <c r="G215" s="1" t="str" cm="1">
        <f t="array" ref="G215">IFERROR(_xlfn.LET(_xlpm.searchText, Tests!$C215,_xlpm.dataRange, 'Rita Quick test'!$B$3:$P$57,_xlpm.headers, 'Rita Quick test'!$B$2:$P$2,_xlpm.matchMatrix, ISNUMBER(SEARCH(_xlpm.searchText, _xlpm.dataRange)),_xlpm.colMatch, _xlfn.XMATCH(TRUE, _xlfn.BYCOL(_xlpm.matchMatrix, _xlfn.LAMBDA(_xlpm.col, OR(_xlpm.col)))),INDEX(_xlpm.headers, _xlpm.colMatch)),"")</f>
        <v/>
      </c>
      <c r="H215" s="1" t="str">
        <f>IFERROR(VLOOKUP("*" &amp; C215 &amp; "*",Terms!D:E,2,FALSE),"")</f>
        <v/>
      </c>
      <c r="I215" s="1" t="str">
        <f>IFERROR(VLOOKUP("*" &amp; C215 &amp; "*",'Terms 2'!B:D,3,FALSE),"")</f>
        <v/>
      </c>
    </row>
    <row r="216" spans="2:9">
      <c r="B216" s="1" t="str">
        <f t="shared" si="3"/>
        <v>A milestone chart is a high-level view of major accomplishments on a project. These are best used when presenting a quick view of data and the project schedule to management personnel.</v>
      </c>
      <c r="C216" s="47" t="s">
        <v>4666</v>
      </c>
      <c r="D216" s="49" t="s">
        <v>4901</v>
      </c>
      <c r="E216" s="1" t="str" cm="1">
        <f t="array" ref="E216">IFERROR(
  _xlfn.LET(
    _xlpm.searchText, Tests!$C216,
    _xlpm.dataRange, ITTO!$B$3:$F$300,
    _xlpm.headers, ITTO!$B$2:$F$2,
    _xlpm.matchMatrix, ISNUMBER(SEARCH(_xlpm.searchText, _xlpm.dataRange)),
    _xlpm.colMatch, _xlfn.XMATCH(TRUE, _xlfn.BYCOL(_xlpm.matchMatrix, _xlfn.LAMBDA(_xlpm.col, OR(_xlpm.col)))),
    INDEX(_xlpm.headers, _xlpm.colMatch)
  ),
  ""
)</f>
        <v/>
      </c>
      <c r="F216" s="1" t="str" cm="1">
        <f t="array" ref="F216">IFERROR(_xlfn.LET(_xlpm.searchText, Tests!$C216,_xlpm.dataRange, PMBOK!$B$3:$F$300,_xlpm.headers, PMBOK!$B$2:$F$2,_xlpm.matchMatrix, ISNUMBER(SEARCH(_xlpm.searchText, _xlpm.dataRange)),_xlpm.colMatch, _xlfn.XMATCH(TRUE, _xlfn.BYCOL(_xlpm.matchMatrix, _xlfn.LAMBDA(_xlpm.col, OR(_xlpm.col)))),INDEX(_xlpm.headers, _xlpm.colMatch)),"")</f>
        <v/>
      </c>
      <c r="G216" s="1" t="str" cm="1">
        <f t="array" ref="G216">IFERROR(_xlfn.LET(_xlpm.searchText, Tests!$C216,_xlpm.dataRange, 'Rita Quick test'!$B$3:$P$57,_xlpm.headers, 'Rita Quick test'!$B$2:$P$2,_xlpm.matchMatrix, ISNUMBER(SEARCH(_xlpm.searchText, _xlpm.dataRange)),_xlpm.colMatch, _xlfn.XMATCH(TRUE, _xlfn.BYCOL(_xlpm.matchMatrix, _xlfn.LAMBDA(_xlpm.col, OR(_xlpm.col)))),INDEX(_xlpm.headers, _xlpm.colMatch)),"")</f>
        <v/>
      </c>
      <c r="H216" s="1" t="str">
        <f>IFERROR(VLOOKUP("*" &amp; C216 &amp; "*",Terms!D:E,2,FALSE),"")</f>
        <v/>
      </c>
      <c r="I216" s="1" t="str">
        <f>IFERROR(VLOOKUP("*" &amp; C216 &amp; "*",'Terms 2'!B:D,3,FALSE),"")</f>
        <v/>
      </c>
    </row>
    <row r="217" spans="2:9">
      <c r="B217" s="1" t="str">
        <f t="shared" si="3"/>
        <v/>
      </c>
      <c r="C217" s="47" t="s">
        <v>4437</v>
      </c>
      <c r="D217" s="1" t="s">
        <v>4848</v>
      </c>
      <c r="E217" s="1" t="str" cm="1">
        <f t="array" ref="E217">IFERROR(
  _xlfn.LET(
    _xlpm.searchText, Tests!$C217,
    _xlpm.dataRange, ITTO!$B$3:$F$300,
    _xlpm.headers, ITTO!$B$2:$F$2,
    _xlpm.matchMatrix, ISNUMBER(SEARCH(_xlpm.searchText, _xlpm.dataRange)),
    _xlpm.colMatch, _xlfn.XMATCH(TRUE, _xlfn.BYCOL(_xlpm.matchMatrix, _xlfn.LAMBDA(_xlpm.col, OR(_xlpm.col)))),
    INDEX(_xlpm.headers, _xlpm.colMatch)
  ),
  ""
)</f>
        <v/>
      </c>
      <c r="F217" s="1" t="str" cm="1">
        <f t="array" ref="F217">IFERROR(_xlfn.LET(_xlpm.searchText, Tests!$C217,_xlpm.dataRange, PMBOK!$B$3:$F$300,_xlpm.headers, PMBOK!$B$2:$F$2,_xlpm.matchMatrix, ISNUMBER(SEARCH(_xlpm.searchText, _xlpm.dataRange)),_xlpm.colMatch, _xlfn.XMATCH(TRUE, _xlfn.BYCOL(_xlpm.matchMatrix, _xlfn.LAMBDA(_xlpm.col, OR(_xlpm.col)))),INDEX(_xlpm.headers, _xlpm.colMatch)),"")</f>
        <v/>
      </c>
      <c r="G217" s="1" t="str" cm="1">
        <f t="array" ref="G217">IFERROR(_xlfn.LET(_xlpm.searchText, Tests!$C217,_xlpm.dataRange, 'Rita Quick test'!$B$3:$P$57,_xlpm.headers, 'Rita Quick test'!$B$2:$P$2,_xlpm.matchMatrix, ISNUMBER(SEARCH(_xlpm.searchText, _xlpm.dataRange)),_xlpm.colMatch, _xlfn.XMATCH(TRUE, _xlfn.BYCOL(_xlpm.matchMatrix, _xlfn.LAMBDA(_xlpm.col, OR(_xlpm.col)))),INDEX(_xlpm.headers, _xlpm.colMatch)),"")</f>
        <v/>
      </c>
      <c r="H217" s="1" t="str">
        <f>IFERROR(VLOOKUP("*" &amp; C217 &amp; "*",Terms!D:E,2,FALSE),"")</f>
        <v/>
      </c>
      <c r="I217" s="1" t="str">
        <f>IFERROR(VLOOKUP("*" &amp; C217 &amp; "*",'Terms 2'!B:D,3,FALSE),"")</f>
        <v/>
      </c>
    </row>
    <row r="218" spans="2:9">
      <c r="B218" s="1" t="str">
        <f t="shared" si="3"/>
        <v>monitoring and controlling processes that will be used to measure the work against the project management plan.</v>
      </c>
      <c r="C218" s="47" t="s">
        <v>4437</v>
      </c>
      <c r="D218" s="49" t="s">
        <v>4506</v>
      </c>
      <c r="E218" s="1" t="str" cm="1">
        <f t="array" ref="E218">IFERROR(
  _xlfn.LET(
    _xlpm.searchText, Tests!$C218,
    _xlpm.dataRange, ITTO!$B$3:$F$300,
    _xlpm.headers, ITTO!$B$2:$F$2,
    _xlpm.matchMatrix, ISNUMBER(SEARCH(_xlpm.searchText, _xlpm.dataRange)),
    _xlpm.colMatch, _xlfn.XMATCH(TRUE, _xlfn.BYCOL(_xlpm.matchMatrix, _xlfn.LAMBDA(_xlpm.col, OR(_xlpm.col)))),
    INDEX(_xlpm.headers, _xlpm.colMatch)
  ),
  ""
)</f>
        <v/>
      </c>
      <c r="F218" s="1" t="str" cm="1">
        <f t="array" ref="F218">IFERROR(_xlfn.LET(_xlpm.searchText, Tests!$C218,_xlpm.dataRange, PMBOK!$B$3:$F$300,_xlpm.headers, PMBOK!$B$2:$F$2,_xlpm.matchMatrix, ISNUMBER(SEARCH(_xlpm.searchText, _xlpm.dataRange)),_xlpm.colMatch, _xlfn.XMATCH(TRUE, _xlfn.BYCOL(_xlpm.matchMatrix, _xlfn.LAMBDA(_xlpm.col, OR(_xlpm.col)))),INDEX(_xlpm.headers, _xlpm.colMatch)),"")</f>
        <v/>
      </c>
      <c r="G218" s="1" t="str" cm="1">
        <f t="array" ref="G218">IFERROR(_xlfn.LET(_xlpm.searchText, Tests!$C218,_xlpm.dataRange, 'Rita Quick test'!$B$3:$P$57,_xlpm.headers, 'Rita Quick test'!$B$2:$P$2,_xlpm.matchMatrix, ISNUMBER(SEARCH(_xlpm.searchText, _xlpm.dataRange)),_xlpm.colMatch, _xlfn.XMATCH(TRUE, _xlfn.BYCOL(_xlpm.matchMatrix, _xlfn.LAMBDA(_xlpm.col, OR(_xlpm.col)))),INDEX(_xlpm.headers, _xlpm.colMatch)),"")</f>
        <v/>
      </c>
      <c r="H218" s="1" t="str">
        <f>IFERROR(VLOOKUP("*" &amp; C218 &amp; "*",Terms!D:E,2,FALSE),"")</f>
        <v/>
      </c>
      <c r="I218" s="1" t="str">
        <f>IFERROR(VLOOKUP("*" &amp; C218 &amp; "*",'Terms 2'!B:D,3,FALSE),"")</f>
        <v/>
      </c>
    </row>
    <row r="219" spans="2:9">
      <c r="B219" s="1" t="str">
        <f t="shared" si="3"/>
        <v>Monitor resources is a made-up process.</v>
      </c>
      <c r="C219" s="47" t="s">
        <v>4478</v>
      </c>
      <c r="D219" s="48" t="s">
        <v>4481</v>
      </c>
      <c r="E219" s="1" t="str" cm="1">
        <f t="array" ref="E219">IFERROR(
  _xlfn.LET(
    _xlpm.searchText, Tests!$C219,
    _xlpm.dataRange, ITTO!$B$3:$F$300,
    _xlpm.headers, ITTO!$B$2:$F$2,
    _xlpm.matchMatrix, ISNUMBER(SEARCH(_xlpm.searchText, _xlpm.dataRange)),
    _xlpm.colMatch, _xlfn.XMATCH(TRUE, _xlfn.BYCOL(_xlpm.matchMatrix, _xlfn.LAMBDA(_xlpm.col, OR(_xlpm.col)))),
    INDEX(_xlpm.headers, _xlpm.colMatch)
  ),
  ""
)</f>
        <v/>
      </c>
      <c r="F219" s="1" t="str" cm="1">
        <f t="array" ref="F219">IFERROR(_xlfn.LET(_xlpm.searchText, Tests!$C219,_xlpm.dataRange, PMBOK!$B$3:$F$300,_xlpm.headers, PMBOK!$B$2:$F$2,_xlpm.matchMatrix, ISNUMBER(SEARCH(_xlpm.searchText, _xlpm.dataRange)),_xlpm.colMatch, _xlfn.XMATCH(TRUE, _xlfn.BYCOL(_xlpm.matchMatrix, _xlfn.LAMBDA(_xlpm.col, OR(_xlpm.col)))),INDEX(_xlpm.headers, _xlpm.colMatch)),"")</f>
        <v/>
      </c>
      <c r="G219" s="1" t="str" cm="1">
        <f t="array" ref="G219">IFERROR(_xlfn.LET(_xlpm.searchText, Tests!$C219,_xlpm.dataRange, 'Rita Quick test'!$B$3:$P$57,_xlpm.headers, 'Rita Quick test'!$B$2:$P$2,_xlpm.matchMatrix, ISNUMBER(SEARCH(_xlpm.searchText, _xlpm.dataRange)),_xlpm.colMatch, _xlfn.XMATCH(TRUE, _xlfn.BYCOL(_xlpm.matchMatrix, _xlfn.LAMBDA(_xlpm.col, OR(_xlpm.col)))),INDEX(_xlpm.headers, _xlpm.colMatch)),"")</f>
        <v/>
      </c>
      <c r="H219" s="1" t="str">
        <f>IFERROR(VLOOKUP("*" &amp; C219 &amp; "*",Terms!D:E,2,FALSE),"")</f>
        <v/>
      </c>
      <c r="I219" s="1" t="str">
        <f>IFERROR(VLOOKUP("*" &amp; C219 &amp; "*",'Terms 2'!B:D,3,FALSE),"")</f>
        <v/>
      </c>
    </row>
    <row r="220" spans="2:9">
      <c r="B220" s="1" t="str">
        <f t="shared" si="3"/>
        <v>Monitor and manage scope are made-up processes.</v>
      </c>
      <c r="C220" s="47" t="s">
        <v>4453</v>
      </c>
      <c r="D220" s="48" t="s">
        <v>4457</v>
      </c>
      <c r="E220" s="1" t="str" cm="1">
        <f t="array" ref="E220">IFERROR(
  _xlfn.LET(
    _xlpm.searchText, Tests!$C220,
    _xlpm.dataRange, ITTO!$B$3:$F$300,
    _xlpm.headers, ITTO!$B$2:$F$2,
    _xlpm.matchMatrix, ISNUMBER(SEARCH(_xlpm.searchText, _xlpm.dataRange)),
    _xlpm.colMatch, _xlfn.XMATCH(TRUE, _xlfn.BYCOL(_xlpm.matchMatrix, _xlfn.LAMBDA(_xlpm.col, OR(_xlpm.col)))),
    INDEX(_xlpm.headers, _xlpm.colMatch)
  ),
  ""
)</f>
        <v/>
      </c>
      <c r="F220" s="1" t="str" cm="1">
        <f t="array" ref="F220">IFERROR(_xlfn.LET(_xlpm.searchText, Tests!$C220,_xlpm.dataRange, PMBOK!$B$3:$F$300,_xlpm.headers, PMBOK!$B$2:$F$2,_xlpm.matchMatrix, ISNUMBER(SEARCH(_xlpm.searchText, _xlpm.dataRange)),_xlpm.colMatch, _xlfn.XMATCH(TRUE, _xlfn.BYCOL(_xlpm.matchMatrix, _xlfn.LAMBDA(_xlpm.col, OR(_xlpm.col)))),INDEX(_xlpm.headers, _xlpm.colMatch)),"")</f>
        <v/>
      </c>
      <c r="G220" s="1" t="str" cm="1">
        <f t="array" ref="G220">IFERROR(_xlfn.LET(_xlpm.searchText, Tests!$C220,_xlpm.dataRange, 'Rita Quick test'!$B$3:$P$57,_xlpm.headers, 'Rita Quick test'!$B$2:$P$2,_xlpm.matchMatrix, ISNUMBER(SEARCH(_xlpm.searchText, _xlpm.dataRange)),_xlpm.colMatch, _xlfn.XMATCH(TRUE, _xlfn.BYCOL(_xlpm.matchMatrix, _xlfn.LAMBDA(_xlpm.col, OR(_xlpm.col)))),INDEX(_xlpm.headers, _xlpm.colMatch)),"")</f>
        <v/>
      </c>
      <c r="H220" s="1" t="str">
        <f>IFERROR(VLOOKUP("*" &amp; C220 &amp; "*",Terms!D:E,2,FALSE),"")</f>
        <v/>
      </c>
      <c r="I220" s="1" t="str">
        <f>IFERROR(VLOOKUP("*" &amp; C220 &amp; "*",'Terms 2'!B:D,3,FALSE),"")</f>
        <v/>
      </c>
    </row>
    <row r="221" spans="2:9">
      <c r="B221" s="1" t="str">
        <f t="shared" si="3"/>
        <v>During the monitoring and controlling processes, the deliverables are accepted by the stakeholders.</v>
      </c>
      <c r="C221" s="47" t="s">
        <v>4409</v>
      </c>
      <c r="D221" s="49" t="s">
        <v>4411</v>
      </c>
      <c r="E221" s="1" t="str" cm="1">
        <f t="array" ref="E221">IFERROR(
  _xlfn.LET(
    _xlpm.searchText, Tests!$C221,
    _xlpm.dataRange, ITTO!$B$3:$F$300,
    _xlpm.headers, ITTO!$B$2:$F$2,
    _xlpm.matchMatrix, ISNUMBER(SEARCH(_xlpm.searchText, _xlpm.dataRange)),
    _xlpm.colMatch, _xlfn.XMATCH(TRUE, _xlfn.BYCOL(_xlpm.matchMatrix, _xlfn.LAMBDA(_xlpm.col, OR(_xlpm.col)))),
    INDEX(_xlpm.headers, _xlpm.colMatch)
  ),
  ""
)</f>
        <v/>
      </c>
      <c r="F221" s="1" t="str" cm="1">
        <f t="array" ref="F221">IFERROR(_xlfn.LET(_xlpm.searchText, Tests!$C221,_xlpm.dataRange, PMBOK!$B$3:$F$300,_xlpm.headers, PMBOK!$B$2:$F$2,_xlpm.matchMatrix, ISNUMBER(SEARCH(_xlpm.searchText, _xlpm.dataRange)),_xlpm.colMatch, _xlfn.XMATCH(TRUE, _xlfn.BYCOL(_xlpm.matchMatrix, _xlfn.LAMBDA(_xlpm.col, OR(_xlpm.col)))),INDEX(_xlpm.headers, _xlpm.colMatch)),"")</f>
        <v/>
      </c>
      <c r="G221" s="1" t="str" cm="1">
        <f t="array" ref="G221">IFERROR(_xlfn.LET(_xlpm.searchText, Tests!$C221,_xlpm.dataRange, 'Rita Quick test'!$B$3:$P$57,_xlpm.headers, 'Rita Quick test'!$B$2:$P$2,_xlpm.matchMatrix, ISNUMBER(SEARCH(_xlpm.searchText, _xlpm.dataRange)),_xlpm.colMatch, _xlfn.XMATCH(TRUE, _xlfn.BYCOL(_xlpm.matchMatrix, _xlfn.LAMBDA(_xlpm.col, OR(_xlpm.col)))),INDEX(_xlpm.headers, _xlpm.colMatch)),"")</f>
        <v/>
      </c>
      <c r="H221" s="1" t="str">
        <f>IFERROR(VLOOKUP("*" &amp; C221 &amp; "*",Terms!D:E,2,FALSE),"")</f>
        <v/>
      </c>
      <c r="I221" s="1" t="str">
        <f>IFERROR(VLOOKUP("*" &amp; C221 &amp; "*",'Terms 2'!B:D,3,FALSE),"")</f>
        <v/>
      </c>
    </row>
    <row r="222" spans="2:9">
      <c r="B222" s="1" t="str">
        <f t="shared" si="3"/>
        <v>The output for monitoring and controlling would be the accepted deliverables and the work performance reports.</v>
      </c>
      <c r="C222" s="47" t="s">
        <v>4409</v>
      </c>
      <c r="D222" s="49" t="s">
        <v>4550</v>
      </c>
      <c r="E222" s="1" t="str" cm="1">
        <f t="array" ref="E222">IFERROR(
  _xlfn.LET(
    _xlpm.searchText, Tests!$C222,
    _xlpm.dataRange, ITTO!$B$3:$F$300,
    _xlpm.headers, ITTO!$B$2:$F$2,
    _xlpm.matchMatrix, ISNUMBER(SEARCH(_xlpm.searchText, _xlpm.dataRange)),
    _xlpm.colMatch, _xlfn.XMATCH(TRUE, _xlfn.BYCOL(_xlpm.matchMatrix, _xlfn.LAMBDA(_xlpm.col, OR(_xlpm.col)))),
    INDEX(_xlpm.headers, _xlpm.colMatch)
  ),
  ""
)</f>
        <v/>
      </c>
      <c r="F222" s="1" t="str" cm="1">
        <f t="array" ref="F222">IFERROR(_xlfn.LET(_xlpm.searchText, Tests!$C222,_xlpm.dataRange, PMBOK!$B$3:$F$300,_xlpm.headers, PMBOK!$B$2:$F$2,_xlpm.matchMatrix, ISNUMBER(SEARCH(_xlpm.searchText, _xlpm.dataRange)),_xlpm.colMatch, _xlfn.XMATCH(TRUE, _xlfn.BYCOL(_xlpm.matchMatrix, _xlfn.LAMBDA(_xlpm.col, OR(_xlpm.col)))),INDEX(_xlpm.headers, _xlpm.colMatch)),"")</f>
        <v/>
      </c>
      <c r="G222" s="1" t="str" cm="1">
        <f t="array" ref="G222">IFERROR(_xlfn.LET(_xlpm.searchText, Tests!$C222,_xlpm.dataRange, 'Rita Quick test'!$B$3:$P$57,_xlpm.headers, 'Rita Quick test'!$B$2:$P$2,_xlpm.matchMatrix, ISNUMBER(SEARCH(_xlpm.searchText, _xlpm.dataRange)),_xlpm.colMatch, _xlfn.XMATCH(TRUE, _xlfn.BYCOL(_xlpm.matchMatrix, _xlfn.LAMBDA(_xlpm.col, OR(_xlpm.col)))),INDEX(_xlpm.headers, _xlpm.colMatch)),"")</f>
        <v/>
      </c>
      <c r="H222" s="1" t="str">
        <f>IFERROR(VLOOKUP("*" &amp; C222 &amp; "*",Terms!D:E,2,FALSE),"")</f>
        <v/>
      </c>
      <c r="I222" s="1" t="str">
        <f>IFERROR(VLOOKUP("*" &amp; C222 &amp; "*",'Terms 2'!B:D,3,FALSE),"")</f>
        <v/>
      </c>
    </row>
    <row r="223" spans="2:9">
      <c r="B223" s="1" t="str">
        <f t="shared" si="3"/>
        <v/>
      </c>
      <c r="C223" s="47" t="s">
        <v>4409</v>
      </c>
      <c r="D223" s="1" t="s">
        <v>4848</v>
      </c>
      <c r="E223" s="1" t="str" cm="1">
        <f t="array" ref="E223">IFERROR(
  _xlfn.LET(
    _xlpm.searchText, Tests!$C223,
    _xlpm.dataRange, ITTO!$B$3:$F$300,
    _xlpm.headers, ITTO!$B$2:$F$2,
    _xlpm.matchMatrix, ISNUMBER(SEARCH(_xlpm.searchText, _xlpm.dataRange)),
    _xlpm.colMatch, _xlfn.XMATCH(TRUE, _xlfn.BYCOL(_xlpm.matchMatrix, _xlfn.LAMBDA(_xlpm.col, OR(_xlpm.col)))),
    INDEX(_xlpm.headers, _xlpm.colMatch)
  ),
  ""
)</f>
        <v/>
      </c>
      <c r="F223" s="1" t="str" cm="1">
        <f t="array" ref="F223">IFERROR(_xlfn.LET(_xlpm.searchText, Tests!$C223,_xlpm.dataRange, PMBOK!$B$3:$F$300,_xlpm.headers, PMBOK!$B$2:$F$2,_xlpm.matchMatrix, ISNUMBER(SEARCH(_xlpm.searchText, _xlpm.dataRange)),_xlpm.colMatch, _xlfn.XMATCH(TRUE, _xlfn.BYCOL(_xlpm.matchMatrix, _xlfn.LAMBDA(_xlpm.col, OR(_xlpm.col)))),INDEX(_xlpm.headers, _xlpm.colMatch)),"")</f>
        <v/>
      </c>
      <c r="G223" s="1" t="str" cm="1">
        <f t="array" ref="G223">IFERROR(_xlfn.LET(_xlpm.searchText, Tests!$C223,_xlpm.dataRange, 'Rita Quick test'!$B$3:$P$57,_xlpm.headers, 'Rita Quick test'!$B$2:$P$2,_xlpm.matchMatrix, ISNUMBER(SEARCH(_xlpm.searchText, _xlpm.dataRange)),_xlpm.colMatch, _xlfn.XMATCH(TRUE, _xlfn.BYCOL(_xlpm.matchMatrix, _xlfn.LAMBDA(_xlpm.col, OR(_xlpm.col)))),INDEX(_xlpm.headers, _xlpm.colMatch)),"")</f>
        <v/>
      </c>
      <c r="H223" s="1" t="str">
        <f>IFERROR(VLOOKUP("*" &amp; C223 &amp; "*",Terms!D:E,2,FALSE),"")</f>
        <v/>
      </c>
      <c r="I223" s="1" t="str">
        <f>IFERROR(VLOOKUP("*" &amp; C223 &amp; "*",'Terms 2'!B:D,3,FALSE),"")</f>
        <v/>
      </c>
    </row>
    <row r="224" spans="2:9">
      <c r="B224" s="1" t="str">
        <f t="shared" si="3"/>
        <v>mutually exclusive is a term that is used when two events cannot happen at the same time.</v>
      </c>
      <c r="C224" s="47" t="s">
        <v>4568</v>
      </c>
      <c r="D224" s="49" t="s">
        <v>4572</v>
      </c>
      <c r="E224" s="1" t="str" cm="1">
        <f t="array" ref="E224">IFERROR(
  _xlfn.LET(
    _xlpm.searchText, Tests!$C224,
    _xlpm.dataRange, ITTO!$B$3:$F$300,
    _xlpm.headers, ITTO!$B$2:$F$2,
    _xlpm.matchMatrix, ISNUMBER(SEARCH(_xlpm.searchText, _xlpm.dataRange)),
    _xlpm.colMatch, _xlfn.XMATCH(TRUE, _xlfn.BYCOL(_xlpm.matchMatrix, _xlfn.LAMBDA(_xlpm.col, OR(_xlpm.col)))),
    INDEX(_xlpm.headers, _xlpm.colMatch)
  ),
  ""
)</f>
        <v/>
      </c>
      <c r="F224" s="1" t="str" cm="1">
        <f t="array" ref="F224">IFERROR(_xlfn.LET(_xlpm.searchText, Tests!$C224,_xlpm.dataRange, PMBOK!$B$3:$F$300,_xlpm.headers, PMBOK!$B$2:$F$2,_xlpm.matchMatrix, ISNUMBER(SEARCH(_xlpm.searchText, _xlpm.dataRange)),_xlpm.colMatch, _xlfn.XMATCH(TRUE, _xlfn.BYCOL(_xlpm.matchMatrix, _xlfn.LAMBDA(_xlpm.col, OR(_xlpm.col)))),INDEX(_xlpm.headers, _xlpm.colMatch)),"")</f>
        <v/>
      </c>
      <c r="G224" s="1" t="str" cm="1">
        <f t="array" ref="G224">IFERROR(_xlfn.LET(_xlpm.searchText, Tests!$C224,_xlpm.dataRange, 'Rita Quick test'!$B$3:$P$57,_xlpm.headers, 'Rita Quick test'!$B$2:$P$2,_xlpm.matchMatrix, ISNUMBER(SEARCH(_xlpm.searchText, _xlpm.dataRange)),_xlpm.colMatch, _xlfn.XMATCH(TRUE, _xlfn.BYCOL(_xlpm.matchMatrix, _xlfn.LAMBDA(_xlpm.col, OR(_xlpm.col)))),INDEX(_xlpm.headers, _xlpm.colMatch)),"")</f>
        <v/>
      </c>
      <c r="H224" s="1" t="str">
        <f>IFERROR(VLOOKUP("*" &amp; C224 &amp; "*",Terms!D:E,2,FALSE),"")</f>
        <v/>
      </c>
      <c r="I224" s="1" t="str">
        <f>IFERROR(VLOOKUP("*" &amp; C224 &amp; "*",'Terms 2'!B:D,3,FALSE),"")</f>
        <v/>
      </c>
    </row>
    <row r="225" spans="2:9">
      <c r="B225" s="1" t="str">
        <f t="shared" si="3"/>
        <v/>
      </c>
      <c r="C225" s="47" t="s">
        <v>4535</v>
      </c>
      <c r="D225" s="1" t="s">
        <v>4848</v>
      </c>
      <c r="E225" s="1" t="str" cm="1">
        <f t="array" ref="E225">IFERROR(
  _xlfn.LET(
    _xlpm.searchText, Tests!$C225,
    _xlpm.dataRange, ITTO!$B$3:$F$300,
    _xlpm.headers, ITTO!$B$2:$F$2,
    _xlpm.matchMatrix, ISNUMBER(SEARCH(_xlpm.searchText, _xlpm.dataRange)),
    _xlpm.colMatch, _xlfn.XMATCH(TRUE, _xlfn.BYCOL(_xlpm.matchMatrix, _xlfn.LAMBDA(_xlpm.col, OR(_xlpm.col)))),
    INDEX(_xlpm.headers, _xlpm.colMatch)
  ),
  ""
)</f>
        <v/>
      </c>
      <c r="F225" s="1" t="str" cm="1">
        <f t="array" ref="F225">IFERROR(_xlfn.LET(_xlpm.searchText, Tests!$C225,_xlpm.dataRange, PMBOK!$B$3:$F$300,_xlpm.headers, PMBOK!$B$2:$F$2,_xlpm.matchMatrix, ISNUMBER(SEARCH(_xlpm.searchText, _xlpm.dataRange)),_xlpm.colMatch, _xlfn.XMATCH(TRUE, _xlfn.BYCOL(_xlpm.matchMatrix, _xlfn.LAMBDA(_xlpm.col, OR(_xlpm.col)))),INDEX(_xlpm.headers, _xlpm.colMatch)),"")</f>
        <v/>
      </c>
      <c r="G225" s="1" t="str" cm="1">
        <f t="array" ref="G225">IFERROR(_xlfn.LET(_xlpm.searchText, Tests!$C225,_xlpm.dataRange, 'Rita Quick test'!$B$3:$P$57,_xlpm.headers, 'Rita Quick test'!$B$2:$P$2,_xlpm.matchMatrix, ISNUMBER(SEARCH(_xlpm.searchText, _xlpm.dataRange)),_xlpm.colMatch, _xlfn.XMATCH(TRUE, _xlfn.BYCOL(_xlpm.matchMatrix, _xlfn.LAMBDA(_xlpm.col, OR(_xlpm.col)))),INDEX(_xlpm.headers, _xlpm.colMatch)),"")</f>
        <v>Leadership Skills</v>
      </c>
      <c r="H225" s="1" t="str">
        <f>IFERROR(VLOOKUP("*" &amp; C225 &amp; "*",Terms!D:E,2,FALSE),"")</f>
        <v/>
      </c>
      <c r="I225" s="1" t="str">
        <f>IFERROR(VLOOKUP("*" &amp; C225 &amp; "*",'Terms 2'!B:D,3,FALSE),"")</f>
        <v/>
      </c>
    </row>
    <row r="226" spans="2:9">
      <c r="B226" s="1" t="str">
        <f t="shared" si="3"/>
        <v>All other choices would give you a detailed view of the project schedule and work.</v>
      </c>
      <c r="C226" s="47" t="s">
        <v>4665</v>
      </c>
      <c r="D226" s="49" t="s">
        <v>4668</v>
      </c>
      <c r="E226" s="1" t="str" cm="1">
        <f t="array" ref="E226">IFERROR(
  _xlfn.LET(
    _xlpm.searchText, Tests!$C226,
    _xlpm.dataRange, ITTO!$B$3:$F$300,
    _xlpm.headers, ITTO!$B$2:$F$2,
    _xlpm.matchMatrix, ISNUMBER(SEARCH(_xlpm.searchText, _xlpm.dataRange)),
    _xlpm.colMatch, _xlfn.XMATCH(TRUE, _xlfn.BYCOL(_xlpm.matchMatrix, _xlfn.LAMBDA(_xlpm.col, OR(_xlpm.col)))),
    INDEX(_xlpm.headers, _xlpm.colMatch)
  ),
  ""
)</f>
        <v/>
      </c>
      <c r="F226" s="1" t="str" cm="1">
        <f t="array" ref="F226">IFERROR(_xlfn.LET(_xlpm.searchText, Tests!$C226,_xlpm.dataRange, PMBOK!$B$3:$F$300,_xlpm.headers, PMBOK!$B$2:$F$2,_xlpm.matchMatrix, ISNUMBER(SEARCH(_xlpm.searchText, _xlpm.dataRange)),_xlpm.colMatch, _xlfn.XMATCH(TRUE, _xlfn.BYCOL(_xlpm.matchMatrix, _xlfn.LAMBDA(_xlpm.col, OR(_xlpm.col)))),INDEX(_xlpm.headers, _xlpm.colMatch)),"")</f>
        <v/>
      </c>
      <c r="G226" s="1" t="str" cm="1">
        <f t="array" ref="G226">IFERROR(_xlfn.LET(_xlpm.searchText, Tests!$C226,_xlpm.dataRange, 'Rita Quick test'!$B$3:$P$57,_xlpm.headers, 'Rita Quick test'!$B$2:$P$2,_xlpm.matchMatrix, ISNUMBER(SEARCH(_xlpm.searchText, _xlpm.dataRange)),_xlpm.colMatch, _xlfn.XMATCH(TRUE, _xlfn.BYCOL(_xlpm.matchMatrix, _xlfn.LAMBDA(_xlpm.col, OR(_xlpm.col)))),INDEX(_xlpm.headers, _xlpm.colMatch)),"")</f>
        <v/>
      </c>
      <c r="H226" s="1" t="str">
        <f>IFERROR(VLOOKUP("*" &amp; C226 &amp; "*",Terms!D:E,2,FALSE),"")</f>
        <v/>
      </c>
      <c r="I226" s="1" t="str">
        <f>IFERROR(VLOOKUP("*" &amp; C226 &amp; "*",'Terms 2'!B:D,3,FALSE),"")</f>
        <v/>
      </c>
    </row>
    <row r="227" spans="2:9">
      <c r="B227" s="1" t="str">
        <f t="shared" si="3"/>
        <v/>
      </c>
      <c r="C227" s="47" t="s">
        <v>4732</v>
      </c>
      <c r="D227" s="1" t="s">
        <v>4848</v>
      </c>
      <c r="E227" s="1" t="str" cm="1">
        <f t="array" ref="E227">IFERROR(
  _xlfn.LET(
    _xlpm.searchText, Tests!$C227,
    _xlpm.dataRange, ITTO!$B$3:$F$300,
    _xlpm.headers, ITTO!$B$2:$F$2,
    _xlpm.matchMatrix, ISNUMBER(SEARCH(_xlpm.searchText, _xlpm.dataRange)),
    _xlpm.colMatch, _xlfn.XMATCH(TRUE, _xlfn.BYCOL(_xlpm.matchMatrix, _xlfn.LAMBDA(_xlpm.col, OR(_xlpm.col)))),
    INDEX(_xlpm.headers, _xlpm.colMatch)
  ),
  ""
)</f>
        <v/>
      </c>
      <c r="F227" s="1" t="str" cm="1">
        <f t="array" ref="F227">IFERROR(_xlfn.LET(_xlpm.searchText, Tests!$C227,_xlpm.dataRange, PMBOK!$B$3:$F$300,_xlpm.headers, PMBOK!$B$2:$F$2,_xlpm.matchMatrix, ISNUMBER(SEARCH(_xlpm.searchText, _xlpm.dataRange)),_xlpm.colMatch, _xlfn.XMATCH(TRUE, _xlfn.BYCOL(_xlpm.matchMatrix, _xlfn.LAMBDA(_xlpm.col, OR(_xlpm.col)))),INDEX(_xlpm.headers, _xlpm.colMatch)),"")</f>
        <v/>
      </c>
      <c r="G227" s="1" t="str" cm="1">
        <f t="array" ref="G227">IFERROR(_xlfn.LET(_xlpm.searchText, Tests!$C227,_xlpm.dataRange, 'Rita Quick test'!$B$3:$P$57,_xlpm.headers, 'Rita Quick test'!$B$2:$P$2,_xlpm.matchMatrix, ISNUMBER(SEARCH(_xlpm.searchText, _xlpm.dataRange)),_xlpm.colMatch, _xlfn.XMATCH(TRUE, _xlfn.BYCOL(_xlpm.matchMatrix, _xlfn.LAMBDA(_xlpm.col, OR(_xlpm.col)))),INDEX(_xlpm.headers, _xlpm.colMatch)),"")</f>
        <v/>
      </c>
      <c r="H227" s="1" t="str">
        <f>IFERROR(VLOOKUP("*" &amp; C227 &amp; "*",Terms!D:E,2,FALSE),"")</f>
        <v/>
      </c>
      <c r="I227" s="1" t="str">
        <f>IFERROR(VLOOKUP("*" &amp; C227 &amp; "*",'Terms 2'!B:D,3,FALSE),"")</f>
        <v/>
      </c>
    </row>
    <row r="228" spans="2:9">
      <c r="B228" s="1" t="str">
        <f t="shared" si="3"/>
        <v/>
      </c>
      <c r="C228" s="47" t="s">
        <v>4558</v>
      </c>
      <c r="D228" s="1" t="s">
        <v>4848</v>
      </c>
      <c r="E228" s="1" t="str" cm="1">
        <f t="array" ref="E228">IFERROR(
  _xlfn.LET(
    _xlpm.searchText, Tests!$C228,
    _xlpm.dataRange, ITTO!$B$3:$F$300,
    _xlpm.headers, ITTO!$B$2:$F$2,
    _xlpm.matchMatrix, ISNUMBER(SEARCH(_xlpm.searchText, _xlpm.dataRange)),
    _xlpm.colMatch, _xlfn.XMATCH(TRUE, _xlfn.BYCOL(_xlpm.matchMatrix, _xlfn.LAMBDA(_xlpm.col, OR(_xlpm.col)))),
    INDEX(_xlpm.headers, _xlpm.colMatch)
  ),
  ""
)</f>
        <v/>
      </c>
      <c r="F228" s="1" t="str" cm="1">
        <f t="array" ref="F228">IFERROR(_xlfn.LET(_xlpm.searchText, Tests!$C228,_xlpm.dataRange, PMBOK!$B$3:$F$300,_xlpm.headers, PMBOK!$B$2:$F$2,_xlpm.matchMatrix, ISNUMBER(SEARCH(_xlpm.searchText, _xlpm.dataRange)),_xlpm.colMatch, _xlfn.XMATCH(TRUE, _xlfn.BYCOL(_xlpm.matchMatrix, _xlfn.LAMBDA(_xlpm.col, OR(_xlpm.col)))),INDEX(_xlpm.headers, _xlpm.colMatch)),"")</f>
        <v/>
      </c>
      <c r="G228" s="1" t="str" cm="1">
        <f t="array" ref="G228">IFERROR(_xlfn.LET(_xlpm.searchText, Tests!$C228,_xlpm.dataRange, 'Rita Quick test'!$B$3:$P$57,_xlpm.headers, 'Rita Quick test'!$B$2:$P$2,_xlpm.matchMatrix, ISNUMBER(SEARCH(_xlpm.searchText, _xlpm.dataRange)),_xlpm.colMatch, _xlfn.XMATCH(TRUE, _xlfn.BYCOL(_xlpm.matchMatrix, _xlfn.LAMBDA(_xlpm.col, OR(_xlpm.col)))),INDEX(_xlpm.headers, _xlpm.colMatch)),"")</f>
        <v/>
      </c>
      <c r="H228" s="1" t="str">
        <f>IFERROR(VLOOKUP("*" &amp; C228 &amp; "*",Terms!D:E,2,FALSE),"")</f>
        <v/>
      </c>
      <c r="I228" s="1" t="str">
        <f>IFERROR(VLOOKUP("*" &amp; C228 &amp; "*",'Terms 2'!B:D,3,FALSE),"")</f>
        <v/>
      </c>
    </row>
    <row r="229" spans="2:9">
      <c r="B229" s="1" t="str">
        <f t="shared" si="3"/>
        <v/>
      </c>
      <c r="C229" s="47" t="s">
        <v>4716</v>
      </c>
      <c r="D229" s="1" t="s">
        <v>4848</v>
      </c>
      <c r="E229" s="1" t="str" cm="1">
        <f t="array" ref="E229">IFERROR(
  _xlfn.LET(
    _xlpm.searchText, Tests!$C229,
    _xlpm.dataRange, ITTO!$B$3:$F$300,
    _xlpm.headers, ITTO!$B$2:$F$2,
    _xlpm.matchMatrix, ISNUMBER(SEARCH(_xlpm.searchText, _xlpm.dataRange)),
    _xlpm.colMatch, _xlfn.XMATCH(TRUE, _xlfn.BYCOL(_xlpm.matchMatrix, _xlfn.LAMBDA(_xlpm.col, OR(_xlpm.col)))),
    INDEX(_xlpm.headers, _xlpm.colMatch)
  ),
  ""
)</f>
        <v/>
      </c>
      <c r="F229" s="1" t="str" cm="1">
        <f t="array" ref="F229">IFERROR(_xlfn.LET(_xlpm.searchText, Tests!$C229,_xlpm.dataRange, PMBOK!$B$3:$F$300,_xlpm.headers, PMBOK!$B$2:$F$2,_xlpm.matchMatrix, ISNUMBER(SEARCH(_xlpm.searchText, _xlpm.dataRange)),_xlpm.colMatch, _xlfn.XMATCH(TRUE, _xlfn.BYCOL(_xlpm.matchMatrix, _xlfn.LAMBDA(_xlpm.col, OR(_xlpm.col)))),INDEX(_xlpm.headers, _xlpm.colMatch)),"")</f>
        <v/>
      </c>
      <c r="G229" s="1" t="str" cm="1">
        <f t="array" ref="G229">IFERROR(_xlfn.LET(_xlpm.searchText, Tests!$C229,_xlpm.dataRange, 'Rita Quick test'!$B$3:$P$57,_xlpm.headers, 'Rita Quick test'!$B$2:$P$2,_xlpm.matchMatrix, ISNUMBER(SEARCH(_xlpm.searchText, _xlpm.dataRange)),_xlpm.colMatch, _xlfn.XMATCH(TRUE, _xlfn.BYCOL(_xlpm.matchMatrix, _xlfn.LAMBDA(_xlpm.col, OR(_xlpm.col)))),INDEX(_xlpm.headers, _xlpm.colMatch)),"")</f>
        <v/>
      </c>
      <c r="H229" s="1" t="str">
        <f>IFERROR(VLOOKUP("*" &amp; C229 &amp; "*",Terms!D:E,2,FALSE),"")</f>
        <v/>
      </c>
      <c r="I229" s="1" t="str">
        <f>IFERROR(VLOOKUP("*" &amp; C229 &amp; "*",'Terms 2'!B:D,3,FALSE),"")</f>
        <v/>
      </c>
    </row>
    <row r="230" spans="2:9">
      <c r="B230" s="1" t="str">
        <f t="shared" si="3"/>
        <v/>
      </c>
      <c r="C230" s="47" t="s">
        <v>4715</v>
      </c>
      <c r="D230" s="1" t="s">
        <v>4848</v>
      </c>
      <c r="E230" s="1" t="str" cm="1">
        <f t="array" ref="E230">IFERROR(
  _xlfn.LET(
    _xlpm.searchText, Tests!$C230,
    _xlpm.dataRange, ITTO!$B$3:$F$300,
    _xlpm.headers, ITTO!$B$2:$F$2,
    _xlpm.matchMatrix, ISNUMBER(SEARCH(_xlpm.searchText, _xlpm.dataRange)),
    _xlpm.colMatch, _xlfn.XMATCH(TRUE, _xlfn.BYCOL(_xlpm.matchMatrix, _xlfn.LAMBDA(_xlpm.col, OR(_xlpm.col)))),
    INDEX(_xlpm.headers, _xlpm.colMatch)
  ),
  ""
)</f>
        <v/>
      </c>
      <c r="F230" s="1" t="str" cm="1">
        <f t="array" ref="F230">IFERROR(_xlfn.LET(_xlpm.searchText, Tests!$C230,_xlpm.dataRange, PMBOK!$B$3:$F$300,_xlpm.headers, PMBOK!$B$2:$F$2,_xlpm.matchMatrix, ISNUMBER(SEARCH(_xlpm.searchText, _xlpm.dataRange)),_xlpm.colMatch, _xlfn.XMATCH(TRUE, _xlfn.BYCOL(_xlpm.matchMatrix, _xlfn.LAMBDA(_xlpm.col, OR(_xlpm.col)))),INDEX(_xlpm.headers, _xlpm.colMatch)),"")</f>
        <v/>
      </c>
      <c r="G230" s="1" t="str" cm="1">
        <f t="array" ref="G230">IFERROR(_xlfn.LET(_xlpm.searchText, Tests!$C230,_xlpm.dataRange, 'Rita Quick test'!$B$3:$P$57,_xlpm.headers, 'Rita Quick test'!$B$2:$P$2,_xlpm.matchMatrix, ISNUMBER(SEARCH(_xlpm.searchText, _xlpm.dataRange)),_xlpm.colMatch, _xlfn.XMATCH(TRUE, _xlfn.BYCOL(_xlpm.matchMatrix, _xlfn.LAMBDA(_xlpm.col, OR(_xlpm.col)))),INDEX(_xlpm.headers, _xlpm.colMatch)),"")</f>
        <v/>
      </c>
      <c r="H230" s="1" t="str">
        <f>IFERROR(VLOOKUP("*" &amp; C230 &amp; "*",Terms!D:E,2,FALSE),"")</f>
        <v/>
      </c>
      <c r="I230" s="1" t="str">
        <f>IFERROR(VLOOKUP("*" &amp; C230 &amp; "*",'Terms 2'!B:D,3,FALSE),"")</f>
        <v/>
      </c>
    </row>
    <row r="231" spans="2:9">
      <c r="B231" s="1" t="str">
        <f t="shared" si="3"/>
        <v>Opportunity and knowledge management registers are made-up terms.</v>
      </c>
      <c r="C231" s="47" t="s">
        <v>4616</v>
      </c>
      <c r="D231" s="49" t="s">
        <v>4617</v>
      </c>
      <c r="E231" s="1" t="str" cm="1">
        <f t="array" ref="E231">IFERROR(
  _xlfn.LET(
    _xlpm.searchText, Tests!$C231,
    _xlpm.dataRange, ITTO!$B$3:$F$300,
    _xlpm.headers, ITTO!$B$2:$F$2,
    _xlpm.matchMatrix, ISNUMBER(SEARCH(_xlpm.searchText, _xlpm.dataRange)),
    _xlpm.colMatch, _xlfn.XMATCH(TRUE, _xlfn.BYCOL(_xlpm.matchMatrix, _xlfn.LAMBDA(_xlpm.col, OR(_xlpm.col)))),
    INDEX(_xlpm.headers, _xlpm.colMatch)
  ),
  ""
)</f>
        <v/>
      </c>
      <c r="F231" s="1" t="str" cm="1">
        <f t="array" ref="F231">IFERROR(_xlfn.LET(_xlpm.searchText, Tests!$C231,_xlpm.dataRange, PMBOK!$B$3:$F$300,_xlpm.headers, PMBOK!$B$2:$F$2,_xlpm.matchMatrix, ISNUMBER(SEARCH(_xlpm.searchText, _xlpm.dataRange)),_xlpm.colMatch, _xlfn.XMATCH(TRUE, _xlfn.BYCOL(_xlpm.matchMatrix, _xlfn.LAMBDA(_xlpm.col, OR(_xlpm.col)))),INDEX(_xlpm.headers, _xlpm.colMatch)),"")</f>
        <v/>
      </c>
      <c r="G231" s="1" t="str" cm="1">
        <f t="array" ref="G231">IFERROR(_xlfn.LET(_xlpm.searchText, Tests!$C231,_xlpm.dataRange, 'Rita Quick test'!$B$3:$P$57,_xlpm.headers, 'Rita Quick test'!$B$2:$P$2,_xlpm.matchMatrix, ISNUMBER(SEARCH(_xlpm.searchText, _xlpm.dataRange)),_xlpm.colMatch, _xlfn.XMATCH(TRUE, _xlfn.BYCOL(_xlpm.matchMatrix, _xlfn.LAMBDA(_xlpm.col, OR(_xlpm.col)))),INDEX(_xlpm.headers, _xlpm.colMatch)),"")</f>
        <v/>
      </c>
      <c r="H231" s="1" t="str">
        <f>IFERROR(VLOOKUP("*" &amp; C231 &amp; "*",Terms!D:E,2,FALSE),"")</f>
        <v/>
      </c>
      <c r="I231" s="1" t="str">
        <f>IFERROR(VLOOKUP("*" &amp; C231 &amp; "*",'Terms 2'!B:D,3,FALSE),"")</f>
        <v/>
      </c>
    </row>
    <row r="232" spans="2:9">
      <c r="B232" s="1" t="str">
        <f t="shared" si="3"/>
        <v>Outwards influence is for those who are external, such as vendors.</v>
      </c>
      <c r="C232" s="47" t="s">
        <v>4609</v>
      </c>
      <c r="D232" s="49" t="s">
        <v>4614</v>
      </c>
      <c r="E232" s="1" t="str" cm="1">
        <f t="array" ref="E232">IFERROR(
  _xlfn.LET(
    _xlpm.searchText, Tests!$C232,
    _xlpm.dataRange, ITTO!$B$3:$F$300,
    _xlpm.headers, ITTO!$B$2:$F$2,
    _xlpm.matchMatrix, ISNUMBER(SEARCH(_xlpm.searchText, _xlpm.dataRange)),
    _xlpm.colMatch, _xlfn.XMATCH(TRUE, _xlfn.BYCOL(_xlpm.matchMatrix, _xlfn.LAMBDA(_xlpm.col, OR(_xlpm.col)))),
    INDEX(_xlpm.headers, _xlpm.colMatch)
  ),
  ""
)</f>
        <v/>
      </c>
      <c r="F232" s="1" t="str" cm="1">
        <f t="array" ref="F232">IFERROR(_xlfn.LET(_xlpm.searchText, Tests!$C232,_xlpm.dataRange, PMBOK!$B$3:$F$300,_xlpm.headers, PMBOK!$B$2:$F$2,_xlpm.matchMatrix, ISNUMBER(SEARCH(_xlpm.searchText, _xlpm.dataRange)),_xlpm.colMatch, _xlfn.XMATCH(TRUE, _xlfn.BYCOL(_xlpm.matchMatrix, _xlfn.LAMBDA(_xlpm.col, OR(_xlpm.col)))),INDEX(_xlpm.headers, _xlpm.colMatch)),"")</f>
        <v/>
      </c>
      <c r="G232" s="1" t="str" cm="1">
        <f t="array" ref="G232">IFERROR(_xlfn.LET(_xlpm.searchText, Tests!$C232,_xlpm.dataRange, 'Rita Quick test'!$B$3:$P$57,_xlpm.headers, 'Rita Quick test'!$B$2:$P$2,_xlpm.matchMatrix, ISNUMBER(SEARCH(_xlpm.searchText, _xlpm.dataRange)),_xlpm.colMatch, _xlfn.XMATCH(TRUE, _xlfn.BYCOL(_xlpm.matchMatrix, _xlfn.LAMBDA(_xlpm.col, OR(_xlpm.col)))),INDEX(_xlpm.headers, _xlpm.colMatch)),"")</f>
        <v/>
      </c>
      <c r="H232" s="1" t="str">
        <f>IFERROR(VLOOKUP("*" &amp; C232 &amp; "*",Terms!D:E,2,FALSE),"")</f>
        <v/>
      </c>
      <c r="I232" s="1" t="str">
        <f>IFERROR(VLOOKUP("*" &amp; C232 &amp; "*",'Terms 2'!B:D,3,FALSE),"")</f>
        <v/>
      </c>
    </row>
    <row r="233" spans="2:9">
      <c r="B233" s="1" t="str">
        <f t="shared" si="3"/>
        <v>Risk generally falls into two levels on a project: individual project risks and overall project risks. All other terms are not different types of risks.</v>
      </c>
      <c r="C233" s="47" t="s">
        <v>4809</v>
      </c>
      <c r="D233" s="48" t="s">
        <v>4812</v>
      </c>
      <c r="E233" s="1" t="str" cm="1">
        <f t="array" ref="E233">IFERROR(
  _xlfn.LET(
    _xlpm.searchText, Tests!$C233,
    _xlpm.dataRange, ITTO!$B$3:$F$300,
    _xlpm.headers, ITTO!$B$2:$F$2,
    _xlpm.matchMatrix, ISNUMBER(SEARCH(_xlpm.searchText, _xlpm.dataRange)),
    _xlpm.colMatch, _xlfn.XMATCH(TRUE, _xlfn.BYCOL(_xlpm.matchMatrix, _xlfn.LAMBDA(_xlpm.col, OR(_xlpm.col)))),
    INDEX(_xlpm.headers, _xlpm.colMatch)
  ),
  ""
)</f>
        <v/>
      </c>
      <c r="F233" s="1" t="str" cm="1">
        <f t="array" ref="F233">IFERROR(_xlfn.LET(_xlpm.searchText, Tests!$C233,_xlpm.dataRange, PMBOK!$B$3:$F$300,_xlpm.headers, PMBOK!$B$2:$F$2,_xlpm.matchMatrix, ISNUMBER(SEARCH(_xlpm.searchText, _xlpm.dataRange)),_xlpm.colMatch, _xlfn.XMATCH(TRUE, _xlfn.BYCOL(_xlpm.matchMatrix, _xlfn.LAMBDA(_xlpm.col, OR(_xlpm.col)))),INDEX(_xlpm.headers, _xlpm.colMatch)),"")</f>
        <v/>
      </c>
      <c r="G233" s="1" t="str" cm="1">
        <f t="array" ref="G233">IFERROR(_xlfn.LET(_xlpm.searchText, Tests!$C233,_xlpm.dataRange, 'Rita Quick test'!$B$3:$P$57,_xlpm.headers, 'Rita Quick test'!$B$2:$P$2,_xlpm.matchMatrix, ISNUMBER(SEARCH(_xlpm.searchText, _xlpm.dataRange)),_xlpm.colMatch, _xlfn.XMATCH(TRUE, _xlfn.BYCOL(_xlpm.matchMatrix, _xlfn.LAMBDA(_xlpm.col, OR(_xlpm.col)))),INDEX(_xlpm.headers, _xlpm.colMatch)),"")</f>
        <v/>
      </c>
      <c r="H233" s="1" t="str">
        <f>IFERROR(VLOOKUP("*" &amp; C233 &amp; "*",Terms!D:E,2,FALSE),"")</f>
        <v/>
      </c>
      <c r="I233" s="1" t="str">
        <f>IFERROR(VLOOKUP("*" &amp; C233 &amp; "*",'Terms 2'!B:D,3,FALSE),"")</f>
        <v/>
      </c>
    </row>
    <row r="234" spans="2:9">
      <c r="B234" s="1" t="str">
        <f t="shared" si="3"/>
        <v>Pair programming is defined as when one programmer writes the code and another inspects the code as it’s being written. This leads to the code being inspected in seconds.</v>
      </c>
      <c r="C234" s="47" t="s">
        <v>4624</v>
      </c>
      <c r="D234" s="48" t="s">
        <v>4627</v>
      </c>
      <c r="E234" s="1" t="str" cm="1">
        <f t="array" ref="E234">IFERROR(
  _xlfn.LET(
    _xlpm.searchText, Tests!$C234,
    _xlpm.dataRange, ITTO!$B$3:$F$300,
    _xlpm.headers, ITTO!$B$2:$F$2,
    _xlpm.matchMatrix, ISNUMBER(SEARCH(_xlpm.searchText, _xlpm.dataRange)),
    _xlpm.colMatch, _xlfn.XMATCH(TRUE, _xlfn.BYCOL(_xlpm.matchMatrix, _xlfn.LAMBDA(_xlpm.col, OR(_xlpm.col)))),
    INDEX(_xlpm.headers, _xlpm.colMatch)
  ),
  ""
)</f>
        <v/>
      </c>
      <c r="F234" s="1" t="str" cm="1">
        <f t="array" ref="F234">IFERROR(_xlfn.LET(_xlpm.searchText, Tests!$C234,_xlpm.dataRange, PMBOK!$B$3:$F$300,_xlpm.headers, PMBOK!$B$2:$F$2,_xlpm.matchMatrix, ISNUMBER(SEARCH(_xlpm.searchText, _xlpm.dataRange)),_xlpm.colMatch, _xlfn.XMATCH(TRUE, _xlfn.BYCOL(_xlpm.matchMatrix, _xlfn.LAMBDA(_xlpm.col, OR(_xlpm.col)))),INDEX(_xlpm.headers, _xlpm.colMatch)),"")</f>
        <v/>
      </c>
      <c r="G234" s="1" t="str" cm="1">
        <f t="array" ref="G234">IFERROR(_xlfn.LET(_xlpm.searchText, Tests!$C234,_xlpm.dataRange, 'Rita Quick test'!$B$3:$P$57,_xlpm.headers, 'Rita Quick test'!$B$2:$P$2,_xlpm.matchMatrix, ISNUMBER(SEARCH(_xlpm.searchText, _xlpm.dataRange)),_xlpm.colMatch, _xlfn.XMATCH(TRUE, _xlfn.BYCOL(_xlpm.matchMatrix, _xlfn.LAMBDA(_xlpm.col, OR(_xlpm.col)))),INDEX(_xlpm.headers, _xlpm.colMatch)),"")</f>
        <v/>
      </c>
      <c r="H234" s="1" t="str">
        <f>IFERROR(VLOOKUP("*" &amp; C234 &amp; "*",Terms!D:E,2,FALSE),"")</f>
        <v/>
      </c>
      <c r="I234" s="1" t="str">
        <f>IFERROR(VLOOKUP("*" &amp; C234 &amp; "*",'Terms 2'!B:D,3,FALSE),"")</f>
        <v/>
      </c>
    </row>
    <row r="235" spans="2:9">
      <c r="B235" s="1" t="str">
        <f t="shared" si="3"/>
        <v>Parametric estimates are a type of mathematical estimates done to estimate the cost of each activity.</v>
      </c>
      <c r="C235" s="46" t="s">
        <v>4445</v>
      </c>
      <c r="D235" s="49" t="s">
        <v>4447</v>
      </c>
      <c r="E235" s="1" t="str" cm="1">
        <f t="array" ref="E235">IFERROR(
  _xlfn.LET(
    _xlpm.searchText, Tests!$C235,
    _xlpm.dataRange, ITTO!$B$3:$F$300,
    _xlpm.headers, ITTO!$B$2:$F$2,
    _xlpm.matchMatrix, ISNUMBER(SEARCH(_xlpm.searchText, _xlpm.dataRange)),
    _xlpm.colMatch, _xlfn.XMATCH(TRUE, _xlfn.BYCOL(_xlpm.matchMatrix, _xlfn.LAMBDA(_xlpm.col, OR(_xlpm.col)))),
    INDEX(_xlpm.headers, _xlpm.colMatch)
  ),
  ""
)</f>
        <v/>
      </c>
      <c r="F235" s="1" t="str" cm="1">
        <f t="array" ref="F235">IFERROR(_xlfn.LET(_xlpm.searchText, Tests!$C235,_xlpm.dataRange, PMBOK!$B$3:$F$300,_xlpm.headers, PMBOK!$B$2:$F$2,_xlpm.matchMatrix, ISNUMBER(SEARCH(_xlpm.searchText, _xlpm.dataRange)),_xlpm.colMatch, _xlfn.XMATCH(TRUE, _xlfn.BYCOL(_xlpm.matchMatrix, _xlfn.LAMBDA(_xlpm.col, OR(_xlpm.col)))),INDEX(_xlpm.headers, _xlpm.colMatch)),"")</f>
        <v/>
      </c>
      <c r="G235" s="1" t="str" cm="1">
        <f t="array" ref="G235">IFERROR(_xlfn.LET(_xlpm.searchText, Tests!$C235,_xlpm.dataRange, 'Rita Quick test'!$B$3:$P$57,_xlpm.headers, 'Rita Quick test'!$B$2:$P$2,_xlpm.matchMatrix, ISNUMBER(SEARCH(_xlpm.searchText, _xlpm.dataRange)),_xlpm.colMatch, _xlfn.XMATCH(TRUE, _xlfn.BYCOL(_xlpm.matchMatrix, _xlfn.LAMBDA(_xlpm.col, OR(_xlpm.col)))),INDEX(_xlpm.headers, _xlpm.colMatch)),"")</f>
        <v/>
      </c>
      <c r="H235" s="1" t="str">
        <f>IFERROR(VLOOKUP("*" &amp; C235 &amp; "*",Terms!D:E,2,FALSE),"")</f>
        <v/>
      </c>
      <c r="I235" s="1" t="str">
        <f>IFERROR(VLOOKUP("*" &amp; C235 &amp; "*",'Terms 2'!B:D,3,FALSE),"")</f>
        <v/>
      </c>
    </row>
    <row r="236" spans="2:9">
      <c r="B236" s="1" t="str">
        <f t="shared" si="3"/>
        <v>The tools of bottom-up estimation and parametric estimation are not used to determine a budget</v>
      </c>
      <c r="C236" s="47" t="s">
        <v>4416</v>
      </c>
      <c r="D236" s="49" t="s">
        <v>4418</v>
      </c>
      <c r="E236" s="1" t="str" cm="1">
        <f t="array" ref="E236">IFERROR(
  _xlfn.LET(
    _xlpm.searchText, Tests!$C236,
    _xlpm.dataRange, ITTO!$B$3:$F$300,
    _xlpm.headers, ITTO!$B$2:$F$2,
    _xlpm.matchMatrix, ISNUMBER(SEARCH(_xlpm.searchText, _xlpm.dataRange)),
    _xlpm.colMatch, _xlfn.XMATCH(TRUE, _xlfn.BYCOL(_xlpm.matchMatrix, _xlfn.LAMBDA(_xlpm.col, OR(_xlpm.col)))),
    INDEX(_xlpm.headers, _xlpm.colMatch)
  ),
  ""
)</f>
        <v/>
      </c>
      <c r="F236" s="1" t="str" cm="1">
        <f t="array" ref="F236">IFERROR(_xlfn.LET(_xlpm.searchText, Tests!$C236,_xlpm.dataRange, PMBOK!$B$3:$F$300,_xlpm.headers, PMBOK!$B$2:$F$2,_xlpm.matchMatrix, ISNUMBER(SEARCH(_xlpm.searchText, _xlpm.dataRange)),_xlpm.colMatch, _xlfn.XMATCH(TRUE, _xlfn.BYCOL(_xlpm.matchMatrix, _xlfn.LAMBDA(_xlpm.col, OR(_xlpm.col)))),INDEX(_xlpm.headers, _xlpm.colMatch)),"")</f>
        <v/>
      </c>
      <c r="G236" s="1" t="str" cm="1">
        <f t="array" ref="G236">IFERROR(_xlfn.LET(_xlpm.searchText, Tests!$C236,_xlpm.dataRange, 'Rita Quick test'!$B$3:$P$57,_xlpm.headers, 'Rita Quick test'!$B$2:$P$2,_xlpm.matchMatrix, ISNUMBER(SEARCH(_xlpm.searchText, _xlpm.dataRange)),_xlpm.colMatch, _xlfn.XMATCH(TRUE, _xlfn.BYCOL(_xlpm.matchMatrix, _xlfn.LAMBDA(_xlpm.col, OR(_xlpm.col)))),INDEX(_xlpm.headers, _xlpm.colMatch)),"")</f>
        <v/>
      </c>
      <c r="H236" s="1" t="str">
        <f>IFERROR(VLOOKUP("*" &amp; C236 &amp; "*",Terms!D:E,2,FALSE),"")</f>
        <v/>
      </c>
      <c r="I236" s="1" t="str">
        <f>IFERROR(VLOOKUP("*" &amp; C236 &amp; "*",'Terms 2'!B:D,3,FALSE),"")</f>
        <v/>
      </c>
    </row>
    <row r="237" spans="2:9">
      <c r="B237" s="1" t="str">
        <f t="shared" si="3"/>
        <v>Parametric estimates are based on a data set such as cost per feet or time per task.</v>
      </c>
      <c r="C237" s="46" t="s">
        <v>4743</v>
      </c>
      <c r="D237" s="49" t="s">
        <v>4902</v>
      </c>
      <c r="E237" s="1" t="str" cm="1">
        <f t="array" ref="E237">IFERROR(_xlfn.LET(_xlpm.searchText, Tests!$C237,_xlpm.dataRange, ITTO!$B$3:$F$300,_xlpm.headers, ITTO!$B$2:$F$2,_xlpm.matchMatrix, ISNUMBER(SEARCH(_xlpm.searchText, _xlpm.dataRange)),_xlpm.colMatch, _xlfn.XMATCH(TRUE, _xlfn.BYCOL(_xlpm.matchMatrix, _xlfn.LAMBDA(_xlpm.col, OR(_xlpm.col)))),INDEX(_xlpm.headers, _xlpm.colMatch)),"")</f>
        <v/>
      </c>
      <c r="F237" s="1" t="str" cm="1">
        <f t="array" ref="F237">IFERROR(_xlfn.LET(_xlpm.searchText, Tests!$C237,_xlpm.dataRange, PMBOK!$B$3:$F$500,_xlpm.headers, PMBOK!$B$2:$F$2,_xlpm.matchMatrix, ISNUMBER(SEARCH(_xlpm.searchText, _xlpm.dataRange)),_xlpm.colMatch, _xlfn.XMATCH(TRUE, _xlfn.BYCOL(_xlpm.matchMatrix, _xlfn.LAMBDA(_xlpm.col, OR(_xlpm.col)))),INDEX(_xlpm.headers, _xlpm.colMatch)),"")</f>
        <v/>
      </c>
      <c r="G237" s="1" t="str" cm="1">
        <f t="array" ref="G237">IFERROR(_xlfn.LET(_xlpm.searchText, Tests!$C237,_xlpm.dataRange, 'Rita Quick test'!$B$3:$P$57,_xlpm.headers, 'Rita Quick test'!$B$2:$P$2,_xlpm.matchMatrix, ISNUMBER(SEARCH(_xlpm.searchText, _xlpm.dataRange)),_xlpm.colMatch, _xlfn.XMATCH(TRUE, _xlfn.BYCOL(_xlpm.matchMatrix, _xlfn.LAMBDA(_xlpm.col, OR(_xlpm.col)))),INDEX(_xlpm.headers, _xlpm.colMatch)),"")</f>
        <v/>
      </c>
      <c r="H237" s="1" t="str">
        <f>IFERROR(VLOOKUP("*" &amp; C237 &amp; "*",Terms!D:E,2,FALSE),"")</f>
        <v/>
      </c>
      <c r="I237" s="1" t="str">
        <f>IFERROR(VLOOKUP("*" &amp; C237 &amp; "*",'Terms 2'!B:D,3,FALSE),"")</f>
        <v/>
      </c>
    </row>
    <row r="238" spans="2:9">
      <c r="B238" s="1" t="str">
        <f t="shared" si="3"/>
        <v>Pareto charts are used for quality, not risk.</v>
      </c>
      <c r="C238" s="47" t="s">
        <v>4461</v>
      </c>
      <c r="D238" s="49" t="s">
        <v>4903</v>
      </c>
      <c r="E238" s="1" t="str" cm="1">
        <f t="array" ref="E238">IFERROR(
  _xlfn.LET(
    _xlpm.searchText, Tests!$C238,
    _xlpm.dataRange, ITTO!$B$3:$F$300,
    _xlpm.headers, ITTO!$B$2:$F$2,
    _xlpm.matchMatrix, ISNUMBER(SEARCH(_xlpm.searchText, _xlpm.dataRange)),
    _xlpm.colMatch, _xlfn.XMATCH(TRUE, _xlfn.BYCOL(_xlpm.matchMatrix, _xlfn.LAMBDA(_xlpm.col, OR(_xlpm.col)))),
    INDEX(_xlpm.headers, _xlpm.colMatch)
  ),
  ""
)</f>
        <v/>
      </c>
      <c r="F238" s="1" t="str" cm="1">
        <f t="array" ref="F238">IFERROR(_xlfn.LET(_xlpm.searchText, Tests!$C238,_xlpm.dataRange, PMBOK!$B$3:$F$300,_xlpm.headers, PMBOK!$B$2:$F$2,_xlpm.matchMatrix, ISNUMBER(SEARCH(_xlpm.searchText, _xlpm.dataRange)),_xlpm.colMatch, _xlfn.XMATCH(TRUE, _xlfn.BYCOL(_xlpm.matchMatrix, _xlfn.LAMBDA(_xlpm.col, OR(_xlpm.col)))),INDEX(_xlpm.headers, _xlpm.colMatch)),"")</f>
        <v/>
      </c>
      <c r="G238" s="1" t="str" cm="1">
        <f t="array" ref="G238">IFERROR(_xlfn.LET(_xlpm.searchText, Tests!$C238,_xlpm.dataRange, 'Rita Quick test'!$B$3:$P$57,_xlpm.headers, 'Rita Quick test'!$B$2:$P$2,_xlpm.matchMatrix, ISNUMBER(SEARCH(_xlpm.searchText, _xlpm.dataRange)),_xlpm.colMatch, _xlfn.XMATCH(TRUE, _xlfn.BYCOL(_xlpm.matchMatrix, _xlfn.LAMBDA(_xlpm.col, OR(_xlpm.col)))),INDEX(_xlpm.headers, _xlpm.colMatch)),"")</f>
        <v/>
      </c>
      <c r="H238" s="1" t="str">
        <f>IFERROR(VLOOKUP("*" &amp; C238 &amp; "*",Terms!D:E,2,FALSE),"")</f>
        <v/>
      </c>
      <c r="I238" s="1" t="str">
        <f>IFERROR(VLOOKUP("*" &amp; C238 &amp; "*",'Terms 2'!B:D,3,FALSE),"")</f>
        <v/>
      </c>
    </row>
    <row r="239" spans="2:9">
      <c r="B239" s="1" t="str">
        <f t="shared" si="3"/>
        <v/>
      </c>
      <c r="C239" s="47" t="s">
        <v>4747</v>
      </c>
      <c r="D239" s="1" t="s">
        <v>4848</v>
      </c>
      <c r="E239" s="1" t="str" cm="1">
        <f t="array" ref="E239">IFERROR(
  _xlfn.LET(
    _xlpm.searchText, Tests!$C239,
    _xlpm.dataRange, ITTO!$B$3:$F$300,
    _xlpm.headers, ITTO!$B$2:$F$2,
    _xlpm.matchMatrix, ISNUMBER(SEARCH(_xlpm.searchText, _xlpm.dataRange)),
    _xlpm.colMatch, _xlfn.XMATCH(TRUE, _xlfn.BYCOL(_xlpm.matchMatrix, _xlfn.LAMBDA(_xlpm.col, OR(_xlpm.col)))),
    INDEX(_xlpm.headers, _xlpm.colMatch)
  ),
  ""
)</f>
        <v/>
      </c>
      <c r="F239" s="1" t="str" cm="1">
        <f t="array" ref="F239">IFERROR(_xlfn.LET(_xlpm.searchText, Tests!$C239,_xlpm.dataRange, PMBOK!$B$3:$F$300,_xlpm.headers, PMBOK!$B$2:$F$2,_xlpm.matchMatrix, ISNUMBER(SEARCH(_xlpm.searchText, _xlpm.dataRange)),_xlpm.colMatch, _xlfn.XMATCH(TRUE, _xlfn.BYCOL(_xlpm.matchMatrix, _xlfn.LAMBDA(_xlpm.col, OR(_xlpm.col)))),INDEX(_xlpm.headers, _xlpm.colMatch)),"")</f>
        <v/>
      </c>
      <c r="G239" s="1" t="str" cm="1">
        <f t="array" ref="G239">IFERROR(_xlfn.LET(_xlpm.searchText, Tests!$C239,_xlpm.dataRange, 'Rita Quick test'!$B$3:$P$57,_xlpm.headers, 'Rita Quick test'!$B$2:$P$2,_xlpm.matchMatrix, ISNUMBER(SEARCH(_xlpm.searchText, _xlpm.dataRange)),_xlpm.colMatch, _xlfn.XMATCH(TRUE, _xlfn.BYCOL(_xlpm.matchMatrix, _xlfn.LAMBDA(_xlpm.col, OR(_xlpm.col)))),INDEX(_xlpm.headers, _xlpm.colMatch)),"")</f>
        <v/>
      </c>
      <c r="H239" s="1" t="str">
        <f>IFERROR(VLOOKUP("*" &amp; C239 &amp; "*",Terms!D:E,2,FALSE),"")</f>
        <v/>
      </c>
      <c r="I239" s="1" t="str">
        <f>IFERROR(VLOOKUP("*" &amp; C239 &amp; "*",'Terms 2'!B:D,3,FALSE),"")</f>
        <v/>
      </c>
    </row>
    <row r="240" spans="2:9">
      <c r="B240" s="1" t="str">
        <f t="shared" si="3"/>
        <v>Perform integrated change control is done to assess and approve a change request.</v>
      </c>
      <c r="C240" s="47" t="s">
        <v>4450</v>
      </c>
      <c r="D240" s="48" t="s">
        <v>4452</v>
      </c>
      <c r="E240" s="1" t="str" cm="1">
        <f t="array" ref="E240">IFERROR(
  _xlfn.LET(
    _xlpm.searchText, Tests!$C240,
    _xlpm.dataRange, ITTO!$B$3:$F$300,
    _xlpm.headers, ITTO!$B$2:$F$2,
    _xlpm.matchMatrix, ISNUMBER(SEARCH(_xlpm.searchText, _xlpm.dataRange)),
    _xlpm.colMatch, _xlfn.XMATCH(TRUE, _xlfn.BYCOL(_xlpm.matchMatrix, _xlfn.LAMBDA(_xlpm.col, OR(_xlpm.col)))),
    INDEX(_xlpm.headers, _xlpm.colMatch)
  ),
  ""
)</f>
        <v/>
      </c>
      <c r="F240" s="1" t="str" cm="1">
        <f t="array" ref="F240">IFERROR(_xlfn.LET(_xlpm.searchText, Tests!$C240,_xlpm.dataRange, PMBOK!$B$3:$F$300,_xlpm.headers, PMBOK!$B$2:$F$2,_xlpm.matchMatrix, ISNUMBER(SEARCH(_xlpm.searchText, _xlpm.dataRange)),_xlpm.colMatch, _xlfn.XMATCH(TRUE, _xlfn.BYCOL(_xlpm.matchMatrix, _xlfn.LAMBDA(_xlpm.col, OR(_xlpm.col)))),INDEX(_xlpm.headers, _xlpm.colMatch)),"")</f>
        <v/>
      </c>
      <c r="G240" s="1" t="str" cm="1">
        <f t="array" ref="G240">IFERROR(_xlfn.LET(_xlpm.searchText, Tests!$C240,_xlpm.dataRange, 'Rita Quick test'!$B$3:$P$57,_xlpm.headers, 'Rita Quick test'!$B$2:$P$2,_xlpm.matchMatrix, ISNUMBER(SEARCH(_xlpm.searchText, _xlpm.dataRange)),_xlpm.colMatch, _xlfn.XMATCH(TRUE, _xlfn.BYCOL(_xlpm.matchMatrix, _xlfn.LAMBDA(_xlpm.col, OR(_xlpm.col)))),INDEX(_xlpm.headers, _xlpm.colMatch)),"")</f>
        <v/>
      </c>
      <c r="H240" s="1" t="str">
        <f>IFERROR(VLOOKUP("*" &amp; C240 &amp; "*",Terms!D:E,2,FALSE),"")</f>
        <v/>
      </c>
      <c r="I240" s="1" t="str">
        <f>IFERROR(VLOOKUP("*" &amp; C240 &amp; "*",'Terms 2'!B:D,3,FALSE),"")</f>
        <v/>
      </c>
    </row>
    <row r="241" spans="2:9">
      <c r="B241" s="1" t="str">
        <f t="shared" si="3"/>
        <v>Perform qualitative risk analysis is a process used to rank risks according to probability and/or impact.</v>
      </c>
      <c r="C241" s="47" t="s">
        <v>4483</v>
      </c>
      <c r="D241" s="49" t="s">
        <v>4904</v>
      </c>
      <c r="E241" s="1" t="str" cm="1">
        <f t="array" ref="E241">IFERROR(
  _xlfn.LET(
    _xlpm.searchText, Tests!$C241,
    _xlpm.dataRange, ITTO!$B$3:$F$300,
    _xlpm.headers, ITTO!$B$2:$F$2,
    _xlpm.matchMatrix, ISNUMBER(SEARCH(_xlpm.searchText, _xlpm.dataRange)),
    _xlpm.colMatch, _xlfn.XMATCH(TRUE, _xlfn.BYCOL(_xlpm.matchMatrix, _xlfn.LAMBDA(_xlpm.col, OR(_xlpm.col)))),
    INDEX(_xlpm.headers, _xlpm.colMatch)
  ),
  ""
)</f>
        <v/>
      </c>
      <c r="F241" s="1" t="str" cm="1">
        <f t="array" ref="F241">IFERROR(_xlfn.LET(_xlpm.searchText, Tests!$C241,_xlpm.dataRange, PMBOK!$B$3:$F$300,_xlpm.headers, PMBOK!$B$2:$F$2,_xlpm.matchMatrix, ISNUMBER(SEARCH(_xlpm.searchText, _xlpm.dataRange)),_xlpm.colMatch, _xlfn.XMATCH(TRUE, _xlfn.BYCOL(_xlpm.matchMatrix, _xlfn.LAMBDA(_xlpm.col, OR(_xlpm.col)))),INDEX(_xlpm.headers, _xlpm.colMatch)),"")</f>
        <v/>
      </c>
      <c r="G241" s="1" t="str" cm="1">
        <f t="array" ref="G241">IFERROR(_xlfn.LET(_xlpm.searchText, Tests!$C241,_xlpm.dataRange, 'Rita Quick test'!$B$3:$P$57,_xlpm.headers, 'Rita Quick test'!$B$2:$P$2,_xlpm.matchMatrix, ISNUMBER(SEARCH(_xlpm.searchText, _xlpm.dataRange)),_xlpm.colMatch, _xlfn.XMATCH(TRUE, _xlfn.BYCOL(_xlpm.matchMatrix, _xlfn.LAMBDA(_xlpm.col, OR(_xlpm.col)))),INDEX(_xlpm.headers, _xlpm.colMatch)),"")</f>
        <v/>
      </c>
      <c r="H241" s="1" t="str">
        <f>IFERROR(VLOOKUP("*" &amp; C241 &amp; "*",Terms!D:E,2,FALSE),"")</f>
        <v/>
      </c>
      <c r="I241" s="1" t="str">
        <f>IFERROR(VLOOKUP("*" &amp; C241 &amp; "*",'Terms 2'!B:D,3,FALSE),"")</f>
        <v/>
      </c>
    </row>
    <row r="242" spans="2:9">
      <c r="B242" s="1" t="str">
        <f t="shared" si="3"/>
        <v>Perform quantitative analysis is done in order to assign values to the risk.</v>
      </c>
      <c r="C242" s="47" t="s">
        <v>4482</v>
      </c>
      <c r="D242" s="49" t="s">
        <v>4905</v>
      </c>
      <c r="E242" s="1" t="str" cm="1">
        <f t="array" ref="E242">IFERROR(
  _xlfn.LET(
    _xlpm.searchText, Tests!$C242,
    _xlpm.dataRange, ITTO!$B$3:$F$300,
    _xlpm.headers, ITTO!$B$2:$F$2,
    _xlpm.matchMatrix, ISNUMBER(SEARCH(_xlpm.searchText, _xlpm.dataRange)),
    _xlpm.colMatch, _xlfn.XMATCH(TRUE, _xlfn.BYCOL(_xlpm.matchMatrix, _xlfn.LAMBDA(_xlpm.col, OR(_xlpm.col)))),
    INDEX(_xlpm.headers, _xlpm.colMatch)
  ),
  ""
)</f>
        <v/>
      </c>
      <c r="F242" s="1" t="str" cm="1">
        <f t="array" ref="F242">IFERROR(_xlfn.LET(_xlpm.searchText, Tests!$C242,_xlpm.dataRange, PMBOK!$B$3:$F$300,_xlpm.headers, PMBOK!$B$2:$F$2,_xlpm.matchMatrix, ISNUMBER(SEARCH(_xlpm.searchText, _xlpm.dataRange)),_xlpm.colMatch, _xlfn.XMATCH(TRUE, _xlfn.BYCOL(_xlpm.matchMatrix, _xlfn.LAMBDA(_xlpm.col, OR(_xlpm.col)))),INDEX(_xlpm.headers, _xlpm.colMatch)),"")</f>
        <v/>
      </c>
      <c r="G242" s="1" t="str" cm="1">
        <f t="array" ref="G242">IFERROR(_xlfn.LET(_xlpm.searchText, Tests!$C242,_xlpm.dataRange, 'Rita Quick test'!$B$3:$P$57,_xlpm.headers, 'Rita Quick test'!$B$2:$P$2,_xlpm.matchMatrix, ISNUMBER(SEARCH(_xlpm.searchText, _xlpm.dataRange)),_xlpm.colMatch, _xlfn.XMATCH(TRUE, _xlfn.BYCOL(_xlpm.matchMatrix, _xlfn.LAMBDA(_xlpm.col, OR(_xlpm.col)))),INDEX(_xlpm.headers, _xlpm.colMatch)),"")</f>
        <v/>
      </c>
      <c r="H242" s="1" t="str">
        <f>IFERROR(VLOOKUP("*" &amp; C242 &amp; "*",Terms!D:E,2,FALSE),"")</f>
        <v/>
      </c>
      <c r="I242" s="1" t="str">
        <f>IFERROR(VLOOKUP("*" &amp; C242 &amp; "*",'Terms 2'!B:D,3,FALSE),"")</f>
        <v/>
      </c>
    </row>
    <row r="243" spans="2:9">
      <c r="B243" s="1" t="str">
        <f t="shared" si="3"/>
        <v/>
      </c>
      <c r="C243" s="47" t="s">
        <v>4557</v>
      </c>
      <c r="D243" s="1" t="s">
        <v>4848</v>
      </c>
      <c r="E243" s="1" t="str" cm="1">
        <f t="array" ref="E243">IFERROR(
  _xlfn.LET(
    _xlpm.searchText, Tests!$C243,
    _xlpm.dataRange, ITTO!$B$3:$F$300,
    _xlpm.headers, ITTO!$B$2:$F$2,
    _xlpm.matchMatrix, ISNUMBER(SEARCH(_xlpm.searchText, _xlpm.dataRange)),
    _xlpm.colMatch, _xlfn.XMATCH(TRUE, _xlfn.BYCOL(_xlpm.matchMatrix, _xlfn.LAMBDA(_xlpm.col, OR(_xlpm.col)))),
    INDEX(_xlpm.headers, _xlpm.colMatch)
  ),
  ""
)</f>
        <v/>
      </c>
      <c r="F243" s="1" t="str" cm="1">
        <f t="array" ref="F243">IFERROR(_xlfn.LET(_xlpm.searchText, Tests!$C243,_xlpm.dataRange, PMBOK!$B$3:$F$300,_xlpm.headers, PMBOK!$B$2:$F$2,_xlpm.matchMatrix, ISNUMBER(SEARCH(_xlpm.searchText, _xlpm.dataRange)),_xlpm.colMatch, _xlfn.XMATCH(TRUE, _xlfn.BYCOL(_xlpm.matchMatrix, _xlfn.LAMBDA(_xlpm.col, OR(_xlpm.col)))),INDEX(_xlpm.headers, _xlpm.colMatch)),"")</f>
        <v/>
      </c>
      <c r="G243" s="1" t="str" cm="1">
        <f t="array" ref="G243">IFERROR(_xlfn.LET(_xlpm.searchText, Tests!$C243,_xlpm.dataRange, 'Rita Quick test'!$B$3:$P$57,_xlpm.headers, 'Rita Quick test'!$B$2:$P$2,_xlpm.matchMatrix, ISNUMBER(SEARCH(_xlpm.searchText, _xlpm.dataRange)),_xlpm.colMatch, _xlfn.XMATCH(TRUE, _xlfn.BYCOL(_xlpm.matchMatrix, _xlfn.LAMBDA(_xlpm.col, OR(_xlpm.col)))),INDEX(_xlpm.headers, _xlpm.colMatch)),"")</f>
        <v/>
      </c>
      <c r="H243" s="1" t="str">
        <f>IFERROR(VLOOKUP("*" &amp; C243 &amp; "*",Terms!D:E,2,FALSE),"")</f>
        <v/>
      </c>
      <c r="I243" s="1" t="str">
        <f>IFERROR(VLOOKUP("*" &amp; C243 &amp; "*",'Terms 2'!B:D,3,FALSE),"")</f>
        <v/>
      </c>
    </row>
    <row r="244" spans="2:9">
      <c r="B244" s="1" t="str">
        <f t="shared" si="3"/>
        <v>Plan communication management is used to create the communication management plan that describes how communication will take place on the project.</v>
      </c>
      <c r="C244" s="47" t="s">
        <v>4777</v>
      </c>
      <c r="D244" s="49" t="s">
        <v>4906</v>
      </c>
      <c r="E244" s="1" t="str" cm="1">
        <f t="array" ref="E244">IFERROR(
  _xlfn.LET(
    _xlpm.searchText, Tests!$C244,
    _xlpm.dataRange, ITTO!$B$3:$F$300,
    _xlpm.headers, ITTO!$B$2:$F$2,
    _xlpm.matchMatrix, ISNUMBER(SEARCH(_xlpm.searchText, _xlpm.dataRange)),
    _xlpm.colMatch, _xlfn.XMATCH(TRUE, _xlfn.BYCOL(_xlpm.matchMatrix, _xlfn.LAMBDA(_xlpm.col, OR(_xlpm.col)))),
    INDEX(_xlpm.headers, _xlpm.colMatch)
  ),
  ""
)</f>
        <v/>
      </c>
      <c r="F244" s="1" t="str" cm="1">
        <f t="array" ref="F244">IFERROR(_xlfn.LET(_xlpm.searchText, Tests!$C244,_xlpm.dataRange, PMBOK!$B$3:$F$300,_xlpm.headers, PMBOK!$B$2:$F$2,_xlpm.matchMatrix, ISNUMBER(SEARCH(_xlpm.searchText, _xlpm.dataRange)),_xlpm.colMatch, _xlfn.XMATCH(TRUE, _xlfn.BYCOL(_xlpm.matchMatrix, _xlfn.LAMBDA(_xlpm.col, OR(_xlpm.col)))),INDEX(_xlpm.headers, _xlpm.colMatch)),"")</f>
        <v/>
      </c>
      <c r="G244" s="1" t="str" cm="1">
        <f t="array" ref="G244">IFERROR(_xlfn.LET(_xlpm.searchText, Tests!$C244,_xlpm.dataRange, 'Rita Quick test'!$B$3:$P$57,_xlpm.headers, 'Rita Quick test'!$B$2:$P$2,_xlpm.matchMatrix, ISNUMBER(SEARCH(_xlpm.searchText, _xlpm.dataRange)),_xlpm.colMatch, _xlfn.XMATCH(TRUE, _xlfn.BYCOL(_xlpm.matchMatrix, _xlfn.LAMBDA(_xlpm.col, OR(_xlpm.col)))),INDEX(_xlpm.headers, _xlpm.colMatch)),"")</f>
        <v/>
      </c>
      <c r="H244" s="1" t="str">
        <f>IFERROR(VLOOKUP("*" &amp; C244 &amp; "*",Terms!D:E,2,FALSE),"")</f>
        <v/>
      </c>
      <c r="I244" s="1" t="str">
        <f>IFERROR(VLOOKUP("*" &amp; C244 &amp; "*",'Terms 2'!B:D,3,FALSE),"")</f>
        <v/>
      </c>
    </row>
    <row r="245" spans="2:9">
      <c r="B245" s="1" t="str">
        <f t="shared" si="3"/>
        <v>Plan cost management is used to create the cost management plan.</v>
      </c>
      <c r="C245" s="47" t="s">
        <v>4474</v>
      </c>
      <c r="D245" s="49" t="s">
        <v>4907</v>
      </c>
      <c r="E245" s="1" t="str" cm="1">
        <f t="array" ref="E245">IFERROR(
  _xlfn.LET(
    _xlpm.searchText, Tests!$C245,
    _xlpm.dataRange, ITTO!$B$3:$F$300,
    _xlpm.headers, ITTO!$B$2:$F$2,
    _xlpm.matchMatrix, ISNUMBER(SEARCH(_xlpm.searchText, _xlpm.dataRange)),
    _xlpm.colMatch, _xlfn.XMATCH(TRUE, _xlfn.BYCOL(_xlpm.matchMatrix, _xlfn.LAMBDA(_xlpm.col, OR(_xlpm.col)))),
    INDEX(_xlpm.headers, _xlpm.colMatch)
  ),
  ""
)</f>
        <v/>
      </c>
      <c r="F245" s="1" t="str" cm="1">
        <f t="array" ref="F245">IFERROR(_xlfn.LET(_xlpm.searchText, Tests!$C245,_xlpm.dataRange, PMBOK!$B$3:$F$300,_xlpm.headers, PMBOK!$B$2:$F$2,_xlpm.matchMatrix, ISNUMBER(SEARCH(_xlpm.searchText, _xlpm.dataRange)),_xlpm.colMatch, _xlfn.XMATCH(TRUE, _xlfn.BYCOL(_xlpm.matchMatrix, _xlfn.LAMBDA(_xlpm.col, OR(_xlpm.col)))),INDEX(_xlpm.headers, _xlpm.colMatch)),"")</f>
        <v/>
      </c>
      <c r="G245" s="1" t="str" cm="1">
        <f t="array" ref="G245">IFERROR(_xlfn.LET(_xlpm.searchText, Tests!$C245,_xlpm.dataRange, 'Rita Quick test'!$B$3:$P$57,_xlpm.headers, 'Rita Quick test'!$B$2:$P$2,_xlpm.matchMatrix, ISNUMBER(SEARCH(_xlpm.searchText, _xlpm.dataRange)),_xlpm.colMatch, _xlfn.XMATCH(TRUE, _xlfn.BYCOL(_xlpm.matchMatrix, _xlfn.LAMBDA(_xlpm.col, OR(_xlpm.col)))),INDEX(_xlpm.headers, _xlpm.colMatch)),"")</f>
        <v/>
      </c>
      <c r="H245" s="1" t="str">
        <f>IFERROR(VLOOKUP("*" &amp; C245 &amp; "*",Terms!D:E,2,FALSE),"")</f>
        <v/>
      </c>
      <c r="I245" s="1" t="str">
        <f>IFERROR(VLOOKUP("*" &amp; C245 &amp; "*",'Terms 2'!B:D,3,FALSE),"")</f>
        <v/>
      </c>
    </row>
    <row r="246" spans="2:9">
      <c r="B246" s="1" t="str">
        <f t="shared" si="3"/>
        <v>Plan procurement management is done to select what needs to be procured and how to conduct the procurement</v>
      </c>
      <c r="C246" s="47" t="s">
        <v>4551</v>
      </c>
      <c r="D246" s="49" t="s">
        <v>4555</v>
      </c>
      <c r="E246" s="1" t="str" cm="1">
        <f t="array" ref="E246">IFERROR(
  _xlfn.LET(
    _xlpm.searchText, Tests!$C246,
    _xlpm.dataRange, ITTO!$B$3:$F$300,
    _xlpm.headers, ITTO!$B$2:$F$2,
    _xlpm.matchMatrix, ISNUMBER(SEARCH(_xlpm.searchText, _xlpm.dataRange)),
    _xlpm.colMatch, _xlfn.XMATCH(TRUE, _xlfn.BYCOL(_xlpm.matchMatrix, _xlfn.LAMBDA(_xlpm.col, OR(_xlpm.col)))),
    INDEX(_xlpm.headers, _xlpm.colMatch)
  ),
  ""
)</f>
        <v/>
      </c>
      <c r="F246" s="1" t="str" cm="1">
        <f t="array" ref="F246">IFERROR(_xlfn.LET(_xlpm.searchText, Tests!$C246,_xlpm.dataRange, PMBOK!$B$3:$F$300,_xlpm.headers, PMBOK!$B$2:$F$2,_xlpm.matchMatrix, ISNUMBER(SEARCH(_xlpm.searchText, _xlpm.dataRange)),_xlpm.colMatch, _xlfn.XMATCH(TRUE, _xlfn.BYCOL(_xlpm.matchMatrix, _xlfn.LAMBDA(_xlpm.col, OR(_xlpm.col)))),INDEX(_xlpm.headers, _xlpm.colMatch)),"")</f>
        <v/>
      </c>
      <c r="G246" s="1" t="str" cm="1">
        <f t="array" ref="G246">IFERROR(_xlfn.LET(_xlpm.searchText, Tests!$C246,_xlpm.dataRange, 'Rita Quick test'!$B$3:$P$57,_xlpm.headers, 'Rita Quick test'!$B$2:$P$2,_xlpm.matchMatrix, ISNUMBER(SEARCH(_xlpm.searchText, _xlpm.dataRange)),_xlpm.colMatch, _xlfn.XMATCH(TRUE, _xlfn.BYCOL(_xlpm.matchMatrix, _xlfn.LAMBDA(_xlpm.col, OR(_xlpm.col)))),INDEX(_xlpm.headers, _xlpm.colMatch)),"")</f>
        <v/>
      </c>
      <c r="H246" s="1" t="str">
        <f>IFERROR(VLOOKUP("*" &amp; C246 &amp; "*",Terms!D:E,2,FALSE),"")</f>
        <v/>
      </c>
      <c r="I246" s="1" t="str">
        <f>IFERROR(VLOOKUP("*" &amp; C246 &amp; "*",'Terms 2'!B:D,3,FALSE),"")</f>
        <v/>
      </c>
    </row>
    <row r="247" spans="2:9">
      <c r="B247" s="1" t="str">
        <f t="shared" si="3"/>
        <v>Plan risk management is done to create the risk management plan, which will document how to conduct all the risk management processes.</v>
      </c>
      <c r="C247" s="46" t="s">
        <v>4706</v>
      </c>
      <c r="D247" s="48" t="s">
        <v>4707</v>
      </c>
      <c r="E247" s="1" t="str" cm="1">
        <f t="array" ref="E247">IFERROR(
  _xlfn.LET(
    _xlpm.searchText, Tests!$C247,
    _xlpm.dataRange, ITTO!$B$3:$F$300,
    _xlpm.headers, ITTO!$B$2:$F$2,
    _xlpm.matchMatrix, ISNUMBER(SEARCH(_xlpm.searchText, _xlpm.dataRange)),
    _xlpm.colMatch, _xlfn.XMATCH(TRUE, _xlfn.BYCOL(_xlpm.matchMatrix, _xlfn.LAMBDA(_xlpm.col, OR(_xlpm.col)))),
    INDEX(_xlpm.headers, _xlpm.colMatch)
  ),
  ""
)</f>
        <v/>
      </c>
      <c r="F247" s="1" t="str" cm="1">
        <f t="array" ref="F247">IFERROR(_xlfn.LET(_xlpm.searchText, Tests!$C247,_xlpm.dataRange, PMBOK!$B$3:$F$300,_xlpm.headers, PMBOK!$B$2:$F$2,_xlpm.matchMatrix, ISNUMBER(SEARCH(_xlpm.searchText, _xlpm.dataRange)),_xlpm.colMatch, _xlfn.XMATCH(TRUE, _xlfn.BYCOL(_xlpm.matchMatrix, _xlfn.LAMBDA(_xlpm.col, OR(_xlpm.col)))),INDEX(_xlpm.headers, _xlpm.colMatch)),"")</f>
        <v/>
      </c>
      <c r="G247" s="1" t="str" cm="1">
        <f t="array" ref="G247">IFERROR(_xlfn.LET(_xlpm.searchText, Tests!$C247,_xlpm.dataRange, 'Rita Quick test'!$B$3:$P$57,_xlpm.headers, 'Rita Quick test'!$B$2:$P$2,_xlpm.matchMatrix, ISNUMBER(SEARCH(_xlpm.searchText, _xlpm.dataRange)),_xlpm.colMatch, _xlfn.XMATCH(TRUE, _xlfn.BYCOL(_xlpm.matchMatrix, _xlfn.LAMBDA(_xlpm.col, OR(_xlpm.col)))),INDEX(_xlpm.headers, _xlpm.colMatch)),"")</f>
        <v/>
      </c>
      <c r="H247" s="1" t="str">
        <f>IFERROR(VLOOKUP("*" &amp; C247 &amp; "*",Terms!D:E,2,FALSE),"")</f>
        <v/>
      </c>
      <c r="I247" s="1" t="str">
        <f>IFERROR(VLOOKUP("*" &amp; C247 &amp; "*",'Terms 2'!B:D,3,FALSE),"")</f>
        <v/>
      </c>
    </row>
    <row r="248" spans="2:9">
      <c r="B248" s="1" t="str">
        <f t="shared" si="3"/>
        <v>Plan risk response describes the strategies that would be used if a risk were to materialize.</v>
      </c>
      <c r="C248" s="47" t="s">
        <v>4485</v>
      </c>
      <c r="D248" s="49" t="s">
        <v>4908</v>
      </c>
      <c r="E248" s="1" t="str" cm="1">
        <f t="array" ref="E248">IFERROR(
  _xlfn.LET(
    _xlpm.searchText, Tests!$C248,
    _xlpm.dataRange, ITTO!$B$3:$F$300,
    _xlpm.headers, ITTO!$B$2:$F$2,
    _xlpm.matchMatrix, ISNUMBER(SEARCH(_xlpm.searchText, _xlpm.dataRange)),
    _xlpm.colMatch, _xlfn.XMATCH(TRUE, _xlfn.BYCOL(_xlpm.matchMatrix, _xlfn.LAMBDA(_xlpm.col, OR(_xlpm.col)))),
    INDEX(_xlpm.headers, _xlpm.colMatch)
  ),
  ""
)</f>
        <v/>
      </c>
      <c r="F248" s="1" t="str" cm="1">
        <f t="array" ref="F248">IFERROR(_xlfn.LET(_xlpm.searchText, Tests!$C248,_xlpm.dataRange, PMBOK!$B$3:$F$300,_xlpm.headers, PMBOK!$B$2:$F$2,_xlpm.matchMatrix, ISNUMBER(SEARCH(_xlpm.searchText, _xlpm.dataRange)),_xlpm.colMatch, _xlfn.XMATCH(TRUE, _xlfn.BYCOL(_xlpm.matchMatrix, _xlfn.LAMBDA(_xlpm.col, OR(_xlpm.col)))),INDEX(_xlpm.headers, _xlpm.colMatch)),"")</f>
        <v/>
      </c>
      <c r="G248" s="1" t="str" cm="1">
        <f t="array" ref="G248">IFERROR(_xlfn.LET(_xlpm.searchText, Tests!$C248,_xlpm.dataRange, 'Rita Quick test'!$B$3:$P$57,_xlpm.headers, 'Rita Quick test'!$B$2:$P$2,_xlpm.matchMatrix, ISNUMBER(SEARCH(_xlpm.searchText, _xlpm.dataRange)),_xlpm.colMatch, _xlfn.XMATCH(TRUE, _xlfn.BYCOL(_xlpm.matchMatrix, _xlfn.LAMBDA(_xlpm.col, OR(_xlpm.col)))),INDEX(_xlpm.headers, _xlpm.colMatch)),"")</f>
        <v/>
      </c>
      <c r="H248" s="1" t="str">
        <f>IFERROR(VLOOKUP("*" &amp; C248 &amp; "*",Terms!D:E,2,FALSE),"")</f>
        <v/>
      </c>
      <c r="I248" s="1" t="str">
        <f>IFERROR(VLOOKUP("*" &amp; C248 &amp; "*",'Terms 2'!B:D,3,FALSE),"")</f>
        <v/>
      </c>
    </row>
    <row r="249" spans="2:9">
      <c r="B249" s="1" t="str">
        <f t="shared" si="3"/>
        <v>During the planning process, the project management plan is created.</v>
      </c>
      <c r="C249" s="46" t="s">
        <v>4410</v>
      </c>
      <c r="D249" s="49" t="s">
        <v>4909</v>
      </c>
      <c r="E249" s="1" t="str" cm="1">
        <f t="array" ref="E249">IFERROR(
  _xlfn.LET(
    _xlpm.searchText, Tests!$C249,
    _xlpm.dataRange, ITTO!$B$3:$F$300,
    _xlpm.headers, ITTO!$B$2:$F$2,
    _xlpm.matchMatrix, ISNUMBER(SEARCH(_xlpm.searchText, _xlpm.dataRange)),
    _xlpm.colMatch, _xlfn.XMATCH(TRUE, _xlfn.BYCOL(_xlpm.matchMatrix, _xlfn.LAMBDA(_xlpm.col, OR(_xlpm.col)))),
    INDEX(_xlpm.headers, _xlpm.colMatch)
  ),
  ""
)</f>
        <v/>
      </c>
      <c r="F249" s="1" t="str" cm="1">
        <f t="array" ref="F249">IFERROR(_xlfn.LET(_xlpm.searchText, Tests!$C249,_xlpm.dataRange, PMBOK!$B$3:$F$300,_xlpm.headers, PMBOK!$B$2:$F$2,_xlpm.matchMatrix, ISNUMBER(SEARCH(_xlpm.searchText, _xlpm.dataRange)),_xlpm.colMatch, _xlfn.XMATCH(TRUE, _xlfn.BYCOL(_xlpm.matchMatrix, _xlfn.LAMBDA(_xlpm.col, OR(_xlpm.col)))),INDEX(_xlpm.headers, _xlpm.colMatch)),"")</f>
        <v/>
      </c>
      <c r="G249" s="1" t="str" cm="1">
        <f t="array" ref="G249">IFERROR(_xlfn.LET(_xlpm.searchText, Tests!$C249,_xlpm.dataRange, 'Rita Quick test'!$B$3:$P$57,_xlpm.headers, 'Rita Quick test'!$B$2:$P$2,_xlpm.matchMatrix, ISNUMBER(SEARCH(_xlpm.searchText, _xlpm.dataRange)),_xlpm.colMatch, _xlfn.XMATCH(TRUE, _xlfn.BYCOL(_xlpm.matchMatrix, _xlfn.LAMBDA(_xlpm.col, OR(_xlpm.col)))),INDEX(_xlpm.headers, _xlpm.colMatch)),"")</f>
        <v/>
      </c>
      <c r="H249" s="1" t="str">
        <f>IFERROR(VLOOKUP("*" &amp; C249 &amp; "*",Terms!D:E,2,FALSE),"")</f>
        <v/>
      </c>
      <c r="I249" s="1" t="str">
        <f>IFERROR(VLOOKUP("*" &amp; C249 &amp; "*",'Terms 2'!B:D,3,FALSE),"")</f>
        <v/>
      </c>
    </row>
    <row r="250" spans="2:9">
      <c r="B250" s="1" t="str">
        <f t="shared" si="3"/>
        <v/>
      </c>
      <c r="C250" s="47" t="s">
        <v>4410</v>
      </c>
      <c r="D250" s="1" t="s">
        <v>4848</v>
      </c>
      <c r="E250" s="1" t="str" cm="1">
        <f t="array" ref="E250">IFERROR(
  _xlfn.LET(
    _xlpm.searchText, Tests!$C250,
    _xlpm.dataRange, ITTO!$B$3:$F$300,
    _xlpm.headers, ITTO!$B$2:$F$2,
    _xlpm.matchMatrix, ISNUMBER(SEARCH(_xlpm.searchText, _xlpm.dataRange)),
    _xlpm.colMatch, _xlfn.XMATCH(TRUE, _xlfn.BYCOL(_xlpm.matchMatrix, _xlfn.LAMBDA(_xlpm.col, OR(_xlpm.col)))),
    INDEX(_xlpm.headers, _xlpm.colMatch)
  ),
  ""
)</f>
        <v/>
      </c>
      <c r="F250" s="1" t="str" cm="1">
        <f t="array" ref="F250">IFERROR(_xlfn.LET(_xlpm.searchText, Tests!$C250,_xlpm.dataRange, PMBOK!$B$3:$F$300,_xlpm.headers, PMBOK!$B$2:$F$2,_xlpm.matchMatrix, ISNUMBER(SEARCH(_xlpm.searchText, _xlpm.dataRange)),_xlpm.colMatch, _xlfn.XMATCH(TRUE, _xlfn.BYCOL(_xlpm.matchMatrix, _xlfn.LAMBDA(_xlpm.col, OR(_xlpm.col)))),INDEX(_xlpm.headers, _xlpm.colMatch)),"")</f>
        <v/>
      </c>
      <c r="G250" s="1" t="str" cm="1">
        <f t="array" ref="G250">IFERROR(_xlfn.LET(_xlpm.searchText, Tests!$C250,_xlpm.dataRange, 'Rita Quick test'!$B$3:$P$57,_xlpm.headers, 'Rita Quick test'!$B$2:$P$2,_xlpm.matchMatrix, ISNUMBER(SEARCH(_xlpm.searchText, _xlpm.dataRange)),_xlpm.colMatch, _xlfn.XMATCH(TRUE, _xlfn.BYCOL(_xlpm.matchMatrix, _xlfn.LAMBDA(_xlpm.col, OR(_xlpm.col)))),INDEX(_xlpm.headers, _xlpm.colMatch)),"")</f>
        <v/>
      </c>
      <c r="H250" s="1" t="str">
        <f>IFERROR(VLOOKUP("*" &amp; C250 &amp; "*",Terms!D:E,2,FALSE),"")</f>
        <v/>
      </c>
      <c r="I250" s="1" t="str">
        <f>IFERROR(VLOOKUP("*" &amp; C250 &amp; "*",'Terms 2'!B:D,3,FALSE),"")</f>
        <v/>
      </c>
    </row>
    <row r="251" spans="2:9">
      <c r="B251" s="1" t="str">
        <f t="shared" si="3"/>
        <v>The output for planning would be the project management plan.</v>
      </c>
      <c r="C251" s="46" t="s">
        <v>4410</v>
      </c>
      <c r="D251" s="49" t="s">
        <v>4910</v>
      </c>
      <c r="E251" s="1" t="str" cm="1">
        <f t="array" ref="E251">IFERROR(
  _xlfn.LET(
    _xlpm.searchText, Tests!$C251,
    _xlpm.dataRange, ITTO!$B$3:$F$300,
    _xlpm.headers, ITTO!$B$2:$F$2,
    _xlpm.matchMatrix, ISNUMBER(SEARCH(_xlpm.searchText, _xlpm.dataRange)),
    _xlpm.colMatch, _xlfn.XMATCH(TRUE, _xlfn.BYCOL(_xlpm.matchMatrix, _xlfn.LAMBDA(_xlpm.col, OR(_xlpm.col)))),
    INDEX(_xlpm.headers, _xlpm.colMatch)
  ),
  ""
)</f>
        <v/>
      </c>
      <c r="F251" s="1" t="str" cm="1">
        <f t="array" ref="F251">IFERROR(_xlfn.LET(_xlpm.searchText, Tests!$C251,_xlpm.dataRange, PMBOK!$B$3:$F$300,_xlpm.headers, PMBOK!$B$2:$F$2,_xlpm.matchMatrix, ISNUMBER(SEARCH(_xlpm.searchText, _xlpm.dataRange)),_xlpm.colMatch, _xlfn.XMATCH(TRUE, _xlfn.BYCOL(_xlpm.matchMatrix, _xlfn.LAMBDA(_xlpm.col, OR(_xlpm.col)))),INDEX(_xlpm.headers, _xlpm.colMatch)),"")</f>
        <v/>
      </c>
      <c r="G251" s="1" t="str" cm="1">
        <f t="array" ref="G251">IFERROR(_xlfn.LET(_xlpm.searchText, Tests!$C251,_xlpm.dataRange, 'Rita Quick test'!$B$3:$P$57,_xlpm.headers, 'Rita Quick test'!$B$2:$P$2,_xlpm.matchMatrix, ISNUMBER(SEARCH(_xlpm.searchText, _xlpm.dataRange)),_xlpm.colMatch, _xlfn.XMATCH(TRUE, _xlfn.BYCOL(_xlpm.matchMatrix, _xlfn.LAMBDA(_xlpm.col, OR(_xlpm.col)))),INDEX(_xlpm.headers, _xlpm.colMatch)),"")</f>
        <v/>
      </c>
      <c r="H251" s="1" t="str">
        <f>IFERROR(VLOOKUP("*" &amp; C251 &amp; "*",Terms!D:E,2,FALSE),"")</f>
        <v/>
      </c>
      <c r="I251" s="1" t="str">
        <f>IFERROR(VLOOKUP("*" &amp; C251 &amp; "*",'Terms 2'!B:D,3,FALSE),"")</f>
        <v/>
      </c>
    </row>
    <row r="252" spans="2:9">
      <c r="B252" s="1" t="str">
        <f t="shared" si="3"/>
        <v>The risk register lists both positive and negative risks, not the risk management plan.</v>
      </c>
      <c r="C252" s="47" t="s">
        <v>4634</v>
      </c>
      <c r="D252" s="49" t="s">
        <v>4911</v>
      </c>
      <c r="E252" s="1" t="str" cm="1">
        <f t="array" ref="E252">IFERROR(
  _xlfn.LET(
    _xlpm.searchText, Tests!$C252,
    _xlpm.dataRange, ITTO!$B$3:$F$300,
    _xlpm.headers, ITTO!$B$2:$F$2,
    _xlpm.matchMatrix, ISNUMBER(SEARCH(_xlpm.searchText, _xlpm.dataRange)),
    _xlpm.colMatch, _xlfn.XMATCH(TRUE, _xlfn.BYCOL(_xlpm.matchMatrix, _xlfn.LAMBDA(_xlpm.col, OR(_xlpm.col)))),
    INDEX(_xlpm.headers, _xlpm.colMatch)
  ),
  ""
)</f>
        <v/>
      </c>
      <c r="F252" s="1" t="str" cm="1">
        <f t="array" ref="F252">IFERROR(_xlfn.LET(_xlpm.searchText, Tests!$C252,_xlpm.dataRange, PMBOK!$B$3:$F$300,_xlpm.headers, PMBOK!$B$2:$F$2,_xlpm.matchMatrix, ISNUMBER(SEARCH(_xlpm.searchText, _xlpm.dataRange)),_xlpm.colMatch, _xlfn.XMATCH(TRUE, _xlfn.BYCOL(_xlpm.matchMatrix, _xlfn.LAMBDA(_xlpm.col, OR(_xlpm.col)))),INDEX(_xlpm.headers, _xlpm.colMatch)),"")</f>
        <v/>
      </c>
      <c r="G252" s="1" t="str" cm="1">
        <f t="array" ref="G252">IFERROR(_xlfn.LET(_xlpm.searchText, Tests!$C252,_xlpm.dataRange, 'Rita Quick test'!$B$3:$P$57,_xlpm.headers, 'Rita Quick test'!$B$2:$P$2,_xlpm.matchMatrix, ISNUMBER(SEARCH(_xlpm.searchText, _xlpm.dataRange)),_xlpm.colMatch, _xlfn.XMATCH(TRUE, _xlfn.BYCOL(_xlpm.matchMatrix, _xlfn.LAMBDA(_xlpm.col, OR(_xlpm.col)))),INDEX(_xlpm.headers, _xlpm.colMatch)),"")</f>
        <v/>
      </c>
      <c r="H252" s="1" t="str">
        <f>IFERROR(VLOOKUP("*" &amp; C252 &amp; "*",Terms!D:E,2,FALSE),"")</f>
        <v/>
      </c>
      <c r="I252" s="1" t="str">
        <f>IFERROR(VLOOKUP("*" &amp; C252 &amp; "*",'Terms 2'!B:D,3,FALSE),"")</f>
        <v/>
      </c>
    </row>
    <row r="253" spans="2:9">
      <c r="B253" s="1" t="str">
        <f t="shared" si="3"/>
        <v>Postponing is a made-up term.</v>
      </c>
      <c r="C253" s="46" t="s">
        <v>4502</v>
      </c>
      <c r="D253" s="49" t="s">
        <v>4504</v>
      </c>
      <c r="E253" s="1" t="str" cm="1">
        <f t="array" ref="E253">IFERROR(
  _xlfn.LET(
    _xlpm.searchText, Tests!$C253,
    _xlpm.dataRange, ITTO!$B$3:$F$300,
    _xlpm.headers, ITTO!$B$2:$F$2,
    _xlpm.matchMatrix, ISNUMBER(SEARCH(_xlpm.searchText, _xlpm.dataRange)),
    _xlpm.colMatch, _xlfn.XMATCH(TRUE, _xlfn.BYCOL(_xlpm.matchMatrix, _xlfn.LAMBDA(_xlpm.col, OR(_xlpm.col)))),
    INDEX(_xlpm.headers, _xlpm.colMatch)
  ),
  ""
)</f>
        <v/>
      </c>
      <c r="F253" s="1" t="str" cm="1">
        <f t="array" ref="F253">IFERROR(_xlfn.LET(_xlpm.searchText, Tests!$C253,_xlpm.dataRange, PMBOK!$B$3:$F$300,_xlpm.headers, PMBOK!$B$2:$F$2,_xlpm.matchMatrix, ISNUMBER(SEARCH(_xlpm.searchText, _xlpm.dataRange)),_xlpm.colMatch, _xlfn.XMATCH(TRUE, _xlfn.BYCOL(_xlpm.matchMatrix, _xlfn.LAMBDA(_xlpm.col, OR(_xlpm.col)))),INDEX(_xlpm.headers, _xlpm.colMatch)),"")</f>
        <v/>
      </c>
      <c r="G253" s="1" t="str" cm="1">
        <f t="array" ref="G253">IFERROR(_xlfn.LET(_xlpm.searchText, Tests!$C253,_xlpm.dataRange, 'Rita Quick test'!$B$3:$P$57,_xlpm.headers, 'Rita Quick test'!$B$2:$P$2,_xlpm.matchMatrix, ISNUMBER(SEARCH(_xlpm.searchText, _xlpm.dataRange)),_xlpm.colMatch, _xlfn.XMATCH(TRUE, _xlfn.BYCOL(_xlpm.matchMatrix, _xlfn.LAMBDA(_xlpm.col, OR(_xlpm.col)))),INDEX(_xlpm.headers, _xlpm.colMatch)),"")</f>
        <v/>
      </c>
      <c r="H253" s="1" t="str">
        <f>IFERROR(VLOOKUP("*" &amp; C253 &amp; "*",Terms!D:E,2,FALSE),"")</f>
        <v/>
      </c>
      <c r="I253" s="1" t="str">
        <f>IFERROR(VLOOKUP("*" &amp; C253 &amp; "*",'Terms 2'!B:D,3,FALSE),"")</f>
        <v/>
      </c>
    </row>
    <row r="254" spans="2:9">
      <c r="B254" s="1" t="str">
        <f t="shared" si="3"/>
        <v/>
      </c>
      <c r="C254" s="47" t="s">
        <v>4818</v>
      </c>
      <c r="D254" s="1" t="s">
        <v>4848</v>
      </c>
      <c r="E254" s="1" t="str" cm="1">
        <f t="array" ref="E254">IFERROR(
  _xlfn.LET(
    _xlpm.searchText, Tests!$C254,
    _xlpm.dataRange, ITTO!$B$3:$F$300,
    _xlpm.headers, ITTO!$B$2:$F$2,
    _xlpm.matchMatrix, ISNUMBER(SEARCH(_xlpm.searchText, _xlpm.dataRange)),
    _xlpm.colMatch, _xlfn.XMATCH(TRUE, _xlfn.BYCOL(_xlpm.matchMatrix, _xlfn.LAMBDA(_xlpm.col, OR(_xlpm.col)))),
    INDEX(_xlpm.headers, _xlpm.colMatch)
  ),
  ""
)</f>
        <v/>
      </c>
      <c r="F254" s="1" t="str" cm="1">
        <f t="array" ref="F254">IFERROR(_xlfn.LET(_xlpm.searchText, Tests!$C254,_xlpm.dataRange, PMBOK!$B$3:$F$300,_xlpm.headers, PMBOK!$B$2:$F$2,_xlpm.matchMatrix, ISNUMBER(SEARCH(_xlpm.searchText, _xlpm.dataRange)),_xlpm.colMatch, _xlfn.XMATCH(TRUE, _xlfn.BYCOL(_xlpm.matchMatrix, _xlfn.LAMBDA(_xlpm.col, OR(_xlpm.col)))),INDEX(_xlpm.headers, _xlpm.colMatch)),"")</f>
        <v/>
      </c>
      <c r="G254" s="1" t="str" cm="1">
        <f t="array" ref="G254">IFERROR(_xlfn.LET(_xlpm.searchText, Tests!$C254,_xlpm.dataRange, 'Rita Quick test'!$B$3:$P$57,_xlpm.headers, 'Rita Quick test'!$B$2:$P$2,_xlpm.matchMatrix, ISNUMBER(SEARCH(_xlpm.searchText, _xlpm.dataRange)),_xlpm.colMatch, _xlfn.XMATCH(TRUE, _xlfn.BYCOL(_xlpm.matchMatrix, _xlfn.LAMBDA(_xlpm.col, OR(_xlpm.col)))),INDEX(_xlpm.headers, _xlpm.colMatch)),"")</f>
        <v/>
      </c>
      <c r="H254" s="1" t="str">
        <f>IFERROR(VLOOKUP("*" &amp; C254 &amp; "*",Terms!D:E,2,FALSE),"")</f>
        <v/>
      </c>
      <c r="I254" s="1" t="str">
        <f>IFERROR(VLOOKUP("*" &amp; C254 &amp; "*",'Terms 2'!B:D,3,FALSE),"")</f>
        <v/>
      </c>
    </row>
    <row r="255" spans="2:9">
      <c r="B255" s="1" t="str">
        <f t="shared" si="3"/>
        <v/>
      </c>
      <c r="C255" s="47" t="s">
        <v>4759</v>
      </c>
      <c r="D255" s="1" t="s">
        <v>4848</v>
      </c>
      <c r="E255" s="1" t="str" cm="1">
        <f t="array" ref="E255">IFERROR(
  _xlfn.LET(
    _xlpm.searchText, Tests!$C255,
    _xlpm.dataRange, ITTO!$B$3:$F$300,
    _xlpm.headers, ITTO!$B$2:$F$2,
    _xlpm.matchMatrix, ISNUMBER(SEARCH(_xlpm.searchText, _xlpm.dataRange)),
    _xlpm.colMatch, _xlfn.XMATCH(TRUE, _xlfn.BYCOL(_xlpm.matchMatrix, _xlfn.LAMBDA(_xlpm.col, OR(_xlpm.col)))),
    INDEX(_xlpm.headers, _xlpm.colMatch)
  ),
  ""
)</f>
        <v/>
      </c>
      <c r="F255" s="1" t="str" cm="1">
        <f t="array" ref="F255">IFERROR(_xlfn.LET(_xlpm.searchText, Tests!$C255,_xlpm.dataRange, PMBOK!$B$3:$F$300,_xlpm.headers, PMBOK!$B$2:$F$2,_xlpm.matchMatrix, ISNUMBER(SEARCH(_xlpm.searchText, _xlpm.dataRange)),_xlpm.colMatch, _xlfn.XMATCH(TRUE, _xlfn.BYCOL(_xlpm.matchMatrix, _xlfn.LAMBDA(_xlpm.col, OR(_xlpm.col)))),INDEX(_xlpm.headers, _xlpm.colMatch)),"")</f>
        <v/>
      </c>
      <c r="G255" s="1" t="str" cm="1">
        <f t="array" ref="G255">IFERROR(_xlfn.LET(_xlpm.searchText, Tests!$C255,_xlpm.dataRange, 'Rita Quick test'!$B$3:$P$57,_xlpm.headers, 'Rita Quick test'!$B$2:$P$2,_xlpm.matchMatrix, ISNUMBER(SEARCH(_xlpm.searchText, _xlpm.dataRange)),_xlpm.colMatch, _xlfn.XMATCH(TRUE, _xlfn.BYCOL(_xlpm.matchMatrix, _xlfn.LAMBDA(_xlpm.col, OR(_xlpm.col)))),INDEX(_xlpm.headers, _xlpm.colMatch)),"")</f>
        <v/>
      </c>
      <c r="H255" s="1" t="str">
        <f>IFERROR(VLOOKUP("*" &amp; C255 &amp; "*",Terms!D:E,2,FALSE),"")</f>
        <v/>
      </c>
      <c r="I255" s="1" t="str">
        <f>IFERROR(VLOOKUP("*" &amp; C255 &amp; "*",'Terms 2'!B:D,3,FALSE),"")</f>
        <v/>
      </c>
    </row>
    <row r="256" spans="2:9">
      <c r="B256" s="1" t="str">
        <f t="shared" si="3"/>
        <v>Problem-solving is the best way, but that would require both sides to come up with a solution in which they both win.</v>
      </c>
      <c r="C256" s="47" t="s">
        <v>4792</v>
      </c>
      <c r="D256" s="49" t="s">
        <v>4796</v>
      </c>
      <c r="E256" s="1" t="str" cm="1">
        <f t="array" ref="E256">IFERROR(
  _xlfn.LET(
    _xlpm.searchText, Tests!$C256,
    _xlpm.dataRange, ITTO!$B$3:$F$300,
    _xlpm.headers, ITTO!$B$2:$F$2,
    _xlpm.matchMatrix, ISNUMBER(SEARCH(_xlpm.searchText, _xlpm.dataRange)),
    _xlpm.colMatch, _xlfn.XMATCH(TRUE, _xlfn.BYCOL(_xlpm.matchMatrix, _xlfn.LAMBDA(_xlpm.col, OR(_xlpm.col)))),
    INDEX(_xlpm.headers, _xlpm.colMatch)
  ),
  ""
)</f>
        <v/>
      </c>
      <c r="F256" s="1" t="str" cm="1">
        <f t="array" ref="F256">IFERROR(_xlfn.LET(_xlpm.searchText, Tests!$C256,_xlpm.dataRange, PMBOK!$B$3:$F$300,_xlpm.headers, PMBOK!$B$2:$F$2,_xlpm.matchMatrix, ISNUMBER(SEARCH(_xlpm.searchText, _xlpm.dataRange)),_xlpm.colMatch, _xlfn.XMATCH(TRUE, _xlfn.BYCOL(_xlpm.matchMatrix, _xlfn.LAMBDA(_xlpm.col, OR(_xlpm.col)))),INDEX(_xlpm.headers, _xlpm.colMatch)),"")</f>
        <v/>
      </c>
      <c r="G256" s="1" t="str" cm="1">
        <f t="array" ref="G256">IFERROR(_xlfn.LET(_xlpm.searchText, Tests!$C256,_xlpm.dataRange, 'Rita Quick test'!$B$3:$P$57,_xlpm.headers, 'Rita Quick test'!$B$2:$P$2,_xlpm.matchMatrix, ISNUMBER(SEARCH(_xlpm.searchText, _xlpm.dataRange)),_xlpm.colMatch, _xlfn.XMATCH(TRUE, _xlfn.BYCOL(_xlpm.matchMatrix, _xlfn.LAMBDA(_xlpm.col, OR(_xlpm.col)))),INDEX(_xlpm.headers, _xlpm.colMatch)),"")</f>
        <v/>
      </c>
      <c r="H256" s="1" t="str">
        <f>IFERROR(VLOOKUP("*" &amp; C256 &amp; "*",Terms!D:E,2,FALSE),"")</f>
        <v/>
      </c>
      <c r="I256" s="1" t="str">
        <f>IFERROR(VLOOKUP("*" &amp; C256 &amp; "*",'Terms 2'!B:D,3,FALSE),"")</f>
        <v/>
      </c>
    </row>
    <row r="257" spans="2:9">
      <c r="B257" s="1" t="str">
        <f t="shared" si="3"/>
        <v/>
      </c>
      <c r="C257" s="47" t="s">
        <v>4730</v>
      </c>
      <c r="D257" s="1" t="s">
        <v>4848</v>
      </c>
      <c r="E257" s="1" t="str" cm="1">
        <f t="array" ref="E257">IFERROR(
  _xlfn.LET(
    _xlpm.searchText, Tests!$C257,
    _xlpm.dataRange, ITTO!$B$3:$F$300,
    _xlpm.headers, ITTO!$B$2:$F$2,
    _xlpm.matchMatrix, ISNUMBER(SEARCH(_xlpm.searchText, _xlpm.dataRange)),
    _xlpm.colMatch, _xlfn.XMATCH(TRUE, _xlfn.BYCOL(_xlpm.matchMatrix, _xlfn.LAMBDA(_xlpm.col, OR(_xlpm.col)))),
    INDEX(_xlpm.headers, _xlpm.colMatch)
  ),
  ""
)</f>
        <v/>
      </c>
      <c r="F257" s="1" t="str" cm="1">
        <f t="array" ref="F257">IFERROR(_xlfn.LET(_xlpm.searchText, Tests!$C257,_xlpm.dataRange, PMBOK!$B$3:$F$300,_xlpm.headers, PMBOK!$B$2:$F$2,_xlpm.matchMatrix, ISNUMBER(SEARCH(_xlpm.searchText, _xlpm.dataRange)),_xlpm.colMatch, _xlfn.XMATCH(TRUE, _xlfn.BYCOL(_xlpm.matchMatrix, _xlfn.LAMBDA(_xlpm.col, OR(_xlpm.col)))),INDEX(_xlpm.headers, _xlpm.colMatch)),"")</f>
        <v/>
      </c>
      <c r="G257" s="1" t="str" cm="1">
        <f t="array" ref="G257">IFERROR(_xlfn.LET(_xlpm.searchText, Tests!$C257,_xlpm.dataRange, 'Rita Quick test'!$B$3:$P$57,_xlpm.headers, 'Rita Quick test'!$B$2:$P$2,_xlpm.matchMatrix, ISNUMBER(SEARCH(_xlpm.searchText, _xlpm.dataRange)),_xlpm.colMatch, _xlfn.XMATCH(TRUE, _xlfn.BYCOL(_xlpm.matchMatrix, _xlfn.LAMBDA(_xlpm.col, OR(_xlpm.col)))),INDEX(_xlpm.headers, _xlpm.colMatch)),"")</f>
        <v/>
      </c>
      <c r="H257" s="1" t="str">
        <f>IFERROR(VLOOKUP("*" &amp; C257 &amp; "*",Terms!D:E,2,FALSE),"")</f>
        <v/>
      </c>
      <c r="I257" s="1" t="str">
        <f>IFERROR(VLOOKUP("*" &amp; C257 &amp; "*",'Terms 2'!B:D,3,FALSE),"")</f>
        <v/>
      </c>
    </row>
    <row r="258" spans="2:9">
      <c r="B258" s="1" t="str">
        <f t="shared" si="3"/>
        <v>A process design chart is a made-up term.</v>
      </c>
      <c r="C258" s="47" t="s">
        <v>4605</v>
      </c>
      <c r="D258" s="49" t="s">
        <v>4608</v>
      </c>
      <c r="E258" s="1" t="str" cm="1">
        <f t="array" ref="E258">IFERROR(
  _xlfn.LET(
    _xlpm.searchText, Tests!$C258,
    _xlpm.dataRange, ITTO!$B$3:$F$300,
    _xlpm.headers, ITTO!$B$2:$F$2,
    _xlpm.matchMatrix, ISNUMBER(SEARCH(_xlpm.searchText, _xlpm.dataRange)),
    _xlpm.colMatch, _xlfn.XMATCH(TRUE, _xlfn.BYCOL(_xlpm.matchMatrix, _xlfn.LAMBDA(_xlpm.col, OR(_xlpm.col)))),
    INDEX(_xlpm.headers, _xlpm.colMatch)
  ),
  ""
)</f>
        <v/>
      </c>
      <c r="F258" s="1" t="str" cm="1">
        <f t="array" ref="F258">IFERROR(_xlfn.LET(_xlpm.searchText, Tests!$C258,_xlpm.dataRange, PMBOK!$B$3:$F$300,_xlpm.headers, PMBOK!$B$2:$F$2,_xlpm.matchMatrix, ISNUMBER(SEARCH(_xlpm.searchText, _xlpm.dataRange)),_xlpm.colMatch, _xlfn.XMATCH(TRUE, _xlfn.BYCOL(_xlpm.matchMatrix, _xlfn.LAMBDA(_xlpm.col, OR(_xlpm.col)))),INDEX(_xlpm.headers, _xlpm.colMatch)),"")</f>
        <v/>
      </c>
      <c r="G258" s="1" t="str" cm="1">
        <f t="array" ref="G258">IFERROR(_xlfn.LET(_xlpm.searchText, Tests!$C258,_xlpm.dataRange, 'Rita Quick test'!$B$3:$P$57,_xlpm.headers, 'Rita Quick test'!$B$2:$P$2,_xlpm.matchMatrix, ISNUMBER(SEARCH(_xlpm.searchText, _xlpm.dataRange)),_xlpm.colMatch, _xlfn.XMATCH(TRUE, _xlfn.BYCOL(_xlpm.matchMatrix, _xlfn.LAMBDA(_xlpm.col, OR(_xlpm.col)))),INDEX(_xlpm.headers, _xlpm.colMatch)),"")</f>
        <v/>
      </c>
      <c r="H258" s="1" t="str">
        <f>IFERROR(VLOOKUP("*" &amp; C258 &amp; "*",Terms!D:E,2,FALSE),"")</f>
        <v/>
      </c>
      <c r="I258" s="1" t="str">
        <f>IFERROR(VLOOKUP("*" &amp; C258 &amp; "*",'Terms 2'!B:D,3,FALSE),"")</f>
        <v/>
      </c>
    </row>
    <row r="259" spans="2:9">
      <c r="B259" s="1" t="str">
        <f t="shared" si="3"/>
        <v>Process tailoring is done to amend the agile methodology to better fit the project environment.</v>
      </c>
      <c r="C259" s="47" t="s">
        <v>4731</v>
      </c>
      <c r="D259" s="48" t="s">
        <v>4734</v>
      </c>
      <c r="E259" s="1" t="str" cm="1">
        <f t="array" ref="E259">IFERROR(
  _xlfn.LET(
    _xlpm.searchText, Tests!$C259,
    _xlpm.dataRange, ITTO!$B$3:$F$300,
    _xlpm.headers, ITTO!$B$2:$F$2,
    _xlpm.matchMatrix, ISNUMBER(SEARCH(_xlpm.searchText, _xlpm.dataRange)),
    _xlpm.colMatch, _xlfn.XMATCH(TRUE, _xlfn.BYCOL(_xlpm.matchMatrix, _xlfn.LAMBDA(_xlpm.col, OR(_xlpm.col)))),
    INDEX(_xlpm.headers, _xlpm.colMatch)
  ),
  ""
)</f>
        <v/>
      </c>
      <c r="F259" s="1" t="str" cm="1">
        <f t="array" ref="F259">IFERROR(_xlfn.LET(_xlpm.searchText, Tests!$C259,_xlpm.dataRange, PMBOK!$B$3:$F$300,_xlpm.headers, PMBOK!$B$2:$F$2,_xlpm.matchMatrix, ISNUMBER(SEARCH(_xlpm.searchText, _xlpm.dataRange)),_xlpm.colMatch, _xlfn.XMATCH(TRUE, _xlfn.BYCOL(_xlpm.matchMatrix, _xlfn.LAMBDA(_xlpm.col, OR(_xlpm.col)))),INDEX(_xlpm.headers, _xlpm.colMatch)),"")</f>
        <v/>
      </c>
      <c r="G259" s="1" t="str" cm="1">
        <f t="array" ref="G259">IFERROR(_xlfn.LET(_xlpm.searchText, Tests!$C259,_xlpm.dataRange, 'Rita Quick test'!$B$3:$P$57,_xlpm.headers, 'Rita Quick test'!$B$2:$P$2,_xlpm.matchMatrix, ISNUMBER(SEARCH(_xlpm.searchText, _xlpm.dataRange)),_xlpm.colMatch, _xlfn.XMATCH(TRUE, _xlfn.BYCOL(_xlpm.matchMatrix, _xlfn.LAMBDA(_xlpm.col, OR(_xlpm.col)))),INDEX(_xlpm.headers, _xlpm.colMatch)),"")</f>
        <v/>
      </c>
      <c r="H259" s="1" t="str">
        <f>IFERROR(VLOOKUP("*" &amp; C259 &amp; "*",Terms!D:E,2,FALSE),"")</f>
        <v/>
      </c>
      <c r="I259" s="1" t="str">
        <f>IFERROR(VLOOKUP("*" &amp; C259 &amp; "*",'Terms 2'!B:D,3,FALSE),"")</f>
        <v/>
      </c>
    </row>
    <row r="260" spans="2:9">
      <c r="B260" s="1" t="str">
        <f t="shared" ref="B260:B323" si="4">TRIM(D260)</f>
        <v>Progressive elaboration occurs when more detailed information emerges over time.</v>
      </c>
      <c r="C260" s="47" t="s">
        <v>27</v>
      </c>
      <c r="D260" s="48" t="s">
        <v>4721</v>
      </c>
      <c r="E260" s="1" t="str" cm="1">
        <f t="array" ref="E260">IFERROR(
  _xlfn.LET(
    _xlpm.searchText, Tests!$C260,
    _xlpm.dataRange, ITTO!$B$3:$F$300,
    _xlpm.headers, ITTO!$B$2:$F$2,
    _xlpm.matchMatrix, ISNUMBER(SEARCH(_xlpm.searchText, _xlpm.dataRange)),
    _xlpm.colMatch, _xlfn.XMATCH(TRUE, _xlfn.BYCOL(_xlpm.matchMatrix, _xlfn.LAMBDA(_xlpm.col, OR(_xlpm.col)))),
    INDEX(_xlpm.headers, _xlpm.colMatch)
  ),
  ""
)</f>
        <v/>
      </c>
      <c r="F260" s="1" t="str" cm="1">
        <f t="array" ref="F260">IFERROR(_xlfn.LET(_xlpm.searchText, Tests!$C260,_xlpm.dataRange, PMBOK!$B$3:$F$300,_xlpm.headers, PMBOK!$B$2:$F$2,_xlpm.matchMatrix, ISNUMBER(SEARCH(_xlpm.searchText, _xlpm.dataRange)),_xlpm.colMatch, _xlfn.XMATCH(TRUE, _xlfn.BYCOL(_xlpm.matchMatrix, _xlfn.LAMBDA(_xlpm.col, OR(_xlpm.col)))),INDEX(_xlpm.headers, _xlpm.colMatch)),"")</f>
        <v/>
      </c>
      <c r="G260" s="1" t="str" cm="1">
        <f t="array" ref="G260">IFERROR(_xlfn.LET(_xlpm.searchText, Tests!$C260,_xlpm.dataRange, 'Rita Quick test'!$B$3:$P$57,_xlpm.headers, 'Rita Quick test'!$B$2:$P$2,_xlpm.matchMatrix, ISNUMBER(SEARCH(_xlpm.searchText, _xlpm.dataRange)),_xlpm.colMatch, _xlfn.XMATCH(TRUE, _xlfn.BYCOL(_xlpm.matchMatrix, _xlfn.LAMBDA(_xlpm.col, OR(_xlpm.col)))),INDEX(_xlpm.headers, _xlpm.colMatch)),"")</f>
        <v>Exam References</v>
      </c>
      <c r="H260" s="1" t="str">
        <f>IFERROR(VLOOKUP("*" &amp; C260 &amp; "*",Terms!D:E,2,FALSE),"")</f>
        <v xml:space="preserve">Progressive elaboration The process of gathering project details. This process uses deductive reasoning, logic, and a series of information-gathering techniques to identify details about a project, product, or solution.             </v>
      </c>
      <c r="I260" s="1" t="str">
        <f>IFERROR(VLOOKUP("*" &amp; C260 &amp; "*",'Terms 2'!B:D,3,FALSE),"")</f>
        <v xml:space="preserve"> The iterative process of increasing the level of detail in a project management plan as greater amounts of information and more accurate estimates become available</v>
      </c>
    </row>
    <row r="261" spans="2:9">
      <c r="B261" s="1" t="str">
        <f t="shared" si="4"/>
        <v/>
      </c>
      <c r="C261" s="47" t="s">
        <v>4719</v>
      </c>
      <c r="D261" s="1" t="s">
        <v>4848</v>
      </c>
      <c r="E261" s="1" t="str" cm="1">
        <f t="array" ref="E261">IFERROR(
  _xlfn.LET(
    _xlpm.searchText, Tests!$C261,
    _xlpm.dataRange, ITTO!$B$3:$F$300,
    _xlpm.headers, ITTO!$B$2:$F$2,
    _xlpm.matchMatrix, ISNUMBER(SEARCH(_xlpm.searchText, _xlpm.dataRange)),
    _xlpm.colMatch, _xlfn.XMATCH(TRUE, _xlfn.BYCOL(_xlpm.matchMatrix, _xlfn.LAMBDA(_xlpm.col, OR(_xlpm.col)))),
    INDEX(_xlpm.headers, _xlpm.colMatch)
  ),
  ""
)</f>
        <v/>
      </c>
      <c r="F261" s="1" t="str" cm="1">
        <f t="array" ref="F261">IFERROR(_xlfn.LET(_xlpm.searchText, Tests!$C261,_xlpm.dataRange, PMBOK!$B$3:$F$300,_xlpm.headers, PMBOK!$B$2:$F$2,_xlpm.matchMatrix, ISNUMBER(SEARCH(_xlpm.searchText, _xlpm.dataRange)),_xlpm.colMatch, _xlfn.XMATCH(TRUE, _xlfn.BYCOL(_xlpm.matchMatrix, _xlfn.LAMBDA(_xlpm.col, OR(_xlpm.col)))),INDEX(_xlpm.headers, _xlpm.colMatch)),"")</f>
        <v/>
      </c>
      <c r="G261" s="1" t="str" cm="1">
        <f t="array" ref="G261">IFERROR(_xlfn.LET(_xlpm.searchText, Tests!$C261,_xlpm.dataRange, 'Rita Quick test'!$B$3:$P$57,_xlpm.headers, 'Rita Quick test'!$B$2:$P$2,_xlpm.matchMatrix, ISNUMBER(SEARCH(_xlpm.searchText, _xlpm.dataRange)),_xlpm.colMatch, _xlfn.XMATCH(TRUE, _xlfn.BYCOL(_xlpm.matchMatrix, _xlfn.LAMBDA(_xlpm.col, OR(_xlpm.col)))),INDEX(_xlpm.headers, _xlpm.colMatch)),"")</f>
        <v/>
      </c>
      <c r="H261" s="1" t="str">
        <f>IFERROR(VLOOKUP("*" &amp; C261 &amp; "*",Terms!D:E,2,FALSE),"")</f>
        <v/>
      </c>
      <c r="I261" s="1" t="str">
        <f>IFERROR(VLOOKUP("*" &amp; C261 &amp; "*",'Terms 2'!B:D,3,FALSE),"")</f>
        <v/>
      </c>
    </row>
    <row r="262" spans="2:9">
      <c r="B262" s="1" t="str">
        <f t="shared" si="4"/>
        <v/>
      </c>
      <c r="C262" s="47" t="s">
        <v>4738</v>
      </c>
      <c r="D262" s="1" t="s">
        <v>4848</v>
      </c>
      <c r="E262" s="1" t="str" cm="1">
        <f t="array" ref="E262">IFERROR(
  _xlfn.LET(
    _xlpm.searchText, Tests!$C262,
    _xlpm.dataRange, ITTO!$B$3:$F$300,
    _xlpm.headers, ITTO!$B$2:$F$2,
    _xlpm.matchMatrix, ISNUMBER(SEARCH(_xlpm.searchText, _xlpm.dataRange)),
    _xlpm.colMatch, _xlfn.XMATCH(TRUE, _xlfn.BYCOL(_xlpm.matchMatrix, _xlfn.LAMBDA(_xlpm.col, OR(_xlpm.col)))),
    INDEX(_xlpm.headers, _xlpm.colMatch)
  ),
  ""
)</f>
        <v/>
      </c>
      <c r="F262" s="1" t="str" cm="1">
        <f t="array" ref="F262">IFERROR(_xlfn.LET(_xlpm.searchText, Tests!$C262,_xlpm.dataRange, PMBOK!$B$3:$F$300,_xlpm.headers, PMBOK!$B$2:$F$2,_xlpm.matchMatrix, ISNUMBER(SEARCH(_xlpm.searchText, _xlpm.dataRange)),_xlpm.colMatch, _xlfn.XMATCH(TRUE, _xlfn.BYCOL(_xlpm.matchMatrix, _xlfn.LAMBDA(_xlpm.col, OR(_xlpm.col)))),INDEX(_xlpm.headers, _xlpm.colMatch)),"")</f>
        <v/>
      </c>
      <c r="G262" s="1" t="str" cm="1">
        <f t="array" ref="G262">IFERROR(_xlfn.LET(_xlpm.searchText, Tests!$C262,_xlpm.dataRange, 'Rita Quick test'!$B$3:$P$57,_xlpm.headers, 'Rita Quick test'!$B$2:$P$2,_xlpm.matchMatrix, ISNUMBER(SEARCH(_xlpm.searchText, _xlpm.dataRange)),_xlpm.colMatch, _xlfn.XMATCH(TRUE, _xlfn.BYCOL(_xlpm.matchMatrix, _xlfn.LAMBDA(_xlpm.col, OR(_xlpm.col)))),INDEX(_xlpm.headers, _xlpm.colMatch)),"")</f>
        <v/>
      </c>
      <c r="H262" s="1" t="str">
        <f>IFERROR(VLOOKUP("*" &amp; C262 &amp; "*",Terms!D:E,2,FALSE),"")</f>
        <v/>
      </c>
      <c r="I262" s="1" t="str">
        <f>IFERROR(VLOOKUP("*" &amp; C262 &amp; "*",'Terms 2'!B:D,3,FALSE),"")</f>
        <v/>
      </c>
    </row>
    <row r="263" spans="2:9">
      <c r="B263" s="1" t="str">
        <f t="shared" si="4"/>
        <v>The project charter has a high-level list of requirements.</v>
      </c>
      <c r="C263" s="47" t="s">
        <v>4708</v>
      </c>
      <c r="D263" s="49" t="s">
        <v>4912</v>
      </c>
      <c r="E263" s="1" t="str" cm="1">
        <f t="array" ref="E263">IFERROR(
  _xlfn.LET(
    _xlpm.searchText, Tests!$C263,
    _xlpm.dataRange, ITTO!$B$3:$F$300,
    _xlpm.headers, ITTO!$B$2:$F$2,
    _xlpm.matchMatrix, ISNUMBER(SEARCH(_xlpm.searchText, _xlpm.dataRange)),
    _xlpm.colMatch, _xlfn.XMATCH(TRUE, _xlfn.BYCOL(_xlpm.matchMatrix, _xlfn.LAMBDA(_xlpm.col, OR(_xlpm.col)))),
    INDEX(_xlpm.headers, _xlpm.colMatch)
  ),
  ""
)</f>
        <v/>
      </c>
      <c r="F263" s="1" t="str" cm="1">
        <f t="array" ref="F263">IFERROR(_xlfn.LET(_xlpm.searchText, Tests!$C263,_xlpm.dataRange, PMBOK!$B$3:$F$300,_xlpm.headers, PMBOK!$B$2:$F$2,_xlpm.matchMatrix, ISNUMBER(SEARCH(_xlpm.searchText, _xlpm.dataRange)),_xlpm.colMatch, _xlfn.XMATCH(TRUE, _xlfn.BYCOL(_xlpm.matchMatrix, _xlfn.LAMBDA(_xlpm.col, OR(_xlpm.col)))),INDEX(_xlpm.headers, _xlpm.colMatch)),"")</f>
        <v/>
      </c>
      <c r="G263" s="1" t="str" cm="1">
        <f t="array" ref="G263">IFERROR(_xlfn.LET(_xlpm.searchText, Tests!$C263,_xlpm.dataRange, 'Rita Quick test'!$B$3:$P$57,_xlpm.headers, 'Rita Quick test'!$B$2:$P$2,_xlpm.matchMatrix, ISNUMBER(SEARCH(_xlpm.searchText, _xlpm.dataRange)),_xlpm.colMatch, _xlfn.XMATCH(TRUE, _xlfn.BYCOL(_xlpm.matchMatrix, _xlfn.LAMBDA(_xlpm.col, OR(_xlpm.col)))),INDEX(_xlpm.headers, _xlpm.colMatch)),"")</f>
        <v/>
      </c>
      <c r="H263" s="1" t="str">
        <f>IFERROR(VLOOKUP("*" &amp; C263 &amp; "*",Terms!D:E,2,FALSE),"")</f>
        <v/>
      </c>
      <c r="I263" s="1" t="str">
        <f>IFERROR(VLOOKUP("*" &amp; C263 &amp; "*",'Terms 2'!B:D,3,FALSE),"")</f>
        <v/>
      </c>
    </row>
    <row r="264" spans="2:9">
      <c r="B264" s="1" t="str">
        <f t="shared" si="4"/>
        <v>Project communications are the actual communications taking place during the project.</v>
      </c>
      <c r="C264" s="47" t="s">
        <v>4723</v>
      </c>
      <c r="D264" s="48" t="s">
        <v>4725</v>
      </c>
      <c r="E264" s="1" t="str" cm="1">
        <f t="array" ref="E264">IFERROR(
  _xlfn.LET(
    _xlpm.searchText, Tests!$C264,
    _xlpm.dataRange, ITTO!$B$3:$F$300,
    _xlpm.headers, ITTO!$B$2:$F$2,
    _xlpm.matchMatrix, ISNUMBER(SEARCH(_xlpm.searchText, _xlpm.dataRange)),
    _xlpm.colMatch, _xlfn.XMATCH(TRUE, _xlfn.BYCOL(_xlpm.matchMatrix, _xlfn.LAMBDA(_xlpm.col, OR(_xlpm.col)))),
    INDEX(_xlpm.headers, _xlpm.colMatch)
  ),
  ""
)</f>
        <v/>
      </c>
      <c r="F264" s="1" t="str" cm="1">
        <f t="array" ref="F264">IFERROR(_xlfn.LET(_xlpm.searchText, Tests!$C264,_xlpm.dataRange, PMBOK!$B$3:$F$300,_xlpm.headers, PMBOK!$B$2:$F$2,_xlpm.matchMatrix, ISNUMBER(SEARCH(_xlpm.searchText, _xlpm.dataRange)),_xlpm.colMatch, _xlfn.XMATCH(TRUE, _xlfn.BYCOL(_xlpm.matchMatrix, _xlfn.LAMBDA(_xlpm.col, OR(_xlpm.col)))),INDEX(_xlpm.headers, _xlpm.colMatch)),"")</f>
        <v/>
      </c>
      <c r="G264" s="1" t="str" cm="1">
        <f t="array" ref="G264">IFERROR(_xlfn.LET(_xlpm.searchText, Tests!$C264,_xlpm.dataRange, 'Rita Quick test'!$B$3:$P$57,_xlpm.headers, 'Rita Quick test'!$B$2:$P$2,_xlpm.matchMatrix, ISNUMBER(SEARCH(_xlpm.searchText, _xlpm.dataRange)),_xlpm.colMatch, _xlfn.XMATCH(TRUE, _xlfn.BYCOL(_xlpm.matchMatrix, _xlfn.LAMBDA(_xlpm.col, OR(_xlpm.col)))),INDEX(_xlpm.headers, _xlpm.colMatch)),"")</f>
        <v/>
      </c>
      <c r="H264" s="1" t="str">
        <f>IFERROR(VLOOKUP("*" &amp; C264 &amp; "*",Terms!D:E,2,FALSE),"")</f>
        <v/>
      </c>
      <c r="I264" s="1" t="str">
        <f>IFERROR(VLOOKUP("*" &amp; C264 &amp; "*",'Terms 2'!B:D,3,FALSE),"")</f>
        <v/>
      </c>
    </row>
    <row r="265" spans="2:9">
      <c r="B265" s="1" t="str">
        <f t="shared" si="4"/>
        <v>The project management plan, accepted deliverables, and requirements documentation are not outputs of the control quality process.</v>
      </c>
      <c r="C265" s="47" t="s">
        <v>4702</v>
      </c>
      <c r="D265" s="49" t="s">
        <v>4703</v>
      </c>
      <c r="E265" s="1" t="str" cm="1">
        <f t="array" ref="E265">IFERROR(
  _xlfn.LET(
    _xlpm.searchText, Tests!$C265,
    _xlpm.dataRange, ITTO!$B$3:$F$300,
    _xlpm.headers, ITTO!$B$2:$F$2,
    _xlpm.matchMatrix, ISNUMBER(SEARCH(_xlpm.searchText, _xlpm.dataRange)),
    _xlpm.colMatch, _xlfn.XMATCH(TRUE, _xlfn.BYCOL(_xlpm.matchMatrix, _xlfn.LAMBDA(_xlpm.col, OR(_xlpm.col)))),
    INDEX(_xlpm.headers, _xlpm.colMatch)
  ),
  ""
)</f>
        <v/>
      </c>
      <c r="F265" s="1" t="str" cm="1">
        <f t="array" ref="F265">IFERROR(_xlfn.LET(_xlpm.searchText, Tests!$C265,_xlpm.dataRange, PMBOK!$B$3:$F$300,_xlpm.headers, PMBOK!$B$2:$F$2,_xlpm.matchMatrix, ISNUMBER(SEARCH(_xlpm.searchText, _xlpm.dataRange)),_xlpm.colMatch, _xlfn.XMATCH(TRUE, _xlfn.BYCOL(_xlpm.matchMatrix, _xlfn.LAMBDA(_xlpm.col, OR(_xlpm.col)))),INDEX(_xlpm.headers, _xlpm.colMatch)),"")</f>
        <v/>
      </c>
      <c r="G265" s="1" t="str" cm="1">
        <f t="array" ref="G265">IFERROR(_xlfn.LET(_xlpm.searchText, Tests!$C265,_xlpm.dataRange, 'Rita Quick test'!$B$3:$P$57,_xlpm.headers, 'Rita Quick test'!$B$2:$P$2,_xlpm.matchMatrix, ISNUMBER(SEARCH(_xlpm.searchText, _xlpm.dataRange)),_xlpm.colMatch, _xlfn.XMATCH(TRUE, _xlfn.BYCOL(_xlpm.matchMatrix, _xlfn.LAMBDA(_xlpm.col, OR(_xlpm.col)))),INDEX(_xlpm.headers, _xlpm.colMatch)),"")</f>
        <v/>
      </c>
      <c r="H265" s="1" t="str">
        <f>IFERROR(VLOOKUP("*" &amp; C265 &amp; "*",Terms!D:E,2,FALSE),"")</f>
        <v/>
      </c>
      <c r="I265" s="1" t="str">
        <f>IFERROR(VLOOKUP("*" &amp; C265 &amp; "*",'Terms 2'!B:D,3,FALSE),"")</f>
        <v/>
      </c>
    </row>
    <row r="266" spans="2:9">
      <c r="B266" s="1" t="str">
        <f t="shared" si="4"/>
        <v/>
      </c>
      <c r="C266" s="47" t="s">
        <v>4518</v>
      </c>
      <c r="D266" s="1" t="s">
        <v>4848</v>
      </c>
      <c r="E266" s="1" t="str" cm="1">
        <f t="array" ref="E266">IFERROR(
  _xlfn.LET(
    _xlpm.searchText, Tests!$C266,
    _xlpm.dataRange, ITTO!$B$3:$F$300,
    _xlpm.headers, ITTO!$B$2:$F$2,
    _xlpm.matchMatrix, ISNUMBER(SEARCH(_xlpm.searchText, _xlpm.dataRange)),
    _xlpm.colMatch, _xlfn.XMATCH(TRUE, _xlfn.BYCOL(_xlpm.matchMatrix, _xlfn.LAMBDA(_xlpm.col, OR(_xlpm.col)))),
    INDEX(_xlpm.headers, _xlpm.colMatch)
  ),
  ""
)</f>
        <v/>
      </c>
      <c r="F266" s="1" t="str" cm="1">
        <f t="array" ref="F266">IFERROR(_xlfn.LET(_xlpm.searchText, Tests!$C266,_xlpm.dataRange, PMBOK!$B$3:$F$300,_xlpm.headers, PMBOK!$B$2:$F$2,_xlpm.matchMatrix, ISNUMBER(SEARCH(_xlpm.searchText, _xlpm.dataRange)),_xlpm.colMatch, _xlfn.XMATCH(TRUE, _xlfn.BYCOL(_xlpm.matchMatrix, _xlfn.LAMBDA(_xlpm.col, OR(_xlpm.col)))),INDEX(_xlpm.headers, _xlpm.colMatch)),"")</f>
        <v/>
      </c>
      <c r="G266" s="1" t="str" cm="1">
        <f t="array" ref="G266">IFERROR(_xlfn.LET(_xlpm.searchText, Tests!$C266,_xlpm.dataRange, 'Rita Quick test'!$B$3:$P$57,_xlpm.headers, 'Rita Quick test'!$B$2:$P$2,_xlpm.matchMatrix, ISNUMBER(SEARCH(_xlpm.searchText, _xlpm.dataRange)),_xlpm.colMatch, _xlfn.XMATCH(TRUE, _xlfn.BYCOL(_xlpm.matchMatrix, _xlfn.LAMBDA(_xlpm.col, OR(_xlpm.col)))),INDEX(_xlpm.headers, _xlpm.colMatch)),"")</f>
        <v/>
      </c>
      <c r="H266" s="1" t="str">
        <f>IFERROR(VLOOKUP("*" &amp; C266 &amp; "*",Terms!D:E,2,FALSE),"")</f>
        <v/>
      </c>
      <c r="I266" s="1" t="str">
        <f>IFERROR(VLOOKUP("*" &amp; C266 &amp; "*",'Terms 2'!B:D,3,FALSE),"")</f>
        <v/>
      </c>
    </row>
    <row r="267" spans="2:9">
      <c r="B267" s="1" t="str">
        <f t="shared" si="4"/>
        <v/>
      </c>
      <c r="C267" s="46" t="s">
        <v>4621</v>
      </c>
      <c r="D267" s="1" t="s">
        <v>4848</v>
      </c>
      <c r="E267" s="1" t="str" cm="1">
        <f t="array" ref="E267">IFERROR(
  _xlfn.LET(
    _xlpm.searchText, Tests!$C267,
    _xlpm.dataRange, ITTO!$B$3:$F$300,
    _xlpm.headers, ITTO!$B$2:$F$2,
    _xlpm.matchMatrix, ISNUMBER(SEARCH(_xlpm.searchText, _xlpm.dataRange)),
    _xlpm.colMatch, _xlfn.XMATCH(TRUE, _xlfn.BYCOL(_xlpm.matchMatrix, _xlfn.LAMBDA(_xlpm.col, OR(_xlpm.col)))),
    INDEX(_xlpm.headers, _xlpm.colMatch)
  ),
  ""
)</f>
        <v/>
      </c>
      <c r="F267" s="1" t="str" cm="1">
        <f t="array" ref="F267">IFERROR(_xlfn.LET(_xlpm.searchText, Tests!$C267,_xlpm.dataRange, PMBOK!$B$3:$F$300,_xlpm.headers, PMBOK!$B$2:$F$2,_xlpm.matchMatrix, ISNUMBER(SEARCH(_xlpm.searchText, _xlpm.dataRange)),_xlpm.colMatch, _xlfn.XMATCH(TRUE, _xlfn.BYCOL(_xlpm.matchMatrix, _xlfn.LAMBDA(_xlpm.col, OR(_xlpm.col)))),INDEX(_xlpm.headers, _xlpm.colMatch)),"")</f>
        <v/>
      </c>
      <c r="G267" s="1" t="str" cm="1">
        <f t="array" ref="G267">IFERROR(_xlfn.LET(_xlpm.searchText, Tests!$C267,_xlpm.dataRange, 'Rita Quick test'!$B$3:$P$57,_xlpm.headers, 'Rita Quick test'!$B$2:$P$2,_xlpm.matchMatrix, ISNUMBER(SEARCH(_xlpm.searchText, _xlpm.dataRange)),_xlpm.colMatch, _xlfn.XMATCH(TRUE, _xlfn.BYCOL(_xlpm.matchMatrix, _xlfn.LAMBDA(_xlpm.col, OR(_xlpm.col)))),INDEX(_xlpm.headers, _xlpm.colMatch)),"")</f>
        <v/>
      </c>
      <c r="H267" s="1" t="str">
        <f>IFERROR(VLOOKUP("*" &amp; C267 &amp; "*",Terms!D:E,2,FALSE),"")</f>
        <v/>
      </c>
      <c r="I267" s="1" t="str">
        <f>IFERROR(VLOOKUP("*" &amp; C267 &amp; "*",'Terms 2'!B:D,3,FALSE),"")</f>
        <v/>
      </c>
    </row>
    <row r="268" spans="2:9">
      <c r="B268" s="1" t="str">
        <f t="shared" si="4"/>
        <v>The project scope statement, scope baseline, and requirements documentation will not include where requirements came from.</v>
      </c>
      <c r="C268" s="47" t="s">
        <v>4621</v>
      </c>
      <c r="D268" s="49" t="s">
        <v>4658</v>
      </c>
      <c r="E268" s="1" t="str" cm="1">
        <f t="array" ref="E268">IFERROR(
  _xlfn.LET(
    _xlpm.searchText, Tests!$C268,
    _xlpm.dataRange, ITTO!$B$3:$F$300,
    _xlpm.headers, ITTO!$B$2:$F$2,
    _xlpm.matchMatrix, ISNUMBER(SEARCH(_xlpm.searchText, _xlpm.dataRange)),
    _xlpm.colMatch, _xlfn.XMATCH(TRUE, _xlfn.BYCOL(_xlpm.matchMatrix, _xlfn.LAMBDA(_xlpm.col, OR(_xlpm.col)))),
    INDEX(_xlpm.headers, _xlpm.colMatch)
  ),
  ""
)</f>
        <v/>
      </c>
      <c r="F268" s="1" t="str" cm="1">
        <f t="array" ref="F268">IFERROR(_xlfn.LET(_xlpm.searchText, Tests!$C268,_xlpm.dataRange, PMBOK!$B$3:$F$300,_xlpm.headers, PMBOK!$B$2:$F$2,_xlpm.matchMatrix, ISNUMBER(SEARCH(_xlpm.searchText, _xlpm.dataRange)),_xlpm.colMatch, _xlfn.XMATCH(TRUE, _xlfn.BYCOL(_xlpm.matchMatrix, _xlfn.LAMBDA(_xlpm.col, OR(_xlpm.col)))),INDEX(_xlpm.headers, _xlpm.colMatch)),"")</f>
        <v/>
      </c>
      <c r="G268" s="1" t="str" cm="1">
        <f t="array" ref="G268">IFERROR(_xlfn.LET(_xlpm.searchText, Tests!$C268,_xlpm.dataRange, 'Rita Quick test'!$B$3:$P$57,_xlpm.headers, 'Rita Quick test'!$B$2:$P$2,_xlpm.matchMatrix, ISNUMBER(SEARCH(_xlpm.searchText, _xlpm.dataRange)),_xlpm.colMatch, _xlfn.XMATCH(TRUE, _xlfn.BYCOL(_xlpm.matchMatrix, _xlfn.LAMBDA(_xlpm.col, OR(_xlpm.col)))),INDEX(_xlpm.headers, _xlpm.colMatch)),"")</f>
        <v/>
      </c>
      <c r="H268" s="1" t="str">
        <f>IFERROR(VLOOKUP("*" &amp; C268 &amp; "*",Terms!D:E,2,FALSE),"")</f>
        <v/>
      </c>
      <c r="I268" s="1" t="str">
        <f>IFERROR(VLOOKUP("*" &amp; C268 &amp; "*",'Terms 2'!B:D,3,FALSE),"")</f>
        <v/>
      </c>
    </row>
    <row r="269" spans="2:9">
      <c r="B269" s="1" t="str">
        <f t="shared" si="4"/>
        <v>The project scope statement includes a list of all the project deliverables as well as any requirements that should be excluded from the scope.</v>
      </c>
      <c r="C269" s="47" t="s">
        <v>4621</v>
      </c>
      <c r="D269" s="49" t="s">
        <v>4913</v>
      </c>
      <c r="E269" s="1" t="str" cm="1">
        <f t="array" ref="E269">IFERROR(
  _xlfn.LET(
    _xlpm.searchText, Tests!$C269,
    _xlpm.dataRange, ITTO!$B$3:$F$300,
    _xlpm.headers, ITTO!$B$2:$F$2,
    _xlpm.matchMatrix, ISNUMBER(SEARCH(_xlpm.searchText, _xlpm.dataRange)),
    _xlpm.colMatch, _xlfn.XMATCH(TRUE, _xlfn.BYCOL(_xlpm.matchMatrix, _xlfn.LAMBDA(_xlpm.col, OR(_xlpm.col)))),
    INDEX(_xlpm.headers, _xlpm.colMatch)
  ),
  ""
)</f>
        <v/>
      </c>
      <c r="F269" s="1" t="str" cm="1">
        <f t="array" ref="F269">IFERROR(_xlfn.LET(_xlpm.searchText, Tests!$C269,_xlpm.dataRange, PMBOK!$B$3:$F$300,_xlpm.headers, PMBOK!$B$2:$F$2,_xlpm.matchMatrix, ISNUMBER(SEARCH(_xlpm.searchText, _xlpm.dataRange)),_xlpm.colMatch, _xlfn.XMATCH(TRUE, _xlfn.BYCOL(_xlpm.matchMatrix, _xlfn.LAMBDA(_xlpm.col, OR(_xlpm.col)))),INDEX(_xlpm.headers, _xlpm.colMatch)),"")</f>
        <v/>
      </c>
      <c r="G269" s="1" t="str" cm="1">
        <f t="array" ref="G269">IFERROR(_xlfn.LET(_xlpm.searchText, Tests!$C269,_xlpm.dataRange, 'Rita Quick test'!$B$3:$P$57,_xlpm.headers, 'Rita Quick test'!$B$2:$P$2,_xlpm.matchMatrix, ISNUMBER(SEARCH(_xlpm.searchText, _xlpm.dataRange)),_xlpm.colMatch, _xlfn.XMATCH(TRUE, _xlfn.BYCOL(_xlpm.matchMatrix, _xlfn.LAMBDA(_xlpm.col, OR(_xlpm.col)))),INDEX(_xlpm.headers, _xlpm.colMatch)),"")</f>
        <v/>
      </c>
      <c r="H269" s="1" t="str">
        <f>IFERROR(VLOOKUP("*" &amp; C269 &amp; "*",Terms!D:E,2,FALSE),"")</f>
        <v/>
      </c>
      <c r="I269" s="1" t="str">
        <f>IFERROR(VLOOKUP("*" &amp; C269 &amp; "*",'Terms 2'!B:D,3,FALSE),"")</f>
        <v/>
      </c>
    </row>
    <row r="270" spans="2:9">
      <c r="B270" s="1" t="str">
        <f t="shared" si="4"/>
        <v>Project team calendar and availability calendar are made-up terms.</v>
      </c>
      <c r="C270" s="47" t="s">
        <v>4594</v>
      </c>
      <c r="D270" s="48" t="s">
        <v>4598</v>
      </c>
      <c r="E270" s="1" t="str" cm="1">
        <f t="array" ref="E270">IFERROR(
  _xlfn.LET(
    _xlpm.searchText, Tests!$C270,
    _xlpm.dataRange, ITTO!$B$3:$F$300,
    _xlpm.headers, ITTO!$B$2:$F$2,
    _xlpm.matchMatrix, ISNUMBER(SEARCH(_xlpm.searchText, _xlpm.dataRange)),
    _xlpm.colMatch, _xlfn.XMATCH(TRUE, _xlfn.BYCOL(_xlpm.matchMatrix, _xlfn.LAMBDA(_xlpm.col, OR(_xlpm.col)))),
    INDEX(_xlpm.headers, _xlpm.colMatch)
  ),
  ""
)</f>
        <v/>
      </c>
      <c r="F270" s="1" t="str" cm="1">
        <f t="array" ref="F270">IFERROR(_xlfn.LET(_xlpm.searchText, Tests!$C270,_xlpm.dataRange, PMBOK!$B$3:$F$300,_xlpm.headers, PMBOK!$B$2:$F$2,_xlpm.matchMatrix, ISNUMBER(SEARCH(_xlpm.searchText, _xlpm.dataRange)),_xlpm.colMatch, _xlfn.XMATCH(TRUE, _xlfn.BYCOL(_xlpm.matchMatrix, _xlfn.LAMBDA(_xlpm.col, OR(_xlpm.col)))),INDEX(_xlpm.headers, _xlpm.colMatch)),"")</f>
        <v/>
      </c>
      <c r="G270" s="1" t="str" cm="1">
        <f t="array" ref="G270">IFERROR(_xlfn.LET(_xlpm.searchText, Tests!$C270,_xlpm.dataRange, 'Rita Quick test'!$B$3:$P$57,_xlpm.headers, 'Rita Quick test'!$B$2:$P$2,_xlpm.matchMatrix, ISNUMBER(SEARCH(_xlpm.searchText, _xlpm.dataRange)),_xlpm.colMatch, _xlfn.XMATCH(TRUE, _xlfn.BYCOL(_xlpm.matchMatrix, _xlfn.LAMBDA(_xlpm.col, OR(_xlpm.col)))),INDEX(_xlpm.headers, _xlpm.colMatch)),"")</f>
        <v/>
      </c>
      <c r="H270" s="1" t="str">
        <f>IFERROR(VLOOKUP("*" &amp; C270 &amp; "*",Terms!D:E,2,FALSE),"")</f>
        <v/>
      </c>
      <c r="I270" s="1" t="str">
        <f>IFERROR(VLOOKUP("*" &amp; C270 &amp; "*",'Terms 2'!B:D,3,FALSE),"")</f>
        <v/>
      </c>
    </row>
    <row r="271" spans="2:9">
      <c r="B271" s="1" t="str">
        <f t="shared" si="4"/>
        <v>A prototype is a functional model of a product given to customers for their feedback.</v>
      </c>
      <c r="C271" s="47" t="s">
        <v>4754</v>
      </c>
      <c r="D271" s="49" t="s">
        <v>4914</v>
      </c>
      <c r="E271" s="1" t="str" cm="1">
        <f t="array" ref="E271">IFERROR(
  _xlfn.LET(
    _xlpm.searchText, Tests!$C271,
    _xlpm.dataRange, ITTO!$B$3:$F$300,
    _xlpm.headers, ITTO!$B$2:$F$2,
    _xlpm.matchMatrix, ISNUMBER(SEARCH(_xlpm.searchText, _xlpm.dataRange)),
    _xlpm.colMatch, _xlfn.XMATCH(TRUE, _xlfn.BYCOL(_xlpm.matchMatrix, _xlfn.LAMBDA(_xlpm.col, OR(_xlpm.col)))),
    INDEX(_xlpm.headers, _xlpm.colMatch)
  ),
  ""
)</f>
        <v/>
      </c>
      <c r="F271" s="1" t="str" cm="1">
        <f t="array" ref="F271">IFERROR(_xlfn.LET(_xlpm.searchText, Tests!$C271,_xlpm.dataRange, PMBOK!$B$3:$F$300,_xlpm.headers, PMBOK!$B$2:$F$2,_xlpm.matchMatrix, ISNUMBER(SEARCH(_xlpm.searchText, _xlpm.dataRange)),_xlpm.colMatch, _xlfn.XMATCH(TRUE, _xlfn.BYCOL(_xlpm.matchMatrix, _xlfn.LAMBDA(_xlpm.col, OR(_xlpm.col)))),INDEX(_xlpm.headers, _xlpm.colMatch)),"")</f>
        <v/>
      </c>
      <c r="G271" s="1" t="str" cm="1">
        <f t="array" ref="G271">IFERROR(_xlfn.LET(_xlpm.searchText, Tests!$C271,_xlpm.dataRange, 'Rita Quick test'!$B$3:$P$57,_xlpm.headers, 'Rita Quick test'!$B$2:$P$2,_xlpm.matchMatrix, ISNUMBER(SEARCH(_xlpm.searchText, _xlpm.dataRange)),_xlpm.colMatch, _xlfn.XMATCH(TRUE, _xlfn.BYCOL(_xlpm.matchMatrix, _xlfn.LAMBDA(_xlpm.col, OR(_xlpm.col)))),INDEX(_xlpm.headers, _xlpm.colMatch)),"")</f>
        <v/>
      </c>
      <c r="H271" s="1" t="str">
        <f>IFERROR(VLOOKUP("*" &amp; C271 &amp; "*",Terms!D:E,2,FALSE),"")</f>
        <v/>
      </c>
      <c r="I271" s="1" t="str">
        <f>IFERROR(VLOOKUP("*" &amp; C271 &amp; "*",'Terms 2'!B:D,3,FALSE),"")</f>
        <v/>
      </c>
    </row>
    <row r="272" spans="2:9">
      <c r="B272" s="1" t="str">
        <f t="shared" si="4"/>
        <v>A qualitative risk process is done to rank the risk that has been identified in the identify risk process.</v>
      </c>
      <c r="C272" s="47" t="s">
        <v>4704</v>
      </c>
      <c r="D272" s="49" t="s">
        <v>4915</v>
      </c>
      <c r="E272" s="1" t="str" cm="1">
        <f t="array" ref="E272">IFERROR(
  _xlfn.LET(
    _xlpm.searchText, Tests!$C272,
    _xlpm.dataRange, ITTO!$B$3:$F$300,
    _xlpm.headers, ITTO!$B$2:$F$2,
    _xlpm.matchMatrix, ISNUMBER(SEARCH(_xlpm.searchText, _xlpm.dataRange)),
    _xlpm.colMatch, _xlfn.XMATCH(TRUE, _xlfn.BYCOL(_xlpm.matchMatrix, _xlfn.LAMBDA(_xlpm.col, OR(_xlpm.col)))),
    INDEX(_xlpm.headers, _xlpm.colMatch)
  ),
  ""
)</f>
        <v/>
      </c>
      <c r="F272" s="1" t="str" cm="1">
        <f t="array" ref="F272">IFERROR(_xlfn.LET(_xlpm.searchText, Tests!$C272,_xlpm.dataRange, PMBOK!$B$3:$F$300,_xlpm.headers, PMBOK!$B$2:$F$2,_xlpm.matchMatrix, ISNUMBER(SEARCH(_xlpm.searchText, _xlpm.dataRange)),_xlpm.colMatch, _xlfn.XMATCH(TRUE, _xlfn.BYCOL(_xlpm.matchMatrix, _xlfn.LAMBDA(_xlpm.col, OR(_xlpm.col)))),INDEX(_xlpm.headers, _xlpm.colMatch)),"")</f>
        <v/>
      </c>
      <c r="G272" s="1" t="str" cm="1">
        <f t="array" ref="G272">IFERROR(_xlfn.LET(_xlpm.searchText, Tests!$C272,_xlpm.dataRange, 'Rita Quick test'!$B$3:$P$57,_xlpm.headers, 'Rita Quick test'!$B$2:$P$2,_xlpm.matchMatrix, ISNUMBER(SEARCH(_xlpm.searchText, _xlpm.dataRange)),_xlpm.colMatch, _xlfn.XMATCH(TRUE, _xlfn.BYCOL(_xlpm.matchMatrix, _xlfn.LAMBDA(_xlpm.col, OR(_xlpm.col)))),INDEX(_xlpm.headers, _xlpm.colMatch)),"")</f>
        <v/>
      </c>
      <c r="H272" s="1" t="str">
        <f>IFERROR(VLOOKUP("*" &amp; C272 &amp; "*",Terms!D:E,2,FALSE),"")</f>
        <v/>
      </c>
      <c r="I272" s="1" t="str">
        <f>IFERROR(VLOOKUP("*" &amp; C272 &amp; "*",'Terms 2'!B:D,3,FALSE),"")</f>
        <v/>
      </c>
    </row>
    <row r="273" spans="2:9">
      <c r="B273" s="1" t="str">
        <f t="shared" si="4"/>
        <v/>
      </c>
      <c r="C273" s="47" t="s">
        <v>4580</v>
      </c>
      <c r="D273" s="1" t="s">
        <v>4848</v>
      </c>
      <c r="E273" s="1" t="str" cm="1">
        <f t="array" ref="E273">IFERROR(
  _xlfn.LET(
    _xlpm.searchText, Tests!$C273,
    _xlpm.dataRange, ITTO!$B$3:$F$300,
    _xlpm.headers, ITTO!$B$2:$F$2,
    _xlpm.matchMatrix, ISNUMBER(SEARCH(_xlpm.searchText, _xlpm.dataRange)),
    _xlpm.colMatch, _xlfn.XMATCH(TRUE, _xlfn.BYCOL(_xlpm.matchMatrix, _xlfn.LAMBDA(_xlpm.col, OR(_xlpm.col)))),
    INDEX(_xlpm.headers, _xlpm.colMatch)
  ),
  ""
)</f>
        <v/>
      </c>
      <c r="F273" s="1" t="str" cm="1">
        <f t="array" ref="F273">IFERROR(_xlfn.LET(_xlpm.searchText, Tests!$C273,_xlpm.dataRange, PMBOK!$B$3:$F$300,_xlpm.headers, PMBOK!$B$2:$F$2,_xlpm.matchMatrix, ISNUMBER(SEARCH(_xlpm.searchText, _xlpm.dataRange)),_xlpm.colMatch, _xlfn.XMATCH(TRUE, _xlfn.BYCOL(_xlpm.matchMatrix, _xlfn.LAMBDA(_xlpm.col, OR(_xlpm.col)))),INDEX(_xlpm.headers, _xlpm.colMatch)),"")</f>
        <v/>
      </c>
      <c r="G273" s="1" t="str" cm="1">
        <f t="array" ref="G273">IFERROR(_xlfn.LET(_xlpm.searchText, Tests!$C273,_xlpm.dataRange, 'Rita Quick test'!$B$3:$P$57,_xlpm.headers, 'Rita Quick test'!$B$2:$P$2,_xlpm.matchMatrix, ISNUMBER(SEARCH(_xlpm.searchText, _xlpm.dataRange)),_xlpm.colMatch, _xlfn.XMATCH(TRUE, _xlfn.BYCOL(_xlpm.matchMatrix, _xlfn.LAMBDA(_xlpm.col, OR(_xlpm.col)))),INDEX(_xlpm.headers, _xlpm.colMatch)),"")</f>
        <v/>
      </c>
      <c r="H273" s="1" t="str">
        <f>IFERROR(VLOOKUP("*" &amp; C273 &amp; "*",Terms!D:E,2,FALSE),"")</f>
        <v/>
      </c>
      <c r="I273" s="1" t="str">
        <f>IFERROR(VLOOKUP("*" &amp; C273 &amp; "*",'Terms 2'!B:D,3,FALSE),"")</f>
        <v/>
      </c>
    </row>
    <row r="274" spans="2:9">
      <c r="B274" s="1" t="str">
        <f t="shared" si="4"/>
        <v>More prevention will lead to less inspection. Quality management is about preventing defects from getting into the hands of the customers.</v>
      </c>
      <c r="C274" s="47" t="s">
        <v>4580</v>
      </c>
      <c r="D274" s="49" t="s">
        <v>4916</v>
      </c>
      <c r="E274" s="1" t="str" cm="1">
        <f t="array" ref="E274">IFERROR(
  _xlfn.LET(
    _xlpm.searchText, Tests!$C274,
    _xlpm.dataRange, ITTO!$B$3:$F$300,
    _xlpm.headers, ITTO!$B$2:$F$2,
    _xlpm.matchMatrix, ISNUMBER(SEARCH(_xlpm.searchText, _xlpm.dataRange)),
    _xlpm.colMatch, _xlfn.XMATCH(TRUE, _xlfn.BYCOL(_xlpm.matchMatrix, _xlfn.LAMBDA(_xlpm.col, OR(_xlpm.col)))),
    INDEX(_xlpm.headers, _xlpm.colMatch)
  ),
  ""
)</f>
        <v/>
      </c>
      <c r="F274" s="1" t="str" cm="1">
        <f t="array" ref="F274">IFERROR(_xlfn.LET(_xlpm.searchText, Tests!$C274,_xlpm.dataRange, PMBOK!$B$3:$F$300,_xlpm.headers, PMBOK!$B$2:$F$2,_xlpm.matchMatrix, ISNUMBER(SEARCH(_xlpm.searchText, _xlpm.dataRange)),_xlpm.colMatch, _xlfn.XMATCH(TRUE, _xlfn.BYCOL(_xlpm.matchMatrix, _xlfn.LAMBDA(_xlpm.col, OR(_xlpm.col)))),INDEX(_xlpm.headers, _xlpm.colMatch)),"")</f>
        <v/>
      </c>
      <c r="G274" s="1" t="str" cm="1">
        <f t="array" ref="G274">IFERROR(_xlfn.LET(_xlpm.searchText, Tests!$C274,_xlpm.dataRange, 'Rita Quick test'!$B$3:$P$57,_xlpm.headers, 'Rita Quick test'!$B$2:$P$2,_xlpm.matchMatrix, ISNUMBER(SEARCH(_xlpm.searchText, _xlpm.dataRange)),_xlpm.colMatch, _xlfn.XMATCH(TRUE, _xlfn.BYCOL(_xlpm.matchMatrix, _xlfn.LAMBDA(_xlpm.col, OR(_xlpm.col)))),INDEX(_xlpm.headers, _xlpm.colMatch)),"")</f>
        <v/>
      </c>
      <c r="H274" s="1" t="str">
        <f>IFERROR(VLOOKUP("*" &amp; C274 &amp; "*",Terms!D:E,2,FALSE),"")</f>
        <v/>
      </c>
      <c r="I274" s="1" t="str">
        <f>IFERROR(VLOOKUP("*" &amp; C274 &amp; "*",'Terms 2'!B:D,3,FALSE),"")</f>
        <v/>
      </c>
    </row>
    <row r="275" spans="2:9">
      <c r="B275" s="1" t="str">
        <f t="shared" si="4"/>
        <v/>
      </c>
      <c r="C275" s="47" t="s">
        <v>4581</v>
      </c>
      <c r="D275" s="1" t="s">
        <v>4848</v>
      </c>
      <c r="E275" s="1" t="str" cm="1">
        <f t="array" ref="E275">IFERROR(
  _xlfn.LET(
    _xlpm.searchText, Tests!$C275,
    _xlpm.dataRange, ITTO!$B$3:$F$300,
    _xlpm.headers, ITTO!$B$2:$F$2,
    _xlpm.matchMatrix, ISNUMBER(SEARCH(_xlpm.searchText, _xlpm.dataRange)),
    _xlpm.colMatch, _xlfn.XMATCH(TRUE, _xlfn.BYCOL(_xlpm.matchMatrix, _xlfn.LAMBDA(_xlpm.col, OR(_xlpm.col)))),
    INDEX(_xlpm.headers, _xlpm.colMatch)
  ),
  ""
)</f>
        <v/>
      </c>
      <c r="F275" s="1" t="str" cm="1">
        <f t="array" ref="F275">IFERROR(_xlfn.LET(_xlpm.searchText, Tests!$C275,_xlpm.dataRange, PMBOK!$B$3:$F$300,_xlpm.headers, PMBOK!$B$2:$F$2,_xlpm.matchMatrix, ISNUMBER(SEARCH(_xlpm.searchText, _xlpm.dataRange)),_xlpm.colMatch, _xlfn.XMATCH(TRUE, _xlfn.BYCOL(_xlpm.matchMatrix, _xlfn.LAMBDA(_xlpm.col, OR(_xlpm.col)))),INDEX(_xlpm.headers, _xlpm.colMatch)),"")</f>
        <v/>
      </c>
      <c r="G275" s="1" t="str" cm="1">
        <f t="array" ref="G275">IFERROR(_xlfn.LET(_xlpm.searchText, Tests!$C275,_xlpm.dataRange, 'Rita Quick test'!$B$3:$P$57,_xlpm.headers, 'Rita Quick test'!$B$2:$P$2,_xlpm.matchMatrix, ISNUMBER(SEARCH(_xlpm.searchText, _xlpm.dataRange)),_xlpm.colMatch, _xlfn.XMATCH(TRUE, _xlfn.BYCOL(_xlpm.matchMatrix, _xlfn.LAMBDA(_xlpm.col, OR(_xlpm.col)))),INDEX(_xlpm.headers, _xlpm.colMatch)),"")</f>
        <v/>
      </c>
      <c r="H275" s="1" t="str">
        <f>IFERROR(VLOOKUP("*" &amp; C275 &amp; "*",Terms!D:E,2,FALSE),"")</f>
        <v/>
      </c>
      <c r="I275" s="1" t="str">
        <f>IFERROR(VLOOKUP("*" &amp; C275 &amp; "*",'Terms 2'!B:D,3,FALSE),"")</f>
        <v/>
      </c>
    </row>
    <row r="276" spans="2:9">
      <c r="B276" s="1" t="str">
        <f t="shared" si="4"/>
        <v>Quantitative risk analysis is done to assign a value to the risk.</v>
      </c>
      <c r="C276" s="47" t="s">
        <v>4705</v>
      </c>
      <c r="D276" s="49" t="s">
        <v>4917</v>
      </c>
      <c r="E276" s="1" t="str" cm="1">
        <f t="array" ref="E276">IFERROR(
  _xlfn.LET(
    _xlpm.searchText, Tests!$C276,
    _xlpm.dataRange, ITTO!$B$3:$F$300,
    _xlpm.headers, ITTO!$B$2:$F$2,
    _xlpm.matchMatrix, ISNUMBER(SEARCH(_xlpm.searchText, _xlpm.dataRange)),
    _xlpm.colMatch, _xlfn.XMATCH(TRUE, _xlfn.BYCOL(_xlpm.matchMatrix, _xlfn.LAMBDA(_xlpm.col, OR(_xlpm.col)))),
    INDEX(_xlpm.headers, _xlpm.colMatch)
  ),
  ""
)</f>
        <v/>
      </c>
      <c r="F276" s="1" t="str" cm="1">
        <f t="array" ref="F276">IFERROR(_xlfn.LET(_xlpm.searchText, Tests!$C276,_xlpm.dataRange, PMBOK!$B$3:$F$300,_xlpm.headers, PMBOK!$B$2:$F$2,_xlpm.matchMatrix, ISNUMBER(SEARCH(_xlpm.searchText, _xlpm.dataRange)),_xlpm.colMatch, _xlfn.XMATCH(TRUE, _xlfn.BYCOL(_xlpm.matchMatrix, _xlfn.LAMBDA(_xlpm.col, OR(_xlpm.col)))),INDEX(_xlpm.headers, _xlpm.colMatch)),"")</f>
        <v/>
      </c>
      <c r="G276" s="1" t="str" cm="1">
        <f t="array" ref="G276">IFERROR(_xlfn.LET(_xlpm.searchText, Tests!$C276,_xlpm.dataRange, 'Rita Quick test'!$B$3:$P$57,_xlpm.headers, 'Rita Quick test'!$B$2:$P$2,_xlpm.matchMatrix, ISNUMBER(SEARCH(_xlpm.searchText, _xlpm.dataRange)),_xlpm.colMatch, _xlfn.XMATCH(TRUE, _xlfn.BYCOL(_xlpm.matchMatrix, _xlfn.LAMBDA(_xlpm.col, OR(_xlpm.col)))),INDEX(_xlpm.headers, _xlpm.colMatch)),"")</f>
        <v/>
      </c>
      <c r="H276" s="1" t="str">
        <f>IFERROR(VLOOKUP("*" &amp; C276 &amp; "*",Terms!D:E,2,FALSE),"")</f>
        <v/>
      </c>
      <c r="I276" s="1" t="str">
        <f>IFERROR(VLOOKUP("*" &amp; C276 &amp; "*",'Terms 2'!B:D,3,FALSE),"")</f>
        <v/>
      </c>
    </row>
    <row r="277" spans="2:9">
      <c r="B277" s="1" t="str">
        <f t="shared" si="4"/>
        <v>Rank risks is not a valid process.</v>
      </c>
      <c r="C277" s="47" t="s">
        <v>4484</v>
      </c>
      <c r="D277" s="49" t="s">
        <v>4486</v>
      </c>
      <c r="E277" s="1" t="str" cm="1">
        <f t="array" ref="E277">IFERROR(
  _xlfn.LET(
    _xlpm.searchText, Tests!$C277,
    _xlpm.dataRange, ITTO!$B$3:$F$300,
    _xlpm.headers, ITTO!$B$2:$F$2,
    _xlpm.matchMatrix, ISNUMBER(SEARCH(_xlpm.searchText, _xlpm.dataRange)),
    _xlpm.colMatch, _xlfn.XMATCH(TRUE, _xlfn.BYCOL(_xlpm.matchMatrix, _xlfn.LAMBDA(_xlpm.col, OR(_xlpm.col)))),
    INDEX(_xlpm.headers, _xlpm.colMatch)
  ),
  ""
)</f>
        <v/>
      </c>
      <c r="F277" s="1" t="str" cm="1">
        <f t="array" ref="F277">IFERROR(_xlfn.LET(_xlpm.searchText, Tests!$C277,_xlpm.dataRange, PMBOK!$B$3:$F$300,_xlpm.headers, PMBOK!$B$2:$F$2,_xlpm.matchMatrix, ISNUMBER(SEARCH(_xlpm.searchText, _xlpm.dataRange)),_xlpm.colMatch, _xlfn.XMATCH(TRUE, _xlfn.BYCOL(_xlpm.matchMatrix, _xlfn.LAMBDA(_xlpm.col, OR(_xlpm.col)))),INDEX(_xlpm.headers, _xlpm.colMatch)),"")</f>
        <v/>
      </c>
      <c r="G277" s="1" t="str" cm="1">
        <f t="array" ref="G277">IFERROR(_xlfn.LET(_xlpm.searchText, Tests!$C277,_xlpm.dataRange, 'Rita Quick test'!$B$3:$P$57,_xlpm.headers, 'Rita Quick test'!$B$2:$P$2,_xlpm.matchMatrix, ISNUMBER(SEARCH(_xlpm.searchText, _xlpm.dataRange)),_xlpm.colMatch, _xlfn.XMATCH(TRUE, _xlfn.BYCOL(_xlpm.matchMatrix, _xlfn.LAMBDA(_xlpm.col, OR(_xlpm.col)))),INDEX(_xlpm.headers, _xlpm.colMatch)),"")</f>
        <v/>
      </c>
      <c r="H277" s="1" t="str">
        <f>IFERROR(VLOOKUP("*" &amp; C277 &amp; "*",Terms!D:E,2,FALSE),"")</f>
        <v/>
      </c>
      <c r="I277" s="1" t="str">
        <f>IFERROR(VLOOKUP("*" &amp; C277 &amp; "*",'Terms 2'!B:D,3,FALSE),"")</f>
        <v/>
      </c>
    </row>
    <row r="278" spans="2:9">
      <c r="B278" s="1" t="str">
        <f t="shared" si="4"/>
        <v>Feedback release is a made-up term.</v>
      </c>
      <c r="C278" s="47" t="s">
        <v>4573</v>
      </c>
      <c r="D278" s="49" t="s">
        <v>4578</v>
      </c>
      <c r="E278" s="1" t="str" cm="1">
        <f t="array" ref="E278">IFERROR(
  _xlfn.LET(
    _xlpm.searchText, Tests!$C278,
    _xlpm.dataRange, ITTO!$B$3:$F$300,
    _xlpm.headers, ITTO!$B$2:$F$2,
    _xlpm.matchMatrix, ISNUMBER(SEARCH(_xlpm.searchText, _xlpm.dataRange)),
    _xlpm.colMatch, _xlfn.XMATCH(TRUE, _xlfn.BYCOL(_xlpm.matchMatrix, _xlfn.LAMBDA(_xlpm.col, OR(_xlpm.col)))),
    INDEX(_xlpm.headers, _xlpm.colMatch)
  ),
  ""
)</f>
        <v/>
      </c>
      <c r="F278" s="1" t="str" cm="1">
        <f t="array" ref="F278">IFERROR(_xlfn.LET(_xlpm.searchText, Tests!$C278,_xlpm.dataRange, PMBOK!$B$3:$F$300,_xlpm.headers, PMBOK!$B$2:$F$2,_xlpm.matchMatrix, ISNUMBER(SEARCH(_xlpm.searchText, _xlpm.dataRange)),_xlpm.colMatch, _xlfn.XMATCH(TRUE, _xlfn.BYCOL(_xlpm.matchMatrix, _xlfn.LAMBDA(_xlpm.col, OR(_xlpm.col)))),INDEX(_xlpm.headers, _xlpm.colMatch)),"")</f>
        <v/>
      </c>
      <c r="G278" s="1" t="str" cm="1">
        <f t="array" ref="G278">IFERROR(_xlfn.LET(_xlpm.searchText, Tests!$C278,_xlpm.dataRange, 'Rita Quick test'!$B$3:$P$57,_xlpm.headers, 'Rita Quick test'!$B$2:$P$2,_xlpm.matchMatrix, ISNUMBER(SEARCH(_xlpm.searchText, _xlpm.dataRange)),_xlpm.colMatch, _xlfn.XMATCH(TRUE, _xlfn.BYCOL(_xlpm.matchMatrix, _xlfn.LAMBDA(_xlpm.col, OR(_xlpm.col)))),INDEX(_xlpm.headers, _xlpm.colMatch)),"")</f>
        <v/>
      </c>
      <c r="H278" s="1" t="str">
        <f>IFERROR(VLOOKUP("*" &amp; C278 &amp; "*",Terms!D:E,2,FALSE),"")</f>
        <v/>
      </c>
      <c r="I278" s="1" t="str">
        <f>IFERROR(VLOOKUP("*" &amp; C278 &amp; "*",'Terms 2'!B:D,3,FALSE),"")</f>
        <v/>
      </c>
    </row>
    <row r="279" spans="2:9">
      <c r="B279" s="1" t="str">
        <f t="shared" si="4"/>
        <v>Lessons learned should be done with the team and not just by the project manager. The steps in closing usually involve conducting the lesson learned, releasing the team, and then writing the final report.</v>
      </c>
      <c r="C279" s="47" t="s">
        <v>4714</v>
      </c>
      <c r="D279" s="48" t="s">
        <v>4717</v>
      </c>
      <c r="E279" s="1" t="str" cm="1">
        <f t="array" ref="E279">IFERROR(
  _xlfn.LET(
    _xlpm.searchText, Tests!$C279,
    _xlpm.dataRange, ITTO!$B$3:$F$300,
    _xlpm.headers, ITTO!$B$2:$F$2,
    _xlpm.matchMatrix, ISNUMBER(SEARCH(_xlpm.searchText, _xlpm.dataRange)),
    _xlpm.colMatch, _xlfn.XMATCH(TRUE, _xlfn.BYCOL(_xlpm.matchMatrix, _xlfn.LAMBDA(_xlpm.col, OR(_xlpm.col)))),
    INDEX(_xlpm.headers, _xlpm.colMatch)
  ),
  ""
)</f>
        <v/>
      </c>
      <c r="F279" s="1" t="str" cm="1">
        <f t="array" ref="F279">IFERROR(_xlfn.LET(_xlpm.searchText, Tests!$C279,_xlpm.dataRange, PMBOK!$B$3:$F$300,_xlpm.headers, PMBOK!$B$2:$F$2,_xlpm.matchMatrix, ISNUMBER(SEARCH(_xlpm.searchText, _xlpm.dataRange)),_xlpm.colMatch, _xlfn.XMATCH(TRUE, _xlfn.BYCOL(_xlpm.matchMatrix, _xlfn.LAMBDA(_xlpm.col, OR(_xlpm.col)))),INDEX(_xlpm.headers, _xlpm.colMatch)),"")</f>
        <v/>
      </c>
      <c r="G279" s="1" t="str" cm="1">
        <f t="array" ref="G279">IFERROR(_xlfn.LET(_xlpm.searchText, Tests!$C279,_xlpm.dataRange, 'Rita Quick test'!$B$3:$P$57,_xlpm.headers, 'Rita Quick test'!$B$2:$P$2,_xlpm.matchMatrix, ISNUMBER(SEARCH(_xlpm.searchText, _xlpm.dataRange)),_xlpm.colMatch, _xlfn.XMATCH(TRUE, _xlfn.BYCOL(_xlpm.matchMatrix, _xlfn.LAMBDA(_xlpm.col, OR(_xlpm.col)))),INDEX(_xlpm.headers, _xlpm.colMatch)),"")</f>
        <v/>
      </c>
      <c r="H279" s="1" t="str">
        <f>IFERROR(VLOOKUP("*" &amp; C279 &amp; "*",Terms!D:E,2,FALSE),"")</f>
        <v/>
      </c>
      <c r="I279" s="1" t="str">
        <f>IFERROR(VLOOKUP("*" &amp; C279 &amp; "*",'Terms 2'!B:D,3,FALSE),"")</f>
        <v/>
      </c>
    </row>
    <row r="280" spans="2:9">
      <c r="B280" s="1" t="str">
        <f t="shared" si="4"/>
        <v/>
      </c>
      <c r="C280" s="47" t="s">
        <v>4756</v>
      </c>
      <c r="D280" s="1" t="s">
        <v>4848</v>
      </c>
      <c r="E280" s="1" t="str" cm="1">
        <f t="array" ref="E280">IFERROR(
  _xlfn.LET(
    _xlpm.searchText, Tests!$C280,
    _xlpm.dataRange, ITTO!$B$3:$F$300,
    _xlpm.headers, ITTO!$B$2:$F$2,
    _xlpm.matchMatrix, ISNUMBER(SEARCH(_xlpm.searchText, _xlpm.dataRange)),
    _xlpm.colMatch, _xlfn.XMATCH(TRUE, _xlfn.BYCOL(_xlpm.matchMatrix, _xlfn.LAMBDA(_xlpm.col, OR(_xlpm.col)))),
    INDEX(_xlpm.headers, _xlpm.colMatch)
  ),
  ""
)</f>
        <v/>
      </c>
      <c r="F280" s="1" t="str" cm="1">
        <f t="array" ref="F280">IFERROR(_xlfn.LET(_xlpm.searchText, Tests!$C280,_xlpm.dataRange, PMBOK!$B$3:$F$300,_xlpm.headers, PMBOK!$B$2:$F$2,_xlpm.matchMatrix, ISNUMBER(SEARCH(_xlpm.searchText, _xlpm.dataRange)),_xlpm.colMatch, _xlfn.XMATCH(TRUE, _xlfn.BYCOL(_xlpm.matchMatrix, _xlfn.LAMBDA(_xlpm.col, OR(_xlpm.col)))),INDEX(_xlpm.headers, _xlpm.colMatch)),"")</f>
        <v/>
      </c>
      <c r="G280" s="1" t="str" cm="1">
        <f t="array" ref="G280">IFERROR(_xlfn.LET(_xlpm.searchText, Tests!$C280,_xlpm.dataRange, 'Rita Quick test'!$B$3:$P$57,_xlpm.headers, 'Rita Quick test'!$B$2:$P$2,_xlpm.matchMatrix, ISNUMBER(SEARCH(_xlpm.searchText, _xlpm.dataRange)),_xlpm.colMatch, _xlfn.XMATCH(TRUE, _xlfn.BYCOL(_xlpm.matchMatrix, _xlfn.LAMBDA(_xlpm.col, OR(_xlpm.col)))),INDEX(_xlpm.headers, _xlpm.colMatch)),"")</f>
        <v/>
      </c>
      <c r="H280" s="1" t="str">
        <f>IFERROR(VLOOKUP("*" &amp; C280 &amp; "*",Terms!D:E,2,FALSE),"")</f>
        <v/>
      </c>
      <c r="I280" s="1" t="str">
        <f>IFERROR(VLOOKUP("*" &amp; C280 &amp; "*",'Terms 2'!B:D,3,FALSE),"")</f>
        <v/>
      </c>
    </row>
    <row r="281" spans="2:9">
      <c r="B281" s="1" t="str">
        <f t="shared" si="4"/>
        <v/>
      </c>
      <c r="C281" s="47" t="s">
        <v>4620</v>
      </c>
      <c r="D281" s="1" t="s">
        <v>4848</v>
      </c>
      <c r="E281" s="1" t="str" cm="1">
        <f t="array" ref="E281">IFERROR(
  _xlfn.LET(
    _xlpm.searchText, Tests!$C281,
    _xlpm.dataRange, ITTO!$B$3:$F$300,
    _xlpm.headers, ITTO!$B$2:$F$2,
    _xlpm.matchMatrix, ISNUMBER(SEARCH(_xlpm.searchText, _xlpm.dataRange)),
    _xlpm.colMatch, _xlfn.XMATCH(TRUE, _xlfn.BYCOL(_xlpm.matchMatrix, _xlfn.LAMBDA(_xlpm.col, OR(_xlpm.col)))),
    INDEX(_xlpm.headers, _xlpm.colMatch)
  ),
  ""
)</f>
        <v/>
      </c>
      <c r="F281" s="1" t="str" cm="1">
        <f t="array" ref="F281">IFERROR(_xlfn.LET(_xlpm.searchText, Tests!$C281,_xlpm.dataRange, PMBOK!$B$3:$F$300,_xlpm.headers, PMBOK!$B$2:$F$2,_xlpm.matchMatrix, ISNUMBER(SEARCH(_xlpm.searchText, _xlpm.dataRange)),_xlpm.colMatch, _xlfn.XMATCH(TRUE, _xlfn.BYCOL(_xlpm.matchMatrix, _xlfn.LAMBDA(_xlpm.col, OR(_xlpm.col)))),INDEX(_xlpm.headers, _xlpm.colMatch)),"")</f>
        <v/>
      </c>
      <c r="G281" s="1" t="str" cm="1">
        <f t="array" ref="G281">IFERROR(_xlfn.LET(_xlpm.searchText, Tests!$C281,_xlpm.dataRange, 'Rita Quick test'!$B$3:$P$57,_xlpm.headers, 'Rita Quick test'!$B$2:$P$2,_xlpm.matchMatrix, ISNUMBER(SEARCH(_xlpm.searchText, _xlpm.dataRange)),_xlpm.colMatch, _xlfn.XMATCH(TRUE, _xlfn.BYCOL(_xlpm.matchMatrix, _xlfn.LAMBDA(_xlpm.col, OR(_xlpm.col)))),INDEX(_xlpm.headers, _xlpm.colMatch)),"")</f>
        <v/>
      </c>
      <c r="H281" s="1" t="str">
        <f>IFERROR(VLOOKUP("*" &amp; C281 &amp; "*",Terms!D:E,2,FALSE),"")</f>
        <v/>
      </c>
      <c r="I281" s="1" t="str">
        <f>IFERROR(VLOOKUP("*" &amp; C281 &amp; "*",'Terms 2'!B:D,3,FALSE),"")</f>
        <v/>
      </c>
    </row>
    <row r="282" spans="2:9">
      <c r="B282" s="1" t="str">
        <f t="shared" si="4"/>
        <v>The project scope statement, scope baseline, and requirements documentation will not include where requirements came from.</v>
      </c>
      <c r="C282" s="47" t="s">
        <v>4620</v>
      </c>
      <c r="D282" s="49" t="s">
        <v>4658</v>
      </c>
      <c r="E282" s="1" t="str" cm="1">
        <f t="array" ref="E282">IFERROR(
  _xlfn.LET(
    _xlpm.searchText, Tests!$C282,
    _xlpm.dataRange, ITTO!$B$3:$F$300,
    _xlpm.headers, ITTO!$B$2:$F$2,
    _xlpm.matchMatrix, ISNUMBER(SEARCH(_xlpm.searchText, _xlpm.dataRange)),
    _xlpm.colMatch, _xlfn.XMATCH(TRUE, _xlfn.BYCOL(_xlpm.matchMatrix, _xlfn.LAMBDA(_xlpm.col, OR(_xlpm.col)))),
    INDEX(_xlpm.headers, _xlpm.colMatch)
  ),
  ""
)</f>
        <v/>
      </c>
      <c r="F282" s="1" t="str" cm="1">
        <f t="array" ref="F282">IFERROR(_xlfn.LET(_xlpm.searchText, Tests!$C282,_xlpm.dataRange, PMBOK!$B$3:$F$300,_xlpm.headers, PMBOK!$B$2:$F$2,_xlpm.matchMatrix, ISNUMBER(SEARCH(_xlpm.searchText, _xlpm.dataRange)),_xlpm.colMatch, _xlfn.XMATCH(TRUE, _xlfn.BYCOL(_xlpm.matchMatrix, _xlfn.LAMBDA(_xlpm.col, OR(_xlpm.col)))),INDEX(_xlpm.headers, _xlpm.colMatch)),"")</f>
        <v/>
      </c>
      <c r="G282" s="1" t="str" cm="1">
        <f t="array" ref="G282">IFERROR(_xlfn.LET(_xlpm.searchText, Tests!$C282,_xlpm.dataRange, 'Rita Quick test'!$B$3:$P$57,_xlpm.headers, 'Rita Quick test'!$B$2:$P$2,_xlpm.matchMatrix, ISNUMBER(SEARCH(_xlpm.searchText, _xlpm.dataRange)),_xlpm.colMatch, _xlfn.XMATCH(TRUE, _xlfn.BYCOL(_xlpm.matchMatrix, _xlfn.LAMBDA(_xlpm.col, OR(_xlpm.col)))),INDEX(_xlpm.headers, _xlpm.colMatch)),"")</f>
        <v/>
      </c>
      <c r="H282" s="1" t="str">
        <f>IFERROR(VLOOKUP("*" &amp; C282 &amp; "*",Terms!D:E,2,FALSE),"")</f>
        <v/>
      </c>
      <c r="I282" s="1" t="str">
        <f>IFERROR(VLOOKUP("*" &amp; C282 &amp; "*",'Terms 2'!B:D,3,FALSE),"")</f>
        <v/>
      </c>
    </row>
    <row r="283" spans="2:9">
      <c r="B283" s="1" t="str">
        <f t="shared" si="4"/>
        <v>The scope statement, requirements traceability matrix, and requirements documentation are generally written before vendors are invited to learn about the project.</v>
      </c>
      <c r="C283" s="47" t="s">
        <v>4620</v>
      </c>
      <c r="D283" s="49" t="s">
        <v>4674</v>
      </c>
      <c r="E283" s="1" t="str" cm="1">
        <f t="array" ref="E283">IFERROR(
  _xlfn.LET(
    _xlpm.searchText, Tests!$C283,
    _xlpm.dataRange, ITTO!$B$3:$F$300,
    _xlpm.headers, ITTO!$B$2:$F$2,
    _xlpm.matchMatrix, ISNUMBER(SEARCH(_xlpm.searchText, _xlpm.dataRange)),
    _xlpm.colMatch, _xlfn.XMATCH(TRUE, _xlfn.BYCOL(_xlpm.matchMatrix, _xlfn.LAMBDA(_xlpm.col, OR(_xlpm.col)))),
    INDEX(_xlpm.headers, _xlpm.colMatch)
  ),
  ""
)</f>
        <v/>
      </c>
      <c r="F283" s="1" t="str" cm="1">
        <f t="array" ref="F283">IFERROR(_xlfn.LET(_xlpm.searchText, Tests!$C283,_xlpm.dataRange, PMBOK!$B$3:$F$300,_xlpm.headers, PMBOK!$B$2:$F$2,_xlpm.matchMatrix, ISNUMBER(SEARCH(_xlpm.searchText, _xlpm.dataRange)),_xlpm.colMatch, _xlfn.XMATCH(TRUE, _xlfn.BYCOL(_xlpm.matchMatrix, _xlfn.LAMBDA(_xlpm.col, OR(_xlpm.col)))),INDEX(_xlpm.headers, _xlpm.colMatch)),"")</f>
        <v/>
      </c>
      <c r="G283" s="1" t="str" cm="1">
        <f t="array" ref="G283">IFERROR(_xlfn.LET(_xlpm.searchText, Tests!$C283,_xlpm.dataRange, 'Rita Quick test'!$B$3:$P$57,_xlpm.headers, 'Rita Quick test'!$B$2:$P$2,_xlpm.matchMatrix, ISNUMBER(SEARCH(_xlpm.searchText, _xlpm.dataRange)),_xlpm.colMatch, _xlfn.XMATCH(TRUE, _xlfn.BYCOL(_xlpm.matchMatrix, _xlfn.LAMBDA(_xlpm.col, OR(_xlpm.col)))),INDEX(_xlpm.headers, _xlpm.colMatch)),"")</f>
        <v/>
      </c>
      <c r="H283" s="1" t="str">
        <f>IFERROR(VLOOKUP("*" &amp; C283 &amp; "*",Terms!D:E,2,FALSE),"")</f>
        <v/>
      </c>
      <c r="I283" s="1" t="str">
        <f>IFERROR(VLOOKUP("*" &amp; C283 &amp; "*",'Terms 2'!B:D,3,FALSE),"")</f>
        <v/>
      </c>
    </row>
    <row r="284" spans="2:9">
      <c r="B284" s="1" t="str">
        <f t="shared" si="4"/>
        <v>The project management plan, accepted deliverables, and requirements documentation are not outputs of the control quality process.</v>
      </c>
      <c r="C284" s="46" t="s">
        <v>4620</v>
      </c>
      <c r="D284" s="49" t="s">
        <v>4703</v>
      </c>
      <c r="E284" s="1" t="str" cm="1">
        <f t="array" ref="E284">IFERROR(
  _xlfn.LET(
    _xlpm.searchText, Tests!$C284,
    _xlpm.dataRange, ITTO!$B$3:$F$300,
    _xlpm.headers, ITTO!$B$2:$F$2,
    _xlpm.matchMatrix, ISNUMBER(SEARCH(_xlpm.searchText, _xlpm.dataRange)),
    _xlpm.colMatch, _xlfn.XMATCH(TRUE, _xlfn.BYCOL(_xlpm.matchMatrix, _xlfn.LAMBDA(_xlpm.col, OR(_xlpm.col)))),
    INDEX(_xlpm.headers, _xlpm.colMatch)
  ),
  ""
)</f>
        <v/>
      </c>
      <c r="F284" s="1" t="str" cm="1">
        <f t="array" ref="F284">IFERROR(_xlfn.LET(_xlpm.searchText, Tests!$C284,_xlpm.dataRange, PMBOK!$B$3:$F$300,_xlpm.headers, PMBOK!$B$2:$F$2,_xlpm.matchMatrix, ISNUMBER(SEARCH(_xlpm.searchText, _xlpm.dataRange)),_xlpm.colMatch, _xlfn.XMATCH(TRUE, _xlfn.BYCOL(_xlpm.matchMatrix, _xlfn.LAMBDA(_xlpm.col, OR(_xlpm.col)))),INDEX(_xlpm.headers, _xlpm.colMatch)),"")</f>
        <v/>
      </c>
      <c r="G284" s="1" t="str" cm="1">
        <f t="array" ref="G284">IFERROR(_xlfn.LET(_xlpm.searchText, Tests!$C284,_xlpm.dataRange, 'Rita Quick test'!$B$3:$P$57,_xlpm.headers, 'Rita Quick test'!$B$2:$P$2,_xlpm.matchMatrix, ISNUMBER(SEARCH(_xlpm.searchText, _xlpm.dataRange)),_xlpm.colMatch, _xlfn.XMATCH(TRUE, _xlfn.BYCOL(_xlpm.matchMatrix, _xlfn.LAMBDA(_xlpm.col, OR(_xlpm.col)))),INDEX(_xlpm.headers, _xlpm.colMatch)),"")</f>
        <v/>
      </c>
      <c r="H284" s="1" t="str">
        <f>IFERROR(VLOOKUP("*" &amp; C284 &amp; "*",Terms!D:E,2,FALSE),"")</f>
        <v/>
      </c>
      <c r="I284" s="1" t="str">
        <f>IFERROR(VLOOKUP("*" &amp; C284 &amp; "*",'Terms 2'!B:D,3,FALSE),"")</f>
        <v/>
      </c>
    </row>
    <row r="285" spans="2:9">
      <c r="B285" s="1" t="str">
        <f t="shared" si="4"/>
        <v>The requirements documentation lists requirements provided by customers that they would like to be done.</v>
      </c>
      <c r="C285" s="47" t="s">
        <v>4620</v>
      </c>
      <c r="D285" s="49" t="s">
        <v>4709</v>
      </c>
      <c r="E285" s="1" t="str" cm="1">
        <f t="array" ref="E285">IFERROR(
  _xlfn.LET(
    _xlpm.searchText, Tests!$C285,
    _xlpm.dataRange, ITTO!$B$3:$F$300,
    _xlpm.headers, ITTO!$B$2:$F$2,
    _xlpm.matchMatrix, ISNUMBER(SEARCH(_xlpm.searchText, _xlpm.dataRange)),
    _xlpm.colMatch, _xlfn.XMATCH(TRUE, _xlfn.BYCOL(_xlpm.matchMatrix, _xlfn.LAMBDA(_xlpm.col, OR(_xlpm.col)))),
    INDEX(_xlpm.headers, _xlpm.colMatch)
  ),
  ""
)</f>
        <v/>
      </c>
      <c r="F285" s="1" t="str" cm="1">
        <f t="array" ref="F285">IFERROR(_xlfn.LET(_xlpm.searchText, Tests!$C285,_xlpm.dataRange, PMBOK!$B$3:$F$300,_xlpm.headers, PMBOK!$B$2:$F$2,_xlpm.matchMatrix, ISNUMBER(SEARCH(_xlpm.searchText, _xlpm.dataRange)),_xlpm.colMatch, _xlfn.XMATCH(TRUE, _xlfn.BYCOL(_xlpm.matchMatrix, _xlfn.LAMBDA(_xlpm.col, OR(_xlpm.col)))),INDEX(_xlpm.headers, _xlpm.colMatch)),"")</f>
        <v/>
      </c>
      <c r="G285" s="1" t="str" cm="1">
        <f t="array" ref="G285">IFERROR(_xlfn.LET(_xlpm.searchText, Tests!$C285,_xlpm.dataRange, 'Rita Quick test'!$B$3:$P$57,_xlpm.headers, 'Rita Quick test'!$B$2:$P$2,_xlpm.matchMatrix, ISNUMBER(SEARCH(_xlpm.searchText, _xlpm.dataRange)),_xlpm.colMatch, _xlfn.XMATCH(TRUE, _xlfn.BYCOL(_xlpm.matchMatrix, _xlfn.LAMBDA(_xlpm.col, OR(_xlpm.col)))),INDEX(_xlpm.headers, _xlpm.colMatch)),"")</f>
        <v/>
      </c>
      <c r="H285" s="1" t="str">
        <f>IFERROR(VLOOKUP("*" &amp; C285 &amp; "*",Terms!D:E,2,FALSE),"")</f>
        <v/>
      </c>
      <c r="I285" s="1" t="str">
        <f>IFERROR(VLOOKUP("*" &amp; C285 &amp; "*",'Terms 2'!B:D,3,FALSE),"")</f>
        <v/>
      </c>
    </row>
    <row r="286" spans="2:9">
      <c r="B286" s="1" t="str">
        <f t="shared" si="4"/>
        <v>The requirements documentation would be the output of the process of collect requirements, not a tool.</v>
      </c>
      <c r="C286" s="47" t="s">
        <v>4752</v>
      </c>
      <c r="D286" s="49" t="s">
        <v>4755</v>
      </c>
      <c r="E286" s="1" t="str" cm="1">
        <f t="array" ref="E286">IFERROR(
  _xlfn.LET(
    _xlpm.searchText, Tests!$C286,
    _xlpm.dataRange, ITTO!$B$3:$F$300,
    _xlpm.headers, ITTO!$B$2:$F$2,
    _xlpm.matchMatrix, ISNUMBER(SEARCH(_xlpm.searchText, _xlpm.dataRange)),
    _xlpm.colMatch, _xlfn.XMATCH(TRUE, _xlfn.BYCOL(_xlpm.matchMatrix, _xlfn.LAMBDA(_xlpm.col, OR(_xlpm.col)))),
    INDEX(_xlpm.headers, _xlpm.colMatch)
  ),
  ""
)</f>
        <v/>
      </c>
      <c r="F286" s="1" t="str" cm="1">
        <f t="array" ref="F286">IFERROR(_xlfn.LET(_xlpm.searchText, Tests!$C286,_xlpm.dataRange, PMBOK!$B$3:$F$300,_xlpm.headers, PMBOK!$B$2:$F$2,_xlpm.matchMatrix, ISNUMBER(SEARCH(_xlpm.searchText, _xlpm.dataRange)),_xlpm.colMatch, _xlfn.XMATCH(TRUE, _xlfn.BYCOL(_xlpm.matchMatrix, _xlfn.LAMBDA(_xlpm.col, OR(_xlpm.col)))),INDEX(_xlpm.headers, _xlpm.colMatch)),"")</f>
        <v/>
      </c>
      <c r="G286" s="1" t="str" cm="1">
        <f t="array" ref="G286">IFERROR(_xlfn.LET(_xlpm.searchText, Tests!$C286,_xlpm.dataRange, 'Rita Quick test'!$B$3:$P$57,_xlpm.headers, 'Rita Quick test'!$B$2:$P$2,_xlpm.matchMatrix, ISNUMBER(SEARCH(_xlpm.searchText, _xlpm.dataRange)),_xlpm.colMatch, _xlfn.XMATCH(TRUE, _xlfn.BYCOL(_xlpm.matchMatrix, _xlfn.LAMBDA(_xlpm.col, OR(_xlpm.col)))),INDEX(_xlpm.headers, _xlpm.colMatch)),"")</f>
        <v/>
      </c>
      <c r="H286" s="1" t="str">
        <f>IFERROR(VLOOKUP("*" &amp; C286 &amp; "*",Terms!D:E,2,FALSE),"")</f>
        <v/>
      </c>
      <c r="I286" s="1" t="str">
        <f>IFERROR(VLOOKUP("*" &amp; C286 &amp; "*",'Terms 2'!B:D,3,FALSE),"")</f>
        <v/>
      </c>
    </row>
    <row r="287" spans="2:9">
      <c r="B287" s="1" t="str">
        <f t="shared" si="4"/>
        <v/>
      </c>
      <c r="C287" s="47" t="s">
        <v>4718</v>
      </c>
      <c r="D287" s="1" t="s">
        <v>4848</v>
      </c>
      <c r="E287" s="1" t="str" cm="1">
        <f t="array" ref="E287">IFERROR(
  _xlfn.LET(
    _xlpm.searchText, Tests!$C287,
    _xlpm.dataRange, ITTO!$B$3:$F$300,
    _xlpm.headers, ITTO!$B$2:$F$2,
    _xlpm.matchMatrix, ISNUMBER(SEARCH(_xlpm.searchText, _xlpm.dataRange)),
    _xlpm.colMatch, _xlfn.XMATCH(TRUE, _xlfn.BYCOL(_xlpm.matchMatrix, _xlfn.LAMBDA(_xlpm.col, OR(_xlpm.col)))),
    INDEX(_xlpm.headers, _xlpm.colMatch)
  ),
  ""
)</f>
        <v/>
      </c>
      <c r="F287" s="1" t="str" cm="1">
        <f t="array" ref="F287">IFERROR(_xlfn.LET(_xlpm.searchText, Tests!$C287,_xlpm.dataRange, PMBOK!$B$3:$F$300,_xlpm.headers, PMBOK!$B$2:$F$2,_xlpm.matchMatrix, ISNUMBER(SEARCH(_xlpm.searchText, _xlpm.dataRange)),_xlpm.colMatch, _xlfn.XMATCH(TRUE, _xlfn.BYCOL(_xlpm.matchMatrix, _xlfn.LAMBDA(_xlpm.col, OR(_xlpm.col)))),INDEX(_xlpm.headers, _xlpm.colMatch)),"")</f>
        <v/>
      </c>
      <c r="G287" s="1" t="str" cm="1">
        <f t="array" ref="G287">IFERROR(_xlfn.LET(_xlpm.searchText, Tests!$C287,_xlpm.dataRange, 'Rita Quick test'!$B$3:$P$57,_xlpm.headers, 'Rita Quick test'!$B$2:$P$2,_xlpm.matchMatrix, ISNUMBER(SEARCH(_xlpm.searchText, _xlpm.dataRange)),_xlpm.colMatch, _xlfn.XMATCH(TRUE, _xlfn.BYCOL(_xlpm.matchMatrix, _xlfn.LAMBDA(_xlpm.col, OR(_xlpm.col)))),INDEX(_xlpm.headers, _xlpm.colMatch)),"")</f>
        <v/>
      </c>
      <c r="H287" s="1" t="str">
        <f>IFERROR(VLOOKUP("*" &amp; C287 &amp; "*",Terms!D:E,2,FALSE),"")</f>
        <v/>
      </c>
      <c r="I287" s="1" t="str">
        <f>IFERROR(VLOOKUP("*" &amp; C287 &amp; "*",'Terms 2'!B:D,3,FALSE),"")</f>
        <v/>
      </c>
    </row>
    <row r="288" spans="2:9">
      <c r="B288" s="1" t="str">
        <f t="shared" si="4"/>
        <v>The requirements traceability matrix will trace the requirements back to their origins. The project scope statement, scope baseline, and requirements documentation will not include where requirements came from.</v>
      </c>
      <c r="C288" s="47" t="s">
        <v>4618</v>
      </c>
      <c r="D288" s="49" t="s">
        <v>4622</v>
      </c>
      <c r="E288" s="1" t="str" cm="1">
        <f t="array" ref="E288">IFERROR(
  _xlfn.LET(
    _xlpm.searchText, Tests!$C288,
    _xlpm.dataRange, ITTO!$B$3:$F$300,
    _xlpm.headers, ITTO!$B$2:$F$2,
    _xlpm.matchMatrix, ISNUMBER(SEARCH(_xlpm.searchText, _xlpm.dataRange)),
    _xlpm.colMatch, _xlfn.XMATCH(TRUE, _xlfn.BYCOL(_xlpm.matchMatrix, _xlfn.LAMBDA(_xlpm.col, OR(_xlpm.col)))),
    INDEX(_xlpm.headers, _xlpm.colMatch)
  ),
  ""
)</f>
        <v/>
      </c>
      <c r="F288" s="1" t="str" cm="1">
        <f t="array" ref="F288">IFERROR(_xlfn.LET(_xlpm.searchText, Tests!$C288,_xlpm.dataRange, PMBOK!$B$3:$F$300,_xlpm.headers, PMBOK!$B$2:$F$2,_xlpm.matchMatrix, ISNUMBER(SEARCH(_xlpm.searchText, _xlpm.dataRange)),_xlpm.colMatch, _xlfn.XMATCH(TRUE, _xlfn.BYCOL(_xlpm.matchMatrix, _xlfn.LAMBDA(_xlpm.col, OR(_xlpm.col)))),INDEX(_xlpm.headers, _xlpm.colMatch)),"")</f>
        <v/>
      </c>
      <c r="G288" s="1" t="str" cm="1">
        <f t="array" ref="G288">IFERROR(_xlfn.LET(_xlpm.searchText, Tests!$C288,_xlpm.dataRange, 'Rita Quick test'!$B$3:$P$57,_xlpm.headers, 'Rita Quick test'!$B$2:$P$2,_xlpm.matchMatrix, ISNUMBER(SEARCH(_xlpm.searchText, _xlpm.dataRange)),_xlpm.colMatch, _xlfn.XMATCH(TRUE, _xlfn.BYCOL(_xlpm.matchMatrix, _xlfn.LAMBDA(_xlpm.col, OR(_xlpm.col)))),INDEX(_xlpm.headers, _xlpm.colMatch)),"")</f>
        <v/>
      </c>
      <c r="H288" s="1" t="str">
        <f>IFERROR(VLOOKUP("*" &amp; C288 &amp; "*",Terms!D:E,2,FALSE),"")</f>
        <v/>
      </c>
      <c r="I288" s="1" t="str">
        <f>IFERROR(VLOOKUP("*" &amp; C288 &amp; "*",'Terms 2'!B:D,3,FALSE),"")</f>
        <v/>
      </c>
    </row>
    <row r="289" spans="2:9">
      <c r="B289" s="1" t="str">
        <f t="shared" si="4"/>
        <v>The requirements traceability matrix will trace the requirements back to their origins.</v>
      </c>
      <c r="C289" s="47" t="s">
        <v>4618</v>
      </c>
      <c r="D289" s="49" t="s">
        <v>4918</v>
      </c>
      <c r="E289" s="1" t="str" cm="1">
        <f t="array" ref="E289">IFERROR(
  _xlfn.LET(
    _xlpm.searchText, Tests!$C289,
    _xlpm.dataRange, ITTO!$B$3:$F$300,
    _xlpm.headers, ITTO!$B$2:$F$2,
    _xlpm.matchMatrix, ISNUMBER(SEARCH(_xlpm.searchText, _xlpm.dataRange)),
    _xlpm.colMatch, _xlfn.XMATCH(TRUE, _xlfn.BYCOL(_xlpm.matchMatrix, _xlfn.LAMBDA(_xlpm.col, OR(_xlpm.col)))),
    INDEX(_xlpm.headers, _xlpm.colMatch)
  ),
  ""
)</f>
        <v/>
      </c>
      <c r="F289" s="1" t="str" cm="1">
        <f t="array" ref="F289">IFERROR(_xlfn.LET(_xlpm.searchText, Tests!$C289,_xlpm.dataRange, PMBOK!$B$3:$F$300,_xlpm.headers, PMBOK!$B$2:$F$2,_xlpm.matchMatrix, ISNUMBER(SEARCH(_xlpm.searchText, _xlpm.dataRange)),_xlpm.colMatch, _xlfn.XMATCH(TRUE, _xlfn.BYCOL(_xlpm.matchMatrix, _xlfn.LAMBDA(_xlpm.col, OR(_xlpm.col)))),INDEX(_xlpm.headers, _xlpm.colMatch)),"")</f>
        <v/>
      </c>
      <c r="G289" s="1" t="str" cm="1">
        <f t="array" ref="G289">IFERROR(_xlfn.LET(_xlpm.searchText, Tests!$C289,_xlpm.dataRange, 'Rita Quick test'!$B$3:$P$57,_xlpm.headers, 'Rita Quick test'!$B$2:$P$2,_xlpm.matchMatrix, ISNUMBER(SEARCH(_xlpm.searchText, _xlpm.dataRange)),_xlpm.colMatch, _xlfn.XMATCH(TRUE, _xlfn.BYCOL(_xlpm.matchMatrix, _xlfn.LAMBDA(_xlpm.col, OR(_xlpm.col)))),INDEX(_xlpm.headers, _xlpm.colMatch)),"")</f>
        <v/>
      </c>
      <c r="H289" s="1" t="str">
        <f>IFERROR(VLOOKUP("*" &amp; C289 &amp; "*",Terms!D:E,2,FALSE),"")</f>
        <v/>
      </c>
      <c r="I289" s="1" t="str">
        <f>IFERROR(VLOOKUP("*" &amp; C289 &amp; "*",'Terms 2'!B:D,3,FALSE),"")</f>
        <v/>
      </c>
    </row>
    <row r="290" spans="2:9">
      <c r="B290" s="1" t="str">
        <f t="shared" si="4"/>
        <v>The scope statement, requirements traceability matrix, and requirements documentation are generally written before vendors are invited to learn about the project.</v>
      </c>
      <c r="C290" s="47" t="s">
        <v>4618</v>
      </c>
      <c r="D290" s="49" t="s">
        <v>4674</v>
      </c>
      <c r="E290" s="1" t="str" cm="1">
        <f t="array" ref="E290">IFERROR(
  _xlfn.LET(
    _xlpm.searchText, Tests!$C290,
    _xlpm.dataRange, ITTO!$B$3:$F$300,
    _xlpm.headers, ITTO!$B$2:$F$2,
    _xlpm.matchMatrix, ISNUMBER(SEARCH(_xlpm.searchText, _xlpm.dataRange)),
    _xlpm.colMatch, _xlfn.XMATCH(TRUE, _xlfn.BYCOL(_xlpm.matchMatrix, _xlfn.LAMBDA(_xlpm.col, OR(_xlpm.col)))),
    INDEX(_xlpm.headers, _xlpm.colMatch)
  ),
  ""
)</f>
        <v/>
      </c>
      <c r="F290" s="1" t="str" cm="1">
        <f t="array" ref="F290">IFERROR(_xlfn.LET(_xlpm.searchText, Tests!$C290,_xlpm.dataRange, PMBOK!$B$3:$F$300,_xlpm.headers, PMBOK!$B$2:$F$2,_xlpm.matchMatrix, ISNUMBER(SEARCH(_xlpm.searchText, _xlpm.dataRange)),_xlpm.colMatch, _xlfn.XMATCH(TRUE, _xlfn.BYCOL(_xlpm.matchMatrix, _xlfn.LAMBDA(_xlpm.col, OR(_xlpm.col)))),INDEX(_xlpm.headers, _xlpm.colMatch)),"")</f>
        <v/>
      </c>
      <c r="G290" s="1" t="str" cm="1">
        <f t="array" ref="G290">IFERROR(_xlfn.LET(_xlpm.searchText, Tests!$C290,_xlpm.dataRange, 'Rita Quick test'!$B$3:$P$57,_xlpm.headers, 'Rita Quick test'!$B$2:$P$2,_xlpm.matchMatrix, ISNUMBER(SEARCH(_xlpm.searchText, _xlpm.dataRange)),_xlpm.colMatch, _xlfn.XMATCH(TRUE, _xlfn.BYCOL(_xlpm.matchMatrix, _xlfn.LAMBDA(_xlpm.col, OR(_xlpm.col)))),INDEX(_xlpm.headers, _xlpm.colMatch)),"")</f>
        <v/>
      </c>
      <c r="H290" s="1" t="str">
        <f>IFERROR(VLOOKUP("*" &amp; C290 &amp; "*",Terms!D:E,2,FALSE),"")</f>
        <v/>
      </c>
      <c r="I290" s="1" t="str">
        <f>IFERROR(VLOOKUP("*" &amp; C290 &amp; "*",'Terms 2'!B:D,3,FALSE),"")</f>
        <v/>
      </c>
    </row>
    <row r="291" spans="2:9">
      <c r="B291" s="1" t="str">
        <f t="shared" si="4"/>
        <v>The resource breakdown structure is a breakdown of the resources by categories or types</v>
      </c>
      <c r="C291" s="47" t="s">
        <v>4422</v>
      </c>
      <c r="D291" s="49" t="s">
        <v>4424</v>
      </c>
      <c r="E291" s="1" t="str" cm="1">
        <f t="array" ref="E291">IFERROR(
  _xlfn.LET(
    _xlpm.searchText, Tests!$C291,
    _xlpm.dataRange, ITTO!$B$3:$F$300,
    _xlpm.headers, ITTO!$B$2:$F$2,
    _xlpm.matchMatrix, ISNUMBER(SEARCH(_xlpm.searchText, _xlpm.dataRange)),
    _xlpm.colMatch, _xlfn.XMATCH(TRUE, _xlfn.BYCOL(_xlpm.matchMatrix, _xlfn.LAMBDA(_xlpm.col, OR(_xlpm.col)))),
    INDEX(_xlpm.headers, _xlpm.colMatch)
  ),
  ""
)</f>
        <v/>
      </c>
      <c r="F291" s="1" t="str" cm="1">
        <f t="array" ref="F291">IFERROR(_xlfn.LET(_xlpm.searchText, Tests!$C291,_xlpm.dataRange, PMBOK!$B$3:$F$300,_xlpm.headers, PMBOK!$B$2:$F$2,_xlpm.matchMatrix, ISNUMBER(SEARCH(_xlpm.searchText, _xlpm.dataRange)),_xlpm.colMatch, _xlfn.XMATCH(TRUE, _xlfn.BYCOL(_xlpm.matchMatrix, _xlfn.LAMBDA(_xlpm.col, OR(_xlpm.col)))),INDEX(_xlpm.headers, _xlpm.colMatch)),"")</f>
        <v/>
      </c>
      <c r="G291" s="1" t="str" cm="1">
        <f t="array" ref="G291">IFERROR(_xlfn.LET(_xlpm.searchText, Tests!$C291,_xlpm.dataRange, 'Rita Quick test'!$B$3:$P$57,_xlpm.headers, 'Rita Quick test'!$B$2:$P$2,_xlpm.matchMatrix, ISNUMBER(SEARCH(_xlpm.searchText, _xlpm.dataRange)),_xlpm.colMatch, _xlfn.XMATCH(TRUE, _xlfn.BYCOL(_xlpm.matchMatrix, _xlfn.LAMBDA(_xlpm.col, OR(_xlpm.col)))),INDEX(_xlpm.headers, _xlpm.colMatch)),"")</f>
        <v/>
      </c>
      <c r="H291" s="1" t="str">
        <f>IFERROR(VLOOKUP("*" &amp; C291 &amp; "*",Terms!D:E,2,FALSE),"")</f>
        <v/>
      </c>
      <c r="I291" s="1" t="str">
        <f>IFERROR(VLOOKUP("*" &amp; C291 &amp; "*",'Terms 2'!B:D,3,FALSE),"")</f>
        <v/>
      </c>
    </row>
    <row r="292" spans="2:9">
      <c r="B292" s="1" t="str">
        <f t="shared" si="4"/>
        <v>The resource calendar shows the availability of resources, both physical and team.</v>
      </c>
      <c r="C292" s="47" t="s">
        <v>4593</v>
      </c>
      <c r="D292" s="49" t="s">
        <v>4919</v>
      </c>
      <c r="E292" s="1" t="str" cm="1">
        <f t="array" ref="E292">IFERROR(
  _xlfn.LET(
    _xlpm.searchText, Tests!$C292,
    _xlpm.dataRange, ITTO!$B$3:$F$300,
    _xlpm.headers, ITTO!$B$2:$F$2,
    _xlpm.matchMatrix, ISNUMBER(SEARCH(_xlpm.searchText, _xlpm.dataRange)),
    _xlpm.colMatch, _xlfn.XMATCH(TRUE, _xlfn.BYCOL(_xlpm.matchMatrix, _xlfn.LAMBDA(_xlpm.col, OR(_xlpm.col)))),
    INDEX(_xlpm.headers, _xlpm.colMatch)
  ),
  ""
)</f>
        <v/>
      </c>
      <c r="F292" s="1" t="str" cm="1">
        <f t="array" ref="F292">IFERROR(_xlfn.LET(_xlpm.searchText, Tests!$C292,_xlpm.dataRange, PMBOK!$B$3:$F$300,_xlpm.headers, PMBOK!$B$2:$F$2,_xlpm.matchMatrix, ISNUMBER(SEARCH(_xlpm.searchText, _xlpm.dataRange)),_xlpm.colMatch, _xlfn.XMATCH(TRUE, _xlfn.BYCOL(_xlpm.matchMatrix, _xlfn.LAMBDA(_xlpm.col, OR(_xlpm.col)))),INDEX(_xlpm.headers, _xlpm.colMatch)),"")</f>
        <v/>
      </c>
      <c r="G292" s="1" t="str" cm="1">
        <f t="array" ref="G292">IFERROR(_xlfn.LET(_xlpm.searchText, Tests!$C292,_xlpm.dataRange, 'Rita Quick test'!$B$3:$P$57,_xlpm.headers, 'Rita Quick test'!$B$2:$P$2,_xlpm.matchMatrix, ISNUMBER(SEARCH(_xlpm.searchText, _xlpm.dataRange)),_xlpm.colMatch, _xlfn.XMATCH(TRUE, _xlfn.BYCOL(_xlpm.matchMatrix, _xlfn.LAMBDA(_xlpm.col, OR(_xlpm.col)))),INDEX(_xlpm.headers, _xlpm.colMatch)),"")</f>
        <v/>
      </c>
      <c r="H292" s="1" t="str">
        <f>IFERROR(VLOOKUP("*" &amp; C292 &amp; "*",Terms!D:E,2,FALSE),"")</f>
        <v/>
      </c>
      <c r="I292" s="1" t="str">
        <f>IFERROR(VLOOKUP("*" &amp; C292 &amp; "*",'Terms 2'!B:D,3,FALSE),"")</f>
        <v/>
      </c>
    </row>
    <row r="293" spans="2:9">
      <c r="B293" s="1" t="str">
        <f t="shared" si="4"/>
        <v>The resource register and resource category matrix are made-up terms.</v>
      </c>
      <c r="C293" s="47" t="s">
        <v>4421</v>
      </c>
      <c r="D293" s="48" t="s">
        <v>4425</v>
      </c>
      <c r="E293" s="1" t="str" cm="1">
        <f t="array" ref="E293">IFERROR(
  _xlfn.LET(
    _xlpm.searchText, Tests!$C293,
    _xlpm.dataRange, ITTO!$B$3:$F$300,
    _xlpm.headers, ITTO!$B$2:$F$2,
    _xlpm.matchMatrix, ISNUMBER(SEARCH(_xlpm.searchText, _xlpm.dataRange)),
    _xlpm.colMatch, _xlfn.XMATCH(TRUE, _xlfn.BYCOL(_xlpm.matchMatrix, _xlfn.LAMBDA(_xlpm.col, OR(_xlpm.col)))),
    INDEX(_xlpm.headers, _xlpm.colMatch)
  ),
  ""
)</f>
        <v/>
      </c>
      <c r="F293" s="1" t="str" cm="1">
        <f t="array" ref="F293">IFERROR(_xlfn.LET(_xlpm.searchText, Tests!$C293,_xlpm.dataRange, PMBOK!$B$3:$F$300,_xlpm.headers, PMBOK!$B$2:$F$2,_xlpm.matchMatrix, ISNUMBER(SEARCH(_xlpm.searchText, _xlpm.dataRange)),_xlpm.colMatch, _xlfn.XMATCH(TRUE, _xlfn.BYCOL(_xlpm.matchMatrix, _xlfn.LAMBDA(_xlpm.col, OR(_xlpm.col)))),INDEX(_xlpm.headers, _xlpm.colMatch)),"")</f>
        <v/>
      </c>
      <c r="G293" s="1" t="str" cm="1">
        <f t="array" ref="G293">IFERROR(_xlfn.LET(_xlpm.searchText, Tests!$C293,_xlpm.dataRange, 'Rita Quick test'!$B$3:$P$57,_xlpm.headers, 'Rita Quick test'!$B$2:$P$2,_xlpm.matchMatrix, ISNUMBER(SEARCH(_xlpm.searchText, _xlpm.dataRange)),_xlpm.colMatch, _xlfn.XMATCH(TRUE, _xlfn.BYCOL(_xlpm.matchMatrix, _xlfn.LAMBDA(_xlpm.col, OR(_xlpm.col)))),INDEX(_xlpm.headers, _xlpm.colMatch)),"")</f>
        <v/>
      </c>
      <c r="H293" s="1" t="str">
        <f>IFERROR(VLOOKUP("*" &amp; C293 &amp; "*",Terms!D:E,2,FALSE),"")</f>
        <v/>
      </c>
      <c r="I293" s="1" t="str">
        <f>IFERROR(VLOOKUP("*" &amp; C293 &amp; "*",'Terms 2'!B:D,3,FALSE),"")</f>
        <v/>
      </c>
    </row>
    <row r="294" spans="2:9">
      <c r="B294" s="1" t="str">
        <f t="shared" si="4"/>
        <v>Fast tracking and resource leveling generally do not increase costs.</v>
      </c>
      <c r="C294" s="47" t="s">
        <v>4537</v>
      </c>
      <c r="D294" s="49" t="s">
        <v>4880</v>
      </c>
      <c r="E294" s="1" t="str" cm="1">
        <f t="array" ref="E294">IFERROR(
  _xlfn.LET(
    _xlpm.searchText, Tests!$C294,
    _xlpm.dataRange, ITTO!$B$3:$F$300,
    _xlpm.headers, ITTO!$B$2:$F$2,
    _xlpm.matchMatrix, ISNUMBER(SEARCH(_xlpm.searchText, _xlpm.dataRange)),
    _xlpm.colMatch, _xlfn.XMATCH(TRUE, _xlfn.BYCOL(_xlpm.matchMatrix, _xlfn.LAMBDA(_xlpm.col, OR(_xlpm.col)))),
    INDEX(_xlpm.headers, _xlpm.colMatch)
  ),
  ""
)</f>
        <v/>
      </c>
      <c r="F294" s="1" t="str" cm="1">
        <f t="array" ref="F294">IFERROR(_xlfn.LET(_xlpm.searchText, Tests!$C294,_xlpm.dataRange, PMBOK!$B$3:$F$300,_xlpm.headers, PMBOK!$B$2:$F$2,_xlpm.matchMatrix, ISNUMBER(SEARCH(_xlpm.searchText, _xlpm.dataRange)),_xlpm.colMatch, _xlfn.XMATCH(TRUE, _xlfn.BYCOL(_xlpm.matchMatrix, _xlfn.LAMBDA(_xlpm.col, OR(_xlpm.col)))),INDEX(_xlpm.headers, _xlpm.colMatch)),"")</f>
        <v/>
      </c>
      <c r="G294" s="1" t="str" cm="1">
        <f t="array" ref="G294">IFERROR(_xlfn.LET(_xlpm.searchText, Tests!$C294,_xlpm.dataRange, 'Rita Quick test'!$B$3:$P$57,_xlpm.headers, 'Rita Quick test'!$B$2:$P$2,_xlpm.matchMatrix, ISNUMBER(SEARCH(_xlpm.searchText, _xlpm.dataRange)),_xlpm.colMatch, _xlfn.XMATCH(TRUE, _xlfn.BYCOL(_xlpm.matchMatrix, _xlfn.LAMBDA(_xlpm.col, OR(_xlpm.col)))),INDEX(_xlpm.headers, _xlpm.colMatch)),"")</f>
        <v/>
      </c>
      <c r="H294" s="1" t="str">
        <f>IFERROR(VLOOKUP("*" &amp; C294 &amp; "*",Terms!D:E,2,FALSE),"")</f>
        <v/>
      </c>
      <c r="I294" s="1" t="str">
        <f>IFERROR(VLOOKUP("*" &amp; C294 &amp; "*",'Terms 2'!B:D,3,FALSE),"")</f>
        <v/>
      </c>
    </row>
    <row r="295" spans="2:9">
      <c r="B295" s="1" t="str">
        <f t="shared" si="4"/>
        <v>Resource leveling is a technique used when resources are limited or over-allocated. Resource leveling ensures that no resource is assigned to more than one activity at a time, ensuring that no resource is overworked.</v>
      </c>
      <c r="C295" s="47" t="s">
        <v>4537</v>
      </c>
      <c r="D295" s="49" t="s">
        <v>4920</v>
      </c>
      <c r="E295" s="1" t="str" cm="1">
        <f t="array" ref="E295">IFERROR(
  _xlfn.LET(
    _xlpm.searchText, Tests!$C295,
    _xlpm.dataRange, ITTO!$B$3:$F$300,
    _xlpm.headers, ITTO!$B$2:$F$2,
    _xlpm.matchMatrix, ISNUMBER(SEARCH(_xlpm.searchText, _xlpm.dataRange)),
    _xlpm.colMatch, _xlfn.XMATCH(TRUE, _xlfn.BYCOL(_xlpm.matchMatrix, _xlfn.LAMBDA(_xlpm.col, OR(_xlpm.col)))),
    INDEX(_xlpm.headers, _xlpm.colMatch)
  ),
  ""
)</f>
        <v/>
      </c>
      <c r="F295" s="1" t="str" cm="1">
        <f t="array" ref="F295">IFERROR(_xlfn.LET(_xlpm.searchText, Tests!$C295,_xlpm.dataRange, PMBOK!$B$3:$F$300,_xlpm.headers, PMBOK!$B$2:$F$2,_xlpm.matchMatrix, ISNUMBER(SEARCH(_xlpm.searchText, _xlpm.dataRange)),_xlpm.colMatch, _xlfn.XMATCH(TRUE, _xlfn.BYCOL(_xlpm.matchMatrix, _xlfn.LAMBDA(_xlpm.col, OR(_xlpm.col)))),INDEX(_xlpm.headers, _xlpm.colMatch)),"")</f>
        <v/>
      </c>
      <c r="G295" s="1" t="str" cm="1">
        <f t="array" ref="G295">IFERROR(_xlfn.LET(_xlpm.searchText, Tests!$C295,_xlpm.dataRange, 'Rita Quick test'!$B$3:$P$57,_xlpm.headers, 'Rita Quick test'!$B$2:$P$2,_xlpm.matchMatrix, ISNUMBER(SEARCH(_xlpm.searchText, _xlpm.dataRange)),_xlpm.colMatch, _xlfn.XMATCH(TRUE, _xlfn.BYCOL(_xlpm.matchMatrix, _xlfn.LAMBDA(_xlpm.col, OR(_xlpm.col)))),INDEX(_xlpm.headers, _xlpm.colMatch)),"")</f>
        <v/>
      </c>
      <c r="H295" s="1" t="str">
        <f>IFERROR(VLOOKUP("*" &amp; C295 &amp; "*",Terms!D:E,2,FALSE),"")</f>
        <v/>
      </c>
      <c r="I295" s="1" t="str">
        <f>IFERROR(VLOOKUP("*" &amp; C295 &amp; "*",'Terms 2'!B:D,3,FALSE),"")</f>
        <v/>
      </c>
    </row>
    <row r="296" spans="2:9">
      <c r="B296" s="1" t="str">
        <f t="shared" si="4"/>
        <v>The resource register and resource category matrix are made-up terms.</v>
      </c>
      <c r="C296" s="47" t="s">
        <v>4423</v>
      </c>
      <c r="D296" s="48" t="s">
        <v>4425</v>
      </c>
      <c r="E296" s="1" t="str" cm="1">
        <f t="array" ref="E296">IFERROR(
  _xlfn.LET(
    _xlpm.searchText, Tests!$C296,
    _xlpm.dataRange, ITTO!$B$3:$F$300,
    _xlpm.headers, ITTO!$B$2:$F$2,
    _xlpm.matchMatrix, ISNUMBER(SEARCH(_xlpm.searchText, _xlpm.dataRange)),
    _xlpm.colMatch, _xlfn.XMATCH(TRUE, _xlfn.BYCOL(_xlpm.matchMatrix, _xlfn.LAMBDA(_xlpm.col, OR(_xlpm.col)))),
    INDEX(_xlpm.headers, _xlpm.colMatch)
  ),
  ""
)</f>
        <v/>
      </c>
      <c r="F296" s="1" t="str" cm="1">
        <f t="array" ref="F296">IFERROR(_xlfn.LET(_xlpm.searchText, Tests!$C296,_xlpm.dataRange, PMBOK!$B$3:$F$300,_xlpm.headers, PMBOK!$B$2:$F$2,_xlpm.matchMatrix, ISNUMBER(SEARCH(_xlpm.searchText, _xlpm.dataRange)),_xlpm.colMatch, _xlfn.XMATCH(TRUE, _xlfn.BYCOL(_xlpm.matchMatrix, _xlfn.LAMBDA(_xlpm.col, OR(_xlpm.col)))),INDEX(_xlpm.headers, _xlpm.colMatch)),"")</f>
        <v/>
      </c>
      <c r="G296" s="1" t="str" cm="1">
        <f t="array" ref="G296">IFERROR(_xlfn.LET(_xlpm.searchText, Tests!$C296,_xlpm.dataRange, 'Rita Quick test'!$B$3:$P$57,_xlpm.headers, 'Rita Quick test'!$B$2:$P$2,_xlpm.matchMatrix, ISNUMBER(SEARCH(_xlpm.searchText, _xlpm.dataRange)),_xlpm.colMatch, _xlfn.XMATCH(TRUE, _xlfn.BYCOL(_xlpm.matchMatrix, _xlfn.LAMBDA(_xlpm.col, OR(_xlpm.col)))),INDEX(_xlpm.headers, _xlpm.colMatch)),"")</f>
        <v/>
      </c>
      <c r="H296" s="1" t="str">
        <f>IFERROR(VLOOKUP("*" &amp; C296 &amp; "*",Terms!D:E,2,FALSE),"")</f>
        <v/>
      </c>
      <c r="I296" s="1" t="str">
        <f>IFERROR(VLOOKUP("*" &amp; C296 &amp; "*",'Terms 2'!B:D,3,FALSE),"")</f>
        <v/>
      </c>
    </row>
    <row r="297" spans="2:9">
      <c r="B297" s="1" t="str">
        <f t="shared" si="4"/>
        <v>The resource requirements describe all the resources needed to complete an activity.</v>
      </c>
      <c r="C297" s="46" t="s">
        <v>4333</v>
      </c>
      <c r="D297" s="49" t="s">
        <v>4921</v>
      </c>
      <c r="E297" s="1" t="str" cm="1">
        <f t="array" ref="E297">IFERROR(
  _xlfn.LET(
    _xlpm.searchText, Tests!$C297,
    _xlpm.dataRange, ITTO!$B$3:$F$300,
    _xlpm.headers, ITTO!$B$2:$F$2,
    _xlpm.matchMatrix, ISNUMBER(SEARCH(_xlpm.searchText, _xlpm.dataRange)),
    _xlpm.colMatch, _xlfn.XMATCH(TRUE, _xlfn.BYCOL(_xlpm.matchMatrix, _xlfn.LAMBDA(_xlpm.col, OR(_xlpm.col)))),
    INDEX(_xlpm.headers, _xlpm.colMatch)
  ),
  ""
)</f>
        <v>Plan</v>
      </c>
      <c r="F297" s="1" t="str" cm="1">
        <f t="array" ref="F297">IFERROR(_xlfn.LET(_xlpm.searchText, Tests!$C297,_xlpm.dataRange, PMBOK!$B$3:$F$300,_xlpm.headers, PMBOK!$B$2:$F$2,_xlpm.matchMatrix, ISNUMBER(SEARCH(_xlpm.searchText, _xlpm.dataRange)),_xlpm.colMatch, _xlfn.XMATCH(TRUE, _xlfn.BYCOL(_xlpm.matchMatrix, _xlfn.LAMBDA(_xlpm.col, OR(_xlpm.col)))),INDEX(_xlpm.headers, _xlpm.colMatch)),"")</f>
        <v/>
      </c>
      <c r="G297" s="1" t="str" cm="1">
        <f t="array" ref="G297">IFERROR(_xlfn.LET(_xlpm.searchText, Tests!$C297,_xlpm.dataRange, 'Rita Quick test'!$B$3:$P$57,_xlpm.headers, 'Rita Quick test'!$B$2:$P$2,_xlpm.matchMatrix, ISNUMBER(SEARCH(_xlpm.searchText, _xlpm.dataRange)),_xlpm.colMatch, _xlfn.XMATCH(TRUE, _xlfn.BYCOL(_xlpm.matchMatrix, _xlfn.LAMBDA(_xlpm.col, OR(_xlpm.col)))),INDEX(_xlpm.headers, _xlpm.colMatch)),"")</f>
        <v/>
      </c>
      <c r="H297" s="1" t="str">
        <f>IFERROR(VLOOKUP("*" &amp; C297 &amp; "*",Terms!D:E,2,FALSE),"")</f>
        <v/>
      </c>
      <c r="I297" s="1" t="str">
        <f>IFERROR(VLOOKUP("*" &amp; C297 &amp; "*",'Terms 2'!B:D,3,FALSE),"")</f>
        <v/>
      </c>
    </row>
    <row r="298" spans="2:9">
      <c r="B298" s="1" t="str">
        <f t="shared" si="4"/>
        <v>Resource smoothing may accomplish the same task, but it only works if there is slack available on the activities.</v>
      </c>
      <c r="C298" s="47" t="s">
        <v>4545</v>
      </c>
      <c r="D298" s="49" t="s">
        <v>4922</v>
      </c>
      <c r="E298" s="1" t="str" cm="1">
        <f t="array" ref="E298">IFERROR(
  _xlfn.LET(
    _xlpm.searchText, Tests!$C298,
    _xlpm.dataRange, ITTO!$B$3:$F$300,
    _xlpm.headers, ITTO!$B$2:$F$2,
    _xlpm.matchMatrix, ISNUMBER(SEARCH(_xlpm.searchText, _xlpm.dataRange)),
    _xlpm.colMatch, _xlfn.XMATCH(TRUE, _xlfn.BYCOL(_xlpm.matchMatrix, _xlfn.LAMBDA(_xlpm.col, OR(_xlpm.col)))),
    INDEX(_xlpm.headers, _xlpm.colMatch)
  ),
  ""
)</f>
        <v/>
      </c>
      <c r="F298" s="1" t="str" cm="1">
        <f t="array" ref="F298">IFERROR(_xlfn.LET(_xlpm.searchText, Tests!$C298,_xlpm.dataRange, PMBOK!$B$3:$F$300,_xlpm.headers, PMBOK!$B$2:$F$2,_xlpm.matchMatrix, ISNUMBER(SEARCH(_xlpm.searchText, _xlpm.dataRange)),_xlpm.colMatch, _xlfn.XMATCH(TRUE, _xlfn.BYCOL(_xlpm.matchMatrix, _xlfn.LAMBDA(_xlpm.col, OR(_xlpm.col)))),INDEX(_xlpm.headers, _xlpm.colMatch)),"")</f>
        <v/>
      </c>
      <c r="G298" s="1" t="str" cm="1">
        <f t="array" ref="G298">IFERROR(_xlfn.LET(_xlpm.searchText, Tests!$C298,_xlpm.dataRange, 'Rita Quick test'!$B$3:$P$57,_xlpm.headers, 'Rita Quick test'!$B$2:$P$2,_xlpm.matchMatrix, ISNUMBER(SEARCH(_xlpm.searchText, _xlpm.dataRange)),_xlpm.colMatch, _xlfn.XMATCH(TRUE, _xlfn.BYCOL(_xlpm.matchMatrix, _xlfn.LAMBDA(_xlpm.col, OR(_xlpm.col)))),INDEX(_xlpm.headers, _xlpm.colMatch)),"")</f>
        <v>Schedule</v>
      </c>
      <c r="H298" s="1" t="str">
        <f>IFERROR(VLOOKUP("*" &amp; C298 &amp; "*",Terms!D:E,2,FALSE),"")</f>
        <v/>
      </c>
      <c r="I298" s="1" t="str">
        <f>IFERROR(VLOOKUP("*" &amp; C298 &amp; "*",'Terms 2'!B:D,3,FALSE),"")</f>
        <v/>
      </c>
    </row>
    <row r="299" spans="2:9">
      <c r="B299" s="1" t="str">
        <f t="shared" si="4"/>
        <v>The Change Control Board has already denied the change, so there is no need to perform additional analyses or resubmit it.</v>
      </c>
      <c r="C299" s="47" t="s">
        <v>4746</v>
      </c>
      <c r="D299" s="49" t="s">
        <v>4748</v>
      </c>
      <c r="E299" s="1" t="str" cm="1">
        <f t="array" ref="E299">IFERROR(
  _xlfn.LET(
    _xlpm.searchText, Tests!$C299,
    _xlpm.dataRange, ITTO!$B$3:$F$300,
    _xlpm.headers, ITTO!$B$2:$F$2,
    _xlpm.matchMatrix, ISNUMBER(SEARCH(_xlpm.searchText, _xlpm.dataRange)),
    _xlpm.colMatch, _xlfn.XMATCH(TRUE, _xlfn.BYCOL(_xlpm.matchMatrix, _xlfn.LAMBDA(_xlpm.col, OR(_xlpm.col)))),
    INDEX(_xlpm.headers, _xlpm.colMatch)
  ),
  ""
)</f>
        <v/>
      </c>
      <c r="F299" s="1" t="str" cm="1">
        <f t="array" ref="F299">IFERROR(_xlfn.LET(_xlpm.searchText, Tests!$C299,_xlpm.dataRange, PMBOK!$B$3:$F$300,_xlpm.headers, PMBOK!$B$2:$F$2,_xlpm.matchMatrix, ISNUMBER(SEARCH(_xlpm.searchText, _xlpm.dataRange)),_xlpm.colMatch, _xlfn.XMATCH(TRUE, _xlfn.BYCOL(_xlpm.matchMatrix, _xlfn.LAMBDA(_xlpm.col, OR(_xlpm.col)))),INDEX(_xlpm.headers, _xlpm.colMatch)),"")</f>
        <v/>
      </c>
      <c r="G299" s="1" t="str" cm="1">
        <f t="array" ref="G299">IFERROR(_xlfn.LET(_xlpm.searchText, Tests!$C299,_xlpm.dataRange, 'Rita Quick test'!$B$3:$P$57,_xlpm.headers, 'Rita Quick test'!$B$2:$P$2,_xlpm.matchMatrix, ISNUMBER(SEARCH(_xlpm.searchText, _xlpm.dataRange)),_xlpm.colMatch, _xlfn.XMATCH(TRUE, _xlfn.BYCOL(_xlpm.matchMatrix, _xlfn.LAMBDA(_xlpm.col, OR(_xlpm.col)))),INDEX(_xlpm.headers, _xlpm.colMatch)),"")</f>
        <v/>
      </c>
      <c r="H299" s="1" t="str">
        <f>IFERROR(VLOOKUP("*" &amp; C299 &amp; "*",Terms!D:E,2,FALSE),"")</f>
        <v/>
      </c>
      <c r="I299" s="1" t="str">
        <f>IFERROR(VLOOKUP("*" &amp; C299 &amp; "*",'Terms 2'!B:D,3,FALSE),"")</f>
        <v/>
      </c>
    </row>
    <row r="300" spans="2:9">
      <c r="B300" s="1" t="str">
        <f t="shared" si="4"/>
        <v>A retrospective is done after each iteration so the team can reflect and plan improvements for the next iteration.</v>
      </c>
      <c r="C300" s="47" t="s">
        <v>3165</v>
      </c>
      <c r="D300" s="48" t="s">
        <v>4586</v>
      </c>
      <c r="E300" s="1" t="str" cm="1">
        <f t="array" ref="E300">IFERROR(
  _xlfn.LET(
    _xlpm.searchText, Tests!$C300,
    _xlpm.dataRange, ITTO!$B$3:$F$300,
    _xlpm.headers, ITTO!$B$2:$F$2,
    _xlpm.matchMatrix, ISNUMBER(SEARCH(_xlpm.searchText, _xlpm.dataRange)),
    _xlpm.colMatch, _xlfn.XMATCH(TRUE, _xlfn.BYCOL(_xlpm.matchMatrix, _xlfn.LAMBDA(_xlpm.col, OR(_xlpm.col)))),
    INDEX(_xlpm.headers, _xlpm.colMatch)
  ),
  ""
)</f>
        <v/>
      </c>
      <c r="F300" s="1" t="str" cm="1">
        <f t="array" ref="F300">IFERROR(_xlfn.LET(_xlpm.searchText, Tests!$C300,_xlpm.dataRange, PMBOK!$B$3:$F$300,_xlpm.headers, PMBOK!$B$2:$F$2,_xlpm.matchMatrix, ISNUMBER(SEARCH(_xlpm.searchText, _xlpm.dataRange)),_xlpm.colMatch, _xlfn.XMATCH(TRUE, _xlfn.BYCOL(_xlpm.matchMatrix, _xlfn.LAMBDA(_xlpm.col, OR(_xlpm.col)))),INDEX(_xlpm.headers, _xlpm.colMatch)),"")</f>
        <v/>
      </c>
      <c r="G300" s="1" t="str" cm="1">
        <f t="array" ref="G300">IFERROR(_xlfn.LET(_xlpm.searchText, Tests!$C300,_xlpm.dataRange, 'Rita Quick test'!$B$3:$P$57,_xlpm.headers, 'Rita Quick test'!$B$2:$P$2,_xlpm.matchMatrix, ISNUMBER(SEARCH(_xlpm.searchText, _xlpm.dataRange)),_xlpm.colMatch, _xlfn.XMATCH(TRUE, _xlfn.BYCOL(_xlpm.matchMatrix, _xlfn.LAMBDA(_xlpm.col, OR(_xlpm.col)))),INDEX(_xlpm.headers, _xlpm.colMatch)),"")</f>
        <v>Communications</v>
      </c>
      <c r="H300" s="1" t="str">
        <f>IFERROR(VLOOKUP("*" &amp; C300 &amp; "*",Terms!D:E,2,FALSE),"")</f>
        <v/>
      </c>
      <c r="I300" s="1" t="str">
        <f>IFERROR(VLOOKUP("*" &amp; C300 &amp; "*",'Terms 2'!B:D,3,FALSE),"")</f>
        <v xml:space="preserve"> A regularly occurring workshop in which participants explore their work and results in order to improve both the process and product</v>
      </c>
    </row>
    <row r="301" spans="2:9">
      <c r="B301" s="1" t="str">
        <f t="shared" si="4"/>
        <v>A retrospective is conducted to capture the lessons learned from the sprint.</v>
      </c>
      <c r="C301" s="47" t="s">
        <v>4574</v>
      </c>
      <c r="D301" s="49" t="s">
        <v>4923</v>
      </c>
      <c r="E301" s="1" t="str" cm="1">
        <f t="array" ref="E301">IFERROR(
  _xlfn.LET(
    _xlpm.searchText, Tests!$C301,
    _xlpm.dataRange, ITTO!$B$3:$F$300,
    _xlpm.headers, ITTO!$B$2:$F$2,
    _xlpm.matchMatrix, ISNUMBER(SEARCH(_xlpm.searchText, _xlpm.dataRange)),
    _xlpm.colMatch, _xlfn.XMATCH(TRUE, _xlfn.BYCOL(_xlpm.matchMatrix, _xlfn.LAMBDA(_xlpm.col, OR(_xlpm.col)))),
    INDEX(_xlpm.headers, _xlpm.colMatch)
  ),
  ""
)</f>
        <v/>
      </c>
      <c r="F301" s="1" t="str" cm="1">
        <f t="array" ref="F301">IFERROR(_xlfn.LET(_xlpm.searchText, Tests!$C301,_xlpm.dataRange, PMBOK!$B$3:$F$300,_xlpm.headers, PMBOK!$B$2:$F$2,_xlpm.matchMatrix, ISNUMBER(SEARCH(_xlpm.searchText, _xlpm.dataRange)),_xlpm.colMatch, _xlfn.XMATCH(TRUE, _xlfn.BYCOL(_xlpm.matchMatrix, _xlfn.LAMBDA(_xlpm.col, OR(_xlpm.col)))),INDEX(_xlpm.headers, _xlpm.colMatch)),"")</f>
        <v/>
      </c>
      <c r="G301" s="1" t="str" cm="1">
        <f t="array" ref="G301">IFERROR(_xlfn.LET(_xlpm.searchText, Tests!$C301,_xlpm.dataRange, 'Rita Quick test'!$B$3:$P$57,_xlpm.headers, 'Rita Quick test'!$B$2:$P$2,_xlpm.matchMatrix, ISNUMBER(SEARCH(_xlpm.searchText, _xlpm.dataRange)),_xlpm.colMatch, _xlfn.XMATCH(TRUE, _xlfn.BYCOL(_xlpm.matchMatrix, _xlfn.LAMBDA(_xlpm.col, OR(_xlpm.col)))),INDEX(_xlpm.headers, _xlpm.colMatch)),"")</f>
        <v/>
      </c>
      <c r="H301" s="1" t="str">
        <f>IFERROR(VLOOKUP("*" &amp; C301 &amp; "*",Terms!D:E,2,FALSE),"")</f>
        <v/>
      </c>
      <c r="I301" s="1" t="str">
        <f>IFERROR(VLOOKUP("*" &amp; C301 &amp; "*",'Terms 2'!B:D,3,FALSE),"")</f>
        <v/>
      </c>
    </row>
    <row r="302" spans="2:9">
      <c r="B302" s="1" t="str">
        <f t="shared" si="4"/>
        <v/>
      </c>
      <c r="C302" s="47" t="s">
        <v>4564</v>
      </c>
      <c r="D302" s="1" t="s">
        <v>4848</v>
      </c>
      <c r="E302" s="1" t="str" cm="1">
        <f t="array" ref="E302">IFERROR(
  _xlfn.LET(
    _xlpm.searchText, Tests!$C302,
    _xlpm.dataRange, ITTO!$B$3:$F$300,
    _xlpm.headers, ITTO!$B$2:$F$2,
    _xlpm.matchMatrix, ISNUMBER(SEARCH(_xlpm.searchText, _xlpm.dataRange)),
    _xlpm.colMatch, _xlfn.XMATCH(TRUE, _xlfn.BYCOL(_xlpm.matchMatrix, _xlfn.LAMBDA(_xlpm.col, OR(_xlpm.col)))),
    INDEX(_xlpm.headers, _xlpm.colMatch)
  ),
  ""
)</f>
        <v/>
      </c>
      <c r="F302" s="1" t="str" cm="1">
        <f t="array" ref="F302">IFERROR(_xlfn.LET(_xlpm.searchText, Tests!$C302,_xlpm.dataRange, PMBOK!$B$3:$F$300,_xlpm.headers, PMBOK!$B$2:$F$2,_xlpm.matchMatrix, ISNUMBER(SEARCH(_xlpm.searchText, _xlpm.dataRange)),_xlpm.colMatch, _xlfn.XMATCH(TRUE, _xlfn.BYCOL(_xlpm.matchMatrix, _xlfn.LAMBDA(_xlpm.col, OR(_xlpm.col)))),INDEX(_xlpm.headers, _xlpm.colMatch)),"")</f>
        <v/>
      </c>
      <c r="G302" s="1" t="str" cm="1">
        <f t="array" ref="G302">IFERROR(_xlfn.LET(_xlpm.searchText, Tests!$C302,_xlpm.dataRange, 'Rita Quick test'!$B$3:$P$57,_xlpm.headers, 'Rita Quick test'!$B$2:$P$2,_xlpm.matchMatrix, ISNUMBER(SEARCH(_xlpm.searchText, _xlpm.dataRange)),_xlpm.colMatch, _xlfn.XMATCH(TRUE, _xlfn.BYCOL(_xlpm.matchMatrix, _xlfn.LAMBDA(_xlpm.col, OR(_xlpm.col)))),INDEX(_xlpm.headers, _xlpm.colMatch)),"")</f>
        <v/>
      </c>
      <c r="H302" s="1" t="str">
        <f>IFERROR(VLOOKUP("*" &amp; C302 &amp; "*",Terms!D:E,2,FALSE),"")</f>
        <v/>
      </c>
      <c r="I302" s="1" t="str">
        <f>IFERROR(VLOOKUP("*" &amp; C302 &amp; "*",'Terms 2'!B:D,3,FALSE),"")</f>
        <v/>
      </c>
    </row>
    <row r="303" spans="2:9">
      <c r="B303" s="1" t="str">
        <f t="shared" si="4"/>
        <v/>
      </c>
      <c r="C303" s="47" t="s">
        <v>4687</v>
      </c>
      <c r="D303" s="1" t="s">
        <v>4848</v>
      </c>
      <c r="E303" s="1" t="str" cm="1">
        <f t="array" ref="E303">IFERROR(
  _xlfn.LET(
    _xlpm.searchText, Tests!$C303,
    _xlpm.dataRange, ITTO!$B$3:$F$300,
    _xlpm.headers, ITTO!$B$2:$F$2,
    _xlpm.matchMatrix, ISNUMBER(SEARCH(_xlpm.searchText, _xlpm.dataRange)),
    _xlpm.colMatch, _xlfn.XMATCH(TRUE, _xlfn.BYCOL(_xlpm.matchMatrix, _xlfn.LAMBDA(_xlpm.col, OR(_xlpm.col)))),
    INDEX(_xlpm.headers, _xlpm.colMatch)
  ),
  ""
)</f>
        <v/>
      </c>
      <c r="F303" s="1" t="str" cm="1">
        <f t="array" ref="F303">IFERROR(_xlfn.LET(_xlpm.searchText, Tests!$C303,_xlpm.dataRange, PMBOK!$B$3:$F$300,_xlpm.headers, PMBOK!$B$2:$F$2,_xlpm.matchMatrix, ISNUMBER(SEARCH(_xlpm.searchText, _xlpm.dataRange)),_xlpm.colMatch, _xlfn.XMATCH(TRUE, _xlfn.BYCOL(_xlpm.matchMatrix, _xlfn.LAMBDA(_xlpm.col, OR(_xlpm.col)))),INDEX(_xlpm.headers, _xlpm.colMatch)),"")</f>
        <v/>
      </c>
      <c r="G303" s="1" t="str" cm="1">
        <f t="array" ref="G303">IFERROR(_xlfn.LET(_xlpm.searchText, Tests!$C303,_xlpm.dataRange, 'Rita Quick test'!$B$3:$P$57,_xlpm.headers, 'Rita Quick test'!$B$2:$P$2,_xlpm.matchMatrix, ISNUMBER(SEARCH(_xlpm.searchText, _xlpm.dataRange)),_xlpm.colMatch, _xlfn.XMATCH(TRUE, _xlfn.BYCOL(_xlpm.matchMatrix, _xlfn.LAMBDA(_xlpm.col, OR(_xlpm.col)))),INDEX(_xlpm.headers, _xlpm.colMatch)),"")</f>
        <v/>
      </c>
      <c r="H303" s="1" t="str">
        <f>IFERROR(VLOOKUP("*" &amp; C303 &amp; "*",Terms!D:E,2,FALSE),"")</f>
        <v/>
      </c>
      <c r="I303" s="1" t="str">
        <f>IFERROR(VLOOKUP("*" &amp; C303 &amp; "*",'Terms 2'!B:D,3,FALSE),"")</f>
        <v/>
      </c>
    </row>
    <row r="304" spans="2:9">
      <c r="B304" s="1" t="str">
        <f t="shared" si="4"/>
        <v>The risk register is not graphical.</v>
      </c>
      <c r="C304" s="47" t="s">
        <v>4459</v>
      </c>
      <c r="D304" s="49" t="s">
        <v>4924</v>
      </c>
      <c r="E304" s="1" t="str" cm="1">
        <f t="array" ref="E304">IFERROR(
  _xlfn.LET(
    _xlpm.searchText, Tests!$C304,
    _xlpm.dataRange, ITTO!$B$3:$F$300,
    _xlpm.headers, ITTO!$B$2:$F$2,
    _xlpm.matchMatrix, ISNUMBER(SEARCH(_xlpm.searchText, _xlpm.dataRange)),
    _xlpm.colMatch, _xlfn.XMATCH(TRUE, _xlfn.BYCOL(_xlpm.matchMatrix, _xlfn.LAMBDA(_xlpm.col, OR(_xlpm.col)))),
    INDEX(_xlpm.headers, _xlpm.colMatch)
  ),
  ""
)</f>
        <v/>
      </c>
      <c r="F304" s="1" t="str" cm="1">
        <f t="array" ref="F304">IFERROR(_xlfn.LET(_xlpm.searchText, Tests!$C304,_xlpm.dataRange, PMBOK!$B$3:$F$300,_xlpm.headers, PMBOK!$B$2:$F$2,_xlpm.matchMatrix, ISNUMBER(SEARCH(_xlpm.searchText, _xlpm.dataRange)),_xlpm.colMatch, _xlfn.XMATCH(TRUE, _xlfn.BYCOL(_xlpm.matchMatrix, _xlfn.LAMBDA(_xlpm.col, OR(_xlpm.col)))),INDEX(_xlpm.headers, _xlpm.colMatch)),"")</f>
        <v/>
      </c>
      <c r="G304" s="1" t="str" cm="1">
        <f t="array" ref="G304">IFERROR(_xlfn.LET(_xlpm.searchText, Tests!$C304,_xlpm.dataRange, 'Rita Quick test'!$B$3:$P$57,_xlpm.headers, 'Rita Quick test'!$B$2:$P$2,_xlpm.matchMatrix, ISNUMBER(SEARCH(_xlpm.searchText, _xlpm.dataRange)),_xlpm.colMatch, _xlfn.XMATCH(TRUE, _xlfn.BYCOL(_xlpm.matchMatrix, _xlfn.LAMBDA(_xlpm.col, OR(_xlpm.col)))),INDEX(_xlpm.headers, _xlpm.colMatch)),"")</f>
        <v/>
      </c>
      <c r="H304" s="1" t="str">
        <f>IFERROR(VLOOKUP("*" &amp; C304 &amp; "*",Terms!D:E,2,FALSE),"")</f>
        <v/>
      </c>
      <c r="I304" s="1" t="str">
        <f>IFERROR(VLOOKUP("*" &amp; C304 &amp; "*",'Terms 2'!B:D,3,FALSE),"")</f>
        <v/>
      </c>
    </row>
    <row r="305" spans="2:9">
      <c r="B305" s="1" t="str">
        <f t="shared" si="4"/>
        <v>This question describes a positive risk, which is known as an opportunity, and this is added to the risk register.</v>
      </c>
      <c r="C305" s="47" t="s">
        <v>4459</v>
      </c>
      <c r="D305" s="49" t="s">
        <v>4925</v>
      </c>
      <c r="E305" s="1" t="str" cm="1">
        <f t="array" ref="E305">IFERROR(
  _xlfn.LET(
    _xlpm.searchText, Tests!$C305,
    _xlpm.dataRange, ITTO!$B$3:$F$300,
    _xlpm.headers, ITTO!$B$2:$F$2,
    _xlpm.matchMatrix, ISNUMBER(SEARCH(_xlpm.searchText, _xlpm.dataRange)),
    _xlpm.colMatch, _xlfn.XMATCH(TRUE, _xlfn.BYCOL(_xlpm.matchMatrix, _xlfn.LAMBDA(_xlpm.col, OR(_xlpm.col)))),
    INDEX(_xlpm.headers, _xlpm.colMatch)
  ),
  ""
)</f>
        <v/>
      </c>
      <c r="F305" s="1" t="str" cm="1">
        <f t="array" ref="F305">IFERROR(_xlfn.LET(_xlpm.searchText, Tests!$C305,_xlpm.dataRange, PMBOK!$B$3:$F$300,_xlpm.headers, PMBOK!$B$2:$F$2,_xlpm.matchMatrix, ISNUMBER(SEARCH(_xlpm.searchText, _xlpm.dataRange)),_xlpm.colMatch, _xlfn.XMATCH(TRUE, _xlfn.BYCOL(_xlpm.matchMatrix, _xlfn.LAMBDA(_xlpm.col, OR(_xlpm.col)))),INDEX(_xlpm.headers, _xlpm.colMatch)),"")</f>
        <v/>
      </c>
      <c r="G305" s="1" t="str" cm="1">
        <f t="array" ref="G305">IFERROR(_xlfn.LET(_xlpm.searchText, Tests!$C305,_xlpm.dataRange, 'Rita Quick test'!$B$3:$P$57,_xlpm.headers, 'Rita Quick test'!$B$2:$P$2,_xlpm.matchMatrix, ISNUMBER(SEARCH(_xlpm.searchText, _xlpm.dataRange)),_xlpm.colMatch, _xlfn.XMATCH(TRUE, _xlfn.BYCOL(_xlpm.matchMatrix, _xlfn.LAMBDA(_xlpm.col, OR(_xlpm.col)))),INDEX(_xlpm.headers, _xlpm.colMatch)),"")</f>
        <v/>
      </c>
      <c r="H305" s="1" t="str">
        <f>IFERROR(VLOOKUP("*" &amp; C305 &amp; "*",Terms!D:E,2,FALSE),"")</f>
        <v/>
      </c>
      <c r="I305" s="1" t="str">
        <f>IFERROR(VLOOKUP("*" &amp; C305 &amp; "*",'Terms 2'!B:D,3,FALSE),"")</f>
        <v/>
      </c>
    </row>
    <row r="306" spans="2:9">
      <c r="B306" s="1" t="str">
        <f t="shared" si="4"/>
        <v>The risk register is used to list all the risks that can affect the project and how the project team would respond to them.</v>
      </c>
      <c r="C306" s="47" t="s">
        <v>4459</v>
      </c>
      <c r="D306" s="49" t="s">
        <v>4926</v>
      </c>
      <c r="E306" s="1" t="str" cm="1">
        <f t="array" ref="E306">IFERROR(
  _xlfn.LET(
    _xlpm.searchText, Tests!$C306,
    _xlpm.dataRange, ITTO!$B$3:$F$300,
    _xlpm.headers, ITTO!$B$2:$F$2,
    _xlpm.matchMatrix, ISNUMBER(SEARCH(_xlpm.searchText, _xlpm.dataRange)),
    _xlpm.colMatch, _xlfn.XMATCH(TRUE, _xlfn.BYCOL(_xlpm.matchMatrix, _xlfn.LAMBDA(_xlpm.col, OR(_xlpm.col)))),
    INDEX(_xlpm.headers, _xlpm.colMatch)
  ),
  ""
)</f>
        <v/>
      </c>
      <c r="F306" s="1" t="str" cm="1">
        <f t="array" ref="F306">IFERROR(_xlfn.LET(_xlpm.searchText, Tests!$C306,_xlpm.dataRange, PMBOK!$B$3:$F$300,_xlpm.headers, PMBOK!$B$2:$F$2,_xlpm.matchMatrix, ISNUMBER(SEARCH(_xlpm.searchText, _xlpm.dataRange)),_xlpm.colMatch, _xlfn.XMATCH(TRUE, _xlfn.BYCOL(_xlpm.matchMatrix, _xlfn.LAMBDA(_xlpm.col, OR(_xlpm.col)))),INDEX(_xlpm.headers, _xlpm.colMatch)),"")</f>
        <v/>
      </c>
      <c r="G306" s="1" t="str" cm="1">
        <f t="array" ref="G306">IFERROR(_xlfn.LET(_xlpm.searchText, Tests!$C306,_xlpm.dataRange, 'Rita Quick test'!$B$3:$P$57,_xlpm.headers, 'Rita Quick test'!$B$2:$P$2,_xlpm.matchMatrix, ISNUMBER(SEARCH(_xlpm.searchText, _xlpm.dataRange)),_xlpm.colMatch, _xlfn.XMATCH(TRUE, _xlfn.BYCOL(_xlpm.matchMatrix, _xlfn.LAMBDA(_xlpm.col, OR(_xlpm.col)))),INDEX(_xlpm.headers, _xlpm.colMatch)),"")</f>
        <v/>
      </c>
      <c r="H306" s="1" t="str">
        <f>IFERROR(VLOOKUP("*" &amp; C306 &amp; "*",Terms!D:E,2,FALSE),"")</f>
        <v/>
      </c>
      <c r="I306" s="1" t="str">
        <f>IFERROR(VLOOKUP("*" &amp; C306 &amp; "*",'Terms 2'!B:D,3,FALSE),"")</f>
        <v/>
      </c>
    </row>
    <row r="307" spans="2:9">
      <c r="B307" s="1" t="str">
        <f t="shared" si="4"/>
        <v>The risk register keeps track of the risk on the project.</v>
      </c>
      <c r="C307" s="47" t="s">
        <v>4459</v>
      </c>
      <c r="D307" s="49" t="s">
        <v>4927</v>
      </c>
      <c r="E307" s="1" t="str" cm="1">
        <f t="array" ref="E307">IFERROR(
  _xlfn.LET(
    _xlpm.searchText, Tests!$C307,
    _xlpm.dataRange, ITTO!$B$3:$F$300,
    _xlpm.headers, ITTO!$B$2:$F$2,
    _xlpm.matchMatrix, ISNUMBER(SEARCH(_xlpm.searchText, _xlpm.dataRange)),
    _xlpm.colMatch, _xlfn.XMATCH(TRUE, _xlfn.BYCOL(_xlpm.matchMatrix, _xlfn.LAMBDA(_xlpm.col, OR(_xlpm.col)))),
    INDEX(_xlpm.headers, _xlpm.colMatch)
  ),
  ""
)</f>
        <v/>
      </c>
      <c r="F307" s="1" t="str" cm="1">
        <f t="array" ref="F307">IFERROR(_xlfn.LET(_xlpm.searchText, Tests!$C307,_xlpm.dataRange, PMBOK!$B$3:$F$300,_xlpm.headers, PMBOK!$B$2:$F$2,_xlpm.matchMatrix, ISNUMBER(SEARCH(_xlpm.searchText, _xlpm.dataRange)),_xlpm.colMatch, _xlfn.XMATCH(TRUE, _xlfn.BYCOL(_xlpm.matchMatrix, _xlfn.LAMBDA(_xlpm.col, OR(_xlpm.col)))),INDEX(_xlpm.headers, _xlpm.colMatch)),"")</f>
        <v/>
      </c>
      <c r="G307" s="1" t="str" cm="1">
        <f t="array" ref="G307">IFERROR(_xlfn.LET(_xlpm.searchText, Tests!$C307,_xlpm.dataRange, 'Rita Quick test'!$B$3:$P$57,_xlpm.headers, 'Rita Quick test'!$B$2:$P$2,_xlpm.matchMatrix, ISNUMBER(SEARCH(_xlpm.searchText, _xlpm.dataRange)),_xlpm.colMatch, _xlfn.XMATCH(TRUE, _xlfn.BYCOL(_xlpm.matchMatrix, _xlfn.LAMBDA(_xlpm.col, OR(_xlpm.col)))),INDEX(_xlpm.headers, _xlpm.colMatch)),"")</f>
        <v/>
      </c>
      <c r="H307" s="1" t="str">
        <f>IFERROR(VLOOKUP("*" &amp; C307 &amp; "*",Terms!D:E,2,FALSE),"")</f>
        <v/>
      </c>
      <c r="I307" s="1" t="str">
        <f>IFERROR(VLOOKUP("*" &amp; C307 &amp; "*",'Terms 2'!B:D,3,FALSE),"")</f>
        <v/>
      </c>
    </row>
    <row r="308" spans="2:9">
      <c r="B308" s="1" t="str">
        <f t="shared" si="4"/>
        <v>Risk summary charts is a made-up term.</v>
      </c>
      <c r="C308" s="47" t="s">
        <v>4458</v>
      </c>
      <c r="D308" s="48" t="s">
        <v>4462</v>
      </c>
      <c r="E308" s="1" t="str" cm="1">
        <f t="array" ref="E308">IFERROR(
  _xlfn.LET(
    _xlpm.searchText, Tests!$C308,
    _xlpm.dataRange, ITTO!$B$3:$F$300,
    _xlpm.headers, ITTO!$B$2:$F$2,
    _xlpm.matchMatrix, ISNUMBER(SEARCH(_xlpm.searchText, _xlpm.dataRange)),
    _xlpm.colMatch, _xlfn.XMATCH(TRUE, _xlfn.BYCOL(_xlpm.matchMatrix, _xlfn.LAMBDA(_xlpm.col, OR(_xlpm.col)))),
    INDEX(_xlpm.headers, _xlpm.colMatch)
  ),
  ""
)</f>
        <v/>
      </c>
      <c r="F308" s="1" t="str" cm="1">
        <f t="array" ref="F308">IFERROR(_xlfn.LET(_xlpm.searchText, Tests!$C308,_xlpm.dataRange, PMBOK!$B$3:$F$300,_xlpm.headers, PMBOK!$B$2:$F$2,_xlpm.matchMatrix, ISNUMBER(SEARCH(_xlpm.searchText, _xlpm.dataRange)),_xlpm.colMatch, _xlfn.XMATCH(TRUE, _xlfn.BYCOL(_xlpm.matchMatrix, _xlfn.LAMBDA(_xlpm.col, OR(_xlpm.col)))),INDEX(_xlpm.headers, _xlpm.colMatch)),"")</f>
        <v/>
      </c>
      <c r="G308" s="1" t="str" cm="1">
        <f t="array" ref="G308">IFERROR(_xlfn.LET(_xlpm.searchText, Tests!$C308,_xlpm.dataRange, 'Rita Quick test'!$B$3:$P$57,_xlpm.headers, 'Rita Quick test'!$B$2:$P$2,_xlpm.matchMatrix, ISNUMBER(SEARCH(_xlpm.searchText, _xlpm.dataRange)),_xlpm.colMatch, _xlfn.XMATCH(TRUE, _xlfn.BYCOL(_xlpm.matchMatrix, _xlfn.LAMBDA(_xlpm.col, OR(_xlpm.col)))),INDEX(_xlpm.headers, _xlpm.colMatch)),"")</f>
        <v/>
      </c>
      <c r="H308" s="1" t="str">
        <f>IFERROR(VLOOKUP("*" &amp; C308 &amp; "*",Terms!D:E,2,FALSE),"")</f>
        <v/>
      </c>
      <c r="I308" s="1" t="str">
        <f>IFERROR(VLOOKUP("*" &amp; C308 &amp; "*",'Terms 2'!B:D,3,FALSE),"")</f>
        <v/>
      </c>
    </row>
    <row r="309" spans="2:9">
      <c r="B309" s="1" t="str">
        <f t="shared" si="4"/>
        <v/>
      </c>
      <c r="C309" s="47" t="s">
        <v>4636</v>
      </c>
      <c r="D309" s="1" t="s">
        <v>4848</v>
      </c>
      <c r="E309" s="1" t="str" cm="1">
        <f t="array" ref="E309">IFERROR(
  _xlfn.LET(
    _xlpm.searchText, Tests!$C309,
    _xlpm.dataRange, ITTO!$B$3:$F$300,
    _xlpm.headers, ITTO!$B$2:$F$2,
    _xlpm.matchMatrix, ISNUMBER(SEARCH(_xlpm.searchText, _xlpm.dataRange)),
    _xlpm.colMatch, _xlfn.XMATCH(TRUE, _xlfn.BYCOL(_xlpm.matchMatrix, _xlfn.LAMBDA(_xlpm.col, OR(_xlpm.col)))),
    INDEX(_xlpm.headers, _xlpm.colMatch)
  ),
  ""
)</f>
        <v/>
      </c>
      <c r="F309" s="1" t="str" cm="1">
        <f t="array" ref="F309">IFERROR(_xlfn.LET(_xlpm.searchText, Tests!$C309,_xlpm.dataRange, PMBOK!$B$3:$F$300,_xlpm.headers, PMBOK!$B$2:$F$2,_xlpm.matchMatrix, ISNUMBER(SEARCH(_xlpm.searchText, _xlpm.dataRange)),_xlpm.colMatch, _xlfn.XMATCH(TRUE, _xlfn.BYCOL(_xlpm.matchMatrix, _xlfn.LAMBDA(_xlpm.col, OR(_xlpm.col)))),INDEX(_xlpm.headers, _xlpm.colMatch)),"")</f>
        <v/>
      </c>
      <c r="G309" s="1" t="str" cm="1">
        <f t="array" ref="G309">IFERROR(_xlfn.LET(_xlpm.searchText, Tests!$C309,_xlpm.dataRange, 'Rita Quick test'!$B$3:$P$57,_xlpm.headers, 'Rita Quick test'!$B$2:$P$2,_xlpm.matchMatrix, ISNUMBER(SEARCH(_xlpm.searchText, _xlpm.dataRange)),_xlpm.colMatch, _xlfn.XMATCH(TRUE, _xlfn.BYCOL(_xlpm.matchMatrix, _xlfn.LAMBDA(_xlpm.col, OR(_xlpm.col)))),INDEX(_xlpm.headers, _xlpm.colMatch)),"")</f>
        <v/>
      </c>
      <c r="H309" s="1" t="str">
        <f>IFERROR(VLOOKUP("*" &amp; C309 &amp; "*",Terms!D:E,2,FALSE),"")</f>
        <v/>
      </c>
      <c r="I309" s="1" t="str">
        <f>IFERROR(VLOOKUP("*" &amp; C309 &amp; "*",'Terms 2'!B:D,3,FALSE),"")</f>
        <v/>
      </c>
    </row>
    <row r="310" spans="2:9">
      <c r="B310" s="1" t="str">
        <f t="shared" si="4"/>
        <v>Rolling wave planning is when planning is done at multiple points in time as data becomes available.</v>
      </c>
      <c r="C310" s="47" t="s">
        <v>646</v>
      </c>
      <c r="D310" s="48" t="s">
        <v>4739</v>
      </c>
      <c r="E310" s="1" t="str" cm="1">
        <f t="array" ref="E310">IFERROR(
  _xlfn.LET(
    _xlpm.searchText, Tests!$C310,
    _xlpm.dataRange, ITTO!$B$3:$F$300,
    _xlpm.headers, ITTO!$B$2:$F$2,
    _xlpm.matchMatrix, ISNUMBER(SEARCH(_xlpm.searchText, _xlpm.dataRange)),
    _xlpm.colMatch, _xlfn.XMATCH(TRUE, _xlfn.BYCOL(_xlpm.matchMatrix, _xlfn.LAMBDA(_xlpm.col, OR(_xlpm.col)))),
    INDEX(_xlpm.headers, _xlpm.colMatch)
  ),
  ""
)</f>
        <v>Plan</v>
      </c>
      <c r="F310" s="1" t="str" cm="1">
        <f t="array" ref="F310">IFERROR(_xlfn.LET(_xlpm.searchText, Tests!$C310,_xlpm.dataRange, PMBOK!$B$3:$F$300,_xlpm.headers, PMBOK!$B$2:$F$2,_xlpm.matchMatrix, ISNUMBER(SEARCH(_xlpm.searchText, _xlpm.dataRange)),_xlpm.colMatch, _xlfn.XMATCH(TRUE, _xlfn.BYCOL(_xlpm.matchMatrix, _xlfn.LAMBDA(_xlpm.col, OR(_xlpm.col)))),INDEX(_xlpm.headers, _xlpm.colMatch)),"")</f>
        <v/>
      </c>
      <c r="G310" s="1" t="str" cm="1">
        <f t="array" ref="G310">IFERROR(_xlfn.LET(_xlpm.searchText, Tests!$C310,_xlpm.dataRange, 'Rita Quick test'!$B$3:$P$57,_xlpm.headers, 'Rita Quick test'!$B$2:$P$2,_xlpm.matchMatrix, ISNUMBER(SEARCH(_xlpm.searchText, _xlpm.dataRange)),_xlpm.colMatch, _xlfn.XMATCH(TRUE, _xlfn.BYCOL(_xlpm.matchMatrix, _xlfn.LAMBDA(_xlpm.col, OR(_xlpm.col)))),INDEX(_xlpm.headers, _xlpm.colMatch)),"")</f>
        <v>Exam References</v>
      </c>
      <c r="H310" s="1" t="str">
        <f>IFERROR(VLOOKUP("*" &amp; C310 &amp; "*",Terms!D:E,2,FALSE),"")</f>
        <v xml:space="preserve">Rolling wave planning The imminent work is planned in detail, while the work in the future is planned at a high level. This is a form of progressive elaboration.          </v>
      </c>
      <c r="I310" s="1" t="str">
        <f>IFERROR(VLOOKUP("*" &amp; C310 &amp; "*",'Terms 2'!B:D,3,FALSE),"")</f>
        <v xml:space="preserve"> An iterative planning method in which the work to be accomplished in the near term is planned in detail, while the work in the future is planned at a higher level</v>
      </c>
    </row>
    <row r="311" spans="2:9">
      <c r="B311" s="1" t="str">
        <f t="shared" si="4"/>
        <v>A scatter diagram is used to show a relation between two variables.</v>
      </c>
      <c r="C311" s="47" t="s">
        <v>4831</v>
      </c>
      <c r="D311" s="49" t="s">
        <v>4928</v>
      </c>
      <c r="E311" s="1" t="str" cm="1">
        <f t="array" ref="E311">IFERROR(
  _xlfn.LET(
    _xlpm.searchText, Tests!$C311,
    _xlpm.dataRange, ITTO!$B$3:$F$300,
    _xlpm.headers, ITTO!$B$2:$F$2,
    _xlpm.matchMatrix, ISNUMBER(SEARCH(_xlpm.searchText, _xlpm.dataRange)),
    _xlpm.colMatch, _xlfn.XMATCH(TRUE, _xlfn.BYCOL(_xlpm.matchMatrix, _xlfn.LAMBDA(_xlpm.col, OR(_xlpm.col)))),
    INDEX(_xlpm.headers, _xlpm.colMatch)
  ),
  ""
)</f>
        <v/>
      </c>
      <c r="F311" s="1" t="str" cm="1">
        <f t="array" ref="F311">IFERROR(_xlfn.LET(_xlpm.searchText, Tests!$C311,_xlpm.dataRange, PMBOK!$B$3:$F$300,_xlpm.headers, PMBOK!$B$2:$F$2,_xlpm.matchMatrix, ISNUMBER(SEARCH(_xlpm.searchText, _xlpm.dataRange)),_xlpm.colMatch, _xlfn.XMATCH(TRUE, _xlfn.BYCOL(_xlpm.matchMatrix, _xlfn.LAMBDA(_xlpm.col, OR(_xlpm.col)))),INDEX(_xlpm.headers, _xlpm.colMatch)),"")</f>
        <v/>
      </c>
      <c r="G311" s="1" t="str" cm="1">
        <f t="array" ref="G311">IFERROR(_xlfn.LET(_xlpm.searchText, Tests!$C311,_xlpm.dataRange, 'Rita Quick test'!$B$3:$P$57,_xlpm.headers, 'Rita Quick test'!$B$2:$P$2,_xlpm.matchMatrix, ISNUMBER(SEARCH(_xlpm.searchText, _xlpm.dataRange)),_xlpm.colMatch, _xlfn.XMATCH(TRUE, _xlfn.BYCOL(_xlpm.matchMatrix, _xlfn.LAMBDA(_xlpm.col, OR(_xlpm.col)))),INDEX(_xlpm.headers, _xlpm.colMatch)),"")</f>
        <v/>
      </c>
      <c r="H311" s="1" t="str">
        <f>IFERROR(VLOOKUP("*" &amp; C311 &amp; "*",Terms!D:E,2,FALSE),"")</f>
        <v/>
      </c>
      <c r="I311" s="1" t="str">
        <f>IFERROR(VLOOKUP("*" &amp; C311 &amp; "*",'Terms 2'!B:D,3,FALSE),"")</f>
        <v/>
      </c>
    </row>
    <row r="312" spans="2:9">
      <c r="B312" s="1" t="str">
        <f t="shared" si="4"/>
        <v/>
      </c>
      <c r="C312" s="47" t="s">
        <v>4669</v>
      </c>
      <c r="D312" s="1" t="s">
        <v>4848</v>
      </c>
      <c r="E312" s="1" t="str" cm="1">
        <f t="array" ref="E312">IFERROR(
  _xlfn.LET(
    _xlpm.searchText, Tests!$C312,
    _xlpm.dataRange, ITTO!$B$3:$F$300,
    _xlpm.headers, ITTO!$B$2:$F$2,
    _xlpm.matchMatrix, ISNUMBER(SEARCH(_xlpm.searchText, _xlpm.dataRange)),
    _xlpm.colMatch, _xlfn.XMATCH(TRUE, _xlfn.BYCOL(_xlpm.matchMatrix, _xlfn.LAMBDA(_xlpm.col, OR(_xlpm.col)))),
    INDEX(_xlpm.headers, _xlpm.colMatch)
  ),
  ""
)</f>
        <v/>
      </c>
      <c r="F312" s="1" t="str" cm="1">
        <f t="array" ref="F312">IFERROR(_xlfn.LET(_xlpm.searchText, Tests!$C312,_xlpm.dataRange, PMBOK!$B$3:$F$300,_xlpm.headers, PMBOK!$B$2:$F$2,_xlpm.matchMatrix, ISNUMBER(SEARCH(_xlpm.searchText, _xlpm.dataRange)),_xlpm.colMatch, _xlfn.XMATCH(TRUE, _xlfn.BYCOL(_xlpm.matchMatrix, _xlfn.LAMBDA(_xlpm.col, OR(_xlpm.col)))),INDEX(_xlpm.headers, _xlpm.colMatch)),"")</f>
        <v/>
      </c>
      <c r="G312" s="1" t="str" cm="1">
        <f t="array" ref="G312">IFERROR(_xlfn.LET(_xlpm.searchText, Tests!$C312,_xlpm.dataRange, 'Rita Quick test'!$B$3:$P$57,_xlpm.headers, 'Rita Quick test'!$B$2:$P$2,_xlpm.matchMatrix, ISNUMBER(SEARCH(_xlpm.searchText, _xlpm.dataRange)),_xlpm.colMatch, _xlfn.XMATCH(TRUE, _xlfn.BYCOL(_xlpm.matchMatrix, _xlfn.LAMBDA(_xlpm.col, OR(_xlpm.col)))),INDEX(_xlpm.headers, _xlpm.colMatch)),"")</f>
        <v/>
      </c>
      <c r="H312" s="1" t="str">
        <f>IFERROR(VLOOKUP("*" &amp; C312 &amp; "*",Terms!D:E,2,FALSE),"")</f>
        <v/>
      </c>
      <c r="I312" s="1" t="str">
        <f>IFERROR(VLOOKUP("*" &amp; C312 &amp; "*",'Terms 2'!B:D,3,FALSE),"")</f>
        <v/>
      </c>
    </row>
    <row r="313" spans="2:9">
      <c r="B313" s="1" t="str">
        <f t="shared" si="4"/>
        <v/>
      </c>
      <c r="C313" s="47" t="s">
        <v>4619</v>
      </c>
      <c r="D313" s="1" t="s">
        <v>4848</v>
      </c>
      <c r="E313" s="1" t="str" cm="1">
        <f t="array" ref="E313">IFERROR(
  _xlfn.LET(
    _xlpm.searchText, Tests!$C313,
    _xlpm.dataRange, ITTO!$B$3:$F$300,
    _xlpm.headers, ITTO!$B$2:$F$2,
    _xlpm.matchMatrix, ISNUMBER(SEARCH(_xlpm.searchText, _xlpm.dataRange)),
    _xlpm.colMatch, _xlfn.XMATCH(TRUE, _xlfn.BYCOL(_xlpm.matchMatrix, _xlfn.LAMBDA(_xlpm.col, OR(_xlpm.col)))),
    INDEX(_xlpm.headers, _xlpm.colMatch)
  ),
  ""
)</f>
        <v/>
      </c>
      <c r="F313" s="1" t="str" cm="1">
        <f t="array" ref="F313">IFERROR(_xlfn.LET(_xlpm.searchText, Tests!$C313,_xlpm.dataRange, PMBOK!$B$3:$F$300,_xlpm.headers, PMBOK!$B$2:$F$2,_xlpm.matchMatrix, ISNUMBER(SEARCH(_xlpm.searchText, _xlpm.dataRange)),_xlpm.colMatch, _xlfn.XMATCH(TRUE, _xlfn.BYCOL(_xlpm.matchMatrix, _xlfn.LAMBDA(_xlpm.col, OR(_xlpm.col)))),INDEX(_xlpm.headers, _xlpm.colMatch)),"")</f>
        <v/>
      </c>
      <c r="G313" s="1" t="str" cm="1">
        <f t="array" ref="G313">IFERROR(_xlfn.LET(_xlpm.searchText, Tests!$C313,_xlpm.dataRange, 'Rita Quick test'!$B$3:$P$57,_xlpm.headers, 'Rita Quick test'!$B$2:$P$2,_xlpm.matchMatrix, ISNUMBER(SEARCH(_xlpm.searchText, _xlpm.dataRange)),_xlpm.colMatch, _xlfn.XMATCH(TRUE, _xlfn.BYCOL(_xlpm.matchMatrix, _xlfn.LAMBDA(_xlpm.col, OR(_xlpm.col)))),INDEX(_xlpm.headers, _xlpm.colMatch)),"")</f>
        <v/>
      </c>
      <c r="H313" s="1" t="str">
        <f>IFERROR(VLOOKUP("*" &amp; C313 &amp; "*",Terms!D:E,2,FALSE),"")</f>
        <v/>
      </c>
      <c r="I313" s="1" t="str">
        <f>IFERROR(VLOOKUP("*" &amp; C313 &amp; "*",'Terms 2'!B:D,3,FALSE),"")</f>
        <v/>
      </c>
    </row>
    <row r="314" spans="2:9">
      <c r="B314" s="1" t="str">
        <f t="shared" si="4"/>
        <v>The project scope statement, scope baseline, and requirements documentation will not include where requirements came from.</v>
      </c>
      <c r="C314" s="47" t="s">
        <v>4619</v>
      </c>
      <c r="D314" s="49" t="s">
        <v>4658</v>
      </c>
      <c r="E314" s="1" t="str" cm="1">
        <f t="array" ref="E314">IFERROR(
  _xlfn.LET(
    _xlpm.searchText, Tests!$C314,
    _xlpm.dataRange, ITTO!$B$3:$F$300,
    _xlpm.headers, ITTO!$B$2:$F$2,
    _xlpm.matchMatrix, ISNUMBER(SEARCH(_xlpm.searchText, _xlpm.dataRange)),
    _xlpm.colMatch, _xlfn.XMATCH(TRUE, _xlfn.BYCOL(_xlpm.matchMatrix, _xlfn.LAMBDA(_xlpm.col, OR(_xlpm.col)))),
    INDEX(_xlpm.headers, _xlpm.colMatch)
  ),
  ""
)</f>
        <v/>
      </c>
      <c r="F314" s="1" t="str" cm="1">
        <f t="array" ref="F314">IFERROR(_xlfn.LET(_xlpm.searchText, Tests!$C314,_xlpm.dataRange, PMBOK!$B$3:$F$300,_xlpm.headers, PMBOK!$B$2:$F$2,_xlpm.matchMatrix, ISNUMBER(SEARCH(_xlpm.searchText, _xlpm.dataRange)),_xlpm.colMatch, _xlfn.XMATCH(TRUE, _xlfn.BYCOL(_xlpm.matchMatrix, _xlfn.LAMBDA(_xlpm.col, OR(_xlpm.col)))),INDEX(_xlpm.headers, _xlpm.colMatch)),"")</f>
        <v/>
      </c>
      <c r="G314" s="1" t="str" cm="1">
        <f t="array" ref="G314">IFERROR(_xlfn.LET(_xlpm.searchText, Tests!$C314,_xlpm.dataRange, 'Rita Quick test'!$B$3:$P$57,_xlpm.headers, 'Rita Quick test'!$B$2:$P$2,_xlpm.matchMatrix, ISNUMBER(SEARCH(_xlpm.searchText, _xlpm.dataRange)),_xlpm.colMatch, _xlfn.XMATCH(TRUE, _xlfn.BYCOL(_xlpm.matchMatrix, _xlfn.LAMBDA(_xlpm.col, OR(_xlpm.col)))),INDEX(_xlpm.headers, _xlpm.colMatch)),"")</f>
        <v/>
      </c>
      <c r="H314" s="1" t="str">
        <f>IFERROR(VLOOKUP("*" &amp; C314 &amp; "*",Terms!D:E,2,FALSE),"")</f>
        <v/>
      </c>
      <c r="I314" s="1" t="str">
        <f>IFERROR(VLOOKUP("*" &amp; C314 &amp; "*",'Terms 2'!B:D,3,FALSE),"")</f>
        <v/>
      </c>
    </row>
    <row r="315" spans="2:9">
      <c r="B315" s="1" t="str">
        <f t="shared" si="4"/>
        <v/>
      </c>
      <c r="C315" s="47" t="s">
        <v>4433</v>
      </c>
      <c r="D315" s="1" t="s">
        <v>4848</v>
      </c>
      <c r="E315" s="1" t="str" cm="1">
        <f t="array" ref="E315">IFERROR(
  _xlfn.LET(
    _xlpm.searchText, Tests!$C315,
    _xlpm.dataRange, ITTO!$B$3:$F$300,
    _xlpm.headers, ITTO!$B$2:$F$2,
    _xlpm.matchMatrix, ISNUMBER(SEARCH(_xlpm.searchText, _xlpm.dataRange)),
    _xlpm.colMatch, _xlfn.XMATCH(TRUE, _xlfn.BYCOL(_xlpm.matchMatrix, _xlfn.LAMBDA(_xlpm.col, OR(_xlpm.col)))),
    INDEX(_xlpm.headers, _xlpm.colMatch)
  ),
  ""
)</f>
        <v/>
      </c>
      <c r="F315" s="1" t="str" cm="1">
        <f t="array" ref="F315">IFERROR(_xlfn.LET(_xlpm.searchText, Tests!$C315,_xlpm.dataRange, PMBOK!$B$3:$F$300,_xlpm.headers, PMBOK!$B$2:$F$2,_xlpm.matchMatrix, ISNUMBER(SEARCH(_xlpm.searchText, _xlpm.dataRange)),_xlpm.colMatch, _xlfn.XMATCH(TRUE, _xlfn.BYCOL(_xlpm.matchMatrix, _xlfn.LAMBDA(_xlpm.col, OR(_xlpm.col)))),INDEX(_xlpm.headers, _xlpm.colMatch)),"")</f>
        <v/>
      </c>
      <c r="G315" s="1" t="str" cm="1">
        <f t="array" ref="G315">IFERROR(_xlfn.LET(_xlpm.searchText, Tests!$C315,_xlpm.dataRange, 'Rita Quick test'!$B$3:$P$57,_xlpm.headers, 'Rita Quick test'!$B$2:$P$2,_xlpm.matchMatrix, ISNUMBER(SEARCH(_xlpm.searchText, _xlpm.dataRange)),_xlpm.colMatch, _xlfn.XMATCH(TRUE, _xlfn.BYCOL(_xlpm.matchMatrix, _xlfn.LAMBDA(_xlpm.col, OR(_xlpm.col)))),INDEX(_xlpm.headers, _xlpm.colMatch)),"")</f>
        <v/>
      </c>
      <c r="H315" s="1" t="str">
        <f>IFERROR(VLOOKUP("*" &amp; C315 &amp; "*",Terms!D:E,2,FALSE),"")</f>
        <v/>
      </c>
      <c r="I315" s="1" t="str">
        <f>IFERROR(VLOOKUP("*" &amp; C315 &amp; "*",'Terms 2'!B:D,3,FALSE),"")</f>
        <v/>
      </c>
    </row>
    <row r="316" spans="2:9">
      <c r="B316" s="1" t="str">
        <f t="shared" si="4"/>
        <v>The scope statement, requirements traceability matrix, and requirements documentation are generally written before vendors are invited to learn about the project.</v>
      </c>
      <c r="C316" s="47" t="s">
        <v>4672</v>
      </c>
      <c r="D316" s="49" t="s">
        <v>4674</v>
      </c>
      <c r="E316" s="1" t="str" cm="1">
        <f t="array" ref="E316">IFERROR(
  _xlfn.LET(
    _xlpm.searchText, Tests!$C316,
    _xlpm.dataRange, ITTO!$B$3:$F$300,
    _xlpm.headers, ITTO!$B$2:$F$2,
    _xlpm.matchMatrix, ISNUMBER(SEARCH(_xlpm.searchText, _xlpm.dataRange)),
    _xlpm.colMatch, _xlfn.XMATCH(TRUE, _xlfn.BYCOL(_xlpm.matchMatrix, _xlfn.LAMBDA(_xlpm.col, OR(_xlpm.col)))),
    INDEX(_xlpm.headers, _xlpm.colMatch)
  ),
  ""
)</f>
        <v/>
      </c>
      <c r="F316" s="1" t="str" cm="1">
        <f t="array" ref="F316">IFERROR(_xlfn.LET(_xlpm.searchText, Tests!$C316,_xlpm.dataRange, PMBOK!$B$3:$F$300,_xlpm.headers, PMBOK!$B$2:$F$2,_xlpm.matchMatrix, ISNUMBER(SEARCH(_xlpm.searchText, _xlpm.dataRange)),_xlpm.colMatch, _xlfn.XMATCH(TRUE, _xlfn.BYCOL(_xlpm.matchMatrix, _xlfn.LAMBDA(_xlpm.col, OR(_xlpm.col)))),INDEX(_xlpm.headers, _xlpm.colMatch)),"")</f>
        <v/>
      </c>
      <c r="G316" s="1" t="str" cm="1">
        <f t="array" ref="G316">IFERROR(_xlfn.LET(_xlpm.searchText, Tests!$C316,_xlpm.dataRange, 'Rita Quick test'!$B$3:$P$57,_xlpm.headers, 'Rita Quick test'!$B$2:$P$2,_xlpm.matchMatrix, ISNUMBER(SEARCH(_xlpm.searchText, _xlpm.dataRange)),_xlpm.colMatch, _xlfn.XMATCH(TRUE, _xlfn.BYCOL(_xlpm.matchMatrix, _xlfn.LAMBDA(_xlpm.col, OR(_xlpm.col)))),INDEX(_xlpm.headers, _xlpm.colMatch)),"")</f>
        <v/>
      </c>
      <c r="H316" s="1" t="str">
        <f>IFERROR(VLOOKUP("*" &amp; C316 &amp; "*",Terms!D:E,2,FALSE),"")</f>
        <v/>
      </c>
      <c r="I316" s="1" t="str">
        <f>IFERROR(VLOOKUP("*" &amp; C316 &amp; "*",'Terms 2'!B:D,3,FALSE),"")</f>
        <v/>
      </c>
    </row>
    <row r="317" spans="2:9">
      <c r="B317" s="1" t="str">
        <f t="shared" si="4"/>
        <v>Screening and weighing systems are done to help select sellers.</v>
      </c>
      <c r="C317" s="47" t="s">
        <v>4599</v>
      </c>
      <c r="D317" s="48" t="s">
        <v>4603</v>
      </c>
      <c r="E317" s="1" t="str" cm="1">
        <f t="array" ref="E317">IFERROR(
  _xlfn.LET(
    _xlpm.searchText, Tests!$C317,
    _xlpm.dataRange, ITTO!$B$3:$F$300,
    _xlpm.headers, ITTO!$B$2:$F$2,
    _xlpm.matchMatrix, ISNUMBER(SEARCH(_xlpm.searchText, _xlpm.dataRange)),
    _xlpm.colMatch, _xlfn.XMATCH(TRUE, _xlfn.BYCOL(_xlpm.matchMatrix, _xlfn.LAMBDA(_xlpm.col, OR(_xlpm.col)))),
    INDEX(_xlpm.headers, _xlpm.colMatch)
  ),
  ""
)</f>
        <v/>
      </c>
      <c r="F317" s="1" t="str" cm="1">
        <f t="array" ref="F317">IFERROR(_xlfn.LET(_xlpm.searchText, Tests!$C317,_xlpm.dataRange, PMBOK!$B$3:$F$300,_xlpm.headers, PMBOK!$B$2:$F$2,_xlpm.matchMatrix, ISNUMBER(SEARCH(_xlpm.searchText, _xlpm.dataRange)),_xlpm.colMatch, _xlfn.XMATCH(TRUE, _xlfn.BYCOL(_xlpm.matchMatrix, _xlfn.LAMBDA(_xlpm.col, OR(_xlpm.col)))),INDEX(_xlpm.headers, _xlpm.colMatch)),"")</f>
        <v/>
      </c>
      <c r="G317" s="1" t="str" cm="1">
        <f t="array" ref="G317">IFERROR(_xlfn.LET(_xlpm.searchText, Tests!$C317,_xlpm.dataRange, 'Rita Quick test'!$B$3:$P$57,_xlpm.headers, 'Rita Quick test'!$B$2:$P$2,_xlpm.matchMatrix, ISNUMBER(SEARCH(_xlpm.searchText, _xlpm.dataRange)),_xlpm.colMatch, _xlfn.XMATCH(TRUE, _xlfn.BYCOL(_xlpm.matchMatrix, _xlfn.LAMBDA(_xlpm.col, OR(_xlpm.col)))),INDEX(_xlpm.headers, _xlpm.colMatch)),"")</f>
        <v/>
      </c>
      <c r="H317" s="1" t="str">
        <f>IFERROR(VLOOKUP("*" &amp; C317 &amp; "*",Terms!D:E,2,FALSE),"")</f>
        <v/>
      </c>
      <c r="I317" s="1" t="str">
        <f>IFERROR(VLOOKUP("*" &amp; C317 &amp; "*",'Terms 2'!B:D,3,FALSE),"")</f>
        <v/>
      </c>
    </row>
    <row r="318" spans="2:9">
      <c r="B318" s="1" t="str">
        <f t="shared" si="4"/>
        <v/>
      </c>
      <c r="C318" s="47" t="s">
        <v>4488</v>
      </c>
      <c r="D318" s="1" t="s">
        <v>4848</v>
      </c>
      <c r="E318" s="1" t="str" cm="1">
        <f t="array" ref="E318">IFERROR(
  _xlfn.LET(
    _xlpm.searchText, Tests!$C318,
    _xlpm.dataRange, ITTO!$B$3:$F$300,
    _xlpm.headers, ITTO!$B$2:$F$2,
    _xlpm.matchMatrix, ISNUMBER(SEARCH(_xlpm.searchText, _xlpm.dataRange)),
    _xlpm.colMatch, _xlfn.XMATCH(TRUE, _xlfn.BYCOL(_xlpm.matchMatrix, _xlfn.LAMBDA(_xlpm.col, OR(_xlpm.col)))),
    INDEX(_xlpm.headers, _xlpm.colMatch)
  ),
  ""
)</f>
        <v/>
      </c>
      <c r="F318" s="1" t="str" cm="1">
        <f t="array" ref="F318">IFERROR(_xlfn.LET(_xlpm.searchText, Tests!$C318,_xlpm.dataRange, PMBOK!$B$3:$F$300,_xlpm.headers, PMBOK!$B$2:$F$2,_xlpm.matchMatrix, ISNUMBER(SEARCH(_xlpm.searchText, _xlpm.dataRange)),_xlpm.colMatch, _xlfn.XMATCH(TRUE, _xlfn.BYCOL(_xlpm.matchMatrix, _xlfn.LAMBDA(_xlpm.col, OR(_xlpm.col)))),INDEX(_xlpm.headers, _xlpm.colMatch)),"")</f>
        <v/>
      </c>
      <c r="G318" s="1" t="str" cm="1">
        <f t="array" ref="G318">IFERROR(_xlfn.LET(_xlpm.searchText, Tests!$C318,_xlpm.dataRange, 'Rita Quick test'!$B$3:$P$57,_xlpm.headers, 'Rita Quick test'!$B$2:$P$2,_xlpm.matchMatrix, ISNUMBER(SEARCH(_xlpm.searchText, _xlpm.dataRange)),_xlpm.colMatch, _xlfn.XMATCH(TRUE, _xlfn.BYCOL(_xlpm.matchMatrix, _xlfn.LAMBDA(_xlpm.col, OR(_xlpm.col)))),INDEX(_xlpm.headers, _xlpm.colMatch)),"")</f>
        <v/>
      </c>
      <c r="H318" s="1" t="str">
        <f>IFERROR(VLOOKUP("*" &amp; C318 &amp; "*",Terms!D:E,2,FALSE),"")</f>
        <v/>
      </c>
      <c r="I318" s="1" t="str">
        <f>IFERROR(VLOOKUP("*" &amp; C318 &amp; "*",'Terms 2'!B:D,3,FALSE),"")</f>
        <v/>
      </c>
    </row>
    <row r="319" spans="2:9">
      <c r="B319" s="1" t="str">
        <f t="shared" si="4"/>
        <v>You cannot define activities or sequence activities until the WBS is complete, as you will need to know work packages to create the activities</v>
      </c>
      <c r="C319" s="47" t="s">
        <v>4488</v>
      </c>
      <c r="D319" s="49" t="s">
        <v>4698</v>
      </c>
      <c r="E319" s="1" t="str" cm="1">
        <f t="array" ref="E319">IFERROR(
  _xlfn.LET(
    _xlpm.searchText, Tests!$C319,
    _xlpm.dataRange, ITTO!$B$3:$F$300,
    _xlpm.headers, ITTO!$B$2:$F$2,
    _xlpm.matchMatrix, ISNUMBER(SEARCH(_xlpm.searchText, _xlpm.dataRange)),
    _xlpm.colMatch, _xlfn.XMATCH(TRUE, _xlfn.BYCOL(_xlpm.matchMatrix, _xlfn.LAMBDA(_xlpm.col, OR(_xlpm.col)))),
    INDEX(_xlpm.headers, _xlpm.colMatch)
  ),
  ""
)</f>
        <v/>
      </c>
      <c r="F319" s="1" t="str" cm="1">
        <f t="array" ref="F319">IFERROR(_xlfn.LET(_xlpm.searchText, Tests!$C319,_xlpm.dataRange, PMBOK!$B$3:$F$300,_xlpm.headers, PMBOK!$B$2:$F$2,_xlpm.matchMatrix, ISNUMBER(SEARCH(_xlpm.searchText, _xlpm.dataRange)),_xlpm.colMatch, _xlfn.XMATCH(TRUE, _xlfn.BYCOL(_xlpm.matchMatrix, _xlfn.LAMBDA(_xlpm.col, OR(_xlpm.col)))),INDEX(_xlpm.headers, _xlpm.colMatch)),"")</f>
        <v/>
      </c>
      <c r="G319" s="1" t="str" cm="1">
        <f t="array" ref="G319">IFERROR(_xlfn.LET(_xlpm.searchText, Tests!$C319,_xlpm.dataRange, 'Rita Quick test'!$B$3:$P$57,_xlpm.headers, 'Rita Quick test'!$B$2:$P$2,_xlpm.matchMatrix, ISNUMBER(SEARCH(_xlpm.searchText, _xlpm.dataRange)),_xlpm.colMatch, _xlfn.XMATCH(TRUE, _xlfn.BYCOL(_xlpm.matchMatrix, _xlfn.LAMBDA(_xlpm.col, OR(_xlpm.col)))),INDEX(_xlpm.headers, _xlpm.colMatch)),"")</f>
        <v/>
      </c>
      <c r="H319" s="1" t="str">
        <f>IFERROR(VLOOKUP("*" &amp; C319 &amp; "*",Terms!D:E,2,FALSE),"")</f>
        <v/>
      </c>
      <c r="I319" s="1" t="str">
        <f>IFERROR(VLOOKUP("*" &amp; C319 &amp; "*",'Terms 2'!B:D,3,FALSE),"")</f>
        <v/>
      </c>
    </row>
    <row r="320" spans="2:9">
      <c r="B320" s="1" t="str">
        <f t="shared" si="4"/>
        <v>After the team has created the activity list in the process of define activity, the next process should be sequencing the activities. This should be done before the team develops a schedule</v>
      </c>
      <c r="C320" s="47" t="s">
        <v>4727</v>
      </c>
      <c r="D320" s="49" t="s">
        <v>4728</v>
      </c>
      <c r="E320" s="1" t="str" cm="1">
        <f t="array" ref="E320">IFERROR(
  _xlfn.LET(
    _xlpm.searchText, Tests!$C320,
    _xlpm.dataRange, ITTO!$B$3:$F$300,
    _xlpm.headers, ITTO!$B$2:$F$2,
    _xlpm.matchMatrix, ISNUMBER(SEARCH(_xlpm.searchText, _xlpm.dataRange)),
    _xlpm.colMatch, _xlfn.XMATCH(TRUE, _xlfn.BYCOL(_xlpm.matchMatrix, _xlfn.LAMBDA(_xlpm.col, OR(_xlpm.col)))),
    INDEX(_xlpm.headers, _xlpm.colMatch)
  ),
  ""
)</f>
        <v/>
      </c>
      <c r="F320" s="1" t="str" cm="1">
        <f t="array" ref="F320">IFERROR(_xlfn.LET(_xlpm.searchText, Tests!$C320,_xlpm.dataRange, PMBOK!$B$3:$F$300,_xlpm.headers, PMBOK!$B$2:$F$2,_xlpm.matchMatrix, ISNUMBER(SEARCH(_xlpm.searchText, _xlpm.dataRange)),_xlpm.colMatch, _xlfn.XMATCH(TRUE, _xlfn.BYCOL(_xlpm.matchMatrix, _xlfn.LAMBDA(_xlpm.col, OR(_xlpm.col)))),INDEX(_xlpm.headers, _xlpm.colMatch)),"")</f>
        <v/>
      </c>
      <c r="G320" s="1" t="str" cm="1">
        <f t="array" ref="G320">IFERROR(_xlfn.LET(_xlpm.searchText, Tests!$C320,_xlpm.dataRange, 'Rita Quick test'!$B$3:$P$57,_xlpm.headers, 'Rita Quick test'!$B$2:$P$2,_xlpm.matchMatrix, ISNUMBER(SEARCH(_xlpm.searchText, _xlpm.dataRange)),_xlpm.colMatch, _xlfn.XMATCH(TRUE, _xlfn.BYCOL(_xlpm.matchMatrix, _xlfn.LAMBDA(_xlpm.col, OR(_xlpm.col)))),INDEX(_xlpm.headers, _xlpm.colMatch)),"")</f>
        <v/>
      </c>
      <c r="H320" s="1" t="str">
        <f>IFERROR(VLOOKUP("*" &amp; C320 &amp; "*",Terms!D:E,2,FALSE),"")</f>
        <v/>
      </c>
      <c r="I320" s="1" t="str">
        <f>IFERROR(VLOOKUP("*" &amp; C320 &amp; "*",'Terms 2'!B:D,3,FALSE),"")</f>
        <v/>
      </c>
    </row>
    <row r="321" spans="2:9">
      <c r="B321" s="1" t="str">
        <f t="shared" si="4"/>
        <v/>
      </c>
      <c r="C321" s="46" t="s">
        <v>4720</v>
      </c>
      <c r="D321" s="1" t="s">
        <v>4848</v>
      </c>
      <c r="E321" s="1" t="str" cm="1">
        <f t="array" ref="E321">IFERROR(
  _xlfn.LET(
    _xlpm.searchText, Tests!$C321,
    _xlpm.dataRange, ITTO!$B$3:$F$300,
    _xlpm.headers, ITTO!$B$2:$F$2,
    _xlpm.matchMatrix, ISNUMBER(SEARCH(_xlpm.searchText, _xlpm.dataRange)),
    _xlpm.colMatch, _xlfn.XMATCH(TRUE, _xlfn.BYCOL(_xlpm.matchMatrix, _xlfn.LAMBDA(_xlpm.col, OR(_xlpm.col)))),
    INDEX(_xlpm.headers, _xlpm.colMatch)
  ),
  ""
)</f>
        <v/>
      </c>
      <c r="F321" s="1" t="str" cm="1">
        <f t="array" ref="F321">IFERROR(_xlfn.LET(_xlpm.searchText, Tests!$C321,_xlpm.dataRange, PMBOK!$B$3:$F$300,_xlpm.headers, PMBOK!$B$2:$F$2,_xlpm.matchMatrix, ISNUMBER(SEARCH(_xlpm.searchText, _xlpm.dataRange)),_xlpm.colMatch, _xlfn.XMATCH(TRUE, _xlfn.BYCOL(_xlpm.matchMatrix, _xlfn.LAMBDA(_xlpm.col, OR(_xlpm.col)))),INDEX(_xlpm.headers, _xlpm.colMatch)),"")</f>
        <v/>
      </c>
      <c r="G321" s="1" t="str" cm="1">
        <f t="array" ref="G321">IFERROR(_xlfn.LET(_xlpm.searchText, Tests!$C321,_xlpm.dataRange, 'Rita Quick test'!$B$3:$P$57,_xlpm.headers, 'Rita Quick test'!$B$2:$P$2,_xlpm.matchMatrix, ISNUMBER(SEARCH(_xlpm.searchText, _xlpm.dataRange)),_xlpm.colMatch, _xlfn.XMATCH(TRUE, _xlfn.BYCOL(_xlpm.matchMatrix, _xlfn.LAMBDA(_xlpm.col, OR(_xlpm.col)))),INDEX(_xlpm.headers, _xlpm.colMatch)),"")</f>
        <v/>
      </c>
      <c r="H321" s="1" t="str">
        <f>IFERROR(VLOOKUP("*" &amp; C321 &amp; "*",Terms!D:E,2,FALSE),"")</f>
        <v/>
      </c>
      <c r="I321" s="1" t="str">
        <f>IFERROR(VLOOKUP("*" &amp; C321 &amp; "*",'Terms 2'!B:D,3,FALSE),"")</f>
        <v/>
      </c>
    </row>
    <row r="322" spans="2:9">
      <c r="B322" s="1" t="str">
        <f t="shared" si="4"/>
        <v/>
      </c>
      <c r="C322" s="46" t="s">
        <v>4801</v>
      </c>
      <c r="D322" s="1" t="s">
        <v>4848</v>
      </c>
      <c r="E322" s="1" t="str" cm="1">
        <f t="array" ref="E322">IFERROR(
  _xlfn.LET(
    _xlpm.searchText, Tests!$C322,
    _xlpm.dataRange, ITTO!$B$3:$F$300,
    _xlpm.headers, ITTO!$B$2:$F$2,
    _xlpm.matchMatrix, ISNUMBER(SEARCH(_xlpm.searchText, _xlpm.dataRange)),
    _xlpm.colMatch, _xlfn.XMATCH(TRUE, _xlfn.BYCOL(_xlpm.matchMatrix, _xlfn.LAMBDA(_xlpm.col, OR(_xlpm.col)))),
    INDEX(_xlpm.headers, _xlpm.colMatch)
  ),
  ""
)</f>
        <v/>
      </c>
      <c r="F322" s="1" t="str" cm="1">
        <f t="array" ref="F322">IFERROR(_xlfn.LET(_xlpm.searchText, Tests!$C322,_xlpm.dataRange, PMBOK!$B$3:$F$300,_xlpm.headers, PMBOK!$B$2:$F$2,_xlpm.matchMatrix, ISNUMBER(SEARCH(_xlpm.searchText, _xlpm.dataRange)),_xlpm.colMatch, _xlfn.XMATCH(TRUE, _xlfn.BYCOL(_xlpm.matchMatrix, _xlfn.LAMBDA(_xlpm.col, OR(_xlpm.col)))),INDEX(_xlpm.headers, _xlpm.colMatch)),"")</f>
        <v/>
      </c>
      <c r="G322" s="1" t="str" cm="1">
        <f t="array" ref="G322">IFERROR(_xlfn.LET(_xlpm.searchText, Tests!$C322,_xlpm.dataRange, 'Rita Quick test'!$B$3:$P$57,_xlpm.headers, 'Rita Quick test'!$B$2:$P$2,_xlpm.matchMatrix, ISNUMBER(SEARCH(_xlpm.searchText, _xlpm.dataRange)),_xlpm.colMatch, _xlfn.XMATCH(TRUE, _xlfn.BYCOL(_xlpm.matchMatrix, _xlfn.LAMBDA(_xlpm.col, OR(_xlpm.col)))),INDEX(_xlpm.headers, _xlpm.colMatch)),"")</f>
        <v/>
      </c>
      <c r="H322" s="1" t="str">
        <f>IFERROR(VLOOKUP("*" &amp; C322 &amp; "*",Terms!D:E,2,FALSE),"")</f>
        <v/>
      </c>
      <c r="I322" s="1" t="str">
        <f>IFERROR(VLOOKUP("*" &amp; C322 &amp; "*",'Terms 2'!B:D,3,FALSE),"")</f>
        <v/>
      </c>
    </row>
    <row r="323" spans="2:9">
      <c r="B323" s="1" t="str">
        <f t="shared" si="4"/>
        <v>Sideways influence is for those who are your peers such as other project managers.</v>
      </c>
      <c r="C323" s="47" t="s">
        <v>4612</v>
      </c>
      <c r="D323" s="49" t="s">
        <v>4929</v>
      </c>
      <c r="E323" s="1" t="str" cm="1">
        <f t="array" ref="E323">IFERROR(
  _xlfn.LET(
    _xlpm.searchText, Tests!$C323,
    _xlpm.dataRange, ITTO!$B$3:$F$300,
    _xlpm.headers, ITTO!$B$2:$F$2,
    _xlpm.matchMatrix, ISNUMBER(SEARCH(_xlpm.searchText, _xlpm.dataRange)),
    _xlpm.colMatch, _xlfn.XMATCH(TRUE, _xlfn.BYCOL(_xlpm.matchMatrix, _xlfn.LAMBDA(_xlpm.col, OR(_xlpm.col)))),
    INDEX(_xlpm.headers, _xlpm.colMatch)
  ),
  ""
)</f>
        <v/>
      </c>
      <c r="F323" s="1" t="str" cm="1">
        <f t="array" ref="F323">IFERROR(_xlfn.LET(_xlpm.searchText, Tests!$C323,_xlpm.dataRange, PMBOK!$B$3:$F$300,_xlpm.headers, PMBOK!$B$2:$F$2,_xlpm.matchMatrix, ISNUMBER(SEARCH(_xlpm.searchText, _xlpm.dataRange)),_xlpm.colMatch, _xlfn.XMATCH(TRUE, _xlfn.BYCOL(_xlpm.matchMatrix, _xlfn.LAMBDA(_xlpm.col, OR(_xlpm.col)))),INDEX(_xlpm.headers, _xlpm.colMatch)),"")</f>
        <v/>
      </c>
      <c r="G323" s="1" t="str" cm="1">
        <f t="array" ref="G323">IFERROR(_xlfn.LET(_xlpm.searchText, Tests!$C323,_xlpm.dataRange, 'Rita Quick test'!$B$3:$P$57,_xlpm.headers, 'Rita Quick test'!$B$2:$P$2,_xlpm.matchMatrix, ISNUMBER(SEARCH(_xlpm.searchText, _xlpm.dataRange)),_xlpm.colMatch, _xlfn.XMATCH(TRUE, _xlfn.BYCOL(_xlpm.matchMatrix, _xlfn.LAMBDA(_xlpm.col, OR(_xlpm.col)))),INDEX(_xlpm.headers, _xlpm.colMatch)),"")</f>
        <v/>
      </c>
      <c r="H323" s="1" t="str">
        <f>IFERROR(VLOOKUP("*" &amp; C323 &amp; "*",Terms!D:E,2,FALSE),"")</f>
        <v/>
      </c>
      <c r="I323" s="1" t="str">
        <f>IFERROR(VLOOKUP("*" &amp; C323 &amp; "*",'Terms 2'!B:D,3,FALSE),"")</f>
        <v/>
      </c>
    </row>
    <row r="324" spans="2:9">
      <c r="B324" s="1" t="str">
        <f t="shared" ref="B324:B387" si="5">TRIM(D324)</f>
        <v>Slack and floats refer to the same thing: the amount of time you can delay an activity without delaying the project.</v>
      </c>
      <c r="C324" s="46" t="s">
        <v>4774</v>
      </c>
      <c r="D324" s="49" t="s">
        <v>4775</v>
      </c>
      <c r="E324" s="1" t="str" cm="1">
        <f t="array" ref="E324">IFERROR(
  _xlfn.LET(
    _xlpm.searchText, Tests!$C324,
    _xlpm.dataRange, ITTO!$B$3:$F$300,
    _xlpm.headers, ITTO!$B$2:$F$2,
    _xlpm.matchMatrix, ISNUMBER(SEARCH(_xlpm.searchText, _xlpm.dataRange)),
    _xlpm.colMatch, _xlfn.XMATCH(TRUE, _xlfn.BYCOL(_xlpm.matchMatrix, _xlfn.LAMBDA(_xlpm.col, OR(_xlpm.col)))),
    INDEX(_xlpm.headers, _xlpm.colMatch)
  ),
  ""
)</f>
        <v/>
      </c>
      <c r="F324" s="1" t="str" cm="1">
        <f t="array" ref="F324">IFERROR(_xlfn.LET(_xlpm.searchText, Tests!$C324,_xlpm.dataRange, PMBOK!$B$3:$F$300,_xlpm.headers, PMBOK!$B$2:$F$2,_xlpm.matchMatrix, ISNUMBER(SEARCH(_xlpm.searchText, _xlpm.dataRange)),_xlpm.colMatch, _xlfn.XMATCH(TRUE, _xlfn.BYCOL(_xlpm.matchMatrix, _xlfn.LAMBDA(_xlpm.col, OR(_xlpm.col)))),INDEX(_xlpm.headers, _xlpm.colMatch)),"")</f>
        <v/>
      </c>
      <c r="G324" s="1" t="str" cm="1">
        <f t="array" ref="G324">IFERROR(_xlfn.LET(_xlpm.searchText, Tests!$C324,_xlpm.dataRange, 'Rita Quick test'!$B$3:$P$57,_xlpm.headers, 'Rita Quick test'!$B$2:$P$2,_xlpm.matchMatrix, ISNUMBER(SEARCH(_xlpm.searchText, _xlpm.dataRange)),_xlpm.colMatch, _xlfn.XMATCH(TRUE, _xlfn.BYCOL(_xlpm.matchMatrix, _xlfn.LAMBDA(_xlpm.col, OR(_xlpm.col)))),INDEX(_xlpm.headers, _xlpm.colMatch)),"")</f>
        <v/>
      </c>
      <c r="H324" s="1" t="str">
        <f>IFERROR(VLOOKUP("*" &amp; C324 &amp; "*",Terms!D:E,2,FALSE),"")</f>
        <v/>
      </c>
      <c r="I324" s="1" t="str">
        <f>IFERROR(VLOOKUP("*" &amp; C324 &amp; "*",'Terms 2'!B:D,3,FALSE),"")</f>
        <v/>
      </c>
    </row>
    <row r="325" spans="2:9">
      <c r="B325" s="1" t="str">
        <f t="shared" si="5"/>
        <v/>
      </c>
      <c r="C325" s="47" t="s">
        <v>4798</v>
      </c>
      <c r="D325" s="1" t="s">
        <v>4848</v>
      </c>
      <c r="E325" s="1" t="str" cm="1">
        <f t="array" ref="E325">IFERROR(
  _xlfn.LET(
    _xlpm.searchText, Tests!$C325,
    _xlpm.dataRange, ITTO!$B$3:$F$300,
    _xlpm.headers, ITTO!$B$2:$F$2,
    _xlpm.matchMatrix, ISNUMBER(SEARCH(_xlpm.searchText, _xlpm.dataRange)),
    _xlpm.colMatch, _xlfn.XMATCH(TRUE, _xlfn.BYCOL(_xlpm.matchMatrix, _xlfn.LAMBDA(_xlpm.col, OR(_xlpm.col)))),
    INDEX(_xlpm.headers, _xlpm.colMatch)
  ),
  ""
)</f>
        <v/>
      </c>
      <c r="F325" s="1" t="str" cm="1">
        <f t="array" ref="F325">IFERROR(_xlfn.LET(_xlpm.searchText, Tests!$C325,_xlpm.dataRange, PMBOK!$B$3:$F$300,_xlpm.headers, PMBOK!$B$2:$F$2,_xlpm.matchMatrix, ISNUMBER(SEARCH(_xlpm.searchText, _xlpm.dataRange)),_xlpm.colMatch, _xlfn.XMATCH(TRUE, _xlfn.BYCOL(_xlpm.matchMatrix, _xlfn.LAMBDA(_xlpm.col, OR(_xlpm.col)))),INDEX(_xlpm.headers, _xlpm.colMatch)),"")</f>
        <v/>
      </c>
      <c r="G325" s="1" t="str" cm="1">
        <f t="array" ref="G325">IFERROR(_xlfn.LET(_xlpm.searchText, Tests!$C325,_xlpm.dataRange, 'Rita Quick test'!$B$3:$P$57,_xlpm.headers, 'Rita Quick test'!$B$2:$P$2,_xlpm.matchMatrix, ISNUMBER(SEARCH(_xlpm.searchText, _xlpm.dataRange)),_xlpm.colMatch, _xlfn.XMATCH(TRUE, _xlfn.BYCOL(_xlpm.matchMatrix, _xlfn.LAMBDA(_xlpm.col, OR(_xlpm.col)))),INDEX(_xlpm.headers, _xlpm.colMatch)),"")</f>
        <v/>
      </c>
      <c r="H325" s="1" t="str">
        <f>IFERROR(VLOOKUP("*" &amp; C325 &amp; "*",Terms!D:E,2,FALSE),"")</f>
        <v/>
      </c>
      <c r="I325" s="1" t="str">
        <f>IFERROR(VLOOKUP("*" &amp; C325 &amp; "*",'Terms 2'!B:D,3,FALSE),"")</f>
        <v/>
      </c>
    </row>
    <row r="326" spans="2:9">
      <c r="B326" s="1" t="str">
        <f t="shared" si="5"/>
        <v>Smoothing is when the problem is pushed aside</v>
      </c>
      <c r="C326" s="46" t="s">
        <v>4793</v>
      </c>
      <c r="D326" s="49" t="s">
        <v>4794</v>
      </c>
      <c r="E326" s="1" t="str" cm="1">
        <f t="array" ref="E326">IFERROR(
  _xlfn.LET(
    _xlpm.searchText, Tests!$C326,
    _xlpm.dataRange, ITTO!$B$3:$F$300,
    _xlpm.headers, ITTO!$B$2:$F$2,
    _xlpm.matchMatrix, ISNUMBER(SEARCH(_xlpm.searchText, _xlpm.dataRange)),
    _xlpm.colMatch, _xlfn.XMATCH(TRUE, _xlfn.BYCOL(_xlpm.matchMatrix, _xlfn.LAMBDA(_xlpm.col, OR(_xlpm.col)))),
    INDEX(_xlpm.headers, _xlpm.colMatch)
  ),
  ""
)</f>
        <v/>
      </c>
      <c r="F326" s="1" t="str" cm="1">
        <f t="array" ref="F326">IFERROR(_xlfn.LET(_xlpm.searchText, Tests!$C326,_xlpm.dataRange, PMBOK!$B$3:$F$300,_xlpm.headers, PMBOK!$B$2:$F$2,_xlpm.matchMatrix, ISNUMBER(SEARCH(_xlpm.searchText, _xlpm.dataRange)),_xlpm.colMatch, _xlfn.XMATCH(TRUE, _xlfn.BYCOL(_xlpm.matchMatrix, _xlfn.LAMBDA(_xlpm.col, OR(_xlpm.col)))),INDEX(_xlpm.headers, _xlpm.colMatch)),"")</f>
        <v/>
      </c>
      <c r="G326" s="1" t="str" cm="1">
        <f t="array" ref="G326">IFERROR(_xlfn.LET(_xlpm.searchText, Tests!$C326,_xlpm.dataRange, 'Rita Quick test'!$B$3:$P$57,_xlpm.headers, 'Rita Quick test'!$B$2:$P$2,_xlpm.matchMatrix, ISNUMBER(SEARCH(_xlpm.searchText, _xlpm.dataRange)),_xlpm.colMatch, _xlfn.XMATCH(TRUE, _xlfn.BYCOL(_xlpm.matchMatrix, _xlfn.LAMBDA(_xlpm.col, OR(_xlpm.col)))),INDEX(_xlpm.headers, _xlpm.colMatch)),"")</f>
        <v/>
      </c>
      <c r="H326" s="1" t="str">
        <f>IFERROR(VLOOKUP("*" &amp; C326 &amp; "*",Terms!D:E,2,FALSE),"")</f>
        <v/>
      </c>
      <c r="I326" s="1" t="str">
        <f>IFERROR(VLOOKUP("*" &amp; C326 &amp; "*",'Terms 2'!B:D,3,FALSE),"")</f>
        <v/>
      </c>
    </row>
    <row r="327" spans="2:9">
      <c r="B327" s="1" t="str">
        <f t="shared" si="5"/>
        <v>A sprint planning meeting is held to determine what requirements will be met in the next sprint.</v>
      </c>
      <c r="C327" s="47" t="s">
        <v>4576</v>
      </c>
      <c r="D327" s="49" t="s">
        <v>4930</v>
      </c>
      <c r="E327" s="1" t="str" cm="1">
        <f t="array" ref="E327">IFERROR(
  _xlfn.LET(
    _xlpm.searchText, Tests!$C327,
    _xlpm.dataRange, ITTO!$B$3:$F$300,
    _xlpm.headers, ITTO!$B$2:$F$2,
    _xlpm.matchMatrix, ISNUMBER(SEARCH(_xlpm.searchText, _xlpm.dataRange)),
    _xlpm.colMatch, _xlfn.XMATCH(TRUE, _xlfn.BYCOL(_xlpm.matchMatrix, _xlfn.LAMBDA(_xlpm.col, OR(_xlpm.col)))),
    INDEX(_xlpm.headers, _xlpm.colMatch)
  ),
  ""
)</f>
        <v/>
      </c>
      <c r="F327" s="1" t="str" cm="1">
        <f t="array" ref="F327">IFERROR(_xlfn.LET(_xlpm.searchText, Tests!$C327,_xlpm.dataRange, PMBOK!$B$3:$F$300,_xlpm.headers, PMBOK!$B$2:$F$2,_xlpm.matchMatrix, ISNUMBER(SEARCH(_xlpm.searchText, _xlpm.dataRange)),_xlpm.colMatch, _xlfn.XMATCH(TRUE, _xlfn.BYCOL(_xlpm.matchMatrix, _xlfn.LAMBDA(_xlpm.col, OR(_xlpm.col)))),INDEX(_xlpm.headers, _xlpm.colMatch)),"")</f>
        <v/>
      </c>
      <c r="G327" s="1" t="str" cm="1">
        <f t="array" ref="G327">IFERROR(_xlfn.LET(_xlpm.searchText, Tests!$C327,_xlpm.dataRange, 'Rita Quick test'!$B$3:$P$57,_xlpm.headers, 'Rita Quick test'!$B$2:$P$2,_xlpm.matchMatrix, ISNUMBER(SEARCH(_xlpm.searchText, _xlpm.dataRange)),_xlpm.colMatch, _xlfn.XMATCH(TRUE, _xlfn.BYCOL(_xlpm.matchMatrix, _xlfn.LAMBDA(_xlpm.col, OR(_xlpm.col)))),INDEX(_xlpm.headers, _xlpm.colMatch)),"")</f>
        <v/>
      </c>
      <c r="H327" s="1" t="str">
        <f>IFERROR(VLOOKUP("*" &amp; C327 &amp; "*",Terms!D:E,2,FALSE),"")</f>
        <v/>
      </c>
      <c r="I327" s="1" t="str">
        <f>IFERROR(VLOOKUP("*" &amp; C327 &amp; "*",'Terms 2'!B:D,3,FALSE),"")</f>
        <v/>
      </c>
    </row>
    <row r="328" spans="2:9">
      <c r="B328" s="1" t="str">
        <f t="shared" si="5"/>
        <v>During a sprint review, the customers review the partially finished product and give the team their feedback</v>
      </c>
      <c r="C328" s="46" t="s">
        <v>4749</v>
      </c>
      <c r="D328" s="49" t="s">
        <v>4577</v>
      </c>
      <c r="E328" s="1" t="str" cm="1">
        <f t="array" ref="E328">IFERROR(
  _xlfn.LET(
    _xlpm.searchText, Tests!$C328,
    _xlpm.dataRange, ITTO!$B$3:$F$300,
    _xlpm.headers, ITTO!$B$2:$F$2,
    _xlpm.matchMatrix, ISNUMBER(SEARCH(_xlpm.searchText, _xlpm.dataRange)),
    _xlpm.colMatch, _xlfn.XMATCH(TRUE, _xlfn.BYCOL(_xlpm.matchMatrix, _xlfn.LAMBDA(_xlpm.col, OR(_xlpm.col)))),
    INDEX(_xlpm.headers, _xlpm.colMatch)
  ),
  ""
)</f>
        <v/>
      </c>
      <c r="F328" s="1" t="str" cm="1">
        <f t="array" ref="F328">IFERROR(_xlfn.LET(_xlpm.searchText, Tests!$C328,_xlpm.dataRange, PMBOK!$B$3:$F$300,_xlpm.headers, PMBOK!$B$2:$F$2,_xlpm.matchMatrix, ISNUMBER(SEARCH(_xlpm.searchText, _xlpm.dataRange)),_xlpm.colMatch, _xlfn.XMATCH(TRUE, _xlfn.BYCOL(_xlpm.matchMatrix, _xlfn.LAMBDA(_xlpm.col, OR(_xlpm.col)))),INDEX(_xlpm.headers, _xlpm.colMatch)),"")</f>
        <v/>
      </c>
      <c r="G328" s="1" t="str" cm="1">
        <f t="array" ref="G328">IFERROR(_xlfn.LET(_xlpm.searchText, Tests!$C328,_xlpm.dataRange, 'Rita Quick test'!$B$3:$P$57,_xlpm.headers, 'Rita Quick test'!$B$2:$P$2,_xlpm.matchMatrix, ISNUMBER(SEARCH(_xlpm.searchText, _xlpm.dataRange)),_xlpm.colMatch, _xlfn.XMATCH(TRUE, _xlfn.BYCOL(_xlpm.matchMatrix, _xlfn.LAMBDA(_xlpm.col, OR(_xlpm.col)))),INDEX(_xlpm.headers, _xlpm.colMatch)),"")</f>
        <v/>
      </c>
      <c r="H328" s="1" t="str">
        <f>IFERROR(VLOOKUP("*" &amp; C328 &amp; "*",Terms!D:E,2,FALSE),"")</f>
        <v/>
      </c>
      <c r="I328" s="1" t="str">
        <f>IFERROR(VLOOKUP("*" &amp; C328 &amp; "*",'Terms 2'!B:D,3,FALSE),"")</f>
        <v/>
      </c>
    </row>
    <row r="329" spans="2:9">
      <c r="B329" s="1" t="str">
        <f t="shared" si="5"/>
        <v>During a sprint review, the customers review the partially finished product and give the team their feedback</v>
      </c>
      <c r="C329" s="47" t="s">
        <v>4575</v>
      </c>
      <c r="D329" s="49" t="s">
        <v>4577</v>
      </c>
      <c r="E329" s="1" t="str" cm="1">
        <f t="array" ref="E329">IFERROR(
  _xlfn.LET(
    _xlpm.searchText, Tests!$C329,
    _xlpm.dataRange, ITTO!$B$3:$F$300,
    _xlpm.headers, ITTO!$B$2:$F$2,
    _xlpm.matchMatrix, ISNUMBER(SEARCH(_xlpm.searchText, _xlpm.dataRange)),
    _xlpm.colMatch, _xlfn.XMATCH(TRUE, _xlfn.BYCOL(_xlpm.matchMatrix, _xlfn.LAMBDA(_xlpm.col, OR(_xlpm.col)))),
    INDEX(_xlpm.headers, _xlpm.colMatch)
  ),
  ""
)</f>
        <v/>
      </c>
      <c r="F329" s="1" t="str" cm="1">
        <f t="array" ref="F329">IFERROR(_xlfn.LET(_xlpm.searchText, Tests!$C329,_xlpm.dataRange, PMBOK!$B$3:$F$300,_xlpm.headers, PMBOK!$B$2:$F$2,_xlpm.matchMatrix, ISNUMBER(SEARCH(_xlpm.searchText, _xlpm.dataRange)),_xlpm.colMatch, _xlfn.XMATCH(TRUE, _xlfn.BYCOL(_xlpm.matchMatrix, _xlfn.LAMBDA(_xlpm.col, OR(_xlpm.col)))),INDEX(_xlpm.headers, _xlpm.colMatch)),"")</f>
        <v/>
      </c>
      <c r="G329" s="1" t="str" cm="1">
        <f t="array" ref="G329">IFERROR(_xlfn.LET(_xlpm.searchText, Tests!$C329,_xlpm.dataRange, 'Rita Quick test'!$B$3:$P$57,_xlpm.headers, 'Rita Quick test'!$B$2:$P$2,_xlpm.matchMatrix, ISNUMBER(SEARCH(_xlpm.searchText, _xlpm.dataRange)),_xlpm.colMatch, _xlfn.XMATCH(TRUE, _xlfn.BYCOL(_xlpm.matchMatrix, _xlfn.LAMBDA(_xlpm.col, OR(_xlpm.col)))),INDEX(_xlpm.headers, _xlpm.colMatch)),"")</f>
        <v/>
      </c>
      <c r="H329" s="1" t="str">
        <f>IFERROR(VLOOKUP("*" &amp; C329 &amp; "*",Terms!D:E,2,FALSE),"")</f>
        <v/>
      </c>
      <c r="I329" s="1" t="str">
        <f>IFERROR(VLOOKUP("*" &amp; C329 &amp; "*",'Terms 2'!B:D,3,FALSE),"")</f>
        <v/>
      </c>
    </row>
    <row r="330" spans="2:9">
      <c r="B330" s="1" t="str">
        <f t="shared" si="5"/>
        <v/>
      </c>
      <c r="C330" s="47" t="s">
        <v>4469</v>
      </c>
      <c r="D330" s="1" t="s">
        <v>4848</v>
      </c>
      <c r="E330" s="1" t="str" cm="1">
        <f t="array" ref="E330">IFERROR(
  _xlfn.LET(
    _xlpm.searchText, Tests!$C330,
    _xlpm.dataRange, ITTO!$B$3:$F$300,
    _xlpm.headers, ITTO!$B$2:$F$2,
    _xlpm.matchMatrix, ISNUMBER(SEARCH(_xlpm.searchText, _xlpm.dataRange)),
    _xlpm.colMatch, _xlfn.XMATCH(TRUE, _xlfn.BYCOL(_xlpm.matchMatrix, _xlfn.LAMBDA(_xlpm.col, OR(_xlpm.col)))),
    INDEX(_xlpm.headers, _xlpm.colMatch)
  ),
  ""
)</f>
        <v/>
      </c>
      <c r="F330" s="1" t="str" cm="1">
        <f t="array" ref="F330">IFERROR(_xlfn.LET(_xlpm.searchText, Tests!$C330,_xlpm.dataRange, PMBOK!$B$3:$F$300,_xlpm.headers, PMBOK!$B$2:$F$2,_xlpm.matchMatrix, ISNUMBER(SEARCH(_xlpm.searchText, _xlpm.dataRange)),_xlpm.colMatch, _xlfn.XMATCH(TRUE, _xlfn.BYCOL(_xlpm.matchMatrix, _xlfn.LAMBDA(_xlpm.col, OR(_xlpm.col)))),INDEX(_xlpm.headers, _xlpm.colMatch)),"")</f>
        <v/>
      </c>
      <c r="G330" s="1" t="str" cm="1">
        <f t="array" ref="G330">IFERROR(_xlfn.LET(_xlpm.searchText, Tests!$C330,_xlpm.dataRange, 'Rita Quick test'!$B$3:$P$57,_xlpm.headers, 'Rita Quick test'!$B$2:$P$2,_xlpm.matchMatrix, ISNUMBER(SEARCH(_xlpm.searchText, _xlpm.dataRange)),_xlpm.colMatch, _xlfn.XMATCH(TRUE, _xlfn.BYCOL(_xlpm.matchMatrix, _xlfn.LAMBDA(_xlpm.col, OR(_xlpm.col)))),INDEX(_xlpm.headers, _xlpm.colMatch)),"")</f>
        <v/>
      </c>
      <c r="H330" s="1" t="str">
        <f>IFERROR(VLOOKUP("*" &amp; C330 &amp; "*",Terms!D:E,2,FALSE),"")</f>
        <v/>
      </c>
      <c r="I330" s="1" t="str">
        <f>IFERROR(VLOOKUP("*" &amp; C330 &amp; "*",'Terms 2'!B:D,3,FALSE),"")</f>
        <v/>
      </c>
    </row>
    <row r="331" spans="2:9">
      <c r="B331" s="1" t="str">
        <f t="shared" si="5"/>
        <v>The stakeholder register can be updated at any point during the project. It contains a list of all stakeholders and their contact information, communication requirements, and impact on the project. Once this is done, then the project manager can update the communication management plan to add the new stakeholder. This is a change, not an issue on a project, so there is no need to update the issue log</v>
      </c>
      <c r="C331" s="47" t="s">
        <v>4722</v>
      </c>
      <c r="D331" s="49" t="s">
        <v>4724</v>
      </c>
      <c r="E331" s="1" t="str" cm="1">
        <f t="array" ref="E331">IFERROR(
  _xlfn.LET(
    _xlpm.searchText, Tests!$C331,
    _xlpm.dataRange, ITTO!$B$3:$F$300,
    _xlpm.headers, ITTO!$B$2:$F$2,
    _xlpm.matchMatrix, ISNUMBER(SEARCH(_xlpm.searchText, _xlpm.dataRange)),
    _xlpm.colMatch, _xlfn.XMATCH(TRUE, _xlfn.BYCOL(_xlpm.matchMatrix, _xlfn.LAMBDA(_xlpm.col, OR(_xlpm.col)))),
    INDEX(_xlpm.headers, _xlpm.colMatch)
  ),
  ""
)</f>
        <v/>
      </c>
      <c r="F331" s="1" t="str" cm="1">
        <f t="array" ref="F331">IFERROR(_xlfn.LET(_xlpm.searchText, Tests!$C331,_xlpm.dataRange, PMBOK!$B$3:$F$300,_xlpm.headers, PMBOK!$B$2:$F$2,_xlpm.matchMatrix, ISNUMBER(SEARCH(_xlpm.searchText, _xlpm.dataRange)),_xlpm.colMatch, _xlfn.XMATCH(TRUE, _xlfn.BYCOL(_xlpm.matchMatrix, _xlfn.LAMBDA(_xlpm.col, OR(_xlpm.col)))),INDEX(_xlpm.headers, _xlpm.colMatch)),"")</f>
        <v/>
      </c>
      <c r="G331" s="1" t="str" cm="1">
        <f t="array" ref="G331">IFERROR(_xlfn.LET(_xlpm.searchText, Tests!$C331,_xlpm.dataRange, 'Rita Quick test'!$B$3:$P$57,_xlpm.headers, 'Rita Quick test'!$B$2:$P$2,_xlpm.matchMatrix, ISNUMBER(SEARCH(_xlpm.searchText, _xlpm.dataRange)),_xlpm.colMatch, _xlfn.XMATCH(TRUE, _xlfn.BYCOL(_xlpm.matchMatrix, _xlfn.LAMBDA(_xlpm.col, OR(_xlpm.col)))),INDEX(_xlpm.headers, _xlpm.colMatch)),"")</f>
        <v/>
      </c>
      <c r="H331" s="1" t="str">
        <f>IFERROR(VLOOKUP("*" &amp; C331 &amp; "*",Terms!D:E,2,FALSE),"")</f>
        <v/>
      </c>
      <c r="I331" s="1" t="str">
        <f>IFERROR(VLOOKUP("*" &amp; C331 &amp; "*",'Terms 2'!B:D,3,FALSE),"")</f>
        <v/>
      </c>
    </row>
    <row r="332" spans="2:9">
      <c r="B332" s="1" t="str">
        <f t="shared" si="5"/>
        <v>Statistical independence means that an outcome of two events cannot affect each other</v>
      </c>
      <c r="C332" s="47" t="s">
        <v>4567</v>
      </c>
      <c r="D332" s="49" t="s">
        <v>4571</v>
      </c>
      <c r="E332" s="1" t="str" cm="1">
        <f t="array" ref="E332">IFERROR(
  _xlfn.LET(
    _xlpm.searchText, Tests!$C332,
    _xlpm.dataRange, ITTO!$B$3:$F$300,
    _xlpm.headers, ITTO!$B$2:$F$2,
    _xlpm.matchMatrix, ISNUMBER(SEARCH(_xlpm.searchText, _xlpm.dataRange)),
    _xlpm.colMatch, _xlfn.XMATCH(TRUE, _xlfn.BYCOL(_xlpm.matchMatrix, _xlfn.LAMBDA(_xlpm.col, OR(_xlpm.col)))),
    INDEX(_xlpm.headers, _xlpm.colMatch)
  ),
  ""
)</f>
        <v/>
      </c>
      <c r="F332" s="1" t="str" cm="1">
        <f t="array" ref="F332">IFERROR(_xlfn.LET(_xlpm.searchText, Tests!$C332,_xlpm.dataRange, PMBOK!$B$3:$F$300,_xlpm.headers, PMBOK!$B$2:$F$2,_xlpm.matchMatrix, ISNUMBER(SEARCH(_xlpm.searchText, _xlpm.dataRange)),_xlpm.colMatch, _xlfn.XMATCH(TRUE, _xlfn.BYCOL(_xlpm.matchMatrix, _xlfn.LAMBDA(_xlpm.col, OR(_xlpm.col)))),INDEX(_xlpm.headers, _xlpm.colMatch)),"")</f>
        <v/>
      </c>
      <c r="G332" s="1" t="str" cm="1">
        <f t="array" ref="G332">IFERROR(_xlfn.LET(_xlpm.searchText, Tests!$C332,_xlpm.dataRange, 'Rita Quick test'!$B$3:$P$57,_xlpm.headers, 'Rita Quick test'!$B$2:$P$2,_xlpm.matchMatrix, ISNUMBER(SEARCH(_xlpm.searchText, _xlpm.dataRange)),_xlpm.colMatch, _xlfn.XMATCH(TRUE, _xlfn.BYCOL(_xlpm.matchMatrix, _xlfn.LAMBDA(_xlpm.col, OR(_xlpm.col)))),INDEX(_xlpm.headers, _xlpm.colMatch)),"")</f>
        <v/>
      </c>
      <c r="H332" s="1" t="str">
        <f>IFERROR(VLOOKUP("*" &amp; C332 &amp; "*",Terms!D:E,2,FALSE),"")</f>
        <v/>
      </c>
      <c r="I332" s="1" t="str">
        <f>IFERROR(VLOOKUP("*" &amp; C332 &amp; "*",'Terms 2'!B:D,3,FALSE),"")</f>
        <v/>
      </c>
    </row>
    <row r="333" spans="2:9">
      <c r="B333" s="1" t="str">
        <f t="shared" si="5"/>
        <v>Statistical sampling is a measurement that is not just pass/fail; it also has a middle ground, such as good, very good, bad, or very bad.</v>
      </c>
      <c r="C333" s="47" t="s">
        <v>4569</v>
      </c>
      <c r="D333" s="49" t="s">
        <v>4931</v>
      </c>
      <c r="E333" s="1" t="str" cm="1">
        <f t="array" ref="E333">IFERROR(
  _xlfn.LET(
    _xlpm.searchText, Tests!$C333,
    _xlpm.dataRange, ITTO!$B$3:$F$300,
    _xlpm.headers, ITTO!$B$2:$F$2,
    _xlpm.matchMatrix, ISNUMBER(SEARCH(_xlpm.searchText, _xlpm.dataRange)),
    _xlpm.colMatch, _xlfn.XMATCH(TRUE, _xlfn.BYCOL(_xlpm.matchMatrix, _xlfn.LAMBDA(_xlpm.col, OR(_xlpm.col)))),
    INDEX(_xlpm.headers, _xlpm.colMatch)
  ),
  ""
)</f>
        <v/>
      </c>
      <c r="F333" s="1" t="str" cm="1">
        <f t="array" ref="F333">IFERROR(_xlfn.LET(_xlpm.searchText, Tests!$C333,_xlpm.dataRange, PMBOK!$B$3:$F$300,_xlpm.headers, PMBOK!$B$2:$F$2,_xlpm.matchMatrix, ISNUMBER(SEARCH(_xlpm.searchText, _xlpm.dataRange)),_xlpm.colMatch, _xlfn.XMATCH(TRUE, _xlfn.BYCOL(_xlpm.matchMatrix, _xlfn.LAMBDA(_xlpm.col, OR(_xlpm.col)))),INDEX(_xlpm.headers, _xlpm.colMatch)),"")</f>
        <v/>
      </c>
      <c r="G333" s="1" t="str" cm="1">
        <f t="array" ref="G333">IFERROR(_xlfn.LET(_xlpm.searchText, Tests!$C333,_xlpm.dataRange, 'Rita Quick test'!$B$3:$P$57,_xlpm.headers, 'Rita Quick test'!$B$2:$P$2,_xlpm.matchMatrix, ISNUMBER(SEARCH(_xlpm.searchText, _xlpm.dataRange)),_xlpm.colMatch, _xlfn.XMATCH(TRUE, _xlfn.BYCOL(_xlpm.matchMatrix, _xlfn.LAMBDA(_xlpm.col, OR(_xlpm.col)))),INDEX(_xlpm.headers, _xlpm.colMatch)),"")</f>
        <v/>
      </c>
      <c r="H333" s="1" t="str">
        <f>IFERROR(VLOOKUP("*" &amp; C333 &amp; "*",Terms!D:E,2,FALSE),"")</f>
        <v/>
      </c>
      <c r="I333" s="1" t="str">
        <f>IFERROR(VLOOKUP("*" &amp; C333 &amp; "*",'Terms 2'!B:D,3,FALSE),"")</f>
        <v/>
      </c>
    </row>
    <row r="334" spans="2:9">
      <c r="B334" s="1" t="str">
        <f t="shared" si="5"/>
        <v/>
      </c>
      <c r="C334" s="47" t="s">
        <v>4560</v>
      </c>
      <c r="D334" s="1" t="s">
        <v>4848</v>
      </c>
      <c r="E334" s="1" t="str" cm="1">
        <f t="array" ref="E334">IFERROR(
  _xlfn.LET(
    _xlpm.searchText, Tests!$C334,
    _xlpm.dataRange, ITTO!$B$3:$F$300,
    _xlpm.headers, ITTO!$B$2:$F$2,
    _xlpm.matchMatrix, ISNUMBER(SEARCH(_xlpm.searchText, _xlpm.dataRange)),
    _xlpm.colMatch, _xlfn.XMATCH(TRUE, _xlfn.BYCOL(_xlpm.matchMatrix, _xlfn.LAMBDA(_xlpm.col, OR(_xlpm.col)))),
    INDEX(_xlpm.headers, _xlpm.colMatch)
  ),
  ""
)</f>
        <v/>
      </c>
      <c r="F334" s="1" t="str" cm="1">
        <f t="array" ref="F334">IFERROR(_xlfn.LET(_xlpm.searchText, Tests!$C334,_xlpm.dataRange, PMBOK!$B$3:$F$300,_xlpm.headers, PMBOK!$B$2:$F$2,_xlpm.matchMatrix, ISNUMBER(SEARCH(_xlpm.searchText, _xlpm.dataRange)),_xlpm.colMatch, _xlfn.XMATCH(TRUE, _xlfn.BYCOL(_xlpm.matchMatrix, _xlfn.LAMBDA(_xlpm.col, OR(_xlpm.col)))),INDEX(_xlpm.headers, _xlpm.colMatch)),"")</f>
        <v/>
      </c>
      <c r="G334" s="1" t="str" cm="1">
        <f t="array" ref="G334">IFERROR(_xlfn.LET(_xlpm.searchText, Tests!$C334,_xlpm.dataRange, 'Rita Quick test'!$B$3:$P$57,_xlpm.headers, 'Rita Quick test'!$B$2:$P$2,_xlpm.matchMatrix, ISNUMBER(SEARCH(_xlpm.searchText, _xlpm.dataRange)),_xlpm.colMatch, _xlfn.XMATCH(TRUE, _xlfn.BYCOL(_xlpm.matchMatrix, _xlfn.LAMBDA(_xlpm.col, OR(_xlpm.col)))),INDEX(_xlpm.headers, _xlpm.colMatch)),"")</f>
        <v/>
      </c>
      <c r="H334" s="1" t="str">
        <f>IFERROR(VLOOKUP("*" &amp; C334 &amp; "*",Terms!D:E,2,FALSE),"")</f>
        <v/>
      </c>
      <c r="I334" s="1" t="str">
        <f>IFERROR(VLOOKUP("*" &amp; C334 &amp; "*",'Terms 2'!B:D,3,FALSE),"")</f>
        <v/>
      </c>
    </row>
    <row r="335" spans="2:9">
      <c r="B335" s="1" t="str">
        <f t="shared" si="5"/>
        <v>The process being completed in this question is develop team. The output is team performance assessments.</v>
      </c>
      <c r="C335" s="47" t="s">
        <v>4783</v>
      </c>
      <c r="D335" s="49" t="s">
        <v>4932</v>
      </c>
      <c r="E335" s="1" t="str" cm="1">
        <f t="array" ref="E335">IFERROR(
  _xlfn.LET(
    _xlpm.searchText, Tests!$C335,
    _xlpm.dataRange, ITTO!$B$3:$F$300,
    _xlpm.headers, ITTO!$B$2:$F$2,
    _xlpm.matchMatrix, ISNUMBER(SEARCH(_xlpm.searchText, _xlpm.dataRange)),
    _xlpm.colMatch, _xlfn.XMATCH(TRUE, _xlfn.BYCOL(_xlpm.matchMatrix, _xlfn.LAMBDA(_xlpm.col, OR(_xlpm.col)))),
    INDEX(_xlpm.headers, _xlpm.colMatch)
  ),
  ""
)</f>
        <v/>
      </c>
      <c r="F335" s="1" t="str" cm="1">
        <f t="array" ref="F335">IFERROR(_xlfn.LET(_xlpm.searchText, Tests!$C335,_xlpm.dataRange, PMBOK!$B$3:$F$300,_xlpm.headers, PMBOK!$B$2:$F$2,_xlpm.matchMatrix, ISNUMBER(SEARCH(_xlpm.searchText, _xlpm.dataRange)),_xlpm.colMatch, _xlfn.XMATCH(TRUE, _xlfn.BYCOL(_xlpm.matchMatrix, _xlfn.LAMBDA(_xlpm.col, OR(_xlpm.col)))),INDEX(_xlpm.headers, _xlpm.colMatch)),"")</f>
        <v/>
      </c>
      <c r="G335" s="1" t="str" cm="1">
        <f t="array" ref="G335">IFERROR(_xlfn.LET(_xlpm.searchText, Tests!$C335,_xlpm.dataRange, 'Rita Quick test'!$B$3:$P$57,_xlpm.headers, 'Rita Quick test'!$B$2:$P$2,_xlpm.matchMatrix, ISNUMBER(SEARCH(_xlpm.searchText, _xlpm.dataRange)),_xlpm.colMatch, _xlfn.XMATCH(TRUE, _xlfn.BYCOL(_xlpm.matchMatrix, _xlfn.LAMBDA(_xlpm.col, OR(_xlpm.col)))),INDEX(_xlpm.headers, _xlpm.colMatch)),"")</f>
        <v/>
      </c>
      <c r="H335" s="1" t="str">
        <f>IFERROR(VLOOKUP("*" &amp; C335 &amp; "*",Terms!D:E,2,FALSE),"")</f>
        <v/>
      </c>
      <c r="I335" s="1" t="str">
        <f>IFERROR(VLOOKUP("*" &amp; C335 &amp; "*",'Terms 2'!B:D,3,FALSE),"")</f>
        <v/>
      </c>
    </row>
    <row r="336" spans="2:9">
      <c r="B336" s="1" t="str">
        <f t="shared" si="5"/>
        <v/>
      </c>
      <c r="C336" s="47" t="s">
        <v>4650</v>
      </c>
      <c r="D336" s="1" t="s">
        <v>4848</v>
      </c>
      <c r="E336" s="1" t="str" cm="1">
        <f t="array" ref="E336">IFERROR(
  _xlfn.LET(
    _xlpm.searchText, Tests!$C336,
    _xlpm.dataRange, ITTO!$B$3:$F$300,
    _xlpm.headers, ITTO!$B$2:$F$2,
    _xlpm.matchMatrix, ISNUMBER(SEARCH(_xlpm.searchText, _xlpm.dataRange)),
    _xlpm.colMatch, _xlfn.XMATCH(TRUE, _xlfn.BYCOL(_xlpm.matchMatrix, _xlfn.LAMBDA(_xlpm.col, OR(_xlpm.col)))),
    INDEX(_xlpm.headers, _xlpm.colMatch)
  ),
  ""
)</f>
        <v/>
      </c>
      <c r="F336" s="1" t="str" cm="1">
        <f t="array" ref="F336">IFERROR(_xlfn.LET(_xlpm.searchText, Tests!$C336,_xlpm.dataRange, PMBOK!$B$3:$F$300,_xlpm.headers, PMBOK!$B$2:$F$2,_xlpm.matchMatrix, ISNUMBER(SEARCH(_xlpm.searchText, _xlpm.dataRange)),_xlpm.colMatch, _xlfn.XMATCH(TRUE, _xlfn.BYCOL(_xlpm.matchMatrix, _xlfn.LAMBDA(_xlpm.col, OR(_xlpm.col)))),INDEX(_xlpm.headers, _xlpm.colMatch)),"")</f>
        <v/>
      </c>
      <c r="G336" s="1" t="str" cm="1">
        <f t="array" ref="G336">IFERROR(_xlfn.LET(_xlpm.searchText, Tests!$C336,_xlpm.dataRange, 'Rita Quick test'!$B$3:$P$57,_xlpm.headers, 'Rita Quick test'!$B$2:$P$2,_xlpm.matchMatrix, ISNUMBER(SEARCH(_xlpm.searchText, _xlpm.dataRange)),_xlpm.colMatch, _xlfn.XMATCH(TRUE, _xlfn.BYCOL(_xlpm.matchMatrix, _xlfn.LAMBDA(_xlpm.col, OR(_xlpm.col)))),INDEX(_xlpm.headers, _xlpm.colMatch)),"")</f>
        <v/>
      </c>
      <c r="H336" s="1" t="str">
        <f>IFERROR(VLOOKUP("*" &amp; C336 &amp; "*",Terms!D:E,2,FALSE),"")</f>
        <v/>
      </c>
      <c r="I336" s="1" t="str">
        <f>IFERROR(VLOOKUP("*" &amp; C336 &amp; "*",'Terms 2'!B:D,3,FALSE),"")</f>
        <v/>
      </c>
    </row>
    <row r="337" spans="2:9">
      <c r="B337" s="1" t="str">
        <f t="shared" si="5"/>
        <v/>
      </c>
      <c r="C337" s="47" t="s">
        <v>4764</v>
      </c>
      <c r="D337" s="1" t="s">
        <v>4848</v>
      </c>
      <c r="E337" s="1" t="str" cm="1">
        <f t="array" ref="E337">IFERROR(
  _xlfn.LET(
    _xlpm.searchText, Tests!$C337,
    _xlpm.dataRange, ITTO!$B$3:$F$300,
    _xlpm.headers, ITTO!$B$2:$F$2,
    _xlpm.matchMatrix, ISNUMBER(SEARCH(_xlpm.searchText, _xlpm.dataRange)),
    _xlpm.colMatch, _xlfn.XMATCH(TRUE, _xlfn.BYCOL(_xlpm.matchMatrix, _xlfn.LAMBDA(_xlpm.col, OR(_xlpm.col)))),
    INDEX(_xlpm.headers, _xlpm.colMatch)
  ),
  ""
)</f>
        <v/>
      </c>
      <c r="F337" s="1" t="str" cm="1">
        <f t="array" ref="F337">IFERROR(_xlfn.LET(_xlpm.searchText, Tests!$C337,_xlpm.dataRange, PMBOK!$B$3:$F$300,_xlpm.headers, PMBOK!$B$2:$F$2,_xlpm.matchMatrix, ISNUMBER(SEARCH(_xlpm.searchText, _xlpm.dataRange)),_xlpm.colMatch, _xlfn.XMATCH(TRUE, _xlfn.BYCOL(_xlpm.matchMatrix, _xlfn.LAMBDA(_xlpm.col, OR(_xlpm.col)))),INDEX(_xlpm.headers, _xlpm.colMatch)),"")</f>
        <v/>
      </c>
      <c r="G337" s="1" t="str" cm="1">
        <f t="array" ref="G337">IFERROR(_xlfn.LET(_xlpm.searchText, Tests!$C337,_xlpm.dataRange, 'Rita Quick test'!$B$3:$P$57,_xlpm.headers, 'Rita Quick test'!$B$2:$P$2,_xlpm.matchMatrix, ISNUMBER(SEARCH(_xlpm.searchText, _xlpm.dataRange)),_xlpm.colMatch, _xlfn.XMATCH(TRUE, _xlfn.BYCOL(_xlpm.matchMatrix, _xlfn.LAMBDA(_xlpm.col, OR(_xlpm.col)))),INDEX(_xlpm.headers, _xlpm.colMatch)),"")</f>
        <v/>
      </c>
      <c r="H337" s="1" t="str">
        <f>IFERROR(VLOOKUP("*" &amp; C337 &amp; "*",Terms!D:E,2,FALSE),"")</f>
        <v/>
      </c>
      <c r="I337" s="1" t="str">
        <f>IFERROR(VLOOKUP("*" &amp; C337 &amp; "*",'Terms 2'!B:D,3,FALSE),"")</f>
        <v/>
      </c>
    </row>
    <row r="338" spans="2:9">
      <c r="B338" s="1" t="str">
        <f t="shared" si="5"/>
        <v/>
      </c>
      <c r="C338" s="47" t="s">
        <v>4763</v>
      </c>
      <c r="D338" s="1" t="s">
        <v>4848</v>
      </c>
      <c r="E338" s="1" t="str" cm="1">
        <f t="array" ref="E338">IFERROR(
  _xlfn.LET(
    _xlpm.searchText, Tests!$C338,
    _xlpm.dataRange, ITTO!$B$3:$F$300,
    _xlpm.headers, ITTO!$B$2:$F$2,
    _xlpm.matchMatrix, ISNUMBER(SEARCH(_xlpm.searchText, _xlpm.dataRange)),
    _xlpm.colMatch, _xlfn.XMATCH(TRUE, _xlfn.BYCOL(_xlpm.matchMatrix, _xlfn.LAMBDA(_xlpm.col, OR(_xlpm.col)))),
    INDEX(_xlpm.headers, _xlpm.colMatch)
  ),
  ""
)</f>
        <v/>
      </c>
      <c r="F338" s="1" t="str" cm="1">
        <f t="array" ref="F338">IFERROR(_xlfn.LET(_xlpm.searchText, Tests!$C338,_xlpm.dataRange, PMBOK!$B$3:$F$300,_xlpm.headers, PMBOK!$B$2:$F$2,_xlpm.matchMatrix, ISNUMBER(SEARCH(_xlpm.searchText, _xlpm.dataRange)),_xlpm.colMatch, _xlfn.XMATCH(TRUE, _xlfn.BYCOL(_xlpm.matchMatrix, _xlfn.LAMBDA(_xlpm.col, OR(_xlpm.col)))),INDEX(_xlpm.headers, _xlpm.colMatch)),"")</f>
        <v/>
      </c>
      <c r="G338" s="1" t="str" cm="1">
        <f t="array" ref="G338">IFERROR(_xlfn.LET(_xlpm.searchText, Tests!$C338,_xlpm.dataRange, 'Rita Quick test'!$B$3:$P$57,_xlpm.headers, 'Rita Quick test'!$B$2:$P$2,_xlpm.matchMatrix, ISNUMBER(SEARCH(_xlpm.searchText, _xlpm.dataRange)),_xlpm.colMatch, _xlfn.XMATCH(TRUE, _xlfn.BYCOL(_xlpm.matchMatrix, _xlfn.LAMBDA(_xlpm.col, OR(_xlpm.col)))),INDEX(_xlpm.headers, _xlpm.colMatch)),"")</f>
        <v/>
      </c>
      <c r="H338" s="1" t="str">
        <f>IFERROR(VLOOKUP("*" &amp; C338 &amp; "*",Terms!D:E,2,FALSE),"")</f>
        <v/>
      </c>
      <c r="I338" s="1" t="str">
        <f>IFERROR(VLOOKUP("*" &amp; C338 &amp; "*",'Terms 2'!B:D,3,FALSE),"")</f>
        <v/>
      </c>
    </row>
    <row r="339" spans="2:9">
      <c r="B339" s="1" t="str">
        <f t="shared" si="5"/>
        <v>One of the core principles of agile is to defer decisions. This means not making decisions about potential changes or features until the very last minute.</v>
      </c>
      <c r="C339" s="47" t="s">
        <v>4804</v>
      </c>
      <c r="D339" s="48" t="s">
        <v>4807</v>
      </c>
      <c r="E339" s="1" t="str" cm="1">
        <f t="array" ref="E339">IFERROR(
  _xlfn.LET(
    _xlpm.searchText, Tests!$C339,
    _xlpm.dataRange, ITTO!$B$3:$F$300,
    _xlpm.headers, ITTO!$B$2:$F$2,
    _xlpm.matchMatrix, ISNUMBER(SEARCH(_xlpm.searchText, _xlpm.dataRange)),
    _xlpm.colMatch, _xlfn.XMATCH(TRUE, _xlfn.BYCOL(_xlpm.matchMatrix, _xlfn.LAMBDA(_xlpm.col, OR(_xlpm.col)))),
    INDEX(_xlpm.headers, _xlpm.colMatch)
  ),
  ""
)</f>
        <v/>
      </c>
      <c r="F339" s="1" t="str" cm="1">
        <f t="array" ref="F339">IFERROR(_xlfn.LET(_xlpm.searchText, Tests!$C339,_xlpm.dataRange, PMBOK!$B$3:$F$300,_xlpm.headers, PMBOK!$B$2:$F$2,_xlpm.matchMatrix, ISNUMBER(SEARCH(_xlpm.searchText, _xlpm.dataRange)),_xlpm.colMatch, _xlfn.XMATCH(TRUE, _xlfn.BYCOL(_xlpm.matchMatrix, _xlfn.LAMBDA(_xlpm.col, OR(_xlpm.col)))),INDEX(_xlpm.headers, _xlpm.colMatch)),"")</f>
        <v/>
      </c>
      <c r="G339" s="1" t="str" cm="1">
        <f t="array" ref="G339">IFERROR(_xlfn.LET(_xlpm.searchText, Tests!$C339,_xlpm.dataRange, 'Rita Quick test'!$B$3:$P$57,_xlpm.headers, 'Rita Quick test'!$B$2:$P$2,_xlpm.matchMatrix, ISNUMBER(SEARCH(_xlpm.searchText, _xlpm.dataRange)),_xlpm.colMatch, _xlfn.XMATCH(TRUE, _xlfn.BYCOL(_xlpm.matchMatrix, _xlfn.LAMBDA(_xlpm.col, OR(_xlpm.col)))),INDEX(_xlpm.headers, _xlpm.colMatch)),"")</f>
        <v/>
      </c>
      <c r="H339" s="1" t="str">
        <f>IFERROR(VLOOKUP("*" &amp; C339 &amp; "*",Terms!D:E,2,FALSE),"")</f>
        <v/>
      </c>
      <c r="I339" s="1" t="str">
        <f>IFERROR(VLOOKUP("*" &amp; C339 &amp; "*",'Terms 2'!B:D,3,FALSE),"")</f>
        <v/>
      </c>
    </row>
    <row r="340" spans="2:9">
      <c r="B340" s="1" t="str">
        <f t="shared" si="5"/>
        <v>The risk management plan includes the risk breakdown structure that categorizes risks, roles, and responsibilities for the team members and the methodology they would use to perform the risk processes on the project.</v>
      </c>
      <c r="C340" s="47" t="s">
        <v>4635</v>
      </c>
      <c r="D340" s="49" t="s">
        <v>4638</v>
      </c>
      <c r="E340" s="1" t="str" cm="1">
        <f t="array" ref="E340">IFERROR(
  _xlfn.LET(
    _xlpm.searchText, Tests!$C340,
    _xlpm.dataRange, ITTO!$B$3:$F$300,
    _xlpm.headers, ITTO!$B$2:$F$2,
    _xlpm.matchMatrix, ISNUMBER(SEARCH(_xlpm.searchText, _xlpm.dataRange)),
    _xlpm.colMatch, _xlfn.XMATCH(TRUE, _xlfn.BYCOL(_xlpm.matchMatrix, _xlfn.LAMBDA(_xlpm.col, OR(_xlpm.col)))),
    INDEX(_xlpm.headers, _xlpm.colMatch)
  ),
  ""
)</f>
        <v/>
      </c>
      <c r="F340" s="1" t="str" cm="1">
        <f t="array" ref="F340">IFERROR(_xlfn.LET(_xlpm.searchText, Tests!$C340,_xlpm.dataRange, PMBOK!$B$3:$F$300,_xlpm.headers, PMBOK!$B$2:$F$2,_xlpm.matchMatrix, ISNUMBER(SEARCH(_xlpm.searchText, _xlpm.dataRange)),_xlpm.colMatch, _xlfn.XMATCH(TRUE, _xlfn.BYCOL(_xlpm.matchMatrix, _xlfn.LAMBDA(_xlpm.col, OR(_xlpm.col)))),INDEX(_xlpm.headers, _xlpm.colMatch)),"")</f>
        <v/>
      </c>
      <c r="G340" s="1" t="str" cm="1">
        <f t="array" ref="G340">IFERROR(_xlfn.LET(_xlpm.searchText, Tests!$C340,_xlpm.dataRange, 'Rita Quick test'!$B$3:$P$57,_xlpm.headers, 'Rita Quick test'!$B$2:$P$2,_xlpm.matchMatrix, ISNUMBER(SEARCH(_xlpm.searchText, _xlpm.dataRange)),_xlpm.colMatch, _xlfn.XMATCH(TRUE, _xlfn.BYCOL(_xlpm.matchMatrix, _xlfn.LAMBDA(_xlpm.col, OR(_xlpm.col)))),INDEX(_xlpm.headers, _xlpm.colMatch)),"")</f>
        <v/>
      </c>
      <c r="H340" s="1" t="str">
        <f>IFERROR(VLOOKUP("*" &amp; C340 &amp; "*",Terms!D:E,2,FALSE),"")</f>
        <v/>
      </c>
      <c r="I340" s="1" t="str">
        <f>IFERROR(VLOOKUP("*" &amp; C340 &amp; "*",'Terms 2'!B:D,3,FALSE),"")</f>
        <v/>
      </c>
    </row>
    <row r="341" spans="2:9">
      <c r="B341" s="1" t="str">
        <f t="shared" si="5"/>
        <v>The product scope describes the features and functionality of the product, whereas the project scope describes how to get the features and functionality from that product.</v>
      </c>
      <c r="C341" s="47" t="s">
        <v>4784</v>
      </c>
      <c r="D341" s="48" t="s">
        <v>4788</v>
      </c>
      <c r="E341" s="1" t="str" cm="1">
        <f t="array" ref="E341">IFERROR(
  _xlfn.LET(
    _xlpm.searchText, Tests!$C341,
    _xlpm.dataRange, ITTO!$B$3:$F$300,
    _xlpm.headers, ITTO!$B$2:$F$2,
    _xlpm.matchMatrix, ISNUMBER(SEARCH(_xlpm.searchText, _xlpm.dataRange)),
    _xlpm.colMatch, _xlfn.XMATCH(TRUE, _xlfn.BYCOL(_xlpm.matchMatrix, _xlfn.LAMBDA(_xlpm.col, OR(_xlpm.col)))),
    INDEX(_xlpm.headers, _xlpm.colMatch)
  ),
  ""
)</f>
        <v/>
      </c>
      <c r="F341" s="1" t="str" cm="1">
        <f t="array" ref="F341">IFERROR(_xlfn.LET(_xlpm.searchText, Tests!$C341,_xlpm.dataRange, PMBOK!$B$3:$F$300,_xlpm.headers, PMBOK!$B$2:$F$2,_xlpm.matchMatrix, ISNUMBER(SEARCH(_xlpm.searchText, _xlpm.dataRange)),_xlpm.colMatch, _xlfn.XMATCH(TRUE, _xlfn.BYCOL(_xlpm.matchMatrix, _xlfn.LAMBDA(_xlpm.col, OR(_xlpm.col)))),INDEX(_xlpm.headers, _xlpm.colMatch)),"")</f>
        <v/>
      </c>
      <c r="G341" s="1" t="str" cm="1">
        <f t="array" ref="G341">IFERROR(_xlfn.LET(_xlpm.searchText, Tests!$C341,_xlpm.dataRange, 'Rita Quick test'!$B$3:$P$57,_xlpm.headers, 'Rita Quick test'!$B$2:$P$2,_xlpm.matchMatrix, ISNUMBER(SEARCH(_xlpm.searchText, _xlpm.dataRange)),_xlpm.colMatch, _xlfn.XMATCH(TRUE, _xlfn.BYCOL(_xlpm.matchMatrix, _xlfn.LAMBDA(_xlpm.col, OR(_xlpm.col)))),INDEX(_xlpm.headers, _xlpm.colMatch)),"")</f>
        <v/>
      </c>
      <c r="H341" s="1" t="str">
        <f>IFERROR(VLOOKUP("*" &amp; C341 &amp; "*",Terms!D:E,2,FALSE),"")</f>
        <v/>
      </c>
      <c r="I341" s="1" t="str">
        <f>IFERROR(VLOOKUP("*" &amp; C341 &amp; "*",'Terms 2'!B:D,3,FALSE),"")</f>
        <v/>
      </c>
    </row>
    <row r="342" spans="2:9">
      <c r="B342" s="1" t="str">
        <f t="shared" si="5"/>
        <v/>
      </c>
      <c r="C342" s="47" t="s">
        <v>4787</v>
      </c>
      <c r="D342" s="1" t="s">
        <v>4848</v>
      </c>
      <c r="E342" s="1" t="str" cm="1">
        <f t="array" ref="E342">IFERROR(
  _xlfn.LET(
    _xlpm.searchText, Tests!$C342,
    _xlpm.dataRange, ITTO!$B$3:$F$300,
    _xlpm.headers, ITTO!$B$2:$F$2,
    _xlpm.matchMatrix, ISNUMBER(SEARCH(_xlpm.searchText, _xlpm.dataRange)),
    _xlpm.colMatch, _xlfn.XMATCH(TRUE, _xlfn.BYCOL(_xlpm.matchMatrix, _xlfn.LAMBDA(_xlpm.col, OR(_xlpm.col)))),
    INDEX(_xlpm.headers, _xlpm.colMatch)
  ),
  ""
)</f>
        <v/>
      </c>
      <c r="F342" s="1" t="str" cm="1">
        <f t="array" ref="F342">IFERROR(_xlfn.LET(_xlpm.searchText, Tests!$C342,_xlpm.dataRange, PMBOK!$B$3:$F$300,_xlpm.headers, PMBOK!$B$2:$F$2,_xlpm.matchMatrix, ISNUMBER(SEARCH(_xlpm.searchText, _xlpm.dataRange)),_xlpm.colMatch, _xlfn.XMATCH(TRUE, _xlfn.BYCOL(_xlpm.matchMatrix, _xlfn.LAMBDA(_xlpm.col, OR(_xlpm.col)))),INDEX(_xlpm.headers, _xlpm.colMatch)),"")</f>
        <v/>
      </c>
      <c r="G342" s="1" t="str" cm="1">
        <f t="array" ref="G342">IFERROR(_xlfn.LET(_xlpm.searchText, Tests!$C342,_xlpm.dataRange, 'Rita Quick test'!$B$3:$P$57,_xlpm.headers, 'Rita Quick test'!$B$2:$P$2,_xlpm.matchMatrix, ISNUMBER(SEARCH(_xlpm.searchText, _xlpm.dataRange)),_xlpm.colMatch, _xlfn.XMATCH(TRUE, _xlfn.BYCOL(_xlpm.matchMatrix, _xlfn.LAMBDA(_xlpm.col, OR(_xlpm.col)))),INDEX(_xlpm.headers, _xlpm.colMatch)),"")</f>
        <v/>
      </c>
      <c r="H342" s="1" t="str">
        <f>IFERROR(VLOOKUP("*" &amp; C342 &amp; "*",Terms!D:E,2,FALSE),"")</f>
        <v/>
      </c>
      <c r="I342" s="1" t="str">
        <f>IFERROR(VLOOKUP("*" &amp; C342 &amp; "*",'Terms 2'!B:D,3,FALSE),"")</f>
        <v/>
      </c>
    </row>
    <row r="343" spans="2:9">
      <c r="B343" s="1" t="str">
        <f t="shared" si="5"/>
        <v/>
      </c>
      <c r="C343" s="47" t="s">
        <v>4785</v>
      </c>
      <c r="D343" s="1" t="s">
        <v>4848</v>
      </c>
      <c r="E343" s="1" t="str" cm="1">
        <f t="array" ref="E343">IFERROR(
  _xlfn.LET(
    _xlpm.searchText, Tests!$C343,
    _xlpm.dataRange, ITTO!$B$3:$F$300,
    _xlpm.headers, ITTO!$B$2:$F$2,
    _xlpm.matchMatrix, ISNUMBER(SEARCH(_xlpm.searchText, _xlpm.dataRange)),
    _xlpm.colMatch, _xlfn.XMATCH(TRUE, _xlfn.BYCOL(_xlpm.matchMatrix, _xlfn.LAMBDA(_xlpm.col, OR(_xlpm.col)))),
    INDEX(_xlpm.headers, _xlpm.colMatch)
  ),
  ""
)</f>
        <v/>
      </c>
      <c r="F343" s="1" t="str" cm="1">
        <f t="array" ref="F343">IFERROR(_xlfn.LET(_xlpm.searchText, Tests!$C343,_xlpm.dataRange, PMBOK!$B$3:$F$300,_xlpm.headers, PMBOK!$B$2:$F$2,_xlpm.matchMatrix, ISNUMBER(SEARCH(_xlpm.searchText, _xlpm.dataRange)),_xlpm.colMatch, _xlfn.XMATCH(TRUE, _xlfn.BYCOL(_xlpm.matchMatrix, _xlfn.LAMBDA(_xlpm.col, OR(_xlpm.col)))),INDEX(_xlpm.headers, _xlpm.colMatch)),"")</f>
        <v/>
      </c>
      <c r="G343" s="1" t="str" cm="1">
        <f t="array" ref="G343">IFERROR(_xlfn.LET(_xlpm.searchText, Tests!$C343,_xlpm.dataRange, 'Rita Quick test'!$B$3:$P$57,_xlpm.headers, 'Rita Quick test'!$B$2:$P$2,_xlpm.matchMatrix, ISNUMBER(SEARCH(_xlpm.searchText, _xlpm.dataRange)),_xlpm.colMatch, _xlfn.XMATCH(TRUE, _xlfn.BYCOL(_xlpm.matchMatrix, _xlfn.LAMBDA(_xlpm.col, OR(_xlpm.col)))),INDEX(_xlpm.headers, _xlpm.colMatch)),"")</f>
        <v/>
      </c>
      <c r="H343" s="1" t="str">
        <f>IFERROR(VLOOKUP("*" &amp; C343 &amp; "*",Terms!D:E,2,FALSE),"")</f>
        <v/>
      </c>
      <c r="I343" s="1" t="str">
        <f>IFERROR(VLOOKUP("*" &amp; C343 &amp; "*",'Terms 2'!B:D,3,FALSE),"")</f>
        <v/>
      </c>
    </row>
    <row r="344" spans="2:9">
      <c r="B344" s="1" t="str">
        <f t="shared" si="5"/>
        <v>Theory X is a management theory in which the manager does not trust his or her workers and will micromanage them. This theory generally leads to the team being unhappy.</v>
      </c>
      <c r="C344" s="47" t="s">
        <v>4814</v>
      </c>
      <c r="D344" s="49" t="s">
        <v>4841</v>
      </c>
      <c r="E344" s="1" t="str" cm="1">
        <f t="array" ref="E344">IFERROR(
  _xlfn.LET(
    _xlpm.searchText, Tests!$C344,
    _xlpm.dataRange, ITTO!$B$3:$F$300,
    _xlpm.headers, ITTO!$B$2:$F$2,
    _xlpm.matchMatrix, ISNUMBER(SEARCH(_xlpm.searchText, _xlpm.dataRange)),
    _xlpm.colMatch, _xlfn.XMATCH(TRUE, _xlfn.BYCOL(_xlpm.matchMatrix, _xlfn.LAMBDA(_xlpm.col, OR(_xlpm.col)))),
    INDEX(_xlpm.headers, _xlpm.colMatch)
  ),
  ""
)</f>
        <v/>
      </c>
      <c r="F344" s="1" t="str" cm="1">
        <f t="array" ref="F344">IFERROR(_xlfn.LET(_xlpm.searchText, Tests!$C344,_xlpm.dataRange, PMBOK!$B$3:$F$300,_xlpm.headers, PMBOK!$B$2:$F$2,_xlpm.matchMatrix, ISNUMBER(SEARCH(_xlpm.searchText, _xlpm.dataRange)),_xlpm.colMatch, _xlfn.XMATCH(TRUE, _xlfn.BYCOL(_xlpm.matchMatrix, _xlfn.LAMBDA(_xlpm.col, OR(_xlpm.col)))),INDEX(_xlpm.headers, _xlpm.colMatch)),"")</f>
        <v/>
      </c>
      <c r="G344" s="1" t="str" cm="1">
        <f t="array" ref="G344">IFERROR(_xlfn.LET(_xlpm.searchText, Tests!$C344,_xlpm.dataRange, 'Rita Quick test'!$B$3:$P$57,_xlpm.headers, 'Rita Quick test'!$B$2:$P$2,_xlpm.matchMatrix, ISNUMBER(SEARCH(_xlpm.searchText, _xlpm.dataRange)),_xlpm.colMatch, _xlfn.XMATCH(TRUE, _xlfn.BYCOL(_xlpm.matchMatrix, _xlfn.LAMBDA(_xlpm.col, OR(_xlpm.col)))),INDEX(_xlpm.headers, _xlpm.colMatch)),"")</f>
        <v/>
      </c>
      <c r="H344" s="1" t="str">
        <f>IFERROR(VLOOKUP("*" &amp; C344 &amp; "*",Terms!D:E,2,FALSE),"")</f>
        <v/>
      </c>
      <c r="I344" s="1" t="str">
        <f>IFERROR(VLOOKUP("*" &amp; C344 &amp; "*",'Terms 2'!B:D,3,FALSE),"")</f>
        <v/>
      </c>
    </row>
    <row r="345" spans="2:9">
      <c r="B345" s="1" t="str">
        <f t="shared" si="5"/>
        <v>Theory X is a management theory in which the manager does not trust his or her workers and will micromanage them. This theory generally leads to the team being unhappy.</v>
      </c>
      <c r="C345" s="47" t="s">
        <v>4814</v>
      </c>
      <c r="D345" s="49" t="s">
        <v>4841</v>
      </c>
      <c r="E345" s="1" t="str" cm="1">
        <f t="array" ref="E345">IFERROR(
  _xlfn.LET(
    _xlpm.searchText, Tests!$C345,
    _xlpm.dataRange, ITTO!$B$3:$F$300,
    _xlpm.headers, ITTO!$B$2:$F$2,
    _xlpm.matchMatrix, ISNUMBER(SEARCH(_xlpm.searchText, _xlpm.dataRange)),
    _xlpm.colMatch, _xlfn.XMATCH(TRUE, _xlfn.BYCOL(_xlpm.matchMatrix, _xlfn.LAMBDA(_xlpm.col, OR(_xlpm.col)))),
    INDEX(_xlpm.headers, _xlpm.colMatch)
  ),
  ""
)</f>
        <v/>
      </c>
      <c r="F345" s="1" t="str" cm="1">
        <f t="array" ref="F345">IFERROR(_xlfn.LET(_xlpm.searchText, Tests!$C345,_xlpm.dataRange, PMBOK!$B$3:$F$300,_xlpm.headers, PMBOK!$B$2:$F$2,_xlpm.matchMatrix, ISNUMBER(SEARCH(_xlpm.searchText, _xlpm.dataRange)),_xlpm.colMatch, _xlfn.XMATCH(TRUE, _xlfn.BYCOL(_xlpm.matchMatrix, _xlfn.LAMBDA(_xlpm.col, OR(_xlpm.col)))),INDEX(_xlpm.headers, _xlpm.colMatch)),"")</f>
        <v/>
      </c>
      <c r="G345" s="1" t="str" cm="1">
        <f t="array" ref="G345">IFERROR(_xlfn.LET(_xlpm.searchText, Tests!$C345,_xlpm.dataRange, 'Rita Quick test'!$B$3:$P$57,_xlpm.headers, 'Rita Quick test'!$B$2:$P$2,_xlpm.matchMatrix, ISNUMBER(SEARCH(_xlpm.searchText, _xlpm.dataRange)),_xlpm.colMatch, _xlfn.XMATCH(TRUE, _xlfn.BYCOL(_xlpm.matchMatrix, _xlfn.LAMBDA(_xlpm.col, OR(_xlpm.col)))),INDEX(_xlpm.headers, _xlpm.colMatch)),"")</f>
        <v/>
      </c>
      <c r="H345" s="1" t="str">
        <f>IFERROR(VLOOKUP("*" &amp; C345 &amp; "*",Terms!D:E,2,FALSE),"")</f>
        <v/>
      </c>
      <c r="I345" s="1" t="str">
        <f>IFERROR(VLOOKUP("*" &amp; C345 &amp; "*",'Terms 2'!B:D,3,FALSE),"")</f>
        <v/>
      </c>
    </row>
    <row r="346" spans="2:9">
      <c r="B346" s="1" t="str">
        <f t="shared" si="5"/>
        <v>Theory Y refers to when a manager believes people want to do the work and trusts them.</v>
      </c>
      <c r="C346" s="47" t="s">
        <v>4816</v>
      </c>
      <c r="D346" s="49" t="s">
        <v>4933</v>
      </c>
      <c r="E346" s="1" t="str" cm="1">
        <f t="array" ref="E346">IFERROR(
  _xlfn.LET(
    _xlpm.searchText, Tests!$C346,
    _xlpm.dataRange, ITTO!$B$3:$F$300,
    _xlpm.headers, ITTO!$B$2:$F$2,
    _xlpm.matchMatrix, ISNUMBER(SEARCH(_xlpm.searchText, _xlpm.dataRange)),
    _xlpm.colMatch, _xlfn.XMATCH(TRUE, _xlfn.BYCOL(_xlpm.matchMatrix, _xlfn.LAMBDA(_xlpm.col, OR(_xlpm.col)))),
    INDEX(_xlpm.headers, _xlpm.colMatch)
  ),
  ""
)</f>
        <v/>
      </c>
      <c r="F346" s="1" t="str" cm="1">
        <f t="array" ref="F346">IFERROR(_xlfn.LET(_xlpm.searchText, Tests!$C346,_xlpm.dataRange, PMBOK!$B$3:$F$300,_xlpm.headers, PMBOK!$B$2:$F$2,_xlpm.matchMatrix, ISNUMBER(SEARCH(_xlpm.searchText, _xlpm.dataRange)),_xlpm.colMatch, _xlfn.XMATCH(TRUE, _xlfn.BYCOL(_xlpm.matchMatrix, _xlfn.LAMBDA(_xlpm.col, OR(_xlpm.col)))),INDEX(_xlpm.headers, _xlpm.colMatch)),"")</f>
        <v/>
      </c>
      <c r="G346" s="1" t="str" cm="1">
        <f t="array" ref="G346">IFERROR(_xlfn.LET(_xlpm.searchText, Tests!$C346,_xlpm.dataRange, 'Rita Quick test'!$B$3:$P$57,_xlpm.headers, 'Rita Quick test'!$B$2:$P$2,_xlpm.matchMatrix, ISNUMBER(SEARCH(_xlpm.searchText, _xlpm.dataRange)),_xlpm.colMatch, _xlfn.XMATCH(TRUE, _xlfn.BYCOL(_xlpm.matchMatrix, _xlfn.LAMBDA(_xlpm.col, OR(_xlpm.col)))),INDEX(_xlpm.headers, _xlpm.colMatch)),"")</f>
        <v/>
      </c>
      <c r="H346" s="1" t="str">
        <f>IFERROR(VLOOKUP("*" &amp; C346 &amp; "*",Terms!D:E,2,FALSE),"")</f>
        <v/>
      </c>
      <c r="I346" s="1" t="str">
        <f>IFERROR(VLOOKUP("*" &amp; C346 &amp; "*",'Terms 2'!B:D,3,FALSE),"")</f>
        <v/>
      </c>
    </row>
    <row r="347" spans="2:9">
      <c r="B347" s="1" t="str">
        <f t="shared" si="5"/>
        <v>Theory Z refers to when employees are committed to a business and will generally stay with that business for a long period of time.</v>
      </c>
      <c r="C347" s="47" t="s">
        <v>4813</v>
      </c>
      <c r="D347" s="49" t="s">
        <v>4934</v>
      </c>
      <c r="E347" s="1" t="str" cm="1">
        <f t="array" ref="E347">IFERROR(
  _xlfn.LET(
    _xlpm.searchText, Tests!$C347,
    _xlpm.dataRange, ITTO!$B$3:$F$300,
    _xlpm.headers, ITTO!$B$2:$F$2,
    _xlpm.matchMatrix, ISNUMBER(SEARCH(_xlpm.searchText, _xlpm.dataRange)),
    _xlpm.colMatch, _xlfn.XMATCH(TRUE, _xlfn.BYCOL(_xlpm.matchMatrix, _xlfn.LAMBDA(_xlpm.col, OR(_xlpm.col)))),
    INDEX(_xlpm.headers, _xlpm.colMatch)
  ),
  ""
)</f>
        <v/>
      </c>
      <c r="F347" s="1" t="str" cm="1">
        <f t="array" ref="F347">IFERROR(_xlfn.LET(_xlpm.searchText, Tests!$C347,_xlpm.dataRange, PMBOK!$B$3:$F$300,_xlpm.headers, PMBOK!$B$2:$F$2,_xlpm.matchMatrix, ISNUMBER(SEARCH(_xlpm.searchText, _xlpm.dataRange)),_xlpm.colMatch, _xlfn.XMATCH(TRUE, _xlfn.BYCOL(_xlpm.matchMatrix, _xlfn.LAMBDA(_xlpm.col, OR(_xlpm.col)))),INDEX(_xlpm.headers, _xlpm.colMatch)),"")</f>
        <v/>
      </c>
      <c r="G347" s="1" t="str" cm="1">
        <f t="array" ref="G347">IFERROR(_xlfn.LET(_xlpm.searchText, Tests!$C347,_xlpm.dataRange, 'Rita Quick test'!$B$3:$P$57,_xlpm.headers, 'Rita Quick test'!$B$2:$P$2,_xlpm.matchMatrix, ISNUMBER(SEARCH(_xlpm.searchText, _xlpm.dataRange)),_xlpm.colMatch, _xlfn.XMATCH(TRUE, _xlfn.BYCOL(_xlpm.matchMatrix, _xlfn.LAMBDA(_xlpm.col, OR(_xlpm.col)))),INDEX(_xlpm.headers, _xlpm.colMatch)),"")</f>
        <v/>
      </c>
      <c r="H347" s="1" t="str">
        <f>IFERROR(VLOOKUP("*" &amp; C347 &amp; "*",Terms!D:E,2,FALSE),"")</f>
        <v/>
      </c>
      <c r="I347" s="1" t="str">
        <f>IFERROR(VLOOKUP("*" &amp; C347 &amp; "*",'Terms 2'!B:D,3,FALSE),"")</f>
        <v/>
      </c>
    </row>
    <row r="348" spans="2:9">
      <c r="B348" s="1" t="str">
        <f t="shared" si="5"/>
        <v>Statistical independence is a term used in probability that means one event cannot affect the other event.</v>
      </c>
      <c r="C348" s="47" t="s">
        <v>4509</v>
      </c>
      <c r="D348" s="49" t="s">
        <v>4935</v>
      </c>
      <c r="E348" s="1" t="str" cm="1">
        <f t="array" ref="E348">IFERROR(
  _xlfn.LET(
    _xlpm.searchText, Tests!$C348,
    _xlpm.dataRange, ITTO!$B$3:$F$300,
    _xlpm.headers, ITTO!$B$2:$F$2,
    _xlpm.matchMatrix, ISNUMBER(SEARCH(_xlpm.searchText, _xlpm.dataRange)),
    _xlpm.colMatch, _xlfn.XMATCH(TRUE, _xlfn.BYCOL(_xlpm.matchMatrix, _xlfn.LAMBDA(_xlpm.col, OR(_xlpm.col)))),
    INDEX(_xlpm.headers, _xlpm.colMatch)
  ),
  ""
)</f>
        <v/>
      </c>
      <c r="F348" s="1" t="str" cm="1">
        <f t="array" ref="F348">IFERROR(_xlfn.LET(_xlpm.searchText, Tests!$C348,_xlpm.dataRange, PMBOK!$B$3:$F$300,_xlpm.headers, PMBOK!$B$2:$F$2,_xlpm.matchMatrix, ISNUMBER(SEARCH(_xlpm.searchText, _xlpm.dataRange)),_xlpm.colMatch, _xlfn.XMATCH(TRUE, _xlfn.BYCOL(_xlpm.matchMatrix, _xlfn.LAMBDA(_xlpm.col, OR(_xlpm.col)))),INDEX(_xlpm.headers, _xlpm.colMatch)),"")</f>
        <v/>
      </c>
      <c r="G348" s="1" t="str" cm="1">
        <f t="array" ref="G348">IFERROR(_xlfn.LET(_xlpm.searchText, Tests!$C348,_xlpm.dataRange, 'Rita Quick test'!$B$3:$P$57,_xlpm.headers, 'Rita Quick test'!$B$2:$P$2,_xlpm.matchMatrix, ISNUMBER(SEARCH(_xlpm.searchText, _xlpm.dataRange)),_xlpm.colMatch, _xlfn.XMATCH(TRUE, _xlfn.BYCOL(_xlpm.matchMatrix, _xlfn.LAMBDA(_xlpm.col, OR(_xlpm.col)))),INDEX(_xlpm.headers, _xlpm.colMatch)),"")</f>
        <v/>
      </c>
      <c r="H348" s="1" t="str">
        <f>IFERROR(VLOOKUP("*" &amp; C348 &amp; "*",Terms!D:E,2,FALSE),"")</f>
        <v/>
      </c>
      <c r="I348" s="1" t="str">
        <f>IFERROR(VLOOKUP("*" &amp; C348 &amp; "*",'Terms 2'!B:D,3,FALSE),"")</f>
        <v/>
      </c>
    </row>
    <row r="349" spans="2:9">
      <c r="B349" s="1" t="str">
        <f t="shared" si="5"/>
        <v>Statistical independence is a term used in probability that means one event cannot affect the other event</v>
      </c>
      <c r="C349" s="47" t="s">
        <v>4509</v>
      </c>
      <c r="D349" s="49" t="s">
        <v>4735</v>
      </c>
      <c r="E349" s="1" t="str" cm="1">
        <f t="array" ref="E349">IFERROR(
  _xlfn.LET(
    _xlpm.searchText, Tests!$C349,
    _xlpm.dataRange, ITTO!$B$3:$F$300,
    _xlpm.headers, ITTO!$B$2:$F$2,
    _xlpm.matchMatrix, ISNUMBER(SEARCH(_xlpm.searchText, _xlpm.dataRange)),
    _xlpm.colMatch, _xlfn.XMATCH(TRUE, _xlfn.BYCOL(_xlpm.matchMatrix, _xlfn.LAMBDA(_xlpm.col, OR(_xlpm.col)))),
    INDEX(_xlpm.headers, _xlpm.colMatch)
  ),
  ""
)</f>
        <v/>
      </c>
      <c r="F349" s="1" t="str" cm="1">
        <f t="array" ref="F349">IFERROR(_xlfn.LET(_xlpm.searchText, Tests!$C349,_xlpm.dataRange, PMBOK!$B$3:$F$300,_xlpm.headers, PMBOK!$B$2:$F$2,_xlpm.matchMatrix, ISNUMBER(SEARCH(_xlpm.searchText, _xlpm.dataRange)),_xlpm.colMatch, _xlfn.XMATCH(TRUE, _xlfn.BYCOL(_xlpm.matchMatrix, _xlfn.LAMBDA(_xlpm.col, OR(_xlpm.col)))),INDEX(_xlpm.headers, _xlpm.colMatch)),"")</f>
        <v/>
      </c>
      <c r="G349" s="1" t="str" cm="1">
        <f t="array" ref="G349">IFERROR(_xlfn.LET(_xlpm.searchText, Tests!$C349,_xlpm.dataRange, 'Rita Quick test'!$B$3:$P$57,_xlpm.headers, 'Rita Quick test'!$B$2:$P$2,_xlpm.matchMatrix, ISNUMBER(SEARCH(_xlpm.searchText, _xlpm.dataRange)),_xlpm.colMatch, _xlfn.XMATCH(TRUE, _xlfn.BYCOL(_xlpm.matchMatrix, _xlfn.LAMBDA(_xlpm.col, OR(_xlpm.col)))),INDEX(_xlpm.headers, _xlpm.colMatch)),"")</f>
        <v/>
      </c>
      <c r="H349" s="1" t="str">
        <f>IFERROR(VLOOKUP("*" &amp; C349 &amp; "*",Terms!D:E,2,FALSE),"")</f>
        <v/>
      </c>
      <c r="I349" s="1" t="str">
        <f>IFERROR(VLOOKUP("*" &amp; C349 &amp; "*",'Terms 2'!B:D,3,FALSE),"")</f>
        <v/>
      </c>
    </row>
    <row r="350" spans="2:9">
      <c r="B350" s="1" t="str">
        <f t="shared" si="5"/>
        <v/>
      </c>
      <c r="C350" s="47" t="s">
        <v>4786</v>
      </c>
      <c r="D350" s="1" t="s">
        <v>4848</v>
      </c>
      <c r="E350" s="1" t="str" cm="1">
        <f t="array" ref="E350">IFERROR(
  _xlfn.LET(
    _xlpm.searchText, Tests!$C350,
    _xlpm.dataRange, ITTO!$B$3:$F$300,
    _xlpm.headers, ITTO!$B$2:$F$2,
    _xlpm.matchMatrix, ISNUMBER(SEARCH(_xlpm.searchText, _xlpm.dataRange)),
    _xlpm.colMatch, _xlfn.XMATCH(TRUE, _xlfn.BYCOL(_xlpm.matchMatrix, _xlfn.LAMBDA(_xlpm.col, OR(_xlpm.col)))),
    INDEX(_xlpm.headers, _xlpm.colMatch)
  ),
  ""
)</f>
        <v/>
      </c>
      <c r="F350" s="1" t="str" cm="1">
        <f t="array" ref="F350">IFERROR(_xlfn.LET(_xlpm.searchText, Tests!$C350,_xlpm.dataRange, PMBOK!$B$3:$F$300,_xlpm.headers, PMBOK!$B$2:$F$2,_xlpm.matchMatrix, ISNUMBER(SEARCH(_xlpm.searchText, _xlpm.dataRange)),_xlpm.colMatch, _xlfn.XMATCH(TRUE, _xlfn.BYCOL(_xlpm.matchMatrix, _xlfn.LAMBDA(_xlpm.col, OR(_xlpm.col)))),INDEX(_xlpm.headers, _xlpm.colMatch)),"")</f>
        <v/>
      </c>
      <c r="G350" s="1" t="str" cm="1">
        <f t="array" ref="G350">IFERROR(_xlfn.LET(_xlpm.searchText, Tests!$C350,_xlpm.dataRange, 'Rita Quick test'!$B$3:$P$57,_xlpm.headers, 'Rita Quick test'!$B$2:$P$2,_xlpm.matchMatrix, ISNUMBER(SEARCH(_xlpm.searchText, _xlpm.dataRange)),_xlpm.colMatch, _xlfn.XMATCH(TRUE, _xlfn.BYCOL(_xlpm.matchMatrix, _xlfn.LAMBDA(_xlpm.col, OR(_xlpm.col)))),INDEX(_xlpm.headers, _xlpm.colMatch)),"")</f>
        <v/>
      </c>
      <c r="H350" s="1" t="str">
        <f>IFERROR(VLOOKUP("*" &amp; C350 &amp; "*",Terms!D:E,2,FALSE),"")</f>
        <v/>
      </c>
      <c r="I350" s="1" t="str">
        <f>IFERROR(VLOOKUP("*" &amp; C350 &amp; "*",'Terms 2'!B:D,3,FALSE),"")</f>
        <v/>
      </c>
    </row>
    <row r="351" spans="2:9">
      <c r="B351" s="1" t="str">
        <f t="shared" si="5"/>
        <v>Mutually exclusive is a term used when two events cannot happen at the same time</v>
      </c>
      <c r="C351" s="47" t="s">
        <v>4508</v>
      </c>
      <c r="D351" s="49" t="s">
        <v>4511</v>
      </c>
      <c r="E351" s="1" t="str" cm="1">
        <f t="array" ref="E351">IFERROR(
  _xlfn.LET(
    _xlpm.searchText, Tests!$C351,
    _xlpm.dataRange, ITTO!$B$3:$F$300,
    _xlpm.headers, ITTO!$B$2:$F$2,
    _xlpm.matchMatrix, ISNUMBER(SEARCH(_xlpm.searchText, _xlpm.dataRange)),
    _xlpm.colMatch, _xlfn.XMATCH(TRUE, _xlfn.BYCOL(_xlpm.matchMatrix, _xlfn.LAMBDA(_xlpm.col, OR(_xlpm.col)))),
    INDEX(_xlpm.headers, _xlpm.colMatch)
  ),
  ""
)</f>
        <v/>
      </c>
      <c r="F351" s="1" t="str" cm="1">
        <f t="array" ref="F351">IFERROR(_xlfn.LET(_xlpm.searchText, Tests!$C351,_xlpm.dataRange, PMBOK!$B$3:$F$300,_xlpm.headers, PMBOK!$B$2:$F$2,_xlpm.matchMatrix, ISNUMBER(SEARCH(_xlpm.searchText, _xlpm.dataRange)),_xlpm.colMatch, _xlfn.XMATCH(TRUE, _xlfn.BYCOL(_xlpm.matchMatrix, _xlfn.LAMBDA(_xlpm.col, OR(_xlpm.col)))),INDEX(_xlpm.headers, _xlpm.colMatch)),"")</f>
        <v/>
      </c>
      <c r="G351" s="1" t="str" cm="1">
        <f t="array" ref="G351">IFERROR(_xlfn.LET(_xlpm.searchText, Tests!$C351,_xlpm.dataRange, 'Rita Quick test'!$B$3:$P$57,_xlpm.headers, 'Rita Quick test'!$B$2:$P$2,_xlpm.matchMatrix, ISNUMBER(SEARCH(_xlpm.searchText, _xlpm.dataRange)),_xlpm.colMatch, _xlfn.XMATCH(TRUE, _xlfn.BYCOL(_xlpm.matchMatrix, _xlfn.LAMBDA(_xlpm.col, OR(_xlpm.col)))),INDEX(_xlpm.headers, _xlpm.colMatch)),"")</f>
        <v/>
      </c>
      <c r="H351" s="1" t="str">
        <f>IFERROR(VLOOKUP("*" &amp; C351 &amp; "*",Terms!D:E,2,FALSE),"")</f>
        <v/>
      </c>
      <c r="I351" s="1" t="str">
        <f>IFERROR(VLOOKUP("*" &amp; C351 &amp; "*",'Terms 2'!B:D,3,FALSE),"")</f>
        <v/>
      </c>
    </row>
    <row r="352" spans="2:9">
      <c r="B352" s="1" t="str">
        <f t="shared" si="5"/>
        <v/>
      </c>
      <c r="C352" s="47" t="s">
        <v>4510</v>
      </c>
      <c r="D352" s="1" t="s">
        <v>4848</v>
      </c>
      <c r="E352" s="1" t="str" cm="1">
        <f t="array" ref="E352">IFERROR(
  _xlfn.LET(
    _xlpm.searchText, Tests!$C352,
    _xlpm.dataRange, ITTO!$B$3:$F$300,
    _xlpm.headers, ITTO!$B$2:$F$2,
    _xlpm.matchMatrix, ISNUMBER(SEARCH(_xlpm.searchText, _xlpm.dataRange)),
    _xlpm.colMatch, _xlfn.XMATCH(TRUE, _xlfn.BYCOL(_xlpm.matchMatrix, _xlfn.LAMBDA(_xlpm.col, OR(_xlpm.col)))),
    INDEX(_xlpm.headers, _xlpm.colMatch)
  ),
  ""
)</f>
        <v/>
      </c>
      <c r="F352" s="1" t="str" cm="1">
        <f t="array" ref="F352">IFERROR(_xlfn.LET(_xlpm.searchText, Tests!$C352,_xlpm.dataRange, PMBOK!$B$3:$F$300,_xlpm.headers, PMBOK!$B$2:$F$2,_xlpm.matchMatrix, ISNUMBER(SEARCH(_xlpm.searchText, _xlpm.dataRange)),_xlpm.colMatch, _xlfn.XMATCH(TRUE, _xlfn.BYCOL(_xlpm.matchMatrix, _xlfn.LAMBDA(_xlpm.col, OR(_xlpm.col)))),INDEX(_xlpm.headers, _xlpm.colMatch)),"")</f>
        <v/>
      </c>
      <c r="G352" s="1" t="str" cm="1">
        <f t="array" ref="G352">IFERROR(_xlfn.LET(_xlpm.searchText, Tests!$C352,_xlpm.dataRange, 'Rita Quick test'!$B$3:$P$57,_xlpm.headers, 'Rita Quick test'!$B$2:$P$2,_xlpm.matchMatrix, ISNUMBER(SEARCH(_xlpm.searchText, _xlpm.dataRange)),_xlpm.colMatch, _xlfn.XMATCH(TRUE, _xlfn.BYCOL(_xlpm.matchMatrix, _xlfn.LAMBDA(_xlpm.col, OR(_xlpm.col)))),INDEX(_xlpm.headers, _xlpm.colMatch)),"")</f>
        <v/>
      </c>
      <c r="H352" s="1" t="str">
        <f>IFERROR(VLOOKUP("*" &amp; C352 &amp; "*",Terms!D:E,2,FALSE),"")</f>
        <v/>
      </c>
      <c r="I352" s="1" t="str">
        <f>IFERROR(VLOOKUP("*" &amp; C352 &amp; "*",'Terms 2'!B:D,3,FALSE),"")</f>
        <v/>
      </c>
    </row>
    <row r="353" spans="2:9">
      <c r="B353" s="1" t="str">
        <f t="shared" si="5"/>
        <v/>
      </c>
      <c r="C353" s="47" t="s">
        <v>4507</v>
      </c>
      <c r="D353" s="1" t="s">
        <v>4848</v>
      </c>
      <c r="E353" s="1" t="str" cm="1">
        <f t="array" ref="E353">IFERROR(
  _xlfn.LET(
    _xlpm.searchText, Tests!$C353,
    _xlpm.dataRange, ITTO!$B$3:$F$300,
    _xlpm.headers, ITTO!$B$2:$F$2,
    _xlpm.matchMatrix, ISNUMBER(SEARCH(_xlpm.searchText, _xlpm.dataRange)),
    _xlpm.colMatch, _xlfn.XMATCH(TRUE, _xlfn.BYCOL(_xlpm.matchMatrix, _xlfn.LAMBDA(_xlpm.col, OR(_xlpm.col)))),
    INDEX(_xlpm.headers, _xlpm.colMatch)
  ),
  ""
)</f>
        <v/>
      </c>
      <c r="F353" s="1" t="str" cm="1">
        <f t="array" ref="F353">IFERROR(_xlfn.LET(_xlpm.searchText, Tests!$C353,_xlpm.dataRange, PMBOK!$B$3:$F$300,_xlpm.headers, PMBOK!$B$2:$F$2,_xlpm.matchMatrix, ISNUMBER(SEARCH(_xlpm.searchText, _xlpm.dataRange)),_xlpm.colMatch, _xlfn.XMATCH(TRUE, _xlfn.BYCOL(_xlpm.matchMatrix, _xlfn.LAMBDA(_xlpm.col, OR(_xlpm.col)))),INDEX(_xlpm.headers, _xlpm.colMatch)),"")</f>
        <v/>
      </c>
      <c r="G353" s="1" t="str" cm="1">
        <f t="array" ref="G353">IFERROR(_xlfn.LET(_xlpm.searchText, Tests!$C353,_xlpm.dataRange, 'Rita Quick test'!$B$3:$P$57,_xlpm.headers, 'Rita Quick test'!$B$2:$P$2,_xlpm.matchMatrix, ISNUMBER(SEARCH(_xlpm.searchText, _xlpm.dataRange)),_xlpm.colMatch, _xlfn.XMATCH(TRUE, _xlfn.BYCOL(_xlpm.matchMatrix, _xlfn.LAMBDA(_xlpm.col, OR(_xlpm.col)))),INDEX(_xlpm.headers, _xlpm.colMatch)),"")</f>
        <v/>
      </c>
      <c r="H353" s="1" t="str">
        <f>IFERROR(VLOOKUP("*" &amp; C353 &amp; "*",Terms!D:E,2,FALSE),"")</f>
        <v/>
      </c>
      <c r="I353" s="1" t="str">
        <f>IFERROR(VLOOKUP("*" &amp; C353 &amp; "*",'Terms 2'!B:D,3,FALSE),"")</f>
        <v/>
      </c>
    </row>
    <row r="354" spans="2:9">
      <c r="B354" s="1" t="str">
        <f t="shared" si="5"/>
        <v>cost reimbursable and time and material will have more risks for the buyers than the sellers.</v>
      </c>
      <c r="C354" s="47" t="s">
        <v>4835</v>
      </c>
      <c r="D354" s="49" t="s">
        <v>4866</v>
      </c>
      <c r="E354" s="1" t="str" cm="1">
        <f t="array" ref="E354">IFERROR(
  _xlfn.LET(
    _xlpm.searchText, Tests!$C354,
    _xlpm.dataRange, ITTO!$B$3:$F$300,
    _xlpm.headers, ITTO!$B$2:$F$2,
    _xlpm.matchMatrix, ISNUMBER(SEARCH(_xlpm.searchText, _xlpm.dataRange)),
    _xlpm.colMatch, _xlfn.XMATCH(TRUE, _xlfn.BYCOL(_xlpm.matchMatrix, _xlfn.LAMBDA(_xlpm.col, OR(_xlpm.col)))),
    INDEX(_xlpm.headers, _xlpm.colMatch)
  ),
  ""
)</f>
        <v/>
      </c>
      <c r="F354" s="1" t="str" cm="1">
        <f t="array" ref="F354">IFERROR(_xlfn.LET(_xlpm.searchText, Tests!$C354,_xlpm.dataRange, PMBOK!$B$3:$F$300,_xlpm.headers, PMBOK!$B$2:$F$2,_xlpm.matchMatrix, ISNUMBER(SEARCH(_xlpm.searchText, _xlpm.dataRange)),_xlpm.colMatch, _xlfn.XMATCH(TRUE, _xlfn.BYCOL(_xlpm.matchMatrix, _xlfn.LAMBDA(_xlpm.col, OR(_xlpm.col)))),INDEX(_xlpm.headers, _xlpm.colMatch)),"")</f>
        <v/>
      </c>
      <c r="G354" s="1" t="str" cm="1">
        <f t="array" ref="G354">IFERROR(_xlfn.LET(_xlpm.searchText, Tests!$C354,_xlpm.dataRange, 'Rita Quick test'!$B$3:$P$57,_xlpm.headers, 'Rita Quick test'!$B$2:$P$2,_xlpm.matchMatrix, ISNUMBER(SEARCH(_xlpm.searchText, _xlpm.dataRange)),_xlpm.colMatch, _xlfn.XMATCH(TRUE, _xlfn.BYCOL(_xlpm.matchMatrix, _xlfn.LAMBDA(_xlpm.col, OR(_xlpm.col)))),INDEX(_xlpm.headers, _xlpm.colMatch)),"")</f>
        <v/>
      </c>
      <c r="H354" s="1" t="str">
        <f>IFERROR(VLOOKUP("*" &amp; C354 &amp; "*",Terms!D:E,2,FALSE),"")</f>
        <v/>
      </c>
      <c r="I354" s="1" t="str">
        <f>IFERROR(VLOOKUP("*" &amp; C354 &amp; "*",'Terms 2'!B:D,3,FALSE),"")</f>
        <v/>
      </c>
    </row>
    <row r="355" spans="2:9">
      <c r="B355" s="1" t="str">
        <f t="shared" si="5"/>
        <v>A time and materials contract is where the buyer pays all the work expenses and then pays the sellers for the time they spent doing the work, and this contract has the highest risk to the buyers.</v>
      </c>
      <c r="C355" s="47" t="s">
        <v>4824</v>
      </c>
      <c r="D355" s="49" t="s">
        <v>4936</v>
      </c>
      <c r="E355" s="1" t="str" cm="1">
        <f t="array" ref="E355">IFERROR(
  _xlfn.LET(
    _xlpm.searchText, Tests!$C355,
    _xlpm.dataRange, ITTO!$B$3:$F$300,
    _xlpm.headers, ITTO!$B$2:$F$2,
    _xlpm.matchMatrix, ISNUMBER(SEARCH(_xlpm.searchText, _xlpm.dataRange)),
    _xlpm.colMatch, _xlfn.XMATCH(TRUE, _xlfn.BYCOL(_xlpm.matchMatrix, _xlfn.LAMBDA(_xlpm.col, OR(_xlpm.col)))),
    INDEX(_xlpm.headers, _xlpm.colMatch)
  ),
  ""
)</f>
        <v/>
      </c>
      <c r="F355" s="1" t="str" cm="1">
        <f t="array" ref="F355">IFERROR(_xlfn.LET(_xlpm.searchText, Tests!$C355,_xlpm.dataRange, PMBOK!$B$3:$F$300,_xlpm.headers, PMBOK!$B$2:$F$2,_xlpm.matchMatrix, ISNUMBER(SEARCH(_xlpm.searchText, _xlpm.dataRange)),_xlpm.colMatch, _xlfn.XMATCH(TRUE, _xlfn.BYCOL(_xlpm.matchMatrix, _xlfn.LAMBDA(_xlpm.col, OR(_xlpm.col)))),INDEX(_xlpm.headers, _xlpm.colMatch)),"")</f>
        <v/>
      </c>
      <c r="G355" s="1" t="str" cm="1">
        <f t="array" ref="G355">IFERROR(_xlfn.LET(_xlpm.searchText, Tests!$C355,_xlpm.dataRange, 'Rita Quick test'!$B$3:$P$57,_xlpm.headers, 'Rita Quick test'!$B$2:$P$2,_xlpm.matchMatrix, ISNUMBER(SEARCH(_xlpm.searchText, _xlpm.dataRange)),_xlpm.colMatch, _xlfn.XMATCH(TRUE, _xlfn.BYCOL(_xlpm.matchMatrix, _xlfn.LAMBDA(_xlpm.col, OR(_xlpm.col)))),INDEX(_xlpm.headers, _xlpm.colMatch)),"")</f>
        <v/>
      </c>
      <c r="H355" s="1" t="str">
        <f>IFERROR(VLOOKUP("*" &amp; C355 &amp; "*",Terms!D:E,2,FALSE),"")</f>
        <v/>
      </c>
      <c r="I355" s="1" t="str">
        <f>IFERROR(VLOOKUP("*" &amp; C355 &amp; "*",'Terms 2'!B:D,3,FALSE),"")</f>
        <v/>
      </c>
    </row>
    <row r="356" spans="2:9">
      <c r="B356" s="1" t="str">
        <f t="shared" si="5"/>
        <v>Top-down and analogous are the same and are high-level estimates based on historical data.</v>
      </c>
      <c r="C356" s="47" t="s">
        <v>4740</v>
      </c>
      <c r="D356" s="49" t="s">
        <v>4850</v>
      </c>
      <c r="E356" s="1" t="str" cm="1">
        <f t="array" ref="E356">IFERROR(
  _xlfn.LET(
    _xlpm.searchText, Tests!$C356,
    _xlpm.dataRange, ITTO!$B$3:$F$300,
    _xlpm.headers, ITTO!$B$2:$F$2,
    _xlpm.matchMatrix, ISNUMBER(SEARCH(_xlpm.searchText, _xlpm.dataRange)),
    _xlpm.colMatch, _xlfn.XMATCH(TRUE, _xlfn.BYCOL(_xlpm.matchMatrix, _xlfn.LAMBDA(_xlpm.col, OR(_xlpm.col)))),
    INDEX(_xlpm.headers, _xlpm.colMatch)
  ),
  ""
)</f>
        <v/>
      </c>
      <c r="F356" s="1" t="str" cm="1">
        <f t="array" ref="F356">IFERROR(_xlfn.LET(_xlpm.searchText, Tests!$C356,_xlpm.dataRange, PMBOK!$B$3:$F$300,_xlpm.headers, PMBOK!$B$2:$F$2,_xlpm.matchMatrix, ISNUMBER(SEARCH(_xlpm.searchText, _xlpm.dataRange)),_xlpm.colMatch, _xlfn.XMATCH(TRUE, _xlfn.BYCOL(_xlpm.matchMatrix, _xlfn.LAMBDA(_xlpm.col, OR(_xlpm.col)))),INDEX(_xlpm.headers, _xlpm.colMatch)),"")</f>
        <v/>
      </c>
      <c r="G356" s="1" t="str" cm="1">
        <f t="array" ref="G356">IFERROR(_xlfn.LET(_xlpm.searchText, Tests!$C356,_xlpm.dataRange, 'Rita Quick test'!$B$3:$P$57,_xlpm.headers, 'Rita Quick test'!$B$2:$P$2,_xlpm.matchMatrix, ISNUMBER(SEARCH(_xlpm.searchText, _xlpm.dataRange)),_xlpm.colMatch, _xlfn.XMATCH(TRUE, _xlfn.BYCOL(_xlpm.matchMatrix, _xlfn.LAMBDA(_xlpm.col, OR(_xlpm.col)))),INDEX(_xlpm.headers, _xlpm.colMatch)),"")</f>
        <v/>
      </c>
      <c r="H356" s="1" t="str">
        <f>IFERROR(VLOOKUP("*" &amp; C356 &amp; "*",Terms!D:E,2,FALSE),"")</f>
        <v/>
      </c>
      <c r="I356" s="1" t="str">
        <f>IFERROR(VLOOKUP("*" &amp; C356 &amp; "*",'Terms 2'!B:D,3,FALSE),"")</f>
        <v/>
      </c>
    </row>
    <row r="357" spans="2:9">
      <c r="B357" s="1" t="str">
        <f t="shared" si="5"/>
        <v/>
      </c>
      <c r="C357" s="47" t="s">
        <v>4626</v>
      </c>
      <c r="D357" s="1" t="s">
        <v>4848</v>
      </c>
      <c r="E357" s="1" t="str" cm="1">
        <f t="array" ref="E357">IFERROR(
  _xlfn.LET(
    _xlpm.searchText, Tests!$C357,
    _xlpm.dataRange, ITTO!$B$3:$F$300,
    _xlpm.headers, ITTO!$B$2:$F$2,
    _xlpm.matchMatrix, ISNUMBER(SEARCH(_xlpm.searchText, _xlpm.dataRange)),
    _xlpm.colMatch, _xlfn.XMATCH(TRUE, _xlfn.BYCOL(_xlpm.matchMatrix, _xlfn.LAMBDA(_xlpm.col, OR(_xlpm.col)))),
    INDEX(_xlpm.headers, _xlpm.colMatch)
  ),
  ""
)</f>
        <v/>
      </c>
      <c r="F357" s="1" t="str" cm="1">
        <f t="array" ref="F357">IFERROR(_xlfn.LET(_xlpm.searchText, Tests!$C357,_xlpm.dataRange, PMBOK!$B$3:$F$300,_xlpm.headers, PMBOK!$B$2:$F$2,_xlpm.matchMatrix, ISNUMBER(SEARCH(_xlpm.searchText, _xlpm.dataRange)),_xlpm.colMatch, _xlfn.XMATCH(TRUE, _xlfn.BYCOL(_xlpm.matchMatrix, _xlfn.LAMBDA(_xlpm.col, OR(_xlpm.col)))),INDEX(_xlpm.headers, _xlpm.colMatch)),"")</f>
        <v/>
      </c>
      <c r="G357" s="1" t="str" cm="1">
        <f t="array" ref="G357">IFERROR(_xlfn.LET(_xlpm.searchText, Tests!$C357,_xlpm.dataRange, 'Rita Quick test'!$B$3:$P$57,_xlpm.headers, 'Rita Quick test'!$B$2:$P$2,_xlpm.matchMatrix, ISNUMBER(SEARCH(_xlpm.searchText, _xlpm.dataRange)),_xlpm.colMatch, _xlfn.XMATCH(TRUE, _xlfn.BYCOL(_xlpm.matchMatrix, _xlfn.LAMBDA(_xlpm.col, OR(_xlpm.col)))),INDEX(_xlpm.headers, _xlpm.colMatch)),"")</f>
        <v/>
      </c>
      <c r="H357" s="1" t="str">
        <f>IFERROR(VLOOKUP("*" &amp; C357 &amp; "*",Terms!D:E,2,FALSE),"")</f>
        <v/>
      </c>
      <c r="I357" s="1" t="str">
        <f>IFERROR(VLOOKUP("*" &amp; C357 &amp; "*",'Terms 2'!B:D,3,FALSE),"")</f>
        <v/>
      </c>
    </row>
    <row r="358" spans="2:9">
      <c r="B358" s="1" t="str">
        <f t="shared" si="5"/>
        <v>Update project management plan and change log are not processes</v>
      </c>
      <c r="C358" s="47" t="s">
        <v>4426</v>
      </c>
      <c r="D358" s="49" t="s">
        <v>4432</v>
      </c>
      <c r="E358" s="1" t="str" cm="1">
        <f t="array" ref="E358">IFERROR(
  _xlfn.LET(
    _xlpm.searchText, Tests!$C358,
    _xlpm.dataRange, ITTO!$B$3:$F$300,
    _xlpm.headers, ITTO!$B$2:$F$2,
    _xlpm.matchMatrix, ISNUMBER(SEARCH(_xlpm.searchText, _xlpm.dataRange)),
    _xlpm.colMatch, _xlfn.XMATCH(TRUE, _xlfn.BYCOL(_xlpm.matchMatrix, _xlfn.LAMBDA(_xlpm.col, OR(_xlpm.col)))),
    INDEX(_xlpm.headers, _xlpm.colMatch)
  ),
  ""
)</f>
        <v/>
      </c>
      <c r="F358" s="1" t="str" cm="1">
        <f t="array" ref="F358">IFERROR(_xlfn.LET(_xlpm.searchText, Tests!$C358,_xlpm.dataRange, PMBOK!$B$3:$F$300,_xlpm.headers, PMBOK!$B$2:$F$2,_xlpm.matchMatrix, ISNUMBER(SEARCH(_xlpm.searchText, _xlpm.dataRange)),_xlpm.colMatch, _xlfn.XMATCH(TRUE, _xlfn.BYCOL(_xlpm.matchMatrix, _xlfn.LAMBDA(_xlpm.col, OR(_xlpm.col)))),INDEX(_xlpm.headers, _xlpm.colMatch)),"")</f>
        <v/>
      </c>
      <c r="G358" s="1" t="str" cm="1">
        <f t="array" ref="G358">IFERROR(_xlfn.LET(_xlpm.searchText, Tests!$C358,_xlpm.dataRange, 'Rita Quick test'!$B$3:$P$57,_xlpm.headers, 'Rita Quick test'!$B$2:$P$2,_xlpm.matchMatrix, ISNUMBER(SEARCH(_xlpm.searchText, _xlpm.dataRange)),_xlpm.colMatch, _xlfn.XMATCH(TRUE, _xlfn.BYCOL(_xlpm.matchMatrix, _xlfn.LAMBDA(_xlpm.col, OR(_xlpm.col)))),INDEX(_xlpm.headers, _xlpm.colMatch)),"")</f>
        <v/>
      </c>
      <c r="H358" s="1" t="str">
        <f>IFERROR(VLOOKUP("*" &amp; C358 &amp; "*",Terms!D:E,2,FALSE),"")</f>
        <v/>
      </c>
      <c r="I358" s="1" t="str">
        <f>IFERROR(VLOOKUP("*" &amp; C358 &amp; "*",'Terms 2'!B:D,3,FALSE),"")</f>
        <v/>
      </c>
    </row>
    <row r="359" spans="2:9">
      <c r="B359" s="1" t="str">
        <f t="shared" si="5"/>
        <v>Update project management plan and change log are not processes.</v>
      </c>
      <c r="C359" s="47" t="s">
        <v>4426</v>
      </c>
      <c r="D359" s="49" t="s">
        <v>4771</v>
      </c>
      <c r="E359" s="1" t="str" cm="1">
        <f t="array" ref="E359">IFERROR(
  _xlfn.LET(
    _xlpm.searchText, Tests!$C359,
    _xlpm.dataRange, ITTO!$B$3:$F$300,
    _xlpm.headers, ITTO!$B$2:$F$2,
    _xlpm.matchMatrix, ISNUMBER(SEARCH(_xlpm.searchText, _xlpm.dataRange)),
    _xlpm.colMatch, _xlfn.XMATCH(TRUE, _xlfn.BYCOL(_xlpm.matchMatrix, _xlfn.LAMBDA(_xlpm.col, OR(_xlpm.col)))),
    INDEX(_xlpm.headers, _xlpm.colMatch)
  ),
  ""
)</f>
        <v/>
      </c>
      <c r="F359" s="1" t="str" cm="1">
        <f t="array" ref="F359">IFERROR(_xlfn.LET(_xlpm.searchText, Tests!$C359,_xlpm.dataRange, PMBOK!$B$3:$F$300,_xlpm.headers, PMBOK!$B$2:$F$2,_xlpm.matchMatrix, ISNUMBER(SEARCH(_xlpm.searchText, _xlpm.dataRange)),_xlpm.colMatch, _xlfn.XMATCH(TRUE, _xlfn.BYCOL(_xlpm.matchMatrix, _xlfn.LAMBDA(_xlpm.col, OR(_xlpm.col)))),INDEX(_xlpm.headers, _xlpm.colMatch)),"")</f>
        <v/>
      </c>
      <c r="G359" s="1" t="str" cm="1">
        <f t="array" ref="G359">IFERROR(_xlfn.LET(_xlpm.searchText, Tests!$C359,_xlpm.dataRange, 'Rita Quick test'!$B$3:$P$57,_xlpm.headers, 'Rita Quick test'!$B$2:$P$2,_xlpm.matchMatrix, ISNUMBER(SEARCH(_xlpm.searchText, _xlpm.dataRange)),_xlpm.colMatch, _xlfn.XMATCH(TRUE, _xlfn.BYCOL(_xlpm.matchMatrix, _xlfn.LAMBDA(_xlpm.col, OR(_xlpm.col)))),INDEX(_xlpm.headers, _xlpm.colMatch)),"")</f>
        <v/>
      </c>
      <c r="H359" s="1" t="str">
        <f>IFERROR(VLOOKUP("*" &amp; C359 &amp; "*",Terms!D:E,2,FALSE),"")</f>
        <v/>
      </c>
      <c r="I359" s="1" t="str">
        <f>IFERROR(VLOOKUP("*" &amp; C359 &amp; "*",'Terms 2'!B:D,3,FALSE),"")</f>
        <v/>
      </c>
    </row>
    <row r="360" spans="2:9">
      <c r="B360" s="1" t="str">
        <f t="shared" si="5"/>
        <v>Update project management plan and change log are not processes</v>
      </c>
      <c r="C360" s="47" t="s">
        <v>4428</v>
      </c>
      <c r="D360" s="49" t="s">
        <v>4432</v>
      </c>
      <c r="E360" s="1" t="str" cm="1">
        <f t="array" ref="E360">IFERROR(
  _xlfn.LET(
    _xlpm.searchText, Tests!$C360,
    _xlpm.dataRange, ITTO!$B$3:$F$300,
    _xlpm.headers, ITTO!$B$2:$F$2,
    _xlpm.matchMatrix, ISNUMBER(SEARCH(_xlpm.searchText, _xlpm.dataRange)),
    _xlpm.colMatch, _xlfn.XMATCH(TRUE, _xlfn.BYCOL(_xlpm.matchMatrix, _xlfn.LAMBDA(_xlpm.col, OR(_xlpm.col)))),
    INDEX(_xlpm.headers, _xlpm.colMatch)
  ),
  ""
)</f>
        <v/>
      </c>
      <c r="F360" s="1" t="str" cm="1">
        <f t="array" ref="F360">IFERROR(_xlfn.LET(_xlpm.searchText, Tests!$C360,_xlpm.dataRange, PMBOK!$B$3:$F$300,_xlpm.headers, PMBOK!$B$2:$F$2,_xlpm.matchMatrix, ISNUMBER(SEARCH(_xlpm.searchText, _xlpm.dataRange)),_xlpm.colMatch, _xlfn.XMATCH(TRUE, _xlfn.BYCOL(_xlpm.matchMatrix, _xlfn.LAMBDA(_xlpm.col, OR(_xlpm.col)))),INDEX(_xlpm.headers, _xlpm.colMatch)),"")</f>
        <v/>
      </c>
      <c r="G360" s="1" t="str" cm="1">
        <f t="array" ref="G360">IFERROR(_xlfn.LET(_xlpm.searchText, Tests!$C360,_xlpm.dataRange, 'Rita Quick test'!$B$3:$P$57,_xlpm.headers, 'Rita Quick test'!$B$2:$P$2,_xlpm.matchMatrix, ISNUMBER(SEARCH(_xlpm.searchText, _xlpm.dataRange)),_xlpm.colMatch, _xlfn.XMATCH(TRUE, _xlfn.BYCOL(_xlpm.matchMatrix, _xlfn.LAMBDA(_xlpm.col, OR(_xlpm.col)))),INDEX(_xlpm.headers, _xlpm.colMatch)),"")</f>
        <v/>
      </c>
      <c r="H360" s="1" t="str">
        <f>IFERROR(VLOOKUP("*" &amp; C360 &amp; "*",Terms!D:E,2,FALSE),"")</f>
        <v/>
      </c>
      <c r="I360" s="1" t="str">
        <f>IFERROR(VLOOKUP("*" &amp; C360 &amp; "*",'Terms 2'!B:D,3,FALSE),"")</f>
        <v/>
      </c>
    </row>
    <row r="361" spans="2:9">
      <c r="B361" s="1" t="str">
        <f t="shared" si="5"/>
        <v>Update project management plan and change log are not processes.</v>
      </c>
      <c r="C361" s="47" t="s">
        <v>4428</v>
      </c>
      <c r="D361" s="49" t="s">
        <v>4771</v>
      </c>
      <c r="E361" s="1" t="str" cm="1">
        <f t="array" ref="E361">IFERROR(
  _xlfn.LET(
    _xlpm.searchText, Tests!$C361,
    _xlpm.dataRange, ITTO!$B$3:$F$300,
    _xlpm.headers, ITTO!$B$2:$F$2,
    _xlpm.matchMatrix, ISNUMBER(SEARCH(_xlpm.searchText, _xlpm.dataRange)),
    _xlpm.colMatch, _xlfn.XMATCH(TRUE, _xlfn.BYCOL(_xlpm.matchMatrix, _xlfn.LAMBDA(_xlpm.col, OR(_xlpm.col)))),
    INDEX(_xlpm.headers, _xlpm.colMatch)
  ),
  ""
)</f>
        <v/>
      </c>
      <c r="F361" s="1" t="str" cm="1">
        <f t="array" ref="F361">IFERROR(_xlfn.LET(_xlpm.searchText, Tests!$C361,_xlpm.dataRange, PMBOK!$B$3:$F$300,_xlpm.headers, PMBOK!$B$2:$F$2,_xlpm.matchMatrix, ISNUMBER(SEARCH(_xlpm.searchText, _xlpm.dataRange)),_xlpm.colMatch, _xlfn.XMATCH(TRUE, _xlfn.BYCOL(_xlpm.matchMatrix, _xlfn.LAMBDA(_xlpm.col, OR(_xlpm.col)))),INDEX(_xlpm.headers, _xlpm.colMatch)),"")</f>
        <v/>
      </c>
      <c r="G361" s="1" t="str" cm="1">
        <f t="array" ref="G361">IFERROR(_xlfn.LET(_xlpm.searchText, Tests!$C361,_xlpm.dataRange, 'Rita Quick test'!$B$3:$P$57,_xlpm.headers, 'Rita Quick test'!$B$2:$P$2,_xlpm.matchMatrix, ISNUMBER(SEARCH(_xlpm.searchText, _xlpm.dataRange)),_xlpm.colMatch, _xlfn.XMATCH(TRUE, _xlfn.BYCOL(_xlpm.matchMatrix, _xlfn.LAMBDA(_xlpm.col, OR(_xlpm.col)))),INDEX(_xlpm.headers, _xlpm.colMatch)),"")</f>
        <v/>
      </c>
      <c r="H361" s="1" t="str">
        <f>IFERROR(VLOOKUP("*" &amp; C361 &amp; "*",Terms!D:E,2,FALSE),"")</f>
        <v/>
      </c>
      <c r="I361" s="1" t="str">
        <f>IFERROR(VLOOKUP("*" &amp; C361 &amp; "*",'Terms 2'!B:D,3,FALSE),"")</f>
        <v/>
      </c>
    </row>
    <row r="362" spans="2:9">
      <c r="B362" s="1" t="str">
        <f t="shared" si="5"/>
        <v>Once a change is approved or denied, the project manager should update the change log to list the status of the change. If a change is approved, the project management should be updated.</v>
      </c>
      <c r="C362" s="47" t="s">
        <v>4659</v>
      </c>
      <c r="D362" s="48" t="s">
        <v>4663</v>
      </c>
      <c r="E362" s="1" t="str" cm="1">
        <f t="array" ref="E362">IFERROR(
  _xlfn.LET(
    _xlpm.searchText, Tests!$C362,
    _xlpm.dataRange, ITTO!$B$3:$F$300,
    _xlpm.headers, ITTO!$B$2:$F$2,
    _xlpm.matchMatrix, ISNUMBER(SEARCH(_xlpm.searchText, _xlpm.dataRange)),
    _xlpm.colMatch, _xlfn.XMATCH(TRUE, _xlfn.BYCOL(_xlpm.matchMatrix, _xlfn.LAMBDA(_xlpm.col, OR(_xlpm.col)))),
    INDEX(_xlpm.headers, _xlpm.colMatch)
  ),
  ""
)</f>
        <v/>
      </c>
      <c r="F362" s="1" t="str" cm="1">
        <f t="array" ref="F362">IFERROR(_xlfn.LET(_xlpm.searchText, Tests!$C362,_xlpm.dataRange, PMBOK!$B$3:$F$300,_xlpm.headers, PMBOK!$B$2:$F$2,_xlpm.matchMatrix, ISNUMBER(SEARCH(_xlpm.searchText, _xlpm.dataRange)),_xlpm.colMatch, _xlfn.XMATCH(TRUE, _xlfn.BYCOL(_xlpm.matchMatrix, _xlfn.LAMBDA(_xlpm.col, OR(_xlpm.col)))),INDEX(_xlpm.headers, _xlpm.colMatch)),"")</f>
        <v/>
      </c>
      <c r="G362" s="1" t="str" cm="1">
        <f t="array" ref="G362">IFERROR(_xlfn.LET(_xlpm.searchText, Tests!$C362,_xlpm.dataRange, 'Rita Quick test'!$B$3:$P$57,_xlpm.headers, 'Rita Quick test'!$B$2:$P$2,_xlpm.matchMatrix, ISNUMBER(SEARCH(_xlpm.searchText, _xlpm.dataRange)),_xlpm.colMatch, _xlfn.XMATCH(TRUE, _xlfn.BYCOL(_xlpm.matchMatrix, _xlfn.LAMBDA(_xlpm.col, OR(_xlpm.col)))),INDEX(_xlpm.headers, _xlpm.colMatch)),"")</f>
        <v/>
      </c>
      <c r="H362" s="1" t="str">
        <f>IFERROR(VLOOKUP("*" &amp; C362 &amp; "*",Terms!D:E,2,FALSE),"")</f>
        <v/>
      </c>
      <c r="I362" s="1" t="str">
        <f>IFERROR(VLOOKUP("*" &amp; C362 &amp; "*",'Terms 2'!B:D,3,FALSE),"")</f>
        <v/>
      </c>
    </row>
    <row r="363" spans="2:9">
      <c r="B363" s="1" t="str">
        <f t="shared" si="5"/>
        <v>Once a change has been denied, the next step is to update the change log with the status of the change. That can include whether it was approved or denied. Because this change was denied, it is not considered an issue on the project.</v>
      </c>
      <c r="C363" s="47" t="s">
        <v>4659</v>
      </c>
      <c r="D363" s="49" t="s">
        <v>4937</v>
      </c>
      <c r="E363" s="1" t="str" cm="1">
        <f t="array" ref="E363">IFERROR(
  _xlfn.LET(
    _xlpm.searchText, Tests!$C363,
    _xlpm.dataRange, ITTO!$B$3:$F$300,
    _xlpm.headers, ITTO!$B$2:$F$2,
    _xlpm.matchMatrix, ISNUMBER(SEARCH(_xlpm.searchText, _xlpm.dataRange)),
    _xlpm.colMatch, _xlfn.XMATCH(TRUE, _xlfn.BYCOL(_xlpm.matchMatrix, _xlfn.LAMBDA(_xlpm.col, OR(_xlpm.col)))),
    INDEX(_xlpm.headers, _xlpm.colMatch)
  ),
  ""
)</f>
        <v/>
      </c>
      <c r="F363" s="1" t="str" cm="1">
        <f t="array" ref="F363">IFERROR(_xlfn.LET(_xlpm.searchText, Tests!$C363,_xlpm.dataRange, PMBOK!$B$3:$F$300,_xlpm.headers, PMBOK!$B$2:$F$2,_xlpm.matchMatrix, ISNUMBER(SEARCH(_xlpm.searchText, _xlpm.dataRange)),_xlpm.colMatch, _xlfn.XMATCH(TRUE, _xlfn.BYCOL(_xlpm.matchMatrix, _xlfn.LAMBDA(_xlpm.col, OR(_xlpm.col)))),INDEX(_xlpm.headers, _xlpm.colMatch)),"")</f>
        <v/>
      </c>
      <c r="G363" s="1" t="str" cm="1">
        <f t="array" ref="G363">IFERROR(_xlfn.LET(_xlpm.searchText, Tests!$C363,_xlpm.dataRange, 'Rita Quick test'!$B$3:$P$57,_xlpm.headers, 'Rita Quick test'!$B$2:$P$2,_xlpm.matchMatrix, ISNUMBER(SEARCH(_xlpm.searchText, _xlpm.dataRange)),_xlpm.colMatch, _xlfn.XMATCH(TRUE, _xlfn.BYCOL(_xlpm.matchMatrix, _xlfn.LAMBDA(_xlpm.col, OR(_xlpm.col)))),INDEX(_xlpm.headers, _xlpm.colMatch)),"")</f>
        <v/>
      </c>
      <c r="H363" s="1" t="str">
        <f>IFERROR(VLOOKUP("*" &amp; C363 &amp; "*",Terms!D:E,2,FALSE),"")</f>
        <v/>
      </c>
      <c r="I363" s="1" t="str">
        <f>IFERROR(VLOOKUP("*" &amp; C363 &amp; "*",'Terms 2'!B:D,3,FALSE),"")</f>
        <v/>
      </c>
    </row>
    <row r="364" spans="2:9">
      <c r="B364" s="1" t="str">
        <f t="shared" si="5"/>
        <v/>
      </c>
      <c r="C364" s="47" t="s">
        <v>4628</v>
      </c>
      <c r="D364" s="49" t="s">
        <v>4848</v>
      </c>
      <c r="E364" s="1" t="str" cm="1">
        <f t="array" ref="E364">IFERROR(
  _xlfn.LET(
    _xlpm.searchText, Tests!$C364,
    _xlpm.dataRange, ITTO!$B$3:$F$300,
    _xlpm.headers, ITTO!$B$2:$F$2,
    _xlpm.matchMatrix, ISNUMBER(SEARCH(_xlpm.searchText, _xlpm.dataRange)),
    _xlpm.colMatch, _xlfn.XMATCH(TRUE, _xlfn.BYCOL(_xlpm.matchMatrix, _xlfn.LAMBDA(_xlpm.col, OR(_xlpm.col)))),
    INDEX(_xlpm.headers, _xlpm.colMatch)
  ),
  ""
)</f>
        <v/>
      </c>
      <c r="F364" s="1" t="str" cm="1">
        <f t="array" ref="F364">IFERROR(_xlfn.LET(_xlpm.searchText, Tests!$C364,_xlpm.dataRange, PMBOK!$B$3:$F$300,_xlpm.headers, PMBOK!$B$2:$F$2,_xlpm.matchMatrix, ISNUMBER(SEARCH(_xlpm.searchText, _xlpm.dataRange)),_xlpm.colMatch, _xlfn.XMATCH(TRUE, _xlfn.BYCOL(_xlpm.matchMatrix, _xlfn.LAMBDA(_xlpm.col, OR(_xlpm.col)))),INDEX(_xlpm.headers, _xlpm.colMatch)),"")</f>
        <v/>
      </c>
      <c r="G364" s="1" t="str" cm="1">
        <f t="array" ref="G364">IFERROR(_xlfn.LET(_xlpm.searchText, Tests!$C364,_xlpm.dataRange, 'Rita Quick test'!$B$3:$P$57,_xlpm.headers, 'Rita Quick test'!$B$2:$P$2,_xlpm.matchMatrix, ISNUMBER(SEARCH(_xlpm.searchText, _xlpm.dataRange)),_xlpm.colMatch, _xlfn.XMATCH(TRUE, _xlfn.BYCOL(_xlpm.matchMatrix, _xlfn.LAMBDA(_xlpm.col, OR(_xlpm.col)))),INDEX(_xlpm.headers, _xlpm.colMatch)),"")</f>
        <v/>
      </c>
      <c r="H364" s="1" t="str">
        <f>IFERROR(VLOOKUP("*" &amp; C364 &amp; "*",Terms!D:E,2,FALSE),"")</f>
        <v/>
      </c>
      <c r="I364" s="1" t="str">
        <f>IFERROR(VLOOKUP("*" &amp; C364 &amp; "*",'Terms 2'!B:D,3,FALSE),"")</f>
        <v/>
      </c>
    </row>
    <row r="365" spans="2:9">
      <c r="B365" s="1" t="str">
        <f t="shared" si="5"/>
        <v/>
      </c>
      <c r="C365" s="47" t="s">
        <v>4745</v>
      </c>
      <c r="D365" s="1" t="s">
        <v>4848</v>
      </c>
      <c r="E365" s="1" t="str" cm="1">
        <f t="array" ref="E365">IFERROR(
  _xlfn.LET(
    _xlpm.searchText, Tests!$C365,
    _xlpm.dataRange, ITTO!$B$3:$F$300,
    _xlpm.headers, ITTO!$B$2:$F$2,
    _xlpm.matchMatrix, ISNUMBER(SEARCH(_xlpm.searchText, _xlpm.dataRange)),
    _xlpm.colMatch, _xlfn.XMATCH(TRUE, _xlfn.BYCOL(_xlpm.matchMatrix, _xlfn.LAMBDA(_xlpm.col, OR(_xlpm.col)))),
    INDEX(_xlpm.headers, _xlpm.colMatch)
  ),
  ""
)</f>
        <v/>
      </c>
      <c r="F365" s="1" t="str" cm="1">
        <f t="array" ref="F365">IFERROR(_xlfn.LET(_xlpm.searchText, Tests!$C365,_xlpm.dataRange, PMBOK!$B$3:$F$300,_xlpm.headers, PMBOK!$B$2:$F$2,_xlpm.matchMatrix, ISNUMBER(SEARCH(_xlpm.searchText, _xlpm.dataRange)),_xlpm.colMatch, _xlfn.XMATCH(TRUE, _xlfn.BYCOL(_xlpm.matchMatrix, _xlfn.LAMBDA(_xlpm.col, OR(_xlpm.col)))),INDEX(_xlpm.headers, _xlpm.colMatch)),"")</f>
        <v/>
      </c>
      <c r="G365" s="1" t="str" cm="1">
        <f t="array" ref="G365">IFERROR(_xlfn.LET(_xlpm.searchText, Tests!$C365,_xlpm.dataRange, 'Rita Quick test'!$B$3:$P$57,_xlpm.headers, 'Rita Quick test'!$B$2:$P$2,_xlpm.matchMatrix, ISNUMBER(SEARCH(_xlpm.searchText, _xlpm.dataRange)),_xlpm.colMatch, _xlfn.XMATCH(TRUE, _xlfn.BYCOL(_xlpm.matchMatrix, _xlfn.LAMBDA(_xlpm.col, OR(_xlpm.col)))),INDEX(_xlpm.headers, _xlpm.colMatch)),"")</f>
        <v/>
      </c>
      <c r="H365" s="1" t="str">
        <f>IFERROR(VLOOKUP("*" &amp; C365 &amp; "*",Terms!D:E,2,FALSE),"")</f>
        <v/>
      </c>
      <c r="I365" s="1" t="str">
        <f>IFERROR(VLOOKUP("*" &amp; C365 &amp; "*",'Terms 2'!B:D,3,FALSE),"")</f>
        <v/>
      </c>
    </row>
    <row r="366" spans="2:9">
      <c r="B366" s="1" t="str">
        <f t="shared" si="5"/>
        <v/>
      </c>
      <c r="C366" s="47" t="s">
        <v>4661</v>
      </c>
      <c r="D366" s="1" t="s">
        <v>4848</v>
      </c>
      <c r="E366" s="1" t="str" cm="1">
        <f t="array" ref="E366">IFERROR(
  _xlfn.LET(
    _xlpm.searchText, Tests!$C366,
    _xlpm.dataRange, ITTO!$B$3:$F$300,
    _xlpm.headers, ITTO!$B$2:$F$2,
    _xlpm.matchMatrix, ISNUMBER(SEARCH(_xlpm.searchText, _xlpm.dataRange)),
    _xlpm.colMatch, _xlfn.XMATCH(TRUE, _xlfn.BYCOL(_xlpm.matchMatrix, _xlfn.LAMBDA(_xlpm.col, OR(_xlpm.col)))),
    INDEX(_xlpm.headers, _xlpm.colMatch)
  ),
  ""
)</f>
        <v/>
      </c>
      <c r="F366" s="1" t="str" cm="1">
        <f t="array" ref="F366">IFERROR(_xlfn.LET(_xlpm.searchText, Tests!$C366,_xlpm.dataRange, PMBOK!$B$3:$F$300,_xlpm.headers, PMBOK!$B$2:$F$2,_xlpm.matchMatrix, ISNUMBER(SEARCH(_xlpm.searchText, _xlpm.dataRange)),_xlpm.colMatch, _xlfn.XMATCH(TRUE, _xlfn.BYCOL(_xlpm.matchMatrix, _xlfn.LAMBDA(_xlpm.col, OR(_xlpm.col)))),INDEX(_xlpm.headers, _xlpm.colMatch)),"")</f>
        <v/>
      </c>
      <c r="G366" s="1" t="str" cm="1">
        <f t="array" ref="G366">IFERROR(_xlfn.LET(_xlpm.searchText, Tests!$C366,_xlpm.dataRange, 'Rita Quick test'!$B$3:$P$57,_xlpm.headers, 'Rita Quick test'!$B$2:$P$2,_xlpm.matchMatrix, ISNUMBER(SEARCH(_xlpm.searchText, _xlpm.dataRange)),_xlpm.colMatch, _xlfn.XMATCH(TRUE, _xlfn.BYCOL(_xlpm.matchMatrix, _xlfn.LAMBDA(_xlpm.col, OR(_xlpm.col)))),INDEX(_xlpm.headers, _xlpm.colMatch)),"")</f>
        <v/>
      </c>
      <c r="H366" s="1" t="str">
        <f>IFERROR(VLOOKUP("*" &amp; C366 &amp; "*",Terms!D:E,2,FALSE),"")</f>
        <v/>
      </c>
      <c r="I366" s="1" t="str">
        <f>IFERROR(VLOOKUP("*" &amp; C366 &amp; "*",'Terms 2'!B:D,3,FALSE),"")</f>
        <v/>
      </c>
    </row>
    <row r="367" spans="2:9">
      <c r="B367" s="1" t="str">
        <f t="shared" si="5"/>
        <v/>
      </c>
      <c r="C367" s="47" t="s">
        <v>4660</v>
      </c>
      <c r="D367" s="1" t="s">
        <v>4848</v>
      </c>
      <c r="E367" s="1" t="str" cm="1">
        <f t="array" ref="E367">IFERROR(
  _xlfn.LET(
    _xlpm.searchText, Tests!$C367,
    _xlpm.dataRange, ITTO!$B$3:$F$300,
    _xlpm.headers, ITTO!$B$2:$F$2,
    _xlpm.matchMatrix, ISNUMBER(SEARCH(_xlpm.searchText, _xlpm.dataRange)),
    _xlpm.colMatch, _xlfn.XMATCH(TRUE, _xlfn.BYCOL(_xlpm.matchMatrix, _xlfn.LAMBDA(_xlpm.col, OR(_xlpm.col)))),
    INDEX(_xlpm.headers, _xlpm.colMatch)
  ),
  ""
)</f>
        <v/>
      </c>
      <c r="F367" s="1" t="str" cm="1">
        <f t="array" ref="F367">IFERROR(_xlfn.LET(_xlpm.searchText, Tests!$C367,_xlpm.dataRange, PMBOK!$B$3:$F$300,_xlpm.headers, PMBOK!$B$2:$F$2,_xlpm.matchMatrix, ISNUMBER(SEARCH(_xlpm.searchText, _xlpm.dataRange)),_xlpm.colMatch, _xlfn.XMATCH(TRUE, _xlfn.BYCOL(_xlpm.matchMatrix, _xlfn.LAMBDA(_xlpm.col, OR(_xlpm.col)))),INDEX(_xlpm.headers, _xlpm.colMatch)),"")</f>
        <v/>
      </c>
      <c r="G367" s="1" t="str" cm="1">
        <f t="array" ref="G367">IFERROR(_xlfn.LET(_xlpm.searchText, Tests!$C367,_xlpm.dataRange, 'Rita Quick test'!$B$3:$P$57,_xlpm.headers, 'Rita Quick test'!$B$2:$P$2,_xlpm.matchMatrix, ISNUMBER(SEARCH(_xlpm.searchText, _xlpm.dataRange)),_xlpm.colMatch, _xlfn.XMATCH(TRUE, _xlfn.BYCOL(_xlpm.matchMatrix, _xlfn.LAMBDA(_xlpm.col, OR(_xlpm.col)))),INDEX(_xlpm.headers, _xlpm.colMatch)),"")</f>
        <v/>
      </c>
      <c r="H367" s="1" t="str">
        <f>IFERROR(VLOOKUP("*" &amp; C367 &amp; "*",Terms!D:E,2,FALSE),"")</f>
        <v/>
      </c>
      <c r="I367" s="1" t="str">
        <f>IFERROR(VLOOKUP("*" &amp; C367 &amp; "*",'Terms 2'!B:D,3,FALSE),"")</f>
        <v/>
      </c>
    </row>
    <row r="368" spans="2:9">
      <c r="B368" s="1" t="str">
        <f t="shared" si="5"/>
        <v>Upwards influence is for stakeholders above you such as senior management.</v>
      </c>
      <c r="C368" s="47" t="s">
        <v>4611</v>
      </c>
      <c r="D368" s="49" t="s">
        <v>4938</v>
      </c>
      <c r="E368" s="1" t="str" cm="1">
        <f t="array" ref="E368">IFERROR(
  _xlfn.LET(
    _xlpm.searchText, Tests!$C368,
    _xlpm.dataRange, ITTO!$B$3:$F$300,
    _xlpm.headers, ITTO!$B$2:$F$2,
    _xlpm.matchMatrix, ISNUMBER(SEARCH(_xlpm.searchText, _xlpm.dataRange)),
    _xlpm.colMatch, _xlfn.XMATCH(TRUE, _xlfn.BYCOL(_xlpm.matchMatrix, _xlfn.LAMBDA(_xlpm.col, OR(_xlpm.col)))),
    INDEX(_xlpm.headers, _xlpm.colMatch)
  ),
  ""
)</f>
        <v/>
      </c>
      <c r="F368" s="1" t="str" cm="1">
        <f t="array" ref="F368">IFERROR(_xlfn.LET(_xlpm.searchText, Tests!$C368,_xlpm.dataRange, PMBOK!$B$3:$F$300,_xlpm.headers, PMBOK!$B$2:$F$2,_xlpm.matchMatrix, ISNUMBER(SEARCH(_xlpm.searchText, _xlpm.dataRange)),_xlpm.colMatch, _xlfn.XMATCH(TRUE, _xlfn.BYCOL(_xlpm.matchMatrix, _xlfn.LAMBDA(_xlpm.col, OR(_xlpm.col)))),INDEX(_xlpm.headers, _xlpm.colMatch)),"")</f>
        <v/>
      </c>
      <c r="G368" s="1" t="str" cm="1">
        <f t="array" ref="G368">IFERROR(_xlfn.LET(_xlpm.searchText, Tests!$C368,_xlpm.dataRange, 'Rita Quick test'!$B$3:$P$57,_xlpm.headers, 'Rita Quick test'!$B$2:$P$2,_xlpm.matchMatrix, ISNUMBER(SEARCH(_xlpm.searchText, _xlpm.dataRange)),_xlpm.colMatch, _xlfn.XMATCH(TRUE, _xlfn.BYCOL(_xlpm.matchMatrix, _xlfn.LAMBDA(_xlpm.col, OR(_xlpm.col)))),INDEX(_xlpm.headers, _xlpm.colMatch)),"")</f>
        <v/>
      </c>
      <c r="H368" s="1" t="str">
        <f>IFERROR(VLOOKUP("*" &amp; C368 &amp; "*",Terms!D:E,2,FALSE),"")</f>
        <v/>
      </c>
      <c r="I368" s="1" t="str">
        <f>IFERROR(VLOOKUP("*" &amp; C368 &amp; "*",'Terms 2'!B:D,3,FALSE),"")</f>
        <v/>
      </c>
    </row>
    <row r="369" spans="2:9">
      <c r="B369" s="1" t="str">
        <f t="shared" si="5"/>
        <v>Validate scope is done to get formal acceptance from the stakeholders.</v>
      </c>
      <c r="C369" s="47" t="s">
        <v>4449</v>
      </c>
      <c r="D369" s="49" t="s">
        <v>4939</v>
      </c>
      <c r="E369" s="1" t="str" cm="1">
        <f t="array" ref="E369">IFERROR(
  _xlfn.LET(
    _xlpm.searchText, Tests!$C369,
    _xlpm.dataRange, ITTO!$B$3:$F$300,
    _xlpm.headers, ITTO!$B$2:$F$2,
    _xlpm.matchMatrix, ISNUMBER(SEARCH(_xlpm.searchText, _xlpm.dataRange)),
    _xlpm.colMatch, _xlfn.XMATCH(TRUE, _xlfn.BYCOL(_xlpm.matchMatrix, _xlfn.LAMBDA(_xlpm.col, OR(_xlpm.col)))),
    INDEX(_xlpm.headers, _xlpm.colMatch)
  ),
  ""
)</f>
        <v/>
      </c>
      <c r="F369" s="1" t="str" cm="1">
        <f t="array" ref="F369">IFERROR(_xlfn.LET(_xlpm.searchText, Tests!$C369,_xlpm.dataRange, PMBOK!$B$3:$F$300,_xlpm.headers, PMBOK!$B$2:$F$2,_xlpm.matchMatrix, ISNUMBER(SEARCH(_xlpm.searchText, _xlpm.dataRange)),_xlpm.colMatch, _xlfn.XMATCH(TRUE, _xlfn.BYCOL(_xlpm.matchMatrix, _xlfn.LAMBDA(_xlpm.col, OR(_xlpm.col)))),INDEX(_xlpm.headers, _xlpm.colMatch)),"")</f>
        <v/>
      </c>
      <c r="G369" s="1" t="str" cm="1">
        <f t="array" ref="G369">IFERROR(_xlfn.LET(_xlpm.searchText, Tests!$C369,_xlpm.dataRange, 'Rita Quick test'!$B$3:$P$57,_xlpm.headers, 'Rita Quick test'!$B$2:$P$2,_xlpm.matchMatrix, ISNUMBER(SEARCH(_xlpm.searchText, _xlpm.dataRange)),_xlpm.colMatch, _xlfn.XMATCH(TRUE, _xlfn.BYCOL(_xlpm.matchMatrix, _xlfn.LAMBDA(_xlpm.col, OR(_xlpm.col)))),INDEX(_xlpm.headers, _xlpm.colMatch)),"")</f>
        <v/>
      </c>
      <c r="H369" s="1" t="str">
        <f>IFERROR(VLOOKUP("*" &amp; C369 &amp; "*",Terms!D:E,2,FALSE),"")</f>
        <v/>
      </c>
      <c r="I369" s="1" t="str">
        <f>IFERROR(VLOOKUP("*" &amp; C369 &amp; "*",'Terms 2'!B:D,3,FALSE),"")</f>
        <v/>
      </c>
    </row>
    <row r="370" spans="2:9">
      <c r="B370" s="1" t="str">
        <f t="shared" si="5"/>
        <v>Validate scope is a process where stakeholders formally accept the project deliverables</v>
      </c>
      <c r="C370" s="47" t="s">
        <v>4449</v>
      </c>
      <c r="D370" s="49" t="s">
        <v>4456</v>
      </c>
      <c r="E370" s="1" t="str" cm="1">
        <f t="array" ref="E370">IFERROR(
  _xlfn.LET(
    _xlpm.searchText, Tests!$C370,
    _xlpm.dataRange, ITTO!$B$3:$F$300,
    _xlpm.headers, ITTO!$B$2:$F$2,
    _xlpm.matchMatrix, ISNUMBER(SEARCH(_xlpm.searchText, _xlpm.dataRange)),
    _xlpm.colMatch, _xlfn.XMATCH(TRUE, _xlfn.BYCOL(_xlpm.matchMatrix, _xlfn.LAMBDA(_xlpm.col, OR(_xlpm.col)))),
    INDEX(_xlpm.headers, _xlpm.colMatch)
  ),
  ""
)</f>
        <v/>
      </c>
      <c r="F370" s="1" t="str" cm="1">
        <f t="array" ref="F370">IFERROR(_xlfn.LET(_xlpm.searchText, Tests!$C370,_xlpm.dataRange, PMBOK!$B$3:$F$300,_xlpm.headers, PMBOK!$B$2:$F$2,_xlpm.matchMatrix, ISNUMBER(SEARCH(_xlpm.searchText, _xlpm.dataRange)),_xlpm.colMatch, _xlfn.XMATCH(TRUE, _xlfn.BYCOL(_xlpm.matchMatrix, _xlfn.LAMBDA(_xlpm.col, OR(_xlpm.col)))),INDEX(_xlpm.headers, _xlpm.colMatch)),"")</f>
        <v/>
      </c>
      <c r="G370" s="1" t="str" cm="1">
        <f t="array" ref="G370">IFERROR(_xlfn.LET(_xlpm.searchText, Tests!$C370,_xlpm.dataRange, 'Rita Quick test'!$B$3:$P$57,_xlpm.headers, 'Rita Quick test'!$B$2:$P$2,_xlpm.matchMatrix, ISNUMBER(SEARCH(_xlpm.searchText, _xlpm.dataRange)),_xlpm.colMatch, _xlfn.XMATCH(TRUE, _xlfn.BYCOL(_xlpm.matchMatrix, _xlfn.LAMBDA(_xlpm.col, OR(_xlpm.col)))),INDEX(_xlpm.headers, _xlpm.colMatch)),"")</f>
        <v/>
      </c>
      <c r="H370" s="1" t="str">
        <f>IFERROR(VLOOKUP("*" &amp; C370 &amp; "*",Terms!D:E,2,FALSE),"")</f>
        <v/>
      </c>
      <c r="I370" s="1" t="str">
        <f>IFERROR(VLOOKUP("*" &amp; C370 &amp; "*",'Terms 2'!B:D,3,FALSE),"")</f>
        <v/>
      </c>
    </row>
    <row r="371" spans="2:9">
      <c r="B371" s="1" t="str">
        <f t="shared" si="5"/>
        <v>Validate scope is a process where stakeholders formally accept the project deliverables.</v>
      </c>
      <c r="C371" s="47" t="s">
        <v>4449</v>
      </c>
      <c r="D371" s="49" t="s">
        <v>4940</v>
      </c>
      <c r="E371" s="1" t="str" cm="1">
        <f t="array" ref="E371">IFERROR(
  _xlfn.LET(
    _xlpm.searchText, Tests!$C371,
    _xlpm.dataRange, ITTO!$B$3:$F$300,
    _xlpm.headers, ITTO!$B$2:$F$2,
    _xlpm.matchMatrix, ISNUMBER(SEARCH(_xlpm.searchText, _xlpm.dataRange)),
    _xlpm.colMatch, _xlfn.XMATCH(TRUE, _xlfn.BYCOL(_xlpm.matchMatrix, _xlfn.LAMBDA(_xlpm.col, OR(_xlpm.col)))),
    INDEX(_xlpm.headers, _xlpm.colMatch)
  ),
  ""
)</f>
        <v/>
      </c>
      <c r="F371" s="1" t="str" cm="1">
        <f t="array" ref="F371">IFERROR(_xlfn.LET(_xlpm.searchText, Tests!$C371,_xlpm.dataRange, PMBOK!$B$3:$F$300,_xlpm.headers, PMBOK!$B$2:$F$2,_xlpm.matchMatrix, ISNUMBER(SEARCH(_xlpm.searchText, _xlpm.dataRange)),_xlpm.colMatch, _xlfn.XMATCH(TRUE, _xlfn.BYCOL(_xlpm.matchMatrix, _xlfn.LAMBDA(_xlpm.col, OR(_xlpm.col)))),INDEX(_xlpm.headers, _xlpm.colMatch)),"")</f>
        <v/>
      </c>
      <c r="G371" s="1" t="str" cm="1">
        <f t="array" ref="G371">IFERROR(_xlfn.LET(_xlpm.searchText, Tests!$C371,_xlpm.dataRange, 'Rita Quick test'!$B$3:$P$57,_xlpm.headers, 'Rita Quick test'!$B$2:$P$2,_xlpm.matchMatrix, ISNUMBER(SEARCH(_xlpm.searchText, _xlpm.dataRange)),_xlpm.colMatch, _xlfn.XMATCH(TRUE, _xlfn.BYCOL(_xlpm.matchMatrix, _xlfn.LAMBDA(_xlpm.col, OR(_xlpm.col)))),INDEX(_xlpm.headers, _xlpm.colMatch)),"")</f>
        <v/>
      </c>
      <c r="H371" s="1" t="str">
        <f>IFERROR(VLOOKUP("*" &amp; C371 &amp; "*",Terms!D:E,2,FALSE),"")</f>
        <v/>
      </c>
      <c r="I371" s="1" t="str">
        <f>IFERROR(VLOOKUP("*" &amp; C371 &amp; "*",'Terms 2'!B:D,3,FALSE),"")</f>
        <v/>
      </c>
    </row>
    <row r="372" spans="2:9">
      <c r="B372" s="1" t="str">
        <f t="shared" si="5"/>
        <v>The process of quality control is when the deliverables are inspected to see if they meet the quality requirements. The output of this process is verified deliverables.</v>
      </c>
      <c r="C372" s="47" t="s">
        <v>4701</v>
      </c>
      <c r="D372" s="49" t="s">
        <v>4941</v>
      </c>
      <c r="E372" s="1" t="str" cm="1">
        <f t="array" ref="E372">IFERROR(
  _xlfn.LET(
    _xlpm.searchText, Tests!$C372,
    _xlpm.dataRange, ITTO!$B$3:$F$300,
    _xlpm.headers, ITTO!$B$2:$F$2,
    _xlpm.matchMatrix, ISNUMBER(SEARCH(_xlpm.searchText, _xlpm.dataRange)),
    _xlpm.colMatch, _xlfn.XMATCH(TRUE, _xlfn.BYCOL(_xlpm.matchMatrix, _xlfn.LAMBDA(_xlpm.col, OR(_xlpm.col)))),
    INDEX(_xlpm.headers, _xlpm.colMatch)
  ),
  ""
)</f>
        <v/>
      </c>
      <c r="F372" s="1" t="str" cm="1">
        <f t="array" ref="F372">IFERROR(_xlfn.LET(_xlpm.searchText, Tests!$C372,_xlpm.dataRange, PMBOK!$B$3:$F$300,_xlpm.headers, PMBOK!$B$2:$F$2,_xlpm.matchMatrix, ISNUMBER(SEARCH(_xlpm.searchText, _xlpm.dataRange)),_xlpm.colMatch, _xlfn.XMATCH(TRUE, _xlfn.BYCOL(_xlpm.matchMatrix, _xlfn.LAMBDA(_xlpm.col, OR(_xlpm.col)))),INDEX(_xlpm.headers, _xlpm.colMatch)),"")</f>
        <v/>
      </c>
      <c r="G372" s="1" t="str" cm="1">
        <f t="array" ref="G372">IFERROR(_xlfn.LET(_xlpm.searchText, Tests!$C372,_xlpm.dataRange, 'Rita Quick test'!$B$3:$P$57,_xlpm.headers, 'Rita Quick test'!$B$2:$P$2,_xlpm.matchMatrix, ISNUMBER(SEARCH(_xlpm.searchText, _xlpm.dataRange)),_xlpm.colMatch, _xlfn.XMATCH(TRUE, _xlfn.BYCOL(_xlpm.matchMatrix, _xlfn.LAMBDA(_xlpm.col, OR(_xlpm.col)))),INDEX(_xlpm.headers, _xlpm.colMatch)),"")</f>
        <v/>
      </c>
      <c r="H372" s="1" t="str">
        <f>IFERROR(VLOOKUP("*" &amp; C372 &amp; "*",Terms!D:E,2,FALSE),"")</f>
        <v/>
      </c>
      <c r="I372" s="1" t="str">
        <f>IFERROR(VLOOKUP("*" &amp; C372 &amp; "*",'Terms 2'!B:D,3,FALSE),"")</f>
        <v/>
      </c>
    </row>
    <row r="373" spans="2:9">
      <c r="B373" s="1" t="str">
        <f t="shared" si="5"/>
        <v>Verify scope is done when all the deliverables are completed and require stakeholders’ acceptance.</v>
      </c>
      <c r="C373" s="47" t="s">
        <v>4427</v>
      </c>
      <c r="D373" s="49" t="s">
        <v>4431</v>
      </c>
      <c r="E373" s="1" t="str" cm="1">
        <f t="array" ref="E373">IFERROR(
  _xlfn.LET(
    _xlpm.searchText, Tests!$C373,
    _xlpm.dataRange, ITTO!$B$3:$F$300,
    _xlpm.headers, ITTO!$B$2:$F$2,
    _xlpm.matchMatrix, ISNUMBER(SEARCH(_xlpm.searchText, _xlpm.dataRange)),
    _xlpm.colMatch, _xlfn.XMATCH(TRUE, _xlfn.BYCOL(_xlpm.matchMatrix, _xlfn.LAMBDA(_xlpm.col, OR(_xlpm.col)))),
    INDEX(_xlpm.headers, _xlpm.colMatch)
  ),
  ""
)</f>
        <v/>
      </c>
      <c r="F373" s="1" t="str" cm="1">
        <f t="array" ref="F373">IFERROR(_xlfn.LET(_xlpm.searchText, Tests!$C373,_xlpm.dataRange, PMBOK!$B$3:$F$300,_xlpm.headers, PMBOK!$B$2:$F$2,_xlpm.matchMatrix, ISNUMBER(SEARCH(_xlpm.searchText, _xlpm.dataRange)),_xlpm.colMatch, _xlfn.XMATCH(TRUE, _xlfn.BYCOL(_xlpm.matchMatrix, _xlfn.LAMBDA(_xlpm.col, OR(_xlpm.col)))),INDEX(_xlpm.headers, _xlpm.colMatch)),"")</f>
        <v/>
      </c>
      <c r="G373" s="1" t="str" cm="1">
        <f t="array" ref="G373">IFERROR(_xlfn.LET(_xlpm.searchText, Tests!$C373,_xlpm.dataRange, 'Rita Quick test'!$B$3:$P$57,_xlpm.headers, 'Rita Quick test'!$B$2:$P$2,_xlpm.matchMatrix, ISNUMBER(SEARCH(_xlpm.searchText, _xlpm.dataRange)),_xlpm.colMatch, _xlfn.XMATCH(TRUE, _xlfn.BYCOL(_xlpm.matchMatrix, _xlfn.LAMBDA(_xlpm.col, OR(_xlpm.col)))),INDEX(_xlpm.headers, _xlpm.colMatch)),"")</f>
        <v/>
      </c>
      <c r="H373" s="1" t="str">
        <f>IFERROR(VLOOKUP("*" &amp; C373 &amp; "*",Terms!D:E,2,FALSE),"")</f>
        <v/>
      </c>
      <c r="I373" s="1" t="str">
        <f>IFERROR(VLOOKUP("*" &amp; C373 &amp; "*",'Terms 2'!B:D,3,FALSE),"")</f>
        <v/>
      </c>
    </row>
    <row r="374" spans="2:9">
      <c r="B374" s="1" t="str">
        <f t="shared" si="5"/>
        <v>Verify scope is done when all the deliverables are completed and require stakeholders’ acceptance.</v>
      </c>
      <c r="C374" s="46" t="s">
        <v>4427</v>
      </c>
      <c r="D374" s="49" t="s">
        <v>4431</v>
      </c>
      <c r="E374" s="1" t="str" cm="1">
        <f t="array" ref="E374">IFERROR(
  _xlfn.LET(
    _xlpm.searchText, Tests!$C374,
    _xlpm.dataRange, ITTO!$B$3:$F$300,
    _xlpm.headers, ITTO!$B$2:$F$2,
    _xlpm.matchMatrix, ISNUMBER(SEARCH(_xlpm.searchText, _xlpm.dataRange)),
    _xlpm.colMatch, _xlfn.XMATCH(TRUE, _xlfn.BYCOL(_xlpm.matchMatrix, _xlfn.LAMBDA(_xlpm.col, OR(_xlpm.col)))),
    INDEX(_xlpm.headers, _xlpm.colMatch)
  ),
  ""
)</f>
        <v/>
      </c>
      <c r="F374" s="1" t="str" cm="1">
        <f t="array" ref="F374">IFERROR(_xlfn.LET(_xlpm.searchText, Tests!$C374,_xlpm.dataRange, PMBOK!$B$3:$F$300,_xlpm.headers, PMBOK!$B$2:$F$2,_xlpm.matchMatrix, ISNUMBER(SEARCH(_xlpm.searchText, _xlpm.dataRange)),_xlpm.colMatch, _xlfn.XMATCH(TRUE, _xlfn.BYCOL(_xlpm.matchMatrix, _xlfn.LAMBDA(_xlpm.col, OR(_xlpm.col)))),INDEX(_xlpm.headers, _xlpm.colMatch)),"")</f>
        <v/>
      </c>
      <c r="G374" s="1" t="str" cm="1">
        <f t="array" ref="G374">IFERROR(_xlfn.LET(_xlpm.searchText, Tests!$C374,_xlpm.dataRange, 'Rita Quick test'!$B$3:$P$57,_xlpm.headers, 'Rita Quick test'!$B$2:$P$2,_xlpm.matchMatrix, ISNUMBER(SEARCH(_xlpm.searchText, _xlpm.dataRange)),_xlpm.colMatch, _xlfn.XMATCH(TRUE, _xlfn.BYCOL(_xlpm.matchMatrix, _xlfn.LAMBDA(_xlpm.col, OR(_xlpm.col)))),INDEX(_xlpm.headers, _xlpm.colMatch)),"")</f>
        <v/>
      </c>
      <c r="H374" s="1" t="str">
        <f>IFERROR(VLOOKUP("*" &amp; C374 &amp; "*",Terms!D:E,2,FALSE),"")</f>
        <v/>
      </c>
      <c r="I374" s="1" t="str">
        <f>IFERROR(VLOOKUP("*" &amp; C374 &amp; "*",'Terms 2'!B:D,3,FALSE),"")</f>
        <v/>
      </c>
    </row>
    <row r="375" spans="2:9">
      <c r="B375" s="1" t="str">
        <f t="shared" si="5"/>
        <v/>
      </c>
      <c r="C375" s="47" t="s">
        <v>4781</v>
      </c>
      <c r="D375" s="1" t="s">
        <v>4848</v>
      </c>
      <c r="E375" s="1" t="str" cm="1">
        <f t="array" ref="E375">IFERROR(
  _xlfn.LET(
    _xlpm.searchText, Tests!$C375,
    _xlpm.dataRange, ITTO!$B$3:$F$300,
    _xlpm.headers, ITTO!$B$2:$F$2,
    _xlpm.matchMatrix, ISNUMBER(SEARCH(_xlpm.searchText, _xlpm.dataRange)),
    _xlpm.colMatch, _xlfn.XMATCH(TRUE, _xlfn.BYCOL(_xlpm.matchMatrix, _xlfn.LAMBDA(_xlpm.col, OR(_xlpm.col)))),
    INDEX(_xlpm.headers, _xlpm.colMatch)
  ),
  ""
)</f>
        <v/>
      </c>
      <c r="F375" s="1" t="str" cm="1">
        <f t="array" ref="F375">IFERROR(_xlfn.LET(_xlpm.searchText, Tests!$C375,_xlpm.dataRange, PMBOK!$B$3:$F$300,_xlpm.headers, PMBOK!$B$2:$F$2,_xlpm.matchMatrix, ISNUMBER(SEARCH(_xlpm.searchText, _xlpm.dataRange)),_xlpm.colMatch, _xlfn.XMATCH(TRUE, _xlfn.BYCOL(_xlpm.matchMatrix, _xlfn.LAMBDA(_xlpm.col, OR(_xlpm.col)))),INDEX(_xlpm.headers, _xlpm.colMatch)),"")</f>
        <v/>
      </c>
      <c r="G375" s="1" t="str" cm="1">
        <f t="array" ref="G375">IFERROR(_xlfn.LET(_xlpm.searchText, Tests!$C375,_xlpm.dataRange, 'Rita Quick test'!$B$3:$P$57,_xlpm.headers, 'Rita Quick test'!$B$2:$P$2,_xlpm.matchMatrix, ISNUMBER(SEARCH(_xlpm.searchText, _xlpm.dataRange)),_xlpm.colMatch, _xlfn.XMATCH(TRUE, _xlfn.BYCOL(_xlpm.matchMatrix, _xlfn.LAMBDA(_xlpm.col, OR(_xlpm.col)))),INDEX(_xlpm.headers, _xlpm.colMatch)),"")</f>
        <v/>
      </c>
      <c r="H375" s="1" t="str">
        <f>IFERROR(VLOOKUP("*" &amp; C375 &amp; "*",Terms!D:E,2,FALSE),"")</f>
        <v/>
      </c>
      <c r="I375" s="1" t="str">
        <f>IFERROR(VLOOKUP("*" &amp; C375 &amp; "*",'Terms 2'!B:D,3,FALSE),"")</f>
        <v/>
      </c>
    </row>
    <row r="376" spans="2:9">
      <c r="B376" s="1" t="str">
        <f t="shared" si="5"/>
        <v>All other choices would give you a detailed view of the project schedule and work.</v>
      </c>
      <c r="C376" s="46" t="s">
        <v>4667</v>
      </c>
      <c r="D376" s="49" t="s">
        <v>4668</v>
      </c>
      <c r="E376" s="1" t="str" cm="1">
        <f t="array" ref="E376">IFERROR(
  _xlfn.LET(
    _xlpm.searchText, Tests!$C376,
    _xlpm.dataRange, ITTO!$B$3:$F$300,
    _xlpm.headers, ITTO!$B$2:$F$2,
    _xlpm.matchMatrix, ISNUMBER(SEARCH(_xlpm.searchText, _xlpm.dataRange)),
    _xlpm.colMatch, _xlfn.XMATCH(TRUE, _xlfn.BYCOL(_xlpm.matchMatrix, _xlfn.LAMBDA(_xlpm.col, OR(_xlpm.col)))),
    INDEX(_xlpm.headers, _xlpm.colMatch)
  ),
  ""
)</f>
        <v/>
      </c>
      <c r="F376" s="1" t="str" cm="1">
        <f t="array" ref="F376">IFERROR(_xlfn.LET(_xlpm.searchText, Tests!$C376,_xlpm.dataRange, PMBOK!$B$3:$F$300,_xlpm.headers, PMBOK!$B$2:$F$2,_xlpm.matchMatrix, ISNUMBER(SEARCH(_xlpm.searchText, _xlpm.dataRange)),_xlpm.colMatch, _xlfn.XMATCH(TRUE, _xlfn.BYCOL(_xlpm.matchMatrix, _xlfn.LAMBDA(_xlpm.col, OR(_xlpm.col)))),INDEX(_xlpm.headers, _xlpm.colMatch)),"")</f>
        <v/>
      </c>
      <c r="G376" s="1" t="str" cm="1">
        <f t="array" ref="G376">IFERROR(_xlfn.LET(_xlpm.searchText, Tests!$C376,_xlpm.dataRange, 'Rita Quick test'!$B$3:$P$57,_xlpm.headers, 'Rita Quick test'!$B$2:$P$2,_xlpm.matchMatrix, ISNUMBER(SEARCH(_xlpm.searchText, _xlpm.dataRange)),_xlpm.colMatch, _xlfn.XMATCH(TRUE, _xlfn.BYCOL(_xlpm.matchMatrix, _xlfn.LAMBDA(_xlpm.col, OR(_xlpm.col)))),INDEX(_xlpm.headers, _xlpm.colMatch)),"")</f>
        <v/>
      </c>
      <c r="H376" s="1" t="str">
        <f>IFERROR(VLOOKUP("*" &amp; C376 &amp; "*",Terms!D:E,2,FALSE),"")</f>
        <v/>
      </c>
      <c r="I376" s="1" t="str">
        <f>IFERROR(VLOOKUP("*" &amp; C376 &amp; "*",'Terms 2'!B:D,3,FALSE),"")</f>
        <v/>
      </c>
    </row>
    <row r="377" spans="2:9">
      <c r="B377" s="1" t="str">
        <f t="shared" si="5"/>
        <v>Screening and weighing systems are done to help select sellers.</v>
      </c>
      <c r="C377" s="47" t="s">
        <v>4601</v>
      </c>
      <c r="D377" s="48" t="s">
        <v>4603</v>
      </c>
      <c r="E377" s="1" t="str" cm="1">
        <f t="array" ref="E377">IFERROR(
  _xlfn.LET(
    _xlpm.searchText, Tests!$C377,
    _xlpm.dataRange, ITTO!$B$3:$F$300,
    _xlpm.headers, ITTO!$B$2:$F$2,
    _xlpm.matchMatrix, ISNUMBER(SEARCH(_xlpm.searchText, _xlpm.dataRange)),
    _xlpm.colMatch, _xlfn.XMATCH(TRUE, _xlfn.BYCOL(_xlpm.matchMatrix, _xlfn.LAMBDA(_xlpm.col, OR(_xlpm.col)))),
    INDEX(_xlpm.headers, _xlpm.colMatch)
  ),
  ""
)</f>
        <v/>
      </c>
      <c r="F377" s="1" t="str" cm="1">
        <f t="array" ref="F377">IFERROR(_xlfn.LET(_xlpm.searchText, Tests!$C377,_xlpm.dataRange, PMBOK!$B$3:$F$300,_xlpm.headers, PMBOK!$B$2:$F$2,_xlpm.matchMatrix, ISNUMBER(SEARCH(_xlpm.searchText, _xlpm.dataRange)),_xlpm.colMatch, _xlfn.XMATCH(TRUE, _xlfn.BYCOL(_xlpm.matchMatrix, _xlfn.LAMBDA(_xlpm.col, OR(_xlpm.col)))),INDEX(_xlpm.headers, _xlpm.colMatch)),"")</f>
        <v/>
      </c>
      <c r="G377" s="1" t="str" cm="1">
        <f t="array" ref="G377">IFERROR(_xlfn.LET(_xlpm.searchText, Tests!$C377,_xlpm.dataRange, 'Rita Quick test'!$B$3:$P$57,_xlpm.headers, 'Rita Quick test'!$B$2:$P$2,_xlpm.matchMatrix, ISNUMBER(SEARCH(_xlpm.searchText, _xlpm.dataRange)),_xlpm.colMatch, _xlfn.XMATCH(TRUE, _xlfn.BYCOL(_xlpm.matchMatrix, _xlfn.LAMBDA(_xlpm.col, OR(_xlpm.col)))),INDEX(_xlpm.headers, _xlpm.colMatch)),"")</f>
        <v/>
      </c>
      <c r="H377" s="1" t="str">
        <f>IFERROR(VLOOKUP("*" &amp; C377 &amp; "*",Terms!D:E,2,FALSE),"")</f>
        <v/>
      </c>
      <c r="I377" s="1" t="str">
        <f>IFERROR(VLOOKUP("*" &amp; C377 &amp; "*",'Terms 2'!B:D,3,FALSE),"")</f>
        <v/>
      </c>
    </row>
    <row r="378" spans="2:9">
      <c r="B378" s="1" t="str">
        <f t="shared" si="5"/>
        <v/>
      </c>
      <c r="C378" s="47" t="s">
        <v>4767</v>
      </c>
      <c r="D378" s="1" t="s">
        <v>4848</v>
      </c>
      <c r="E378" s="1" t="str" cm="1">
        <f t="array" ref="E378">IFERROR(
  _xlfn.LET(
    _xlpm.searchText, Tests!$C378,
    _xlpm.dataRange, ITTO!$B$3:$F$300,
    _xlpm.headers, ITTO!$B$2:$F$2,
    _xlpm.matchMatrix, ISNUMBER(SEARCH(_xlpm.searchText, _xlpm.dataRange)),
    _xlpm.colMatch, _xlfn.XMATCH(TRUE, _xlfn.BYCOL(_xlpm.matchMatrix, _xlfn.LAMBDA(_xlpm.col, OR(_xlpm.col)))),
    INDEX(_xlpm.headers, _xlpm.colMatch)
  ),
  ""
)</f>
        <v/>
      </c>
      <c r="F378" s="1" t="str" cm="1">
        <f t="array" ref="F378">IFERROR(_xlfn.LET(_xlpm.searchText, Tests!$C378,_xlpm.dataRange, PMBOK!$B$3:$F$300,_xlpm.headers, PMBOK!$B$2:$F$2,_xlpm.matchMatrix, ISNUMBER(SEARCH(_xlpm.searchText, _xlpm.dataRange)),_xlpm.colMatch, _xlfn.XMATCH(TRUE, _xlfn.BYCOL(_xlpm.matchMatrix, _xlfn.LAMBDA(_xlpm.col, OR(_xlpm.col)))),INDEX(_xlpm.headers, _xlpm.colMatch)),"")</f>
        <v/>
      </c>
      <c r="G378" s="1" t="str" cm="1">
        <f t="array" ref="G378">IFERROR(_xlfn.LET(_xlpm.searchText, Tests!$C378,_xlpm.dataRange, 'Rita Quick test'!$B$3:$P$57,_xlpm.headers, 'Rita Quick test'!$B$2:$P$2,_xlpm.matchMatrix, ISNUMBER(SEARCH(_xlpm.searchText, _xlpm.dataRange)),_xlpm.colMatch, _xlfn.XMATCH(TRUE, _xlfn.BYCOL(_xlpm.matchMatrix, _xlfn.LAMBDA(_xlpm.col, OR(_xlpm.col)))),INDEX(_xlpm.headers, _xlpm.colMatch)),"")</f>
        <v/>
      </c>
      <c r="H378" s="1" t="str">
        <f>IFERROR(VLOOKUP("*" &amp; C378 &amp; "*",Terms!D:E,2,FALSE),"")</f>
        <v/>
      </c>
      <c r="I378" s="1" t="str">
        <f>IFERROR(VLOOKUP("*" &amp; C378 &amp; "*",'Terms 2'!B:D,3,FALSE),"")</f>
        <v/>
      </c>
    </row>
    <row r="379" spans="2:9">
      <c r="B379" s="1" t="str">
        <f t="shared" si="5"/>
        <v/>
      </c>
      <c r="C379" s="47" t="s">
        <v>4768</v>
      </c>
      <c r="D379" s="1" t="s">
        <v>4848</v>
      </c>
      <c r="E379" s="1" t="str" cm="1">
        <f t="array" ref="E379">IFERROR(
  _xlfn.LET(
    _xlpm.searchText, Tests!$C379,
    _xlpm.dataRange, ITTO!$B$3:$F$300,
    _xlpm.headers, ITTO!$B$2:$F$2,
    _xlpm.matchMatrix, ISNUMBER(SEARCH(_xlpm.searchText, _xlpm.dataRange)),
    _xlpm.colMatch, _xlfn.XMATCH(TRUE, _xlfn.BYCOL(_xlpm.matchMatrix, _xlfn.LAMBDA(_xlpm.col, OR(_xlpm.col)))),
    INDEX(_xlpm.headers, _xlpm.colMatch)
  ),
  ""
)</f>
        <v/>
      </c>
      <c r="F379" s="1" t="str" cm="1">
        <f t="array" ref="F379">IFERROR(_xlfn.LET(_xlpm.searchText, Tests!$C379,_xlpm.dataRange, PMBOK!$B$3:$F$300,_xlpm.headers, PMBOK!$B$2:$F$2,_xlpm.matchMatrix, ISNUMBER(SEARCH(_xlpm.searchText, _xlpm.dataRange)),_xlpm.colMatch, _xlfn.XMATCH(TRUE, _xlfn.BYCOL(_xlpm.matchMatrix, _xlfn.LAMBDA(_xlpm.col, OR(_xlpm.col)))),INDEX(_xlpm.headers, _xlpm.colMatch)),"")</f>
        <v/>
      </c>
      <c r="G379" s="1" t="str" cm="1">
        <f t="array" ref="G379">IFERROR(_xlfn.LET(_xlpm.searchText, Tests!$C379,_xlpm.dataRange, 'Rita Quick test'!$B$3:$P$57,_xlpm.headers, 'Rita Quick test'!$B$2:$P$2,_xlpm.matchMatrix, ISNUMBER(SEARCH(_xlpm.searchText, _xlpm.dataRange)),_xlpm.colMatch, _xlfn.XMATCH(TRUE, _xlfn.BYCOL(_xlpm.matchMatrix, _xlfn.LAMBDA(_xlpm.col, OR(_xlpm.col)))),INDEX(_xlpm.headers, _xlpm.colMatch)),"")</f>
        <v/>
      </c>
      <c r="H379" s="1" t="str">
        <f>IFERROR(VLOOKUP("*" &amp; C379 &amp; "*",Terms!D:E,2,FALSE),"")</f>
        <v/>
      </c>
      <c r="I379" s="1" t="str">
        <f>IFERROR(VLOOKUP("*" &amp; C379 &amp; "*",'Terms 2'!B:D,3,FALSE),"")</f>
        <v/>
      </c>
    </row>
    <row r="380" spans="2:9">
      <c r="B380" s="1" t="str">
        <f t="shared" si="5"/>
        <v/>
      </c>
      <c r="C380" s="47" t="s">
        <v>4465</v>
      </c>
      <c r="D380" s="1" t="s">
        <v>4848</v>
      </c>
      <c r="E380" s="1" t="str" cm="1">
        <f t="array" ref="E380">IFERROR(
  _xlfn.LET(
    _xlpm.searchText, Tests!$C380,
    _xlpm.dataRange, ITTO!$B$3:$F$300,
    _xlpm.headers, ITTO!$B$2:$F$2,
    _xlpm.matchMatrix, ISNUMBER(SEARCH(_xlpm.searchText, _xlpm.dataRange)),
    _xlpm.colMatch, _xlfn.XMATCH(TRUE, _xlfn.BYCOL(_xlpm.matchMatrix, _xlfn.LAMBDA(_xlpm.col, OR(_xlpm.col)))),
    INDEX(_xlpm.headers, _xlpm.colMatch)
  ),
  ""
)</f>
        <v/>
      </c>
      <c r="F380" s="1" t="str" cm="1">
        <f t="array" ref="F380">IFERROR(_xlfn.LET(_xlpm.searchText, Tests!$C380,_xlpm.dataRange, PMBOK!$B$3:$F$300,_xlpm.headers, PMBOK!$B$2:$F$2,_xlpm.matchMatrix, ISNUMBER(SEARCH(_xlpm.searchText, _xlpm.dataRange)),_xlpm.colMatch, _xlfn.XMATCH(TRUE, _xlfn.BYCOL(_xlpm.matchMatrix, _xlfn.LAMBDA(_xlpm.col, OR(_xlpm.col)))),INDEX(_xlpm.headers, _xlpm.colMatch)),"")</f>
        <v/>
      </c>
      <c r="G380" s="1" t="str" cm="1">
        <f t="array" ref="G380">IFERROR(_xlfn.LET(_xlpm.searchText, Tests!$C380,_xlpm.dataRange, 'Rita Quick test'!$B$3:$P$57,_xlpm.headers, 'Rita Quick test'!$B$2:$P$2,_xlpm.matchMatrix, ISNUMBER(SEARCH(_xlpm.searchText, _xlpm.dataRange)),_xlpm.colMatch, _xlfn.XMATCH(TRUE, _xlfn.BYCOL(_xlpm.matchMatrix, _xlfn.LAMBDA(_xlpm.col, OR(_xlpm.col)))),INDEX(_xlpm.headers, _xlpm.colMatch)),"")</f>
        <v/>
      </c>
      <c r="H380" s="1" t="str">
        <f>IFERROR(VLOOKUP("*" &amp; C380 &amp; "*",Terms!D:E,2,FALSE),"")</f>
        <v/>
      </c>
      <c r="I380" s="1" t="str">
        <f>IFERROR(VLOOKUP("*" &amp; C380 &amp; "*",'Terms 2'!B:D,3,FALSE),"")</f>
        <v/>
      </c>
    </row>
    <row r="381" spans="2:9">
      <c r="B381" s="1" t="str">
        <f t="shared" si="5"/>
        <v>The conflict resolution technique Illustrated in this question is withdrawal, which is when they postpone the issue to a later date to be better prepared.</v>
      </c>
      <c r="C381" s="47" t="s">
        <v>4499</v>
      </c>
      <c r="D381" s="49" t="s">
        <v>4942</v>
      </c>
      <c r="E381" s="1" t="str" cm="1">
        <f t="array" ref="E381">IFERROR(
  _xlfn.LET(
    _xlpm.searchText, Tests!$C381,
    _xlpm.dataRange, ITTO!$B$3:$F$300,
    _xlpm.headers, ITTO!$B$2:$F$2,
    _xlpm.matchMatrix, ISNUMBER(SEARCH(_xlpm.searchText, _xlpm.dataRange)),
    _xlpm.colMatch, _xlfn.XMATCH(TRUE, _xlfn.BYCOL(_xlpm.matchMatrix, _xlfn.LAMBDA(_xlpm.col, OR(_xlpm.col)))),
    INDEX(_xlpm.headers, _xlpm.colMatch)
  ),
  ""
)</f>
        <v/>
      </c>
      <c r="F381" s="1" t="str" cm="1">
        <f t="array" ref="F381">IFERROR(_xlfn.LET(_xlpm.searchText, Tests!$C381,_xlpm.dataRange, PMBOK!$B$3:$F$300,_xlpm.headers, PMBOK!$B$2:$F$2,_xlpm.matchMatrix, ISNUMBER(SEARCH(_xlpm.searchText, _xlpm.dataRange)),_xlpm.colMatch, _xlfn.XMATCH(TRUE, _xlfn.BYCOL(_xlpm.matchMatrix, _xlfn.LAMBDA(_xlpm.col, OR(_xlpm.col)))),INDEX(_xlpm.headers, _xlpm.colMatch)),"")</f>
        <v/>
      </c>
      <c r="G381" s="1" t="str" cm="1">
        <f t="array" ref="G381">IFERROR(_xlfn.LET(_xlpm.searchText, Tests!$C381,_xlpm.dataRange, 'Rita Quick test'!$B$3:$P$57,_xlpm.headers, 'Rita Quick test'!$B$2:$P$2,_xlpm.matchMatrix, ISNUMBER(SEARCH(_xlpm.searchText, _xlpm.dataRange)),_xlpm.colMatch, _xlfn.XMATCH(TRUE, _xlfn.BYCOL(_xlpm.matchMatrix, _xlfn.LAMBDA(_xlpm.col, OR(_xlpm.col)))),INDEX(_xlpm.headers, _xlpm.colMatch)),"")</f>
        <v/>
      </c>
      <c r="H381" s="1" t="str">
        <f>IFERROR(VLOOKUP("*" &amp; C381 &amp; "*",Terms!D:E,2,FALSE),"")</f>
        <v/>
      </c>
      <c r="I381" s="1" t="str">
        <f>IFERROR(VLOOKUP("*" &amp; C381 &amp; "*",'Terms 2'!B:D,3,FALSE),"")</f>
        <v/>
      </c>
    </row>
    <row r="382" spans="2:9">
      <c r="B382" s="1" t="str">
        <f t="shared" si="5"/>
        <v>The work breakdown structure does not show work by time.</v>
      </c>
      <c r="C382" s="47" t="s">
        <v>4517</v>
      </c>
      <c r="D382" s="48" t="s">
        <v>4522</v>
      </c>
      <c r="E382" s="1" t="str" cm="1">
        <f t="array" ref="E382">IFERROR(
  _xlfn.LET(
    _xlpm.searchText, Tests!$C382,
    _xlpm.dataRange, ITTO!$B$3:$F$300,
    _xlpm.headers, ITTO!$B$2:$F$2,
    _xlpm.matchMatrix, ISNUMBER(SEARCH(_xlpm.searchText, _xlpm.dataRange)),
    _xlpm.colMatch, _xlfn.XMATCH(TRUE, _xlfn.BYCOL(_xlpm.matchMatrix, _xlfn.LAMBDA(_xlpm.col, OR(_xlpm.col)))),
    INDEX(_xlpm.headers, _xlpm.colMatch)
  ),
  ""
)</f>
        <v/>
      </c>
      <c r="F382" s="1" t="str" cm="1">
        <f t="array" ref="F382">IFERROR(_xlfn.LET(_xlpm.searchText, Tests!$C382,_xlpm.dataRange, PMBOK!$B$3:$F$300,_xlpm.headers, PMBOK!$B$2:$F$2,_xlpm.matchMatrix, ISNUMBER(SEARCH(_xlpm.searchText, _xlpm.dataRange)),_xlpm.colMatch, _xlfn.XMATCH(TRUE, _xlfn.BYCOL(_xlpm.matchMatrix, _xlfn.LAMBDA(_xlpm.col, OR(_xlpm.col)))),INDEX(_xlpm.headers, _xlpm.colMatch)),"")</f>
        <v/>
      </c>
      <c r="G382" s="1" t="str" cm="1">
        <f t="array" ref="G382">IFERROR(_xlfn.LET(_xlpm.searchText, Tests!$C382,_xlpm.dataRange, 'Rita Quick test'!$B$3:$P$57,_xlpm.headers, 'Rita Quick test'!$B$2:$P$2,_xlpm.matchMatrix, ISNUMBER(SEARCH(_xlpm.searchText, _xlpm.dataRange)),_xlpm.colMatch, _xlfn.XMATCH(TRUE, _xlfn.BYCOL(_xlpm.matchMatrix, _xlfn.LAMBDA(_xlpm.col, OR(_xlpm.col)))),INDEX(_xlpm.headers, _xlpm.colMatch)),"")</f>
        <v/>
      </c>
      <c r="H382" s="1" t="str">
        <f>IFERROR(VLOOKUP("*" &amp; C382 &amp; "*",Terms!D:E,2,FALSE),"")</f>
        <v/>
      </c>
      <c r="I382" s="1" t="str">
        <f>IFERROR(VLOOKUP("*" &amp; C382 &amp; "*",'Terms 2'!B:D,3,FALSE),"")</f>
        <v/>
      </c>
    </row>
    <row r="383" spans="2:9">
      <c r="B383" s="1" t="str">
        <f t="shared" si="5"/>
        <v>Work listed in the work breakdown structure will need to get done on the project</v>
      </c>
      <c r="C383" s="47" t="s">
        <v>4517</v>
      </c>
      <c r="D383" s="49" t="s">
        <v>4710</v>
      </c>
      <c r="E383" s="1" t="str" cm="1">
        <f t="array" ref="E383">IFERROR(
  _xlfn.LET(
    _xlpm.searchText, Tests!$C383,
    _xlpm.dataRange, ITTO!$B$3:$F$300,
    _xlpm.headers, ITTO!$B$2:$F$2,
    _xlpm.matchMatrix, ISNUMBER(SEARCH(_xlpm.searchText, _xlpm.dataRange)),
    _xlpm.colMatch, _xlfn.XMATCH(TRUE, _xlfn.BYCOL(_xlpm.matchMatrix, _xlfn.LAMBDA(_xlpm.col, OR(_xlpm.col)))),
    INDEX(_xlpm.headers, _xlpm.colMatch)
  ),
  ""
)</f>
        <v/>
      </c>
      <c r="F383" s="1" t="str" cm="1">
        <f t="array" ref="F383">IFERROR(_xlfn.LET(_xlpm.searchText, Tests!$C383,_xlpm.dataRange, PMBOK!$B$3:$F$300,_xlpm.headers, PMBOK!$B$2:$F$2,_xlpm.matchMatrix, ISNUMBER(SEARCH(_xlpm.searchText, _xlpm.dataRange)),_xlpm.colMatch, _xlfn.XMATCH(TRUE, _xlfn.BYCOL(_xlpm.matchMatrix, _xlfn.LAMBDA(_xlpm.col, OR(_xlpm.col)))),INDEX(_xlpm.headers, _xlpm.colMatch)),"")</f>
        <v/>
      </c>
      <c r="G383" s="1" t="str" cm="1">
        <f t="array" ref="G383">IFERROR(_xlfn.LET(_xlpm.searchText, Tests!$C383,_xlpm.dataRange, 'Rita Quick test'!$B$3:$P$57,_xlpm.headers, 'Rita Quick test'!$B$2:$P$2,_xlpm.matchMatrix, ISNUMBER(SEARCH(_xlpm.searchText, _xlpm.dataRange)),_xlpm.colMatch, _xlfn.XMATCH(TRUE, _xlfn.BYCOL(_xlpm.matchMatrix, _xlfn.LAMBDA(_xlpm.col, OR(_xlpm.col)))),INDEX(_xlpm.headers, _xlpm.colMatch)),"")</f>
        <v/>
      </c>
      <c r="H383" s="1" t="str">
        <f>IFERROR(VLOOKUP("*" &amp; C383 &amp; "*",Terms!D:E,2,FALSE),"")</f>
        <v/>
      </c>
      <c r="I383" s="1" t="str">
        <f>IFERROR(VLOOKUP("*" &amp; C383 &amp; "*",'Terms 2'!B:D,3,FALSE),"")</f>
        <v/>
      </c>
    </row>
    <row r="384" spans="2:9">
      <c r="B384" s="1" t="str">
        <f t="shared" si="5"/>
        <v/>
      </c>
      <c r="C384" s="47" t="s">
        <v>4828</v>
      </c>
      <c r="D384" s="1" t="s">
        <v>4848</v>
      </c>
      <c r="E384" s="1" t="str" cm="1">
        <f t="array" ref="E384">IFERROR(
  _xlfn.LET(
    _xlpm.searchText, Tests!$C384,
    _xlpm.dataRange, ITTO!$B$3:$F$300,
    _xlpm.headers, ITTO!$B$2:$F$2,
    _xlpm.matchMatrix, ISNUMBER(SEARCH(_xlpm.searchText, _xlpm.dataRange)),
    _xlpm.colMatch, _xlfn.XMATCH(TRUE, _xlfn.BYCOL(_xlpm.matchMatrix, _xlfn.LAMBDA(_xlpm.col, OR(_xlpm.col)))),
    INDEX(_xlpm.headers, _xlpm.colMatch)
  ),
  ""
)</f>
        <v/>
      </c>
      <c r="F384" s="1" t="str" cm="1">
        <f t="array" ref="F384">IFERROR(_xlfn.LET(_xlpm.searchText, Tests!$C384,_xlpm.dataRange, PMBOK!$B$3:$F$300,_xlpm.headers, PMBOK!$B$2:$F$2,_xlpm.matchMatrix, ISNUMBER(SEARCH(_xlpm.searchText, _xlpm.dataRange)),_xlpm.colMatch, _xlfn.XMATCH(TRUE, _xlfn.BYCOL(_xlpm.matchMatrix, _xlfn.LAMBDA(_xlpm.col, OR(_xlpm.col)))),INDEX(_xlpm.headers, _xlpm.colMatch)),"")</f>
        <v/>
      </c>
      <c r="G384" s="1" t="str" cm="1">
        <f t="array" ref="G384">IFERROR(_xlfn.LET(_xlpm.searchText, Tests!$C384,_xlpm.dataRange, 'Rita Quick test'!$B$3:$P$57,_xlpm.headers, 'Rita Quick test'!$B$2:$P$2,_xlpm.matchMatrix, ISNUMBER(SEARCH(_xlpm.searchText, _xlpm.dataRange)),_xlpm.colMatch, _xlfn.XMATCH(TRUE, _xlfn.BYCOL(_xlpm.matchMatrix, _xlfn.LAMBDA(_xlpm.col, OR(_xlpm.col)))),INDEX(_xlpm.headers, _xlpm.colMatch)),"")</f>
        <v/>
      </c>
      <c r="H384" s="1" t="str">
        <f>IFERROR(VLOOKUP("*" &amp; C384 &amp; "*",Terms!D:E,2,FALSE),"")</f>
        <v/>
      </c>
      <c r="I384" s="1" t="str">
        <f>IFERROR(VLOOKUP("*" &amp; C384 &amp; "*",'Terms 2'!B:D,3,FALSE),"")</f>
        <v/>
      </c>
    </row>
    <row r="385" spans="2:9">
      <c r="B385" s="1" t="str">
        <f t="shared" si="5"/>
        <v/>
      </c>
      <c r="C385" s="47" t="s">
        <v>4827</v>
      </c>
      <c r="D385" s="1" t="s">
        <v>4848</v>
      </c>
      <c r="E385" s="1" t="str" cm="1">
        <f t="array" ref="E385">IFERROR(
  _xlfn.LET(
    _xlpm.searchText, Tests!$C385,
    _xlpm.dataRange, ITTO!$B$3:$F$300,
    _xlpm.headers, ITTO!$B$2:$F$2,
    _xlpm.matchMatrix, ISNUMBER(SEARCH(_xlpm.searchText, _xlpm.dataRange)),
    _xlpm.colMatch, _xlfn.XMATCH(TRUE, _xlfn.BYCOL(_xlpm.matchMatrix, _xlfn.LAMBDA(_xlpm.col, OR(_xlpm.col)))),
    INDEX(_xlpm.headers, _xlpm.colMatch)
  ),
  ""
)</f>
        <v/>
      </c>
      <c r="F385" s="1" t="str" cm="1">
        <f t="array" ref="F385">IFERROR(_xlfn.LET(_xlpm.searchText, Tests!$C385,_xlpm.dataRange, PMBOK!$B$3:$F$300,_xlpm.headers, PMBOK!$B$2:$F$2,_xlpm.matchMatrix, ISNUMBER(SEARCH(_xlpm.searchText, _xlpm.dataRange)),_xlpm.colMatch, _xlfn.XMATCH(TRUE, _xlfn.BYCOL(_xlpm.matchMatrix, _xlfn.LAMBDA(_xlpm.col, OR(_xlpm.col)))),INDEX(_xlpm.headers, _xlpm.colMatch)),"")</f>
        <v/>
      </c>
      <c r="G385" s="1" t="str" cm="1">
        <f t="array" ref="G385">IFERROR(_xlfn.LET(_xlpm.searchText, Tests!$C385,_xlpm.dataRange, 'Rita Quick test'!$B$3:$P$57,_xlpm.headers, 'Rita Quick test'!$B$2:$P$2,_xlpm.matchMatrix, ISNUMBER(SEARCH(_xlpm.searchText, _xlpm.dataRange)),_xlpm.colMatch, _xlfn.XMATCH(TRUE, _xlfn.BYCOL(_xlpm.matchMatrix, _xlfn.LAMBDA(_xlpm.col, OR(_xlpm.col)))),INDEX(_xlpm.headers, _xlpm.colMatch)),"")</f>
        <v/>
      </c>
      <c r="H385" s="1" t="str">
        <f>IFERROR(VLOOKUP("*" &amp; C385 &amp; "*",Terms!D:E,2,FALSE),"")</f>
        <v/>
      </c>
      <c r="I385" s="1" t="str">
        <f>IFERROR(VLOOKUP("*" &amp; C385 &amp; "*",'Terms 2'!B:D,3,FALSE),"")</f>
        <v/>
      </c>
    </row>
    <row r="386" spans="2:9">
      <c r="B386" s="1" t="str">
        <f t="shared" si="5"/>
        <v>Work performance reports are an input to the process of performing integrated change control, as it will show the overall status of the project.</v>
      </c>
      <c r="C386" s="47" t="s">
        <v>4829</v>
      </c>
      <c r="D386" s="49" t="s">
        <v>4943</v>
      </c>
      <c r="E386" s="1" t="str" cm="1">
        <f t="array" ref="E386">IFERROR(
  _xlfn.LET(
    _xlpm.searchText, Tests!$C386,
    _xlpm.dataRange, ITTO!$B$3:$F$300,
    _xlpm.headers, ITTO!$B$2:$F$2,
    _xlpm.matchMatrix, ISNUMBER(SEARCH(_xlpm.searchText, _xlpm.dataRange)),
    _xlpm.colMatch, _xlfn.XMATCH(TRUE, _xlfn.BYCOL(_xlpm.matchMatrix, _xlfn.LAMBDA(_xlpm.col, OR(_xlpm.col)))),
    INDEX(_xlpm.headers, _xlpm.colMatch)
  ),
  ""
)</f>
        <v/>
      </c>
      <c r="F386" s="1" t="str" cm="1">
        <f t="array" ref="F386">IFERROR(_xlfn.LET(_xlpm.searchText, Tests!$C386,_xlpm.dataRange, PMBOK!$B$3:$F$300,_xlpm.headers, PMBOK!$B$2:$F$2,_xlpm.matchMatrix, ISNUMBER(SEARCH(_xlpm.searchText, _xlpm.dataRange)),_xlpm.colMatch, _xlfn.XMATCH(TRUE, _xlfn.BYCOL(_xlpm.matchMatrix, _xlfn.LAMBDA(_xlpm.col, OR(_xlpm.col)))),INDEX(_xlpm.headers, _xlpm.colMatch)),"")</f>
        <v/>
      </c>
      <c r="G386" s="1" t="str" cm="1">
        <f t="array" ref="G386">IFERROR(_xlfn.LET(_xlpm.searchText, Tests!$C386,_xlpm.dataRange, 'Rita Quick test'!$B$3:$P$57,_xlpm.headers, 'Rita Quick test'!$B$2:$P$2,_xlpm.matchMatrix, ISNUMBER(SEARCH(_xlpm.searchText, _xlpm.dataRange)),_xlpm.colMatch, _xlfn.XMATCH(TRUE, _xlfn.BYCOL(_xlpm.matchMatrix, _xlfn.LAMBDA(_xlpm.col, OR(_xlpm.col)))),INDEX(_xlpm.headers, _xlpm.colMatch)),"")</f>
        <v/>
      </c>
      <c r="H386" s="1" t="str">
        <f>IFERROR(VLOOKUP("*" &amp; C386 &amp; "*",Terms!D:E,2,FALSE),"")</f>
        <v/>
      </c>
      <c r="I386" s="1" t="str">
        <f>IFERROR(VLOOKUP("*" &amp; C386 &amp; "*",'Terms 2'!B:D,3,FALSE),"")</f>
        <v/>
      </c>
    </row>
    <row r="387" spans="2:9">
      <c r="B387" s="1" t="str">
        <f t="shared" si="5"/>
        <v>Work performance reports are an input to the process of performing integrated change control, as it will show the overall status of the project. The other choices are not inputs to this process.</v>
      </c>
      <c r="C387" s="46" t="s">
        <v>4829</v>
      </c>
      <c r="D387" s="48" t="s">
        <v>4839</v>
      </c>
      <c r="E387" s="1" t="str" cm="1">
        <f t="array" ref="E387">IFERROR(
  _xlfn.LET(
    _xlpm.searchText, Tests!$C387,
    _xlpm.dataRange, ITTO!$B$3:$F$300,
    _xlpm.headers, ITTO!$B$2:$F$2,
    _xlpm.matchMatrix, ISNUMBER(SEARCH(_xlpm.searchText, _xlpm.dataRange)),
    _xlpm.colMatch, _xlfn.XMATCH(TRUE, _xlfn.BYCOL(_xlpm.matchMatrix, _xlfn.LAMBDA(_xlpm.col, OR(_xlpm.col)))),
    INDEX(_xlpm.headers, _xlpm.colMatch)
  ),
  ""
)</f>
        <v/>
      </c>
      <c r="F387" s="1" t="str" cm="1">
        <f t="array" ref="F387">IFERROR(_xlfn.LET(_xlpm.searchText, Tests!$C387,_xlpm.dataRange, PMBOK!$B$3:$F$300,_xlpm.headers, PMBOK!$B$2:$F$2,_xlpm.matchMatrix, ISNUMBER(SEARCH(_xlpm.searchText, _xlpm.dataRange)),_xlpm.colMatch, _xlfn.XMATCH(TRUE, _xlfn.BYCOL(_xlpm.matchMatrix, _xlfn.LAMBDA(_xlpm.col, OR(_xlpm.col)))),INDEX(_xlpm.headers, _xlpm.colMatch)),"")</f>
        <v/>
      </c>
      <c r="G387" s="1" t="str" cm="1">
        <f t="array" ref="G387">IFERROR(_xlfn.LET(_xlpm.searchText, Tests!$C387,_xlpm.dataRange, 'Rita Quick test'!$B$3:$P$57,_xlpm.headers, 'Rita Quick test'!$B$2:$P$2,_xlpm.matchMatrix, ISNUMBER(SEARCH(_xlpm.searchText, _xlpm.dataRange)),_xlpm.colMatch, _xlfn.XMATCH(TRUE, _xlfn.BYCOL(_xlpm.matchMatrix, _xlfn.LAMBDA(_xlpm.col, OR(_xlpm.col)))),INDEX(_xlpm.headers, _xlpm.colMatch)),"")</f>
        <v/>
      </c>
      <c r="H387" s="1" t="str">
        <f>IFERROR(VLOOKUP("*" &amp; C387 &amp; "*",Terms!D:E,2,FALSE),"")</f>
        <v/>
      </c>
      <c r="I387" s="1" t="str">
        <f>IFERROR(VLOOKUP("*" &amp; C387 &amp; "*",'Terms 2'!B:D,3,FALSE),"")</f>
        <v/>
      </c>
    </row>
    <row r="388" spans="2:9">
      <c r="B388" s="1" t="str">
        <f t="shared" ref="B388" si="6">TRIM(D388)</f>
        <v>Lessons learned should be done with the team and not just by the project manager. The steps in closing usually involve conducting the lesson learned, releasing the team, and then writing the final report.</v>
      </c>
      <c r="C388" s="47" t="s">
        <v>4713</v>
      </c>
      <c r="D388" s="48" t="s">
        <v>4717</v>
      </c>
      <c r="E388" s="1" t="str" cm="1">
        <f t="array" ref="E388">IFERROR(
  _xlfn.LET(
    _xlpm.searchText, Tests!$C388,
    _xlpm.dataRange, ITTO!$B$3:$F$300,
    _xlpm.headers, ITTO!$B$2:$F$2,
    _xlpm.matchMatrix, ISNUMBER(SEARCH(_xlpm.searchText, _xlpm.dataRange)),
    _xlpm.colMatch, _xlfn.XMATCH(TRUE, _xlfn.BYCOL(_xlpm.matchMatrix, _xlfn.LAMBDA(_xlpm.col, OR(_xlpm.col)))),
    INDEX(_xlpm.headers, _xlpm.colMatch)
  ),
  ""
)</f>
        <v/>
      </c>
      <c r="F388" s="1" t="str" cm="1">
        <f t="array" ref="F388">IFERROR(_xlfn.LET(_xlpm.searchText, Tests!$C388,_xlpm.dataRange, PMBOK!$B$3:$F$300,_xlpm.headers, PMBOK!$B$2:$F$2,_xlpm.matchMatrix, ISNUMBER(SEARCH(_xlpm.searchText, _xlpm.dataRange)),_xlpm.colMatch, _xlfn.XMATCH(TRUE, _xlfn.BYCOL(_xlpm.matchMatrix, _xlfn.LAMBDA(_xlpm.col, OR(_xlpm.col)))),INDEX(_xlpm.headers, _xlpm.colMatch)),"")</f>
        <v/>
      </c>
      <c r="G388" s="1" t="str" cm="1">
        <f t="array" ref="G388">IFERROR(_xlfn.LET(_xlpm.searchText, Tests!$C388,_xlpm.dataRange, 'Rita Quick test'!$B$3:$P$57,_xlpm.headers, 'Rita Quick test'!$B$2:$P$2,_xlpm.matchMatrix, ISNUMBER(SEARCH(_xlpm.searchText, _xlpm.dataRange)),_xlpm.colMatch, _xlfn.XMATCH(TRUE, _xlfn.BYCOL(_xlpm.matchMatrix, _xlfn.LAMBDA(_xlpm.col, OR(_xlpm.col)))),INDEX(_xlpm.headers, _xlpm.colMatch)),"")</f>
        <v/>
      </c>
      <c r="H388" s="1" t="str">
        <f>IFERROR(VLOOKUP("*" &amp; C388 &amp; "*",Terms!D:E,2,FALSE),"")</f>
        <v/>
      </c>
      <c r="I388" s="1" t="str">
        <f>IFERROR(VLOOKUP("*" &amp; C388 &amp; "*",'Terms 2'!B:D,3,FALSE),"")</f>
        <v/>
      </c>
    </row>
  </sheetData>
  <autoFilter ref="C2:I388" xr:uid="{74DFB750-1642-4482-A160-24C929389865}"/>
  <sortState xmlns:xlrd2="http://schemas.microsoft.com/office/spreadsheetml/2017/richdata2" ref="C3:D734">
    <sortCondition ref="C3:C734"/>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1A660-C05C-43CD-BCBB-2DDA1E5EC401}">
  <dimension ref="B2:F12"/>
  <sheetViews>
    <sheetView workbookViewId="0">
      <selection activeCell="B4" sqref="B4"/>
    </sheetView>
  </sheetViews>
  <sheetFormatPr defaultRowHeight="12"/>
  <cols>
    <col min="1" max="1" width="4.26953125" style="1" customWidth="1"/>
    <col min="2" max="2" width="43.81640625" style="1" customWidth="1"/>
    <col min="3" max="3" width="33.08984375" style="1" customWidth="1"/>
    <col min="4" max="4" width="25.90625" style="1" customWidth="1"/>
    <col min="5" max="5" width="30.1796875" style="1" customWidth="1"/>
    <col min="6" max="6" width="28.36328125" style="1" customWidth="1"/>
    <col min="7" max="16384" width="8.7265625" style="1"/>
  </cols>
  <sheetData>
    <row r="2" spans="2:6" ht="14">
      <c r="B2" s="15" t="s">
        <v>2039</v>
      </c>
      <c r="C2" s="15" t="s">
        <v>2049</v>
      </c>
      <c r="D2" s="15" t="s">
        <v>2058</v>
      </c>
      <c r="E2" s="15" t="s">
        <v>2062</v>
      </c>
      <c r="F2" s="15" t="s">
        <v>2071</v>
      </c>
    </row>
    <row r="3" spans="2:6" ht="28">
      <c r="B3" s="16" t="s">
        <v>2040</v>
      </c>
      <c r="C3" s="16" t="s">
        <v>2050</v>
      </c>
      <c r="D3" s="16" t="s">
        <v>2059</v>
      </c>
      <c r="E3" s="16" t="s">
        <v>2063</v>
      </c>
      <c r="F3" s="16" t="s">
        <v>2072</v>
      </c>
    </row>
    <row r="4" spans="2:6" ht="28">
      <c r="B4" s="16" t="s">
        <v>2041</v>
      </c>
      <c r="C4" s="16" t="s">
        <v>2051</v>
      </c>
      <c r="D4" s="16" t="s">
        <v>2060</v>
      </c>
      <c r="E4" s="16" t="s">
        <v>2064</v>
      </c>
      <c r="F4" s="17" t="s">
        <v>2077</v>
      </c>
    </row>
    <row r="5" spans="2:6" ht="28">
      <c r="B5" s="16" t="s">
        <v>2042</v>
      </c>
      <c r="C5" s="16" t="s">
        <v>2052</v>
      </c>
      <c r="D5" s="16" t="s">
        <v>2061</v>
      </c>
      <c r="E5" s="16" t="s">
        <v>2065</v>
      </c>
      <c r="F5" s="18" t="s">
        <v>2078</v>
      </c>
    </row>
    <row r="6" spans="2:6" ht="14">
      <c r="B6" s="16" t="s">
        <v>2043</v>
      </c>
      <c r="C6" s="16" t="s">
        <v>2053</v>
      </c>
      <c r="E6" s="16" t="s">
        <v>2066</v>
      </c>
      <c r="F6" s="16" t="s">
        <v>2073</v>
      </c>
    </row>
    <row r="7" spans="2:6" ht="23">
      <c r="B7" s="16" t="s">
        <v>2044</v>
      </c>
      <c r="C7" s="16" t="s">
        <v>2054</v>
      </c>
      <c r="E7" s="16" t="s">
        <v>2079</v>
      </c>
      <c r="F7" s="17" t="s">
        <v>2074</v>
      </c>
    </row>
    <row r="8" spans="2:6" ht="23.5">
      <c r="B8" s="16" t="s">
        <v>2045</v>
      </c>
      <c r="C8" s="16" t="s">
        <v>2055</v>
      </c>
      <c r="E8" s="17" t="s">
        <v>2080</v>
      </c>
      <c r="F8" s="18" t="s">
        <v>2075</v>
      </c>
    </row>
    <row r="9" spans="2:6" ht="23">
      <c r="B9" s="16" t="s">
        <v>2046</v>
      </c>
      <c r="C9" s="16" t="s">
        <v>2056</v>
      </c>
      <c r="E9" s="18" t="s">
        <v>2067</v>
      </c>
      <c r="F9" s="17" t="s">
        <v>2076</v>
      </c>
    </row>
    <row r="10" spans="2:6" ht="14">
      <c r="B10" s="16" t="s">
        <v>2047</v>
      </c>
      <c r="C10" s="16" t="s">
        <v>2057</v>
      </c>
      <c r="E10" s="19" t="s">
        <v>2068</v>
      </c>
    </row>
    <row r="11" spans="2:6" ht="14">
      <c r="B11" s="16" t="s">
        <v>2048</v>
      </c>
      <c r="E11" s="19" t="s">
        <v>2069</v>
      </c>
    </row>
    <row r="12" spans="2:6" ht="14">
      <c r="E12" s="19" t="s">
        <v>2070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1BD5F-98C3-4A91-B31A-9FA71CD9D138}">
  <dimension ref="B1:F336"/>
  <sheetViews>
    <sheetView showGridLines="0" workbookViewId="0">
      <pane xSplit="4" ySplit="1" topLeftCell="E2" activePane="bottomRight" state="frozen"/>
      <selection pane="topRight" activeCell="D1" sqref="D1"/>
      <selection pane="bottomLeft" activeCell="A2" sqref="A2"/>
      <selection pane="bottomRight" activeCell="D2" sqref="D2"/>
    </sheetView>
  </sheetViews>
  <sheetFormatPr defaultRowHeight="14.5"/>
  <cols>
    <col min="1" max="1" width="11.36328125" style="8" bestFit="1" customWidth="1"/>
    <col min="2" max="2" width="11.36328125" style="38" bestFit="1" customWidth="1"/>
    <col min="3" max="3" width="30.6328125" style="8" bestFit="1" customWidth="1"/>
    <col min="4" max="4" width="21.6328125" style="8" customWidth="1"/>
    <col min="5" max="5" width="86.54296875" style="8" customWidth="1"/>
    <col min="6" max="6" width="20.54296875" style="8" customWidth="1"/>
    <col min="7" max="16384" width="8.7265625" style="8"/>
  </cols>
  <sheetData>
    <row r="1" spans="2:6">
      <c r="B1" s="38" t="s">
        <v>4197</v>
      </c>
      <c r="C1" s="5" t="s">
        <v>2020</v>
      </c>
      <c r="D1" s="5" t="s">
        <v>2021</v>
      </c>
      <c r="E1" s="5" t="s">
        <v>2022</v>
      </c>
    </row>
    <row r="2" spans="2:6" ht="24">
      <c r="B2" s="38">
        <v>8.9578127979894617E-4</v>
      </c>
      <c r="C2" s="9" t="s">
        <v>385</v>
      </c>
      <c r="D2" s="9" t="s">
        <v>678</v>
      </c>
      <c r="E2" s="9" t="s">
        <v>1820</v>
      </c>
      <c r="F2" s="12"/>
    </row>
    <row r="3" spans="2:6">
      <c r="B3" s="38">
        <v>2.0509302609399427E-3</v>
      </c>
      <c r="C3" s="9" t="s">
        <v>144</v>
      </c>
      <c r="D3" s="9" t="s">
        <v>230</v>
      </c>
      <c r="E3" s="9" t="s">
        <v>1742</v>
      </c>
    </row>
    <row r="4" spans="2:6" ht="36">
      <c r="B4" s="38">
        <v>3.8230128273056829E-3</v>
      </c>
      <c r="C4" s="9" t="s">
        <v>1603</v>
      </c>
      <c r="D4" s="9" t="s">
        <v>1662</v>
      </c>
      <c r="E4" s="9" t="s">
        <v>2015</v>
      </c>
    </row>
    <row r="5" spans="2:6" ht="24">
      <c r="B5" s="38">
        <v>8.7143571724335178E-3</v>
      </c>
      <c r="C5" s="9" t="s">
        <v>385</v>
      </c>
      <c r="D5" s="9" t="s">
        <v>450</v>
      </c>
      <c r="E5" s="9" t="s">
        <v>1780</v>
      </c>
    </row>
    <row r="6" spans="2:6" ht="24">
      <c r="B6" s="38">
        <v>1.2308318723146972E-2</v>
      </c>
      <c r="C6" s="9" t="s">
        <v>385</v>
      </c>
      <c r="D6" s="9" t="s">
        <v>491</v>
      </c>
      <c r="E6" s="9" t="s">
        <v>1787</v>
      </c>
    </row>
    <row r="7" spans="2:6" ht="24">
      <c r="B7" s="38">
        <v>1.2943595039168754E-2</v>
      </c>
      <c r="C7" s="9" t="s">
        <v>1112</v>
      </c>
      <c r="D7" s="9" t="s">
        <v>1168</v>
      </c>
      <c r="E7" s="9" t="s">
        <v>1918</v>
      </c>
    </row>
    <row r="8" spans="2:6" ht="24">
      <c r="B8" s="38">
        <v>1.6983609574735992E-2</v>
      </c>
      <c r="C8" s="9" t="s">
        <v>1243</v>
      </c>
      <c r="D8" s="9" t="s">
        <v>1265</v>
      </c>
      <c r="E8" s="9" t="s">
        <v>1937</v>
      </c>
    </row>
    <row r="9" spans="2:6" ht="24">
      <c r="B9" s="38">
        <v>2.213290286207914E-2</v>
      </c>
      <c r="C9" s="9" t="s">
        <v>144</v>
      </c>
      <c r="D9" s="9" t="s">
        <v>184</v>
      </c>
      <c r="E9" s="9" t="s">
        <v>1735</v>
      </c>
    </row>
    <row r="10" spans="2:6" ht="24">
      <c r="B10" s="38">
        <v>2.3188936336493993E-2</v>
      </c>
      <c r="C10" s="9" t="s">
        <v>1243</v>
      </c>
      <c r="D10" s="9" t="s">
        <v>1258</v>
      </c>
      <c r="E10" s="9" t="s">
        <v>1936</v>
      </c>
      <c r="F10" s="12"/>
    </row>
    <row r="11" spans="2:6" ht="24">
      <c r="B11" s="38">
        <v>2.4710236407390451E-2</v>
      </c>
      <c r="C11" s="9" t="s">
        <v>385</v>
      </c>
      <c r="D11" s="9" t="s">
        <v>720</v>
      </c>
      <c r="E11" s="9" t="s">
        <v>1828</v>
      </c>
    </row>
    <row r="12" spans="2:6">
      <c r="B12" s="38">
        <v>2.5846112485200634E-2</v>
      </c>
      <c r="C12" s="9" t="s">
        <v>1243</v>
      </c>
      <c r="D12" s="9" t="s">
        <v>1396</v>
      </c>
      <c r="E12" s="9" t="s">
        <v>1963</v>
      </c>
    </row>
    <row r="13" spans="2:6" ht="24">
      <c r="B13" s="38">
        <v>2.6198142241254718E-2</v>
      </c>
      <c r="C13" s="9" t="s">
        <v>144</v>
      </c>
      <c r="D13" s="9" t="s">
        <v>304</v>
      </c>
      <c r="E13" s="9" t="s">
        <v>1755</v>
      </c>
    </row>
    <row r="14" spans="2:6" ht="96">
      <c r="B14" s="38">
        <v>2.6750893915392315E-2</v>
      </c>
      <c r="C14" s="9" t="s">
        <v>1112</v>
      </c>
      <c r="D14" s="9" t="s">
        <v>1232</v>
      </c>
      <c r="E14" s="9" t="s">
        <v>1932</v>
      </c>
    </row>
    <row r="15" spans="2:6" ht="24">
      <c r="B15" s="38">
        <v>2.6967953777751408E-2</v>
      </c>
      <c r="C15" s="39" t="s">
        <v>1603</v>
      </c>
      <c r="D15" s="39" t="s">
        <v>1623</v>
      </c>
      <c r="E15" s="39" t="s">
        <v>2007</v>
      </c>
    </row>
    <row r="16" spans="2:6" ht="24">
      <c r="B16" s="38">
        <v>2.7901493669890698E-2</v>
      </c>
      <c r="C16" s="9" t="s">
        <v>1112</v>
      </c>
      <c r="D16" s="9" t="s">
        <v>1113</v>
      </c>
      <c r="E16" s="9" t="s">
        <v>1907</v>
      </c>
    </row>
    <row r="17" spans="2:5" ht="24">
      <c r="B17" s="38">
        <v>2.9498244327541223E-2</v>
      </c>
      <c r="C17" s="9" t="s">
        <v>1243</v>
      </c>
      <c r="D17" s="9" t="s">
        <v>304</v>
      </c>
      <c r="E17" s="9" t="s">
        <v>1992</v>
      </c>
    </row>
    <row r="18" spans="2:5">
      <c r="B18" s="38">
        <v>3.6973434044383358E-2</v>
      </c>
      <c r="C18" s="9" t="s">
        <v>852</v>
      </c>
      <c r="D18" s="9" t="s">
        <v>904</v>
      </c>
      <c r="E18" s="9" t="s">
        <v>1864</v>
      </c>
    </row>
    <row r="19" spans="2:5" ht="24">
      <c r="B19" s="38">
        <v>3.7170188762996048E-2</v>
      </c>
      <c r="C19" s="9" t="s">
        <v>385</v>
      </c>
      <c r="D19" s="9" t="s">
        <v>737</v>
      </c>
      <c r="E19" s="9" t="s">
        <v>1831</v>
      </c>
    </row>
    <row r="20" spans="2:5" ht="24">
      <c r="B20" s="38">
        <v>3.8071171066775489E-2</v>
      </c>
      <c r="C20" s="9" t="s">
        <v>385</v>
      </c>
      <c r="D20" s="9" t="s">
        <v>485</v>
      </c>
      <c r="E20" s="9" t="s">
        <v>1786</v>
      </c>
    </row>
    <row r="21" spans="2:5">
      <c r="B21" s="38">
        <v>4.354109140652318E-2</v>
      </c>
      <c r="C21" s="39" t="s">
        <v>1243</v>
      </c>
      <c r="D21" s="39" t="s">
        <v>1534</v>
      </c>
      <c r="E21" s="39" t="s">
        <v>1991</v>
      </c>
    </row>
    <row r="22" spans="2:5" ht="24">
      <c r="B22" s="38">
        <v>4.672426689884468E-2</v>
      </c>
      <c r="C22" s="9" t="s">
        <v>0</v>
      </c>
      <c r="D22" s="9" t="s">
        <v>53</v>
      </c>
      <c r="E22" s="9" t="s">
        <v>1715</v>
      </c>
    </row>
    <row r="23" spans="2:5" ht="24">
      <c r="B23" s="38">
        <v>4.85088802277438E-2</v>
      </c>
      <c r="C23" s="9" t="s">
        <v>981</v>
      </c>
      <c r="D23" s="9" t="s">
        <v>1093</v>
      </c>
      <c r="E23" s="9" t="s">
        <v>1904</v>
      </c>
    </row>
    <row r="24" spans="2:5" ht="24">
      <c r="B24" s="38">
        <v>5.1040736109439155E-2</v>
      </c>
      <c r="C24" s="9" t="s">
        <v>144</v>
      </c>
      <c r="D24" s="9" t="s">
        <v>196</v>
      </c>
      <c r="E24" s="9" t="s">
        <v>1737</v>
      </c>
    </row>
    <row r="25" spans="2:5" ht="24">
      <c r="B25" s="38">
        <v>5.7307575641100672E-2</v>
      </c>
      <c r="C25" s="9" t="s">
        <v>385</v>
      </c>
      <c r="D25" s="9" t="s">
        <v>766</v>
      </c>
      <c r="E25" s="9" t="s">
        <v>1837</v>
      </c>
    </row>
    <row r="26" spans="2:5">
      <c r="B26" s="38">
        <v>5.8139441236860767E-2</v>
      </c>
      <c r="C26" s="9" t="s">
        <v>385</v>
      </c>
      <c r="D26" s="9" t="s">
        <v>429</v>
      </c>
      <c r="E26" s="9" t="s">
        <v>1776</v>
      </c>
    </row>
    <row r="27" spans="2:5" ht="24">
      <c r="B27" s="38">
        <v>5.8635462977462249E-2</v>
      </c>
      <c r="C27" s="9" t="s">
        <v>0</v>
      </c>
      <c r="D27" s="9" t="s">
        <v>45</v>
      </c>
      <c r="E27" s="9" t="s">
        <v>1712</v>
      </c>
    </row>
    <row r="28" spans="2:5" ht="24">
      <c r="B28" s="38">
        <v>5.9236110785593099E-2</v>
      </c>
      <c r="C28" s="9" t="s">
        <v>1243</v>
      </c>
      <c r="D28" s="9" t="s">
        <v>1583</v>
      </c>
      <c r="E28" s="9" t="s">
        <v>2002</v>
      </c>
    </row>
    <row r="29" spans="2:5" ht="24">
      <c r="B29" s="38">
        <v>6.4019271853201776E-2</v>
      </c>
      <c r="C29" s="9" t="s">
        <v>1112</v>
      </c>
      <c r="D29" s="9" t="s">
        <v>1157</v>
      </c>
      <c r="E29" s="9" t="s">
        <v>1916</v>
      </c>
    </row>
    <row r="30" spans="2:5" ht="24">
      <c r="B30" s="38">
        <v>6.7051452622140739E-2</v>
      </c>
      <c r="C30" s="9" t="s">
        <v>981</v>
      </c>
      <c r="D30" s="9" t="s">
        <v>1069</v>
      </c>
      <c r="E30" s="9" t="s">
        <v>1899</v>
      </c>
    </row>
    <row r="31" spans="2:5" ht="24">
      <c r="B31" s="38">
        <v>7.6730294916474651E-2</v>
      </c>
      <c r="C31" s="39" t="s">
        <v>385</v>
      </c>
      <c r="D31" s="39" t="s">
        <v>445</v>
      </c>
      <c r="E31" s="39" t="s">
        <v>1779</v>
      </c>
    </row>
    <row r="32" spans="2:5">
      <c r="B32" s="38">
        <v>7.9514489244452591E-2</v>
      </c>
      <c r="C32" s="9" t="s">
        <v>1112</v>
      </c>
      <c r="D32" s="9" t="s">
        <v>1205</v>
      </c>
      <c r="E32" s="9" t="s">
        <v>1926</v>
      </c>
    </row>
    <row r="33" spans="2:5" ht="24">
      <c r="B33" s="38">
        <v>8.1714284869548792E-2</v>
      </c>
      <c r="C33" s="9" t="s">
        <v>1243</v>
      </c>
      <c r="D33" s="9" t="s">
        <v>1324</v>
      </c>
      <c r="E33" s="9" t="s">
        <v>1948</v>
      </c>
    </row>
    <row r="34" spans="2:5" ht="24">
      <c r="B34" s="38">
        <v>8.4323728707688006E-2</v>
      </c>
      <c r="C34" s="9" t="s">
        <v>144</v>
      </c>
      <c r="D34" s="9" t="s">
        <v>340</v>
      </c>
      <c r="E34" s="9" t="s">
        <v>1762</v>
      </c>
    </row>
    <row r="35" spans="2:5" ht="24">
      <c r="B35" s="38">
        <v>8.4403717465574624E-2</v>
      </c>
      <c r="C35" s="9" t="s">
        <v>1112</v>
      </c>
      <c r="D35" s="9" t="s">
        <v>1208</v>
      </c>
      <c r="E35" s="9" t="s">
        <v>1927</v>
      </c>
    </row>
    <row r="36" spans="2:5">
      <c r="B36" s="38">
        <v>8.9624032229518535E-2</v>
      </c>
      <c r="C36" s="9" t="s">
        <v>1112</v>
      </c>
      <c r="D36" s="9" t="s">
        <v>1177</v>
      </c>
      <c r="E36" s="9" t="s">
        <v>1920</v>
      </c>
    </row>
    <row r="37" spans="2:5" ht="36">
      <c r="B37" s="38">
        <v>9.2712919692399254E-2</v>
      </c>
      <c r="C37" s="9" t="s">
        <v>385</v>
      </c>
      <c r="D37" s="9" t="s">
        <v>701</v>
      </c>
      <c r="E37" s="9" t="s">
        <v>1825</v>
      </c>
    </row>
    <row r="38" spans="2:5" ht="36">
      <c r="B38" s="38">
        <v>9.8240231362874297E-2</v>
      </c>
      <c r="C38" s="9" t="s">
        <v>385</v>
      </c>
      <c r="D38" s="9" t="s">
        <v>524</v>
      </c>
      <c r="E38" s="9" t="s">
        <v>1794</v>
      </c>
    </row>
    <row r="39" spans="2:5" ht="24">
      <c r="B39" s="38">
        <v>0.10257389953683715</v>
      </c>
      <c r="C39" s="9" t="s">
        <v>385</v>
      </c>
      <c r="D39" s="9" t="s">
        <v>515</v>
      </c>
      <c r="E39" s="9" t="s">
        <v>1792</v>
      </c>
    </row>
    <row r="40" spans="2:5">
      <c r="B40" s="38">
        <v>0.10682771429739346</v>
      </c>
      <c r="C40" s="9" t="s">
        <v>385</v>
      </c>
      <c r="D40" s="9" t="s">
        <v>811</v>
      </c>
      <c r="E40" s="9" t="s">
        <v>1845</v>
      </c>
    </row>
    <row r="41" spans="2:5" ht="24">
      <c r="B41" s="38">
        <v>0.11209506238363598</v>
      </c>
      <c r="C41" s="9" t="s">
        <v>59</v>
      </c>
      <c r="D41" s="9" t="s">
        <v>108</v>
      </c>
      <c r="E41" s="9" t="s">
        <v>1724</v>
      </c>
    </row>
    <row r="42" spans="2:5" ht="24">
      <c r="B42" s="38">
        <v>0.11445599748276769</v>
      </c>
      <c r="C42" s="9" t="s">
        <v>385</v>
      </c>
      <c r="D42" s="9" t="s">
        <v>495</v>
      </c>
      <c r="E42" s="9" t="s">
        <v>1788</v>
      </c>
    </row>
    <row r="43" spans="2:5" ht="24">
      <c r="B43" s="38">
        <v>0.11738288250313322</v>
      </c>
      <c r="C43" s="9" t="s">
        <v>852</v>
      </c>
      <c r="D43" s="9" t="s">
        <v>329</v>
      </c>
      <c r="E43" s="9" t="s">
        <v>1870</v>
      </c>
    </row>
    <row r="44" spans="2:5">
      <c r="B44" s="38">
        <v>0.127812186019161</v>
      </c>
      <c r="C44" s="9" t="s">
        <v>385</v>
      </c>
      <c r="D44" s="9" t="s">
        <v>610</v>
      </c>
      <c r="E44" s="9" t="s">
        <v>1807</v>
      </c>
    </row>
    <row r="45" spans="2:5">
      <c r="B45" s="38">
        <v>0.12923425224130625</v>
      </c>
      <c r="C45" s="9" t="s">
        <v>59</v>
      </c>
      <c r="D45" s="9" t="s">
        <v>104</v>
      </c>
      <c r="E45" s="9" t="s">
        <v>1723</v>
      </c>
    </row>
    <row r="46" spans="2:5" ht="24">
      <c r="B46" s="38">
        <v>0.12989297820167223</v>
      </c>
      <c r="C46" s="9" t="s">
        <v>385</v>
      </c>
      <c r="D46" s="9" t="s">
        <v>682</v>
      </c>
      <c r="E46" s="9" t="s">
        <v>1821</v>
      </c>
    </row>
    <row r="47" spans="2:5">
      <c r="B47" s="38">
        <v>0.13260137049166831</v>
      </c>
      <c r="C47" s="9" t="s">
        <v>385</v>
      </c>
      <c r="D47" s="9" t="s">
        <v>843</v>
      </c>
      <c r="E47" s="9" t="s">
        <v>1850</v>
      </c>
    </row>
    <row r="48" spans="2:5" ht="24">
      <c r="B48" s="38">
        <v>0.13416402477876044</v>
      </c>
      <c r="C48" s="9" t="s">
        <v>1112</v>
      </c>
      <c r="D48" s="9" t="s">
        <v>1172</v>
      </c>
      <c r="E48" s="9" t="s">
        <v>1919</v>
      </c>
    </row>
    <row r="49" spans="2:5" ht="24">
      <c r="B49" s="38">
        <v>0.13511378716309541</v>
      </c>
      <c r="C49" s="9" t="s">
        <v>852</v>
      </c>
      <c r="D49" s="9" t="s">
        <v>885</v>
      </c>
      <c r="E49" s="9" t="s">
        <v>1859</v>
      </c>
    </row>
    <row r="50" spans="2:5" ht="24">
      <c r="B50" s="38">
        <v>0.13555088209716792</v>
      </c>
      <c r="C50" s="9" t="s">
        <v>1112</v>
      </c>
      <c r="D50" s="9" t="s">
        <v>1200</v>
      </c>
      <c r="E50" s="9" t="s">
        <v>1925</v>
      </c>
    </row>
    <row r="51" spans="2:5" ht="48">
      <c r="B51" s="38">
        <v>0.13987122377233496</v>
      </c>
      <c r="C51" s="39" t="s">
        <v>1243</v>
      </c>
      <c r="D51" s="39" t="s">
        <v>1456</v>
      </c>
      <c r="E51" s="39" t="s">
        <v>1978</v>
      </c>
    </row>
    <row r="52" spans="2:5" ht="24">
      <c r="B52" s="38">
        <v>0.14044350259482652</v>
      </c>
      <c r="C52" s="9" t="s">
        <v>144</v>
      </c>
      <c r="D52" s="9" t="s">
        <v>238</v>
      </c>
      <c r="E52" s="9" t="s">
        <v>1744</v>
      </c>
    </row>
    <row r="53" spans="2:5" ht="36">
      <c r="B53" s="38">
        <v>0.1413324236861172</v>
      </c>
      <c r="C53" s="9" t="s">
        <v>0</v>
      </c>
      <c r="D53" s="9" t="s">
        <v>31</v>
      </c>
      <c r="E53" s="9" t="s">
        <v>1705</v>
      </c>
    </row>
    <row r="54" spans="2:5" ht="36">
      <c r="B54" s="38">
        <v>0.14183557225403653</v>
      </c>
      <c r="C54" s="9" t="s">
        <v>0</v>
      </c>
      <c r="D54" s="9" t="s">
        <v>1</v>
      </c>
      <c r="E54" s="9" t="s">
        <v>1691</v>
      </c>
    </row>
    <row r="55" spans="2:5" ht="36">
      <c r="B55" s="38">
        <v>0.14226750639106267</v>
      </c>
      <c r="C55" s="9" t="s">
        <v>852</v>
      </c>
      <c r="D55" s="9" t="s">
        <v>906</v>
      </c>
      <c r="E55" s="9" t="s">
        <v>1865</v>
      </c>
    </row>
    <row r="56" spans="2:5" ht="144">
      <c r="B56" s="38">
        <v>0.14397451677459372</v>
      </c>
      <c r="C56" s="9" t="s">
        <v>385</v>
      </c>
      <c r="D56" s="9" t="s">
        <v>467</v>
      </c>
      <c r="E56" s="9" t="s">
        <v>1783</v>
      </c>
    </row>
    <row r="57" spans="2:5" ht="132">
      <c r="B57" s="38">
        <v>0.15376931622510503</v>
      </c>
      <c r="C57" s="9" t="s">
        <v>59</v>
      </c>
      <c r="D57" s="9" t="s">
        <v>141</v>
      </c>
      <c r="E57" s="9" t="s">
        <v>2024</v>
      </c>
    </row>
    <row r="58" spans="2:5" ht="24">
      <c r="B58" s="38">
        <v>0.15849607496359719</v>
      </c>
      <c r="C58" s="9" t="s">
        <v>1112</v>
      </c>
      <c r="D58" s="9" t="s">
        <v>1217</v>
      </c>
      <c r="E58" s="9" t="s">
        <v>1929</v>
      </c>
    </row>
    <row r="59" spans="2:5" ht="24">
      <c r="B59" s="38">
        <v>0.15907958351480456</v>
      </c>
      <c r="C59" s="9" t="s">
        <v>385</v>
      </c>
      <c r="D59" s="9" t="s">
        <v>361</v>
      </c>
      <c r="E59" s="9" t="s">
        <v>1815</v>
      </c>
    </row>
    <row r="60" spans="2:5" ht="24">
      <c r="B60" s="38">
        <v>0.16001415748522674</v>
      </c>
      <c r="C60" s="9" t="s">
        <v>59</v>
      </c>
      <c r="D60" s="9" t="s">
        <v>135</v>
      </c>
      <c r="E60" s="9" t="s">
        <v>1728</v>
      </c>
    </row>
    <row r="61" spans="2:5">
      <c r="B61" s="38">
        <v>0.16096065838044127</v>
      </c>
      <c r="C61" s="9" t="s">
        <v>1243</v>
      </c>
      <c r="D61" s="9" t="s">
        <v>1393</v>
      </c>
      <c r="E61" s="9" t="s">
        <v>1962</v>
      </c>
    </row>
    <row r="62" spans="2:5" ht="24">
      <c r="B62" s="38">
        <v>0.16332603263370227</v>
      </c>
      <c r="C62" s="9" t="s">
        <v>1243</v>
      </c>
      <c r="D62" s="9" t="s">
        <v>1248</v>
      </c>
      <c r="E62" s="9" t="s">
        <v>1934</v>
      </c>
    </row>
    <row r="63" spans="2:5" ht="36">
      <c r="B63" s="38">
        <v>0.16500712174142984</v>
      </c>
      <c r="C63" s="9" t="s">
        <v>852</v>
      </c>
      <c r="D63" s="9" t="s">
        <v>977</v>
      </c>
      <c r="E63" s="9" t="s">
        <v>2027</v>
      </c>
    </row>
    <row r="64" spans="2:5" ht="36">
      <c r="B64" s="38">
        <v>0.17091922108341806</v>
      </c>
      <c r="C64" s="9" t="s">
        <v>144</v>
      </c>
      <c r="D64" s="9" t="s">
        <v>364</v>
      </c>
      <c r="E64" s="9" t="s">
        <v>1767</v>
      </c>
    </row>
    <row r="65" spans="2:5" ht="24">
      <c r="B65" s="38">
        <v>0.17116008859773313</v>
      </c>
      <c r="C65" s="9" t="s">
        <v>852</v>
      </c>
      <c r="D65" s="9" t="s">
        <v>877</v>
      </c>
      <c r="E65" s="9" t="s">
        <v>1857</v>
      </c>
    </row>
    <row r="66" spans="2:5" ht="24">
      <c r="B66" s="38">
        <v>0.1726950928199843</v>
      </c>
      <c r="C66" s="39" t="s">
        <v>981</v>
      </c>
      <c r="D66" s="39" t="s">
        <v>1075</v>
      </c>
      <c r="E66" s="39" t="s">
        <v>1900</v>
      </c>
    </row>
    <row r="67" spans="2:5" ht="24">
      <c r="B67" s="38">
        <v>0.18106476596462717</v>
      </c>
      <c r="C67" s="9" t="s">
        <v>385</v>
      </c>
      <c r="D67" s="9" t="s">
        <v>846</v>
      </c>
      <c r="E67" s="9" t="s">
        <v>2026</v>
      </c>
    </row>
    <row r="68" spans="2:5" ht="36">
      <c r="B68" s="38">
        <v>0.18403454313666445</v>
      </c>
      <c r="C68" s="9" t="s">
        <v>0</v>
      </c>
      <c r="D68" s="9" t="s">
        <v>33</v>
      </c>
      <c r="E68" s="9" t="s">
        <v>1706</v>
      </c>
    </row>
    <row r="69" spans="2:5" ht="24">
      <c r="B69" s="38">
        <v>0.18656338396363004</v>
      </c>
      <c r="C69" s="39" t="s">
        <v>1243</v>
      </c>
      <c r="D69" s="39" t="s">
        <v>1357</v>
      </c>
      <c r="E69" s="39" t="s">
        <v>1955</v>
      </c>
    </row>
    <row r="70" spans="2:5">
      <c r="B70" s="38">
        <v>0.18964069331991706</v>
      </c>
      <c r="C70" s="9" t="s">
        <v>385</v>
      </c>
      <c r="D70" s="9" t="s">
        <v>820</v>
      </c>
      <c r="E70" s="9" t="s">
        <v>1847</v>
      </c>
    </row>
    <row r="71" spans="2:5" ht="24">
      <c r="B71" s="38">
        <v>0.19231568722800219</v>
      </c>
      <c r="C71" s="9" t="s">
        <v>385</v>
      </c>
      <c r="D71" s="9" t="s">
        <v>672</v>
      </c>
      <c r="E71" s="9" t="s">
        <v>1819</v>
      </c>
    </row>
    <row r="72" spans="2:5" ht="24">
      <c r="B72" s="38">
        <v>0.19233645185696657</v>
      </c>
      <c r="C72" s="9" t="s">
        <v>852</v>
      </c>
      <c r="D72" s="9" t="s">
        <v>939</v>
      </c>
      <c r="E72" s="9" t="s">
        <v>1873</v>
      </c>
    </row>
    <row r="73" spans="2:5" ht="24">
      <c r="B73" s="38">
        <v>0.19411400165431303</v>
      </c>
      <c r="C73" s="9" t="s">
        <v>1112</v>
      </c>
      <c r="D73" s="9" t="s">
        <v>1163</v>
      </c>
      <c r="E73" s="9" t="s">
        <v>1917</v>
      </c>
    </row>
    <row r="74" spans="2:5" ht="24">
      <c r="B74" s="38">
        <v>0.19979512129969523</v>
      </c>
      <c r="C74" s="9" t="s">
        <v>1243</v>
      </c>
      <c r="D74" s="9" t="s">
        <v>414</v>
      </c>
      <c r="E74" s="9" t="s">
        <v>1935</v>
      </c>
    </row>
    <row r="75" spans="2:5">
      <c r="B75" s="38">
        <v>0.20589567559959365</v>
      </c>
      <c r="C75" s="9" t="s">
        <v>852</v>
      </c>
      <c r="D75" s="9" t="s">
        <v>871</v>
      </c>
      <c r="E75" s="9" t="s">
        <v>1855</v>
      </c>
    </row>
    <row r="76" spans="2:5">
      <c r="B76" s="38">
        <v>0.20739095948173447</v>
      </c>
      <c r="C76" s="9" t="s">
        <v>981</v>
      </c>
      <c r="D76" s="9" t="s">
        <v>1046</v>
      </c>
      <c r="E76" s="9" t="s">
        <v>1894</v>
      </c>
    </row>
    <row r="77" spans="2:5" ht="24">
      <c r="B77" s="38">
        <v>0.20869365718218236</v>
      </c>
      <c r="C77" s="9" t="s">
        <v>1243</v>
      </c>
      <c r="D77" s="9" t="s">
        <v>1523</v>
      </c>
      <c r="E77" s="9" t="s">
        <v>1989</v>
      </c>
    </row>
    <row r="78" spans="2:5" ht="24">
      <c r="B78" s="38">
        <v>0.21814153984462137</v>
      </c>
      <c r="C78" s="9" t="s">
        <v>1243</v>
      </c>
      <c r="D78" s="9" t="s">
        <v>1567</v>
      </c>
      <c r="E78" s="9" t="s">
        <v>1999</v>
      </c>
    </row>
    <row r="79" spans="2:5">
      <c r="B79" s="38">
        <v>0.22302835055028269</v>
      </c>
      <c r="C79" s="9" t="s">
        <v>385</v>
      </c>
      <c r="D79" s="9" t="s">
        <v>668</v>
      </c>
      <c r="E79" s="9" t="s">
        <v>1818</v>
      </c>
    </row>
    <row r="80" spans="2:5" ht="24">
      <c r="B80" s="38">
        <v>0.22573470299383436</v>
      </c>
      <c r="C80" s="9" t="s">
        <v>385</v>
      </c>
      <c r="D80" s="9" t="s">
        <v>537</v>
      </c>
      <c r="E80" s="9" t="s">
        <v>1796</v>
      </c>
    </row>
    <row r="81" spans="2:5">
      <c r="B81" s="38">
        <v>0.22897513125488711</v>
      </c>
      <c r="C81" s="9" t="s">
        <v>852</v>
      </c>
      <c r="D81" s="9" t="s">
        <v>861</v>
      </c>
      <c r="E81" s="9" t="s">
        <v>1853</v>
      </c>
    </row>
    <row r="82" spans="2:5">
      <c r="B82" s="38">
        <v>0.23024751133138466</v>
      </c>
      <c r="C82" s="9" t="s">
        <v>1243</v>
      </c>
      <c r="D82" s="9" t="s">
        <v>1293</v>
      </c>
      <c r="E82" s="9" t="s">
        <v>1942</v>
      </c>
    </row>
    <row r="83" spans="2:5" ht="24">
      <c r="B83" s="38">
        <v>0.23748885115846075</v>
      </c>
      <c r="C83" s="9" t="s">
        <v>0</v>
      </c>
      <c r="D83" s="9" t="s">
        <v>39</v>
      </c>
      <c r="E83" s="9" t="s">
        <v>1709</v>
      </c>
    </row>
    <row r="84" spans="2:5" ht="36">
      <c r="B84" s="38">
        <v>0.238066847932357</v>
      </c>
      <c r="C84" s="9" t="s">
        <v>0</v>
      </c>
      <c r="D84" s="9" t="s">
        <v>9</v>
      </c>
      <c r="E84" s="9" t="s">
        <v>1695</v>
      </c>
    </row>
    <row r="85" spans="2:5" ht="24">
      <c r="B85" s="38">
        <v>0.24005170381378493</v>
      </c>
      <c r="C85" s="9" t="s">
        <v>385</v>
      </c>
      <c r="D85" s="9" t="s">
        <v>479</v>
      </c>
      <c r="E85" s="9" t="s">
        <v>1785</v>
      </c>
    </row>
    <row r="86" spans="2:5" ht="36">
      <c r="B86" s="38">
        <v>0.24409231084749816</v>
      </c>
      <c r="C86" s="9" t="s">
        <v>144</v>
      </c>
      <c r="D86" s="9" t="s">
        <v>374</v>
      </c>
      <c r="E86" s="9" t="s">
        <v>2025</v>
      </c>
    </row>
    <row r="87" spans="2:5" ht="36">
      <c r="B87" s="38">
        <v>0.24433885090080409</v>
      </c>
      <c r="C87" s="9" t="s">
        <v>144</v>
      </c>
      <c r="D87" s="9" t="s">
        <v>218</v>
      </c>
      <c r="E87" s="9" t="s">
        <v>1740</v>
      </c>
    </row>
    <row r="88" spans="2:5">
      <c r="B88" s="38">
        <v>0.24544447532973035</v>
      </c>
      <c r="C88" s="9" t="s">
        <v>385</v>
      </c>
      <c r="D88" s="9" t="s">
        <v>807</v>
      </c>
      <c r="E88" s="9" t="s">
        <v>1844</v>
      </c>
    </row>
    <row r="89" spans="2:5" ht="24">
      <c r="B89" s="38">
        <v>0.24701560205202755</v>
      </c>
      <c r="C89" s="9" t="s">
        <v>144</v>
      </c>
      <c r="D89" s="9" t="s">
        <v>269</v>
      </c>
      <c r="E89" s="9" t="s">
        <v>1749</v>
      </c>
    </row>
    <row r="90" spans="2:5">
      <c r="B90" s="38">
        <v>0.24788308319291996</v>
      </c>
      <c r="C90" s="9" t="s">
        <v>385</v>
      </c>
      <c r="D90" s="9" t="s">
        <v>503</v>
      </c>
      <c r="E90" s="9" t="s">
        <v>1790</v>
      </c>
    </row>
    <row r="91" spans="2:5" ht="24">
      <c r="B91" s="38">
        <v>0.24833649854253736</v>
      </c>
      <c r="C91" s="9" t="s">
        <v>144</v>
      </c>
      <c r="D91" s="9" t="s">
        <v>321</v>
      </c>
      <c r="E91" s="9" t="s">
        <v>1758</v>
      </c>
    </row>
    <row r="92" spans="2:5" ht="24">
      <c r="B92" s="38">
        <v>0.24857168429800436</v>
      </c>
      <c r="C92" s="9" t="s">
        <v>1243</v>
      </c>
      <c r="D92" s="9" t="s">
        <v>1367</v>
      </c>
      <c r="E92" s="9" t="s">
        <v>1957</v>
      </c>
    </row>
    <row r="93" spans="2:5" ht="24">
      <c r="B93" s="38">
        <v>0.24945729729323951</v>
      </c>
      <c r="C93" s="9" t="s">
        <v>385</v>
      </c>
      <c r="D93" s="9" t="s">
        <v>440</v>
      </c>
      <c r="E93" s="9" t="s">
        <v>1778</v>
      </c>
    </row>
    <row r="94" spans="2:5">
      <c r="B94" s="38">
        <v>0.25003646689947523</v>
      </c>
      <c r="C94" s="9" t="s">
        <v>1603</v>
      </c>
      <c r="D94" s="9" t="s">
        <v>1629</v>
      </c>
      <c r="E94" s="9" t="s">
        <v>2008</v>
      </c>
    </row>
    <row r="95" spans="2:5" ht="24">
      <c r="B95" s="38">
        <v>0.25737277266683911</v>
      </c>
      <c r="C95" s="9" t="s">
        <v>0</v>
      </c>
      <c r="D95" s="9" t="s">
        <v>27</v>
      </c>
      <c r="E95" s="9" t="s">
        <v>1703</v>
      </c>
    </row>
    <row r="96" spans="2:5" ht="24">
      <c r="B96" s="38">
        <v>0.26476779958244845</v>
      </c>
      <c r="C96" s="9" t="s">
        <v>144</v>
      </c>
      <c r="D96" s="9" t="s">
        <v>335</v>
      </c>
      <c r="E96" s="9" t="s">
        <v>1761</v>
      </c>
    </row>
    <row r="97" spans="2:5" ht="24">
      <c r="B97" s="38">
        <v>0.26535498594794837</v>
      </c>
      <c r="C97" s="9" t="s">
        <v>144</v>
      </c>
      <c r="D97" s="9" t="s">
        <v>179</v>
      </c>
      <c r="E97" s="9" t="s">
        <v>1734</v>
      </c>
    </row>
    <row r="98" spans="2:5" ht="24">
      <c r="B98" s="38">
        <v>0.27463336875547495</v>
      </c>
      <c r="C98" s="9" t="s">
        <v>385</v>
      </c>
      <c r="D98" s="9" t="s">
        <v>663</v>
      </c>
      <c r="E98" s="9" t="s">
        <v>1817</v>
      </c>
    </row>
    <row r="99" spans="2:5">
      <c r="B99" s="38">
        <v>0.27565198878759312</v>
      </c>
      <c r="C99" s="9" t="s">
        <v>144</v>
      </c>
      <c r="D99" s="9" t="s">
        <v>291</v>
      </c>
      <c r="E99" s="9" t="s">
        <v>1752</v>
      </c>
    </row>
    <row r="100" spans="2:5" ht="60">
      <c r="B100" s="38">
        <v>0.27765522038528845</v>
      </c>
      <c r="C100" s="9" t="s">
        <v>385</v>
      </c>
      <c r="D100" s="9" t="s">
        <v>570</v>
      </c>
      <c r="E100" s="9" t="s">
        <v>1802</v>
      </c>
    </row>
    <row r="101" spans="2:5" ht="24">
      <c r="B101" s="38">
        <v>0.28294089221664731</v>
      </c>
      <c r="C101" s="9" t="s">
        <v>385</v>
      </c>
      <c r="D101" s="9" t="s">
        <v>748</v>
      </c>
      <c r="E101" s="9" t="s">
        <v>1833</v>
      </c>
    </row>
    <row r="102" spans="2:5" ht="24">
      <c r="B102" s="38">
        <v>0.28510058058494347</v>
      </c>
      <c r="C102" s="9" t="s">
        <v>1243</v>
      </c>
      <c r="D102" s="9" t="s">
        <v>1474</v>
      </c>
      <c r="E102" s="9" t="s">
        <v>1980</v>
      </c>
    </row>
    <row r="103" spans="2:5" ht="24">
      <c r="B103" s="38">
        <v>0.28580033584267073</v>
      </c>
      <c r="C103" s="9" t="s">
        <v>144</v>
      </c>
      <c r="D103" s="9" t="s">
        <v>324</v>
      </c>
      <c r="E103" s="9" t="s">
        <v>1759</v>
      </c>
    </row>
    <row r="104" spans="2:5" ht="24">
      <c r="B104" s="38">
        <v>0.28861725754726064</v>
      </c>
      <c r="C104" s="9" t="s">
        <v>144</v>
      </c>
      <c r="D104" s="9" t="s">
        <v>329</v>
      </c>
      <c r="E104" s="9" t="s">
        <v>1760</v>
      </c>
    </row>
    <row r="105" spans="2:5" ht="24">
      <c r="B105" s="38">
        <v>0.28887829144836674</v>
      </c>
      <c r="C105" s="9" t="s">
        <v>981</v>
      </c>
      <c r="D105" s="9" t="s">
        <v>254</v>
      </c>
      <c r="E105" s="9" t="s">
        <v>1893</v>
      </c>
    </row>
    <row r="106" spans="2:5" ht="36">
      <c r="B106" s="38">
        <v>0.28964992726681704</v>
      </c>
      <c r="C106" s="9" t="s">
        <v>59</v>
      </c>
      <c r="D106" s="9" t="s">
        <v>66</v>
      </c>
      <c r="E106" s="9" t="s">
        <v>1718</v>
      </c>
    </row>
    <row r="107" spans="2:5" ht="24">
      <c r="B107" s="38">
        <v>0.29073280788451927</v>
      </c>
      <c r="C107" s="9" t="s">
        <v>981</v>
      </c>
      <c r="D107" s="9" t="s">
        <v>1055</v>
      </c>
      <c r="E107" s="9" t="s">
        <v>1896</v>
      </c>
    </row>
    <row r="108" spans="2:5" ht="24">
      <c r="B108" s="38">
        <v>0.29996500278606286</v>
      </c>
      <c r="C108" s="9" t="s">
        <v>59</v>
      </c>
      <c r="D108" s="9" t="s">
        <v>115</v>
      </c>
      <c r="E108" s="9" t="s">
        <v>1725</v>
      </c>
    </row>
    <row r="109" spans="2:5" ht="24">
      <c r="B109" s="38">
        <v>0.30609396091683228</v>
      </c>
      <c r="C109" s="9" t="s">
        <v>1243</v>
      </c>
      <c r="D109" s="9" t="s">
        <v>1329</v>
      </c>
      <c r="E109" s="9" t="s">
        <v>1949</v>
      </c>
    </row>
    <row r="110" spans="2:5" ht="24">
      <c r="B110" s="38">
        <v>0.30987049096935881</v>
      </c>
      <c r="C110" s="9" t="s">
        <v>1243</v>
      </c>
      <c r="D110" s="9" t="s">
        <v>1376</v>
      </c>
      <c r="E110" s="9" t="s">
        <v>1959</v>
      </c>
    </row>
    <row r="111" spans="2:5" ht="24">
      <c r="B111" s="38">
        <v>0.31013871674150562</v>
      </c>
      <c r="C111" s="9" t="s">
        <v>1243</v>
      </c>
      <c r="D111" s="9" t="s">
        <v>1505</v>
      </c>
      <c r="E111" s="9" t="s">
        <v>1985</v>
      </c>
    </row>
    <row r="112" spans="2:5" ht="24">
      <c r="B112" s="38">
        <v>0.31212526395850193</v>
      </c>
      <c r="C112" s="9" t="s">
        <v>1243</v>
      </c>
      <c r="D112" s="9" t="s">
        <v>1302</v>
      </c>
      <c r="E112" s="9" t="s">
        <v>1944</v>
      </c>
    </row>
    <row r="113" spans="2:5" ht="24">
      <c r="B113" s="38">
        <v>0.31510078838041444</v>
      </c>
      <c r="C113" s="9" t="s">
        <v>144</v>
      </c>
      <c r="D113" s="9" t="s">
        <v>345</v>
      </c>
      <c r="E113" s="9" t="s">
        <v>1763</v>
      </c>
    </row>
    <row r="114" spans="2:5" ht="24">
      <c r="B114" s="38">
        <v>0.31584406178668767</v>
      </c>
      <c r="C114" s="9" t="s">
        <v>1243</v>
      </c>
      <c r="D114" s="9" t="s">
        <v>1596</v>
      </c>
      <c r="E114" s="9" t="s">
        <v>2029</v>
      </c>
    </row>
    <row r="115" spans="2:5">
      <c r="B115" s="38">
        <v>0.32346056164305037</v>
      </c>
      <c r="C115" s="9" t="s">
        <v>385</v>
      </c>
      <c r="D115" s="9" t="s">
        <v>758</v>
      </c>
      <c r="E115" s="9" t="s">
        <v>1835</v>
      </c>
    </row>
    <row r="116" spans="2:5">
      <c r="B116" s="38">
        <v>0.32394349249185006</v>
      </c>
      <c r="C116" s="9" t="s">
        <v>981</v>
      </c>
      <c r="D116" s="9" t="s">
        <v>1005</v>
      </c>
      <c r="E116" s="9" t="s">
        <v>1885</v>
      </c>
    </row>
    <row r="117" spans="2:5">
      <c r="B117" s="38">
        <v>0.32760472578890731</v>
      </c>
      <c r="C117" s="9" t="s">
        <v>0</v>
      </c>
      <c r="D117" s="9" t="s">
        <v>29</v>
      </c>
      <c r="E117" s="9" t="s">
        <v>1704</v>
      </c>
    </row>
    <row r="118" spans="2:5" ht="24">
      <c r="B118" s="38">
        <v>0.33285079895815328</v>
      </c>
      <c r="C118" s="9" t="s">
        <v>1243</v>
      </c>
      <c r="D118" s="9" t="s">
        <v>1444</v>
      </c>
      <c r="E118" s="9" t="s">
        <v>1975</v>
      </c>
    </row>
    <row r="119" spans="2:5" ht="24">
      <c r="B119" s="38">
        <v>0.33412107705159888</v>
      </c>
      <c r="C119" s="9" t="s">
        <v>144</v>
      </c>
      <c r="D119" s="9" t="s">
        <v>262</v>
      </c>
      <c r="E119" s="9" t="s">
        <v>1748</v>
      </c>
    </row>
    <row r="120" spans="2:5">
      <c r="B120" s="38">
        <v>0.33452114284856449</v>
      </c>
      <c r="C120" s="9" t="s">
        <v>1112</v>
      </c>
      <c r="D120" s="9" t="s">
        <v>1133</v>
      </c>
      <c r="E120" s="9" t="s">
        <v>1911</v>
      </c>
    </row>
    <row r="121" spans="2:5" ht="24">
      <c r="B121" s="38">
        <v>0.35076053984885724</v>
      </c>
      <c r="C121" s="9" t="s">
        <v>0</v>
      </c>
      <c r="D121" s="9" t="s">
        <v>7</v>
      </c>
      <c r="E121" s="9" t="s">
        <v>1694</v>
      </c>
    </row>
    <row r="122" spans="2:5" ht="24">
      <c r="B122" s="38">
        <v>0.35167597536362427</v>
      </c>
      <c r="C122" s="9" t="s">
        <v>981</v>
      </c>
      <c r="D122" s="9" t="s">
        <v>1049</v>
      </c>
      <c r="E122" s="9" t="s">
        <v>1895</v>
      </c>
    </row>
    <row r="123" spans="2:5">
      <c r="B123" s="38">
        <v>0.35397757183127376</v>
      </c>
      <c r="C123" s="9" t="s">
        <v>1112</v>
      </c>
      <c r="D123" s="9" t="s">
        <v>1195</v>
      </c>
      <c r="E123" s="9" t="s">
        <v>1923</v>
      </c>
    </row>
    <row r="124" spans="2:5">
      <c r="B124" s="38">
        <v>0.3567180242129474</v>
      </c>
      <c r="C124" s="9" t="s">
        <v>144</v>
      </c>
      <c r="D124" s="9" t="s">
        <v>250</v>
      </c>
      <c r="E124" s="9" t="s">
        <v>1746</v>
      </c>
    </row>
    <row r="125" spans="2:5" ht="48">
      <c r="B125" s="38">
        <v>0.36005455833031474</v>
      </c>
      <c r="C125" s="9" t="s">
        <v>0</v>
      </c>
      <c r="D125" s="9" t="s">
        <v>13</v>
      </c>
      <c r="E125" s="9" t="s">
        <v>1697</v>
      </c>
    </row>
    <row r="126" spans="2:5">
      <c r="B126" s="38">
        <v>0.36417793874826376</v>
      </c>
      <c r="C126" s="9" t="s">
        <v>852</v>
      </c>
      <c r="D126" s="9" t="s">
        <v>889</v>
      </c>
      <c r="E126" s="9" t="s">
        <v>1860</v>
      </c>
    </row>
    <row r="127" spans="2:5" ht="24">
      <c r="B127" s="38">
        <v>0.36528614886128219</v>
      </c>
      <c r="C127" s="9" t="s">
        <v>1603</v>
      </c>
      <c r="D127" s="9" t="s">
        <v>1635</v>
      </c>
      <c r="E127" s="9" t="s">
        <v>2010</v>
      </c>
    </row>
    <row r="128" spans="2:5" ht="24">
      <c r="B128" s="38">
        <v>0.36933326504493713</v>
      </c>
      <c r="C128" s="9" t="s">
        <v>981</v>
      </c>
      <c r="D128" s="9" t="s">
        <v>993</v>
      </c>
      <c r="E128" s="9" t="s">
        <v>1882</v>
      </c>
    </row>
    <row r="129" spans="2:5">
      <c r="B129" s="38">
        <v>0.3718602936430212</v>
      </c>
      <c r="C129" s="9" t="s">
        <v>1243</v>
      </c>
      <c r="D129" s="9" t="s">
        <v>1269</v>
      </c>
      <c r="E129" s="9" t="s">
        <v>1938</v>
      </c>
    </row>
    <row r="130" spans="2:5">
      <c r="B130" s="38">
        <v>0.37471717352318612</v>
      </c>
      <c r="C130" s="9" t="s">
        <v>1243</v>
      </c>
      <c r="D130" s="9" t="s">
        <v>1336</v>
      </c>
      <c r="E130" s="9" t="s">
        <v>1951</v>
      </c>
    </row>
    <row r="131" spans="2:5" ht="24">
      <c r="B131" s="38">
        <v>0.38168654503624022</v>
      </c>
      <c r="C131" s="9" t="s">
        <v>144</v>
      </c>
      <c r="D131" s="9" t="s">
        <v>201</v>
      </c>
      <c r="E131" s="9" t="s">
        <v>1738</v>
      </c>
    </row>
    <row r="132" spans="2:5" ht="24">
      <c r="B132" s="38">
        <v>0.38241374338154888</v>
      </c>
      <c r="C132" s="9" t="s">
        <v>385</v>
      </c>
      <c r="D132" s="9" t="s">
        <v>803</v>
      </c>
      <c r="E132" s="9" t="s">
        <v>1843</v>
      </c>
    </row>
    <row r="133" spans="2:5" ht="24">
      <c r="B133" s="38">
        <v>0.38428198807057989</v>
      </c>
      <c r="C133" s="9" t="s">
        <v>1243</v>
      </c>
      <c r="D133" s="9" t="s">
        <v>1399</v>
      </c>
      <c r="E133" s="9" t="s">
        <v>1964</v>
      </c>
    </row>
    <row r="134" spans="2:5">
      <c r="B134" s="38">
        <v>0.38802268193868705</v>
      </c>
      <c r="C134" s="9" t="s">
        <v>1243</v>
      </c>
      <c r="D134" s="9" t="s">
        <v>1308</v>
      </c>
      <c r="E134" s="9" t="s">
        <v>1945</v>
      </c>
    </row>
    <row r="135" spans="2:5" ht="168">
      <c r="B135" s="38">
        <v>0.39444943449743974</v>
      </c>
      <c r="C135" s="9" t="s">
        <v>59</v>
      </c>
      <c r="D135" s="9" t="s">
        <v>94</v>
      </c>
      <c r="E135" s="9" t="s">
        <v>1722</v>
      </c>
    </row>
    <row r="136" spans="2:5" ht="24">
      <c r="B136" s="38">
        <v>0.39584716703442546</v>
      </c>
      <c r="C136" s="9" t="s">
        <v>385</v>
      </c>
      <c r="D136" s="9" t="s">
        <v>598</v>
      </c>
      <c r="E136" s="9" t="s">
        <v>1805</v>
      </c>
    </row>
    <row r="137" spans="2:5" ht="24">
      <c r="B137" s="38">
        <v>0.3991158337112265</v>
      </c>
      <c r="C137" s="9" t="s">
        <v>1243</v>
      </c>
      <c r="D137" s="9" t="s">
        <v>1500</v>
      </c>
      <c r="E137" s="9" t="s">
        <v>1984</v>
      </c>
    </row>
    <row r="138" spans="2:5" ht="36">
      <c r="B138" s="38">
        <v>0.40252049456402239</v>
      </c>
      <c r="C138" s="9" t="s">
        <v>1112</v>
      </c>
      <c r="D138" s="9" t="s">
        <v>191</v>
      </c>
      <c r="E138" s="9" t="s">
        <v>1914</v>
      </c>
    </row>
    <row r="139" spans="2:5" ht="24">
      <c r="B139" s="38">
        <v>0.4077095916588358</v>
      </c>
      <c r="C139" s="9" t="s">
        <v>981</v>
      </c>
      <c r="D139" s="9" t="s">
        <v>1101</v>
      </c>
      <c r="E139" s="9" t="s">
        <v>1906</v>
      </c>
    </row>
    <row r="140" spans="2:5" ht="36">
      <c r="B140" s="38">
        <v>0.40827831062827102</v>
      </c>
      <c r="C140" s="9" t="s">
        <v>0</v>
      </c>
      <c r="D140" s="9" t="s">
        <v>47</v>
      </c>
      <c r="E140" s="9" t="s">
        <v>1713</v>
      </c>
    </row>
    <row r="141" spans="2:5">
      <c r="B141" s="38">
        <v>0.40840264305798446</v>
      </c>
      <c r="C141" s="9" t="s">
        <v>852</v>
      </c>
      <c r="D141" s="9" t="s">
        <v>913</v>
      </c>
      <c r="E141" s="9" t="s">
        <v>1866</v>
      </c>
    </row>
    <row r="142" spans="2:5" ht="24">
      <c r="B142" s="38">
        <v>0.41082937270036624</v>
      </c>
      <c r="C142" s="9" t="s">
        <v>0</v>
      </c>
      <c r="D142" s="9" t="s">
        <v>23</v>
      </c>
      <c r="E142" s="9" t="s">
        <v>1701</v>
      </c>
    </row>
    <row r="143" spans="2:5">
      <c r="B143" s="38">
        <v>0.41634045488500637</v>
      </c>
      <c r="C143" s="9" t="s">
        <v>385</v>
      </c>
      <c r="D143" s="9" t="s">
        <v>410</v>
      </c>
      <c r="E143" s="9" t="s">
        <v>1772</v>
      </c>
    </row>
    <row r="144" spans="2:5">
      <c r="B144" s="38">
        <v>0.42090314877141266</v>
      </c>
      <c r="C144" s="9" t="s">
        <v>144</v>
      </c>
      <c r="D144" s="9" t="s">
        <v>361</v>
      </c>
      <c r="E144" s="9" t="s">
        <v>1766</v>
      </c>
    </row>
    <row r="145" spans="2:5" ht="24">
      <c r="B145" s="38">
        <v>0.4256897224655749</v>
      </c>
      <c r="C145" s="9" t="s">
        <v>852</v>
      </c>
      <c r="D145" s="9" t="s">
        <v>944</v>
      </c>
      <c r="E145" s="9" t="s">
        <v>1874</v>
      </c>
    </row>
    <row r="146" spans="2:5" ht="24">
      <c r="B146" s="38">
        <v>0.42600715689718993</v>
      </c>
      <c r="C146" s="9" t="s">
        <v>385</v>
      </c>
      <c r="D146" s="9" t="s">
        <v>604</v>
      </c>
      <c r="E146" s="9" t="s">
        <v>1806</v>
      </c>
    </row>
    <row r="147" spans="2:5">
      <c r="B147" s="38">
        <v>0.43241897734620871</v>
      </c>
      <c r="C147" s="9" t="s">
        <v>385</v>
      </c>
      <c r="D147" s="9" t="s">
        <v>534</v>
      </c>
      <c r="E147" s="9" t="s">
        <v>1795</v>
      </c>
    </row>
    <row r="148" spans="2:5">
      <c r="B148" s="38">
        <v>0.43488397738156037</v>
      </c>
      <c r="C148" s="9" t="s">
        <v>385</v>
      </c>
      <c r="D148" s="9" t="s">
        <v>778</v>
      </c>
      <c r="E148" s="9" t="s">
        <v>1839</v>
      </c>
    </row>
    <row r="149" spans="2:5" ht="24">
      <c r="B149" s="38">
        <v>0.43581877891473919</v>
      </c>
      <c r="C149" s="9" t="s">
        <v>0</v>
      </c>
      <c r="D149" s="9" t="s">
        <v>3</v>
      </c>
      <c r="E149" s="9" t="s">
        <v>1692</v>
      </c>
    </row>
    <row r="150" spans="2:5">
      <c r="B150" s="38">
        <v>0.44299706492487234</v>
      </c>
      <c r="C150" s="9" t="s">
        <v>1603</v>
      </c>
      <c r="D150" s="9" t="s">
        <v>1632</v>
      </c>
      <c r="E150" s="9" t="s">
        <v>2009</v>
      </c>
    </row>
    <row r="151" spans="2:5" ht="24">
      <c r="B151" s="38">
        <v>0.4447865702045809</v>
      </c>
      <c r="C151" s="9" t="s">
        <v>144</v>
      </c>
      <c r="D151" s="9" t="s">
        <v>173</v>
      </c>
      <c r="E151" s="9" t="s">
        <v>1733</v>
      </c>
    </row>
    <row r="152" spans="2:5">
      <c r="B152" s="38">
        <v>0.44602613179981143</v>
      </c>
      <c r="C152" s="9" t="s">
        <v>1243</v>
      </c>
      <c r="D152" s="9" t="s">
        <v>1573</v>
      </c>
      <c r="E152" s="9" t="s">
        <v>2000</v>
      </c>
    </row>
    <row r="153" spans="2:5" ht="36">
      <c r="B153" s="38">
        <v>0.4474255436523884</v>
      </c>
      <c r="C153" s="9" t="s">
        <v>144</v>
      </c>
      <c r="D153" s="9" t="s">
        <v>165</v>
      </c>
      <c r="E153" s="9" t="s">
        <v>1732</v>
      </c>
    </row>
    <row r="154" spans="2:5" ht="36">
      <c r="B154" s="38">
        <v>0.44764683590104437</v>
      </c>
      <c r="C154" s="9" t="s">
        <v>1112</v>
      </c>
      <c r="D154" s="9" t="s">
        <v>1224</v>
      </c>
      <c r="E154" s="9" t="s">
        <v>1931</v>
      </c>
    </row>
    <row r="155" spans="2:5" ht="24">
      <c r="B155" s="38">
        <v>0.4487602410937005</v>
      </c>
      <c r="C155" s="9" t="s">
        <v>1243</v>
      </c>
      <c r="D155" s="9" t="s">
        <v>1553</v>
      </c>
      <c r="E155" s="9" t="s">
        <v>1995</v>
      </c>
    </row>
    <row r="156" spans="2:5">
      <c r="B156" s="38">
        <v>0.46510897214924585</v>
      </c>
      <c r="C156" s="9" t="s">
        <v>1243</v>
      </c>
      <c r="D156" s="9" t="s">
        <v>1566</v>
      </c>
      <c r="E156" s="9" t="s">
        <v>1998</v>
      </c>
    </row>
    <row r="157" spans="2:5" ht="24">
      <c r="B157" s="38">
        <v>0.46626608016405835</v>
      </c>
      <c r="C157" s="9" t="s">
        <v>852</v>
      </c>
      <c r="D157" s="9" t="s">
        <v>856</v>
      </c>
      <c r="E157" s="9" t="s">
        <v>1852</v>
      </c>
    </row>
    <row r="158" spans="2:5" ht="24">
      <c r="B158" s="38">
        <v>0.47103789744249014</v>
      </c>
      <c r="C158" s="9" t="s">
        <v>981</v>
      </c>
      <c r="D158" s="9" t="s">
        <v>1032</v>
      </c>
      <c r="E158" s="9" t="s">
        <v>1891</v>
      </c>
    </row>
    <row r="159" spans="2:5" ht="24">
      <c r="B159" s="38">
        <v>0.47950766869288353</v>
      </c>
      <c r="C159" s="9" t="s">
        <v>1112</v>
      </c>
      <c r="D159" s="9" t="s">
        <v>1180</v>
      </c>
      <c r="E159" s="9" t="s">
        <v>1921</v>
      </c>
    </row>
    <row r="160" spans="2:5" ht="36">
      <c r="B160" s="38">
        <v>0.47990891981419548</v>
      </c>
      <c r="C160" s="9" t="s">
        <v>1243</v>
      </c>
      <c r="D160" s="9" t="s">
        <v>1311</v>
      </c>
      <c r="E160" s="9" t="s">
        <v>1946</v>
      </c>
    </row>
    <row r="161" spans="2:5">
      <c r="B161" s="38">
        <v>0.48272122860347288</v>
      </c>
      <c r="C161" s="9" t="s">
        <v>852</v>
      </c>
      <c r="D161" s="9" t="s">
        <v>917</v>
      </c>
      <c r="E161" s="9" t="s">
        <v>1867</v>
      </c>
    </row>
    <row r="162" spans="2:5" ht="24">
      <c r="B162" s="38">
        <v>0.48565721654277316</v>
      </c>
      <c r="C162" s="9" t="s">
        <v>1243</v>
      </c>
      <c r="D162" s="9" t="s">
        <v>1451</v>
      </c>
      <c r="E162" s="9" t="s">
        <v>1977</v>
      </c>
    </row>
    <row r="163" spans="2:5" ht="24">
      <c r="B163" s="38">
        <v>0.49071746351632217</v>
      </c>
      <c r="C163" s="9" t="s">
        <v>385</v>
      </c>
      <c r="D163" s="9" t="s">
        <v>724</v>
      </c>
      <c r="E163" s="9" t="s">
        <v>1829</v>
      </c>
    </row>
    <row r="164" spans="2:5">
      <c r="B164" s="38">
        <v>0.50385512419552558</v>
      </c>
      <c r="C164" s="9" t="s">
        <v>385</v>
      </c>
      <c r="D164" s="9" t="s">
        <v>762</v>
      </c>
      <c r="E164" s="9" t="s">
        <v>1836</v>
      </c>
    </row>
    <row r="165" spans="2:5">
      <c r="B165" s="38">
        <v>0.50427825207373855</v>
      </c>
      <c r="C165" s="9" t="s">
        <v>1243</v>
      </c>
      <c r="D165" s="9" t="s">
        <v>1244</v>
      </c>
      <c r="E165" s="9" t="s">
        <v>1933</v>
      </c>
    </row>
    <row r="166" spans="2:5">
      <c r="B166" s="38">
        <v>0.51048546155448993</v>
      </c>
      <c r="C166" s="9" t="s">
        <v>852</v>
      </c>
      <c r="D166" s="9" t="s">
        <v>920</v>
      </c>
      <c r="E166" s="9" t="s">
        <v>1868</v>
      </c>
    </row>
    <row r="167" spans="2:5" ht="24">
      <c r="B167" s="38">
        <v>0.51121319150495292</v>
      </c>
      <c r="C167" s="9" t="s">
        <v>1243</v>
      </c>
      <c r="D167" s="9" t="s">
        <v>1362</v>
      </c>
      <c r="E167" s="9" t="s">
        <v>1956</v>
      </c>
    </row>
    <row r="168" spans="2:5" ht="24">
      <c r="B168" s="38">
        <v>0.51245829061459669</v>
      </c>
      <c r="C168" s="39" t="s">
        <v>1603</v>
      </c>
      <c r="D168" s="39" t="s">
        <v>1613</v>
      </c>
      <c r="E168" s="39" t="s">
        <v>2005</v>
      </c>
    </row>
    <row r="169" spans="2:5">
      <c r="B169" s="38">
        <v>0.5214285097337471</v>
      </c>
      <c r="C169" s="9" t="s">
        <v>1112</v>
      </c>
      <c r="D169" s="9" t="s">
        <v>1154</v>
      </c>
      <c r="E169" s="9" t="s">
        <v>1915</v>
      </c>
    </row>
    <row r="170" spans="2:5" ht="24">
      <c r="B170" s="38">
        <v>0.52150461419059457</v>
      </c>
      <c r="C170" s="9" t="s">
        <v>385</v>
      </c>
      <c r="D170" s="9" t="s">
        <v>414</v>
      </c>
      <c r="E170" s="9" t="s">
        <v>1773</v>
      </c>
    </row>
    <row r="171" spans="2:5" ht="48">
      <c r="B171" s="38">
        <v>0.52312883112755115</v>
      </c>
      <c r="C171" s="9" t="s">
        <v>1243</v>
      </c>
      <c r="D171" s="9" t="s">
        <v>1283</v>
      </c>
      <c r="E171" s="9" t="s">
        <v>1941</v>
      </c>
    </row>
    <row r="172" spans="2:5" ht="24">
      <c r="B172" s="38">
        <v>0.52669056124869651</v>
      </c>
      <c r="C172" s="9" t="s">
        <v>1603</v>
      </c>
      <c r="D172" s="9" t="s">
        <v>1619</v>
      </c>
      <c r="E172" s="9" t="s">
        <v>2006</v>
      </c>
    </row>
    <row r="173" spans="2:5">
      <c r="B173" s="38">
        <v>0.53044332966391083</v>
      </c>
      <c r="C173" s="9" t="s">
        <v>981</v>
      </c>
      <c r="D173" s="9" t="s">
        <v>1089</v>
      </c>
      <c r="E173" s="9" t="s">
        <v>1903</v>
      </c>
    </row>
    <row r="174" spans="2:5" ht="48">
      <c r="B174" s="38">
        <v>0.54068627223784904</v>
      </c>
      <c r="C174" s="9" t="s">
        <v>385</v>
      </c>
      <c r="D174" s="9" t="s">
        <v>823</v>
      </c>
      <c r="E174" s="9" t="s">
        <v>1848</v>
      </c>
    </row>
    <row r="175" spans="2:5" ht="24">
      <c r="B175" s="38">
        <v>0.54452729264070387</v>
      </c>
      <c r="C175" s="9" t="s">
        <v>385</v>
      </c>
      <c r="D175" s="9" t="s">
        <v>791</v>
      </c>
      <c r="E175" s="9" t="s">
        <v>1841</v>
      </c>
    </row>
    <row r="176" spans="2:5">
      <c r="B176" s="38">
        <v>0.54773245236816848</v>
      </c>
      <c r="C176" s="9" t="s">
        <v>1243</v>
      </c>
      <c r="D176" s="9" t="s">
        <v>1426</v>
      </c>
      <c r="E176" s="9" t="s">
        <v>1970</v>
      </c>
    </row>
    <row r="177" spans="2:5" ht="24">
      <c r="B177" s="38">
        <v>0.5486985461384406</v>
      </c>
      <c r="C177" s="9" t="s">
        <v>1243</v>
      </c>
      <c r="D177" s="9" t="s">
        <v>1319</v>
      </c>
      <c r="E177" s="9" t="s">
        <v>1947</v>
      </c>
    </row>
    <row r="178" spans="2:5">
      <c r="B178" s="38">
        <v>0.55504191315996176</v>
      </c>
      <c r="C178" s="9" t="s">
        <v>0</v>
      </c>
      <c r="D178" s="9" t="s">
        <v>11</v>
      </c>
      <c r="E178" s="9" t="s">
        <v>1696</v>
      </c>
    </row>
    <row r="179" spans="2:5" ht="36">
      <c r="B179" s="38">
        <v>0.55935598933983532</v>
      </c>
      <c r="C179" s="9" t="s">
        <v>144</v>
      </c>
      <c r="D179" s="9" t="s">
        <v>281</v>
      </c>
      <c r="E179" s="9" t="s">
        <v>1751</v>
      </c>
    </row>
    <row r="180" spans="2:5" ht="36">
      <c r="B180" s="38">
        <v>0.55948192671415209</v>
      </c>
      <c r="C180" s="9" t="s">
        <v>385</v>
      </c>
      <c r="D180" s="9" t="s">
        <v>335</v>
      </c>
      <c r="E180" s="9" t="s">
        <v>1840</v>
      </c>
    </row>
    <row r="181" spans="2:5" ht="24">
      <c r="B181" s="38">
        <v>0.56169321610392009</v>
      </c>
      <c r="C181" s="9" t="s">
        <v>1243</v>
      </c>
      <c r="D181" s="9" t="s">
        <v>1437</v>
      </c>
      <c r="E181" s="9" t="s">
        <v>1973</v>
      </c>
    </row>
    <row r="182" spans="2:5" ht="36">
      <c r="B182" s="38">
        <v>0.56453360876068825</v>
      </c>
      <c r="C182" s="9" t="s">
        <v>1603</v>
      </c>
      <c r="D182" s="9" t="s">
        <v>1643</v>
      </c>
      <c r="E182" s="9" t="s">
        <v>2012</v>
      </c>
    </row>
    <row r="183" spans="2:5" ht="24">
      <c r="B183" s="38">
        <v>0.56523715956617859</v>
      </c>
      <c r="C183" s="9" t="s">
        <v>385</v>
      </c>
      <c r="D183" s="9" t="s">
        <v>386</v>
      </c>
      <c r="E183" s="9" t="s">
        <v>1768</v>
      </c>
    </row>
    <row r="184" spans="2:5" ht="24">
      <c r="B184" s="38">
        <v>0.56874287457621786</v>
      </c>
      <c r="C184" s="9" t="s">
        <v>852</v>
      </c>
      <c r="D184" s="9" t="s">
        <v>972</v>
      </c>
      <c r="E184" s="9" t="s">
        <v>1879</v>
      </c>
    </row>
    <row r="185" spans="2:5" ht="24">
      <c r="B185" s="38">
        <v>0.56917045453728776</v>
      </c>
      <c r="C185" s="9" t="s">
        <v>1112</v>
      </c>
      <c r="D185" s="9" t="s">
        <v>1118</v>
      </c>
      <c r="E185" s="9" t="s">
        <v>1908</v>
      </c>
    </row>
    <row r="186" spans="2:5" ht="24">
      <c r="B186" s="38">
        <v>0.56950647790816755</v>
      </c>
      <c r="C186" s="39" t="s">
        <v>1243</v>
      </c>
      <c r="D186" s="39" t="s">
        <v>1576</v>
      </c>
      <c r="E186" s="39" t="s">
        <v>2001</v>
      </c>
    </row>
    <row r="187" spans="2:5" ht="24">
      <c r="B187" s="38">
        <v>0.57087932241865769</v>
      </c>
      <c r="C187" s="9" t="s">
        <v>385</v>
      </c>
      <c r="D187" s="9" t="s">
        <v>797</v>
      </c>
      <c r="E187" s="9" t="s">
        <v>1842</v>
      </c>
    </row>
    <row r="188" spans="2:5" ht="36">
      <c r="B188" s="38">
        <v>0.580742676993102</v>
      </c>
      <c r="C188" s="9" t="s">
        <v>1603</v>
      </c>
      <c r="D188" s="9" t="s">
        <v>1673</v>
      </c>
      <c r="E188" s="9" t="s">
        <v>2017</v>
      </c>
    </row>
    <row r="189" spans="2:5" ht="36">
      <c r="B189" s="38">
        <v>0.58472423187717004</v>
      </c>
      <c r="C189" s="9" t="s">
        <v>1243</v>
      </c>
      <c r="D189" s="9" t="s">
        <v>1339</v>
      </c>
      <c r="E189" s="9" t="s">
        <v>1952</v>
      </c>
    </row>
    <row r="190" spans="2:5">
      <c r="B190" s="38">
        <v>0.58611477346298246</v>
      </c>
      <c r="C190" s="9" t="s">
        <v>385</v>
      </c>
      <c r="D190" s="9" t="s">
        <v>634</v>
      </c>
      <c r="E190" s="9" t="s">
        <v>1812</v>
      </c>
    </row>
    <row r="191" spans="2:5" ht="36">
      <c r="B191" s="38">
        <v>0.5873574917405664</v>
      </c>
      <c r="C191" s="9" t="s">
        <v>0</v>
      </c>
      <c r="D191" s="9" t="s">
        <v>41</v>
      </c>
      <c r="E191" s="9" t="s">
        <v>1710</v>
      </c>
    </row>
    <row r="192" spans="2:5" ht="36">
      <c r="B192" s="38">
        <v>0.59320023218019557</v>
      </c>
      <c r="C192" s="9" t="s">
        <v>1603</v>
      </c>
      <c r="D192" s="9" t="s">
        <v>1604</v>
      </c>
      <c r="E192" s="9" t="s">
        <v>2004</v>
      </c>
    </row>
    <row r="193" spans="2:5" ht="24">
      <c r="B193" s="38">
        <v>0.59350287268654567</v>
      </c>
      <c r="C193" s="9" t="s">
        <v>852</v>
      </c>
      <c r="D193" s="9" t="s">
        <v>966</v>
      </c>
      <c r="E193" s="9" t="s">
        <v>1878</v>
      </c>
    </row>
    <row r="194" spans="2:5" ht="168">
      <c r="B194" s="38">
        <v>0.59416143432899338</v>
      </c>
      <c r="C194" s="39" t="s">
        <v>1243</v>
      </c>
      <c r="D194" s="39" t="s">
        <v>1478</v>
      </c>
      <c r="E194" s="39" t="s">
        <v>1981</v>
      </c>
    </row>
    <row r="195" spans="2:5" ht="24">
      <c r="B195" s="38">
        <v>0.59568954452242473</v>
      </c>
      <c r="C195" s="9" t="s">
        <v>1243</v>
      </c>
      <c r="D195" s="9" t="s">
        <v>1432</v>
      </c>
      <c r="E195" s="9" t="s">
        <v>1972</v>
      </c>
    </row>
    <row r="196" spans="2:5" ht="168">
      <c r="B196" s="38">
        <v>0.59632028697916628</v>
      </c>
      <c r="C196" s="9" t="s">
        <v>385</v>
      </c>
      <c r="D196" s="9" t="s">
        <v>165</v>
      </c>
      <c r="E196" s="9" t="s">
        <v>1774</v>
      </c>
    </row>
    <row r="197" spans="2:5" ht="36">
      <c r="B197" s="38">
        <v>0.59939722436365728</v>
      </c>
      <c r="C197" s="9" t="s">
        <v>1112</v>
      </c>
      <c r="D197" s="9" t="s">
        <v>1126</v>
      </c>
      <c r="E197" s="9" t="s">
        <v>1910</v>
      </c>
    </row>
    <row r="198" spans="2:5" ht="24">
      <c r="B198" s="38">
        <v>0.60309730181840537</v>
      </c>
      <c r="C198" s="9" t="s">
        <v>144</v>
      </c>
      <c r="D198" s="9" t="s">
        <v>275</v>
      </c>
      <c r="E198" s="9" t="s">
        <v>1750</v>
      </c>
    </row>
    <row r="199" spans="2:5" ht="24">
      <c r="B199" s="38">
        <v>0.60344150142712349</v>
      </c>
      <c r="C199" s="9" t="s">
        <v>1243</v>
      </c>
      <c r="D199" s="9" t="s">
        <v>1277</v>
      </c>
      <c r="E199" s="9" t="s">
        <v>1940</v>
      </c>
    </row>
    <row r="200" spans="2:5" ht="24">
      <c r="B200" s="38">
        <v>0.60653365682172666</v>
      </c>
      <c r="C200" s="9" t="s">
        <v>385</v>
      </c>
      <c r="D200" s="9" t="s">
        <v>731</v>
      </c>
      <c r="E200" s="9" t="s">
        <v>1830</v>
      </c>
    </row>
    <row r="201" spans="2:5" ht="24">
      <c r="B201" s="38">
        <v>0.61170214605734929</v>
      </c>
      <c r="C201" s="9" t="s">
        <v>1112</v>
      </c>
      <c r="D201" s="9" t="s">
        <v>1213</v>
      </c>
      <c r="E201" s="9" t="s">
        <v>1928</v>
      </c>
    </row>
    <row r="202" spans="2:5" ht="24">
      <c r="B202" s="38">
        <v>0.61231662230868444</v>
      </c>
      <c r="C202" s="9" t="s">
        <v>981</v>
      </c>
      <c r="D202" s="9" t="s">
        <v>982</v>
      </c>
      <c r="E202" s="9" t="s">
        <v>1880</v>
      </c>
    </row>
    <row r="203" spans="2:5" ht="24">
      <c r="B203" s="38">
        <v>0.61670011270913283</v>
      </c>
      <c r="C203" s="9" t="s">
        <v>385</v>
      </c>
      <c r="D203" s="9" t="s">
        <v>815</v>
      </c>
      <c r="E203" s="9" t="s">
        <v>1846</v>
      </c>
    </row>
    <row r="204" spans="2:5">
      <c r="B204" s="38">
        <v>0.61738079978386939</v>
      </c>
      <c r="C204" s="9" t="s">
        <v>1243</v>
      </c>
      <c r="D204" s="9" t="s">
        <v>1413</v>
      </c>
      <c r="E204" s="9" t="s">
        <v>1967</v>
      </c>
    </row>
    <row r="205" spans="2:5">
      <c r="B205" s="38">
        <v>0.61787749372622158</v>
      </c>
      <c r="C205" s="9" t="s">
        <v>1243</v>
      </c>
      <c r="D205" s="9" t="s">
        <v>1515</v>
      </c>
      <c r="E205" s="9" t="s">
        <v>1987</v>
      </c>
    </row>
    <row r="206" spans="2:5">
      <c r="B206" s="38">
        <v>0.62149079088966686</v>
      </c>
      <c r="C206" s="9" t="s">
        <v>1243</v>
      </c>
      <c r="D206" s="9" t="s">
        <v>1559</v>
      </c>
      <c r="E206" s="9" t="s">
        <v>1996</v>
      </c>
    </row>
    <row r="207" spans="2:5" ht="24">
      <c r="B207" s="38">
        <v>0.62501946370746042</v>
      </c>
      <c r="C207" s="9" t="s">
        <v>0</v>
      </c>
      <c r="D207" s="9" t="s">
        <v>37</v>
      </c>
      <c r="E207" s="9" t="s">
        <v>1708</v>
      </c>
    </row>
    <row r="208" spans="2:5" ht="24">
      <c r="B208" s="38">
        <v>0.62805471434093707</v>
      </c>
      <c r="C208" s="9" t="s">
        <v>144</v>
      </c>
      <c r="D208" s="9" t="s">
        <v>351</v>
      </c>
      <c r="E208" s="9" t="s">
        <v>1764</v>
      </c>
    </row>
    <row r="209" spans="2:5" ht="24">
      <c r="B209" s="38">
        <v>0.62884921430383089</v>
      </c>
      <c r="C209" s="9" t="s">
        <v>385</v>
      </c>
      <c r="D209" s="9" t="s">
        <v>519</v>
      </c>
      <c r="E209" s="9" t="s">
        <v>1793</v>
      </c>
    </row>
    <row r="210" spans="2:5" ht="36">
      <c r="B210" s="38">
        <v>0.62894151369700613</v>
      </c>
      <c r="C210" s="9" t="s">
        <v>144</v>
      </c>
      <c r="D210" s="9" t="s">
        <v>254</v>
      </c>
      <c r="E210" s="9" t="s">
        <v>1747</v>
      </c>
    </row>
    <row r="211" spans="2:5" ht="144">
      <c r="B211" s="38">
        <v>0.63078763307532237</v>
      </c>
      <c r="C211" s="9" t="s">
        <v>981</v>
      </c>
      <c r="D211" s="9" t="s">
        <v>1106</v>
      </c>
      <c r="E211" s="9" t="s">
        <v>2028</v>
      </c>
    </row>
    <row r="212" spans="2:5" ht="24">
      <c r="B212" s="38">
        <v>0.63264002177453038</v>
      </c>
      <c r="C212" s="9" t="s">
        <v>1243</v>
      </c>
      <c r="D212" s="9" t="s">
        <v>345</v>
      </c>
      <c r="E212" s="9" t="s">
        <v>1968</v>
      </c>
    </row>
    <row r="213" spans="2:5" ht="24">
      <c r="B213" s="38">
        <v>0.63310513533911661</v>
      </c>
      <c r="C213" s="9" t="s">
        <v>385</v>
      </c>
      <c r="D213" s="9" t="s">
        <v>398</v>
      </c>
      <c r="E213" s="9" t="s">
        <v>1770</v>
      </c>
    </row>
    <row r="214" spans="2:5" ht="24">
      <c r="B214" s="38">
        <v>0.63338336451044219</v>
      </c>
      <c r="C214" s="39" t="s">
        <v>981</v>
      </c>
      <c r="D214" s="39" t="s">
        <v>1011</v>
      </c>
      <c r="E214" s="39" t="s">
        <v>1887</v>
      </c>
    </row>
    <row r="215" spans="2:5" ht="24">
      <c r="B215" s="38">
        <v>0.63500270083753396</v>
      </c>
      <c r="C215" s="9" t="s">
        <v>59</v>
      </c>
      <c r="D215" s="9" t="s">
        <v>127</v>
      </c>
      <c r="E215" s="9" t="s">
        <v>1727</v>
      </c>
    </row>
    <row r="216" spans="2:5" ht="24">
      <c r="B216" s="38">
        <v>0.64568941105743982</v>
      </c>
      <c r="C216" s="9" t="s">
        <v>385</v>
      </c>
      <c r="D216" s="9" t="s">
        <v>403</v>
      </c>
      <c r="E216" s="9" t="s">
        <v>1771</v>
      </c>
    </row>
    <row r="217" spans="2:5">
      <c r="B217" s="38">
        <v>0.64701203273287589</v>
      </c>
      <c r="C217" s="9" t="s">
        <v>852</v>
      </c>
      <c r="D217" s="9" t="s">
        <v>896</v>
      </c>
      <c r="E217" s="9" t="s">
        <v>1862</v>
      </c>
    </row>
    <row r="218" spans="2:5">
      <c r="B218" s="38">
        <v>0.64864035301205714</v>
      </c>
      <c r="C218" s="9" t="s">
        <v>385</v>
      </c>
      <c r="D218" s="9" t="s">
        <v>617</v>
      </c>
      <c r="E218" s="9" t="s">
        <v>1809</v>
      </c>
    </row>
    <row r="219" spans="2:5" ht="24">
      <c r="B219" s="38">
        <v>0.65352576535330031</v>
      </c>
      <c r="C219" s="9" t="s">
        <v>852</v>
      </c>
      <c r="D219" s="9" t="s">
        <v>961</v>
      </c>
      <c r="E219" s="9" t="s">
        <v>1877</v>
      </c>
    </row>
    <row r="220" spans="2:5" ht="24">
      <c r="B220" s="38">
        <v>0.65553136812853852</v>
      </c>
      <c r="C220" s="9" t="s">
        <v>144</v>
      </c>
      <c r="D220" s="9" t="s">
        <v>356</v>
      </c>
      <c r="E220" s="9" t="s">
        <v>1765</v>
      </c>
    </row>
    <row r="221" spans="2:5" ht="24">
      <c r="B221" s="38">
        <v>0.65600053729927799</v>
      </c>
      <c r="C221" s="9" t="s">
        <v>385</v>
      </c>
      <c r="D221" s="9" t="s">
        <v>655</v>
      </c>
      <c r="E221" s="9" t="s">
        <v>1816</v>
      </c>
    </row>
    <row r="222" spans="2:5">
      <c r="B222" s="38">
        <v>0.65612856092733496</v>
      </c>
      <c r="C222" s="9" t="s">
        <v>385</v>
      </c>
      <c r="D222" s="9" t="s">
        <v>500</v>
      </c>
      <c r="E222" s="9" t="s">
        <v>1789</v>
      </c>
    </row>
    <row r="223" spans="2:5" ht="24">
      <c r="B223" s="38">
        <v>0.65741192422095918</v>
      </c>
      <c r="C223" s="9" t="s">
        <v>852</v>
      </c>
      <c r="D223" s="9" t="s">
        <v>923</v>
      </c>
      <c r="E223" s="9" t="s">
        <v>1869</v>
      </c>
    </row>
    <row r="224" spans="2:5" ht="24">
      <c r="B224" s="38">
        <v>0.65785160948096943</v>
      </c>
      <c r="C224" s="9" t="s">
        <v>981</v>
      </c>
      <c r="D224" s="9" t="s">
        <v>1061</v>
      </c>
      <c r="E224" s="9" t="s">
        <v>1897</v>
      </c>
    </row>
    <row r="225" spans="2:5">
      <c r="B225" s="38">
        <v>0.6639033634190763</v>
      </c>
      <c r="C225" s="9" t="s">
        <v>1243</v>
      </c>
      <c r="D225" s="9" t="s">
        <v>1541</v>
      </c>
      <c r="E225" s="9" t="s">
        <v>1993</v>
      </c>
    </row>
    <row r="226" spans="2:5" ht="24">
      <c r="B226" s="38">
        <v>0.67522680867817431</v>
      </c>
      <c r="C226" s="9" t="s">
        <v>144</v>
      </c>
      <c r="D226" s="9" t="s">
        <v>191</v>
      </c>
      <c r="E226" s="9" t="s">
        <v>1736</v>
      </c>
    </row>
    <row r="227" spans="2:5" ht="24">
      <c r="B227" s="38">
        <v>0.67641896882207142</v>
      </c>
      <c r="C227" s="9" t="s">
        <v>144</v>
      </c>
      <c r="D227" s="9" t="s">
        <v>308</v>
      </c>
      <c r="E227" s="9" t="s">
        <v>1756</v>
      </c>
    </row>
    <row r="228" spans="2:5" ht="24">
      <c r="B228" s="38">
        <v>0.67810000050942265</v>
      </c>
      <c r="C228" s="9" t="s">
        <v>1603</v>
      </c>
      <c r="D228" s="9" t="s">
        <v>1679</v>
      </c>
      <c r="E228" s="9" t="s">
        <v>2018</v>
      </c>
    </row>
    <row r="229" spans="2:5" ht="36">
      <c r="B229" s="38">
        <v>0.67881937234840994</v>
      </c>
      <c r="C229" s="9" t="s">
        <v>1603</v>
      </c>
      <c r="D229" s="9" t="s">
        <v>1654</v>
      </c>
      <c r="E229" s="9" t="s">
        <v>2014</v>
      </c>
    </row>
    <row r="230" spans="2:5" ht="24">
      <c r="B230" s="38">
        <v>0.67904984908362631</v>
      </c>
      <c r="C230" s="9" t="s">
        <v>144</v>
      </c>
      <c r="D230" s="9" t="s">
        <v>298</v>
      </c>
      <c r="E230" s="9" t="s">
        <v>1754</v>
      </c>
    </row>
    <row r="231" spans="2:5" ht="24">
      <c r="B231" s="38">
        <v>0.67929966052637669</v>
      </c>
      <c r="C231" s="9" t="s">
        <v>144</v>
      </c>
      <c r="D231" s="9" t="s">
        <v>294</v>
      </c>
      <c r="E231" s="9" t="s">
        <v>1753</v>
      </c>
    </row>
    <row r="232" spans="2:5" ht="24">
      <c r="B232" s="38">
        <v>0.68370556676530325</v>
      </c>
      <c r="C232" s="9" t="s">
        <v>385</v>
      </c>
      <c r="D232" s="9" t="s">
        <v>585</v>
      </c>
      <c r="E232" s="9" t="s">
        <v>1803</v>
      </c>
    </row>
    <row r="233" spans="2:5" ht="24">
      <c r="B233" s="38">
        <v>0.68394879694544486</v>
      </c>
      <c r="C233" s="9" t="s">
        <v>385</v>
      </c>
      <c r="D233" s="9" t="s">
        <v>709</v>
      </c>
      <c r="E233" s="9" t="s">
        <v>1826</v>
      </c>
    </row>
    <row r="234" spans="2:5">
      <c r="B234" s="38">
        <v>0.68466442767342339</v>
      </c>
      <c r="C234" s="9" t="s">
        <v>0</v>
      </c>
      <c r="D234" s="9" t="s">
        <v>21</v>
      </c>
      <c r="E234" s="9" t="s">
        <v>1700</v>
      </c>
    </row>
    <row r="235" spans="2:5" ht="24">
      <c r="B235" s="38">
        <v>0.69047729964826909</v>
      </c>
      <c r="C235" s="9" t="s">
        <v>385</v>
      </c>
      <c r="D235" s="9" t="s">
        <v>392</v>
      </c>
      <c r="E235" s="9" t="s">
        <v>1769</v>
      </c>
    </row>
    <row r="236" spans="2:5">
      <c r="B236" s="38">
        <v>0.69765342570821076</v>
      </c>
      <c r="C236" s="39" t="s">
        <v>1243</v>
      </c>
      <c r="D236" s="39" t="s">
        <v>1333</v>
      </c>
      <c r="E236" s="39" t="s">
        <v>1950</v>
      </c>
    </row>
    <row r="237" spans="2:5" ht="24">
      <c r="B237" s="38">
        <v>0.69771099447566953</v>
      </c>
      <c r="C237" s="9" t="s">
        <v>1243</v>
      </c>
      <c r="D237" s="9" t="s">
        <v>1519</v>
      </c>
      <c r="E237" s="9" t="s">
        <v>1988</v>
      </c>
    </row>
    <row r="238" spans="2:5">
      <c r="B238" s="38">
        <v>0.70115048536894198</v>
      </c>
      <c r="C238" s="39" t="s">
        <v>59</v>
      </c>
      <c r="D238" s="39" t="s">
        <v>75</v>
      </c>
      <c r="E238" s="39" t="s">
        <v>1719</v>
      </c>
    </row>
    <row r="239" spans="2:5" ht="192">
      <c r="B239" s="38">
        <v>0.7031221273972037</v>
      </c>
      <c r="C239" s="9" t="s">
        <v>1603</v>
      </c>
      <c r="D239" s="9" t="s">
        <v>1638</v>
      </c>
      <c r="E239" s="9" t="s">
        <v>2011</v>
      </c>
    </row>
    <row r="240" spans="2:5" ht="24">
      <c r="B240" s="38">
        <v>0.70773298414648678</v>
      </c>
      <c r="C240" s="9" t="s">
        <v>385</v>
      </c>
      <c r="D240" s="9" t="s">
        <v>714</v>
      </c>
      <c r="E240" s="9" t="s">
        <v>1827</v>
      </c>
    </row>
    <row r="241" spans="2:5" ht="24">
      <c r="B241" s="38">
        <v>0.7096590478577981</v>
      </c>
      <c r="C241" s="9" t="s">
        <v>1243</v>
      </c>
      <c r="D241" s="9" t="s">
        <v>1297</v>
      </c>
      <c r="E241" s="9" t="s">
        <v>1943</v>
      </c>
    </row>
    <row r="242" spans="2:5" ht="24">
      <c r="B242" s="38">
        <v>0.71303964111636664</v>
      </c>
      <c r="C242" s="9" t="s">
        <v>0</v>
      </c>
      <c r="D242" s="9" t="s">
        <v>5</v>
      </c>
      <c r="E242" s="9" t="s">
        <v>1693</v>
      </c>
    </row>
    <row r="243" spans="2:5" ht="24">
      <c r="B243" s="38">
        <v>0.72043501225484496</v>
      </c>
      <c r="C243" s="9" t="s">
        <v>981</v>
      </c>
      <c r="D243" s="9" t="s">
        <v>1065</v>
      </c>
      <c r="E243" s="9" t="s">
        <v>1898</v>
      </c>
    </row>
    <row r="244" spans="2:5" ht="24">
      <c r="B244" s="38">
        <v>0.72246647583986157</v>
      </c>
      <c r="C244" s="9" t="s">
        <v>852</v>
      </c>
      <c r="D244" s="9" t="s">
        <v>934</v>
      </c>
      <c r="E244" s="9" t="s">
        <v>1872</v>
      </c>
    </row>
    <row r="245" spans="2:5" ht="24">
      <c r="B245" s="38">
        <v>0.73136222318633337</v>
      </c>
      <c r="C245" s="9" t="s">
        <v>385</v>
      </c>
      <c r="D245" s="9" t="s">
        <v>837</v>
      </c>
      <c r="E245" s="9" t="s">
        <v>1849</v>
      </c>
    </row>
    <row r="246" spans="2:5">
      <c r="B246" s="38">
        <v>0.73411183020920157</v>
      </c>
      <c r="C246" s="9" t="s">
        <v>0</v>
      </c>
      <c r="D246" s="9" t="s">
        <v>25</v>
      </c>
      <c r="E246" s="9" t="s">
        <v>1702</v>
      </c>
    </row>
    <row r="247" spans="2:5" ht="24">
      <c r="B247" s="38">
        <v>0.73788812594180908</v>
      </c>
      <c r="C247" s="9" t="s">
        <v>144</v>
      </c>
      <c r="D247" s="9" t="s">
        <v>160</v>
      </c>
      <c r="E247" s="9" t="s">
        <v>1731</v>
      </c>
    </row>
    <row r="248" spans="2:5" ht="24">
      <c r="B248" s="38">
        <v>0.74218593287704393</v>
      </c>
      <c r="C248" s="9" t="s">
        <v>1243</v>
      </c>
      <c r="D248" s="9" t="s">
        <v>742</v>
      </c>
      <c r="E248" s="9" t="s">
        <v>1986</v>
      </c>
    </row>
    <row r="249" spans="2:5" ht="24">
      <c r="B249" s="38">
        <v>0.7431712160522409</v>
      </c>
      <c r="C249" s="9" t="s">
        <v>981</v>
      </c>
      <c r="D249" s="9" t="s">
        <v>1026</v>
      </c>
      <c r="E249" s="9" t="s">
        <v>1890</v>
      </c>
    </row>
    <row r="250" spans="2:5" ht="24">
      <c r="B250" s="38">
        <v>0.7450173034051073</v>
      </c>
      <c r="C250" s="9" t="s">
        <v>0</v>
      </c>
      <c r="D250" s="9" t="s">
        <v>51</v>
      </c>
      <c r="E250" s="9" t="s">
        <v>1714</v>
      </c>
    </row>
    <row r="251" spans="2:5" ht="36">
      <c r="B251" s="38">
        <v>0.74657248496084638</v>
      </c>
      <c r="C251" s="9" t="s">
        <v>385</v>
      </c>
      <c r="D251" s="9" t="s">
        <v>638</v>
      </c>
      <c r="E251" s="9" t="s">
        <v>1813</v>
      </c>
    </row>
    <row r="252" spans="2:5" ht="24">
      <c r="B252" s="38">
        <v>0.74730291162112161</v>
      </c>
      <c r="C252" s="9" t="s">
        <v>852</v>
      </c>
      <c r="D252" s="9" t="s">
        <v>951</v>
      </c>
      <c r="E252" s="9" t="s">
        <v>1875</v>
      </c>
    </row>
    <row r="253" spans="2:5" ht="24">
      <c r="B253" s="38">
        <v>0.74938040606426848</v>
      </c>
      <c r="C253" s="9" t="s">
        <v>0</v>
      </c>
      <c r="D253" s="9" t="s">
        <v>43</v>
      </c>
      <c r="E253" s="9" t="s">
        <v>1711</v>
      </c>
    </row>
    <row r="254" spans="2:5" ht="36">
      <c r="B254" s="38">
        <v>0.75143943993432638</v>
      </c>
      <c r="C254" s="9" t="s">
        <v>385</v>
      </c>
      <c r="D254" s="9" t="s">
        <v>321</v>
      </c>
      <c r="E254" s="9" t="s">
        <v>1784</v>
      </c>
    </row>
    <row r="255" spans="2:5" ht="36">
      <c r="B255" s="38">
        <v>0.75723234009443774</v>
      </c>
      <c r="C255" s="9" t="s">
        <v>385</v>
      </c>
      <c r="D255" s="9" t="s">
        <v>624</v>
      </c>
      <c r="E255" s="9" t="s">
        <v>1811</v>
      </c>
    </row>
    <row r="256" spans="2:5" ht="36">
      <c r="B256" s="38">
        <v>0.75888562255600045</v>
      </c>
      <c r="C256" s="9" t="s">
        <v>1243</v>
      </c>
      <c r="D256" s="9" t="s">
        <v>1382</v>
      </c>
      <c r="E256" s="9" t="s">
        <v>1960</v>
      </c>
    </row>
    <row r="257" spans="2:5" ht="24">
      <c r="B257" s="38">
        <v>0.76304169779271247</v>
      </c>
      <c r="C257" s="9" t="s">
        <v>385</v>
      </c>
      <c r="D257" s="9" t="s">
        <v>560</v>
      </c>
      <c r="E257" s="9" t="s">
        <v>1800</v>
      </c>
    </row>
    <row r="258" spans="2:5" ht="36">
      <c r="B258" s="38">
        <v>0.76359617877198105</v>
      </c>
      <c r="C258" s="9" t="s">
        <v>1243</v>
      </c>
      <c r="D258" s="9" t="s">
        <v>1467</v>
      </c>
      <c r="E258" s="9" t="s">
        <v>1979</v>
      </c>
    </row>
    <row r="259" spans="2:5" ht="36">
      <c r="B259" s="38">
        <v>0.76659698640681717</v>
      </c>
      <c r="C259" s="9" t="s">
        <v>1112</v>
      </c>
      <c r="D259" s="9" t="s">
        <v>1141</v>
      </c>
      <c r="E259" s="9" t="s">
        <v>1913</v>
      </c>
    </row>
    <row r="260" spans="2:5">
      <c r="B260" s="38">
        <v>0.77406553514748044</v>
      </c>
      <c r="C260" s="9" t="s">
        <v>1243</v>
      </c>
      <c r="D260" s="9" t="s">
        <v>1389</v>
      </c>
      <c r="E260" s="9" t="s">
        <v>1961</v>
      </c>
    </row>
    <row r="261" spans="2:5" ht="24">
      <c r="B261" s="38">
        <v>0.78503711634169526</v>
      </c>
      <c r="C261" s="39" t="s">
        <v>981</v>
      </c>
      <c r="D261" s="39" t="s">
        <v>1002</v>
      </c>
      <c r="E261" s="39" t="s">
        <v>1884</v>
      </c>
    </row>
    <row r="262" spans="2:5">
      <c r="B262" s="38">
        <v>0.78753486359149361</v>
      </c>
      <c r="C262" s="9" t="s">
        <v>1112</v>
      </c>
      <c r="D262" s="9" t="s">
        <v>1198</v>
      </c>
      <c r="E262" s="9" t="s">
        <v>1924</v>
      </c>
    </row>
    <row r="263" spans="2:5" ht="24">
      <c r="B263" s="38">
        <v>0.78959598386590257</v>
      </c>
      <c r="C263" s="9" t="s">
        <v>852</v>
      </c>
      <c r="D263" s="9" t="s">
        <v>930</v>
      </c>
      <c r="E263" s="9" t="s">
        <v>1871</v>
      </c>
    </row>
    <row r="264" spans="2:5" ht="144">
      <c r="B264" s="38">
        <v>0.7902556277701579</v>
      </c>
      <c r="C264" s="9" t="s">
        <v>385</v>
      </c>
      <c r="D264" s="9" t="s">
        <v>693</v>
      </c>
      <c r="E264" s="9" t="s">
        <v>1823</v>
      </c>
    </row>
    <row r="265" spans="2:5" ht="24">
      <c r="B265" s="38">
        <v>0.7916138947015563</v>
      </c>
      <c r="C265" s="9" t="s">
        <v>385</v>
      </c>
      <c r="D265" s="9" t="s">
        <v>433</v>
      </c>
      <c r="E265" s="9" t="s">
        <v>1777</v>
      </c>
    </row>
    <row r="266" spans="2:5" ht="24">
      <c r="B266" s="38">
        <v>0.79429710065746029</v>
      </c>
      <c r="C266" s="9" t="s">
        <v>1112</v>
      </c>
      <c r="D266" s="9" t="s">
        <v>1136</v>
      </c>
      <c r="E266" s="9" t="s">
        <v>1912</v>
      </c>
    </row>
    <row r="267" spans="2:5" ht="300">
      <c r="B267" s="38">
        <v>0.79780562505178809</v>
      </c>
      <c r="C267" s="9" t="s">
        <v>0</v>
      </c>
      <c r="D267" s="9" t="s">
        <v>55</v>
      </c>
      <c r="E267" s="9" t="s">
        <v>1716</v>
      </c>
    </row>
    <row r="268" spans="2:5" ht="24">
      <c r="B268" s="38">
        <v>0.79900546194339184</v>
      </c>
      <c r="C268" s="9" t="s">
        <v>852</v>
      </c>
      <c r="D268" s="9" t="s">
        <v>898</v>
      </c>
      <c r="E268" s="9" t="s">
        <v>1863</v>
      </c>
    </row>
    <row r="269" spans="2:5" ht="24">
      <c r="B269" s="38">
        <v>0.80121444814652165</v>
      </c>
      <c r="C269" s="9" t="s">
        <v>144</v>
      </c>
      <c r="D269" s="9" t="s">
        <v>243</v>
      </c>
      <c r="E269" s="9" t="s">
        <v>1745</v>
      </c>
    </row>
    <row r="270" spans="2:5" ht="24">
      <c r="B270" s="38">
        <v>0.8044596868513616</v>
      </c>
      <c r="C270" s="9" t="s">
        <v>1243</v>
      </c>
      <c r="D270" s="9" t="s">
        <v>1528</v>
      </c>
      <c r="E270" s="9" t="s">
        <v>1990</v>
      </c>
    </row>
    <row r="271" spans="2:5" ht="24">
      <c r="B271" s="38">
        <v>0.80790789470097468</v>
      </c>
      <c r="C271" s="9" t="s">
        <v>981</v>
      </c>
      <c r="D271" s="9" t="s">
        <v>997</v>
      </c>
      <c r="E271" s="9" t="s">
        <v>1883</v>
      </c>
    </row>
    <row r="272" spans="2:5" ht="24">
      <c r="B272" s="38">
        <v>0.81130936561421341</v>
      </c>
      <c r="C272" s="9" t="s">
        <v>385</v>
      </c>
      <c r="D272" s="9" t="s">
        <v>772</v>
      </c>
      <c r="E272" s="9" t="s">
        <v>1838</v>
      </c>
    </row>
    <row r="273" spans="2:5">
      <c r="B273" s="38">
        <v>0.81307112498951106</v>
      </c>
      <c r="C273" s="9" t="s">
        <v>1112</v>
      </c>
      <c r="D273" s="9" t="s">
        <v>1122</v>
      </c>
      <c r="E273" s="9" t="s">
        <v>1909</v>
      </c>
    </row>
    <row r="274" spans="2:5">
      <c r="B274" s="38">
        <v>0.81371345494518099</v>
      </c>
      <c r="C274" s="9" t="s">
        <v>385</v>
      </c>
      <c r="D274" s="9" t="s">
        <v>551</v>
      </c>
      <c r="E274" s="9" t="s">
        <v>1798</v>
      </c>
    </row>
    <row r="275" spans="2:5" ht="36">
      <c r="B275" s="38">
        <v>0.81878331021409845</v>
      </c>
      <c r="C275" s="9" t="s">
        <v>1243</v>
      </c>
      <c r="D275" s="9" t="s">
        <v>1588</v>
      </c>
      <c r="E275" s="9" t="s">
        <v>2003</v>
      </c>
    </row>
    <row r="276" spans="2:5">
      <c r="B276" s="38">
        <v>0.81989929779139381</v>
      </c>
      <c r="C276" s="9" t="s">
        <v>981</v>
      </c>
      <c r="D276" s="9" t="s">
        <v>1008</v>
      </c>
      <c r="E276" s="9" t="s">
        <v>1886</v>
      </c>
    </row>
    <row r="277" spans="2:5" ht="36">
      <c r="B277" s="38">
        <v>0.82146717114073287</v>
      </c>
      <c r="C277" s="9" t="s">
        <v>1243</v>
      </c>
      <c r="D277" s="9" t="s">
        <v>1350</v>
      </c>
      <c r="E277" s="9" t="s">
        <v>1954</v>
      </c>
    </row>
    <row r="278" spans="2:5" ht="24">
      <c r="B278" s="38">
        <v>0.82265831663422018</v>
      </c>
      <c r="C278" s="9" t="s">
        <v>385</v>
      </c>
      <c r="D278" s="9" t="s">
        <v>462</v>
      </c>
      <c r="E278" s="9" t="s">
        <v>1782</v>
      </c>
    </row>
    <row r="279" spans="2:5">
      <c r="B279" s="38">
        <v>0.82743116307216968</v>
      </c>
      <c r="C279" s="9" t="s">
        <v>852</v>
      </c>
      <c r="D279" s="9" t="s">
        <v>874</v>
      </c>
      <c r="E279" s="9" t="s">
        <v>1856</v>
      </c>
    </row>
    <row r="280" spans="2:5" ht="24">
      <c r="B280" s="38">
        <v>0.83380570598821502</v>
      </c>
      <c r="C280" s="9" t="s">
        <v>981</v>
      </c>
      <c r="D280" s="9" t="s">
        <v>1022</v>
      </c>
      <c r="E280" s="9" t="s">
        <v>1889</v>
      </c>
    </row>
    <row r="281" spans="2:5" ht="36">
      <c r="B281" s="38">
        <v>0.8372234230471185</v>
      </c>
      <c r="C281" s="9" t="s">
        <v>385</v>
      </c>
      <c r="D281" s="9" t="s">
        <v>507</v>
      </c>
      <c r="E281" s="9" t="s">
        <v>1791</v>
      </c>
    </row>
    <row r="282" spans="2:5" ht="396">
      <c r="B282" s="38">
        <v>0.84214411083480845</v>
      </c>
      <c r="C282" s="9" t="s">
        <v>385</v>
      </c>
      <c r="D282" s="9" t="s">
        <v>53</v>
      </c>
      <c r="E282" s="9" t="s">
        <v>1801</v>
      </c>
    </row>
    <row r="283" spans="2:5" ht="24">
      <c r="B283" s="38">
        <v>0.84328648910650661</v>
      </c>
      <c r="C283" s="9" t="s">
        <v>144</v>
      </c>
      <c r="D283" s="9" t="s">
        <v>234</v>
      </c>
      <c r="E283" s="9" t="s">
        <v>1743</v>
      </c>
    </row>
    <row r="284" spans="2:5">
      <c r="B284" s="38">
        <v>0.84341427306581851</v>
      </c>
      <c r="C284" s="9" t="s">
        <v>981</v>
      </c>
      <c r="D284" s="9" t="s">
        <v>1086</v>
      </c>
      <c r="E284" s="9" t="s">
        <v>1902</v>
      </c>
    </row>
    <row r="285" spans="2:5" ht="24">
      <c r="B285" s="38">
        <v>0.84716062756418686</v>
      </c>
      <c r="C285" s="9" t="s">
        <v>144</v>
      </c>
      <c r="D285" s="9" t="s">
        <v>314</v>
      </c>
      <c r="E285" s="9" t="s">
        <v>1757</v>
      </c>
    </row>
    <row r="286" spans="2:5" ht="24">
      <c r="B286" s="38">
        <v>0.85812498032910833</v>
      </c>
      <c r="C286" s="9" t="s">
        <v>385</v>
      </c>
      <c r="D286" s="9" t="s">
        <v>555</v>
      </c>
      <c r="E286" s="9" t="s">
        <v>1799</v>
      </c>
    </row>
    <row r="287" spans="2:5" ht="24">
      <c r="B287" s="38">
        <v>0.86011296705992446</v>
      </c>
      <c r="C287" s="9" t="s">
        <v>1243</v>
      </c>
      <c r="D287" s="9" t="s">
        <v>1562</v>
      </c>
      <c r="E287" s="9" t="s">
        <v>1997</v>
      </c>
    </row>
    <row r="288" spans="2:5" ht="24">
      <c r="B288" s="38">
        <v>0.86077301507153592</v>
      </c>
      <c r="C288" s="9" t="s">
        <v>1243</v>
      </c>
      <c r="D288" s="9" t="s">
        <v>1272</v>
      </c>
      <c r="E288" s="9" t="s">
        <v>1939</v>
      </c>
    </row>
    <row r="289" spans="2:5" ht="24">
      <c r="B289" s="38">
        <v>0.86759767370225715</v>
      </c>
      <c r="C289" s="9" t="s">
        <v>59</v>
      </c>
      <c r="D289" s="9" t="s">
        <v>78</v>
      </c>
      <c r="E289" s="9" t="s">
        <v>1720</v>
      </c>
    </row>
    <row r="290" spans="2:5">
      <c r="B290" s="38">
        <v>0.86827327894975681</v>
      </c>
      <c r="C290" s="39" t="s">
        <v>1243</v>
      </c>
      <c r="D290" s="39" t="s">
        <v>1346</v>
      </c>
      <c r="E290" s="39" t="s">
        <v>1953</v>
      </c>
    </row>
    <row r="291" spans="2:5">
      <c r="B291" s="38">
        <v>0.86867775270428194</v>
      </c>
      <c r="C291" s="9" t="s">
        <v>1243</v>
      </c>
      <c r="D291" s="9" t="s">
        <v>1429</v>
      </c>
      <c r="E291" s="9" t="s">
        <v>1971</v>
      </c>
    </row>
    <row r="292" spans="2:5" ht="24">
      <c r="B292" s="38">
        <v>0.86907875239018828</v>
      </c>
      <c r="C292" s="9" t="s">
        <v>1243</v>
      </c>
      <c r="D292" s="9" t="s">
        <v>340</v>
      </c>
      <c r="E292" s="9" t="s">
        <v>1965</v>
      </c>
    </row>
    <row r="293" spans="2:5">
      <c r="B293" s="38">
        <v>0.87257712807821375</v>
      </c>
      <c r="C293" s="9" t="s">
        <v>0</v>
      </c>
      <c r="D293" s="9" t="s">
        <v>17</v>
      </c>
      <c r="E293" s="9" t="s">
        <v>1698</v>
      </c>
    </row>
    <row r="294" spans="2:5" ht="24">
      <c r="B294" s="38">
        <v>0.87323549179690274</v>
      </c>
      <c r="C294" s="9" t="s">
        <v>981</v>
      </c>
      <c r="D294" s="9" t="s">
        <v>987</v>
      </c>
      <c r="E294" s="9" t="s">
        <v>1881</v>
      </c>
    </row>
    <row r="295" spans="2:5" ht="24">
      <c r="B295" s="38">
        <v>0.87593254653094899</v>
      </c>
      <c r="C295" s="9" t="s">
        <v>1603</v>
      </c>
      <c r="D295" s="9" t="s">
        <v>1684</v>
      </c>
      <c r="E295" s="9" t="s">
        <v>2019</v>
      </c>
    </row>
    <row r="296" spans="2:5" ht="24">
      <c r="B296" s="38">
        <v>0.87702448121359788</v>
      </c>
      <c r="C296" s="9" t="s">
        <v>852</v>
      </c>
      <c r="D296" s="9" t="s">
        <v>881</v>
      </c>
      <c r="E296" s="9" t="s">
        <v>1858</v>
      </c>
    </row>
    <row r="297" spans="2:5" ht="24">
      <c r="B297" s="38">
        <v>0.87745082402487584</v>
      </c>
      <c r="C297" s="9" t="s">
        <v>1243</v>
      </c>
      <c r="D297" s="9" t="s">
        <v>1483</v>
      </c>
      <c r="E297" s="9" t="s">
        <v>1982</v>
      </c>
    </row>
    <row r="298" spans="2:5" ht="24">
      <c r="B298" s="38">
        <v>0.8788132888702862</v>
      </c>
      <c r="C298" s="9" t="s">
        <v>852</v>
      </c>
      <c r="D298" s="9" t="s">
        <v>956</v>
      </c>
      <c r="E298" s="9" t="s">
        <v>1876</v>
      </c>
    </row>
    <row r="299" spans="2:5" ht="36">
      <c r="B299" s="38">
        <v>0.88065872855019256</v>
      </c>
      <c r="C299" s="9" t="s">
        <v>59</v>
      </c>
      <c r="D299" s="9" t="s">
        <v>85</v>
      </c>
      <c r="E299" s="9" t="s">
        <v>1721</v>
      </c>
    </row>
    <row r="300" spans="2:5">
      <c r="B300" s="38">
        <v>0.88584202957764857</v>
      </c>
      <c r="C300" s="9" t="s">
        <v>1243</v>
      </c>
      <c r="D300" s="9" t="s">
        <v>1442</v>
      </c>
      <c r="E300" s="9" t="s">
        <v>1974</v>
      </c>
    </row>
    <row r="301" spans="2:5" ht="24">
      <c r="B301" s="38">
        <v>0.88677077930885362</v>
      </c>
      <c r="C301" s="9" t="s">
        <v>385</v>
      </c>
      <c r="D301" s="9" t="s">
        <v>646</v>
      </c>
      <c r="E301" s="9" t="s">
        <v>1814</v>
      </c>
    </row>
    <row r="302" spans="2:5" ht="24">
      <c r="B302" s="38">
        <v>0.88783271619373638</v>
      </c>
      <c r="C302" s="9" t="s">
        <v>981</v>
      </c>
      <c r="D302" s="9" t="s">
        <v>1081</v>
      </c>
      <c r="E302" s="9" t="s">
        <v>1901</v>
      </c>
    </row>
    <row r="303" spans="2:5" ht="24">
      <c r="B303" s="38">
        <v>0.89154700781842866</v>
      </c>
      <c r="C303" s="9" t="s">
        <v>981</v>
      </c>
      <c r="D303" s="9" t="s">
        <v>1016</v>
      </c>
      <c r="E303" s="9" t="s">
        <v>1888</v>
      </c>
    </row>
    <row r="304" spans="2:5" ht="36">
      <c r="B304" s="38">
        <v>0.90431198100120602</v>
      </c>
      <c r="C304" s="9" t="s">
        <v>852</v>
      </c>
      <c r="D304" s="9" t="s">
        <v>864</v>
      </c>
      <c r="E304" s="9" t="s">
        <v>1854</v>
      </c>
    </row>
    <row r="305" spans="2:5" ht="48">
      <c r="B305" s="38">
        <v>0.90481535014650072</v>
      </c>
      <c r="C305" s="9" t="s">
        <v>0</v>
      </c>
      <c r="D305" s="9" t="s">
        <v>19</v>
      </c>
      <c r="E305" s="9" t="s">
        <v>1699</v>
      </c>
    </row>
    <row r="306" spans="2:5">
      <c r="B306" s="38">
        <v>0.90622420693766981</v>
      </c>
      <c r="C306" s="9" t="s">
        <v>144</v>
      </c>
      <c r="D306" s="9" t="s">
        <v>226</v>
      </c>
      <c r="E306" s="9" t="s">
        <v>1741</v>
      </c>
    </row>
    <row r="307" spans="2:5" ht="24">
      <c r="B307" s="38">
        <v>0.91222834072406644</v>
      </c>
      <c r="C307" s="9" t="s">
        <v>385</v>
      </c>
      <c r="D307" s="9" t="s">
        <v>591</v>
      </c>
      <c r="E307" s="9" t="s">
        <v>1804</v>
      </c>
    </row>
    <row r="308" spans="2:5">
      <c r="B308" s="38">
        <v>0.91288633754663839</v>
      </c>
      <c r="C308" s="9" t="s">
        <v>385</v>
      </c>
      <c r="D308" s="9" t="s">
        <v>425</v>
      </c>
      <c r="E308" s="9" t="s">
        <v>1775</v>
      </c>
    </row>
    <row r="309" spans="2:5">
      <c r="B309" s="38">
        <v>0.91659108273546952</v>
      </c>
      <c r="C309" s="9" t="s">
        <v>385</v>
      </c>
      <c r="D309" s="9" t="s">
        <v>689</v>
      </c>
      <c r="E309" s="9" t="s">
        <v>1822</v>
      </c>
    </row>
    <row r="310" spans="2:5">
      <c r="B310" s="38">
        <v>0.91683927989625313</v>
      </c>
      <c r="C310" s="9" t="s">
        <v>385</v>
      </c>
      <c r="D310" s="9" t="s">
        <v>613</v>
      </c>
      <c r="E310" s="9" t="s">
        <v>1808</v>
      </c>
    </row>
    <row r="311" spans="2:5" ht="48">
      <c r="B311" s="38">
        <v>0.9174998207674292</v>
      </c>
      <c r="C311" s="9" t="s">
        <v>1243</v>
      </c>
      <c r="D311" s="9" t="s">
        <v>1488</v>
      </c>
      <c r="E311" s="9" t="s">
        <v>1983</v>
      </c>
    </row>
    <row r="312" spans="2:5" ht="24">
      <c r="B312" s="38">
        <v>0.91801935088890985</v>
      </c>
      <c r="C312" s="9" t="s">
        <v>385</v>
      </c>
      <c r="D312" s="9" t="s">
        <v>456</v>
      </c>
      <c r="E312" s="9" t="s">
        <v>1781</v>
      </c>
    </row>
    <row r="313" spans="2:5" ht="36">
      <c r="B313" s="38">
        <v>0.91969844264002643</v>
      </c>
      <c r="C313" s="9" t="s">
        <v>59</v>
      </c>
      <c r="D313" s="9" t="s">
        <v>120</v>
      </c>
      <c r="E313" s="9" t="s">
        <v>1726</v>
      </c>
    </row>
    <row r="314" spans="2:5" ht="24">
      <c r="B314" s="38">
        <v>0.92333919552560928</v>
      </c>
      <c r="C314" s="9" t="s">
        <v>385</v>
      </c>
      <c r="D314" s="9" t="s">
        <v>696</v>
      </c>
      <c r="E314" s="9" t="s">
        <v>1824</v>
      </c>
    </row>
    <row r="315" spans="2:5">
      <c r="B315" s="38">
        <v>0.92370551286126079</v>
      </c>
      <c r="C315" s="9" t="s">
        <v>1112</v>
      </c>
      <c r="D315" s="9" t="s">
        <v>1221</v>
      </c>
      <c r="E315" s="9" t="s">
        <v>1930</v>
      </c>
    </row>
    <row r="316" spans="2:5" ht="36">
      <c r="B316" s="38">
        <v>0.9345529641069158</v>
      </c>
      <c r="C316" s="9" t="s">
        <v>144</v>
      </c>
      <c r="D316" s="9" t="s">
        <v>207</v>
      </c>
      <c r="E316" s="9" t="s">
        <v>1739</v>
      </c>
    </row>
    <row r="317" spans="2:5">
      <c r="B317" s="38">
        <v>0.93988751512364221</v>
      </c>
      <c r="C317" s="9" t="s">
        <v>1243</v>
      </c>
      <c r="D317" s="9" t="s">
        <v>1448</v>
      </c>
      <c r="E317" s="9" t="s">
        <v>1976</v>
      </c>
    </row>
    <row r="318" spans="2:5" ht="24">
      <c r="B318" s="38">
        <v>0.94787182623144806</v>
      </c>
      <c r="C318" s="9" t="s">
        <v>852</v>
      </c>
      <c r="D318" s="9" t="s">
        <v>892</v>
      </c>
      <c r="E318" s="9" t="s">
        <v>1861</v>
      </c>
    </row>
    <row r="319" spans="2:5" ht="24">
      <c r="B319" s="38">
        <v>0.94968369187770718</v>
      </c>
      <c r="C319" s="9" t="s">
        <v>385</v>
      </c>
      <c r="D319" s="9" t="s">
        <v>753</v>
      </c>
      <c r="E319" s="9" t="s">
        <v>1834</v>
      </c>
    </row>
    <row r="320" spans="2:5" ht="24">
      <c r="B320" s="38">
        <v>0.9528371106486816</v>
      </c>
      <c r="C320" s="9" t="s">
        <v>1603</v>
      </c>
      <c r="D320" s="9" t="s">
        <v>1669</v>
      </c>
      <c r="E320" s="9" t="s">
        <v>2016</v>
      </c>
    </row>
    <row r="321" spans="2:5" ht="24">
      <c r="B321" s="38">
        <v>0.95564393476619458</v>
      </c>
      <c r="C321" s="9" t="s">
        <v>1603</v>
      </c>
      <c r="D321" s="9" t="s">
        <v>1650</v>
      </c>
      <c r="E321" s="9" t="s">
        <v>2013</v>
      </c>
    </row>
    <row r="322" spans="2:5" ht="36">
      <c r="B322" s="38">
        <v>0.96340162458079226</v>
      </c>
      <c r="C322" s="9" t="s">
        <v>1243</v>
      </c>
      <c r="D322" s="9" t="s">
        <v>1545</v>
      </c>
      <c r="E322" s="9" t="s">
        <v>1994</v>
      </c>
    </row>
    <row r="323" spans="2:5">
      <c r="B323" s="38">
        <v>0.97098831233897287</v>
      </c>
      <c r="C323" s="9" t="s">
        <v>1243</v>
      </c>
      <c r="D323" s="9" t="s">
        <v>1372</v>
      </c>
      <c r="E323" s="9" t="s">
        <v>1958</v>
      </c>
    </row>
    <row r="324" spans="2:5">
      <c r="B324" s="38">
        <v>0.97146649708321764</v>
      </c>
      <c r="C324" s="9" t="s">
        <v>1243</v>
      </c>
      <c r="D324" s="9" t="s">
        <v>1410</v>
      </c>
      <c r="E324" s="9" t="s">
        <v>1966</v>
      </c>
    </row>
    <row r="325" spans="2:5">
      <c r="B325" s="38">
        <v>0.97231530453541404</v>
      </c>
      <c r="C325" s="9" t="s">
        <v>385</v>
      </c>
      <c r="D325" s="9" t="s">
        <v>621</v>
      </c>
      <c r="E325" s="9" t="s">
        <v>1810</v>
      </c>
    </row>
    <row r="326" spans="2:5">
      <c r="B326" s="38">
        <v>0.97394195266015571</v>
      </c>
      <c r="C326" s="9" t="s">
        <v>852</v>
      </c>
      <c r="D326" s="9" t="s">
        <v>853</v>
      </c>
      <c r="E326" s="9" t="s">
        <v>1851</v>
      </c>
    </row>
    <row r="327" spans="2:5" ht="24">
      <c r="B327" s="38">
        <v>0.97638790049651503</v>
      </c>
      <c r="C327" s="9" t="s">
        <v>981</v>
      </c>
      <c r="D327" s="9" t="s">
        <v>624</v>
      </c>
      <c r="E327" s="9" t="s">
        <v>1905</v>
      </c>
    </row>
    <row r="328" spans="2:5" ht="24">
      <c r="B328" s="38">
        <v>0.97848851418106475</v>
      </c>
      <c r="C328" s="9" t="s">
        <v>981</v>
      </c>
      <c r="D328" s="9" t="s">
        <v>1036</v>
      </c>
      <c r="E328" s="9" t="s">
        <v>1892</v>
      </c>
    </row>
    <row r="329" spans="2:5" ht="36">
      <c r="B329" s="38">
        <v>0.98466855574008794</v>
      </c>
      <c r="C329" s="9" t="s">
        <v>144</v>
      </c>
      <c r="D329" s="9" t="s">
        <v>147</v>
      </c>
      <c r="E329" s="9" t="s">
        <v>1729</v>
      </c>
    </row>
    <row r="330" spans="2:5" ht="24">
      <c r="B330" s="38">
        <v>0.98667473714807663</v>
      </c>
      <c r="C330" s="9" t="s">
        <v>385</v>
      </c>
      <c r="D330" s="9" t="s">
        <v>742</v>
      </c>
      <c r="E330" s="9" t="s">
        <v>1832</v>
      </c>
    </row>
    <row r="331" spans="2:5" ht="24">
      <c r="B331" s="38">
        <v>0.98744682630371527</v>
      </c>
      <c r="C331" s="9" t="s">
        <v>385</v>
      </c>
      <c r="D331" s="9" t="s">
        <v>544</v>
      </c>
      <c r="E331" s="9" t="s">
        <v>1797</v>
      </c>
    </row>
    <row r="332" spans="2:5" ht="24">
      <c r="B332" s="38">
        <v>0.98767920859266467</v>
      </c>
      <c r="C332" s="9" t="s">
        <v>0</v>
      </c>
      <c r="D332" s="9" t="s">
        <v>35</v>
      </c>
      <c r="E332" s="9" t="s">
        <v>1707</v>
      </c>
    </row>
    <row r="333" spans="2:5">
      <c r="B333" s="38">
        <v>0.991546916345177</v>
      </c>
      <c r="C333" s="9" t="s">
        <v>144</v>
      </c>
      <c r="D333" s="9" t="s">
        <v>156</v>
      </c>
      <c r="E333" s="9" t="s">
        <v>1730</v>
      </c>
    </row>
    <row r="334" spans="2:5" ht="36">
      <c r="B334" s="38">
        <v>0.99397851156157002</v>
      </c>
      <c r="C334" s="9" t="s">
        <v>1112</v>
      </c>
      <c r="D334" s="9" t="s">
        <v>1186</v>
      </c>
      <c r="E334" s="9" t="s">
        <v>1922</v>
      </c>
    </row>
    <row r="335" spans="2:5">
      <c r="B335" s="38">
        <v>0.99633640382290711</v>
      </c>
      <c r="C335" s="9" t="s">
        <v>1243</v>
      </c>
      <c r="D335" s="9" t="s">
        <v>1422</v>
      </c>
      <c r="E335" s="9" t="s">
        <v>1969</v>
      </c>
    </row>
    <row r="336" spans="2:5" ht="24">
      <c r="B336" s="38">
        <v>0.999670735930698</v>
      </c>
      <c r="C336" s="9" t="s">
        <v>59</v>
      </c>
      <c r="D336" s="9" t="s">
        <v>60</v>
      </c>
      <c r="E336" s="9" t="s">
        <v>1717</v>
      </c>
    </row>
  </sheetData>
  <autoFilter ref="C1:E336" xr:uid="{2A81BD5F-98C3-4A91-B31A-9FA71CD9D138}"/>
  <sortState xmlns:xlrd2="http://schemas.microsoft.com/office/spreadsheetml/2017/richdata2" ref="B2:E336">
    <sortCondition ref="B2:B336"/>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2283F-5CA1-4B1E-9B3F-AEB17BD422E3}">
  <sheetPr filterMode="1"/>
  <dimension ref="B2:D688"/>
  <sheetViews>
    <sheetView zoomScale="118" workbookViewId="0">
      <selection activeCell="B331" sqref="B331"/>
    </sheetView>
  </sheetViews>
  <sheetFormatPr defaultRowHeight="10.5"/>
  <cols>
    <col min="1" max="1" width="8.7265625" style="12"/>
    <col min="2" max="2" width="36.90625" style="12" customWidth="1"/>
    <col min="3" max="3" width="49.54296875" style="12" hidden="1" customWidth="1"/>
    <col min="4" max="4" width="60.36328125" style="12" customWidth="1"/>
    <col min="5" max="5" width="18.453125" style="12" customWidth="1"/>
    <col min="6" max="16384" width="8.7265625" style="12"/>
  </cols>
  <sheetData>
    <row r="2" spans="2:4">
      <c r="B2" s="12" t="s">
        <v>2455</v>
      </c>
      <c r="C2" s="12" t="s">
        <v>2456</v>
      </c>
      <c r="D2" s="12" t="str">
        <f t="shared" ref="D2:D8" si="0">IF(C3="",CONCATENATE(C2," ",B3),C2)</f>
        <v xml:space="preserve"> A set of conditions that is required to be met before deliverables are accepted</v>
      </c>
    </row>
    <row r="3" spans="2:4" ht="21" hidden="1">
      <c r="B3" s="12" t="s">
        <v>2457</v>
      </c>
      <c r="C3" s="12" t="s">
        <v>2458</v>
      </c>
      <c r="D3" s="12" t="str">
        <f t="shared" si="0"/>
        <v xml:space="preserve"> Within the quality management system, accuracy is an assessment of correctness</v>
      </c>
    </row>
    <row r="4" spans="2:4" ht="21" hidden="1">
      <c r="B4" s="12" t="s">
        <v>2459</v>
      </c>
      <c r="C4" s="12" t="s">
        <v>2460</v>
      </c>
      <c r="D4" s="12" t="str">
        <f t="shared" si="0"/>
        <v xml:space="preserve"> A documented tabulation of schedule activities that shows the activity description,</v>
      </c>
    </row>
    <row r="5" spans="2:4" ht="21" hidden="1">
      <c r="C5" s="12" t="s">
        <v>2461</v>
      </c>
      <c r="D5" s="12" t="str">
        <f t="shared" si="0"/>
        <v>activity identifier, and a sufficiently detailed scope of work description so project team members understand what work is to be performed</v>
      </c>
    </row>
    <row r="6" spans="2:4" hidden="1">
      <c r="B6" s="12" t="s">
        <v>2462</v>
      </c>
      <c r="D6" s="12">
        <f t="shared" si="0"/>
        <v>0</v>
      </c>
    </row>
    <row r="7" spans="2:4" hidden="1">
      <c r="B7" s="12" t="s">
        <v>2463</v>
      </c>
      <c r="C7" s="12" t="s">
        <v>2464</v>
      </c>
      <c r="D7" s="12" t="str">
        <f t="shared" si="0"/>
        <v xml:space="preserve"> The realized cost incurred for the work performed on an activity during a specific time period</v>
      </c>
    </row>
    <row r="8" spans="2:4" hidden="1">
      <c r="B8" s="12" t="s">
        <v>2465</v>
      </c>
      <c r="D8" s="12">
        <f t="shared" si="0"/>
        <v>0</v>
      </c>
    </row>
    <row r="9" spans="2:4" ht="21" hidden="1">
      <c r="B9" s="12" t="s">
        <v>2466</v>
      </c>
      <c r="C9" s="12" t="s">
        <v>2467</v>
      </c>
      <c r="D9" s="12" t="str">
        <f t="shared" ref="D9:D72" si="1">IF(C10="",CONCATENATE(C9," ",B10),C9)</f>
        <v xml:space="preserve"> A development approach in which the requirements are subject to a high level of uncertainty and volatility and are likely to change throughout the project</v>
      </c>
    </row>
    <row r="10" spans="2:4" ht="21" hidden="1">
      <c r="B10" s="12" t="s">
        <v>2468</v>
      </c>
      <c r="D10" s="12">
        <f t="shared" si="1"/>
        <v>0</v>
      </c>
    </row>
    <row r="11" spans="2:4" hidden="1">
      <c r="B11" s="12" t="s">
        <v>2469</v>
      </c>
      <c r="C11" s="12" t="s">
        <v>2470</v>
      </c>
      <c r="D11" s="12" t="str">
        <f>IF(C12="",CONCATENATE(C11," ",B12),C11)</f>
        <v xml:space="preserve"> A diagram that shows large numbers of ideas classified into groups for review and analysis</v>
      </c>
    </row>
    <row r="12" spans="2:4" hidden="1">
      <c r="B12" s="12" t="s">
        <v>2471</v>
      </c>
      <c r="D12" s="12">
        <f>IF(C13="",CONCATENATE(C12," ",B13),C12)</f>
        <v>0</v>
      </c>
    </row>
    <row r="13" spans="2:4" hidden="1">
      <c r="B13" s="12" t="s">
        <v>2472</v>
      </c>
      <c r="C13" s="12" t="s">
        <v>2473</v>
      </c>
      <c r="D13" s="12" t="str">
        <f>IF(C14="",CONCATENATE(C13," ",B14),C13)</f>
        <v xml:space="preserve"> The process of classifying items into similar categories or collections on the basis of their likeness</v>
      </c>
    </row>
    <row r="14" spans="2:4" hidden="1">
      <c r="B14" s="12" t="s">
        <v>2474</v>
      </c>
      <c r="D14" s="12">
        <f>IF(C15="",CONCATENATE(C14," ",B15),C14)</f>
        <v>0</v>
      </c>
    </row>
    <row r="15" spans="2:4" ht="21" hidden="1">
      <c r="B15" s="12" t="s">
        <v>2475</v>
      </c>
      <c r="C15" s="12" t="s">
        <v>2476</v>
      </c>
      <c r="D15" s="12" t="str">
        <f t="shared" si="1"/>
        <v xml:space="preserve"> A term used to describe a mindset of values and principles as set forth in the Agile Manifesto</v>
      </c>
    </row>
    <row r="16" spans="2:4" ht="21" hidden="1">
      <c r="B16" s="12" t="s">
        <v>2477</v>
      </c>
      <c r="C16" s="12" t="s">
        <v>2478</v>
      </c>
      <c r="D16" s="12" t="str">
        <f t="shared" ref="D16:D21" si="2">IF(C17="",CONCATENATE(C16," ",B17),C16)</f>
        <v xml:space="preserve"> A method used to evaluate identified options in order to select the options or approaches to use to perform the work of the project</v>
      </c>
    </row>
    <row r="17" spans="2:4" hidden="1">
      <c r="B17" s="12" t="s">
        <v>2479</v>
      </c>
      <c r="D17" s="12">
        <f t="shared" si="2"/>
        <v>0</v>
      </c>
    </row>
    <row r="18" spans="2:4" ht="21" hidden="1">
      <c r="B18" s="12" t="s">
        <v>2480</v>
      </c>
      <c r="C18" s="12" t="s">
        <v>2481</v>
      </c>
      <c r="D18" s="12" t="str">
        <f t="shared" si="2"/>
        <v xml:space="preserve"> A state of being unclear, having difficulty in identifying the cause of events, or having multiple options from which to choose</v>
      </c>
    </row>
    <row r="19" spans="2:4" hidden="1">
      <c r="B19" s="12" t="s">
        <v>2482</v>
      </c>
      <c r="D19" s="12">
        <f t="shared" si="2"/>
        <v>0</v>
      </c>
    </row>
    <row r="20" spans="2:4" ht="21" hidden="1">
      <c r="B20" s="12" t="s">
        <v>2483</v>
      </c>
      <c r="C20" s="12" t="s">
        <v>2484</v>
      </c>
      <c r="D20" s="12" t="str">
        <f t="shared" si="2"/>
        <v xml:space="preserve"> A method for estimating the duration or cost of an activity or a project using historical data from a similar activity or project</v>
      </c>
    </row>
    <row r="21" spans="2:4" hidden="1">
      <c r="B21" s="12" t="s">
        <v>2485</v>
      </c>
      <c r="D21" s="12">
        <f t="shared" si="2"/>
        <v>0</v>
      </c>
    </row>
    <row r="22" spans="2:4" hidden="1">
      <c r="B22" s="32" t="s">
        <v>2486</v>
      </c>
      <c r="C22" s="12" t="s">
        <v>2487</v>
      </c>
      <c r="D22" s="32" t="str">
        <f t="shared" si="1"/>
        <v xml:space="preserve"> A template, document, output, or project deliverable</v>
      </c>
    </row>
    <row r="23" spans="2:4" ht="21" hidden="1">
      <c r="B23" s="12" t="s">
        <v>2488</v>
      </c>
      <c r="C23" s="12" t="s">
        <v>2489</v>
      </c>
      <c r="D23" s="12" t="str">
        <f t="shared" ref="D23:D28" si="3">IF(C24="",CONCATENATE(C23," ",B24),C23)</f>
        <v xml:space="preserve"> A factor in the planning process that is considered to be true, real, or certain, without proof or demonstration</v>
      </c>
    </row>
    <row r="24" spans="2:4" hidden="1">
      <c r="B24" s="12" t="s">
        <v>2490</v>
      </c>
      <c r="D24" s="12">
        <f t="shared" si="3"/>
        <v>0</v>
      </c>
    </row>
    <row r="25" spans="2:4" ht="21" hidden="1">
      <c r="B25" s="12" t="s">
        <v>2491</v>
      </c>
      <c r="C25" s="12" t="s">
        <v>2492</v>
      </c>
      <c r="D25" s="12" t="str">
        <f t="shared" si="3"/>
        <v xml:space="preserve"> An assessment that ensures assumptions and constraints are integrated into the project plans and documents, and that there is consistency among them</v>
      </c>
    </row>
    <row r="26" spans="2:4" ht="21" hidden="1">
      <c r="B26" s="12" t="s">
        <v>2493</v>
      </c>
      <c r="D26" s="12">
        <f t="shared" si="3"/>
        <v>0</v>
      </c>
    </row>
    <row r="27" spans="2:4" hidden="1">
      <c r="B27" s="12" t="s">
        <v>2494</v>
      </c>
      <c r="C27" s="12" t="s">
        <v>2495</v>
      </c>
      <c r="D27" s="12" t="str">
        <f t="shared" si="3"/>
        <v xml:space="preserve"> A project document used to record all assumptions and constraints throughout the project</v>
      </c>
    </row>
    <row r="28" spans="2:4" hidden="1">
      <c r="B28" s="12" t="s">
        <v>2496</v>
      </c>
      <c r="D28" s="12">
        <f t="shared" si="3"/>
        <v>0</v>
      </c>
    </row>
    <row r="29" spans="2:4" ht="21" hidden="1">
      <c r="B29" s="12" t="s">
        <v>2497</v>
      </c>
      <c r="C29" s="12" t="s">
        <v>2498</v>
      </c>
      <c r="D29" s="12" t="str">
        <f t="shared" si="1"/>
        <v xml:space="preserve"> The right to apply project resources, expend funds, make decisions, or give approvals</v>
      </c>
    </row>
    <row r="30" spans="2:4" hidden="1">
      <c r="B30" s="12" t="s">
        <v>2499</v>
      </c>
      <c r="C30" s="12" t="s">
        <v>2500</v>
      </c>
      <c r="D30" s="12" t="str">
        <f t="shared" si="1"/>
        <v xml:space="preserve"> An ordered list of work to be done</v>
      </c>
    </row>
    <row r="31" spans="2:4" ht="21" hidden="1">
      <c r="B31" s="12" t="s">
        <v>2501</v>
      </c>
      <c r="C31" s="12" t="s">
        <v>2502</v>
      </c>
      <c r="D31" s="12" t="str">
        <f>IF(C32="",CONCATENATE(C31," ",B32),C31)</f>
        <v xml:space="preserve"> Progressive elaboration of the content in the backlog and (re)prioritization of it to identify the work that can be accomplished in an upcoming iteration</v>
      </c>
    </row>
    <row r="32" spans="2:4" ht="21" hidden="1">
      <c r="B32" s="12" t="s">
        <v>2503</v>
      </c>
      <c r="D32" s="12">
        <f>IF(C33="",CONCATENATE(C32," ",B33),C32)</f>
        <v>0</v>
      </c>
    </row>
    <row r="33" spans="2:4" ht="21" hidden="1">
      <c r="B33" s="12" t="s">
        <v>2504</v>
      </c>
      <c r="C33" s="12" t="s">
        <v>2505</v>
      </c>
      <c r="D33" s="12" t="str">
        <f t="shared" si="1"/>
        <v xml:space="preserve"> The approved version of a work product, used as a basis for comparison to actual results</v>
      </c>
    </row>
    <row r="34" spans="2:4" ht="21" hidden="1">
      <c r="B34" s="12" t="s">
        <v>2506</v>
      </c>
      <c r="C34" s="12" t="s">
        <v>2507</v>
      </c>
      <c r="D34" s="12" t="str">
        <f>IF(C35="",CONCATENATE(C34," ",B35),C34)</f>
        <v xml:space="preserve"> Supporting documentation outlining the details used in establishing project estimates such as assumptions, constraints, level of detail, ranges, and confidence levels</v>
      </c>
    </row>
    <row r="35" spans="2:4" ht="21" hidden="1">
      <c r="B35" s="12" t="s">
        <v>2508</v>
      </c>
      <c r="D35" s="12">
        <f>IF(C36="",CONCATENATE(C35," ",B36),C35)</f>
        <v>0</v>
      </c>
    </row>
    <row r="36" spans="2:4" ht="21" hidden="1">
      <c r="B36" s="12" t="s">
        <v>861</v>
      </c>
      <c r="C36" s="12" t="s">
        <v>2509</v>
      </c>
      <c r="D36" s="12" t="str">
        <f>IF(C37="",CONCATENATE(C36," ",B37),C36)</f>
        <v xml:space="preserve"> The comparison of actual or planned products, processes, and practices to those of comparable organizations to identify best practices, generate ideas for improvement, and provide</v>
      </c>
    </row>
    <row r="37" spans="2:4" ht="21" hidden="1">
      <c r="B37" s="12" t="s">
        <v>2510</v>
      </c>
      <c r="D37" s="12" t="str">
        <f>IF(C38="",CONCATENATE(C37," ",B38),C37)</f>
        <v xml:space="preserve"> a basis for measuring performance</v>
      </c>
    </row>
    <row r="38" spans="2:4" hidden="1">
      <c r="B38" s="12" t="s">
        <v>2511</v>
      </c>
      <c r="D38" s="12">
        <f>IF(C39="",CONCATENATE(C38," ",B39),C38)</f>
        <v>0</v>
      </c>
    </row>
    <row r="39" spans="2:4" ht="21" hidden="1">
      <c r="B39" s="12" t="s">
        <v>2512</v>
      </c>
      <c r="C39" s="12" t="s">
        <v>2513</v>
      </c>
      <c r="D39" s="12" t="str">
        <f t="shared" si="1"/>
        <v xml:space="preserve"> The documented explanation defining the processes for creating, maximizing, and sustaining the benefits provided by a project or program</v>
      </c>
    </row>
    <row r="40" spans="2:4" ht="21" hidden="1">
      <c r="B40" s="12" t="s">
        <v>2514</v>
      </c>
      <c r="D40" s="12">
        <f t="shared" si="1"/>
        <v>0</v>
      </c>
    </row>
    <row r="41" spans="2:4" hidden="1">
      <c r="B41" s="12" t="s">
        <v>2515</v>
      </c>
      <c r="C41" s="12" t="s">
        <v>2516</v>
      </c>
      <c r="D41" s="12" t="str">
        <f t="shared" si="1"/>
        <v xml:space="preserve"> All documents used to solicit information, quotations, or proposals from prospective sellers</v>
      </c>
    </row>
    <row r="42" spans="2:4" hidden="1">
      <c r="B42" s="12" t="s">
        <v>2517</v>
      </c>
      <c r="D42" s="12">
        <f t="shared" si="1"/>
        <v>0</v>
      </c>
    </row>
    <row r="43" spans="2:4" ht="21" hidden="1">
      <c r="B43" s="12" t="s">
        <v>2518</v>
      </c>
      <c r="C43" s="12" t="s">
        <v>2519</v>
      </c>
      <c r="D43" s="12" t="str">
        <f t="shared" si="1"/>
        <v xml:space="preserve"> The meetings with prospective sellers prior to the preparation of a bid or proposal to ensure all prospective vendors have a clear and common understanding of the</v>
      </c>
    </row>
    <row r="44" spans="2:4" ht="21" hidden="1">
      <c r="B44" s="12" t="s">
        <v>2520</v>
      </c>
      <c r="D44" s="12">
        <f t="shared" si="1"/>
        <v>0</v>
      </c>
    </row>
    <row r="45" spans="2:4" ht="21" hidden="1">
      <c r="B45" s="12" t="s">
        <v>2521</v>
      </c>
      <c r="C45" s="12" t="s">
        <v>2522</v>
      </c>
      <c r="D45" s="12" t="str">
        <f t="shared" si="1"/>
        <v xml:space="preserve"> Also known as contractor conferences, vendor conferences, or pre-bid conferences</v>
      </c>
    </row>
    <row r="46" spans="2:4" hidden="1">
      <c r="B46" s="12" t="s">
        <v>2523</v>
      </c>
      <c r="C46" s="12" t="s">
        <v>2524</v>
      </c>
      <c r="D46" s="12" t="str">
        <f t="shared" si="1"/>
        <v xml:space="preserve"> See impediment</v>
      </c>
    </row>
    <row r="47" spans="2:4" ht="21" hidden="1">
      <c r="B47" s="12" t="s">
        <v>2525</v>
      </c>
      <c r="C47" s="12" t="s">
        <v>2526</v>
      </c>
      <c r="D47" s="12" t="str">
        <f t="shared" si="1"/>
        <v xml:space="preserve"> The approved estimate for the project or any work breakdown structure (WBS) component or any schedule activity</v>
      </c>
    </row>
    <row r="48" spans="2:4" hidden="1">
      <c r="B48" s="12" t="s">
        <v>2527</v>
      </c>
      <c r="D48" s="12">
        <f t="shared" si="1"/>
        <v>0</v>
      </c>
    </row>
    <row r="49" spans="2:4" hidden="1">
      <c r="B49" s="12" t="s">
        <v>2528</v>
      </c>
      <c r="C49" s="12" t="s">
        <v>2529</v>
      </c>
      <c r="D49" s="12" t="str">
        <f t="shared" si="1"/>
        <v xml:space="preserve"> The sum of all budgets established for the work to be performed</v>
      </c>
    </row>
    <row r="50" spans="2:4" ht="21" hidden="1">
      <c r="B50" s="32" t="s">
        <v>2530</v>
      </c>
      <c r="C50" s="12" t="s">
        <v>2531</v>
      </c>
      <c r="D50" s="32" t="str">
        <f t="shared" si="1"/>
        <v xml:space="preserve"> A graphical representation of the work remaining in a timebox or the work completed toward the release of a product or project deliverable</v>
      </c>
    </row>
    <row r="51" spans="2:4" hidden="1">
      <c r="B51" s="12" t="s">
        <v>2532</v>
      </c>
      <c r="D51" s="12">
        <f t="shared" si="1"/>
        <v>0</v>
      </c>
    </row>
    <row r="52" spans="2:4" hidden="1">
      <c r="B52" s="12" t="s">
        <v>2533</v>
      </c>
      <c r="C52" s="12" t="s">
        <v>2534</v>
      </c>
      <c r="D52" s="12" t="str">
        <f t="shared" si="1"/>
        <v xml:space="preserve"> A value proposition for a proposed project that may include financial and nonfinancial benefits</v>
      </c>
    </row>
    <row r="53" spans="2:4" hidden="1">
      <c r="B53" s="12" t="s">
        <v>2535</v>
      </c>
      <c r="D53" s="12">
        <f t="shared" si="1"/>
        <v>0</v>
      </c>
    </row>
    <row r="54" spans="2:4" hidden="1">
      <c r="B54" s="12" t="s">
        <v>2536</v>
      </c>
      <c r="C54" s="12" t="s">
        <v>2537</v>
      </c>
      <c r="D54" s="12" t="str">
        <f t="shared" si="1"/>
        <v xml:space="preserve"> A one-page, visual summary that describes the value proposition,</v>
      </c>
    </row>
    <row r="55" spans="2:4" hidden="1">
      <c r="B55" s="12" t="s">
        <v>2538</v>
      </c>
      <c r="C55" s="12" t="s">
        <v>2539</v>
      </c>
      <c r="D55" s="12" t="str">
        <f t="shared" si="1"/>
        <v xml:space="preserve"> These are often used in Lean Startup situations</v>
      </c>
    </row>
    <row r="56" spans="2:4" ht="21" hidden="1">
      <c r="B56" s="12" t="s">
        <v>2540</v>
      </c>
      <c r="C56" s="12" t="s">
        <v>2541</v>
      </c>
      <c r="D56" s="12" t="str">
        <f t="shared" si="1"/>
        <v xml:space="preserve"> The net quantifiable benefit derived from a business endeavor that may be tangible, intangible, or both</v>
      </c>
    </row>
    <row r="57" spans="2:4" hidden="1">
      <c r="B57" s="12" t="s">
        <v>2542</v>
      </c>
      <c r="D57" s="12">
        <f t="shared" si="1"/>
        <v>0</v>
      </c>
    </row>
    <row r="58" spans="2:4" hidden="1">
      <c r="B58" s="12" t="s">
        <v>2543</v>
      </c>
      <c r="C58" s="12" t="s">
        <v>2544</v>
      </c>
      <c r="D58" s="12" t="str">
        <f t="shared" si="1"/>
        <v xml:space="preserve"> A rhythm of activities conducted throughout the project</v>
      </c>
    </row>
    <row r="59" spans="2:4" hidden="1">
      <c r="B59" s="12" t="s">
        <v>2545</v>
      </c>
      <c r="C59" s="12" t="s">
        <v>2546</v>
      </c>
      <c r="D59" s="12" t="str">
        <f t="shared" si="1"/>
        <v xml:space="preserve"> A visual representation that helps trace an undesirable effect back to its root cause</v>
      </c>
    </row>
    <row r="60" spans="2:4" hidden="1">
      <c r="B60" s="12" t="s">
        <v>2547</v>
      </c>
      <c r="D60" s="12">
        <f t="shared" si="1"/>
        <v>0</v>
      </c>
    </row>
    <row r="61" spans="2:4" ht="21" hidden="1">
      <c r="B61" s="12" t="s">
        <v>2548</v>
      </c>
      <c r="C61" s="12" t="s">
        <v>2549</v>
      </c>
      <c r="D61" s="12" t="str">
        <f t="shared" si="1"/>
        <v xml:space="preserve"> A modification to any formally controlled deliverable, project management plan component, or project document</v>
      </c>
    </row>
    <row r="62" spans="2:4" hidden="1">
      <c r="B62" s="12" t="s">
        <v>2550</v>
      </c>
      <c r="D62" s="12">
        <f t="shared" si="1"/>
        <v>0</v>
      </c>
    </row>
    <row r="63" spans="2:4" ht="21" hidden="1">
      <c r="B63" s="12" t="s">
        <v>2551</v>
      </c>
      <c r="C63" s="12" t="s">
        <v>2552</v>
      </c>
      <c r="D63" s="12" t="str">
        <f t="shared" si="1"/>
        <v xml:space="preserve"> A process whereby modifications to documents, deliverables, or baselines associated with the project are identified, documented, approved, or rejected</v>
      </c>
    </row>
    <row r="64" spans="2:4" ht="21" hidden="1">
      <c r="B64" s="12" t="s">
        <v>2553</v>
      </c>
      <c r="D64" s="12">
        <f t="shared" si="1"/>
        <v>0</v>
      </c>
    </row>
    <row r="65" spans="2:4" ht="21" hidden="1">
      <c r="B65" s="12" t="s">
        <v>2554</v>
      </c>
      <c r="C65" s="12" t="s">
        <v>2555</v>
      </c>
      <c r="D65" s="12" t="str">
        <f t="shared" si="1"/>
        <v xml:space="preserve"> A formally chartered group responsible for reviewing, evaluating, approving, delaying, or rejecting changes to the project, and for recording and communicating</v>
      </c>
    </row>
    <row r="66" spans="2:4" ht="21" hidden="1">
      <c r="B66" s="12" t="s">
        <v>2556</v>
      </c>
      <c r="D66" s="12" t="str">
        <f t="shared" si="1"/>
        <v xml:space="preserve"> such decisions</v>
      </c>
    </row>
    <row r="67" spans="2:4" hidden="1">
      <c r="B67" s="12" t="s">
        <v>2557</v>
      </c>
      <c r="D67" s="12">
        <f t="shared" si="1"/>
        <v>0</v>
      </c>
    </row>
    <row r="68" spans="2:4" ht="21" hidden="1">
      <c r="B68" s="12" t="s">
        <v>2558</v>
      </c>
      <c r="C68" s="12" t="s">
        <v>2559</v>
      </c>
      <c r="D68" s="12" t="str">
        <f t="shared" si="1"/>
        <v xml:space="preserve"> A component of the project management plan that establishes the change control board, documents the extent of its authority, and describes how the change control system</v>
      </c>
    </row>
    <row r="69" spans="2:4" ht="21" hidden="1">
      <c r="B69" s="12" t="s">
        <v>2560</v>
      </c>
      <c r="D69" s="12" t="str">
        <f t="shared" si="1"/>
        <v xml:space="preserve"> will be implemented</v>
      </c>
    </row>
    <row r="70" spans="2:4" hidden="1">
      <c r="B70" s="12" t="s">
        <v>2561</v>
      </c>
      <c r="D70" s="12">
        <f t="shared" si="1"/>
        <v>0</v>
      </c>
    </row>
    <row r="71" spans="2:4" ht="21" hidden="1">
      <c r="B71" s="12" t="s">
        <v>2562</v>
      </c>
      <c r="C71" s="12" t="s">
        <v>2563</v>
      </c>
      <c r="D71" s="12" t="str">
        <f t="shared" si="1"/>
        <v xml:space="preserve"> A set of procedures that describes how modifications to the project deliverables and documentation are managed and controlled</v>
      </c>
    </row>
    <row r="72" spans="2:4" hidden="1">
      <c r="B72" s="12" t="s">
        <v>2564</v>
      </c>
      <c r="D72" s="12">
        <f t="shared" si="1"/>
        <v>0</v>
      </c>
    </row>
    <row r="73" spans="2:4" ht="21" hidden="1">
      <c r="B73" s="12" t="s">
        <v>2565</v>
      </c>
      <c r="C73" s="12" t="s">
        <v>2566</v>
      </c>
      <c r="D73" s="12" t="str">
        <f t="shared" ref="D73:D136" si="4">IF(C74="",CONCATENATE(C73," ",B74),C73)</f>
        <v xml:space="preserve"> A comprehensive list of changes submitted during the project and their current status</v>
      </c>
    </row>
    <row r="74" spans="2:4" ht="21" hidden="1">
      <c r="B74" s="12" t="s">
        <v>2567</v>
      </c>
      <c r="C74" s="12" t="s">
        <v>2568</v>
      </c>
      <c r="D74" s="12" t="str">
        <f t="shared" si="4"/>
        <v xml:space="preserve"> A comprehensive, cyclic, and structured approach for transitioning individuals, groups, and organizations from a current state to a future state with intended business benefits</v>
      </c>
    </row>
    <row r="75" spans="2:4" ht="21" hidden="1">
      <c r="B75" s="12" t="s">
        <v>2569</v>
      </c>
      <c r="D75" s="12">
        <f t="shared" si="4"/>
        <v>0</v>
      </c>
    </row>
    <row r="76" spans="2:4" hidden="1">
      <c r="B76" s="12" t="s">
        <v>2570</v>
      </c>
      <c r="C76" s="12" t="s">
        <v>2571</v>
      </c>
      <c r="D76" s="12" t="str">
        <f t="shared" si="4"/>
        <v xml:space="preserve"> A formal proposal to modify a document, deliverable, or baseline</v>
      </c>
    </row>
    <row r="77" spans="2:4" hidden="1">
      <c r="B77" s="12" t="s">
        <v>2572</v>
      </c>
      <c r="C77" s="12" t="s">
        <v>2573</v>
      </c>
      <c r="D77" s="12" t="str">
        <f t="shared" si="4"/>
        <v xml:space="preserve"> See project charter</v>
      </c>
    </row>
    <row r="78" spans="2:4" hidden="1">
      <c r="B78" s="12" t="s">
        <v>2574</v>
      </c>
      <c r="C78" s="12" t="s">
        <v>2575</v>
      </c>
      <c r="D78" s="12" t="str">
        <f t="shared" si="4"/>
        <v xml:space="preserve"> A tally sheet that can be used as a checklist when gathering data</v>
      </c>
    </row>
    <row r="79" spans="2:4" hidden="1">
      <c r="B79" s="12" t="s">
        <v>2576</v>
      </c>
      <c r="C79" s="12" t="s">
        <v>2577</v>
      </c>
      <c r="D79" s="12" t="str">
        <f t="shared" si="4"/>
        <v xml:space="preserve"> The process(es) performed to formally complete or close a project, phase, or contract</v>
      </c>
    </row>
    <row r="80" spans="2:4" hidden="1">
      <c r="B80" s="12" t="s">
        <v>2578</v>
      </c>
      <c r="D80" s="12">
        <f t="shared" si="4"/>
        <v>0</v>
      </c>
    </row>
    <row r="81" spans="2:4" ht="21" hidden="1">
      <c r="B81" s="12" t="s">
        <v>2579</v>
      </c>
      <c r="C81" s="12" t="s">
        <v>2580</v>
      </c>
      <c r="D81" s="12" t="str">
        <f t="shared" si="4"/>
        <v xml:space="preserve"> A component of the project, program, or portfolio management plan that describes how, when, and by whom information about the project will be</v>
      </c>
    </row>
    <row r="82" spans="2:4" ht="21" hidden="1">
      <c r="B82" s="12" t="s">
        <v>2581</v>
      </c>
      <c r="D82" s="12" t="str">
        <f t="shared" si="4"/>
        <v xml:space="preserve"> administered and disseminated</v>
      </c>
    </row>
    <row r="83" spans="2:4" hidden="1">
      <c r="B83" s="12" t="s">
        <v>2582</v>
      </c>
      <c r="D83" s="12">
        <f t="shared" si="4"/>
        <v>0</v>
      </c>
    </row>
    <row r="84" spans="2:4" ht="21" hidden="1">
      <c r="B84" s="12" t="s">
        <v>2583</v>
      </c>
      <c r="C84" s="12" t="s">
        <v>2584</v>
      </c>
      <c r="D84" s="12" t="str">
        <f t="shared" si="4"/>
        <v xml:space="preserve"> A characteristic of a program or project or its environment that is difficult to manage due to human behavior, system behavior, and ambiguity</v>
      </c>
    </row>
    <row r="85" spans="2:4" hidden="1">
      <c r="B85" s="12" t="s">
        <v>2585</v>
      </c>
      <c r="D85" s="12">
        <f t="shared" si="4"/>
        <v>0</v>
      </c>
    </row>
    <row r="86" spans="2:4" hidden="1">
      <c r="B86" s="12" t="s">
        <v>2586</v>
      </c>
      <c r="C86" s="12" t="s">
        <v>2587</v>
      </c>
      <c r="D86" s="12" t="str">
        <f t="shared" si="4"/>
        <v xml:space="preserve"> A type of cognitive bias that confirms preexisting beliefs or hypotheses</v>
      </c>
    </row>
    <row r="87" spans="2:4" hidden="1">
      <c r="B87" s="12" t="s">
        <v>2588</v>
      </c>
      <c r="C87" s="12" t="s">
        <v>2589</v>
      </c>
      <c r="D87" s="12" t="str">
        <f t="shared" si="4"/>
        <v xml:space="preserve"> The degree to which the results meet the set quality requirements</v>
      </c>
    </row>
    <row r="88" spans="2:4" ht="21" hidden="1">
      <c r="B88" s="12" t="s">
        <v>2590</v>
      </c>
      <c r="C88" s="12" t="s">
        <v>2591</v>
      </c>
      <c r="D88" s="12" t="str">
        <f t="shared" si="4"/>
        <v xml:space="preserve"> A limiting factor that affects the execution of a project, program, portfolio, or process</v>
      </c>
    </row>
    <row r="89" spans="2:4" ht="21" hidden="1">
      <c r="B89" s="12" t="s">
        <v>2592</v>
      </c>
      <c r="C89" s="12" t="s">
        <v>2593</v>
      </c>
      <c r="D89" s="12" t="str">
        <f t="shared" si="4"/>
        <v xml:space="preserve"> An event or occurrence that could affect the execution of the project, which may be accounted for with a reserve</v>
      </c>
    </row>
    <row r="90" spans="2:4" hidden="1">
      <c r="B90" s="12" t="s">
        <v>2594</v>
      </c>
      <c r="D90" s="12">
        <f t="shared" si="4"/>
        <v>0</v>
      </c>
    </row>
    <row r="91" spans="2:4" ht="21" hidden="1">
      <c r="B91" s="12" t="s">
        <v>2595</v>
      </c>
      <c r="C91" s="12" t="s">
        <v>2596</v>
      </c>
      <c r="D91" s="12" t="str">
        <f t="shared" si="4"/>
        <v xml:space="preserve"> Time or money allocated in the schedule or cost baseline for known risks with active response strategies</v>
      </c>
    </row>
    <row r="92" spans="2:4" hidden="1">
      <c r="B92" s="12" t="s">
        <v>2597</v>
      </c>
      <c r="D92" s="12">
        <f t="shared" si="4"/>
        <v>0</v>
      </c>
    </row>
    <row r="93" spans="2:4" ht="21" hidden="1">
      <c r="B93" s="12" t="s">
        <v>2598</v>
      </c>
      <c r="C93" s="12" t="s">
        <v>2599</v>
      </c>
      <c r="D93" s="12" t="str">
        <f t="shared" si="4"/>
        <v xml:space="preserve"> The practice of delivering feature increments immediately to customers, often through the use of small batches of work and automation technology</v>
      </c>
    </row>
    <row r="94" spans="2:4" ht="21" hidden="1">
      <c r="B94" s="12" t="s">
        <v>2600</v>
      </c>
      <c r="D94" s="12">
        <f t="shared" si="4"/>
        <v>0</v>
      </c>
    </row>
    <row r="95" spans="2:4" ht="21" hidden="1">
      <c r="B95" s="12" t="s">
        <v>2601</v>
      </c>
      <c r="C95" s="12" t="s">
        <v>2602</v>
      </c>
      <c r="D95" s="12" t="str">
        <f t="shared" si="4"/>
        <v xml:space="preserve"> A mutually binding agreement that obligates the seller to provide the specified product, service, or result and obligates the buyer to pay for it</v>
      </c>
    </row>
    <row r="96" spans="2:4" hidden="1">
      <c r="B96" s="12" t="s">
        <v>2603</v>
      </c>
      <c r="D96" s="12">
        <f t="shared" si="4"/>
        <v>0</v>
      </c>
    </row>
    <row r="97" spans="2:4" ht="21" hidden="1">
      <c r="B97" s="12" t="s">
        <v>2604</v>
      </c>
      <c r="C97" s="12" t="s">
        <v>2605</v>
      </c>
      <c r="D97" s="12" t="str">
        <f t="shared" si="4"/>
        <v xml:space="preserve"> The process of comparing actual performance with planned performance, analyzing variances, assessing trends to effect process improvements, evaluating possible alternatives, and</v>
      </c>
    </row>
    <row r="98" spans="2:4" ht="21" hidden="1">
      <c r="B98" s="12" t="s">
        <v>2606</v>
      </c>
      <c r="D98" s="12" t="str">
        <f t="shared" si="4"/>
        <v xml:space="preserve"> recommending appropriate corrective action as needed</v>
      </c>
    </row>
    <row r="99" spans="2:4" hidden="1">
      <c r="B99" s="12" t="s">
        <v>2607</v>
      </c>
      <c r="D99" s="12">
        <f t="shared" si="4"/>
        <v>0</v>
      </c>
    </row>
    <row r="100" spans="2:4" ht="21" hidden="1">
      <c r="B100" s="12" t="s">
        <v>2608</v>
      </c>
      <c r="C100" s="12" t="s">
        <v>2609</v>
      </c>
      <c r="D100" s="12" t="str">
        <f t="shared" si="4"/>
        <v xml:space="preserve"> A graphic display of process data over time and against established control limits, which has a centerline that assists in detecting a trend of plotted values toward either control limit</v>
      </c>
    </row>
    <row r="101" spans="2:4" ht="21" hidden="1">
      <c r="B101" s="12" t="s">
        <v>2610</v>
      </c>
      <c r="D101" s="12">
        <f t="shared" si="4"/>
        <v>0</v>
      </c>
    </row>
    <row r="102" spans="2:4" ht="21" hidden="1">
      <c r="B102" s="12" t="s">
        <v>2611</v>
      </c>
      <c r="C102" s="12" t="s">
        <v>2612</v>
      </c>
      <c r="D102" s="12" t="str">
        <f t="shared" si="4"/>
        <v xml:space="preserve"> The approved version of the time-phased project budget, excluding any management reserves, which can be changed only through formal change control procedures and is used as a basis</v>
      </c>
    </row>
    <row r="103" spans="2:4" ht="21" hidden="1">
      <c r="B103" s="12" t="s">
        <v>2613</v>
      </c>
      <c r="D103" s="12" t="str">
        <f t="shared" si="4"/>
        <v xml:space="preserve"> for comparison to actual results</v>
      </c>
    </row>
    <row r="104" spans="2:4" hidden="1">
      <c r="B104" s="12" t="s">
        <v>2614</v>
      </c>
      <c r="D104" s="12">
        <f t="shared" si="4"/>
        <v>0</v>
      </c>
    </row>
    <row r="105" spans="2:4" hidden="1">
      <c r="B105" s="12" t="s">
        <v>2615</v>
      </c>
      <c r="C105" s="12" t="s">
        <v>2616</v>
      </c>
      <c r="D105" s="12" t="str">
        <f t="shared" si="4"/>
        <v xml:space="preserve"> A financial analysis method used to determine the benefits provided by a project against its costs</v>
      </c>
    </row>
    <row r="106" spans="2:4" hidden="1">
      <c r="B106" s="12" t="s">
        <v>2617</v>
      </c>
      <c r="D106" s="12">
        <f t="shared" si="4"/>
        <v>0</v>
      </c>
    </row>
    <row r="107" spans="2:4" ht="21" hidden="1">
      <c r="B107" s="12" t="s">
        <v>2618</v>
      </c>
      <c r="C107" s="12" t="s">
        <v>2619</v>
      </c>
      <c r="D107" s="12" t="str">
        <f t="shared" si="4"/>
        <v xml:space="preserve"> A component of a project or program management plan that describes how costs will be planned, structured, and controlled</v>
      </c>
    </row>
    <row r="108" spans="2:4" hidden="1">
      <c r="B108" s="12" t="s">
        <v>2620</v>
      </c>
      <c r="D108" s="12">
        <f t="shared" si="4"/>
        <v>0</v>
      </c>
    </row>
    <row r="109" spans="2:4" ht="21" hidden="1">
      <c r="B109" s="12" t="s">
        <v>2621</v>
      </c>
      <c r="C109" s="12" t="s">
        <v>2622</v>
      </c>
      <c r="D109" s="12" t="str">
        <f t="shared" si="4"/>
        <v xml:space="preserve"> All costs incurred over the life of the product by investment in preventing nonconformance to requirements, appraisal of the product or service for conformance to requirements,</v>
      </c>
    </row>
    <row r="110" spans="2:4" ht="21" hidden="1">
      <c r="B110" s="12" t="s">
        <v>2623</v>
      </c>
      <c r="D110" s="12" t="str">
        <f t="shared" si="4"/>
        <v xml:space="preserve"> and failure to meet requirements</v>
      </c>
    </row>
    <row r="111" spans="2:4" hidden="1">
      <c r="B111" s="12" t="s">
        <v>2624</v>
      </c>
      <c r="D111" s="12">
        <f t="shared" si="4"/>
        <v>0</v>
      </c>
    </row>
    <row r="112" spans="2:4" ht="21" hidden="1">
      <c r="B112" s="12" t="s">
        <v>2625</v>
      </c>
      <c r="C112" s="12" t="s">
        <v>2626</v>
      </c>
      <c r="D112" s="12" t="str">
        <f t="shared" si="4"/>
        <v xml:space="preserve"> A measure of the cost efficiency of budgeted resources expressed as the ratio of earned value to actual cost</v>
      </c>
    </row>
    <row r="113" spans="2:4" hidden="1">
      <c r="B113" s="12" t="s">
        <v>2627</v>
      </c>
      <c r="D113" s="12">
        <f t="shared" si="4"/>
        <v>0</v>
      </c>
    </row>
    <row r="114" spans="2:4" ht="21" hidden="1">
      <c r="B114" s="32" t="s">
        <v>2628</v>
      </c>
      <c r="C114" s="12" t="s">
        <v>2629</v>
      </c>
      <c r="D114" s="32" t="str">
        <f t="shared" si="4"/>
        <v xml:space="preserve"> A category of contract that involves payments to the seller for all legitimate actual costs incurred for completed work, plus an award fee representing seller profit</v>
      </c>
    </row>
    <row r="115" spans="2:4" ht="21" hidden="1">
      <c r="B115" s="12" t="s">
        <v>2630</v>
      </c>
      <c r="D115" s="12">
        <f t="shared" si="4"/>
        <v>0</v>
      </c>
    </row>
    <row r="116" spans="2:4" ht="21" hidden="1">
      <c r="B116" s="32" t="s">
        <v>2631</v>
      </c>
      <c r="C116" s="12" t="s">
        <v>2632</v>
      </c>
      <c r="D116" s="32" t="str">
        <f t="shared" si="4"/>
        <v xml:space="preserve"> A type of cost-reimbursable contract where the buyer reimburses the seller for the seller’s allowable costs (allowable costs are defined by the contract)</v>
      </c>
    </row>
    <row r="117" spans="2:4" ht="21" hidden="1">
      <c r="B117" s="32" t="s">
        <v>2633</v>
      </c>
      <c r="D117" s="32" t="str">
        <f t="shared" si="4"/>
        <v xml:space="preserve"> plus a fixed amount of profit (fee)</v>
      </c>
    </row>
    <row r="118" spans="2:4" hidden="1">
      <c r="B118" s="12" t="s">
        <v>2634</v>
      </c>
      <c r="D118" s="12">
        <f t="shared" si="4"/>
        <v>0</v>
      </c>
    </row>
    <row r="119" spans="2:4" ht="21" hidden="1">
      <c r="B119" s="32" t="s">
        <v>2635</v>
      </c>
      <c r="C119" s="12" t="s">
        <v>2632</v>
      </c>
      <c r="D119" s="32" t="str">
        <f t="shared" si="4"/>
        <v xml:space="preserve"> A type of cost-reimbursable contract where the buyer reimburses the seller for the seller’s allowable costs (allowable costs are defined by the contract),</v>
      </c>
    </row>
    <row r="120" spans="2:4" ht="21" hidden="1">
      <c r="B120" s="12" t="s">
        <v>2636</v>
      </c>
      <c r="D120" s="12" t="str">
        <f t="shared" si="4"/>
        <v xml:space="preserve"> and the seller earns its profit if it meets defined performance criteria</v>
      </c>
    </row>
    <row r="121" spans="2:4" ht="21" hidden="1">
      <c r="B121" s="12" t="s">
        <v>2637</v>
      </c>
      <c r="D121" s="12">
        <f t="shared" si="4"/>
        <v>0</v>
      </c>
    </row>
    <row r="122" spans="2:4" ht="21" hidden="1">
      <c r="B122" s="32" t="s">
        <v>2638</v>
      </c>
      <c r="C122" s="12" t="s">
        <v>2639</v>
      </c>
      <c r="D122" s="32" t="str">
        <f t="shared" si="4"/>
        <v xml:space="preserve"> A type of contract involving payment to the seller for the seller’s actual costs, plus a fee typically representing the seller’s profit</v>
      </c>
    </row>
    <row r="123" spans="2:4" ht="21" hidden="1">
      <c r="B123" s="12" t="s">
        <v>2640</v>
      </c>
      <c r="D123" s="12">
        <f t="shared" si="4"/>
        <v>0</v>
      </c>
    </row>
    <row r="124" spans="2:4" ht="21" hidden="1">
      <c r="B124" s="12" t="s">
        <v>2641</v>
      </c>
      <c r="C124" s="12" t="s">
        <v>2642</v>
      </c>
      <c r="D124" s="12" t="str">
        <f t="shared" si="4"/>
        <v xml:space="preserve"> The amount of budget deficit or surplus at a given point in time, expressed as the difference between the earned value and the actual cost</v>
      </c>
    </row>
    <row r="125" spans="2:4" ht="21" hidden="1">
      <c r="B125" s="12" t="s">
        <v>2643</v>
      </c>
      <c r="D125" s="12">
        <f t="shared" si="4"/>
        <v>0</v>
      </c>
    </row>
    <row r="126" spans="2:4" hidden="1">
      <c r="B126" s="12" t="s">
        <v>2644</v>
      </c>
      <c r="C126" s="12" t="s">
        <v>2645</v>
      </c>
      <c r="D126" s="12" t="str">
        <f t="shared" si="4"/>
        <v xml:space="preserve"> A method used to shorten the schedule duration for the least incremental cost by adding resources</v>
      </c>
    </row>
    <row r="127" spans="2:4" hidden="1">
      <c r="B127" s="12" t="s">
        <v>2646</v>
      </c>
      <c r="D127" s="12">
        <f t="shared" si="4"/>
        <v>0</v>
      </c>
    </row>
    <row r="128" spans="2:4" ht="21" hidden="1">
      <c r="B128" s="12" t="s">
        <v>2647</v>
      </c>
      <c r="C128" s="12" t="s">
        <v>2648</v>
      </c>
      <c r="D128" s="12" t="str">
        <f t="shared" si="4"/>
        <v xml:space="preserve"> Standards, rules, or tests on which a judgment or decision can be based or by which a product, service, result, or process can be evaluated</v>
      </c>
    </row>
    <row r="129" spans="2:4" hidden="1">
      <c r="B129" s="12" t="s">
        <v>2649</v>
      </c>
      <c r="D129" s="12">
        <f t="shared" si="4"/>
        <v>0</v>
      </c>
    </row>
    <row r="130" spans="2:4" ht="21" hidden="1">
      <c r="B130" s="12" t="s">
        <v>2650</v>
      </c>
      <c r="C130" s="12" t="s">
        <v>2651</v>
      </c>
      <c r="D130" s="12" t="str">
        <f t="shared" si="4"/>
        <v xml:space="preserve"> The sequence of activities that represents the longest path through a project, which determines the shortest possible duration</v>
      </c>
    </row>
    <row r="131" spans="2:4" hidden="1">
      <c r="B131" s="12" t="s">
        <v>2652</v>
      </c>
      <c r="D131" s="12">
        <f t="shared" si="4"/>
        <v>0</v>
      </c>
    </row>
    <row r="132" spans="2:4" ht="21" hidden="1">
      <c r="B132" s="12" t="s">
        <v>2653</v>
      </c>
      <c r="C132" s="12" t="s">
        <v>2654</v>
      </c>
      <c r="D132" s="12" t="str">
        <f t="shared" si="4"/>
        <v xml:space="preserve"> A method used to estimate the minimum project duration and determine the amount of schedule flexibility on the logical network paths within the schedule model</v>
      </c>
    </row>
    <row r="133" spans="2:4" ht="21" hidden="1">
      <c r="B133" s="12" t="s">
        <v>2655</v>
      </c>
      <c r="D133" s="12">
        <f t="shared" si="4"/>
        <v>0</v>
      </c>
    </row>
    <row r="134" spans="2:4" ht="21" hidden="1">
      <c r="B134" s="12" t="s">
        <v>2656</v>
      </c>
      <c r="C134" s="12" t="s">
        <v>2657</v>
      </c>
      <c r="D134" s="12" t="str">
        <f t="shared" si="4"/>
        <v xml:space="preserve"> A chart indicating features completed over time, features in other states of development, and those in the backlog</v>
      </c>
    </row>
    <row r="135" spans="2:4" hidden="1">
      <c r="B135" s="12" t="s">
        <v>2658</v>
      </c>
      <c r="D135" s="12">
        <f t="shared" si="4"/>
        <v>0</v>
      </c>
    </row>
    <row r="136" spans="2:4" ht="21" hidden="1">
      <c r="B136" s="12" t="s">
        <v>2659</v>
      </c>
      <c r="C136" s="12" t="s">
        <v>2660</v>
      </c>
      <c r="D136" s="12" t="str">
        <f t="shared" si="4"/>
        <v xml:space="preserve"> The total elapsed time from the start of a particular activity or work item to its completion</v>
      </c>
    </row>
    <row r="137" spans="2:4" hidden="1">
      <c r="B137" s="12" t="s">
        <v>2661</v>
      </c>
      <c r="C137" s="12" t="s">
        <v>2662</v>
      </c>
      <c r="D137" s="12" t="str">
        <f t="shared" ref="D137:D200" si="5">IF(C138="",CONCATENATE(C137," ",B138),C137)</f>
        <v xml:space="preserve"> A diagram that shows the average cycle time of the work items completed over time</v>
      </c>
    </row>
    <row r="138" spans="2:4" hidden="1">
      <c r="B138" s="12" t="s">
        <v>2663</v>
      </c>
      <c r="D138" s="12">
        <f t="shared" si="5"/>
        <v>0</v>
      </c>
    </row>
    <row r="139" spans="2:4" ht="21" hidden="1">
      <c r="B139" s="12" t="s">
        <v>2664</v>
      </c>
      <c r="C139" s="12" t="s">
        <v>2665</v>
      </c>
      <c r="D139" s="12" t="str">
        <f t="shared" si="5"/>
        <v xml:space="preserve"> A brief, daily collaboration meeting in which the team reviews progress from the previous day, declares intentions for the current day, and highlights any obstacles encountered</v>
      </c>
    </row>
    <row r="140" spans="2:4" ht="21" hidden="1">
      <c r="B140" s="12" t="s">
        <v>2666</v>
      </c>
      <c r="D140" s="12" t="str">
        <f t="shared" si="5"/>
        <v xml:space="preserve"> or anticipated</v>
      </c>
    </row>
    <row r="141" spans="2:4" hidden="1">
      <c r="B141" s="12" t="s">
        <v>2667</v>
      </c>
      <c r="D141" s="12">
        <f t="shared" si="5"/>
        <v>0</v>
      </c>
    </row>
    <row r="142" spans="2:4" ht="21" hidden="1">
      <c r="B142" s="12" t="s">
        <v>2668</v>
      </c>
      <c r="C142" s="12" t="s">
        <v>2669</v>
      </c>
      <c r="D142" s="12" t="str">
        <f t="shared" si="5"/>
        <v xml:space="preserve"> A set of charts and graphs showing progress or performance against important measures of the project</v>
      </c>
    </row>
    <row r="143" spans="2:4" hidden="1">
      <c r="B143" s="12" t="s">
        <v>2670</v>
      </c>
      <c r="D143" s="12">
        <f t="shared" si="5"/>
        <v>0</v>
      </c>
    </row>
    <row r="144" spans="2:4" ht="21" hidden="1">
      <c r="B144" s="12" t="s">
        <v>2671</v>
      </c>
      <c r="C144" s="12" t="s">
        <v>2672</v>
      </c>
      <c r="D144" s="12" t="str">
        <f t="shared" si="5"/>
        <v xml:space="preserve"> Methods used to collect, assess, and evaluate data and information to gain a deeper understanding of a situation</v>
      </c>
    </row>
    <row r="145" spans="2:4" hidden="1">
      <c r="B145" s="12" t="s">
        <v>2673</v>
      </c>
      <c r="D145" s="12">
        <f t="shared" si="5"/>
        <v>0</v>
      </c>
    </row>
    <row r="146" spans="2:4" ht="21" hidden="1">
      <c r="B146" s="12" t="s">
        <v>2674</v>
      </c>
      <c r="C146" s="12" t="s">
        <v>2675</v>
      </c>
      <c r="D146" s="12" t="str">
        <f t="shared" si="5"/>
        <v xml:space="preserve"> A diagramming and calculation method for evaluating the implications of a chain of multiple options in the presence of uncertainty</v>
      </c>
    </row>
    <row r="147" spans="2:4" hidden="1">
      <c r="B147" s="12" t="s">
        <v>2676</v>
      </c>
      <c r="D147" s="12">
        <f t="shared" si="5"/>
        <v>0</v>
      </c>
    </row>
    <row r="148" spans="2:4" ht="21" hidden="1">
      <c r="B148" s="12" t="s">
        <v>2677</v>
      </c>
      <c r="C148" s="12" t="s">
        <v>2678</v>
      </c>
      <c r="D148" s="12" t="str">
        <f t="shared" si="5"/>
        <v xml:space="preserve"> A method used for dividing and subdividing the project scope and project deliverables into smaller, more manageable parts</v>
      </c>
    </row>
    <row r="149" spans="2:4" hidden="1">
      <c r="B149" s="12" t="s">
        <v>2679</v>
      </c>
      <c r="D149" s="12">
        <f t="shared" si="5"/>
        <v>0</v>
      </c>
    </row>
    <row r="150" spans="2:4" ht="21" hidden="1">
      <c r="B150" s="32" t="s">
        <v>2680</v>
      </c>
      <c r="C150" s="12" t="s">
        <v>2681</v>
      </c>
      <c r="D150" s="32" t="str">
        <f t="shared" si="5"/>
        <v xml:space="preserve"> A checklist of all the criteria required to be met so that a deliverable can be considered ready for customer use</v>
      </c>
    </row>
    <row r="151" spans="2:4" hidden="1">
      <c r="B151" s="12" t="s">
        <v>2682</v>
      </c>
      <c r="D151" s="12">
        <f t="shared" si="5"/>
        <v>0</v>
      </c>
    </row>
    <row r="152" spans="2:4" ht="21" hidden="1">
      <c r="B152" s="12" t="s">
        <v>11</v>
      </c>
      <c r="C152" s="12" t="s">
        <v>2683</v>
      </c>
      <c r="D152" s="12" t="str">
        <f t="shared" si="5"/>
        <v xml:space="preserve"> Any unique and verifiable product, result, or capability to perform a service that is required to be produced to complete a process, phase, or project</v>
      </c>
    </row>
    <row r="153" spans="2:4" ht="21" hidden="1">
      <c r="B153" s="12" t="s">
        <v>2684</v>
      </c>
      <c r="D153" s="12">
        <f t="shared" si="5"/>
        <v>0</v>
      </c>
    </row>
    <row r="154" spans="2:4" ht="21" hidden="1">
      <c r="B154" s="12" t="s">
        <v>2685</v>
      </c>
      <c r="C154" s="12" t="s">
        <v>2686</v>
      </c>
      <c r="D154" s="12" t="str">
        <f t="shared" si="5"/>
        <v xml:space="preserve"> The performance domain that addresses activities and functions associated with delivering the scope and quality that the project was undertaken to achieve</v>
      </c>
    </row>
    <row r="155" spans="2:4" ht="21" hidden="1">
      <c r="B155" s="12" t="s">
        <v>2687</v>
      </c>
      <c r="D155" s="12">
        <f t="shared" si="5"/>
        <v>0</v>
      </c>
    </row>
    <row r="156" spans="2:4" ht="21" hidden="1">
      <c r="B156" s="12" t="s">
        <v>2688</v>
      </c>
      <c r="C156" s="12" t="s">
        <v>2689</v>
      </c>
      <c r="D156" s="12" t="str">
        <f t="shared" si="5"/>
        <v xml:space="preserve"> A method used to create and evolve the product, service, or result during the project life cycle, such as a predictive, iterative, incremental, agile, or hybrid method</v>
      </c>
    </row>
    <row r="157" spans="2:4" ht="21" hidden="1">
      <c r="B157" s="12" t="s">
        <v>2690</v>
      </c>
      <c r="D157" s="12">
        <f t="shared" si="5"/>
        <v>0</v>
      </c>
    </row>
    <row r="158" spans="2:4" ht="21" hidden="1">
      <c r="B158" s="12" t="s">
        <v>2691</v>
      </c>
      <c r="C158" s="12" t="s">
        <v>2692</v>
      </c>
      <c r="D158" s="12" t="str">
        <f t="shared" si="5"/>
        <v xml:space="preserve"> The performance domain that addresses activities and functions associated with the development approach, cadence, and life cycle</v>
      </c>
    </row>
    <row r="159" spans="2:4" ht="21" hidden="1">
      <c r="B159" s="12" t="s">
        <v>2693</v>
      </c>
      <c r="D159" s="12" t="str">
        <f t="shared" si="5"/>
        <v xml:space="preserve"> phases of the project</v>
      </c>
    </row>
    <row r="160" spans="2:4" hidden="1">
      <c r="B160" s="12" t="s">
        <v>2694</v>
      </c>
      <c r="D160" s="12">
        <f t="shared" si="5"/>
        <v>0</v>
      </c>
    </row>
    <row r="161" spans="2:4" ht="21" hidden="1">
      <c r="B161" s="12" t="s">
        <v>2695</v>
      </c>
      <c r="C161" s="12" t="s">
        <v>2696</v>
      </c>
      <c r="D161" s="12" t="str">
        <f t="shared" si="5"/>
        <v xml:space="preserve"> A collection of practices for creating a smooth flow of deliveries by improving collaboration between development and operations staff</v>
      </c>
    </row>
    <row r="162" spans="2:4" hidden="1">
      <c r="B162" s="12" t="s">
        <v>2697</v>
      </c>
      <c r="D162" s="12">
        <f t="shared" si="5"/>
        <v>0</v>
      </c>
    </row>
    <row r="163" spans="2:4" hidden="1">
      <c r="B163" s="12" t="s">
        <v>2698</v>
      </c>
      <c r="C163" s="12" t="s">
        <v>2699</v>
      </c>
      <c r="D163" s="12" t="str">
        <f t="shared" si="5"/>
        <v xml:space="preserve"> A product or service that is delivered, used, and stored in an electronic format</v>
      </c>
    </row>
    <row r="164" spans="2:4" hidden="1">
      <c r="B164" s="12" t="s">
        <v>2700</v>
      </c>
      <c r="C164" s="12" t="s">
        <v>2701</v>
      </c>
      <c r="D164" s="12" t="str">
        <f t="shared" si="5"/>
        <v xml:space="preserve"> A relationship that is based on best practices or project preferences</v>
      </c>
    </row>
    <row r="165" spans="2:4" ht="21" hidden="1">
      <c r="B165" s="12" t="s">
        <v>2702</v>
      </c>
      <c r="C165" s="12" t="s">
        <v>2703</v>
      </c>
      <c r="D165" s="12" t="str">
        <f t="shared" si="5"/>
        <v xml:space="preserve"> The total number of work periods required to complete an activity or work breakdown</v>
      </c>
    </row>
    <row r="166" spans="2:4" hidden="1">
      <c r="B166" s="12" t="s">
        <v>2704</v>
      </c>
      <c r="C166" s="12" t="s">
        <v>2705</v>
      </c>
      <c r="D166" s="12" t="str">
        <f t="shared" si="5"/>
        <v xml:space="preserve"> Contrast with effort</v>
      </c>
    </row>
    <row r="167" spans="2:4" hidden="1">
      <c r="B167" s="12" t="s">
        <v>2706</v>
      </c>
      <c r="C167" s="12" t="s">
        <v>2707</v>
      </c>
      <c r="D167" s="12" t="str">
        <f t="shared" si="5"/>
        <v xml:space="preserve"> The measure of work performed expressed in terms of the budget authorized for that work</v>
      </c>
    </row>
    <row r="168" spans="2:4" hidden="1">
      <c r="B168" s="12" t="s">
        <v>2708</v>
      </c>
      <c r="D168" s="12">
        <f t="shared" si="5"/>
        <v>0</v>
      </c>
    </row>
    <row r="169" spans="2:4" ht="21" hidden="1">
      <c r="B169" s="12" t="s">
        <v>2709</v>
      </c>
      <c r="C169" s="12" t="s">
        <v>2710</v>
      </c>
      <c r="D169" s="12" t="str">
        <f t="shared" si="5"/>
        <v xml:space="preserve"> An analysis method that uses a set of measures associated with scope, schedule, and cost to determine the cost and schedule performance of a project</v>
      </c>
    </row>
    <row r="170" spans="2:4" ht="21" hidden="1">
      <c r="B170" s="12" t="s">
        <v>2711</v>
      </c>
      <c r="D170" s="12">
        <f t="shared" si="5"/>
        <v>0</v>
      </c>
    </row>
    <row r="171" spans="2:4" ht="21" hidden="1">
      <c r="B171" s="12" t="s">
        <v>2712</v>
      </c>
      <c r="C171" s="12" t="s">
        <v>2713</v>
      </c>
      <c r="D171" s="12" t="str">
        <f t="shared" si="5"/>
        <v xml:space="preserve"> The number of labor units required to complete a schedule activity or work breakdown</v>
      </c>
    </row>
    <row r="172" spans="2:4" ht="21" hidden="1">
      <c r="B172" s="12" t="s">
        <v>2714</v>
      </c>
      <c r="C172" s="12" t="s">
        <v>2715</v>
      </c>
      <c r="D172" s="12" t="str">
        <f t="shared" si="5"/>
        <v xml:space="preserve"> Contrast with duration</v>
      </c>
    </row>
    <row r="173" spans="2:4" ht="21" hidden="1">
      <c r="B173" s="12" t="s">
        <v>2716</v>
      </c>
      <c r="C173" s="12" t="s">
        <v>2717</v>
      </c>
      <c r="D173" s="12" t="str">
        <f t="shared" si="5"/>
        <v xml:space="preserve"> The ability to identify, assess, and manage the personal emotions of oneself and other people, as well as the collective emotions of groups of people</v>
      </c>
    </row>
    <row r="174" spans="2:4" ht="21" hidden="1">
      <c r="B174" s="12" t="s">
        <v>2718</v>
      </c>
      <c r="D174" s="12">
        <f t="shared" si="5"/>
        <v>0</v>
      </c>
    </row>
    <row r="175" spans="2:4" ht="21" hidden="1">
      <c r="B175" s="12" t="s">
        <v>2719</v>
      </c>
      <c r="C175" s="12" t="s">
        <v>2720</v>
      </c>
      <c r="D175" s="12" t="str">
        <f t="shared" si="5"/>
        <v xml:space="preserve"> Conditions, not under the immediate control of the team, that influence, constrain, or direct the project, program, or portfolio</v>
      </c>
    </row>
    <row r="176" spans="2:4" ht="21" hidden="1">
      <c r="B176" s="12" t="s">
        <v>2721</v>
      </c>
      <c r="D176" s="12">
        <f t="shared" si="5"/>
        <v>0</v>
      </c>
    </row>
    <row r="177" spans="2:4" ht="21" hidden="1">
      <c r="B177" s="32" t="s">
        <v>2722</v>
      </c>
      <c r="C177" s="12" t="s">
        <v>2723</v>
      </c>
      <c r="D177" s="32" t="str">
        <f t="shared" si="5"/>
        <v xml:space="preserve"> A large, related body of work intended to hierarchically organize a set of requirements and deliver specific business outcomes</v>
      </c>
    </row>
    <row r="178" spans="2:4" hidden="1">
      <c r="B178" s="12" t="s">
        <v>2724</v>
      </c>
      <c r="D178" s="12">
        <f t="shared" si="5"/>
        <v>0</v>
      </c>
    </row>
    <row r="179" spans="2:4" ht="21" hidden="1">
      <c r="B179" s="12" t="s">
        <v>2725</v>
      </c>
      <c r="C179" s="12" t="s">
        <v>2726</v>
      </c>
      <c r="D179" s="12" t="str">
        <f t="shared" si="5"/>
        <v xml:space="preserve"> A quantitative assessment of the likely amount or outcome of a variable, such as project costs, resources, effort, or durations</v>
      </c>
    </row>
    <row r="180" spans="2:4" hidden="1">
      <c r="B180" s="12" t="s">
        <v>2727</v>
      </c>
      <c r="D180" s="12">
        <f t="shared" si="5"/>
        <v>0</v>
      </c>
    </row>
    <row r="181" spans="2:4" ht="21" hidden="1">
      <c r="B181" s="12" t="s">
        <v>2728</v>
      </c>
      <c r="C181" s="12" t="s">
        <v>2729</v>
      </c>
      <c r="D181" s="12" t="str">
        <f t="shared" si="5"/>
        <v xml:space="preserve"> The expected total cost of completing all work expressed as the sum of the actual cost to date and the estimate to complete</v>
      </c>
    </row>
    <row r="182" spans="2:4" hidden="1">
      <c r="B182" s="12" t="s">
        <v>2730</v>
      </c>
      <c r="D182" s="12">
        <f t="shared" si="5"/>
        <v>0</v>
      </c>
    </row>
    <row r="183" spans="2:4" hidden="1">
      <c r="B183" s="12" t="s">
        <v>2731</v>
      </c>
      <c r="C183" s="12" t="s">
        <v>2732</v>
      </c>
      <c r="D183" s="12" t="str">
        <f t="shared" si="5"/>
        <v xml:space="preserve"> The expected cost to finish all the remaining project work</v>
      </c>
    </row>
    <row r="184" spans="2:4" hidden="1">
      <c r="B184" s="12" t="s">
        <v>2733</v>
      </c>
      <c r="C184" s="12" t="s">
        <v>2734</v>
      </c>
      <c r="D184" s="12" t="str">
        <f t="shared" si="5"/>
        <v xml:space="preserve"> Methods used to develop an approximation of work, time, or cost on a project</v>
      </c>
    </row>
    <row r="185" spans="2:4" ht="21" hidden="1">
      <c r="B185" s="12" t="s">
        <v>2735</v>
      </c>
      <c r="C185" s="12" t="s">
        <v>2736</v>
      </c>
      <c r="D185" s="12" t="str">
        <f t="shared" si="5"/>
        <v xml:space="preserve"> Those processes performed to complete the work defined in the project management plan to satisfy the project requirements</v>
      </c>
    </row>
    <row r="186" spans="2:4" hidden="1">
      <c r="B186" s="12" t="s">
        <v>2737</v>
      </c>
      <c r="D186" s="12">
        <f t="shared" si="5"/>
        <v>0</v>
      </c>
    </row>
    <row r="187" spans="2:4" hidden="1">
      <c r="B187" s="12" t="s">
        <v>2738</v>
      </c>
      <c r="C187" s="12" t="s">
        <v>2739</v>
      </c>
      <c r="D187" s="12" t="str">
        <f t="shared" si="5"/>
        <v xml:space="preserve"> The estimated value of an outcome expressed in monetary terms</v>
      </c>
    </row>
    <row r="188" spans="2:4" hidden="1">
      <c r="B188" s="12" t="s">
        <v>2740</v>
      </c>
      <c r="C188" s="12" t="s">
        <v>2741</v>
      </c>
      <c r="D188" s="12" t="str">
        <f t="shared" si="5"/>
        <v xml:space="preserve"> Knowledge that can be codified using symbols such as words, numbers, and pictures</v>
      </c>
    </row>
    <row r="189" spans="2:4" hidden="1">
      <c r="B189" s="12" t="s">
        <v>2742</v>
      </c>
      <c r="D189" s="12">
        <f t="shared" si="5"/>
        <v>0</v>
      </c>
    </row>
    <row r="190" spans="2:4" hidden="1">
      <c r="B190" s="12" t="s">
        <v>2743</v>
      </c>
      <c r="C190" s="12" t="s">
        <v>2744</v>
      </c>
      <c r="D190" s="12" t="str">
        <f t="shared" si="5"/>
        <v xml:space="preserve"> A relationship between project activities and non-project activities</v>
      </c>
    </row>
    <row r="191" spans="2:4" ht="21" hidden="1">
      <c r="B191" s="12" t="s">
        <v>2745</v>
      </c>
      <c r="C191" s="12" t="s">
        <v>2746</v>
      </c>
      <c r="D191" s="12" t="str">
        <f t="shared" si="5"/>
        <v xml:space="preserve"> A schedule compression method in which activities or phases normally done in sequence are performed in parallel for at least a portion of their duration</v>
      </c>
    </row>
    <row r="192" spans="2:4" ht="21" hidden="1">
      <c r="B192" s="12" t="s">
        <v>2747</v>
      </c>
      <c r="D192" s="12">
        <f t="shared" si="5"/>
        <v>0</v>
      </c>
    </row>
    <row r="193" spans="2:4" ht="21" hidden="1">
      <c r="B193" s="12" t="s">
        <v>2748</v>
      </c>
      <c r="C193" s="12" t="s">
        <v>2749</v>
      </c>
      <c r="D193" s="12" t="str">
        <f t="shared" si="5"/>
        <v xml:space="preserve"> A set of related requirements or functionalities that provides value to an organization</v>
      </c>
    </row>
    <row r="194" spans="2:4" ht="21" hidden="1">
      <c r="B194" s="32" t="s">
        <v>2750</v>
      </c>
      <c r="C194" s="12" t="s">
        <v>2751</v>
      </c>
      <c r="D194" s="32" t="str">
        <f t="shared" si="5"/>
        <v xml:space="preserve"> A type of fixed-price contract where the buyer pays the seller a set amount (as defined by the contract), regardless of the seller’s costs</v>
      </c>
    </row>
    <row r="195" spans="2:4" ht="21" hidden="1">
      <c r="B195" s="12" t="s">
        <v>2752</v>
      </c>
      <c r="D195" s="12">
        <f t="shared" si="5"/>
        <v>0</v>
      </c>
    </row>
    <row r="196" spans="2:4" ht="21" hidden="1">
      <c r="B196" s="12" t="s">
        <v>2753</v>
      </c>
      <c r="C196" s="12" t="s">
        <v>2754</v>
      </c>
      <c r="D196" s="12" t="str">
        <f t="shared" si="5"/>
        <v xml:space="preserve"> A type of activity where the length of time required to complete the activity remains constant regardless of the number of people or resources assigned to the activity</v>
      </c>
    </row>
    <row r="197" spans="2:4" ht="21" hidden="1">
      <c r="B197" s="12" t="s">
        <v>2755</v>
      </c>
      <c r="D197" s="12">
        <f t="shared" si="5"/>
        <v>0</v>
      </c>
    </row>
    <row r="198" spans="2:4" ht="21" hidden="1">
      <c r="B198" s="32" t="s">
        <v>2756</v>
      </c>
      <c r="C198" s="12" t="s">
        <v>2757</v>
      </c>
      <c r="D198" s="32" t="str">
        <f t="shared" si="5"/>
        <v xml:space="preserve"> An agreement that sets the fee that will be paid for a defined scope of work regardless of the cost or effort to deliver it</v>
      </c>
    </row>
    <row r="199" spans="2:4" hidden="1">
      <c r="B199" s="12" t="s">
        <v>2758</v>
      </c>
      <c r="D199" s="12">
        <f t="shared" si="5"/>
        <v>0</v>
      </c>
    </row>
    <row r="200" spans="2:4" ht="21" hidden="1">
      <c r="B200" s="32" t="s">
        <v>2759</v>
      </c>
      <c r="C200" s="12" t="s">
        <v>2760</v>
      </c>
      <c r="D200" s="32" t="str">
        <f t="shared" si="5"/>
        <v xml:space="preserve"> A type of contract where the buyer pays the seller a set amount (as defined by the contract), and the seller can earn an additional amount if the seller meets</v>
      </c>
    </row>
    <row r="201" spans="2:4" ht="21" hidden="1">
      <c r="B201" s="12" t="s">
        <v>2761</v>
      </c>
      <c r="D201" s="12" t="str">
        <f t="shared" ref="D201:D264" si="6">IF(C202="",CONCATENATE(C201," ",B202),C201)</f>
        <v xml:space="preserve"> defined performance criteria</v>
      </c>
    </row>
    <row r="202" spans="2:4" hidden="1">
      <c r="B202" s="12" t="s">
        <v>2762</v>
      </c>
      <c r="D202" s="12">
        <f t="shared" si="6"/>
        <v>0</v>
      </c>
    </row>
    <row r="203" spans="2:4" ht="21" hidden="1">
      <c r="B203" s="32" t="s">
        <v>2763</v>
      </c>
      <c r="C203" s="12" t="s">
        <v>2764</v>
      </c>
      <c r="D203" s="32" t="str">
        <f t="shared" si="6"/>
        <v xml:space="preserve"> A fixed-price contract, but with a special provision allowing for predefined final adjustments to the contract price due to changed</v>
      </c>
    </row>
    <row r="204" spans="2:4" ht="21" hidden="1">
      <c r="B204" s="12" t="s">
        <v>2765</v>
      </c>
      <c r="D204" s="12" t="str">
        <f t="shared" si="6"/>
        <v xml:space="preserve"> conditions, such as inflation changes, or cost increases (or decreases) for specific commodities</v>
      </c>
    </row>
    <row r="205" spans="2:4" ht="21" hidden="1">
      <c r="B205" s="12" t="s">
        <v>2766</v>
      </c>
      <c r="D205" s="12">
        <f t="shared" si="6"/>
        <v>0</v>
      </c>
    </row>
    <row r="206" spans="2:4" hidden="1">
      <c r="B206" s="12" t="s">
        <v>2767</v>
      </c>
      <c r="C206" s="12" t="s">
        <v>2768</v>
      </c>
      <c r="D206" s="12" t="str">
        <f t="shared" si="6"/>
        <v xml:space="preserve"> The measure of how efficiently work moves through a given process or framework</v>
      </c>
    </row>
    <row r="207" spans="2:4" ht="21" hidden="1">
      <c r="B207" s="12" t="s">
        <v>898</v>
      </c>
      <c r="C207" s="12" t="s">
        <v>2769</v>
      </c>
      <c r="D207" s="12" t="str">
        <f t="shared" si="6"/>
        <v xml:space="preserve"> The depiction in a diagram format of the inputs, process actions, and outputs of one or more processes within a system</v>
      </c>
    </row>
    <row r="208" spans="2:4" hidden="1">
      <c r="B208" s="12" t="s">
        <v>2770</v>
      </c>
      <c r="D208" s="12">
        <f t="shared" si="6"/>
        <v>0</v>
      </c>
    </row>
    <row r="209" spans="2:4" ht="21" hidden="1">
      <c r="B209" s="12" t="s">
        <v>2771</v>
      </c>
      <c r="C209" s="12" t="s">
        <v>2772</v>
      </c>
      <c r="D209" s="12" t="str">
        <f t="shared" si="6"/>
        <v xml:space="preserve"> An estimate or prediction of conditions and events in the project’s future based on information and knowledge available at the time of the forecast</v>
      </c>
    </row>
    <row r="210" spans="2:4" ht="21" hidden="1">
      <c r="B210" s="12" t="s">
        <v>2773</v>
      </c>
      <c r="D210" s="12">
        <f t="shared" si="6"/>
        <v>0</v>
      </c>
    </row>
    <row r="211" spans="2:4" ht="21" hidden="1">
      <c r="B211" s="12" t="s">
        <v>2774</v>
      </c>
      <c r="C211" s="12" t="s">
        <v>2775</v>
      </c>
      <c r="D211" s="12" t="str">
        <f t="shared" si="6"/>
        <v xml:space="preserve"> An estimate of the amount of business functionality in an information system, used to calculate the functional size measurement of a software system</v>
      </c>
    </row>
    <row r="212" spans="2:4" ht="21" hidden="1">
      <c r="B212" s="12" t="s">
        <v>2776</v>
      </c>
      <c r="D212" s="12">
        <f t="shared" si="6"/>
        <v>0</v>
      </c>
    </row>
    <row r="213" spans="2:4" ht="21" hidden="1">
      <c r="B213" s="12" t="s">
        <v>2777</v>
      </c>
      <c r="C213" s="12" t="s">
        <v>2778</v>
      </c>
      <c r="D213" s="12" t="str">
        <f t="shared" si="6"/>
        <v xml:space="preserve"> A bar chart of schedule information where activities are listed on the vertical axis, dates are shown on the horizontal axis, and activity durations are shown as horizontal bars placed</v>
      </c>
    </row>
    <row r="214" spans="2:4" ht="21" hidden="1">
      <c r="B214" s="12" t="s">
        <v>2779</v>
      </c>
      <c r="D214" s="12" t="str">
        <f t="shared" si="6"/>
        <v xml:space="preserve"> according to start and finish dates</v>
      </c>
    </row>
    <row r="215" spans="2:4" hidden="1">
      <c r="B215" s="12" t="s">
        <v>2780</v>
      </c>
      <c r="D215" s="12">
        <f t="shared" si="6"/>
        <v>0</v>
      </c>
    </row>
    <row r="216" spans="2:4" ht="21" hidden="1">
      <c r="B216" s="12" t="s">
        <v>2781</v>
      </c>
      <c r="C216" s="12" t="s">
        <v>2782</v>
      </c>
      <c r="D216" s="12" t="str">
        <f t="shared" si="6"/>
        <v xml:space="preserve"> The framework for directing and enabling an organization through its established policies, practices, and other relevant documentation</v>
      </c>
    </row>
    <row r="217" spans="2:4" hidden="1">
      <c r="B217" s="12" t="s">
        <v>2783</v>
      </c>
      <c r="D217" s="12">
        <f t="shared" si="6"/>
        <v>0</v>
      </c>
    </row>
    <row r="218" spans="2:4" ht="21" hidden="1">
      <c r="B218" s="12" t="s">
        <v>2784</v>
      </c>
      <c r="C218" s="12" t="s">
        <v>2785</v>
      </c>
      <c r="D218" s="12" t="str">
        <f t="shared" si="6"/>
        <v xml:space="preserve"> A category or rank used to distinguish items that have the same functional use but do not share the same requirements for quality</v>
      </c>
    </row>
    <row r="219" spans="2:4" hidden="1">
      <c r="B219" s="12" t="s">
        <v>2786</v>
      </c>
      <c r="D219" s="12">
        <f t="shared" si="6"/>
        <v>0</v>
      </c>
    </row>
    <row r="220" spans="2:4" ht="21" hidden="1">
      <c r="B220" s="12" t="s">
        <v>2787</v>
      </c>
      <c r="C220" s="12" t="s">
        <v>2788</v>
      </c>
      <c r="D220" s="12" t="str">
        <f t="shared" si="6"/>
        <v xml:space="preserve"> A chart that begins with high-level information that is progressively decomposed into lower levels of detail</v>
      </c>
    </row>
    <row r="221" spans="2:4" hidden="1">
      <c r="B221" s="12" t="s">
        <v>2789</v>
      </c>
      <c r="D221" s="12">
        <f t="shared" si="6"/>
        <v>0</v>
      </c>
    </row>
    <row r="222" spans="2:4" hidden="1">
      <c r="B222" s="12" t="s">
        <v>2790</v>
      </c>
      <c r="C222" s="12" t="s">
        <v>2791</v>
      </c>
      <c r="D222" s="12" t="str">
        <f t="shared" si="6"/>
        <v xml:space="preserve"> A bar chart that shows the graphical representation of numerical data</v>
      </c>
    </row>
    <row r="223" spans="2:4" hidden="1">
      <c r="B223" s="12" t="s">
        <v>2792</v>
      </c>
      <c r="C223" s="12" t="s">
        <v>2793</v>
      </c>
      <c r="D223" s="12" t="str">
        <f t="shared" si="6"/>
        <v xml:space="preserve"> A combination of two or more agile and nonagile elements, having a nonagile end result</v>
      </c>
    </row>
    <row r="224" spans="2:4" hidden="1">
      <c r="B224" s="12" t="s">
        <v>2794</v>
      </c>
      <c r="D224" s="12">
        <f t="shared" si="6"/>
        <v>0</v>
      </c>
    </row>
    <row r="225" spans="2:4" ht="21" hidden="1">
      <c r="B225" s="12" t="s">
        <v>2795</v>
      </c>
      <c r="C225" s="12" t="s">
        <v>2796</v>
      </c>
      <c r="D225" s="12" t="str">
        <f t="shared" si="6"/>
        <v xml:space="preserve"> A strategic planning method that serves as a visual roadmap for the organization during product development</v>
      </c>
    </row>
    <row r="226" spans="2:4" hidden="1">
      <c r="B226" s="12" t="s">
        <v>2797</v>
      </c>
      <c r="D226" s="12">
        <f t="shared" si="6"/>
        <v>0</v>
      </c>
    </row>
    <row r="227" spans="2:4" hidden="1">
      <c r="B227" s="12" t="s">
        <v>2798</v>
      </c>
      <c r="C227" s="12" t="s">
        <v>2799</v>
      </c>
      <c r="D227" s="12" t="str">
        <f t="shared" si="6"/>
        <v xml:space="preserve"> An obstacle that prevents the team from achieving its objectives as a blocker</v>
      </c>
    </row>
    <row r="228" spans="2:4" hidden="1">
      <c r="B228" s="12" t="s">
        <v>2800</v>
      </c>
      <c r="D228" s="12">
        <f t="shared" si="6"/>
        <v>0</v>
      </c>
    </row>
    <row r="229" spans="2:4" ht="21" hidden="1">
      <c r="B229" s="12" t="s">
        <v>2801</v>
      </c>
      <c r="C229" s="12" t="s">
        <v>2802</v>
      </c>
      <c r="D229" s="12" t="str">
        <f t="shared" si="6"/>
        <v xml:space="preserve"> An adaptive development approach in which the deliverable is produced successively, adding functionality until the deliverable contains the necessary and sufficient capability</v>
      </c>
    </row>
    <row r="230" spans="2:4" ht="21" hidden="1">
      <c r="B230" s="12" t="s">
        <v>2803</v>
      </c>
      <c r="D230" s="12" t="str">
        <f t="shared" si="6"/>
        <v xml:space="preserve"> to be considered complete</v>
      </c>
    </row>
    <row r="231" spans="2:4" hidden="1">
      <c r="B231" s="12" t="s">
        <v>2804</v>
      </c>
      <c r="D231" s="12">
        <f t="shared" si="6"/>
        <v>0</v>
      </c>
    </row>
    <row r="232" spans="2:4" ht="21" hidden="1">
      <c r="B232" s="32" t="s">
        <v>2805</v>
      </c>
      <c r="C232" s="12" t="s">
        <v>2806</v>
      </c>
      <c r="D232" s="32" t="str">
        <f t="shared" si="6"/>
        <v xml:space="preserve"> A contract that provides for an indefinite quantity of goods or services, with a stated lower and upper limit, within a fixed time period</v>
      </c>
    </row>
    <row r="233" spans="2:4" ht="21" hidden="1">
      <c r="B233" s="12" t="s">
        <v>2807</v>
      </c>
      <c r="D233" s="12">
        <f t="shared" si="6"/>
        <v>0</v>
      </c>
    </row>
    <row r="234" spans="2:4" ht="21" hidden="1">
      <c r="B234" s="12" t="s">
        <v>2808</v>
      </c>
      <c r="C234" s="12" t="s">
        <v>2809</v>
      </c>
      <c r="D234" s="12" t="str">
        <f t="shared" si="6"/>
        <v xml:space="preserve"> A graphical representation of situations showing causal influences, time ordering of events, and other relationships among variables and outcomes</v>
      </c>
    </row>
    <row r="235" spans="2:4" ht="21" hidden="1">
      <c r="B235" s="12" t="s">
        <v>2810</v>
      </c>
      <c r="D235" s="12">
        <f t="shared" si="6"/>
        <v>0</v>
      </c>
    </row>
    <row r="236" spans="2:4" ht="21" hidden="1">
      <c r="B236" s="12" t="s">
        <v>2811</v>
      </c>
      <c r="C236" s="12" t="s">
        <v>2812</v>
      </c>
      <c r="D236" s="12" t="str">
        <f t="shared" si="6"/>
        <v xml:space="preserve"> A visible, physical display that provides information to the rest of the organization, enabling timely knowledge sharing</v>
      </c>
    </row>
    <row r="237" spans="2:4" hidden="1">
      <c r="B237" s="12" t="s">
        <v>2813</v>
      </c>
      <c r="D237" s="12">
        <f t="shared" si="6"/>
        <v>0</v>
      </c>
    </row>
    <row r="238" spans="2:4" ht="21" hidden="1">
      <c r="B238" s="12" t="s">
        <v>2814</v>
      </c>
      <c r="C238" s="12" t="s">
        <v>2815</v>
      </c>
      <c r="D238" s="12" t="str">
        <f t="shared" si="6"/>
        <v xml:space="preserve"> Those processes performed to define a new project or a new phase of an existing project by obtaining authorization to start the project or phase</v>
      </c>
    </row>
    <row r="239" spans="2:4" ht="21" hidden="1">
      <c r="B239" s="12" t="s">
        <v>2816</v>
      </c>
      <c r="D239" s="12">
        <f t="shared" si="6"/>
        <v>0</v>
      </c>
    </row>
    <row r="240" spans="2:4" hidden="1">
      <c r="B240" s="12" t="s">
        <v>2817</v>
      </c>
      <c r="C240" s="12" t="s">
        <v>2818</v>
      </c>
      <c r="D240" s="12" t="str">
        <f t="shared" si="6"/>
        <v xml:space="preserve"> A relationship between two or more project activities</v>
      </c>
    </row>
    <row r="241" spans="2:4" hidden="1">
      <c r="B241" s="12" t="s">
        <v>2819</v>
      </c>
      <c r="C241" s="12" t="s">
        <v>2820</v>
      </c>
      <c r="D241" s="12" t="str">
        <f t="shared" si="6"/>
        <v xml:space="preserve"> Skills used to establish and maintain relationships with other people</v>
      </c>
    </row>
    <row r="242" spans="2:4" hidden="1">
      <c r="B242" s="12" t="s">
        <v>2821</v>
      </c>
      <c r="C242" s="12" t="s">
        <v>2822</v>
      </c>
      <c r="D242" s="12" t="str">
        <f t="shared" si="6"/>
        <v xml:space="preserve"> A current condition or situation that may have an impact on the project objectives</v>
      </c>
    </row>
    <row r="243" spans="2:4" hidden="1">
      <c r="B243" s="12" t="s">
        <v>2823</v>
      </c>
      <c r="C243" s="12" t="s">
        <v>2824</v>
      </c>
      <c r="D243" s="12" t="str">
        <f t="shared" si="6"/>
        <v xml:space="preserve"> A project document where information about issues is recorded and monitored</v>
      </c>
    </row>
    <row r="244" spans="2:4" ht="21" hidden="1">
      <c r="B244" s="12" t="s">
        <v>2825</v>
      </c>
      <c r="C244" s="12" t="s">
        <v>2826</v>
      </c>
      <c r="D244" s="12" t="str">
        <f t="shared" si="6"/>
        <v xml:space="preserve"> A timeboxed cycle of development on a product or deliverable in which all of the work that is needed to deliver value is performed</v>
      </c>
    </row>
    <row r="245" spans="2:4" hidden="1">
      <c r="B245" s="12" t="s">
        <v>2827</v>
      </c>
      <c r="D245" s="12">
        <f t="shared" si="6"/>
        <v>0</v>
      </c>
    </row>
    <row r="246" spans="2:4" hidden="1">
      <c r="B246" s="12" t="s">
        <v>2828</v>
      </c>
      <c r="C246" s="12" t="s">
        <v>2829</v>
      </c>
      <c r="D246" s="12" t="str">
        <f t="shared" si="6"/>
        <v xml:space="preserve"> A detailed plan for the current iteration</v>
      </c>
    </row>
    <row r="247" spans="2:4" ht="21" hidden="1">
      <c r="B247" s="12" t="s">
        <v>2830</v>
      </c>
      <c r="C247" s="12" t="s">
        <v>2831</v>
      </c>
      <c r="D247" s="12" t="str">
        <f t="shared" si="6"/>
        <v xml:space="preserve"> A meeting to clarify the details of the backlog items, acceptance criteria, and work effort required to meet an upcoming iteration commitment</v>
      </c>
    </row>
    <row r="248" spans="2:4" ht="21" hidden="1">
      <c r="B248" s="12" t="s">
        <v>2832</v>
      </c>
      <c r="D248" s="12">
        <f t="shared" si="6"/>
        <v>0</v>
      </c>
    </row>
    <row r="249" spans="2:4" ht="21" hidden="1">
      <c r="B249" s="12" t="s">
        <v>2833</v>
      </c>
      <c r="C249" s="12" t="s">
        <v>2834</v>
      </c>
      <c r="D249" s="12" t="str">
        <f t="shared" si="6"/>
        <v xml:space="preserve"> A meeting held at the end of an iteration to demonstrate the work that was accomplished during the iteration</v>
      </c>
    </row>
    <row r="250" spans="2:4" hidden="1">
      <c r="B250" s="12" t="s">
        <v>2835</v>
      </c>
      <c r="D250" s="12">
        <f t="shared" si="6"/>
        <v>0</v>
      </c>
    </row>
    <row r="251" spans="2:4" ht="21" hidden="1">
      <c r="B251" s="12" t="s">
        <v>2836</v>
      </c>
      <c r="C251" s="12" t="s">
        <v>2837</v>
      </c>
      <c r="D251" s="12" t="str">
        <f t="shared" si="6"/>
        <v xml:space="preserve"> A development approach that focuses on an initial, simplified implementation then progressively elaborates adding to the feature set until the final deliverable is complete</v>
      </c>
    </row>
    <row r="252" spans="2:4" ht="21" hidden="1">
      <c r="B252" s="12" t="s">
        <v>2838</v>
      </c>
      <c r="D252" s="12">
        <f t="shared" si="6"/>
        <v>0</v>
      </c>
    </row>
    <row r="253" spans="2:4" ht="21" hidden="1">
      <c r="B253" s="12" t="s">
        <v>2839</v>
      </c>
      <c r="C253" s="12" t="s">
        <v>2840</v>
      </c>
      <c r="D253" s="12" t="str">
        <f t="shared" si="6"/>
        <v xml:space="preserve"> A visualization tool that shows work in progress to help identify bottlenecks and overcommitments, thereby allowing the team to optimize the workflow</v>
      </c>
    </row>
    <row r="254" spans="2:4" ht="21" hidden="1">
      <c r="B254" s="12" t="s">
        <v>2841</v>
      </c>
      <c r="D254" s="12">
        <f t="shared" si="6"/>
        <v>0</v>
      </c>
    </row>
    <row r="255" spans="2:4" ht="21" hidden="1">
      <c r="B255" s="12" t="s">
        <v>2842</v>
      </c>
      <c r="C255" s="12" t="s">
        <v>2843</v>
      </c>
      <c r="D255" s="12" t="str">
        <f t="shared" si="6"/>
        <v xml:space="preserve"> A gathering of team members and other key stakeholders at the outset of a project to formally set expectations, gain a common understanding, and commence work</v>
      </c>
    </row>
    <row r="256" spans="2:4" ht="21" hidden="1">
      <c r="B256" s="12" t="s">
        <v>2844</v>
      </c>
      <c r="D256" s="12">
        <f t="shared" si="6"/>
        <v>0</v>
      </c>
    </row>
    <row r="257" spans="2:4" ht="21" hidden="1">
      <c r="B257" s="12" t="s">
        <v>2845</v>
      </c>
      <c r="C257" s="12" t="s">
        <v>2846</v>
      </c>
      <c r="D257" s="12" t="str">
        <f t="shared" si="6"/>
        <v xml:space="preserve"> A mixture of experience, values and beliefs, contextual information, intuition, and insight that people use to make sense of new experiences and information</v>
      </c>
    </row>
    <row r="258" spans="2:4" ht="21" hidden="1">
      <c r="B258" s="12" t="s">
        <v>2847</v>
      </c>
      <c r="D258" s="12">
        <f t="shared" si="6"/>
        <v>0</v>
      </c>
    </row>
    <row r="259" spans="2:4" ht="21" hidden="1">
      <c r="B259" s="12" t="s">
        <v>2848</v>
      </c>
      <c r="C259" s="12" t="s">
        <v>2849</v>
      </c>
      <c r="D259" s="12" t="str">
        <f t="shared" si="6"/>
        <v xml:space="preserve"> The amount of time whereby a successor activity will be delayed with respect to a predecessor activity</v>
      </c>
    </row>
    <row r="260" spans="2:4" hidden="1">
      <c r="B260" s="12" t="s">
        <v>2850</v>
      </c>
      <c r="D260" s="12">
        <f t="shared" si="6"/>
        <v>0</v>
      </c>
    </row>
    <row r="261" spans="2:4" ht="21" hidden="1">
      <c r="B261" s="32" t="s">
        <v>2851</v>
      </c>
      <c r="C261" s="12" t="s">
        <v>2852</v>
      </c>
      <c r="D261" s="32" t="str">
        <f t="shared" si="6"/>
        <v xml:space="preserve"> The concept of deferring a decision to allow the team to consider multiple options until the cost of further delay would exceed the benefit</v>
      </c>
    </row>
    <row r="262" spans="2:4" ht="21" hidden="1">
      <c r="B262" s="12" t="s">
        <v>2853</v>
      </c>
      <c r="D262" s="12">
        <f t="shared" si="6"/>
        <v>0</v>
      </c>
    </row>
    <row r="263" spans="2:4" ht="21" hidden="1">
      <c r="B263" s="12" t="s">
        <v>2854</v>
      </c>
      <c r="C263" s="12" t="s">
        <v>2855</v>
      </c>
      <c r="D263" s="12" t="str">
        <f t="shared" si="6"/>
        <v xml:space="preserve"> The amount of time whereby a successor activity can be advanced with respect to a predecessor activity</v>
      </c>
    </row>
    <row r="264" spans="2:4" hidden="1">
      <c r="B264" s="12" t="s">
        <v>2850</v>
      </c>
      <c r="D264" s="12">
        <f t="shared" si="6"/>
        <v>0</v>
      </c>
    </row>
    <row r="265" spans="2:4" hidden="1">
      <c r="B265" s="12" t="s">
        <v>2856</v>
      </c>
      <c r="C265" s="12" t="s">
        <v>2857</v>
      </c>
      <c r="D265" s="12" t="str">
        <f t="shared" ref="D265:D328" si="7">IF(C266="",CONCATENATE(C265," ",B266),C265)</f>
        <v xml:space="preserve"> The time between a customer request and the actual delivery</v>
      </c>
    </row>
    <row r="266" spans="2:4" hidden="1">
      <c r="B266" s="12" t="s">
        <v>2858</v>
      </c>
      <c r="C266" s="12" t="s">
        <v>2859</v>
      </c>
      <c r="D266" s="12" t="str">
        <f t="shared" si="7"/>
        <v xml:space="preserve"> A diagram showing the trend over time of the average lead time of the items completed in work</v>
      </c>
    </row>
    <row r="267" spans="2:4" hidden="1">
      <c r="B267" s="12" t="s">
        <v>2860</v>
      </c>
      <c r="D267" s="12">
        <f t="shared" si="7"/>
        <v>0</v>
      </c>
    </row>
    <row r="268" spans="2:4" ht="21" hidden="1">
      <c r="B268" s="12" t="s">
        <v>2861</v>
      </c>
      <c r="C268" s="12" t="s">
        <v>2862</v>
      </c>
      <c r="D268" s="12" t="str">
        <f t="shared" si="7"/>
        <v xml:space="preserve"> A one-page template designed to communicate a business plan with key stakeholders in an efficient and effective manner</v>
      </c>
    </row>
    <row r="269" spans="2:4" hidden="1">
      <c r="B269" s="12" t="s">
        <v>2863</v>
      </c>
      <c r="D269" s="12">
        <f t="shared" si="7"/>
        <v>0</v>
      </c>
    </row>
    <row r="270" spans="2:4" ht="21" hidden="1">
      <c r="B270" s="12" t="s">
        <v>2864</v>
      </c>
      <c r="C270" s="12" t="s">
        <v>2865</v>
      </c>
      <c r="D270" s="12" t="str">
        <f t="shared" si="7"/>
        <v xml:space="preserve"> The knowledge gained during a project, which shows how project events were addressed or should be addressed in the future, for the purpose of improving future performance</v>
      </c>
    </row>
    <row r="271" spans="2:4" ht="21" hidden="1">
      <c r="B271" s="12" t="s">
        <v>2866</v>
      </c>
      <c r="D271" s="12">
        <f t="shared" si="7"/>
        <v>0</v>
      </c>
    </row>
    <row r="272" spans="2:4" ht="21" hidden="1">
      <c r="B272" s="12" t="s">
        <v>2867</v>
      </c>
      <c r="C272" s="12" t="s">
        <v>2868</v>
      </c>
      <c r="D272" s="12" t="str">
        <f t="shared" si="7"/>
        <v xml:space="preserve"> A project document used to record knowledge gained during a project, phase, or iteration so that it can be used to improve future performance for the team and the</v>
      </c>
    </row>
    <row r="273" spans="2:4" ht="21" hidden="1">
      <c r="B273" s="12" t="s">
        <v>2869</v>
      </c>
      <c r="D273" s="12" t="str">
        <f t="shared" si="7"/>
        <v xml:space="preserve"> organization</v>
      </c>
    </row>
    <row r="274" spans="2:4" hidden="1">
      <c r="B274" s="12" t="s">
        <v>2870</v>
      </c>
      <c r="D274" s="12">
        <f t="shared" si="7"/>
        <v>0</v>
      </c>
    </row>
    <row r="275" spans="2:4" hidden="1">
      <c r="B275" s="12" t="s">
        <v>2871</v>
      </c>
      <c r="C275" s="12" t="s">
        <v>2872</v>
      </c>
      <c r="D275" s="12" t="str">
        <f t="shared" si="7"/>
        <v xml:space="preserve"> See project life cycle</v>
      </c>
    </row>
    <row r="276" spans="2:4" hidden="1">
      <c r="B276" s="12" t="s">
        <v>2873</v>
      </c>
      <c r="C276" s="12" t="s">
        <v>2874</v>
      </c>
      <c r="D276" s="12" t="str">
        <f t="shared" si="7"/>
        <v xml:space="preserve"> A tool used to evaluate the total environmental impact of a product, process, or system</v>
      </c>
    </row>
    <row r="277" spans="2:4" hidden="1">
      <c r="B277" s="12" t="s">
        <v>2875</v>
      </c>
      <c r="D277" s="12">
        <f t="shared" si="7"/>
        <v>0</v>
      </c>
    </row>
    <row r="278" spans="2:4" ht="21" hidden="1">
      <c r="B278" s="12" t="s">
        <v>2876</v>
      </c>
      <c r="C278" s="12" t="s">
        <v>2877</v>
      </c>
      <c r="D278" s="12" t="str">
        <f t="shared" si="7"/>
        <v xml:space="preserve"> A document used to record and describe or denote selected items identified during execution</v>
      </c>
    </row>
    <row r="279" spans="2:4" hidden="1">
      <c r="B279" s="12" t="s">
        <v>2878</v>
      </c>
      <c r="C279" s="12" t="s">
        <v>2879</v>
      </c>
      <c r="D279" s="12" t="str">
        <f t="shared" si="7"/>
        <v xml:space="preserve"> Usually used with a modifier, such as issue, change, or assumption</v>
      </c>
    </row>
    <row r="280" spans="2:4" ht="21" hidden="1">
      <c r="B280" s="12" t="s">
        <v>2880</v>
      </c>
      <c r="C280" s="12" t="s">
        <v>2881</v>
      </c>
      <c r="D280" s="12" t="str">
        <f t="shared" si="7"/>
        <v xml:space="preserve"> The process of gathering and organizing data about product requirements and analyzing them against available alternatives including the purchase or internal manufacture</v>
      </c>
    </row>
    <row r="281" spans="2:4" ht="21" hidden="1">
      <c r="B281" s="12" t="s">
        <v>2882</v>
      </c>
      <c r="D281" s="12" t="str">
        <f t="shared" si="7"/>
        <v xml:space="preserve"> of the product</v>
      </c>
    </row>
    <row r="282" spans="2:4" hidden="1">
      <c r="B282" s="12" t="s">
        <v>2883</v>
      </c>
      <c r="D282" s="12">
        <f t="shared" si="7"/>
        <v>0</v>
      </c>
    </row>
    <row r="283" spans="2:4" ht="21" hidden="1">
      <c r="B283" s="12" t="s">
        <v>2884</v>
      </c>
      <c r="C283" s="12" t="s">
        <v>2885</v>
      </c>
      <c r="D283" s="12" t="str">
        <f t="shared" si="7"/>
        <v xml:space="preserve"> An amount of the project budget or project schedule held outside of the performance measurement baseline for management control purposes that is reserved for unforeseen</v>
      </c>
    </row>
    <row r="284" spans="2:4" ht="21" hidden="1">
      <c r="B284" s="12" t="s">
        <v>2886</v>
      </c>
      <c r="D284" s="12" t="str">
        <f t="shared" si="7"/>
        <v xml:space="preserve"> work that is within the project scope</v>
      </c>
    </row>
    <row r="285" spans="2:4" hidden="1">
      <c r="B285" s="12" t="s">
        <v>2887</v>
      </c>
      <c r="D285" s="12">
        <f t="shared" si="7"/>
        <v>0</v>
      </c>
    </row>
    <row r="286" spans="2:4" hidden="1">
      <c r="B286" s="12" t="s">
        <v>2888</v>
      </c>
      <c r="C286" s="12" t="s">
        <v>2889</v>
      </c>
      <c r="D286" s="12" t="str">
        <f t="shared" si="7"/>
        <v xml:space="preserve"> A relationship that is contractually required or inherent in the nature of the work</v>
      </c>
    </row>
    <row r="287" spans="2:4" hidden="1">
      <c r="B287" s="12" t="s">
        <v>2890</v>
      </c>
      <c r="D287" s="12">
        <f t="shared" si="7"/>
        <v>0</v>
      </c>
    </row>
    <row r="288" spans="2:4" ht="21" hidden="1">
      <c r="B288" s="12" t="s">
        <v>2891</v>
      </c>
      <c r="C288" s="12" t="s">
        <v>2892</v>
      </c>
      <c r="D288" s="12" t="str">
        <f t="shared" si="7"/>
        <v xml:space="preserve"> The performance domain that addresses activities and functions associated with assessing project performance and taking appropriate actions to maintain</v>
      </c>
    </row>
    <row r="289" spans="2:4" ht="21" hidden="1">
      <c r="B289" s="12" t="s">
        <v>2893</v>
      </c>
      <c r="D289" s="12" t="str">
        <f t="shared" si="7"/>
        <v xml:space="preserve"> acceptable performance</v>
      </c>
    </row>
    <row r="290" spans="2:4" hidden="1">
      <c r="B290" s="12" t="s">
        <v>2894</v>
      </c>
      <c r="D290" s="12">
        <f t="shared" si="7"/>
        <v>0</v>
      </c>
    </row>
    <row r="291" spans="2:4" hidden="1">
      <c r="B291" s="12" t="s">
        <v>2895</v>
      </c>
      <c r="C291" s="12" t="s">
        <v>2896</v>
      </c>
      <c r="D291" s="12" t="str">
        <f t="shared" si="7"/>
        <v xml:space="preserve"> Measures that characterize physical or functional attributes relating to system operation</v>
      </c>
    </row>
    <row r="292" spans="2:4" hidden="1">
      <c r="B292" s="12" t="s">
        <v>2897</v>
      </c>
      <c r="D292" s="12">
        <f t="shared" si="7"/>
        <v>0</v>
      </c>
    </row>
    <row r="293" spans="2:4" hidden="1">
      <c r="B293" s="12" t="s">
        <v>2898</v>
      </c>
      <c r="C293" s="12" t="s">
        <v>2899</v>
      </c>
      <c r="D293" s="12" t="str">
        <f t="shared" si="7"/>
        <v xml:space="preserve"> A means for achieving an outcome, output, result, or project deliverable</v>
      </c>
    </row>
    <row r="294" spans="2:4" hidden="1">
      <c r="B294" s="12" t="s">
        <v>2900</v>
      </c>
      <c r="C294" s="12" t="s">
        <v>2901</v>
      </c>
      <c r="D294" s="12" t="str">
        <f t="shared" si="7"/>
        <v xml:space="preserve"> A system of practices, techniques, procedures, and rules used by those who work in a discipline</v>
      </c>
    </row>
    <row r="295" spans="2:4" hidden="1">
      <c r="B295" s="12" t="s">
        <v>2902</v>
      </c>
      <c r="D295" s="12">
        <f t="shared" si="7"/>
        <v>0</v>
      </c>
    </row>
    <row r="296" spans="2:4" hidden="1">
      <c r="B296" s="12" t="s">
        <v>2903</v>
      </c>
      <c r="C296" s="12" t="s">
        <v>2904</v>
      </c>
      <c r="D296" s="12" t="str">
        <f t="shared" si="7"/>
        <v xml:space="preserve"> A description of a project or product attribute and how to measure it</v>
      </c>
    </row>
    <row r="297" spans="2:4" hidden="1">
      <c r="B297" s="12" t="s">
        <v>269</v>
      </c>
      <c r="C297" s="12" t="s">
        <v>2905</v>
      </c>
      <c r="D297" s="12" t="str">
        <f t="shared" si="7"/>
        <v xml:space="preserve"> A significant point or event in a project, program, or portfolio</v>
      </c>
    </row>
    <row r="298" spans="2:4" hidden="1">
      <c r="B298" s="12" t="s">
        <v>2906</v>
      </c>
      <c r="C298" s="12" t="s">
        <v>2907</v>
      </c>
      <c r="D298" s="12" t="str">
        <f t="shared" si="7"/>
        <v xml:space="preserve"> A type of schedule that presents milestones with planned dates</v>
      </c>
    </row>
    <row r="299" spans="2:4" ht="21" hidden="1">
      <c r="B299" s="12" t="s">
        <v>2908</v>
      </c>
      <c r="C299" s="12" t="s">
        <v>2909</v>
      </c>
      <c r="D299" s="12" t="str">
        <f t="shared" si="7"/>
        <v xml:space="preserve"> A concept used to define the scope of the first release of a solution to customers by identifying the fewest number of features or requirements that would deliver value</v>
      </c>
    </row>
    <row r="300" spans="2:4" ht="21" hidden="1">
      <c r="B300" s="12" t="s">
        <v>2910</v>
      </c>
      <c r="D300" s="12">
        <f t="shared" si="7"/>
        <v>0</v>
      </c>
    </row>
    <row r="301" spans="2:4" ht="21" hidden="1">
      <c r="B301" s="12" t="s">
        <v>2911</v>
      </c>
      <c r="C301" s="12" t="s">
        <v>2912</v>
      </c>
      <c r="D301" s="12" t="str">
        <f t="shared" si="7"/>
        <v xml:space="preserve"> Creating simplified representations of systems, solutions, or deliverables, such as prototypes, diagrams, or storyboards</v>
      </c>
    </row>
    <row r="302" spans="2:4" hidden="1">
      <c r="B302" s="12" t="s">
        <v>2913</v>
      </c>
      <c r="D302" s="12">
        <f t="shared" si="7"/>
        <v>0</v>
      </c>
    </row>
    <row r="303" spans="2:4" ht="21" hidden="1">
      <c r="B303" s="12" t="s">
        <v>2914</v>
      </c>
      <c r="C303" s="12" t="s">
        <v>2915</v>
      </c>
      <c r="D303" s="12" t="str">
        <f t="shared" si="7"/>
        <v xml:space="preserve"> Collect project performance data, produce performance measures, and report and disseminate performance information</v>
      </c>
    </row>
    <row r="304" spans="2:4" hidden="1">
      <c r="B304" s="12" t="s">
        <v>2916</v>
      </c>
      <c r="D304" s="12">
        <f t="shared" si="7"/>
        <v>0</v>
      </c>
    </row>
    <row r="305" spans="2:4" ht="21" hidden="1">
      <c r="B305" s="12" t="s">
        <v>2917</v>
      </c>
      <c r="C305" s="12" t="s">
        <v>2918</v>
      </c>
      <c r="D305" s="12" t="str">
        <f t="shared" si="7"/>
        <v xml:space="preserve"> Those processes required to track, review, and regulate the progress and performance of the project; identify any areas in which changes to the plan are</v>
      </c>
    </row>
    <row r="306" spans="2:4" ht="21" hidden="1">
      <c r="B306" s="12" t="s">
        <v>2919</v>
      </c>
      <c r="D306" s="12" t="str">
        <f t="shared" si="7"/>
        <v xml:space="preserve"> required; and initiate corresponding changes</v>
      </c>
    </row>
    <row r="307" spans="2:4" hidden="1">
      <c r="B307" s="12" t="s">
        <v>2920</v>
      </c>
      <c r="D307" s="12">
        <f t="shared" si="7"/>
        <v>0</v>
      </c>
    </row>
    <row r="308" spans="2:4" ht="21" hidden="1">
      <c r="B308" s="12" t="s">
        <v>2921</v>
      </c>
      <c r="C308" s="12" t="s">
        <v>2922</v>
      </c>
      <c r="D308" s="12" t="str">
        <f t="shared" si="7"/>
        <v xml:space="preserve"> A method of identifying the potential impacts of risk and uncertainty using multiple iterations of a computer model to develop a probability distribution of a range of outcomes</v>
      </c>
    </row>
    <row r="309" spans="2:4" ht="21" hidden="1">
      <c r="B309" s="12" t="s">
        <v>2923</v>
      </c>
      <c r="D309" s="12" t="str">
        <f t="shared" si="7"/>
        <v xml:space="preserve"> that could result from a decision or course of action</v>
      </c>
    </row>
    <row r="310" spans="2:4" hidden="1">
      <c r="B310" s="12" t="s">
        <v>2924</v>
      </c>
      <c r="D310" s="12">
        <f t="shared" si="7"/>
        <v>0</v>
      </c>
    </row>
    <row r="311" spans="2:4" ht="21" hidden="1">
      <c r="B311" s="12" t="s">
        <v>2925</v>
      </c>
      <c r="C311" s="12" t="s">
        <v>2926</v>
      </c>
      <c r="D311" s="12" t="str">
        <f t="shared" si="7"/>
        <v xml:space="preserve"> A visualization chart for tracking moods or reactions to identify areas for improvement</v>
      </c>
    </row>
    <row r="312" spans="2:4" ht="21" hidden="1">
      <c r="B312" s="12" t="s">
        <v>2927</v>
      </c>
      <c r="C312" s="12" t="s">
        <v>2928</v>
      </c>
      <c r="D312" s="12" t="str">
        <f t="shared" si="7"/>
        <v xml:space="preserve"> A method used to estimate cost or duration by applying an average or weighted average of optimistic, pessimistic, and most likely estimates when there is uncertainty</v>
      </c>
    </row>
    <row r="313" spans="2:4" ht="21" hidden="1">
      <c r="B313" s="12" t="s">
        <v>2929</v>
      </c>
      <c r="D313" s="12" t="str">
        <f t="shared" si="7"/>
        <v xml:space="preserve"> with the individual activity estimates</v>
      </c>
    </row>
    <row r="314" spans="2:4" hidden="1">
      <c r="B314" s="12" t="s">
        <v>2930</v>
      </c>
      <c r="D314" s="12">
        <f t="shared" si="7"/>
        <v>0</v>
      </c>
    </row>
    <row r="315" spans="2:4" ht="21" hidden="1">
      <c r="B315" s="12" t="s">
        <v>2931</v>
      </c>
      <c r="C315" s="12" t="s">
        <v>2932</v>
      </c>
      <c r="D315" s="12" t="str">
        <f t="shared" si="7"/>
        <v xml:space="preserve"> An index that measures the willingness of customers to recommend an organization’s products or services to others</v>
      </c>
    </row>
    <row r="316" spans="2:4" hidden="1">
      <c r="B316" s="12" t="s">
        <v>2933</v>
      </c>
      <c r="D316" s="12">
        <f t="shared" si="7"/>
        <v>0</v>
      </c>
    </row>
    <row r="317" spans="2:4" hidden="1">
      <c r="B317" s="12" t="s">
        <v>2934</v>
      </c>
      <c r="C317" s="12" t="s">
        <v>2935</v>
      </c>
      <c r="D317" s="12" t="str">
        <f t="shared" si="7"/>
        <v xml:space="preserve"> A sequence of activities connected by logical relationships in a project schedule network diagram</v>
      </c>
    </row>
    <row r="318" spans="2:4" hidden="1">
      <c r="B318" s="12" t="s">
        <v>2936</v>
      </c>
      <c r="D318" s="12">
        <f t="shared" si="7"/>
        <v>0</v>
      </c>
    </row>
    <row r="319" spans="2:4" ht="21" hidden="1">
      <c r="B319" s="12" t="s">
        <v>2937</v>
      </c>
      <c r="C319" s="12" t="s">
        <v>2938</v>
      </c>
      <c r="D319" s="12" t="str">
        <f t="shared" si="7"/>
        <v xml:space="preserve"> Something toward which work is to be directed, a strategic position to be attained, a purpose to be achieved, a result to be obtained, a product to be produced, or a service</v>
      </c>
    </row>
    <row r="320" spans="2:4" ht="21" hidden="1">
      <c r="B320" s="12" t="s">
        <v>2939</v>
      </c>
      <c r="D320" s="12" t="str">
        <f t="shared" si="7"/>
        <v xml:space="preserve"> to be performed</v>
      </c>
    </row>
    <row r="321" spans="2:4" hidden="1">
      <c r="B321" s="12" t="s">
        <v>2940</v>
      </c>
      <c r="D321" s="12">
        <f t="shared" si="7"/>
        <v>0</v>
      </c>
    </row>
    <row r="322" spans="2:4" hidden="1">
      <c r="B322" s="12" t="s">
        <v>2941</v>
      </c>
      <c r="C322" s="12" t="s">
        <v>2942</v>
      </c>
      <c r="D322" s="12" t="str">
        <f t="shared" si="7"/>
        <v xml:space="preserve"> A risk that would have a positive effect on one or more project objectives</v>
      </c>
    </row>
    <row r="323" spans="2:4" ht="21" hidden="1">
      <c r="B323" s="12" t="s">
        <v>2943</v>
      </c>
      <c r="C323" s="12" t="s">
        <v>2944</v>
      </c>
      <c r="D323" s="12" t="str">
        <f t="shared" si="7"/>
        <v xml:space="preserve"> A hierarchical representation of the project organization, which illustrates the relationship between project activities and the organizational</v>
      </c>
    </row>
    <row r="324" spans="2:4" ht="21" hidden="1">
      <c r="B324" s="12" t="s">
        <v>2945</v>
      </c>
      <c r="D324" s="12" t="str">
        <f t="shared" si="7"/>
        <v xml:space="preserve"> units that will perform those activities</v>
      </c>
    </row>
    <row r="325" spans="2:4" hidden="1">
      <c r="B325" s="12" t="s">
        <v>2946</v>
      </c>
      <c r="D325" s="12">
        <f t="shared" si="7"/>
        <v>0</v>
      </c>
    </row>
    <row r="326" spans="2:4" ht="21" hidden="1">
      <c r="B326" s="12" t="s">
        <v>2947</v>
      </c>
      <c r="C326" s="12" t="s">
        <v>2948</v>
      </c>
      <c r="D326" s="12" t="str">
        <f t="shared" si="7"/>
        <v xml:space="preserve"> Plans, processes, policies, procedures, and knowledge bases that are specific to and used by the performing organization</v>
      </c>
    </row>
    <row r="327" spans="2:4" hidden="1">
      <c r="B327" s="12" t="s">
        <v>2949</v>
      </c>
      <c r="D327" s="12">
        <f t="shared" si="7"/>
        <v>0</v>
      </c>
    </row>
    <row r="328" spans="2:4" ht="21" hidden="1">
      <c r="B328" s="12" t="s">
        <v>2950</v>
      </c>
      <c r="C328" s="12" t="s">
        <v>2951</v>
      </c>
      <c r="D328" s="12" t="str">
        <f t="shared" si="7"/>
        <v xml:space="preserve"> Means of receiving information without direct communication by overhearing and through nonverbal cues</v>
      </c>
    </row>
    <row r="329" spans="2:4" hidden="1">
      <c r="B329" s="12" t="s">
        <v>2952</v>
      </c>
      <c r="D329" s="12">
        <f t="shared" ref="D329:D392" si="8">IF(C330="",CONCATENATE(C329," ",B330),C329)</f>
        <v>0</v>
      </c>
    </row>
    <row r="330" spans="2:4" hidden="1">
      <c r="B330" s="12" t="s">
        <v>2953</v>
      </c>
      <c r="C330" s="12" t="s">
        <v>2954</v>
      </c>
      <c r="D330" s="12" t="str">
        <f t="shared" si="8"/>
        <v xml:space="preserve"> An end result or consequence of a process or project</v>
      </c>
    </row>
    <row r="331" spans="2:4" ht="21">
      <c r="B331" s="12" t="s">
        <v>2955</v>
      </c>
      <c r="C331" s="12" t="s">
        <v>2956</v>
      </c>
      <c r="D331" s="12" t="str">
        <f t="shared" si="8"/>
        <v xml:space="preserve"> An estimating method in which an algorithm is used to calculate cost or duration based on historical data and project parameters</v>
      </c>
    </row>
    <row r="332" spans="2:4">
      <c r="B332" s="12" t="s">
        <v>2957</v>
      </c>
      <c r="D332" s="12">
        <f t="shared" si="8"/>
        <v>0</v>
      </c>
    </row>
    <row r="333" spans="2:4" ht="21" hidden="1">
      <c r="B333" s="12" t="s">
        <v>2958</v>
      </c>
      <c r="C333" s="12" t="s">
        <v>2959</v>
      </c>
      <c r="D333" s="12" t="str">
        <f t="shared" si="8"/>
        <v xml:space="preserve"> Integrated scope, schedule, and cost baselines used for comparison to manage, measure, and control project execution</v>
      </c>
    </row>
    <row r="334" spans="2:4" ht="21" hidden="1">
      <c r="B334" s="12" t="s">
        <v>2960</v>
      </c>
      <c r="D334" s="12">
        <f t="shared" si="8"/>
        <v>0</v>
      </c>
    </row>
    <row r="335" spans="2:4" ht="21" hidden="1">
      <c r="B335" s="12" t="s">
        <v>2961</v>
      </c>
      <c r="C335" s="12" t="s">
        <v>2962</v>
      </c>
      <c r="D335" s="12" t="str">
        <f t="shared" si="8"/>
        <v xml:space="preserve"> A review at the end of a phase in which a decision is made to continue to the next phase, to continue with modification, or to end a project or program</v>
      </c>
    </row>
    <row r="336" spans="2:4" hidden="1">
      <c r="B336" s="12" t="s">
        <v>2963</v>
      </c>
      <c r="D336" s="12">
        <f t="shared" si="8"/>
        <v>0</v>
      </c>
    </row>
    <row r="337" spans="2:4" hidden="1">
      <c r="B337" s="12" t="s">
        <v>2964</v>
      </c>
      <c r="C337" s="12" t="s">
        <v>2965</v>
      </c>
      <c r="D337" s="12" t="str">
        <f t="shared" si="8"/>
        <v xml:space="preserve"> A proposed means of accomplishing something</v>
      </c>
    </row>
    <row r="338" spans="2:4" hidden="1">
      <c r="B338" s="12" t="s">
        <v>2966</v>
      </c>
      <c r="C338" s="12" t="s">
        <v>2967</v>
      </c>
      <c r="D338" s="12" t="str">
        <f t="shared" si="8"/>
        <v xml:space="preserve"> The authorized budget assigned to scheduled work</v>
      </c>
    </row>
    <row r="339" spans="2:4" ht="21" hidden="1">
      <c r="B339" s="12" t="s">
        <v>2968</v>
      </c>
      <c r="C339" s="12" t="s">
        <v>2686</v>
      </c>
      <c r="D339" s="12" t="str">
        <f t="shared" si="8"/>
        <v xml:space="preserve"> The performance domain that addresses activities and functions associated with the initial, ongoing, and evolving organization and coordination necessary for</v>
      </c>
    </row>
    <row r="340" spans="2:4" ht="21" hidden="1">
      <c r="B340" s="12" t="s">
        <v>2969</v>
      </c>
      <c r="D340" s="12" t="str">
        <f t="shared" si="8"/>
        <v xml:space="preserve"> delivering project deliverables and results</v>
      </c>
    </row>
    <row r="341" spans="2:4" hidden="1">
      <c r="B341" s="12" t="s">
        <v>2970</v>
      </c>
      <c r="D341" s="12">
        <f t="shared" si="8"/>
        <v>0</v>
      </c>
    </row>
    <row r="342" spans="2:4" ht="21" hidden="1">
      <c r="B342" s="12" t="s">
        <v>2971</v>
      </c>
      <c r="C342" s="12" t="s">
        <v>2972</v>
      </c>
      <c r="D342" s="12" t="str">
        <f t="shared" si="8"/>
        <v xml:space="preserve"> Those processes required to establish the scope of the project, refine the objectives, and define the course of action required to attain the objectives that the project was</v>
      </c>
    </row>
    <row r="343" spans="2:4" ht="21" hidden="1">
      <c r="B343" s="12" t="s">
        <v>2973</v>
      </c>
      <c r="D343" s="12" t="str">
        <f t="shared" si="8"/>
        <v xml:space="preserve"> undertaken to achieve</v>
      </c>
    </row>
    <row r="344" spans="2:4" hidden="1">
      <c r="B344" s="12" t="s">
        <v>2974</v>
      </c>
      <c r="D344" s="12">
        <f t="shared" si="8"/>
        <v>0</v>
      </c>
    </row>
    <row r="345" spans="2:4" ht="21" hidden="1">
      <c r="B345" s="12" t="s">
        <v>2975</v>
      </c>
      <c r="C345" s="12" t="s">
        <v>2976</v>
      </c>
      <c r="D345" s="12" t="str">
        <f t="shared" si="8"/>
        <v xml:space="preserve"> Projects, programs, subsidiary portfolios, and operations managed as a group to achieve strategic objectives</v>
      </c>
    </row>
    <row r="346" spans="2:4" hidden="1">
      <c r="B346" s="12" t="s">
        <v>2977</v>
      </c>
      <c r="D346" s="12">
        <f t="shared" si="8"/>
        <v>0</v>
      </c>
    </row>
    <row r="347" spans="2:4" hidden="1">
      <c r="B347" s="12" t="s">
        <v>2978</v>
      </c>
      <c r="C347" s="12" t="s">
        <v>2979</v>
      </c>
      <c r="D347" s="12" t="str">
        <f t="shared" si="8"/>
        <v xml:space="preserve"> The centralized management of one or more portfolios to achieve strategic objectives</v>
      </c>
    </row>
    <row r="348" spans="2:4" hidden="1">
      <c r="B348" s="12" t="s">
        <v>2977</v>
      </c>
      <c r="D348" s="12">
        <f t="shared" si="8"/>
        <v>0</v>
      </c>
    </row>
    <row r="349" spans="2:4" hidden="1">
      <c r="B349" s="12" t="s">
        <v>2980</v>
      </c>
      <c r="C349" s="12" t="s">
        <v>2981</v>
      </c>
      <c r="D349" s="12" t="str">
        <f t="shared" si="8"/>
        <v xml:space="preserve"> Within the quality management system, precision is an assessment of exactness</v>
      </c>
    </row>
    <row r="350" spans="2:4" ht="21" hidden="1">
      <c r="B350" s="12" t="s">
        <v>2982</v>
      </c>
      <c r="C350" s="12" t="s">
        <v>2983</v>
      </c>
      <c r="D350" s="12" t="str">
        <f t="shared" si="8"/>
        <v xml:space="preserve"> A development approach in which the project scope, time, and cost are determined in the early phases of the life cycle</v>
      </c>
    </row>
    <row r="351" spans="2:4" hidden="1">
      <c r="B351" s="12" t="s">
        <v>2984</v>
      </c>
      <c r="D351" s="12">
        <f t="shared" si="8"/>
        <v>0</v>
      </c>
    </row>
    <row r="352" spans="2:4" hidden="1">
      <c r="B352" s="12" t="s">
        <v>2985</v>
      </c>
      <c r="C352" s="12" t="s">
        <v>2986</v>
      </c>
      <c r="D352" s="12" t="str">
        <f t="shared" si="8"/>
        <v xml:space="preserve"> A scatter diagram that plots effort against value so as to classify items by priority</v>
      </c>
    </row>
    <row r="353" spans="2:4" hidden="1">
      <c r="B353" s="12" t="s">
        <v>2987</v>
      </c>
      <c r="D353" s="12">
        <f t="shared" si="8"/>
        <v>0</v>
      </c>
    </row>
    <row r="354" spans="2:4" ht="21" hidden="1">
      <c r="B354" s="12" t="s">
        <v>2988</v>
      </c>
      <c r="C354" s="12" t="s">
        <v>2989</v>
      </c>
      <c r="D354" s="12" t="str">
        <f t="shared" si="8"/>
        <v xml:space="preserve"> Methods used to prioritize portfolio, program, or project components, as well as requirements, risks, features, or other product information</v>
      </c>
    </row>
    <row r="355" spans="2:4" ht="21" hidden="1">
      <c r="B355" s="12" t="s">
        <v>2990</v>
      </c>
      <c r="D355" s="12">
        <f t="shared" si="8"/>
        <v>0</v>
      </c>
    </row>
    <row r="356" spans="2:4" ht="21" hidden="1">
      <c r="B356" s="12" t="s">
        <v>2991</v>
      </c>
      <c r="C356" s="12" t="s">
        <v>2992</v>
      </c>
      <c r="D356" s="12" t="str">
        <f t="shared" si="8"/>
        <v xml:space="preserve"> A method used to develop a range of estimates along with the associated probabilities within that range</v>
      </c>
    </row>
    <row r="357" spans="2:4" hidden="1">
      <c r="B357" s="12" t="s">
        <v>2993</v>
      </c>
      <c r="D357" s="12">
        <f t="shared" si="8"/>
        <v>0</v>
      </c>
    </row>
    <row r="358" spans="2:4" ht="21" hidden="1">
      <c r="B358" s="12" t="s">
        <v>2994</v>
      </c>
      <c r="C358" s="12" t="s">
        <v>2995</v>
      </c>
      <c r="D358" s="12" t="str">
        <f t="shared" si="8"/>
        <v xml:space="preserve"> A grid for mapping the probability of occurrence of each risk and its impact on project objectives if that risk occurs</v>
      </c>
    </row>
    <row r="359" spans="2:4" hidden="1">
      <c r="B359" s="12" t="s">
        <v>2996</v>
      </c>
      <c r="D359" s="12">
        <f t="shared" si="8"/>
        <v>0</v>
      </c>
    </row>
    <row r="360" spans="2:4" ht="21" hidden="1">
      <c r="B360" s="12" t="s">
        <v>2997</v>
      </c>
      <c r="C360" s="12" t="s">
        <v>2998</v>
      </c>
      <c r="D360" s="12" t="str">
        <f t="shared" si="8"/>
        <v xml:space="preserve"> A component of the project or program management plan that describes how a project team will acquire goods and services from outside of the performing</v>
      </c>
    </row>
    <row r="361" spans="2:4" ht="21" hidden="1">
      <c r="B361" s="12" t="s">
        <v>2999</v>
      </c>
      <c r="D361" s="12" t="str">
        <f t="shared" si="8"/>
        <v xml:space="preserve"> organization</v>
      </c>
    </row>
    <row r="362" spans="2:4" hidden="1">
      <c r="B362" s="12" t="s">
        <v>2870</v>
      </c>
      <c r="D362" s="12">
        <f t="shared" si="8"/>
        <v>0</v>
      </c>
    </row>
    <row r="363" spans="2:4" ht="21" hidden="1">
      <c r="B363" s="12" t="s">
        <v>3000</v>
      </c>
      <c r="C363" s="12" t="s">
        <v>3001</v>
      </c>
      <c r="D363" s="12" t="str">
        <f t="shared" si="8"/>
        <v xml:space="preserve"> An artifact that is produced, is quantifiable, and can be either an end item in itself or a component item</v>
      </c>
    </row>
    <row r="364" spans="2:4" hidden="1">
      <c r="B364" s="12" t="s">
        <v>3002</v>
      </c>
      <c r="D364" s="12">
        <f t="shared" si="8"/>
        <v>0</v>
      </c>
    </row>
    <row r="365" spans="2:4" hidden="1">
      <c r="B365" s="12" t="s">
        <v>3003</v>
      </c>
      <c r="C365" s="12" t="s">
        <v>3004</v>
      </c>
      <c r="D365" s="12" t="str">
        <f t="shared" si="8"/>
        <v xml:space="preserve"> A hierarchical structure reflecting a product’s components and deliverables</v>
      </c>
    </row>
    <row r="366" spans="2:4" hidden="1">
      <c r="B366" s="12" t="s">
        <v>3005</v>
      </c>
      <c r="D366" s="12">
        <f t="shared" si="8"/>
        <v>0</v>
      </c>
    </row>
    <row r="367" spans="2:4" ht="21" hidden="1">
      <c r="B367" s="12" t="s">
        <v>3006</v>
      </c>
      <c r="C367" s="12" t="s">
        <v>3007</v>
      </c>
      <c r="D367" s="12" t="str">
        <f t="shared" si="8"/>
        <v xml:space="preserve"> A series of phases that represent the evolution of a product, from concept through delivery, growth, maturity, and to retirement</v>
      </c>
    </row>
    <row r="368" spans="2:4" hidden="1">
      <c r="B368" s="12" t="s">
        <v>3008</v>
      </c>
      <c r="D368" s="12">
        <f t="shared" si="8"/>
        <v>0</v>
      </c>
    </row>
    <row r="369" spans="2:4" ht="21" hidden="1">
      <c r="B369" s="12" t="s">
        <v>3009</v>
      </c>
      <c r="C369" s="12" t="s">
        <v>3010</v>
      </c>
      <c r="D369" s="12" t="str">
        <f t="shared" si="8"/>
        <v xml:space="preserve"> The integration of people, data, processes, and business systems to create, maintain, and evolve a product or service throughout its life cycle</v>
      </c>
    </row>
    <row r="370" spans="2:4" ht="21" hidden="1">
      <c r="B370" s="12" t="s">
        <v>3011</v>
      </c>
      <c r="D370" s="12">
        <f t="shared" si="8"/>
        <v>0</v>
      </c>
    </row>
    <row r="371" spans="2:4" hidden="1">
      <c r="B371" s="12" t="s">
        <v>3012</v>
      </c>
      <c r="C371" s="12" t="s">
        <v>3013</v>
      </c>
      <c r="D371" s="12" t="str">
        <f t="shared" si="8"/>
        <v xml:space="preserve"> A person responsible for maximizing the value of the product and accountable for the end product</v>
      </c>
    </row>
    <row r="372" spans="2:4" hidden="1">
      <c r="B372" s="12" t="s">
        <v>3014</v>
      </c>
      <c r="D372" s="12">
        <f t="shared" si="8"/>
        <v>0</v>
      </c>
    </row>
    <row r="373" spans="2:4" hidden="1">
      <c r="B373" s="12" t="s">
        <v>3015</v>
      </c>
      <c r="C373" s="12" t="s">
        <v>3016</v>
      </c>
      <c r="D373" s="12" t="str">
        <f t="shared" si="8"/>
        <v xml:space="preserve"> The features and functions that characterize a product, service, or result</v>
      </c>
    </row>
    <row r="374" spans="2:4" ht="21" hidden="1">
      <c r="B374" s="12" t="s">
        <v>25</v>
      </c>
      <c r="C374" s="12" t="s">
        <v>3017</v>
      </c>
      <c r="D374" s="12" t="str">
        <f t="shared" si="8"/>
        <v xml:space="preserve"> Related projects, subsidiary programs, and program activities that are managed in a coordinated manner to obtain benefits not available from managing them individually</v>
      </c>
    </row>
    <row r="375" spans="2:4" ht="21" hidden="1">
      <c r="B375" s="12" t="s">
        <v>3018</v>
      </c>
      <c r="D375" s="12">
        <f t="shared" si="8"/>
        <v>0</v>
      </c>
    </row>
    <row r="376" spans="2:4" ht="21" hidden="1">
      <c r="B376" s="12" t="s">
        <v>3019</v>
      </c>
      <c r="C376" s="12" t="s">
        <v>3020</v>
      </c>
      <c r="D376" s="12" t="str">
        <f t="shared" si="8"/>
        <v xml:space="preserve"> The application of knowledge, skills, and principles to a program to achieve the program objectives and obtain benefits and control not available by managing program</v>
      </c>
    </row>
    <row r="377" spans="2:4" ht="21" hidden="1">
      <c r="B377" s="12" t="s">
        <v>3021</v>
      </c>
      <c r="D377" s="12" t="str">
        <f t="shared" si="8"/>
        <v xml:space="preserve"> components individually</v>
      </c>
    </row>
    <row r="378" spans="2:4" hidden="1">
      <c r="B378" s="12" t="s">
        <v>3022</v>
      </c>
      <c r="D378" s="12">
        <f t="shared" si="8"/>
        <v>0</v>
      </c>
    </row>
    <row r="379" spans="2:4" ht="21" hidden="1">
      <c r="B379" s="12" t="s">
        <v>3023</v>
      </c>
      <c r="C379" s="12" t="s">
        <v>3024</v>
      </c>
      <c r="D379" s="12" t="str">
        <f t="shared" si="8"/>
        <v xml:space="preserve"> The iterative process of increasing the level of detail in a project management plan as greater amounts of information and more accurate estimates become available</v>
      </c>
    </row>
    <row r="380" spans="2:4" ht="21" hidden="1">
      <c r="B380" s="12" t="s">
        <v>3025</v>
      </c>
      <c r="D380" s="12">
        <f t="shared" si="8"/>
        <v>0</v>
      </c>
    </row>
    <row r="381" spans="2:4" hidden="1">
      <c r="B381" s="12" t="s">
        <v>29</v>
      </c>
      <c r="C381" s="12" t="s">
        <v>3026</v>
      </c>
      <c r="D381" s="12" t="str">
        <f t="shared" si="8"/>
        <v xml:space="preserve"> A temporary endeavor undertaken to create a unique product, service, or result</v>
      </c>
    </row>
    <row r="382" spans="2:4" hidden="1">
      <c r="B382" s="32" t="s">
        <v>3027</v>
      </c>
      <c r="C382" s="12" t="s">
        <v>3028</v>
      </c>
      <c r="D382" s="32" t="str">
        <f t="shared" si="8"/>
        <v xml:space="preserve"> A high-level overview of the goals, deliverables, and processes for the project</v>
      </c>
    </row>
    <row r="383" spans="2:4" hidden="1">
      <c r="B383" s="12" t="s">
        <v>3029</v>
      </c>
      <c r="C383" s="12" t="s">
        <v>3030</v>
      </c>
      <c r="D383" s="12" t="str">
        <f t="shared" si="8"/>
        <v xml:space="preserve"> A calendar that identifies working days and shifts that are ava ilable for scheduled activities</v>
      </c>
    </row>
    <row r="384" spans="2:4" hidden="1">
      <c r="B384" s="12" t="s">
        <v>3031</v>
      </c>
      <c r="D384" s="12">
        <f t="shared" si="8"/>
        <v>0</v>
      </c>
    </row>
    <row r="385" spans="2:4" ht="21" hidden="1">
      <c r="B385" s="12" t="s">
        <v>3032</v>
      </c>
      <c r="C385" s="12" t="s">
        <v>3033</v>
      </c>
      <c r="D385" s="12" t="str">
        <f t="shared" si="8"/>
        <v xml:space="preserve"> A document issued by the project initiator or sponsor that formally authorizes the existence of a project and provides the project manager with the authority to apply organizational</v>
      </c>
    </row>
    <row r="386" spans="2:4" ht="21" hidden="1">
      <c r="B386" s="12" t="s">
        <v>3034</v>
      </c>
      <c r="D386" s="12" t="str">
        <f t="shared" si="8"/>
        <v xml:space="preserve"> resources to project activities</v>
      </c>
    </row>
    <row r="387" spans="2:4" hidden="1">
      <c r="B387" s="12" t="s">
        <v>3035</v>
      </c>
      <c r="D387" s="12">
        <f t="shared" si="8"/>
        <v>0</v>
      </c>
    </row>
    <row r="388" spans="2:4" ht="21" hidden="1">
      <c r="B388" s="12" t="s">
        <v>3036</v>
      </c>
      <c r="C388" s="12" t="s">
        <v>3037</v>
      </c>
      <c r="D388" s="12" t="str">
        <f t="shared" si="8"/>
        <v xml:space="preserve"> The framework, functions, and processes that guide project management activities in order to create a unique product, service, or result to meet organizational, strategic,</v>
      </c>
    </row>
    <row r="389" spans="2:4" ht="21" hidden="1">
      <c r="B389" s="12" t="s">
        <v>3038</v>
      </c>
      <c r="D389" s="12" t="str">
        <f t="shared" si="8"/>
        <v xml:space="preserve"> and operational goals</v>
      </c>
    </row>
    <row r="390" spans="2:4" hidden="1">
      <c r="B390" s="12" t="s">
        <v>3039</v>
      </c>
      <c r="D390" s="12">
        <f t="shared" si="8"/>
        <v>0</v>
      </c>
    </row>
    <row r="391" spans="2:4" ht="21" hidden="1">
      <c r="B391" s="12" t="s">
        <v>3040</v>
      </c>
      <c r="C391" s="12" t="s">
        <v>3041</v>
      </c>
      <c r="D391" s="12" t="str">
        <f t="shared" si="8"/>
        <v xml:space="preserve"> A person who helps the project team to achieve the project objectives, typically by orchestrating the work of the project</v>
      </c>
    </row>
    <row r="392" spans="2:4" hidden="1">
      <c r="B392" s="12" t="s">
        <v>3042</v>
      </c>
      <c r="D392" s="12">
        <f t="shared" si="8"/>
        <v>0</v>
      </c>
    </row>
    <row r="393" spans="2:4" hidden="1">
      <c r="B393" s="12" t="s">
        <v>3043</v>
      </c>
      <c r="C393" s="12" t="s">
        <v>3044</v>
      </c>
      <c r="D393" s="12" t="str">
        <f t="shared" ref="D393:D456" si="9">IF(C394="",CONCATENATE(C393," ",B394),C393)</f>
        <v xml:space="preserve"> The series of phases that a project passes through from its start to its completion</v>
      </c>
    </row>
    <row r="394" spans="2:4" ht="21" hidden="1">
      <c r="B394" s="12" t="s">
        <v>3045</v>
      </c>
      <c r="C394" s="12" t="s">
        <v>3046</v>
      </c>
      <c r="D394" s="12" t="str">
        <f t="shared" si="9"/>
        <v xml:space="preserve"> The application of knowledge, skills, tools, and techniques to project activities to meet the project requirements</v>
      </c>
    </row>
    <row r="395" spans="2:4" hidden="1">
      <c r="B395" s="12" t="s">
        <v>3047</v>
      </c>
      <c r="D395" s="12">
        <f t="shared" si="9"/>
        <v>0</v>
      </c>
    </row>
    <row r="396" spans="2:4" hidden="1">
      <c r="B396" s="12" t="s">
        <v>3048</v>
      </c>
      <c r="C396" s="12" t="s">
        <v>3049</v>
      </c>
      <c r="D396" s="12" t="str">
        <f t="shared" si="9"/>
        <v xml:space="preserve"> A term that describes the knowledge within the profession of project management</v>
      </c>
    </row>
    <row r="397" spans="2:4" hidden="1">
      <c r="B397" s="12" t="s">
        <v>3050</v>
      </c>
      <c r="D397" s="12">
        <f t="shared" si="9"/>
        <v>0</v>
      </c>
    </row>
    <row r="398" spans="2:4" ht="21" hidden="1">
      <c r="B398" s="12" t="s">
        <v>3051</v>
      </c>
      <c r="C398" s="12" t="s">
        <v>3052</v>
      </c>
      <c r="D398" s="12" t="str">
        <f t="shared" si="9"/>
        <v xml:space="preserve"> A management structure that standardizes the project-related governance processes and facilitates the sharing of resources, methodologies, tools, and techniques</v>
      </c>
    </row>
    <row r="399" spans="2:4" ht="21" hidden="1">
      <c r="B399" s="12" t="s">
        <v>3053</v>
      </c>
      <c r="D399" s="12">
        <f t="shared" si="9"/>
        <v>0</v>
      </c>
    </row>
    <row r="400" spans="2:4" ht="21" hidden="1">
      <c r="B400" s="12" t="s">
        <v>3054</v>
      </c>
      <c r="C400" s="12" t="s">
        <v>3055</v>
      </c>
      <c r="D400" s="12" t="str">
        <f t="shared" si="9"/>
        <v xml:space="preserve"> The document that describes how the project will be executed, monitored and controlled, and closed</v>
      </c>
    </row>
    <row r="401" spans="2:4" hidden="1">
      <c r="B401" s="12" t="s">
        <v>3056</v>
      </c>
      <c r="D401" s="12">
        <f t="shared" si="9"/>
        <v>0</v>
      </c>
    </row>
    <row r="402" spans="2:4" hidden="1">
      <c r="B402" s="12" t="s">
        <v>3057</v>
      </c>
      <c r="C402" s="12" t="s">
        <v>3058</v>
      </c>
      <c r="D402" s="12" t="str">
        <f t="shared" si="9"/>
        <v xml:space="preserve"> A logical grouping of project management inputs, tools and</v>
      </c>
    </row>
    <row r="403" spans="2:4" ht="21" hidden="1">
      <c r="B403" s="12" t="s">
        <v>3059</v>
      </c>
      <c r="C403" s="12" t="s">
        <v>3060</v>
      </c>
      <c r="D403" s="12" t="str">
        <f t="shared" si="9"/>
        <v xml:space="preserve"> The Project Management Process Groups include Initiating processes, Planning processes, Executing processes, Monitoring and Controlling processes, and Closing processes</v>
      </c>
    </row>
    <row r="404" spans="2:4" ht="21" hidden="1">
      <c r="B404" s="12" t="s">
        <v>3061</v>
      </c>
      <c r="D404" s="12">
        <f t="shared" si="9"/>
        <v>0</v>
      </c>
    </row>
    <row r="405" spans="2:4" hidden="1">
      <c r="B405" s="12" t="s">
        <v>3062</v>
      </c>
      <c r="C405" s="12" t="s">
        <v>3063</v>
      </c>
      <c r="D405" s="12" t="str">
        <f t="shared" si="9"/>
        <v xml:space="preserve"> The members of the project team who are directly involved in project management activities</v>
      </c>
    </row>
    <row r="406" spans="2:4" hidden="1">
      <c r="B406" s="12" t="s">
        <v>3064</v>
      </c>
      <c r="D406" s="12">
        <f t="shared" si="9"/>
        <v>0</v>
      </c>
    </row>
    <row r="407" spans="2:4" ht="21" hidden="1">
      <c r="B407" s="12" t="s">
        <v>3065</v>
      </c>
      <c r="C407" s="12" t="s">
        <v>3066</v>
      </c>
      <c r="D407" s="12" t="str">
        <f t="shared" si="9"/>
        <v xml:space="preserve"> The person assigned by the performing organization to lead the team that is responsible for achieving the project objectives</v>
      </c>
    </row>
    <row r="408" spans="2:4" hidden="1">
      <c r="B408" s="12" t="s">
        <v>3067</v>
      </c>
      <c r="D408" s="12">
        <f t="shared" si="9"/>
        <v>0</v>
      </c>
    </row>
    <row r="409" spans="2:4" ht="21" hidden="1">
      <c r="B409" s="12" t="s">
        <v>3068</v>
      </c>
      <c r="C409" s="12" t="s">
        <v>3069</v>
      </c>
      <c r="D409" s="12" t="str">
        <f t="shared" si="9"/>
        <v xml:space="preserve"> A collection of logically related project activities that culminates in the completion of one or more deliverables</v>
      </c>
    </row>
    <row r="410" spans="2:4" hidden="1">
      <c r="B410" s="12" t="s">
        <v>3070</v>
      </c>
      <c r="D410" s="12">
        <f t="shared" si="9"/>
        <v>0</v>
      </c>
    </row>
    <row r="411" spans="2:4" ht="21" hidden="1">
      <c r="B411" s="12" t="s">
        <v>3071</v>
      </c>
      <c r="C411" s="12" t="s">
        <v>3072</v>
      </c>
      <c r="D411" s="12" t="str">
        <f t="shared" si="9"/>
        <v xml:space="preserve"> An event at the end of a phase or project to assess the status, evaluate the value delivered, and determine if the project is ready to move to the next phase or transition to operations</v>
      </c>
    </row>
    <row r="412" spans="2:4" ht="21" hidden="1">
      <c r="B412" s="12" t="s">
        <v>3073</v>
      </c>
      <c r="D412" s="12">
        <f t="shared" si="9"/>
        <v>0</v>
      </c>
    </row>
    <row r="413" spans="2:4" ht="21" hidden="1">
      <c r="B413" s="12" t="s">
        <v>3074</v>
      </c>
      <c r="C413" s="12" t="s">
        <v>3075</v>
      </c>
      <c r="D413" s="12" t="str">
        <f t="shared" si="9"/>
        <v xml:space="preserve"> An output of a schedule model that presents linked activities with planned dates, durations, milestones, and resources</v>
      </c>
    </row>
    <row r="414" spans="2:4" hidden="1">
      <c r="B414" s="12" t="s">
        <v>3076</v>
      </c>
      <c r="D414" s="12">
        <f t="shared" si="9"/>
        <v>0</v>
      </c>
    </row>
    <row r="415" spans="2:4" hidden="1">
      <c r="B415" s="12" t="s">
        <v>3077</v>
      </c>
      <c r="C415" s="12" t="s">
        <v>3078</v>
      </c>
      <c r="D415" s="12" t="str">
        <f t="shared" si="9"/>
        <v xml:space="preserve"> A graphical representation of the logical relationships among the project schedule activities</v>
      </c>
    </row>
    <row r="416" spans="2:4" hidden="1">
      <c r="B416" s="12" t="s">
        <v>3079</v>
      </c>
      <c r="D416" s="12">
        <f t="shared" si="9"/>
        <v>0</v>
      </c>
    </row>
    <row r="417" spans="2:4" ht="21" hidden="1">
      <c r="B417" s="12" t="s">
        <v>3080</v>
      </c>
      <c r="C417" s="12" t="s">
        <v>3081</v>
      </c>
      <c r="D417" s="12" t="str">
        <f t="shared" si="9"/>
        <v xml:space="preserve"> The work performed to deliver a product, service, or result with the specified features and functions</v>
      </c>
    </row>
    <row r="418" spans="2:4" hidden="1">
      <c r="B418" s="12" t="s">
        <v>3082</v>
      </c>
      <c r="D418" s="12">
        <f t="shared" si="9"/>
        <v>0</v>
      </c>
    </row>
    <row r="419" spans="2:4" hidden="1">
      <c r="B419" s="12" t="s">
        <v>3083</v>
      </c>
      <c r="C419" s="12" t="s">
        <v>3084</v>
      </c>
      <c r="D419" s="12" t="str">
        <f t="shared" si="9"/>
        <v xml:space="preserve"> The description of the project scope, major deliverables, and exclusions</v>
      </c>
    </row>
    <row r="420" spans="2:4" hidden="1">
      <c r="B420" s="12" t="s">
        <v>3085</v>
      </c>
      <c r="C420" s="12" t="s">
        <v>3086</v>
      </c>
      <c r="D420" s="12" t="str">
        <f t="shared" si="9"/>
        <v xml:space="preserve"> A set of individuals performing the work of the project to achieve its objectives</v>
      </c>
    </row>
    <row r="421" spans="2:4" ht="21" hidden="1">
      <c r="B421" s="12" t="s">
        <v>3087</v>
      </c>
      <c r="C421" s="12" t="s">
        <v>3088</v>
      </c>
      <c r="D421" s="12" t="str">
        <f t="shared" si="9"/>
        <v xml:space="preserve"> A concise, high-level description of the project that states the purpose and inspires the team to contribute to the project</v>
      </c>
    </row>
    <row r="422" spans="2:4" hidden="1">
      <c r="B422" s="12" t="s">
        <v>3089</v>
      </c>
      <c r="D422" s="12">
        <f t="shared" si="9"/>
        <v>0</v>
      </c>
    </row>
    <row r="423" spans="2:4" ht="21" hidden="1">
      <c r="B423" s="12" t="s">
        <v>3090</v>
      </c>
      <c r="C423" s="12" t="s">
        <v>2892</v>
      </c>
      <c r="D423" s="12" t="str">
        <f t="shared" si="9"/>
        <v xml:space="preserve"> The performance domain that addresses activities and functions associated with establishing project processes, managing physical resources, and fostering</v>
      </c>
    </row>
    <row r="424" spans="2:4" ht="21" hidden="1">
      <c r="B424" s="12" t="s">
        <v>3091</v>
      </c>
      <c r="D424" s="12" t="str">
        <f t="shared" si="9"/>
        <v xml:space="preserve"> a learning environment</v>
      </c>
    </row>
    <row r="425" spans="2:4" hidden="1">
      <c r="B425" s="12" t="s">
        <v>3092</v>
      </c>
      <c r="D425" s="12">
        <f t="shared" si="9"/>
        <v>0</v>
      </c>
    </row>
    <row r="426" spans="2:4" ht="21" hidden="1">
      <c r="B426" s="12" t="s">
        <v>3093</v>
      </c>
      <c r="C426" s="12" t="s">
        <v>3094</v>
      </c>
      <c r="D426" s="12" t="str">
        <f t="shared" si="9"/>
        <v xml:space="preserve"> A working model used to obtain early feedback on the expected product before actually building it</v>
      </c>
    </row>
    <row r="427" spans="2:4" hidden="1">
      <c r="B427" s="12" t="s">
        <v>3095</v>
      </c>
      <c r="D427" s="12">
        <f t="shared" si="9"/>
        <v>0</v>
      </c>
    </row>
    <row r="428" spans="2:4" hidden="1">
      <c r="B428" s="12" t="s">
        <v>920</v>
      </c>
      <c r="C428" s="12" t="s">
        <v>3096</v>
      </c>
      <c r="D428" s="12" t="str">
        <f t="shared" si="9"/>
        <v xml:space="preserve"> The degree to which a set of inherent characteristics fulfills requirements</v>
      </c>
    </row>
    <row r="429" spans="2:4" ht="21" hidden="1">
      <c r="B429" s="12" t="s">
        <v>3097</v>
      </c>
      <c r="C429" s="12" t="s">
        <v>3098</v>
      </c>
      <c r="D429" s="12" t="str">
        <f t="shared" si="9"/>
        <v xml:space="preserve"> A component of the project or program management plan that describes how applicable policies, procedures, and guidelines will be implemented to achieve the</v>
      </c>
    </row>
    <row r="430" spans="2:4" ht="21" hidden="1">
      <c r="B430" s="12" t="s">
        <v>3099</v>
      </c>
      <c r="D430" s="12" t="str">
        <f t="shared" si="9"/>
        <v xml:space="preserve"> quality objectives</v>
      </c>
    </row>
    <row r="431" spans="2:4" hidden="1">
      <c r="B431" s="12" t="s">
        <v>3100</v>
      </c>
      <c r="D431" s="12">
        <f t="shared" si="9"/>
        <v>0</v>
      </c>
    </row>
    <row r="432" spans="2:4" hidden="1">
      <c r="B432" s="12" t="s">
        <v>3101</v>
      </c>
      <c r="C432" s="12" t="s">
        <v>2904</v>
      </c>
      <c r="D432" s="12" t="str">
        <f t="shared" si="9"/>
        <v xml:space="preserve"> A description of a project or product attribute and how to measure it</v>
      </c>
    </row>
    <row r="433" spans="2:4" ht="21" hidden="1">
      <c r="B433" s="12" t="s">
        <v>3102</v>
      </c>
      <c r="C433" s="12" t="s">
        <v>3103</v>
      </c>
      <c r="D433" s="12" t="str">
        <f t="shared" si="9"/>
        <v xml:space="preserve"> The basic principles that should govern the organization’s actions as it implements its system for quality management</v>
      </c>
    </row>
    <row r="434" spans="2:4" hidden="1">
      <c r="B434" s="12" t="s">
        <v>3104</v>
      </c>
      <c r="D434" s="12">
        <f t="shared" si="9"/>
        <v>0</v>
      </c>
    </row>
    <row r="435" spans="2:4" ht="21" hidden="1">
      <c r="B435" s="12" t="s">
        <v>3105</v>
      </c>
      <c r="C435" s="12" t="s">
        <v>3106</v>
      </c>
      <c r="D435" s="12" t="str">
        <f t="shared" si="9"/>
        <v xml:space="preserve"> A project document that includes quality management issues, recommendations for corrective actions, and a summary of findings from quality control activities and may include</v>
      </c>
    </row>
    <row r="436" spans="2:4" ht="21" hidden="1">
      <c r="B436" s="12" t="s">
        <v>3107</v>
      </c>
      <c r="D436" s="12" t="str">
        <f t="shared" si="9"/>
        <v xml:space="preserve"> recommendations for process, project, and product improvements</v>
      </c>
    </row>
    <row r="437" spans="2:4" ht="21" hidden="1">
      <c r="B437" s="12" t="s">
        <v>3108</v>
      </c>
      <c r="D437" s="12">
        <f t="shared" si="9"/>
        <v>0</v>
      </c>
    </row>
    <row r="438" spans="2:4" ht="21" hidden="1">
      <c r="B438" s="12" t="s">
        <v>3109</v>
      </c>
      <c r="C438" s="12" t="s">
        <v>3110</v>
      </c>
      <c r="D438" s="12" t="str">
        <f t="shared" si="9"/>
        <v xml:space="preserve"> A written record of regular entries for evolving aspects of a project, such as risks, stakeholders, or defects</v>
      </c>
    </row>
    <row r="439" spans="2:4" hidden="1">
      <c r="B439" s="12" t="s">
        <v>3111</v>
      </c>
      <c r="D439" s="12">
        <f t="shared" si="9"/>
        <v>0</v>
      </c>
    </row>
    <row r="440" spans="2:4" ht="21" hidden="1">
      <c r="B440" s="12" t="s">
        <v>3112</v>
      </c>
      <c r="C440" s="12" t="s">
        <v>3113</v>
      </c>
      <c r="D440" s="12" t="str">
        <f t="shared" si="9"/>
        <v xml:space="preserve"> An analytical method where a series of input variables are examined in relation to their corresponding output results in order to develop a mathematical or statistical relationship</v>
      </c>
    </row>
    <row r="441" spans="2:4" ht="21" hidden="1">
      <c r="B441" s="12" t="s">
        <v>3114</v>
      </c>
      <c r="D441" s="12">
        <f t="shared" si="9"/>
        <v>0</v>
      </c>
    </row>
    <row r="442" spans="2:4" ht="21" hidden="1">
      <c r="B442" s="12" t="s">
        <v>3115</v>
      </c>
      <c r="C442" s="12" t="s">
        <v>3116</v>
      </c>
      <c r="D442" s="12" t="str">
        <f t="shared" si="9"/>
        <v xml:space="preserve"> Requirements imposed by a governmental body product, process, or service characteristics, including applicable administrative provisions that have</v>
      </c>
    </row>
    <row r="443" spans="2:4" ht="21" hidden="1">
      <c r="B443" s="12" t="s">
        <v>3117</v>
      </c>
      <c r="D443" s="12" t="str">
        <f t="shared" si="9"/>
        <v xml:space="preserve"> government-mandated compliance</v>
      </c>
    </row>
    <row r="444" spans="2:4" hidden="1">
      <c r="B444" s="12" t="s">
        <v>3118</v>
      </c>
      <c r="D444" s="12">
        <f t="shared" si="9"/>
        <v>0</v>
      </c>
    </row>
    <row r="445" spans="2:4" ht="21" hidden="1">
      <c r="B445" s="12" t="s">
        <v>3119</v>
      </c>
      <c r="C445" s="12" t="s">
        <v>3120</v>
      </c>
      <c r="D445" s="12" t="str">
        <f t="shared" si="9"/>
        <v xml:space="preserve"> A method for creating estimates that are derived from performing a comparison against a similar body of work, taking effort, complexity, and uncertainty into consideration</v>
      </c>
    </row>
    <row r="446" spans="2:4" ht="21" hidden="1">
      <c r="B446" s="12" t="s">
        <v>3121</v>
      </c>
      <c r="D446" s="12">
        <f t="shared" si="9"/>
        <v>0</v>
      </c>
    </row>
    <row r="447" spans="2:4" ht="21" hidden="1">
      <c r="B447" s="12" t="s">
        <v>3122</v>
      </c>
      <c r="C447" s="12" t="s">
        <v>3123</v>
      </c>
      <c r="D447" s="12" t="str">
        <f t="shared" si="9"/>
        <v xml:space="preserve"> One or more components of one or more products, which are intended to be put into production at the same time</v>
      </c>
    </row>
    <row r="448" spans="2:4" hidden="1">
      <c r="B448" s="12" t="s">
        <v>3124</v>
      </c>
      <c r="D448" s="12">
        <f t="shared" si="9"/>
        <v>0</v>
      </c>
    </row>
    <row r="449" spans="2:4" ht="21" hidden="1">
      <c r="B449" s="12" t="s">
        <v>3125</v>
      </c>
      <c r="C449" s="12" t="s">
        <v>3126</v>
      </c>
      <c r="D449" s="12" t="str">
        <f t="shared" si="9"/>
        <v xml:space="preserve"> The plan that sets expectations for the dates, features, and/or outcomes expected to be delivered over the course of multiple iterations</v>
      </c>
    </row>
    <row r="450" spans="2:4" hidden="1">
      <c r="B450" s="12" t="s">
        <v>3127</v>
      </c>
      <c r="D450" s="12">
        <f t="shared" si="9"/>
        <v>0</v>
      </c>
    </row>
    <row r="451" spans="2:4" ht="21" hidden="1">
      <c r="B451" s="12" t="s">
        <v>3128</v>
      </c>
      <c r="C451" s="12" t="s">
        <v>3129</v>
      </c>
      <c r="D451" s="12" t="str">
        <f t="shared" si="9"/>
        <v xml:space="preserve"> The process of identifying a high-level plan for releasing or transitioning a product, deliverable, or increment of value</v>
      </c>
    </row>
    <row r="452" spans="2:4" hidden="1">
      <c r="B452" s="12" t="s">
        <v>3130</v>
      </c>
      <c r="D452" s="12">
        <f t="shared" si="9"/>
        <v>0</v>
      </c>
    </row>
    <row r="453" spans="2:4" hidden="1">
      <c r="B453" s="12" t="s">
        <v>3131</v>
      </c>
      <c r="C453" s="12" t="s">
        <v>3132</v>
      </c>
      <c r="D453" s="12" t="str">
        <f t="shared" si="9"/>
        <v xml:space="preserve"> A formal record or summary of information</v>
      </c>
    </row>
    <row r="454" spans="2:4" ht="21" hidden="1">
      <c r="B454" s="12" t="s">
        <v>3133</v>
      </c>
      <c r="C454" s="12" t="s">
        <v>3134</v>
      </c>
      <c r="D454" s="12" t="str">
        <f t="shared" si="9"/>
        <v xml:space="preserve"> A condition or capability that is necessary to be present in a product, service, or result to satisfy a business need</v>
      </c>
    </row>
    <row r="455" spans="2:4" hidden="1">
      <c r="B455" s="12" t="s">
        <v>3135</v>
      </c>
      <c r="D455" s="12">
        <f t="shared" si="9"/>
        <v>0</v>
      </c>
    </row>
    <row r="456" spans="2:4" ht="21" hidden="1">
      <c r="B456" s="12" t="s">
        <v>3136</v>
      </c>
      <c r="C456" s="12" t="s">
        <v>3137</v>
      </c>
      <c r="D456" s="12" t="str">
        <f t="shared" si="9"/>
        <v xml:space="preserve"> A record of product requirements and other product information, along with whatever is recorded to manage it</v>
      </c>
    </row>
    <row r="457" spans="2:4" hidden="1">
      <c r="B457" s="12" t="s">
        <v>3138</v>
      </c>
      <c r="D457" s="12">
        <f t="shared" ref="D457:D520" si="10">IF(C458="",CONCATENATE(C457," ",B458),C457)</f>
        <v>0</v>
      </c>
    </row>
    <row r="458" spans="2:4" ht="21" hidden="1">
      <c r="B458" s="12" t="s">
        <v>3139</v>
      </c>
      <c r="C458" s="12" t="s">
        <v>3098</v>
      </c>
      <c r="D458" s="12" t="str">
        <f t="shared" si="10"/>
        <v xml:space="preserve"> A component of the project or program management plan that describes how requirements will be analyzed, documented, and managed</v>
      </c>
    </row>
    <row r="459" spans="2:4" ht="21" hidden="1">
      <c r="B459" s="12" t="s">
        <v>3140</v>
      </c>
      <c r="D459" s="12">
        <f t="shared" si="10"/>
        <v>0</v>
      </c>
    </row>
    <row r="460" spans="2:4" hidden="1">
      <c r="B460" s="12" t="s">
        <v>3141</v>
      </c>
      <c r="C460" s="12" t="s">
        <v>3142</v>
      </c>
      <c r="D460" s="12" t="str">
        <f t="shared" si="10"/>
        <v xml:space="preserve"> A grid that links product requirements from their origin to the deliverables that satisfy them</v>
      </c>
    </row>
    <row r="461" spans="2:4" hidden="1">
      <c r="B461" s="12" t="s">
        <v>3143</v>
      </c>
      <c r="D461" s="12">
        <f t="shared" si="10"/>
        <v>0</v>
      </c>
    </row>
    <row r="462" spans="2:4" ht="21" hidden="1">
      <c r="B462" s="12" t="s">
        <v>3144</v>
      </c>
      <c r="C462" s="12" t="s">
        <v>3145</v>
      </c>
      <c r="D462" s="12" t="str">
        <f t="shared" si="10"/>
        <v xml:space="preserve"> A provision in the project management plan to mitigate cost and/or schedule risk, often</v>
      </c>
    </row>
    <row r="463" spans="2:4" hidden="1">
      <c r="B463" s="12" t="s">
        <v>3146</v>
      </c>
      <c r="C463" s="12" t="s">
        <v>3147</v>
      </c>
      <c r="D463" s="12" t="str">
        <f t="shared" si="10"/>
        <v>g what types of risk are meant to be mitigated</v>
      </c>
    </row>
    <row r="464" spans="2:4" hidden="1">
      <c r="B464" s="12" t="s">
        <v>3148</v>
      </c>
      <c r="D464" s="12">
        <f t="shared" si="10"/>
        <v>0</v>
      </c>
    </row>
    <row r="465" spans="2:4" ht="21" hidden="1">
      <c r="B465" s="12" t="s">
        <v>3149</v>
      </c>
      <c r="C465" s="12" t="s">
        <v>3150</v>
      </c>
      <c r="D465" s="12" t="str">
        <f t="shared" si="10"/>
        <v xml:space="preserve"> A method used to evaluate the amount of risk on the project and the amount of schedule and budget reserve to determine whether the reserve is sufficient for the remaining risk</v>
      </c>
    </row>
    <row r="466" spans="2:4" ht="21" hidden="1">
      <c r="B466" s="12" t="s">
        <v>3151</v>
      </c>
      <c r="D466" s="12">
        <f t="shared" si="10"/>
        <v>0</v>
      </c>
    </row>
    <row r="467" spans="2:4" hidden="1">
      <c r="B467" s="12" t="s">
        <v>3152</v>
      </c>
      <c r="C467" s="12" t="s">
        <v>3153</v>
      </c>
      <c r="D467" s="12" t="str">
        <f t="shared" si="10"/>
        <v xml:space="preserve"> A hierarchical representation of resources by category and type</v>
      </c>
    </row>
    <row r="468" spans="2:4" ht="21" hidden="1">
      <c r="B468" s="12" t="s">
        <v>3154</v>
      </c>
      <c r="C468" s="12" t="s">
        <v>3155</v>
      </c>
      <c r="D468" s="12" t="str">
        <f t="shared" si="10"/>
        <v xml:space="preserve"> A component of the project management plan that describes how project resources are acquired, allocated, monitored, and controlled</v>
      </c>
    </row>
    <row r="469" spans="2:4" ht="21" hidden="1">
      <c r="B469" s="12" t="s">
        <v>3156</v>
      </c>
      <c r="D469" s="12">
        <f t="shared" si="10"/>
        <v>0</v>
      </c>
    </row>
    <row r="470" spans="2:4" ht="21" hidden="1">
      <c r="B470" s="12" t="s">
        <v>3157</v>
      </c>
      <c r="C470" s="12" t="s">
        <v>3158</v>
      </c>
      <c r="D470" s="12" t="str">
        <f t="shared" si="10"/>
        <v xml:space="preserve"> An assignment that can be delegated within a project management plan such that the assigned resource incurs a duty to perform the requirements of the assignment</v>
      </c>
    </row>
    <row r="471" spans="2:4" ht="21" hidden="1">
      <c r="B471" s="12" t="s">
        <v>3159</v>
      </c>
      <c r="D471" s="12">
        <f t="shared" si="10"/>
        <v>0</v>
      </c>
    </row>
    <row r="472" spans="2:4" hidden="1">
      <c r="B472" s="32" t="s">
        <v>3160</v>
      </c>
      <c r="C472" s="12" t="s">
        <v>3161</v>
      </c>
      <c r="D472" s="32" t="str">
        <f t="shared" si="10"/>
        <v xml:space="preserve"> A grid that shows the project resources assigned to each work package</v>
      </c>
    </row>
    <row r="473" spans="2:4" hidden="1">
      <c r="B473" s="12" t="s">
        <v>3162</v>
      </c>
      <c r="D473" s="12">
        <f t="shared" si="10"/>
        <v>0</v>
      </c>
    </row>
    <row r="474" spans="2:4" hidden="1">
      <c r="B474" s="12" t="s">
        <v>3163</v>
      </c>
      <c r="C474" s="12" t="s">
        <v>3164</v>
      </c>
      <c r="D474" s="12" t="str">
        <f t="shared" si="10"/>
        <v xml:space="preserve"> An output from performing project management processes and activities</v>
      </c>
    </row>
    <row r="475" spans="2:4" ht="21" hidden="1">
      <c r="B475" s="32" t="s">
        <v>3165</v>
      </c>
      <c r="C475" s="12" t="s">
        <v>3166</v>
      </c>
      <c r="D475" s="32" t="str">
        <f t="shared" si="10"/>
        <v xml:space="preserve"> A regularly occurring workshop in which participants explore their work and results in order to improve both the process and product</v>
      </c>
    </row>
    <row r="476" spans="2:4" hidden="1">
      <c r="B476" s="12" t="s">
        <v>3167</v>
      </c>
      <c r="D476" s="12">
        <f t="shared" si="10"/>
        <v>0</v>
      </c>
    </row>
    <row r="477" spans="2:4" ht="21" hidden="1">
      <c r="B477" s="12" t="s">
        <v>3168</v>
      </c>
      <c r="C477" s="12" t="s">
        <v>3169</v>
      </c>
      <c r="D477" s="12" t="str">
        <f t="shared" si="10"/>
        <v xml:space="preserve"> Action taken to bring a defective or nonconforming component into compliance with requirements or specifications</v>
      </c>
    </row>
    <row r="478" spans="2:4" hidden="1">
      <c r="B478" s="12" t="s">
        <v>3170</v>
      </c>
      <c r="D478" s="12">
        <f t="shared" si="10"/>
        <v>0</v>
      </c>
    </row>
    <row r="479" spans="2:4" ht="21" hidden="1">
      <c r="B479" s="12" t="s">
        <v>1396</v>
      </c>
      <c r="C479" s="12" t="s">
        <v>3171</v>
      </c>
      <c r="D479" s="12" t="str">
        <f t="shared" si="10"/>
        <v xml:space="preserve"> An uncertain event or condition that, if it occurs, has a positive or negative effect on one or more project objectives</v>
      </c>
    </row>
    <row r="480" spans="2:4" hidden="1">
      <c r="B480" s="12" t="s">
        <v>3172</v>
      </c>
      <c r="D480" s="12">
        <f t="shared" si="10"/>
        <v>0</v>
      </c>
    </row>
    <row r="481" spans="2:4" ht="21" hidden="1">
      <c r="B481" s="12" t="s">
        <v>3173</v>
      </c>
      <c r="C481" s="12" t="s">
        <v>3174</v>
      </c>
      <c r="D481" s="12" t="str">
        <f t="shared" si="10"/>
        <v xml:space="preserve"> A risk response strategy whereby the project team decides to acknowledge the risk and not take any action unless the risk occurs</v>
      </c>
    </row>
    <row r="482" spans="2:4" hidden="1">
      <c r="B482" s="12" t="s">
        <v>3175</v>
      </c>
      <c r="D482" s="12">
        <f t="shared" si="10"/>
        <v>0</v>
      </c>
    </row>
    <row r="483" spans="2:4" hidden="1">
      <c r="B483" s="12" t="s">
        <v>3176</v>
      </c>
      <c r="C483" s="12" t="s">
        <v>3177</v>
      </c>
      <c r="D483" s="12" t="str">
        <f t="shared" si="10"/>
        <v xml:space="preserve"> A backlog that includes product work and actions to address threats and opportunities</v>
      </c>
    </row>
    <row r="484" spans="2:4" hidden="1">
      <c r="B484" s="12" t="s">
        <v>3178</v>
      </c>
      <c r="D484" s="12">
        <f t="shared" si="10"/>
        <v>0</v>
      </c>
    </row>
    <row r="485" spans="2:4" hidden="1">
      <c r="B485" s="12" t="s">
        <v>3179</v>
      </c>
      <c r="C485" s="12" t="s">
        <v>3180</v>
      </c>
      <c r="D485" s="12" t="str">
        <f t="shared" si="10"/>
        <v xml:space="preserve"> The degree of uncertainty an organization or individual is willing to accept in anticipation of a reward</v>
      </c>
    </row>
    <row r="486" spans="2:4" hidden="1">
      <c r="B486" s="12" t="s">
        <v>3181</v>
      </c>
      <c r="D486" s="12">
        <f t="shared" si="10"/>
        <v>0</v>
      </c>
    </row>
    <row r="487" spans="2:4" ht="21" hidden="1">
      <c r="B487" s="12" t="s">
        <v>3182</v>
      </c>
      <c r="C487" s="12" t="s">
        <v>3183</v>
      </c>
      <c r="D487" s="12" t="str">
        <f t="shared" si="10"/>
        <v xml:space="preserve"> A risk response strategy whereby the project team acts to eliminate the threat or protect the project from its impact</v>
      </c>
    </row>
    <row r="488" spans="2:4" hidden="1">
      <c r="B488" s="12" t="s">
        <v>3184</v>
      </c>
      <c r="D488" s="12">
        <f t="shared" si="10"/>
        <v>0</v>
      </c>
    </row>
    <row r="489" spans="2:4" hidden="1">
      <c r="B489" s="12" t="s">
        <v>3185</v>
      </c>
      <c r="C489" s="12" t="s">
        <v>3186</v>
      </c>
      <c r="D489" s="12" t="str">
        <f t="shared" si="10"/>
        <v xml:space="preserve"> A hierarchical representation of potential sources of risks</v>
      </c>
    </row>
    <row r="490" spans="2:4" ht="21" hidden="1">
      <c r="B490" s="12" t="s">
        <v>3187</v>
      </c>
      <c r="C490" s="12" t="s">
        <v>3188</v>
      </c>
      <c r="D490" s="12" t="str">
        <f t="shared" si="10"/>
        <v xml:space="preserve"> A risk response strategy whereby the project team acts to increase the probability of occurrence or impact of an opportunity</v>
      </c>
    </row>
    <row r="491" spans="2:4" hidden="1">
      <c r="B491" s="12" t="s">
        <v>3189</v>
      </c>
      <c r="D491" s="12">
        <f t="shared" si="10"/>
        <v>0</v>
      </c>
    </row>
    <row r="492" spans="2:4" ht="21" hidden="1">
      <c r="B492" s="12" t="s">
        <v>3190</v>
      </c>
      <c r="C492" s="12" t="s">
        <v>3191</v>
      </c>
      <c r="D492" s="12" t="str">
        <f t="shared" si="10"/>
        <v xml:space="preserve"> A risk response strategy whereby the team acknowledges that a risk is outside of its sphere of influence and shifts the ownership of the risk to a higher level of the organization</v>
      </c>
    </row>
    <row r="493" spans="2:4" ht="21" hidden="1">
      <c r="B493" s="12" t="s">
        <v>3192</v>
      </c>
      <c r="D493" s="12" t="str">
        <f t="shared" si="10"/>
        <v xml:space="preserve"> where it is more effectively managed</v>
      </c>
    </row>
    <row r="494" spans="2:4" hidden="1">
      <c r="B494" s="12" t="s">
        <v>3193</v>
      </c>
      <c r="D494" s="12">
        <f t="shared" si="10"/>
        <v>0</v>
      </c>
    </row>
    <row r="495" spans="2:4" hidden="1">
      <c r="B495" s="12" t="s">
        <v>3194</v>
      </c>
      <c r="C495" s="12" t="s">
        <v>3195</v>
      </c>
      <c r="D495" s="12" t="str">
        <f t="shared" si="10"/>
        <v xml:space="preserve"> A risk response strategy whereby the project team acts to ensure that an opportunity occurs</v>
      </c>
    </row>
    <row r="496" spans="2:4" hidden="1">
      <c r="B496" s="12" t="s">
        <v>3196</v>
      </c>
      <c r="D496" s="12">
        <f t="shared" si="10"/>
        <v>0</v>
      </c>
    </row>
    <row r="497" spans="2:4" ht="21" hidden="1">
      <c r="B497" s="12" t="s">
        <v>3197</v>
      </c>
      <c r="C497" s="12" t="s">
        <v>3198</v>
      </c>
      <c r="D497" s="12" t="str">
        <f t="shared" si="10"/>
        <v xml:space="preserve"> An aggregate measure of the potential impact of all risks at any given point in time in a project, program, or portfolio</v>
      </c>
    </row>
    <row r="498" spans="2:4" hidden="1">
      <c r="B498" s="12" t="s">
        <v>3199</v>
      </c>
      <c r="D498" s="12">
        <f t="shared" si="10"/>
        <v>0</v>
      </c>
    </row>
    <row r="499" spans="2:4" ht="21" hidden="1">
      <c r="B499" s="12" t="s">
        <v>3200</v>
      </c>
      <c r="C499" s="12" t="s">
        <v>3201</v>
      </c>
      <c r="D499" s="12" t="str">
        <f t="shared" si="10"/>
        <v xml:space="preserve"> A component of the project, program, or portfolio management plan that describes how risk management activities will be structured and performed</v>
      </c>
    </row>
    <row r="500" spans="2:4" ht="21" hidden="1">
      <c r="B500" s="12" t="s">
        <v>3202</v>
      </c>
      <c r="D500" s="12">
        <f t="shared" si="10"/>
        <v>0</v>
      </c>
    </row>
    <row r="501" spans="2:4" ht="21" hidden="1">
      <c r="B501" s="12" t="s">
        <v>3203</v>
      </c>
      <c r="C501" s="12" t="s">
        <v>3204</v>
      </c>
      <c r="D501" s="12" t="str">
        <f t="shared" si="10"/>
        <v xml:space="preserve"> A risk response strategy whereby the project team acts to decrease the probability of occurrence or impact of a threat</v>
      </c>
    </row>
    <row r="502" spans="2:4" hidden="1">
      <c r="B502" s="12" t="s">
        <v>3205</v>
      </c>
      <c r="D502" s="12">
        <f t="shared" si="10"/>
        <v>0</v>
      </c>
    </row>
    <row r="503" spans="2:4" hidden="1">
      <c r="B503" s="12" t="s">
        <v>3206</v>
      </c>
      <c r="C503" s="12" t="s">
        <v>3207</v>
      </c>
      <c r="D503" s="12" t="str">
        <f t="shared" si="10"/>
        <v xml:space="preserve"> A repository in which outputs of risk management processes are recorded</v>
      </c>
    </row>
    <row r="504" spans="2:4" ht="21" hidden="1">
      <c r="B504" s="12" t="s">
        <v>3208</v>
      </c>
      <c r="C504" s="12" t="s">
        <v>3209</v>
      </c>
      <c r="D504" s="12" t="str">
        <f t="shared" si="10"/>
        <v xml:space="preserve"> A project document that summarizes information on individual project risks and the level of overall project risk</v>
      </c>
    </row>
    <row r="505" spans="2:4" hidden="1">
      <c r="B505" s="12" t="s">
        <v>3210</v>
      </c>
      <c r="D505" s="12">
        <f t="shared" si="10"/>
        <v>0</v>
      </c>
    </row>
    <row r="506" spans="2:4" ht="21" hidden="1">
      <c r="B506" s="12" t="s">
        <v>3211</v>
      </c>
      <c r="C506" s="12" t="s">
        <v>3212</v>
      </c>
      <c r="D506" s="12" t="str">
        <f t="shared" si="10"/>
        <v xml:space="preserve"> The process of analyzing the status of existing risks and identifying new risks be known as risk reassessment</v>
      </c>
    </row>
    <row r="507" spans="2:4" hidden="1">
      <c r="B507" s="12" t="s">
        <v>3213</v>
      </c>
      <c r="D507" s="12">
        <f t="shared" si="10"/>
        <v>0</v>
      </c>
    </row>
    <row r="508" spans="2:4" ht="21" hidden="1">
      <c r="B508" s="12" t="s">
        <v>3214</v>
      </c>
      <c r="C508" s="12" t="s">
        <v>3215</v>
      </c>
      <c r="D508" s="12" t="str">
        <f t="shared" si="10"/>
        <v xml:space="preserve"> A risk response strategy whereby the project team allocates ownership of an opportunity to a third party who is best able to capture the benefit of that opportunity</v>
      </c>
    </row>
    <row r="509" spans="2:4" ht="21" hidden="1">
      <c r="B509" s="12" t="s">
        <v>3216</v>
      </c>
      <c r="D509" s="12">
        <f t="shared" si="10"/>
        <v>0</v>
      </c>
    </row>
    <row r="510" spans="2:4" ht="21" hidden="1">
      <c r="B510" s="12" t="s">
        <v>3217</v>
      </c>
      <c r="C510" s="12" t="s">
        <v>3218</v>
      </c>
      <c r="D510" s="12" t="str">
        <f t="shared" si="10"/>
        <v xml:space="preserve"> The measure of acceptable variation around an objective that reflects the risk appetite of the organization and stakeholders</v>
      </c>
    </row>
    <row r="511" spans="2:4" hidden="1">
      <c r="B511" s="12" t="s">
        <v>3219</v>
      </c>
      <c r="D511" s="12">
        <f t="shared" si="10"/>
        <v>0</v>
      </c>
    </row>
    <row r="512" spans="2:4" ht="21" hidden="1">
      <c r="B512" s="12" t="s">
        <v>3220</v>
      </c>
      <c r="C512" s="12" t="s">
        <v>3221</v>
      </c>
      <c r="D512" s="12" t="str">
        <f t="shared" si="10"/>
        <v xml:space="preserve"> A risk response strategy whereby the project team shifts the impact of a threat to a third party, together with ownership of the response</v>
      </c>
    </row>
    <row r="513" spans="2:4" hidden="1">
      <c r="B513" s="12" t="s">
        <v>3222</v>
      </c>
      <c r="D513" s="12">
        <f t="shared" si="10"/>
        <v>0</v>
      </c>
    </row>
    <row r="514" spans="2:4" ht="21" hidden="1">
      <c r="B514" s="12" t="s">
        <v>3223</v>
      </c>
      <c r="C514" s="12" t="s">
        <v>3224</v>
      </c>
      <c r="D514" s="12" t="str">
        <f t="shared" si="10"/>
        <v xml:space="preserve"> A high-level time line that depicts such things as milestones, significant events, reviews, and decision points</v>
      </c>
    </row>
    <row r="515" spans="2:4" hidden="1">
      <c r="B515" s="12" t="s">
        <v>3225</v>
      </c>
      <c r="D515" s="12">
        <f t="shared" si="10"/>
        <v>0</v>
      </c>
    </row>
    <row r="516" spans="2:4" ht="21" hidden="1">
      <c r="B516" s="12" t="s">
        <v>3226</v>
      </c>
      <c r="C516" s="12" t="s">
        <v>3227</v>
      </c>
      <c r="D516" s="12" t="str">
        <f t="shared" si="10"/>
        <v xml:space="preserve"> A defined function to be performed by a project team member, such as testing, filing, inspecting, or coding</v>
      </c>
    </row>
    <row r="517" spans="2:4" hidden="1">
      <c r="B517" s="12" t="s">
        <v>3228</v>
      </c>
      <c r="D517" s="12">
        <f t="shared" si="10"/>
        <v>0</v>
      </c>
    </row>
    <row r="518" spans="2:4" ht="21" hidden="1">
      <c r="B518" s="12" t="s">
        <v>3229</v>
      </c>
      <c r="C518" s="12" t="s">
        <v>3230</v>
      </c>
      <c r="D518" s="12" t="str">
        <f t="shared" si="10"/>
        <v xml:space="preserve"> An iterative planning method in which the work to be accomplished in the near term is planned in detail, while the work in the future is planned at a higher level</v>
      </c>
    </row>
    <row r="519" spans="2:4" ht="21" hidden="1">
      <c r="B519" s="12" t="s">
        <v>3231</v>
      </c>
      <c r="D519" s="12">
        <f t="shared" si="10"/>
        <v>0</v>
      </c>
    </row>
    <row r="520" spans="2:4" ht="21" hidden="1">
      <c r="B520" s="12" t="s">
        <v>3232</v>
      </c>
      <c r="C520" s="12" t="s">
        <v>3233</v>
      </c>
      <c r="D520" s="12" t="str">
        <f t="shared" si="10"/>
        <v xml:space="preserve"> An analytical method used to determine the basic underlying reason that causes a variance or a defect or a risk</v>
      </c>
    </row>
    <row r="521" spans="2:4" hidden="1">
      <c r="B521" s="12" t="s">
        <v>3234</v>
      </c>
      <c r="D521" s="12">
        <f t="shared" ref="D521:D584" si="11">IF(C522="",CONCATENATE(C521," ",B522),C521)</f>
        <v>0</v>
      </c>
    </row>
    <row r="522" spans="2:4" hidden="1">
      <c r="B522" s="12" t="s">
        <v>3235</v>
      </c>
      <c r="C522" s="12" t="s">
        <v>3236</v>
      </c>
      <c r="D522" s="12" t="str">
        <f t="shared" si="11"/>
        <v xml:space="preserve"> A graph that shows the relationship between two variables</v>
      </c>
    </row>
    <row r="523" spans="2:4" hidden="1">
      <c r="B523" s="12" t="s">
        <v>3237</v>
      </c>
      <c r="C523" s="12" t="s">
        <v>3238</v>
      </c>
      <c r="D523" s="12" t="str">
        <f t="shared" si="11"/>
        <v xml:space="preserve"> See project schedule</v>
      </c>
    </row>
    <row r="524" spans="2:4" ht="21" hidden="1">
      <c r="B524" s="12" t="s">
        <v>3239</v>
      </c>
      <c r="C524" s="12" t="s">
        <v>3240</v>
      </c>
      <c r="D524" s="12" t="str">
        <f t="shared" si="11"/>
        <v xml:space="preserve"> The approved version of a schedule model that can be changed using formal change control procedures and is used as the basis for comparison to actual results</v>
      </c>
    </row>
    <row r="525" spans="2:4" ht="21" hidden="1">
      <c r="B525" s="12" t="s">
        <v>3241</v>
      </c>
      <c r="D525" s="12">
        <f t="shared" si="11"/>
        <v>0</v>
      </c>
    </row>
    <row r="526" spans="2:4" hidden="1">
      <c r="B526" s="12" t="s">
        <v>3242</v>
      </c>
      <c r="C526" s="12" t="s">
        <v>3243</v>
      </c>
      <c r="D526" s="12" t="str">
        <f t="shared" si="11"/>
        <v xml:space="preserve"> A method used to shorten the schedule duration without reducing the project scope</v>
      </c>
    </row>
    <row r="527" spans="2:4" hidden="1">
      <c r="B527" s="12" t="s">
        <v>3244</v>
      </c>
      <c r="D527" s="12">
        <f t="shared" si="11"/>
        <v>0</v>
      </c>
    </row>
    <row r="528" spans="2:4" ht="21" hidden="1">
      <c r="B528" s="12" t="s">
        <v>3245</v>
      </c>
      <c r="C528" s="12" t="s">
        <v>3246</v>
      </c>
      <c r="D528" s="12" t="str">
        <f t="shared" si="11"/>
        <v xml:space="preserve"> Estimates or predictions of conditions and events in the project’s future based on information and knowledge available at the time the schedule is calculated</v>
      </c>
    </row>
    <row r="529" spans="2:4" ht="21" hidden="1">
      <c r="B529" s="12" t="s">
        <v>3247</v>
      </c>
      <c r="D529" s="12">
        <f t="shared" si="11"/>
        <v>0</v>
      </c>
    </row>
    <row r="530" spans="2:4" ht="21" hidden="1">
      <c r="B530" s="12" t="s">
        <v>3248</v>
      </c>
      <c r="C530" s="12" t="s">
        <v>3098</v>
      </c>
      <c r="D530" s="12" t="str">
        <f t="shared" si="11"/>
        <v xml:space="preserve"> A component of the project or program management plan that establishes the criteria and the activities for developing, monitoring, and controlling the schedule</v>
      </c>
    </row>
    <row r="531" spans="2:4" ht="21" hidden="1">
      <c r="B531" s="12" t="s">
        <v>3249</v>
      </c>
      <c r="D531" s="12">
        <f t="shared" si="11"/>
        <v>0</v>
      </c>
    </row>
    <row r="532" spans="2:4" ht="21" hidden="1">
      <c r="B532" s="12" t="s">
        <v>3250</v>
      </c>
      <c r="C532" s="12" t="s">
        <v>3251</v>
      </c>
      <c r="D532" s="12" t="str">
        <f t="shared" si="11"/>
        <v xml:space="preserve"> A representation of the plan for executing the project’s activities including durations, dependencies, and other planning information, used to produce a project schedule along with other</v>
      </c>
    </row>
    <row r="533" spans="2:4" ht="21" hidden="1">
      <c r="B533" s="12" t="s">
        <v>3252</v>
      </c>
      <c r="D533" s="12" t="str">
        <f t="shared" si="11"/>
        <v xml:space="preserve"> scheduling artifacts</v>
      </c>
    </row>
    <row r="534" spans="2:4" hidden="1">
      <c r="B534" s="32" t="s">
        <v>3253</v>
      </c>
      <c r="D534" s="12">
        <f t="shared" si="11"/>
        <v>0</v>
      </c>
    </row>
    <row r="535" spans="2:4" hidden="1">
      <c r="B535" s="12" t="s">
        <v>3254</v>
      </c>
      <c r="C535" s="12" t="s">
        <v>3255</v>
      </c>
      <c r="D535" s="12" t="str">
        <f t="shared" si="11"/>
        <v xml:space="preserve"> A measure of schedule efficiency expressed as the ratio of earned value to planned value</v>
      </c>
    </row>
    <row r="536" spans="2:4" hidden="1">
      <c r="B536" s="12" t="s">
        <v>3256</v>
      </c>
      <c r="D536" s="12">
        <f t="shared" si="11"/>
        <v>0</v>
      </c>
    </row>
    <row r="537" spans="2:4" ht="21" hidden="1">
      <c r="B537" s="12" t="s">
        <v>3257</v>
      </c>
      <c r="C537" s="12" t="s">
        <v>3258</v>
      </c>
      <c r="D537" s="12" t="str">
        <f t="shared" si="11"/>
        <v xml:space="preserve"> A measure of schedule performance expressed as the difference between the earned value and the planned value</v>
      </c>
    </row>
    <row r="538" spans="2:4" hidden="1">
      <c r="B538" s="12" t="s">
        <v>3259</v>
      </c>
      <c r="D538" s="12">
        <f t="shared" si="11"/>
        <v>0</v>
      </c>
    </row>
    <row r="539" spans="2:4" hidden="1">
      <c r="B539" s="12" t="s">
        <v>2020</v>
      </c>
      <c r="C539" s="12" t="s">
        <v>3260</v>
      </c>
      <c r="D539" s="12" t="str">
        <f t="shared" si="11"/>
        <v xml:space="preserve"> The sum of the products, services, and results to be provided as a project scope and product scope</v>
      </c>
    </row>
    <row r="540" spans="2:4" hidden="1">
      <c r="B540" s="12" t="s">
        <v>3261</v>
      </c>
      <c r="D540" s="12">
        <f t="shared" si="11"/>
        <v>0</v>
      </c>
    </row>
    <row r="541" spans="2:4" ht="21" hidden="1">
      <c r="B541" s="12" t="s">
        <v>3262</v>
      </c>
      <c r="C541" s="12" t="s">
        <v>3263</v>
      </c>
      <c r="D541" s="12" t="str">
        <f t="shared" si="11"/>
        <v xml:space="preserve"> The approved version of a scope statement, work breakdown structure (WBS), and its associated WBS dictionary that can be changed using formal change control procedures and</v>
      </c>
    </row>
    <row r="542" spans="2:4" ht="21" hidden="1">
      <c r="B542" s="12" t="s">
        <v>3264</v>
      </c>
      <c r="D542" s="12" t="str">
        <f t="shared" si="11"/>
        <v xml:space="preserve"> is used as the basis for comparison to actual results</v>
      </c>
    </row>
    <row r="543" spans="2:4" hidden="1">
      <c r="B543" s="12" t="s">
        <v>3265</v>
      </c>
      <c r="D543" s="12">
        <f t="shared" si="11"/>
        <v>0</v>
      </c>
    </row>
    <row r="544" spans="2:4" ht="21" hidden="1">
      <c r="B544" s="12" t="s">
        <v>3266</v>
      </c>
      <c r="C544" s="12" t="s">
        <v>3267</v>
      </c>
      <c r="D544" s="12" t="str">
        <f t="shared" si="11"/>
        <v xml:space="preserve"> The uncontrolled expansion to product or project scope without adjustments to time, cost, and resources</v>
      </c>
    </row>
    <row r="545" spans="2:4" hidden="1">
      <c r="B545" s="12" t="s">
        <v>3268</v>
      </c>
      <c r="D545" s="12">
        <f t="shared" si="11"/>
        <v>0</v>
      </c>
    </row>
    <row r="546" spans="2:4" ht="21" hidden="1">
      <c r="B546" s="12" t="s">
        <v>3269</v>
      </c>
      <c r="C546" s="12" t="s">
        <v>3270</v>
      </c>
      <c r="D546" s="12" t="str">
        <f t="shared" si="11"/>
        <v xml:space="preserve"> A component of the project or program management plan that describes how the scope will be defined, developed, monitored, controlled, and validated</v>
      </c>
    </row>
    <row r="547" spans="2:4" ht="21" hidden="1">
      <c r="B547" s="12" t="s">
        <v>3271</v>
      </c>
      <c r="D547" s="12">
        <f t="shared" si="11"/>
        <v>0</v>
      </c>
    </row>
    <row r="548" spans="2:4" hidden="1">
      <c r="B548" s="12" t="s">
        <v>3272</v>
      </c>
      <c r="C548" s="12" t="s">
        <v>3273</v>
      </c>
      <c r="D548" s="12" t="str">
        <f t="shared" si="11"/>
        <v xml:space="preserve"> A graph that displays cumulative costs over a specified period of time</v>
      </c>
    </row>
    <row r="549" spans="2:4" ht="21" hidden="1">
      <c r="B549" s="32" t="s">
        <v>3274</v>
      </c>
      <c r="C549" s="12" t="s">
        <v>3275</v>
      </c>
      <c r="D549" s="32" t="str">
        <f t="shared" si="11"/>
        <v xml:space="preserve"> A cross-functional team in which people assume leadership as needed to achieve the team’s objectives</v>
      </c>
    </row>
    <row r="550" spans="2:4" hidden="1">
      <c r="B550" s="12" t="s">
        <v>3276</v>
      </c>
      <c r="D550" s="12">
        <f t="shared" si="11"/>
        <v>0</v>
      </c>
    </row>
    <row r="551" spans="2:4" ht="21" hidden="1">
      <c r="B551" s="12" t="s">
        <v>3277</v>
      </c>
      <c r="C551" s="12" t="s">
        <v>3278</v>
      </c>
      <c r="D551" s="12" t="str">
        <f t="shared" si="11"/>
        <v xml:space="preserve"> An analysis method to determine which individual project risks or other sources of uncertainty have the most potential impact on project outcomes by correlating variations</v>
      </c>
    </row>
    <row r="552" spans="2:4" ht="21" hidden="1">
      <c r="B552" s="12" t="s">
        <v>3279</v>
      </c>
      <c r="D552" s="12" t="str">
        <f t="shared" si="11"/>
        <v xml:space="preserve"> in project outcomes with variations in elements of a quantitative risk analysis model</v>
      </c>
    </row>
    <row r="553" spans="2:4" ht="21" hidden="1">
      <c r="B553" s="12" t="s">
        <v>3280</v>
      </c>
      <c r="D553" s="12">
        <f t="shared" si="11"/>
        <v>0</v>
      </c>
    </row>
    <row r="554" spans="2:4" ht="21" hidden="1">
      <c r="B554" s="12" t="s">
        <v>3281</v>
      </c>
      <c r="C554" s="12" t="s">
        <v>3282</v>
      </c>
      <c r="D554" s="12" t="str">
        <f t="shared" si="11"/>
        <v xml:space="preserve"> The practice of leading the team by focusing on understanding and addressing the needs and development of team members in order to enable the highest possible</v>
      </c>
    </row>
    <row r="555" spans="2:4" ht="21" hidden="1">
      <c r="B555" s="12" t="s">
        <v>3283</v>
      </c>
      <c r="D555" s="12" t="str">
        <f t="shared" si="11"/>
        <v xml:space="preserve"> team performance</v>
      </c>
    </row>
    <row r="556" spans="2:4" hidden="1">
      <c r="B556" s="12" t="s">
        <v>3284</v>
      </c>
      <c r="D556" s="12">
        <f t="shared" si="11"/>
        <v>0</v>
      </c>
    </row>
    <row r="557" spans="2:4" ht="21" hidden="1">
      <c r="B557" s="12" t="s">
        <v>3285</v>
      </c>
      <c r="C557" s="12" t="s">
        <v>3286</v>
      </c>
      <c r="D557" s="12" t="str">
        <f t="shared" si="11"/>
        <v xml:space="preserve"> An analytical method that models the combined effect of uncertainties to evaluate their potential impact on objectives</v>
      </c>
    </row>
    <row r="558" spans="2:4" hidden="1">
      <c r="B558" s="12" t="s">
        <v>3287</v>
      </c>
      <c r="D558" s="12">
        <f t="shared" si="11"/>
        <v>0</v>
      </c>
    </row>
    <row r="559" spans="2:4" ht="21" hidden="1">
      <c r="B559" s="12" t="s">
        <v>3288</v>
      </c>
      <c r="C559" s="12" t="s">
        <v>3289</v>
      </c>
      <c r="D559" s="12" t="str">
        <f t="shared" si="11"/>
        <v xml:space="preserve"> An estimating method that involves using data to calculate a single value which reflects a best guess estimate</v>
      </c>
    </row>
    <row r="560" spans="2:4" hidden="1">
      <c r="B560" s="12" t="s">
        <v>3290</v>
      </c>
      <c r="D560" s="12">
        <f t="shared" si="11"/>
        <v>0</v>
      </c>
    </row>
    <row r="561" spans="2:4" ht="21" hidden="1">
      <c r="B561" s="12" t="s">
        <v>3291</v>
      </c>
      <c r="C561" s="12" t="s">
        <v>3292</v>
      </c>
      <c r="D561" s="12" t="str">
        <f t="shared" si="11"/>
        <v xml:space="preserve"> A precise statement of the needs to be satisfied and the essential characteristics that are required</v>
      </c>
    </row>
    <row r="562" spans="2:4" hidden="1">
      <c r="B562" s="12" t="s">
        <v>3293</v>
      </c>
      <c r="D562" s="12">
        <f t="shared" si="11"/>
        <v>0</v>
      </c>
    </row>
    <row r="563" spans="2:4" ht="21" hidden="1">
      <c r="B563" s="12" t="s">
        <v>3294</v>
      </c>
      <c r="C563" s="12" t="s">
        <v>3295</v>
      </c>
      <c r="D563" s="12" t="str">
        <f t="shared" si="11"/>
        <v xml:space="preserve"> A person or group who provides resources and support for the project, program, or portfolio and is accountable for enabling success</v>
      </c>
    </row>
    <row r="564" spans="2:4" hidden="1">
      <c r="B564" s="12" t="s">
        <v>3296</v>
      </c>
      <c r="D564" s="12">
        <f t="shared" si="11"/>
        <v>0</v>
      </c>
    </row>
    <row r="565" spans="2:4" ht="21" hidden="1">
      <c r="B565" s="12" t="s">
        <v>3297</v>
      </c>
      <c r="C565" s="12" t="s">
        <v>3298</v>
      </c>
      <c r="D565" s="12" t="str">
        <f t="shared" si="11"/>
        <v xml:space="preserve"> A short time interval within a project during which a usable and potentially releasable increment of the product is created</v>
      </c>
    </row>
    <row r="566" spans="2:4" hidden="1">
      <c r="B566" s="12" t="s">
        <v>3299</v>
      </c>
      <c r="D566" s="12">
        <f t="shared" si="11"/>
        <v>0</v>
      </c>
    </row>
    <row r="567" spans="2:4" ht="21" hidden="1">
      <c r="B567" s="12" t="s">
        <v>2036</v>
      </c>
      <c r="C567" s="12" t="s">
        <v>3300</v>
      </c>
      <c r="D567" s="12" t="str">
        <f t="shared" si="11"/>
        <v xml:space="preserve"> An individual, group, or organization that may affect, be affected by, or perceive itself to be affected by a decision, activity, or outcome of a project, program, or portfolio</v>
      </c>
    </row>
    <row r="568" spans="2:4" ht="21" hidden="1">
      <c r="B568" s="12" t="s">
        <v>3301</v>
      </c>
      <c r="D568" s="12">
        <f t="shared" si="11"/>
        <v>0</v>
      </c>
    </row>
    <row r="569" spans="2:4" ht="21" hidden="1">
      <c r="B569" s="12" t="s">
        <v>3302</v>
      </c>
      <c r="C569" s="12" t="s">
        <v>3303</v>
      </c>
      <c r="D569" s="12" t="str">
        <f t="shared" si="11"/>
        <v xml:space="preserve"> A method of systematically gathering and analyzing quantitative and qualitative information to determine whose interests should be taken into account throughout the project</v>
      </c>
    </row>
    <row r="570" spans="2:4" ht="21" hidden="1">
      <c r="B570" s="12" t="s">
        <v>3304</v>
      </c>
      <c r="D570" s="12">
        <f t="shared" si="11"/>
        <v>0</v>
      </c>
    </row>
    <row r="571" spans="2:4" hidden="1">
      <c r="B571" s="12" t="s">
        <v>3305</v>
      </c>
      <c r="C571" s="12" t="s">
        <v>3306</v>
      </c>
      <c r="D571" s="12" t="str">
        <f t="shared" si="11"/>
        <v xml:space="preserve"> A matrix that compares current and desired stakeholder engagement levels</v>
      </c>
    </row>
    <row r="572" spans="2:4" hidden="1">
      <c r="B572" s="12" t="s">
        <v>3307</v>
      </c>
      <c r="D572" s="12">
        <f t="shared" si="11"/>
        <v>0</v>
      </c>
    </row>
    <row r="573" spans="2:4" ht="21" hidden="1">
      <c r="B573" s="12" t="s">
        <v>3308</v>
      </c>
      <c r="C573" s="12" t="s">
        <v>3309</v>
      </c>
      <c r="D573" s="12" t="str">
        <f t="shared" si="11"/>
        <v xml:space="preserve"> A component of the project management plan that identifies the strategies and actions required to promote productive involvement of stakeholders in project or</v>
      </c>
    </row>
    <row r="574" spans="2:4" ht="21" hidden="1">
      <c r="B574" s="12" t="s">
        <v>3310</v>
      </c>
      <c r="D574" s="12" t="str">
        <f t="shared" si="11"/>
        <v xml:space="preserve"> program decision making and execution</v>
      </c>
    </row>
    <row r="575" spans="2:4" hidden="1">
      <c r="B575" s="12" t="s">
        <v>3311</v>
      </c>
      <c r="D575" s="12">
        <f t="shared" si="11"/>
        <v>0</v>
      </c>
    </row>
    <row r="576" spans="2:4" hidden="1">
      <c r="B576" s="12" t="s">
        <v>3312</v>
      </c>
      <c r="C576" s="12" t="s">
        <v>2892</v>
      </c>
      <c r="D576" s="12" t="str">
        <f t="shared" si="11"/>
        <v xml:space="preserve"> The performance domain that addresses activities and functions associated with stakeholders</v>
      </c>
    </row>
    <row r="577" spans="2:4" hidden="1">
      <c r="B577" s="12" t="s">
        <v>3313</v>
      </c>
      <c r="D577" s="12">
        <f t="shared" si="11"/>
        <v>0</v>
      </c>
    </row>
    <row r="578" spans="2:4" ht="21" hidden="1">
      <c r="B578" s="12" t="s">
        <v>3314</v>
      </c>
      <c r="C578" s="12" t="s">
        <v>3315</v>
      </c>
      <c r="D578" s="12" t="str">
        <f t="shared" si="11"/>
        <v xml:space="preserve"> A project document that includes information about project stakeholders including an assessment and classification of project stakeholders</v>
      </c>
    </row>
    <row r="579" spans="2:4" ht="21" hidden="1">
      <c r="B579" s="12" t="s">
        <v>3316</v>
      </c>
      <c r="D579" s="12">
        <f t="shared" si="11"/>
        <v>0</v>
      </c>
    </row>
    <row r="580" spans="2:4" ht="21" hidden="1">
      <c r="B580" s="12" t="s">
        <v>3317</v>
      </c>
      <c r="C580" s="12" t="s">
        <v>3318</v>
      </c>
      <c r="D580" s="12" t="str">
        <f t="shared" si="11"/>
        <v xml:space="preserve"> A document established by an authority, custom, or general consent as a model or example</v>
      </c>
    </row>
    <row r="581" spans="2:4" hidden="1">
      <c r="B581" s="12" t="s">
        <v>3319</v>
      </c>
      <c r="C581" s="12" t="s">
        <v>3320</v>
      </c>
      <c r="D581" s="12" t="str">
        <f t="shared" si="11"/>
        <v xml:space="preserve"> A narrative description of products, services, or results to be delivered by the project</v>
      </c>
    </row>
    <row r="582" spans="2:4" hidden="1">
      <c r="B582" s="12" t="s">
        <v>3321</v>
      </c>
      <c r="D582" s="12">
        <f t="shared" si="11"/>
        <v>0</v>
      </c>
    </row>
    <row r="583" spans="2:4" ht="21" hidden="1">
      <c r="B583" s="12" t="s">
        <v>3322</v>
      </c>
      <c r="C583" s="12" t="s">
        <v>3323</v>
      </c>
      <c r="D583" s="12" t="str">
        <f t="shared" si="11"/>
        <v xml:space="preserve"> A regularly scheduled meeting to exchange and analyze information about the current progress of the project and its performance</v>
      </c>
    </row>
    <row r="584" spans="2:4" hidden="1">
      <c r="B584" s="12" t="s">
        <v>3324</v>
      </c>
      <c r="D584" s="12">
        <f t="shared" si="11"/>
        <v>0</v>
      </c>
    </row>
    <row r="585" spans="2:4" hidden="1">
      <c r="B585" s="12" t="s">
        <v>3325</v>
      </c>
      <c r="C585" s="12" t="s">
        <v>3326</v>
      </c>
      <c r="D585" s="12" t="str">
        <f t="shared" ref="D585:D648" si="12">IF(C586="",CONCATENATE(C585," ",B586),C585)</f>
        <v xml:space="preserve"> A report on the current status of the project</v>
      </c>
    </row>
    <row r="586" spans="2:4" ht="21" hidden="1">
      <c r="B586" s="12" t="s">
        <v>3327</v>
      </c>
      <c r="C586" s="12" t="s">
        <v>3328</v>
      </c>
      <c r="D586" s="12" t="str">
        <f t="shared" si="12"/>
        <v xml:space="preserve"> An advisory body of senior stakeholders who provide direction and support for the project team and make decisions outside the project team’s authority</v>
      </c>
    </row>
    <row r="587" spans="2:4" ht="21" hidden="1">
      <c r="B587" s="12" t="s">
        <v>3329</v>
      </c>
      <c r="D587" s="12">
        <f t="shared" si="12"/>
        <v>0</v>
      </c>
    </row>
    <row r="588" spans="2:4" ht="21" hidden="1">
      <c r="B588" s="32" t="s">
        <v>3330</v>
      </c>
      <c r="C588" s="12" t="s">
        <v>3331</v>
      </c>
      <c r="D588" s="32" t="str">
        <f t="shared" si="12"/>
        <v xml:space="preserve"> A visual model of all the features and functionality desired for a given product, created to give the team a holistic view of what they are building and why</v>
      </c>
    </row>
    <row r="589" spans="2:4" ht="21" hidden="1">
      <c r="B589" s="12" t="s">
        <v>3332</v>
      </c>
      <c r="D589" s="12">
        <f t="shared" si="12"/>
        <v>0</v>
      </c>
    </row>
    <row r="590" spans="2:4" ht="21" hidden="1">
      <c r="B590" s="32" t="s">
        <v>3333</v>
      </c>
      <c r="C590" s="12" t="s">
        <v>3334</v>
      </c>
      <c r="D590" s="32" t="str">
        <f t="shared" si="12"/>
        <v xml:space="preserve"> A unit used to estimate the relative level of effort needed to implement a user story</v>
      </c>
    </row>
    <row r="591" spans="2:4" ht="21" hidden="1">
      <c r="B591" s="12" t="s">
        <v>3335</v>
      </c>
      <c r="C591" s="12" t="s">
        <v>3336</v>
      </c>
      <c r="D591" s="12" t="str">
        <f t="shared" si="12"/>
        <v xml:space="preserve"> A high-level document that explains an organization’s vision and mission plus the approach that will be adopted to achieve this mission and vision, including the specific goals and</v>
      </c>
    </row>
    <row r="592" spans="2:4" ht="21" hidden="1">
      <c r="B592" s="12" t="s">
        <v>3337</v>
      </c>
      <c r="D592" s="12" t="str">
        <f t="shared" si="12"/>
        <v xml:space="preserve"> objectives to be achieved during the period covered by the document</v>
      </c>
    </row>
    <row r="593" spans="2:4" ht="21" hidden="1">
      <c r="B593" s="12" t="s">
        <v>3338</v>
      </c>
      <c r="D593" s="12">
        <f t="shared" si="12"/>
        <v>0</v>
      </c>
    </row>
    <row r="594" spans="2:4" ht="21" hidden="1">
      <c r="B594" s="32" t="s">
        <v>3339</v>
      </c>
      <c r="C594" s="12" t="s">
        <v>3340</v>
      </c>
      <c r="D594" s="32" t="str">
        <f t="shared" si="12"/>
        <v xml:space="preserve"> Documents created prior to or at the start of the project that address strategic, business, or high-level information about the project</v>
      </c>
    </row>
    <row r="595" spans="2:4" hidden="1">
      <c r="B595" s="12" t="s">
        <v>3341</v>
      </c>
      <c r="D595" s="12">
        <f t="shared" si="12"/>
        <v>0</v>
      </c>
    </row>
    <row r="596" spans="2:4" ht="21" hidden="1">
      <c r="B596" s="12" t="s">
        <v>3342</v>
      </c>
      <c r="C596" s="12" t="s">
        <v>3343</v>
      </c>
      <c r="D596" s="12" t="str">
        <f t="shared" si="12"/>
        <v xml:space="preserve"> A method in which multiple team members focus collectively on resolving a specific problem or task</v>
      </c>
    </row>
    <row r="597" spans="2:4" hidden="1">
      <c r="B597" s="12" t="s">
        <v>3344</v>
      </c>
      <c r="D597" s="12">
        <f t="shared" si="12"/>
        <v>0</v>
      </c>
    </row>
    <row r="598" spans="2:4" hidden="1">
      <c r="B598" s="12" t="s">
        <v>3345</v>
      </c>
      <c r="C598" s="12" t="s">
        <v>3346</v>
      </c>
      <c r="D598" s="12" t="str">
        <f t="shared" si="12"/>
        <v xml:space="preserve"> Analysis of strengths, weaknesses, opportunities, and threats of an organization, project, or option</v>
      </c>
    </row>
    <row r="599" spans="2:4" hidden="1">
      <c r="B599" s="12" t="s">
        <v>3347</v>
      </c>
      <c r="D599" s="12">
        <f t="shared" si="12"/>
        <v>0</v>
      </c>
    </row>
    <row r="600" spans="2:4" ht="21" hidden="1">
      <c r="B600" s="12" t="s">
        <v>3348</v>
      </c>
      <c r="C600" s="12" t="s">
        <v>3349</v>
      </c>
      <c r="D600" s="12" t="str">
        <f t="shared" si="12"/>
        <v xml:space="preserve"> Personal knowledge that can be difficult to articulate and share such as beliefs, experience, and insights</v>
      </c>
    </row>
    <row r="601" spans="2:4" hidden="1">
      <c r="B601" s="12" t="s">
        <v>3350</v>
      </c>
      <c r="D601" s="12">
        <f t="shared" si="12"/>
        <v>0</v>
      </c>
    </row>
    <row r="602" spans="2:4" ht="21" hidden="1">
      <c r="B602" s="12" t="s">
        <v>2038</v>
      </c>
      <c r="C602" s="12" t="s">
        <v>3351</v>
      </c>
      <c r="D602" s="12" t="str">
        <f t="shared" si="12"/>
        <v xml:space="preserve"> The deliberate adaptation of approach, governance, and processes to make them more suitable for the given environment and the work at hand</v>
      </c>
    </row>
    <row r="603" spans="2:4" hidden="1">
      <c r="B603" s="12" t="s">
        <v>3352</v>
      </c>
      <c r="D603" s="12">
        <f t="shared" si="12"/>
        <v>0</v>
      </c>
    </row>
    <row r="604" spans="2:4" ht="21" hidden="1">
      <c r="B604" s="12" t="s">
        <v>3353</v>
      </c>
      <c r="C604" s="12" t="s">
        <v>3354</v>
      </c>
      <c r="D604" s="12" t="str">
        <f t="shared" si="12"/>
        <v xml:space="preserve"> A visual representation of the progress of the planned work that allows everyone to see the status of the tasks</v>
      </c>
    </row>
    <row r="605" spans="2:4" hidden="1">
      <c r="B605" s="12" t="s">
        <v>3355</v>
      </c>
      <c r="D605" s="12">
        <f t="shared" si="12"/>
        <v>0</v>
      </c>
    </row>
    <row r="606" spans="2:4" ht="21" hidden="1">
      <c r="B606" s="12" t="s">
        <v>3356</v>
      </c>
      <c r="C606" s="12" t="s">
        <v>3357</v>
      </c>
      <c r="D606" s="12" t="str">
        <f t="shared" si="12"/>
        <v xml:space="preserve"> A document that records the team values, agreements, and operating guidelines, as well as establishes clear expectations regarding acceptable behavior by project team members</v>
      </c>
    </row>
    <row r="607" spans="2:4" ht="21" hidden="1">
      <c r="B607" s="12" t="s">
        <v>3358</v>
      </c>
      <c r="D607" s="12">
        <f t="shared" si="12"/>
        <v>0</v>
      </c>
    </row>
    <row r="608" spans="2:4" ht="21" hidden="1">
      <c r="B608" s="12" t="s">
        <v>3359</v>
      </c>
      <c r="C608" s="12" t="s">
        <v>2686</v>
      </c>
      <c r="D608" s="12" t="str">
        <f t="shared" si="12"/>
        <v xml:space="preserve"> The performance domain that addresses activities and functions associated with the people who are responsible for producing project deliverables that realize</v>
      </c>
    </row>
    <row r="609" spans="2:4" ht="21" hidden="1">
      <c r="B609" s="12" t="s">
        <v>3360</v>
      </c>
      <c r="D609" s="12" t="str">
        <f t="shared" si="12"/>
        <v xml:space="preserve"> business outcomes</v>
      </c>
    </row>
    <row r="610" spans="2:4" hidden="1">
      <c r="B610" s="12" t="s">
        <v>3361</v>
      </c>
      <c r="D610" s="12">
        <f t="shared" si="12"/>
        <v>0</v>
      </c>
    </row>
    <row r="611" spans="2:4" ht="21" hidden="1">
      <c r="B611" s="12" t="s">
        <v>3362</v>
      </c>
      <c r="C611" s="12" t="s">
        <v>3363</v>
      </c>
      <c r="D611" s="12" t="str">
        <f t="shared" si="12"/>
        <v xml:space="preserve"> Quantifiable measures of technical performance that are used to ensure system components meet the technical requirements</v>
      </c>
    </row>
    <row r="612" spans="2:4" ht="21" hidden="1">
      <c r="B612" s="12" t="s">
        <v>3364</v>
      </c>
      <c r="D612" s="12">
        <f t="shared" si="12"/>
        <v>0</v>
      </c>
    </row>
    <row r="613" spans="2:4" ht="21" hidden="1">
      <c r="B613" s="12" t="s">
        <v>678</v>
      </c>
      <c r="C613" s="12" t="s">
        <v>3365</v>
      </c>
      <c r="D613" s="12" t="str">
        <f t="shared" si="12"/>
        <v xml:space="preserve"> A partially complete document in a predefined format that provides a defined structure for collecting, organizing, and presenting information and data</v>
      </c>
    </row>
    <row r="614" spans="2:4" ht="21" hidden="1">
      <c r="B614" s="12" t="s">
        <v>3366</v>
      </c>
      <c r="D614" s="12">
        <f t="shared" si="12"/>
        <v>0</v>
      </c>
    </row>
    <row r="615" spans="2:4" ht="21" hidden="1">
      <c r="B615" s="12" t="s">
        <v>3367</v>
      </c>
      <c r="C615" s="12" t="s">
        <v>3368</v>
      </c>
      <c r="D615" s="12" t="str">
        <f t="shared" si="12"/>
        <v xml:space="preserve"> A document describing deliverables that will be tested, tests that will be conducted, and the processes that will be used in testing</v>
      </c>
    </row>
    <row r="616" spans="2:4" hidden="1">
      <c r="B616" s="12" t="s">
        <v>3369</v>
      </c>
      <c r="D616" s="12">
        <f t="shared" si="12"/>
        <v>0</v>
      </c>
    </row>
    <row r="617" spans="2:4" hidden="1">
      <c r="B617" s="12" t="s">
        <v>3370</v>
      </c>
      <c r="C617" s="12" t="s">
        <v>3371</v>
      </c>
      <c r="D617" s="12" t="str">
        <f t="shared" si="12"/>
        <v xml:space="preserve"> A risk that would have a negative effect on one or more project objectives</v>
      </c>
    </row>
    <row r="618" spans="2:4" ht="21" hidden="1">
      <c r="B618" s="12" t="s">
        <v>3372</v>
      </c>
      <c r="C618" s="12" t="s">
        <v>3373</v>
      </c>
      <c r="D618" s="12" t="str">
        <f t="shared" si="12"/>
        <v xml:space="preserve"> A predetermined value of a measurable project variable that represents a limit that requires action to be taken if it is reached</v>
      </c>
    </row>
    <row r="619" spans="2:4" hidden="1">
      <c r="B619" s="12" t="s">
        <v>3374</v>
      </c>
      <c r="D619" s="12">
        <f t="shared" si="12"/>
        <v>0</v>
      </c>
    </row>
    <row r="620" spans="2:4" hidden="1">
      <c r="B620" s="12" t="s">
        <v>3375</v>
      </c>
      <c r="C620" s="12" t="s">
        <v>3376</v>
      </c>
      <c r="D620" s="12" t="str">
        <f t="shared" si="12"/>
        <v xml:space="preserve"> The number of items passing through a process</v>
      </c>
    </row>
    <row r="621" spans="2:4" hidden="1">
      <c r="B621" s="12" t="s">
        <v>3377</v>
      </c>
      <c r="C621" s="12" t="s">
        <v>3378</v>
      </c>
      <c r="D621" s="12" t="str">
        <f t="shared" si="12"/>
        <v xml:space="preserve"> A diagram that shows the accepted deliverables over time</v>
      </c>
    </row>
    <row r="622" spans="2:4" ht="21" hidden="1">
      <c r="B622" s="12" t="s">
        <v>3379</v>
      </c>
      <c r="C622" s="12" t="s">
        <v>3380</v>
      </c>
      <c r="D622" s="12" t="str">
        <f t="shared" si="12"/>
        <v xml:space="preserve"> A type of contract that is a hybrid contractual arrangement containing aspects of both cost-reimbursable and fixed-price contracts</v>
      </c>
    </row>
    <row r="623" spans="2:4" ht="21" hidden="1">
      <c r="B623" s="12" t="s">
        <v>3381</v>
      </c>
      <c r="D623" s="12">
        <f t="shared" si="12"/>
        <v>0</v>
      </c>
    </row>
    <row r="624" spans="2:4" hidden="1">
      <c r="B624" s="32" t="s">
        <v>3382</v>
      </c>
      <c r="C624" s="12" t="s">
        <v>3383</v>
      </c>
      <c r="D624" s="32" t="str">
        <f t="shared" si="12"/>
        <v xml:space="preserve"> A short, fixed period of time in which work is to be completed</v>
      </c>
    </row>
    <row r="625" spans="2:4" hidden="1">
      <c r="B625" s="12" t="s">
        <v>3384</v>
      </c>
      <c r="C625" s="12" t="s">
        <v>3385</v>
      </c>
      <c r="D625" s="12" t="str">
        <f t="shared" si="12"/>
        <v xml:space="preserve"> The quantified description of acceptable variation for a quality requirement</v>
      </c>
    </row>
    <row r="626" spans="2:4" ht="21" hidden="1">
      <c r="B626" s="12" t="s">
        <v>3386</v>
      </c>
      <c r="C626" s="12" t="s">
        <v>3387</v>
      </c>
      <c r="D626" s="12" t="str">
        <f t="shared" si="12"/>
        <v xml:space="preserve"> An analytical method that uses mathematical models to forecast future outcomes based on historical results</v>
      </c>
    </row>
    <row r="627" spans="2:4" hidden="1">
      <c r="B627" s="12" t="s">
        <v>3388</v>
      </c>
      <c r="D627" s="12">
        <f t="shared" si="12"/>
        <v>0</v>
      </c>
    </row>
    <row r="628" spans="2:4" ht="21" hidden="1">
      <c r="B628" s="32" t="s">
        <v>3389</v>
      </c>
      <c r="C628" s="12" t="s">
        <v>3390</v>
      </c>
      <c r="D628" s="32" t="str">
        <f t="shared" si="12"/>
        <v xml:space="preserve"> A framework for considering the full cost of doing business by evaluating a company’s bottom line from the perspective of profit, people, and the planet</v>
      </c>
    </row>
    <row r="629" spans="2:4" ht="21" hidden="1">
      <c r="B629" s="12" t="s">
        <v>3391</v>
      </c>
      <c r="D629" s="12">
        <f t="shared" si="12"/>
        <v>0</v>
      </c>
    </row>
    <row r="630" spans="2:4" ht="21" hidden="1">
      <c r="B630" s="12" t="s">
        <v>3392</v>
      </c>
      <c r="C630" s="12" t="s">
        <v>3393</v>
      </c>
      <c r="D630" s="12" t="str">
        <f t="shared" si="12"/>
        <v xml:space="preserve"> A lack of understanding and awareness of issues, events, path to follow, or solutions to pursue</v>
      </c>
    </row>
    <row r="631" spans="2:4" hidden="1">
      <c r="B631" s="12" t="s">
        <v>3394</v>
      </c>
      <c r="D631" s="12">
        <f t="shared" si="12"/>
        <v>0</v>
      </c>
    </row>
    <row r="632" spans="2:4" ht="21" hidden="1">
      <c r="B632" s="12" t="s">
        <v>3395</v>
      </c>
      <c r="C632" s="12" t="s">
        <v>3396</v>
      </c>
      <c r="D632" s="12" t="str">
        <f t="shared" si="12"/>
        <v xml:space="preserve"> The performance domain that addresses activities and functions associated with risk and uncertainty</v>
      </c>
    </row>
    <row r="633" spans="2:4" hidden="1">
      <c r="B633" s="12" t="s">
        <v>3397</v>
      </c>
      <c r="D633" s="12">
        <f t="shared" si="12"/>
        <v>0</v>
      </c>
    </row>
    <row r="634" spans="2:4" ht="21" hidden="1">
      <c r="B634" s="12" t="s">
        <v>3398</v>
      </c>
      <c r="C634" s="12" t="s">
        <v>3399</v>
      </c>
      <c r="D634" s="12" t="str">
        <f t="shared" si="12"/>
        <v xml:space="preserve"> An artifact for describing and exploring how a user interacts with a system to achieve a specific goal</v>
      </c>
    </row>
    <row r="635" spans="2:4" hidden="1">
      <c r="B635" s="12" t="s">
        <v>3400</v>
      </c>
      <c r="D635" s="12">
        <f t="shared" si="12"/>
        <v>0</v>
      </c>
    </row>
    <row r="636" spans="2:4" ht="21" hidden="1">
      <c r="B636" s="12" t="s">
        <v>3401</v>
      </c>
      <c r="C636" s="12" t="s">
        <v>3402</v>
      </c>
      <c r="D636" s="12" t="str">
        <f t="shared" si="12"/>
        <v xml:space="preserve"> A brief description of an outcome for a specific user, which is a promise for a conversation to clarify details</v>
      </c>
    </row>
    <row r="637" spans="2:4" hidden="1">
      <c r="B637" s="12" t="s">
        <v>3403</v>
      </c>
      <c r="D637" s="12">
        <f t="shared" si="12"/>
        <v>0</v>
      </c>
    </row>
    <row r="638" spans="2:4" ht="21" hidden="1">
      <c r="B638" s="12" t="s">
        <v>3404</v>
      </c>
      <c r="C638" s="12" t="s">
        <v>3405</v>
      </c>
      <c r="D638" s="12" t="str">
        <f t="shared" si="12"/>
        <v xml:space="preserve"> The assurance that a product, service, or result meets the needs of the customer and other identified stakeholders</v>
      </c>
    </row>
    <row r="639" spans="2:4" hidden="1">
      <c r="B639" s="12" t="s">
        <v>3406</v>
      </c>
      <c r="D639" s="12">
        <f t="shared" si="12"/>
        <v>0</v>
      </c>
    </row>
    <row r="640" spans="2:4" hidden="1">
      <c r="B640" s="12" t="s">
        <v>2447</v>
      </c>
      <c r="C640" s="12" t="s">
        <v>3407</v>
      </c>
      <c r="D640" s="12" t="str">
        <f t="shared" si="12"/>
        <v xml:space="preserve"> The worth, importance, or usefulness of something</v>
      </c>
    </row>
    <row r="641" spans="2:4" ht="21" hidden="1">
      <c r="B641" s="32" t="s">
        <v>3408</v>
      </c>
      <c r="C641" s="12" t="s">
        <v>3409</v>
      </c>
      <c r="D641" s="32" t="str">
        <f t="shared" si="12"/>
        <v xml:space="preserve"> A project delivery support structure that focuses on coaching teams; building agile skills and capabilities throughout the organization; and mentoring sponsors and</v>
      </c>
    </row>
    <row r="642" spans="2:4" ht="21" hidden="1">
      <c r="B642" s="12" t="s">
        <v>3410</v>
      </c>
      <c r="D642" s="12" t="str">
        <f t="shared" si="12"/>
        <v xml:space="preserve"> product owners to be more effective in those roles</v>
      </c>
    </row>
    <row r="643" spans="2:4" hidden="1">
      <c r="B643" s="12" t="s">
        <v>3411</v>
      </c>
      <c r="D643" s="12">
        <f t="shared" si="12"/>
        <v>0</v>
      </c>
    </row>
    <row r="644" spans="2:4" ht="21" hidden="1">
      <c r="B644" s="12" t="s">
        <v>3412</v>
      </c>
      <c r="C644" s="12" t="s">
        <v>3413</v>
      </c>
      <c r="D644" s="12" t="str">
        <f t="shared" si="12"/>
        <v xml:space="preserve"> A collection of strategic business activities aimed at building, sustaining, and/or advancing an organization</v>
      </c>
    </row>
    <row r="645" spans="2:4" hidden="1">
      <c r="B645" s="12" t="s">
        <v>3414</v>
      </c>
      <c r="D645" s="12">
        <f t="shared" si="12"/>
        <v>0</v>
      </c>
    </row>
    <row r="646" spans="2:4" hidden="1">
      <c r="B646" s="12" t="s">
        <v>3415</v>
      </c>
      <c r="C646" s="12" t="s">
        <v>3416</v>
      </c>
      <c r="D646" s="12" t="str">
        <f t="shared" si="12"/>
        <v xml:space="preserve"> The value of a product or service that an organization communicates to its customers</v>
      </c>
    </row>
    <row r="647" spans="2:4" hidden="1">
      <c r="B647" s="12" t="s">
        <v>3417</v>
      </c>
      <c r="D647" s="12">
        <f t="shared" si="12"/>
        <v>0</v>
      </c>
    </row>
    <row r="648" spans="2:4" hidden="1">
      <c r="B648" s="12" t="s">
        <v>3418</v>
      </c>
      <c r="C648" s="12" t="s">
        <v>3419</v>
      </c>
      <c r="D648" s="12" t="str">
        <f t="shared" si="12"/>
        <v xml:space="preserve"> A display of the critical steps in a process and the time taken in each step used to identify waste</v>
      </c>
    </row>
    <row r="649" spans="2:4" hidden="1">
      <c r="B649" s="12" t="s">
        <v>3420</v>
      </c>
      <c r="D649" s="12">
        <f t="shared" ref="D649:D688" si="13">IF(C650="",CONCATENATE(C649," ",B650),C649)</f>
        <v>0</v>
      </c>
    </row>
    <row r="650" spans="2:4" ht="21" hidden="1">
      <c r="B650" s="12" t="s">
        <v>3421</v>
      </c>
      <c r="C650" s="12" t="s">
        <v>3422</v>
      </c>
      <c r="D650" s="12" t="str">
        <f t="shared" si="13"/>
        <v xml:space="preserve"> A lean enterprise method used to document, analyze, and improve the flow of information or materials required to produce a product or service for a customer</v>
      </c>
    </row>
    <row r="651" spans="2:4" ht="21" hidden="1">
      <c r="B651" s="12" t="s">
        <v>3423</v>
      </c>
      <c r="D651" s="12">
        <f t="shared" si="13"/>
        <v>0</v>
      </c>
    </row>
    <row r="652" spans="2:4" ht="21" hidden="1">
      <c r="B652" s="32" t="s">
        <v>3424</v>
      </c>
      <c r="C652" s="12" t="s">
        <v>3425</v>
      </c>
      <c r="D652" s="32" t="str">
        <f t="shared" si="13"/>
        <v xml:space="preserve"> A measure that appears to show some result but does not provide useful information for making decisions</v>
      </c>
    </row>
    <row r="653" spans="2:4" hidden="1">
      <c r="B653" s="12" t="s">
        <v>3426</v>
      </c>
      <c r="D653" s="12">
        <f t="shared" si="13"/>
        <v>0</v>
      </c>
    </row>
    <row r="654" spans="2:4" hidden="1">
      <c r="B654" s="12" t="s">
        <v>843</v>
      </c>
      <c r="C654" s="12" t="s">
        <v>3427</v>
      </c>
      <c r="D654" s="12" t="str">
        <f t="shared" si="13"/>
        <v xml:space="preserve"> A quantifiable deviation, departure, or divergence away from a known baseline or expected value</v>
      </c>
    </row>
    <row r="655" spans="2:4" hidden="1">
      <c r="B655" s="12" t="s">
        <v>3428</v>
      </c>
      <c r="D655" s="12">
        <f t="shared" si="13"/>
        <v>0</v>
      </c>
    </row>
    <row r="656" spans="2:4" ht="21" hidden="1">
      <c r="B656" s="12" t="s">
        <v>3429</v>
      </c>
      <c r="C656" s="12" t="s">
        <v>3430</v>
      </c>
      <c r="D656" s="12" t="str">
        <f t="shared" si="13"/>
        <v xml:space="preserve"> A method for determining the cause and degree of difference between the baseline and actual performance</v>
      </c>
    </row>
    <row r="657" spans="2:4" hidden="1">
      <c r="B657" s="12" t="s">
        <v>3431</v>
      </c>
      <c r="D657" s="12">
        <f t="shared" si="13"/>
        <v>0</v>
      </c>
    </row>
    <row r="658" spans="2:4" ht="21" hidden="1">
      <c r="B658" s="12" t="s">
        <v>3432</v>
      </c>
      <c r="C658" s="12" t="s">
        <v>3433</v>
      </c>
      <c r="D658" s="12" t="str">
        <f t="shared" si="13"/>
        <v xml:space="preserve"> A projection of the amount of budget deficit or surplus, expressed as the difference between the budget at completion and the estimate at completion</v>
      </c>
    </row>
    <row r="659" spans="2:4" ht="21" hidden="1">
      <c r="B659" s="12" t="s">
        <v>3434</v>
      </c>
      <c r="D659" s="12">
        <f t="shared" si="13"/>
        <v>0</v>
      </c>
    </row>
    <row r="660" spans="2:4" ht="21" hidden="1">
      <c r="B660" s="32" t="s">
        <v>3435</v>
      </c>
      <c r="C660" s="12" t="s">
        <v>3436</v>
      </c>
      <c r="D660" s="32" t="str">
        <f t="shared" si="13"/>
        <v xml:space="preserve"> A measure of a team’s productivity rate at which the deliverables are produced, validated, and accepted within a predefined interval</v>
      </c>
    </row>
    <row r="661" spans="2:4" hidden="1">
      <c r="B661" s="12" t="s">
        <v>3437</v>
      </c>
      <c r="D661" s="12">
        <f t="shared" si="13"/>
        <v>0</v>
      </c>
    </row>
    <row r="662" spans="2:4" ht="21" hidden="1">
      <c r="B662" s="32" t="s">
        <v>3438</v>
      </c>
      <c r="C662" s="12" t="s">
        <v>3439</v>
      </c>
      <c r="D662" s="32" t="str">
        <f t="shared" si="13"/>
        <v xml:space="preserve"> A chart that tracks the rate at which the deliverables are produced, validated, and accepted within a predefined interval</v>
      </c>
    </row>
    <row r="663" spans="2:4" hidden="1">
      <c r="B663" s="12" t="s">
        <v>3440</v>
      </c>
      <c r="D663" s="12">
        <f t="shared" si="13"/>
        <v>0</v>
      </c>
    </row>
    <row r="664" spans="2:4" ht="21" hidden="1">
      <c r="B664" s="12" t="s">
        <v>3441</v>
      </c>
      <c r="C664" s="12" t="s">
        <v>3442</v>
      </c>
      <c r="D664" s="12" t="str">
        <f t="shared" si="13"/>
        <v xml:space="preserve"> The evaluation of whether or not a product, service, or result complies with a regulation, requirement, specification, or imposed condition</v>
      </c>
    </row>
    <row r="665" spans="2:4" hidden="1">
      <c r="B665" s="12" t="s">
        <v>3443</v>
      </c>
      <c r="D665" s="12">
        <f t="shared" si="13"/>
        <v>0</v>
      </c>
    </row>
    <row r="666" spans="2:4" ht="21" hidden="1">
      <c r="B666" s="12" t="s">
        <v>3444</v>
      </c>
      <c r="C666" s="12" t="s">
        <v>3445</v>
      </c>
      <c r="D666" s="12" t="str">
        <f t="shared" si="13"/>
        <v xml:space="preserve"> A group of people with a shared goal who work in different locations and who engage with each other primarily through phone and other electronic communications</v>
      </c>
    </row>
    <row r="667" spans="2:4" ht="21" hidden="1">
      <c r="B667" s="12" t="s">
        <v>3446</v>
      </c>
      <c r="D667" s="12">
        <f t="shared" si="13"/>
        <v>0</v>
      </c>
    </row>
    <row r="668" spans="2:4" ht="21" hidden="1">
      <c r="B668" s="12" t="s">
        <v>3447</v>
      </c>
      <c r="C668" s="12" t="s">
        <v>3448</v>
      </c>
      <c r="D668" s="12" t="str">
        <f t="shared" si="13"/>
        <v xml:space="preserve"> A summarized, high-level description about the expectations for a product such as target market, users, major benefits, and what differentiates the product from others in the market</v>
      </c>
    </row>
    <row r="669" spans="2:4" ht="21" hidden="1">
      <c r="B669" s="12" t="s">
        <v>3449</v>
      </c>
      <c r="D669" s="12">
        <f t="shared" si="13"/>
        <v>0</v>
      </c>
    </row>
    <row r="670" spans="2:4" ht="21" hidden="1">
      <c r="B670" s="12" t="s">
        <v>3450</v>
      </c>
      <c r="C670" s="12" t="s">
        <v>3451</v>
      </c>
      <c r="D670" s="12" t="str">
        <f t="shared" si="13"/>
        <v xml:space="preserve"> Artifacts that organize and present data and information in a visual format, such as charts, graphs, matrices, and diagrams</v>
      </c>
    </row>
    <row r="671" spans="2:4" hidden="1">
      <c r="B671" s="12" t="s">
        <v>3452</v>
      </c>
      <c r="D671" s="12">
        <f t="shared" si="13"/>
        <v>0</v>
      </c>
    </row>
    <row r="672" spans="2:4" ht="21" hidden="1">
      <c r="B672" s="12" t="s">
        <v>3453</v>
      </c>
      <c r="C672" s="12" t="s">
        <v>3454</v>
      </c>
      <c r="D672" s="12" t="str">
        <f t="shared" si="13"/>
        <v xml:space="preserve"> A planning method used to provide products, services, and results that truly reflect customer requirements by translating those customer requirements into the appropriate</v>
      </c>
    </row>
    <row r="673" spans="2:4" ht="21" hidden="1">
      <c r="B673" s="12" t="s">
        <v>3455</v>
      </c>
      <c r="D673" s="12" t="str">
        <f t="shared" si="13"/>
        <v xml:space="preserve"> technical requirements for each phase of project or product development</v>
      </c>
    </row>
    <row r="674" spans="2:4" ht="21" hidden="1">
      <c r="B674" s="12" t="s">
        <v>3456</v>
      </c>
      <c r="D674" s="12">
        <f t="shared" si="13"/>
        <v>0</v>
      </c>
    </row>
    <row r="675" spans="2:4" hidden="1">
      <c r="B675" s="12" t="s">
        <v>3457</v>
      </c>
      <c r="C675" s="12" t="s">
        <v>3458</v>
      </c>
      <c r="D675" s="12" t="str">
        <f t="shared" si="13"/>
        <v xml:space="preserve"> The possibility for rapid and unpredictable change</v>
      </c>
    </row>
    <row r="676" spans="2:4" hidden="1">
      <c r="B676" s="12" t="s">
        <v>3459</v>
      </c>
      <c r="C676" s="12" t="s">
        <v>3460</v>
      </c>
      <c r="D676" s="12" t="str">
        <f t="shared" si="13"/>
        <v xml:space="preserve"> Activities that consume resources and/or time without adding value</v>
      </c>
    </row>
    <row r="677" spans="2:4" ht="21" hidden="1">
      <c r="B677" s="12" t="s">
        <v>3461</v>
      </c>
      <c r="C677" s="12" t="s">
        <v>3462</v>
      </c>
      <c r="D677" s="12" t="str">
        <f t="shared" si="13"/>
        <v xml:space="preserve"> A document that provides detailed deliverable, activity, and scheduling information about each component in the work breakdown structure</v>
      </c>
    </row>
    <row r="678" spans="2:4" hidden="1">
      <c r="B678" s="12" t="s">
        <v>3463</v>
      </c>
      <c r="D678" s="12">
        <f t="shared" si="13"/>
        <v>0</v>
      </c>
    </row>
    <row r="679" spans="2:4" hidden="1">
      <c r="B679" s="12" t="s">
        <v>3464</v>
      </c>
      <c r="C679" s="12" t="s">
        <v>3465</v>
      </c>
      <c r="D679" s="12" t="str">
        <f t="shared" si="13"/>
        <v xml:space="preserve"> The process of evaluating scenarios in order to predict their effect on project objectives</v>
      </c>
    </row>
    <row r="680" spans="2:4" hidden="1">
      <c r="B680" s="12" t="s">
        <v>3172</v>
      </c>
      <c r="D680" s="12">
        <f t="shared" si="13"/>
        <v>0</v>
      </c>
    </row>
    <row r="681" spans="2:4" ht="21" hidden="1">
      <c r="B681" s="12" t="s">
        <v>3466</v>
      </c>
      <c r="C681" s="12" t="s">
        <v>3467</v>
      </c>
      <c r="D681" s="12" t="str">
        <f t="shared" si="13"/>
        <v xml:space="preserve"> An estimating method in which subject matter experts go through multiple rounds of producing estimates individually, with a team discussion after each round, until</v>
      </c>
    </row>
    <row r="682" spans="2:4" ht="21" hidden="1">
      <c r="B682" s="12" t="s">
        <v>3468</v>
      </c>
      <c r="D682" s="12" t="str">
        <f t="shared" si="13"/>
        <v xml:space="preserve"> a consensus is achieved</v>
      </c>
    </row>
    <row r="683" spans="2:4" hidden="1">
      <c r="B683" s="12" t="s">
        <v>3469</v>
      </c>
      <c r="D683" s="12">
        <f t="shared" si="13"/>
        <v>0</v>
      </c>
    </row>
    <row r="684" spans="2:4" ht="21" hidden="1">
      <c r="B684" s="12" t="s">
        <v>3470</v>
      </c>
      <c r="C684" s="12" t="s">
        <v>3471</v>
      </c>
      <c r="D684" s="12" t="str">
        <f t="shared" si="13"/>
        <v xml:space="preserve"> A hierarchical decomposition of the total scope of work to be carried out by the project team to accomplish the project objectives and create the required</v>
      </c>
    </row>
    <row r="685" spans="2:4" ht="21" hidden="1">
      <c r="B685" s="12" t="s">
        <v>3472</v>
      </c>
      <c r="D685" s="12" t="str">
        <f t="shared" si="13"/>
        <v xml:space="preserve"> deliverables</v>
      </c>
    </row>
    <row r="686" spans="2:4" hidden="1">
      <c r="B686" s="12" t="s">
        <v>3473</v>
      </c>
      <c r="D686" s="12">
        <f t="shared" si="13"/>
        <v>0</v>
      </c>
    </row>
    <row r="687" spans="2:4" ht="21" hidden="1">
      <c r="B687" s="12" t="s">
        <v>3474</v>
      </c>
      <c r="C687" s="12" t="s">
        <v>3475</v>
      </c>
      <c r="D687" s="12" t="str">
        <f t="shared" si="13"/>
        <v xml:space="preserve"> The work defined at the lowest level of the work breakdown structure for which cost and duration are estimated and managed</v>
      </c>
    </row>
    <row r="688" spans="2:4" hidden="1">
      <c r="B688" s="12" t="s">
        <v>3476</v>
      </c>
      <c r="D688" s="12" t="str">
        <f t="shared" si="13"/>
        <v xml:space="preserve"> </v>
      </c>
    </row>
  </sheetData>
  <autoFilter ref="B2:D688" xr:uid="{CBE2283F-5CA1-4B1E-9B3F-AEB17BD422E3}">
    <filterColumn colId="0">
      <filters>
        <filter val="or duration based on historical data and project parameters"/>
        <filter val="Parametric Estimating"/>
      </filters>
    </filterColumn>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BD164-CA0F-4E02-856B-E69AB0328673}">
  <dimension ref="A2:H12"/>
  <sheetViews>
    <sheetView showGridLines="0" zoomScale="85" zoomScaleNormal="85" workbookViewId="0">
      <pane xSplit="2" ySplit="2" topLeftCell="C4" activePane="bottomRight" state="frozen"/>
      <selection pane="topRight" activeCell="C1" sqref="C1"/>
      <selection pane="bottomLeft" activeCell="A3" sqref="A3"/>
      <selection pane="bottomRight" activeCell="D4" sqref="D4"/>
    </sheetView>
  </sheetViews>
  <sheetFormatPr defaultRowHeight="10.5"/>
  <cols>
    <col min="1" max="1" width="8.7265625" style="40"/>
    <col min="2" max="2" width="14.36328125" style="40" customWidth="1"/>
    <col min="3" max="7" width="50.6328125" style="40" customWidth="1"/>
    <col min="8" max="16384" width="8.7265625" style="40"/>
  </cols>
  <sheetData>
    <row r="2" spans="1:8">
      <c r="B2" s="41" t="s">
        <v>4198</v>
      </c>
      <c r="C2" s="41" t="s">
        <v>4199</v>
      </c>
      <c r="D2" s="41" t="s">
        <v>2964</v>
      </c>
      <c r="E2" s="41" t="s">
        <v>4200</v>
      </c>
      <c r="F2" s="41" t="s">
        <v>4201</v>
      </c>
      <c r="G2" s="41" t="s">
        <v>4202</v>
      </c>
    </row>
    <row r="3" spans="1:8" ht="147">
      <c r="A3" s="40">
        <v>4</v>
      </c>
      <c r="B3" s="41" t="s">
        <v>2034</v>
      </c>
      <c r="C3" s="42" t="s">
        <v>4203</v>
      </c>
      <c r="D3" s="42" t="s">
        <v>4204</v>
      </c>
      <c r="E3" s="43" t="s">
        <v>4205</v>
      </c>
      <c r="F3" s="43" t="s">
        <v>4206</v>
      </c>
      <c r="G3" s="42" t="s">
        <v>4207</v>
      </c>
      <c r="H3" s="40">
        <v>7664363734</v>
      </c>
    </row>
    <row r="4" spans="1:8" ht="231">
      <c r="A4" s="40">
        <f>+A3+1</f>
        <v>5</v>
      </c>
      <c r="B4" s="41" t="s">
        <v>2020</v>
      </c>
      <c r="C4" s="42"/>
      <c r="D4" s="43" t="s">
        <v>4208</v>
      </c>
      <c r="E4" s="42"/>
      <c r="F4" s="43" t="s">
        <v>4209</v>
      </c>
      <c r="G4" s="42"/>
    </row>
    <row r="5" spans="1:8" ht="315">
      <c r="A5" s="40">
        <f t="shared" ref="A5:A12" si="0">+A4+1</f>
        <v>6</v>
      </c>
      <c r="B5" s="41" t="s">
        <v>3237</v>
      </c>
      <c r="C5" s="42"/>
      <c r="D5" s="43" t="s">
        <v>4210</v>
      </c>
      <c r="E5" s="42"/>
      <c r="F5" s="43" t="s">
        <v>4211</v>
      </c>
      <c r="G5" s="42"/>
    </row>
    <row r="6" spans="1:8" ht="189">
      <c r="A6" s="40">
        <f t="shared" si="0"/>
        <v>7</v>
      </c>
      <c r="B6" s="41" t="s">
        <v>2037</v>
      </c>
      <c r="C6" s="42"/>
      <c r="D6" s="43" t="s">
        <v>4212</v>
      </c>
      <c r="E6" s="42"/>
      <c r="F6" s="43" t="s">
        <v>4213</v>
      </c>
      <c r="G6" s="42"/>
    </row>
    <row r="7" spans="1:8" ht="84">
      <c r="A7" s="40">
        <f t="shared" si="0"/>
        <v>8</v>
      </c>
      <c r="B7" s="41" t="s">
        <v>920</v>
      </c>
      <c r="C7" s="42"/>
      <c r="D7" s="43" t="s">
        <v>4214</v>
      </c>
      <c r="E7" s="43" t="s">
        <v>4215</v>
      </c>
      <c r="F7" s="43" t="s">
        <v>4216</v>
      </c>
      <c r="G7" s="42"/>
    </row>
    <row r="8" spans="1:8" ht="220.5">
      <c r="A8" s="40">
        <f t="shared" si="0"/>
        <v>9</v>
      </c>
      <c r="B8" s="41" t="s">
        <v>4217</v>
      </c>
      <c r="C8" s="42"/>
      <c r="D8" s="43" t="s">
        <v>4218</v>
      </c>
      <c r="E8" s="43" t="s">
        <v>4219</v>
      </c>
      <c r="F8" s="43" t="s">
        <v>4220</v>
      </c>
      <c r="G8" s="42"/>
    </row>
    <row r="9" spans="1:8" ht="84">
      <c r="A9" s="40">
        <f t="shared" si="0"/>
        <v>10</v>
      </c>
      <c r="B9" s="41" t="s">
        <v>4221</v>
      </c>
      <c r="C9" s="42"/>
      <c r="D9" s="43" t="s">
        <v>4222</v>
      </c>
      <c r="E9" s="43" t="s">
        <v>4223</v>
      </c>
      <c r="F9" s="43" t="s">
        <v>4224</v>
      </c>
      <c r="G9" s="42"/>
    </row>
    <row r="10" spans="1:8" ht="315">
      <c r="A10" s="40">
        <f t="shared" si="0"/>
        <v>11</v>
      </c>
      <c r="B10" s="41" t="s">
        <v>1396</v>
      </c>
      <c r="C10" s="42"/>
      <c r="D10" s="43" t="s">
        <v>4225</v>
      </c>
      <c r="E10" s="43" t="s">
        <v>4226</v>
      </c>
      <c r="F10" s="43" t="s">
        <v>4227</v>
      </c>
      <c r="G10" s="42"/>
    </row>
    <row r="11" spans="1:8" ht="105">
      <c r="A11" s="40">
        <f t="shared" si="0"/>
        <v>12</v>
      </c>
      <c r="B11" s="41" t="s">
        <v>4100</v>
      </c>
      <c r="C11" s="42"/>
      <c r="D11" s="43" t="s">
        <v>4228</v>
      </c>
      <c r="E11" s="43" t="s">
        <v>4229</v>
      </c>
      <c r="F11" s="43" t="s">
        <v>4230</v>
      </c>
      <c r="G11" s="42"/>
    </row>
    <row r="12" spans="1:8" ht="73.5">
      <c r="A12" s="40">
        <f t="shared" si="0"/>
        <v>13</v>
      </c>
      <c r="B12" s="41" t="s">
        <v>2036</v>
      </c>
      <c r="C12" s="43" t="s">
        <v>4231</v>
      </c>
      <c r="D12" s="42" t="s">
        <v>4232</v>
      </c>
      <c r="E12" s="42" t="s">
        <v>4233</v>
      </c>
      <c r="F12" s="42" t="s">
        <v>4234</v>
      </c>
      <c r="G12" s="4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FC398-3399-4DF6-871E-6AD735CBB7BC}">
  <dimension ref="A1:V57"/>
  <sheetViews>
    <sheetView showGridLines="0" workbookViewId="0">
      <pane ySplit="2" topLeftCell="A3" activePane="bottomLeft" state="frozen"/>
      <selection pane="bottomLeft" activeCell="A3" sqref="A3"/>
    </sheetView>
  </sheetViews>
  <sheetFormatPr defaultRowHeight="12"/>
  <cols>
    <col min="1" max="1" width="8.7265625" style="33"/>
    <col min="2" max="2" width="19.1796875" style="33" bestFit="1" customWidth="1"/>
    <col min="3" max="3" width="27.81640625" style="33" customWidth="1"/>
    <col min="4" max="4" width="18.81640625" style="33" customWidth="1"/>
    <col min="5" max="5" width="18.90625" style="33" bestFit="1" customWidth="1"/>
    <col min="6" max="6" width="26.26953125" style="33" bestFit="1" customWidth="1"/>
    <col min="7" max="7" width="18.7265625" style="33" bestFit="1" customWidth="1"/>
    <col min="8" max="9" width="18.90625" style="33" bestFit="1" customWidth="1"/>
    <col min="10" max="10" width="22.08984375" style="33" bestFit="1" customWidth="1"/>
    <col min="11" max="11" width="16.08984375" style="33" bestFit="1" customWidth="1"/>
    <col min="12" max="12" width="19" style="33" bestFit="1" customWidth="1"/>
    <col min="13" max="13" width="18.90625" style="33" bestFit="1" customWidth="1"/>
    <col min="14" max="14" width="19.1796875" style="33" bestFit="1" customWidth="1"/>
    <col min="15" max="15" width="23.36328125" style="33" bestFit="1" customWidth="1"/>
    <col min="16" max="16" width="21.08984375" style="33" bestFit="1" customWidth="1"/>
    <col min="17" max="17" width="8.7265625" style="33"/>
    <col min="18" max="18" width="24.08984375" style="33" bestFit="1" customWidth="1"/>
    <col min="19" max="19" width="24.453125" style="33" bestFit="1" customWidth="1"/>
    <col min="20" max="20" width="43" style="33" bestFit="1" customWidth="1"/>
    <col min="21" max="21" width="8.7265625" style="33"/>
    <col min="22" max="22" width="19.7265625" style="33" bestFit="1" customWidth="1"/>
    <col min="23" max="16384" width="8.7265625" style="33"/>
  </cols>
  <sheetData>
    <row r="1" spans="1:22">
      <c r="A1" s="37">
        <f>SUM(B1:P1)</f>
        <v>566</v>
      </c>
      <c r="B1" s="37">
        <f>COUNTA(B3:B100)</f>
        <v>29</v>
      </c>
      <c r="C1" s="37">
        <f t="shared" ref="C1:P1" si="0">COUNTA(C3:C100)</f>
        <v>50</v>
      </c>
      <c r="D1" s="37">
        <f t="shared" si="0"/>
        <v>39</v>
      </c>
      <c r="E1" s="37">
        <f t="shared" si="0"/>
        <v>55</v>
      </c>
      <c r="F1" s="37">
        <f t="shared" si="0"/>
        <v>43</v>
      </c>
      <c r="G1" s="37">
        <f t="shared" si="0"/>
        <v>49</v>
      </c>
      <c r="H1" s="37">
        <f t="shared" si="0"/>
        <v>49</v>
      </c>
      <c r="I1" s="37">
        <f t="shared" si="0"/>
        <v>36</v>
      </c>
      <c r="J1" s="37">
        <f t="shared" si="0"/>
        <v>49</v>
      </c>
      <c r="K1" s="37">
        <f t="shared" si="0"/>
        <v>15</v>
      </c>
      <c r="L1" s="37">
        <f t="shared" si="0"/>
        <v>49</v>
      </c>
      <c r="M1" s="37">
        <f t="shared" si="0"/>
        <v>47</v>
      </c>
      <c r="N1" s="37">
        <f t="shared" si="0"/>
        <v>19</v>
      </c>
      <c r="O1" s="37">
        <f t="shared" si="0"/>
        <v>17</v>
      </c>
      <c r="P1" s="37">
        <f t="shared" si="0"/>
        <v>20</v>
      </c>
      <c r="S1" s="33" t="s">
        <v>3748</v>
      </c>
    </row>
    <row r="2" spans="1:22">
      <c r="B2" s="36" t="s">
        <v>3633</v>
      </c>
      <c r="C2" s="36" t="s">
        <v>3582</v>
      </c>
      <c r="D2" s="36" t="s">
        <v>2034</v>
      </c>
      <c r="E2" s="36" t="s">
        <v>3835</v>
      </c>
      <c r="F2" s="36" t="s">
        <v>3875</v>
      </c>
      <c r="G2" s="36" t="s">
        <v>2020</v>
      </c>
      <c r="H2" s="36" t="s">
        <v>3237</v>
      </c>
      <c r="I2" s="36" t="s">
        <v>3967</v>
      </c>
      <c r="J2" s="36" t="s">
        <v>3998</v>
      </c>
      <c r="K2" s="36" t="s">
        <v>2035</v>
      </c>
      <c r="L2" s="36" t="s">
        <v>4056</v>
      </c>
      <c r="M2" s="36" t="s">
        <v>4100</v>
      </c>
      <c r="N2" s="36" t="s">
        <v>4146</v>
      </c>
      <c r="O2" s="36" t="s">
        <v>4161</v>
      </c>
      <c r="P2" s="36" t="s">
        <v>4179</v>
      </c>
      <c r="Q2" s="34"/>
      <c r="R2" s="36" t="s">
        <v>3663</v>
      </c>
      <c r="S2" s="36" t="s">
        <v>3688</v>
      </c>
      <c r="T2" s="36"/>
      <c r="U2" s="36"/>
      <c r="V2" s="36" t="s">
        <v>3732</v>
      </c>
    </row>
    <row r="3" spans="1:22">
      <c r="B3" s="33" t="s">
        <v>3634</v>
      </c>
      <c r="C3" s="33" t="s">
        <v>3583</v>
      </c>
      <c r="D3" s="33" t="s">
        <v>3749</v>
      </c>
      <c r="E3" s="33" t="s">
        <v>3783</v>
      </c>
      <c r="F3" s="33" t="s">
        <v>3836</v>
      </c>
      <c r="G3" s="33" t="s">
        <v>3876</v>
      </c>
      <c r="H3" s="33" t="s">
        <v>3922</v>
      </c>
      <c r="I3" s="33" t="s">
        <v>3968</v>
      </c>
      <c r="J3" s="33" t="s">
        <v>3999</v>
      </c>
      <c r="K3" s="33" t="s">
        <v>4041</v>
      </c>
      <c r="L3" s="33" t="s">
        <v>4057</v>
      </c>
      <c r="M3" s="33" t="s">
        <v>4101</v>
      </c>
      <c r="N3" s="33" t="s">
        <v>4037</v>
      </c>
      <c r="O3" s="33" t="s">
        <v>4162</v>
      </c>
      <c r="P3" s="33" t="s">
        <v>4180</v>
      </c>
      <c r="R3" s="33" t="s">
        <v>3664</v>
      </c>
      <c r="S3" s="33" t="s">
        <v>3689</v>
      </c>
      <c r="V3" s="33" t="s">
        <v>3733</v>
      </c>
    </row>
    <row r="4" spans="1:22">
      <c r="B4" s="33" t="s">
        <v>3635</v>
      </c>
      <c r="C4" s="33" t="s">
        <v>3584</v>
      </c>
      <c r="D4" s="33" t="s">
        <v>3750</v>
      </c>
      <c r="E4" s="33" t="s">
        <v>3784</v>
      </c>
      <c r="F4" s="33" t="s">
        <v>3750</v>
      </c>
      <c r="G4" s="33" t="s">
        <v>3877</v>
      </c>
      <c r="H4" s="33" t="s">
        <v>3923</v>
      </c>
      <c r="I4" s="33" t="s">
        <v>3750</v>
      </c>
      <c r="J4" s="33" t="s">
        <v>4000</v>
      </c>
      <c r="K4" s="33" t="s">
        <v>4042</v>
      </c>
      <c r="L4" s="33" t="s">
        <v>3661</v>
      </c>
      <c r="M4" s="33" t="s">
        <v>4102</v>
      </c>
      <c r="N4" s="33" t="s">
        <v>4147</v>
      </c>
      <c r="O4" s="33" t="s">
        <v>4163</v>
      </c>
      <c r="P4" s="33" t="s">
        <v>4181</v>
      </c>
      <c r="R4" s="33" t="s">
        <v>3665</v>
      </c>
      <c r="S4" s="33" t="s">
        <v>3690</v>
      </c>
      <c r="V4" s="33" t="s">
        <v>3694</v>
      </c>
    </row>
    <row r="5" spans="1:22">
      <c r="B5" s="33" t="s">
        <v>3636</v>
      </c>
      <c r="C5" s="33" t="s">
        <v>3585</v>
      </c>
      <c r="D5" s="33" t="s">
        <v>3751</v>
      </c>
      <c r="E5" s="33" t="s">
        <v>3785</v>
      </c>
      <c r="F5" s="33" t="s">
        <v>3837</v>
      </c>
      <c r="G5" s="33" t="s">
        <v>3878</v>
      </c>
      <c r="H5" s="33" t="s">
        <v>3924</v>
      </c>
      <c r="I5" s="33" t="s">
        <v>3969</v>
      </c>
      <c r="J5" s="33" t="s">
        <v>3750</v>
      </c>
      <c r="K5" s="33" t="s">
        <v>4043</v>
      </c>
      <c r="L5" s="33" t="s">
        <v>4058</v>
      </c>
      <c r="M5" s="33" t="s">
        <v>4103</v>
      </c>
      <c r="N5" s="33" t="s">
        <v>4148</v>
      </c>
      <c r="O5" s="33" t="s">
        <v>4164</v>
      </c>
      <c r="P5" s="33" t="s">
        <v>4182</v>
      </c>
      <c r="R5" s="33" t="s">
        <v>3666</v>
      </c>
      <c r="S5" s="33" t="s">
        <v>3691</v>
      </c>
      <c r="V5" s="33" t="s">
        <v>3734</v>
      </c>
    </row>
    <row r="6" spans="1:22">
      <c r="B6" s="33" t="s">
        <v>3637</v>
      </c>
      <c r="C6" s="33" t="s">
        <v>3586</v>
      </c>
      <c r="D6" s="33" t="s">
        <v>3752</v>
      </c>
      <c r="E6" s="33" t="s">
        <v>3786</v>
      </c>
      <c r="F6" s="33" t="s">
        <v>3838</v>
      </c>
      <c r="G6" s="33" t="s">
        <v>3879</v>
      </c>
      <c r="H6" s="33" t="s">
        <v>3925</v>
      </c>
      <c r="I6" s="33" t="s">
        <v>3970</v>
      </c>
      <c r="J6" s="33" t="s">
        <v>4001</v>
      </c>
      <c r="K6" s="33" t="s">
        <v>4044</v>
      </c>
      <c r="L6" s="33" t="s">
        <v>4059</v>
      </c>
      <c r="M6" s="33" t="s">
        <v>4042</v>
      </c>
      <c r="N6" s="33" t="s">
        <v>3750</v>
      </c>
      <c r="O6" s="33" t="s">
        <v>4165</v>
      </c>
      <c r="P6" s="33" t="s">
        <v>4183</v>
      </c>
      <c r="R6" s="33" t="s">
        <v>3667</v>
      </c>
      <c r="S6" s="33" t="s">
        <v>3692</v>
      </c>
      <c r="V6" s="33" t="s">
        <v>3735</v>
      </c>
    </row>
    <row r="7" spans="1:22">
      <c r="B7" s="33" t="s">
        <v>3638</v>
      </c>
      <c r="C7" s="33" t="s">
        <v>3587</v>
      </c>
      <c r="D7" s="33" t="s">
        <v>3753</v>
      </c>
      <c r="E7" s="33" t="s">
        <v>3787</v>
      </c>
      <c r="F7" s="33" t="s">
        <v>3839</v>
      </c>
      <c r="G7" s="33" t="s">
        <v>3880</v>
      </c>
      <c r="H7" s="33" t="s">
        <v>3926</v>
      </c>
      <c r="I7" s="33" t="s">
        <v>3605</v>
      </c>
      <c r="J7" s="33" t="s">
        <v>4002</v>
      </c>
      <c r="K7" s="33" t="s">
        <v>4045</v>
      </c>
      <c r="L7" s="33" t="s">
        <v>4060</v>
      </c>
      <c r="M7" s="33" t="s">
        <v>4104</v>
      </c>
      <c r="N7" s="33" t="s">
        <v>4149</v>
      </c>
      <c r="O7" s="33" t="s">
        <v>4166</v>
      </c>
      <c r="P7" s="33" t="s">
        <v>3884</v>
      </c>
      <c r="R7" s="33" t="s">
        <v>3668</v>
      </c>
      <c r="S7" s="33" t="s">
        <v>3693</v>
      </c>
      <c r="V7" s="33" t="s">
        <v>3736</v>
      </c>
    </row>
    <row r="8" spans="1:22">
      <c r="B8" s="33" t="s">
        <v>3639</v>
      </c>
      <c r="C8" s="33" t="s">
        <v>3588</v>
      </c>
      <c r="D8" s="33" t="s">
        <v>3724</v>
      </c>
      <c r="E8" s="33" t="s">
        <v>3788</v>
      </c>
      <c r="F8" s="33" t="s">
        <v>3840</v>
      </c>
      <c r="G8" s="33" t="s">
        <v>3881</v>
      </c>
      <c r="H8" s="33" t="s">
        <v>3927</v>
      </c>
      <c r="I8" s="33" t="s">
        <v>3971</v>
      </c>
      <c r="J8" s="33" t="s">
        <v>4003</v>
      </c>
      <c r="K8" s="33" t="s">
        <v>4046</v>
      </c>
      <c r="L8" s="33" t="s">
        <v>4061</v>
      </c>
      <c r="M8" s="33" t="s">
        <v>4105</v>
      </c>
      <c r="N8" s="33" t="s">
        <v>4150</v>
      </c>
      <c r="O8" s="33" t="s">
        <v>4167</v>
      </c>
      <c r="P8" s="33" t="s">
        <v>4184</v>
      </c>
      <c r="R8" s="33" t="s">
        <v>3669</v>
      </c>
      <c r="S8" s="33" t="s">
        <v>3694</v>
      </c>
      <c r="V8" s="33" t="s">
        <v>3737</v>
      </c>
    </row>
    <row r="9" spans="1:22">
      <c r="B9" s="33" t="s">
        <v>3640</v>
      </c>
      <c r="C9" s="33" t="s">
        <v>3589</v>
      </c>
      <c r="D9" s="33" t="s">
        <v>3754</v>
      </c>
      <c r="E9" s="33" t="s">
        <v>3789</v>
      </c>
      <c r="F9" s="33" t="s">
        <v>3841</v>
      </c>
      <c r="G9" s="33" t="s">
        <v>3750</v>
      </c>
      <c r="H9" s="33" t="s">
        <v>3928</v>
      </c>
      <c r="I9" s="33" t="s">
        <v>3972</v>
      </c>
      <c r="J9" s="33" t="s">
        <v>4004</v>
      </c>
      <c r="K9" s="33" t="s">
        <v>4047</v>
      </c>
      <c r="L9" s="33" t="s">
        <v>4062</v>
      </c>
      <c r="M9" s="33" t="s">
        <v>4106</v>
      </c>
      <c r="N9" s="33" t="s">
        <v>4151</v>
      </c>
      <c r="O9" s="33" t="s">
        <v>4168</v>
      </c>
      <c r="P9" s="33" t="s">
        <v>4185</v>
      </c>
      <c r="R9" s="33" t="s">
        <v>3670</v>
      </c>
      <c r="S9" s="33" t="s">
        <v>3695</v>
      </c>
      <c r="V9" s="33" t="s">
        <v>3738</v>
      </c>
    </row>
    <row r="10" spans="1:22">
      <c r="B10" s="33" t="s">
        <v>3641</v>
      </c>
      <c r="C10" s="33" t="s">
        <v>3620</v>
      </c>
      <c r="D10" s="33" t="s">
        <v>3755</v>
      </c>
      <c r="E10" s="33" t="s">
        <v>3790</v>
      </c>
      <c r="F10" s="33" t="s">
        <v>3842</v>
      </c>
      <c r="G10" s="33" t="s">
        <v>3882</v>
      </c>
      <c r="H10" s="33" t="s">
        <v>3750</v>
      </c>
      <c r="I10" s="33" t="s">
        <v>3973</v>
      </c>
      <c r="J10" s="33" t="s">
        <v>4005</v>
      </c>
      <c r="K10" s="33" t="s">
        <v>4048</v>
      </c>
      <c r="L10" s="33" t="s">
        <v>4063</v>
      </c>
      <c r="M10" s="33" t="s">
        <v>4107</v>
      </c>
      <c r="N10" s="33" t="s">
        <v>3658</v>
      </c>
      <c r="O10" s="33" t="s">
        <v>4169</v>
      </c>
      <c r="P10" s="33" t="s">
        <v>4186</v>
      </c>
      <c r="R10" s="33" t="s">
        <v>3671</v>
      </c>
      <c r="S10" s="33" t="s">
        <v>3696</v>
      </c>
      <c r="V10" s="33" t="s">
        <v>3739</v>
      </c>
    </row>
    <row r="11" spans="1:22">
      <c r="B11" s="33" t="s">
        <v>3642</v>
      </c>
      <c r="C11" s="33" t="s">
        <v>3621</v>
      </c>
      <c r="D11" s="33" t="s">
        <v>3756</v>
      </c>
      <c r="E11" s="33" t="s">
        <v>3785</v>
      </c>
      <c r="F11" s="33" t="s">
        <v>3843</v>
      </c>
      <c r="G11" s="33" t="s">
        <v>3760</v>
      </c>
      <c r="H11" s="33" t="s">
        <v>3929</v>
      </c>
      <c r="I11" s="33" t="s">
        <v>3974</v>
      </c>
      <c r="J11" s="33" t="s">
        <v>4006</v>
      </c>
      <c r="K11" s="33" t="s">
        <v>4049</v>
      </c>
      <c r="L11" s="33" t="s">
        <v>4064</v>
      </c>
      <c r="M11" s="33" t="s">
        <v>4108</v>
      </c>
      <c r="N11" s="33" t="s">
        <v>4152</v>
      </c>
      <c r="O11" s="33" t="s">
        <v>4170</v>
      </c>
      <c r="P11" s="33" t="s">
        <v>4187</v>
      </c>
      <c r="R11" s="33" t="s">
        <v>3672</v>
      </c>
      <c r="S11" s="33" t="s">
        <v>3697</v>
      </c>
      <c r="V11" s="33" t="s">
        <v>3740</v>
      </c>
    </row>
    <row r="12" spans="1:22">
      <c r="B12" s="33" t="s">
        <v>3643</v>
      </c>
      <c r="C12" s="33" t="s">
        <v>3622</v>
      </c>
      <c r="D12" s="33" t="s">
        <v>3757</v>
      </c>
      <c r="E12" s="33" t="s">
        <v>3791</v>
      </c>
      <c r="F12" s="33" t="s">
        <v>3844</v>
      </c>
      <c r="G12" s="33" t="s">
        <v>3747</v>
      </c>
      <c r="H12" s="33" t="s">
        <v>3730</v>
      </c>
      <c r="I12" s="33" t="s">
        <v>3975</v>
      </c>
      <c r="J12" s="33" t="s">
        <v>4007</v>
      </c>
      <c r="K12" s="33" t="s">
        <v>4050</v>
      </c>
      <c r="L12" s="33" t="s">
        <v>4065</v>
      </c>
      <c r="M12" s="33" t="s">
        <v>4109</v>
      </c>
      <c r="N12" s="33" t="s">
        <v>4153</v>
      </c>
      <c r="O12" s="33" t="s">
        <v>4171</v>
      </c>
      <c r="P12" s="33" t="s">
        <v>4064</v>
      </c>
      <c r="R12" s="33" t="s">
        <v>3673</v>
      </c>
      <c r="S12" s="33" t="s">
        <v>3698</v>
      </c>
      <c r="V12" s="33" t="s">
        <v>3741</v>
      </c>
    </row>
    <row r="13" spans="1:22">
      <c r="B13" s="33" t="s">
        <v>3644</v>
      </c>
      <c r="C13" s="33" t="s">
        <v>3590</v>
      </c>
      <c r="D13" s="33" t="s">
        <v>3758</v>
      </c>
      <c r="E13" s="33" t="s">
        <v>3792</v>
      </c>
      <c r="F13" s="33" t="s">
        <v>3845</v>
      </c>
      <c r="G13" s="33" t="s">
        <v>3883</v>
      </c>
      <c r="H13" s="33" t="s">
        <v>3930</v>
      </c>
      <c r="I13" s="33" t="s">
        <v>3976</v>
      </c>
      <c r="J13" s="33" t="s">
        <v>4008</v>
      </c>
      <c r="K13" s="33" t="s">
        <v>4051</v>
      </c>
      <c r="L13" s="33" t="s">
        <v>4066</v>
      </c>
      <c r="M13" s="33" t="s">
        <v>4110</v>
      </c>
      <c r="N13" s="33" t="s">
        <v>4153</v>
      </c>
      <c r="O13" s="33" t="s">
        <v>4172</v>
      </c>
      <c r="P13" s="33" t="s">
        <v>4065</v>
      </c>
      <c r="R13" s="33" t="s">
        <v>3674</v>
      </c>
      <c r="S13" s="33" t="s">
        <v>3699</v>
      </c>
      <c r="V13" s="33" t="s">
        <v>3742</v>
      </c>
    </row>
    <row r="14" spans="1:22">
      <c r="B14" s="33" t="s">
        <v>3645</v>
      </c>
      <c r="C14" s="33" t="s">
        <v>3591</v>
      </c>
      <c r="D14" s="33" t="s">
        <v>3759</v>
      </c>
      <c r="E14" s="33" t="s">
        <v>3793</v>
      </c>
      <c r="F14" s="33" t="s">
        <v>3730</v>
      </c>
      <c r="G14" s="33" t="s">
        <v>3884</v>
      </c>
      <c r="H14" s="33" t="s">
        <v>3931</v>
      </c>
      <c r="I14" s="33" t="s">
        <v>3977</v>
      </c>
      <c r="J14" s="33" t="s">
        <v>4009</v>
      </c>
      <c r="K14" s="33" t="s">
        <v>4052</v>
      </c>
      <c r="L14" s="33" t="s">
        <v>4067</v>
      </c>
      <c r="M14" s="33" t="s">
        <v>4111</v>
      </c>
      <c r="N14" s="33" t="s">
        <v>4154</v>
      </c>
      <c r="O14" s="33" t="s">
        <v>4173</v>
      </c>
      <c r="P14" s="33" t="s">
        <v>4188</v>
      </c>
      <c r="R14" s="33" t="s">
        <v>3675</v>
      </c>
      <c r="S14" s="33" t="s">
        <v>3700</v>
      </c>
      <c r="V14" s="33" t="s">
        <v>3743</v>
      </c>
    </row>
    <row r="15" spans="1:22">
      <c r="B15" s="33" t="s">
        <v>3646</v>
      </c>
      <c r="C15" s="33" t="s">
        <v>3592</v>
      </c>
      <c r="D15" s="33" t="s">
        <v>3760</v>
      </c>
      <c r="E15" s="33" t="s">
        <v>3794</v>
      </c>
      <c r="F15" s="33" t="s">
        <v>3846</v>
      </c>
      <c r="G15" s="33" t="s">
        <v>3885</v>
      </c>
      <c r="H15" s="33" t="s">
        <v>3922</v>
      </c>
      <c r="I15" s="33" t="s">
        <v>3978</v>
      </c>
      <c r="J15" s="33" t="s">
        <v>4010</v>
      </c>
      <c r="K15" s="33" t="s">
        <v>4053</v>
      </c>
      <c r="L15" s="33" t="s">
        <v>3750</v>
      </c>
      <c r="M15" s="33" t="s">
        <v>4112</v>
      </c>
      <c r="N15" s="33" t="s">
        <v>4155</v>
      </c>
      <c r="O15" s="33" t="s">
        <v>4174</v>
      </c>
      <c r="P15" s="33" t="s">
        <v>4189</v>
      </c>
      <c r="R15" s="33" t="s">
        <v>3676</v>
      </c>
      <c r="S15" s="33" t="s">
        <v>3701</v>
      </c>
      <c r="V15" s="33" t="s">
        <v>3744</v>
      </c>
    </row>
    <row r="16" spans="1:22">
      <c r="B16" s="33" t="s">
        <v>3647</v>
      </c>
      <c r="C16" s="33" t="s">
        <v>3593</v>
      </c>
      <c r="D16" s="33" t="s">
        <v>3747</v>
      </c>
      <c r="E16" s="33" t="s">
        <v>3795</v>
      </c>
      <c r="F16" s="33" t="s">
        <v>3747</v>
      </c>
      <c r="G16" s="33" t="s">
        <v>3886</v>
      </c>
      <c r="H16" s="33" t="s">
        <v>3932</v>
      </c>
      <c r="I16" s="33" t="s">
        <v>3979</v>
      </c>
      <c r="J16" s="33" t="s">
        <v>4011</v>
      </c>
      <c r="K16" s="33" t="s">
        <v>4054</v>
      </c>
      <c r="L16" s="33" t="s">
        <v>4068</v>
      </c>
      <c r="M16" s="33" t="s">
        <v>4113</v>
      </c>
      <c r="N16" s="33" t="s">
        <v>3678</v>
      </c>
      <c r="O16" s="33" t="s">
        <v>4175</v>
      </c>
      <c r="P16" s="33" t="s">
        <v>4190</v>
      </c>
      <c r="R16" s="33" t="s">
        <v>3677</v>
      </c>
      <c r="S16" s="33" t="s">
        <v>3702</v>
      </c>
      <c r="V16" s="33" t="s">
        <v>3745</v>
      </c>
    </row>
    <row r="17" spans="2:22">
      <c r="B17" s="33" t="s">
        <v>3648</v>
      </c>
      <c r="C17" s="33" t="s">
        <v>3623</v>
      </c>
      <c r="D17" s="33" t="s">
        <v>3761</v>
      </c>
      <c r="E17" s="33" t="s">
        <v>3796</v>
      </c>
      <c r="F17" s="33" t="s">
        <v>3847</v>
      </c>
      <c r="G17" s="33" t="s">
        <v>3887</v>
      </c>
      <c r="H17" s="33" t="s">
        <v>3933</v>
      </c>
      <c r="I17" s="33" t="s">
        <v>3938</v>
      </c>
      <c r="J17" s="33" t="s">
        <v>4012</v>
      </c>
      <c r="K17" s="33" t="s">
        <v>4055</v>
      </c>
      <c r="L17" s="33" t="s">
        <v>4069</v>
      </c>
      <c r="M17" s="33" t="s">
        <v>4114</v>
      </c>
      <c r="N17" s="33" t="s">
        <v>4156</v>
      </c>
      <c r="O17" s="33" t="s">
        <v>4176</v>
      </c>
      <c r="P17" s="33" t="s">
        <v>4191</v>
      </c>
      <c r="R17" s="33" t="s">
        <v>3678</v>
      </c>
      <c r="S17" s="33" t="s">
        <v>3703</v>
      </c>
      <c r="V17" s="33" t="s">
        <v>3746</v>
      </c>
    </row>
    <row r="18" spans="2:22">
      <c r="B18" s="33" t="s">
        <v>3649</v>
      </c>
      <c r="C18" s="33" t="s">
        <v>3624</v>
      </c>
      <c r="D18" s="33" t="s">
        <v>3730</v>
      </c>
      <c r="E18" s="33" t="s">
        <v>3797</v>
      </c>
      <c r="F18" s="33" t="s">
        <v>3747</v>
      </c>
      <c r="G18" s="33" t="s">
        <v>3888</v>
      </c>
      <c r="H18" s="33" t="s">
        <v>3934</v>
      </c>
      <c r="I18" s="33" t="s">
        <v>3980</v>
      </c>
      <c r="J18" s="33" t="s">
        <v>3603</v>
      </c>
      <c r="L18" s="33" t="s">
        <v>4070</v>
      </c>
      <c r="M18" s="33" t="s">
        <v>4115</v>
      </c>
      <c r="N18" s="33" t="s">
        <v>4157</v>
      </c>
      <c r="O18" s="33" t="s">
        <v>4177</v>
      </c>
      <c r="P18" s="33" t="s">
        <v>4192</v>
      </c>
      <c r="R18" s="33" t="s">
        <v>3679</v>
      </c>
      <c r="S18" s="33" t="s">
        <v>3704</v>
      </c>
    </row>
    <row r="19" spans="2:22">
      <c r="B19" s="33" t="s">
        <v>3650</v>
      </c>
      <c r="C19" s="33" t="s">
        <v>3625</v>
      </c>
      <c r="D19" s="33" t="s">
        <v>3762</v>
      </c>
      <c r="E19" s="33" t="s">
        <v>3798</v>
      </c>
      <c r="F19" s="33" t="s">
        <v>3848</v>
      </c>
      <c r="G19" s="33" t="s">
        <v>3889</v>
      </c>
      <c r="H19" s="33" t="s">
        <v>3935</v>
      </c>
      <c r="I19" s="33" t="s">
        <v>3981</v>
      </c>
      <c r="J19" s="33" t="s">
        <v>4013</v>
      </c>
      <c r="L19" s="33" t="s">
        <v>4071</v>
      </c>
      <c r="M19" s="33" t="s">
        <v>4116</v>
      </c>
      <c r="N19" s="33" t="s">
        <v>4158</v>
      </c>
      <c r="O19" s="33" t="s">
        <v>4178</v>
      </c>
      <c r="P19" s="33" t="s">
        <v>4193</v>
      </c>
      <c r="R19" s="33" t="s">
        <v>3680</v>
      </c>
      <c r="S19" s="33" t="s">
        <v>3705</v>
      </c>
    </row>
    <row r="20" spans="2:22">
      <c r="B20" s="33" t="s">
        <v>3651</v>
      </c>
      <c r="C20" s="33" t="s">
        <v>3594</v>
      </c>
      <c r="D20" s="33" t="s">
        <v>3747</v>
      </c>
      <c r="E20" s="33" t="s">
        <v>3799</v>
      </c>
      <c r="F20" s="33" t="s">
        <v>3849</v>
      </c>
      <c r="G20" s="33" t="s">
        <v>3890</v>
      </c>
      <c r="H20" s="33" t="s">
        <v>3936</v>
      </c>
      <c r="I20" s="33" t="s">
        <v>3982</v>
      </c>
      <c r="J20" s="33" t="s">
        <v>4014</v>
      </c>
      <c r="L20" s="33" t="s">
        <v>4072</v>
      </c>
      <c r="M20" s="33" t="s">
        <v>4117</v>
      </c>
      <c r="N20" s="33" t="s">
        <v>4159</v>
      </c>
      <c r="P20" s="33" t="s">
        <v>4194</v>
      </c>
      <c r="R20" s="33" t="s">
        <v>3681</v>
      </c>
      <c r="S20" s="33" t="s">
        <v>3706</v>
      </c>
    </row>
    <row r="21" spans="2:22">
      <c r="B21" s="33" t="s">
        <v>3652</v>
      </c>
      <c r="C21" s="33" t="s">
        <v>3595</v>
      </c>
      <c r="D21" s="33" t="s">
        <v>3763</v>
      </c>
      <c r="E21" s="33" t="s">
        <v>3800</v>
      </c>
      <c r="F21" s="33" t="s">
        <v>3850</v>
      </c>
      <c r="G21" s="33" t="s">
        <v>3891</v>
      </c>
      <c r="H21" s="33" t="s">
        <v>3937</v>
      </c>
      <c r="I21" s="33" t="s">
        <v>3983</v>
      </c>
      <c r="J21" s="33" t="s">
        <v>4015</v>
      </c>
      <c r="L21" s="33" t="s">
        <v>4073</v>
      </c>
      <c r="M21" s="33" t="s">
        <v>4118</v>
      </c>
      <c r="N21" s="33" t="s">
        <v>4160</v>
      </c>
      <c r="P21" s="33" t="s">
        <v>4195</v>
      </c>
      <c r="R21" s="33" t="s">
        <v>3682</v>
      </c>
      <c r="S21" s="33" t="s">
        <v>3707</v>
      </c>
    </row>
    <row r="22" spans="2:22">
      <c r="B22" s="33" t="s">
        <v>3653</v>
      </c>
      <c r="C22" s="33" t="s">
        <v>3596</v>
      </c>
      <c r="D22" s="33" t="s">
        <v>3764</v>
      </c>
      <c r="E22" s="33" t="s">
        <v>3801</v>
      </c>
      <c r="F22" s="33" t="s">
        <v>3851</v>
      </c>
      <c r="G22" s="33" t="s">
        <v>3892</v>
      </c>
      <c r="H22" s="33" t="s">
        <v>3938</v>
      </c>
      <c r="I22" s="33" t="s">
        <v>3984</v>
      </c>
      <c r="J22" s="33" t="s">
        <v>4016</v>
      </c>
      <c r="L22" s="33" t="s">
        <v>3908</v>
      </c>
      <c r="M22" s="33" t="s">
        <v>4119</v>
      </c>
      <c r="P22" s="33" t="s">
        <v>4196</v>
      </c>
      <c r="R22" s="33" t="s">
        <v>3683</v>
      </c>
      <c r="S22" s="33" t="s">
        <v>3708</v>
      </c>
    </row>
    <row r="23" spans="2:22">
      <c r="B23" s="33" t="s">
        <v>3654</v>
      </c>
      <c r="C23" s="33" t="s">
        <v>3597</v>
      </c>
      <c r="D23" s="33" t="s">
        <v>3765</v>
      </c>
      <c r="E23" s="33" t="s">
        <v>3802</v>
      </c>
      <c r="F23" s="33" t="s">
        <v>3852</v>
      </c>
      <c r="G23" s="33" t="s">
        <v>3893</v>
      </c>
      <c r="H23" s="33" t="s">
        <v>3939</v>
      </c>
      <c r="I23" s="33" t="s">
        <v>3953</v>
      </c>
      <c r="J23" s="33" t="s">
        <v>4017</v>
      </c>
      <c r="L23" s="33" t="s">
        <v>4074</v>
      </c>
      <c r="M23" s="33" t="s">
        <v>4120</v>
      </c>
      <c r="R23" s="33" t="s">
        <v>3684</v>
      </c>
      <c r="S23" s="33" t="s">
        <v>3709</v>
      </c>
    </row>
    <row r="24" spans="2:22">
      <c r="B24" s="33" t="s">
        <v>3655</v>
      </c>
      <c r="C24" s="33" t="s">
        <v>3598</v>
      </c>
      <c r="D24" s="33" t="s">
        <v>3766</v>
      </c>
      <c r="E24" s="33" t="s">
        <v>3803</v>
      </c>
      <c r="F24" s="33" t="s">
        <v>3853</v>
      </c>
      <c r="G24" s="33" t="s">
        <v>3894</v>
      </c>
      <c r="H24" s="33" t="s">
        <v>3940</v>
      </c>
      <c r="I24" s="33" t="s">
        <v>3985</v>
      </c>
      <c r="J24" s="33" t="s">
        <v>4018</v>
      </c>
      <c r="L24" s="33" t="s">
        <v>4071</v>
      </c>
      <c r="M24" s="33" t="s">
        <v>4121</v>
      </c>
      <c r="R24" s="33" t="s">
        <v>3685</v>
      </c>
      <c r="S24" s="33" t="s">
        <v>3710</v>
      </c>
    </row>
    <row r="25" spans="2:22">
      <c r="B25" s="33" t="s">
        <v>3656</v>
      </c>
      <c r="C25" s="33" t="s">
        <v>3599</v>
      </c>
      <c r="D25" s="33" t="s">
        <v>3767</v>
      </c>
      <c r="E25" s="33" t="s">
        <v>3804</v>
      </c>
      <c r="F25" s="33" t="s">
        <v>3854</v>
      </c>
      <c r="G25" s="33" t="s">
        <v>3895</v>
      </c>
      <c r="H25" s="33" t="s">
        <v>3941</v>
      </c>
      <c r="I25" s="33" t="s">
        <v>3986</v>
      </c>
      <c r="J25" s="33" t="s">
        <v>3718</v>
      </c>
      <c r="L25" s="33" t="s">
        <v>4075</v>
      </c>
      <c r="M25" s="33" t="s">
        <v>4122</v>
      </c>
      <c r="R25" s="33" t="s">
        <v>3686</v>
      </c>
      <c r="S25" s="33" t="s">
        <v>3711</v>
      </c>
    </row>
    <row r="26" spans="2:22">
      <c r="B26" s="33" t="s">
        <v>3657</v>
      </c>
      <c r="C26" s="33" t="s">
        <v>3600</v>
      </c>
      <c r="D26" s="33" t="s">
        <v>3768</v>
      </c>
      <c r="E26" s="33" t="s">
        <v>3805</v>
      </c>
      <c r="F26" s="33" t="s">
        <v>3855</v>
      </c>
      <c r="G26" s="33" t="s">
        <v>3896</v>
      </c>
      <c r="H26" s="33" t="s">
        <v>3942</v>
      </c>
      <c r="I26" s="33" t="s">
        <v>3987</v>
      </c>
      <c r="J26" s="33" t="s">
        <v>4019</v>
      </c>
      <c r="L26" s="33" t="s">
        <v>4076</v>
      </c>
      <c r="M26" s="33" t="s">
        <v>4123</v>
      </c>
      <c r="R26" s="33" t="s">
        <v>3687</v>
      </c>
      <c r="S26" s="33" t="s">
        <v>3712</v>
      </c>
    </row>
    <row r="27" spans="2:22">
      <c r="B27" s="33" t="s">
        <v>3658</v>
      </c>
      <c r="C27" s="33" t="s">
        <v>3601</v>
      </c>
      <c r="D27" s="33" t="s">
        <v>3769</v>
      </c>
      <c r="E27" s="33" t="s">
        <v>3806</v>
      </c>
      <c r="F27" s="33" t="s">
        <v>3856</v>
      </c>
      <c r="G27" s="33" t="s">
        <v>3897</v>
      </c>
      <c r="H27" s="33" t="s">
        <v>3943</v>
      </c>
      <c r="I27" s="33" t="s">
        <v>3988</v>
      </c>
      <c r="J27" s="33" t="s">
        <v>4020</v>
      </c>
      <c r="L27" s="33" t="s">
        <v>4077</v>
      </c>
      <c r="M27" s="33" t="s">
        <v>4124</v>
      </c>
      <c r="S27" s="33" t="s">
        <v>3713</v>
      </c>
    </row>
    <row r="28" spans="2:22">
      <c r="B28" s="33" t="s">
        <v>3659</v>
      </c>
      <c r="C28" s="33" t="s">
        <v>3602</v>
      </c>
      <c r="D28" s="33" t="s">
        <v>3770</v>
      </c>
      <c r="E28" s="33" t="s">
        <v>3807</v>
      </c>
      <c r="F28" s="33" t="s">
        <v>3857</v>
      </c>
      <c r="G28" s="33" t="s">
        <v>3898</v>
      </c>
      <c r="H28" s="33" t="s">
        <v>3944</v>
      </c>
      <c r="I28" s="33" t="s">
        <v>3949</v>
      </c>
      <c r="J28" s="33" t="s">
        <v>4021</v>
      </c>
      <c r="L28" s="33" t="s">
        <v>4078</v>
      </c>
      <c r="M28" s="33" t="s">
        <v>4125</v>
      </c>
      <c r="S28" s="33" t="s">
        <v>3714</v>
      </c>
    </row>
    <row r="29" spans="2:22">
      <c r="B29" s="33" t="s">
        <v>3660</v>
      </c>
      <c r="C29" s="33" t="s">
        <v>3603</v>
      </c>
      <c r="D29" s="33" t="s">
        <v>3771</v>
      </c>
      <c r="E29" s="33" t="s">
        <v>3808</v>
      </c>
      <c r="F29" s="33" t="s">
        <v>3858</v>
      </c>
      <c r="G29" s="33" t="s">
        <v>3899</v>
      </c>
      <c r="H29" s="33" t="s">
        <v>3945</v>
      </c>
      <c r="I29" s="33" t="s">
        <v>3989</v>
      </c>
      <c r="J29" s="33" t="s">
        <v>4022</v>
      </c>
      <c r="L29" s="33" t="s">
        <v>4079</v>
      </c>
      <c r="M29" s="33" t="s">
        <v>4126</v>
      </c>
      <c r="S29" s="33" t="s">
        <v>3715</v>
      </c>
    </row>
    <row r="30" spans="2:22">
      <c r="B30" s="33" t="s">
        <v>3661</v>
      </c>
      <c r="C30" s="33" t="s">
        <v>3604</v>
      </c>
      <c r="D30" s="33" t="s">
        <v>3772</v>
      </c>
      <c r="E30" s="33" t="s">
        <v>3809</v>
      </c>
      <c r="F30" s="33" t="s">
        <v>3859</v>
      </c>
      <c r="G30" s="33" t="s">
        <v>3900</v>
      </c>
      <c r="H30" s="33" t="s">
        <v>3946</v>
      </c>
      <c r="I30" s="33" t="s">
        <v>3990</v>
      </c>
      <c r="J30" s="33" t="s">
        <v>4023</v>
      </c>
      <c r="L30" s="33" t="s">
        <v>4080</v>
      </c>
      <c r="M30" s="33" t="s">
        <v>4127</v>
      </c>
      <c r="S30" s="33" t="s">
        <v>3716</v>
      </c>
    </row>
    <row r="31" spans="2:22">
      <c r="B31" s="33" t="s">
        <v>3662</v>
      </c>
      <c r="C31" s="33" t="s">
        <v>3605</v>
      </c>
      <c r="D31" s="33" t="s">
        <v>3773</v>
      </c>
      <c r="E31" s="33" t="s">
        <v>3808</v>
      </c>
      <c r="F31" s="33" t="s">
        <v>3860</v>
      </c>
      <c r="G31" s="33" t="s">
        <v>3901</v>
      </c>
      <c r="H31" s="33" t="s">
        <v>3947</v>
      </c>
      <c r="I31" s="33" t="s">
        <v>3991</v>
      </c>
      <c r="J31" s="33" t="s">
        <v>4024</v>
      </c>
      <c r="L31" s="33" t="s">
        <v>4081</v>
      </c>
      <c r="M31" s="33" t="s">
        <v>4128</v>
      </c>
      <c r="S31" s="33" t="s">
        <v>3717</v>
      </c>
    </row>
    <row r="32" spans="2:22">
      <c r="C32" s="33" t="s">
        <v>3606</v>
      </c>
      <c r="D32" s="33" t="s">
        <v>3774</v>
      </c>
      <c r="E32" s="33" t="s">
        <v>3810</v>
      </c>
      <c r="F32" s="33" t="s">
        <v>3861</v>
      </c>
      <c r="G32" s="33" t="s">
        <v>3902</v>
      </c>
      <c r="H32" s="33" t="s">
        <v>3948</v>
      </c>
      <c r="I32" s="33" t="s">
        <v>3992</v>
      </c>
      <c r="J32" s="33" t="s">
        <v>4025</v>
      </c>
      <c r="L32" s="33" t="s">
        <v>4082</v>
      </c>
      <c r="M32" s="33" t="s">
        <v>4129</v>
      </c>
      <c r="S32" s="33" t="s">
        <v>3718</v>
      </c>
    </row>
    <row r="33" spans="3:19">
      <c r="C33" s="33" t="s">
        <v>3607</v>
      </c>
      <c r="D33" s="33" t="s">
        <v>3775</v>
      </c>
      <c r="E33" s="33" t="s">
        <v>3811</v>
      </c>
      <c r="F33" s="33" t="s">
        <v>3862</v>
      </c>
      <c r="G33" s="33" t="s">
        <v>3903</v>
      </c>
      <c r="H33" s="33" t="s">
        <v>3949</v>
      </c>
      <c r="I33" s="33" t="s">
        <v>3993</v>
      </c>
      <c r="J33" s="33" t="s">
        <v>4026</v>
      </c>
      <c r="L33" s="33" t="s">
        <v>4083</v>
      </c>
      <c r="M33" s="33" t="s">
        <v>4130</v>
      </c>
      <c r="S33" s="33" t="s">
        <v>3719</v>
      </c>
    </row>
    <row r="34" spans="3:19">
      <c r="C34" s="33" t="s">
        <v>3608</v>
      </c>
      <c r="D34" s="33" t="s">
        <v>3776</v>
      </c>
      <c r="E34" s="33" t="s">
        <v>3812</v>
      </c>
      <c r="F34" s="33" t="s">
        <v>3863</v>
      </c>
      <c r="G34" s="33" t="s">
        <v>3904</v>
      </c>
      <c r="H34" s="33" t="s">
        <v>3950</v>
      </c>
      <c r="I34" s="33" t="s">
        <v>3994</v>
      </c>
      <c r="J34" s="33" t="s">
        <v>4027</v>
      </c>
      <c r="L34" s="33" t="s">
        <v>4084</v>
      </c>
      <c r="M34" s="33" t="s">
        <v>4131</v>
      </c>
      <c r="S34" s="33" t="s">
        <v>3720</v>
      </c>
    </row>
    <row r="35" spans="3:19">
      <c r="C35" s="33" t="s">
        <v>3609</v>
      </c>
      <c r="D35" s="33" t="s">
        <v>3777</v>
      </c>
      <c r="E35" s="33" t="s">
        <v>3813</v>
      </c>
      <c r="F35" s="33" t="s">
        <v>3864</v>
      </c>
      <c r="G35" s="33" t="s">
        <v>3905</v>
      </c>
      <c r="H35" s="33" t="s">
        <v>3951</v>
      </c>
      <c r="I35" s="33" t="s">
        <v>3995</v>
      </c>
      <c r="J35" s="33" t="s">
        <v>4028</v>
      </c>
      <c r="L35" s="33" t="s">
        <v>4085</v>
      </c>
      <c r="M35" s="33" t="s">
        <v>4132</v>
      </c>
      <c r="S35" s="33" t="s">
        <v>3721</v>
      </c>
    </row>
    <row r="36" spans="3:19">
      <c r="C36" s="33" t="s">
        <v>3610</v>
      </c>
      <c r="D36" s="33" t="s">
        <v>3778</v>
      </c>
      <c r="E36" s="33" t="s">
        <v>3814</v>
      </c>
      <c r="F36" s="33" t="s">
        <v>3865</v>
      </c>
      <c r="G36" s="33" t="s">
        <v>3906</v>
      </c>
      <c r="H36" s="33" t="s">
        <v>3952</v>
      </c>
      <c r="I36" s="33" t="s">
        <v>3996</v>
      </c>
      <c r="J36" s="33" t="s">
        <v>4029</v>
      </c>
      <c r="L36" s="33" t="s">
        <v>4086</v>
      </c>
      <c r="M36" s="33" t="s">
        <v>4133</v>
      </c>
      <c r="S36" s="33" t="s">
        <v>3722</v>
      </c>
    </row>
    <row r="37" spans="3:19">
      <c r="C37" s="33" t="s">
        <v>3611</v>
      </c>
      <c r="D37" s="33" t="s">
        <v>3779</v>
      </c>
      <c r="E37" s="33" t="s">
        <v>3815</v>
      </c>
      <c r="F37" s="33" t="s">
        <v>3866</v>
      </c>
      <c r="G37" s="33" t="s">
        <v>3907</v>
      </c>
      <c r="H37" s="33" t="s">
        <v>3953</v>
      </c>
      <c r="I37" s="33" t="s">
        <v>3997</v>
      </c>
      <c r="J37" s="33" t="s">
        <v>3894</v>
      </c>
      <c r="L37" s="33" t="s">
        <v>4087</v>
      </c>
      <c r="M37" s="33" t="s">
        <v>4134</v>
      </c>
      <c r="S37" s="33" t="s">
        <v>3723</v>
      </c>
    </row>
    <row r="38" spans="3:19">
      <c r="C38" s="33" t="s">
        <v>3612</v>
      </c>
      <c r="D38" s="33" t="s">
        <v>3780</v>
      </c>
      <c r="E38" s="33" t="s">
        <v>3816</v>
      </c>
      <c r="F38" s="33" t="s">
        <v>3867</v>
      </c>
      <c r="G38" s="33" t="s">
        <v>3908</v>
      </c>
      <c r="H38" s="33" t="s">
        <v>3954</v>
      </c>
      <c r="I38" s="33" t="s">
        <v>3894</v>
      </c>
      <c r="J38" s="33" t="s">
        <v>4030</v>
      </c>
      <c r="L38" s="33" t="s">
        <v>4088</v>
      </c>
      <c r="M38" s="33" t="s">
        <v>2521</v>
      </c>
      <c r="S38" s="33" t="s">
        <v>3724</v>
      </c>
    </row>
    <row r="39" spans="3:19">
      <c r="C39" s="33" t="s">
        <v>3626</v>
      </c>
      <c r="D39" s="33" t="s">
        <v>3781</v>
      </c>
      <c r="E39" s="33" t="s">
        <v>3817</v>
      </c>
      <c r="F39" s="33" t="s">
        <v>3868</v>
      </c>
      <c r="G39" s="33" t="s">
        <v>3909</v>
      </c>
      <c r="H39" s="33" t="s">
        <v>3955</v>
      </c>
      <c r="J39" s="33" t="s">
        <v>4031</v>
      </c>
      <c r="L39" s="33" t="s">
        <v>4089</v>
      </c>
      <c r="M39" s="33" t="s">
        <v>4135</v>
      </c>
      <c r="S39" s="33" t="s">
        <v>3725</v>
      </c>
    </row>
    <row r="40" spans="3:19">
      <c r="C40" s="33" t="s">
        <v>3627</v>
      </c>
      <c r="D40" s="33" t="s">
        <v>3661</v>
      </c>
      <c r="E40" s="33" t="s">
        <v>3818</v>
      </c>
      <c r="F40" s="33" t="s">
        <v>3869</v>
      </c>
      <c r="G40" s="33" t="s">
        <v>3910</v>
      </c>
      <c r="H40" s="33" t="s">
        <v>3956</v>
      </c>
      <c r="J40" s="33" t="s">
        <v>4032</v>
      </c>
      <c r="L40" s="33" t="s">
        <v>4090</v>
      </c>
      <c r="M40" s="33" t="s">
        <v>4136</v>
      </c>
      <c r="S40" s="33" t="s">
        <v>3726</v>
      </c>
    </row>
    <row r="41" spans="3:19">
      <c r="C41" s="33" t="s">
        <v>3613</v>
      </c>
      <c r="D41" s="33" t="s">
        <v>3782</v>
      </c>
      <c r="E41" s="33" t="s">
        <v>3819</v>
      </c>
      <c r="F41" s="33" t="s">
        <v>3870</v>
      </c>
      <c r="G41" s="33" t="s">
        <v>3911</v>
      </c>
      <c r="H41" s="33" t="s">
        <v>3957</v>
      </c>
      <c r="J41" s="33" t="s">
        <v>4033</v>
      </c>
      <c r="L41" s="33" t="s">
        <v>4091</v>
      </c>
      <c r="M41" s="33" t="s">
        <v>4137</v>
      </c>
      <c r="S41" s="33" t="s">
        <v>3727</v>
      </c>
    </row>
    <row r="42" spans="3:19">
      <c r="C42" s="33" t="s">
        <v>3614</v>
      </c>
      <c r="E42" s="33" t="s">
        <v>3820</v>
      </c>
      <c r="F42" s="33" t="s">
        <v>3871</v>
      </c>
      <c r="G42" s="33" t="s">
        <v>3912</v>
      </c>
      <c r="H42" s="33" t="s">
        <v>3850</v>
      </c>
      <c r="J42" s="33" t="s">
        <v>4034</v>
      </c>
      <c r="L42" s="33" t="s">
        <v>4092</v>
      </c>
      <c r="M42" s="33" t="s">
        <v>4138</v>
      </c>
      <c r="S42" s="33" t="s">
        <v>3728</v>
      </c>
    </row>
    <row r="43" spans="3:19">
      <c r="C43" s="33" t="s">
        <v>3615</v>
      </c>
      <c r="E43" s="33" t="s">
        <v>3821</v>
      </c>
      <c r="F43" s="33" t="s">
        <v>3872</v>
      </c>
      <c r="G43" s="33" t="s">
        <v>3913</v>
      </c>
      <c r="H43" s="33" t="s">
        <v>3958</v>
      </c>
      <c r="J43" s="33" t="s">
        <v>3891</v>
      </c>
      <c r="L43" s="33" t="s">
        <v>4093</v>
      </c>
      <c r="M43" s="33" t="s">
        <v>4139</v>
      </c>
      <c r="S43" s="33" t="s">
        <v>3729</v>
      </c>
    </row>
    <row r="44" spans="3:19">
      <c r="C44" s="33" t="s">
        <v>3616</v>
      </c>
      <c r="E44" s="33" t="s">
        <v>3822</v>
      </c>
      <c r="F44" s="33" t="s">
        <v>3873</v>
      </c>
      <c r="G44" s="33" t="s">
        <v>3914</v>
      </c>
      <c r="H44" s="33" t="s">
        <v>3959</v>
      </c>
      <c r="J44" s="33" t="s">
        <v>3868</v>
      </c>
      <c r="L44" s="33" t="s">
        <v>4094</v>
      </c>
      <c r="M44" s="33" t="s">
        <v>4140</v>
      </c>
      <c r="S44" s="33" t="s">
        <v>3730</v>
      </c>
    </row>
    <row r="45" spans="3:19">
      <c r="C45" s="33" t="s">
        <v>3617</v>
      </c>
      <c r="E45" s="33" t="s">
        <v>3818</v>
      </c>
      <c r="F45" s="33" t="s">
        <v>3874</v>
      </c>
      <c r="G45" s="33" t="s">
        <v>3915</v>
      </c>
      <c r="H45" s="33" t="s">
        <v>3960</v>
      </c>
      <c r="J45" s="33" t="s">
        <v>4035</v>
      </c>
      <c r="L45" s="33" t="s">
        <v>4095</v>
      </c>
      <c r="M45" s="33" t="s">
        <v>4141</v>
      </c>
      <c r="S45" s="33" t="s">
        <v>3731</v>
      </c>
    </row>
    <row r="46" spans="3:19">
      <c r="C46" s="33" t="s">
        <v>3628</v>
      </c>
      <c r="E46" s="33" t="s">
        <v>3823</v>
      </c>
      <c r="G46" s="33" t="s">
        <v>3916</v>
      </c>
      <c r="H46" s="33" t="s">
        <v>3961</v>
      </c>
      <c r="J46" s="33" t="s">
        <v>3917</v>
      </c>
      <c r="L46" s="33" t="s">
        <v>4096</v>
      </c>
      <c r="M46" s="33" t="s">
        <v>4142</v>
      </c>
      <c r="S46" s="33" t="s">
        <v>3685</v>
      </c>
    </row>
    <row r="47" spans="3:19">
      <c r="C47" s="33" t="s">
        <v>3629</v>
      </c>
      <c r="E47" s="33" t="s">
        <v>3824</v>
      </c>
      <c r="G47" s="33" t="s">
        <v>3917</v>
      </c>
      <c r="H47" s="33" t="s">
        <v>3962</v>
      </c>
      <c r="J47" s="33" t="s">
        <v>4036</v>
      </c>
      <c r="L47" s="33" t="s">
        <v>4097</v>
      </c>
      <c r="M47" s="33" t="s">
        <v>4143</v>
      </c>
    </row>
    <row r="48" spans="3:19">
      <c r="C48" s="33" t="s">
        <v>3630</v>
      </c>
      <c r="E48" s="33" t="s">
        <v>3825</v>
      </c>
      <c r="G48" s="33" t="s">
        <v>3918</v>
      </c>
      <c r="H48" s="33" t="s">
        <v>3963</v>
      </c>
      <c r="J48" s="33" t="s">
        <v>4037</v>
      </c>
      <c r="L48" s="33" t="s">
        <v>3949</v>
      </c>
      <c r="M48" s="33" t="s">
        <v>4144</v>
      </c>
    </row>
    <row r="49" spans="3:13">
      <c r="C49" s="33" t="s">
        <v>3618</v>
      </c>
      <c r="E49" s="33" t="s">
        <v>3826</v>
      </c>
      <c r="G49" s="33" t="s">
        <v>3919</v>
      </c>
      <c r="H49" s="33" t="s">
        <v>3964</v>
      </c>
      <c r="J49" s="33" t="s">
        <v>4038</v>
      </c>
      <c r="L49" s="33" t="s">
        <v>4098</v>
      </c>
      <c r="M49" s="33" t="s">
        <v>4145</v>
      </c>
    </row>
    <row r="50" spans="3:13">
      <c r="C50" s="33" t="s">
        <v>3619</v>
      </c>
      <c r="E50" s="33" t="s">
        <v>3827</v>
      </c>
      <c r="G50" s="33" t="s">
        <v>3920</v>
      </c>
      <c r="H50" s="33" t="s">
        <v>3965</v>
      </c>
      <c r="J50" s="33" t="s">
        <v>4039</v>
      </c>
      <c r="L50" s="33" t="s">
        <v>3894</v>
      </c>
    </row>
    <row r="51" spans="3:13">
      <c r="C51" s="33" t="s">
        <v>3631</v>
      </c>
      <c r="E51" s="33" t="s">
        <v>3828</v>
      </c>
      <c r="G51" s="33" t="s">
        <v>3921</v>
      </c>
      <c r="H51" s="33" t="s">
        <v>3966</v>
      </c>
      <c r="J51" s="33" t="s">
        <v>4040</v>
      </c>
      <c r="L51" s="33" t="s">
        <v>4099</v>
      </c>
    </row>
    <row r="52" spans="3:13">
      <c r="C52" s="33" t="s">
        <v>3632</v>
      </c>
      <c r="E52" s="33" t="s">
        <v>3829</v>
      </c>
    </row>
    <row r="53" spans="3:13">
      <c r="E53" s="33" t="s">
        <v>3830</v>
      </c>
    </row>
    <row r="54" spans="3:13">
      <c r="E54" s="33" t="s">
        <v>3831</v>
      </c>
    </row>
    <row r="55" spans="3:13">
      <c r="E55" s="33" t="s">
        <v>3832</v>
      </c>
    </row>
    <row r="56" spans="3:13">
      <c r="E56" s="33" t="s">
        <v>3833</v>
      </c>
    </row>
    <row r="57" spans="3:13">
      <c r="E57" s="33" t="s">
        <v>3834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7814-1D85-4189-B5C8-EFDB9BFE0992}">
  <dimension ref="B2:D40"/>
  <sheetViews>
    <sheetView showGridLines="0" workbookViewId="0">
      <pane xSplit="2" ySplit="2" topLeftCell="C3" activePane="bottomRight" state="frozen"/>
      <selection pane="topRight" activeCell="C1" sqref="C1"/>
      <selection pane="bottomLeft" activeCell="A3" sqref="A3"/>
      <selection pane="bottomRight" activeCell="C15" sqref="C15"/>
    </sheetView>
  </sheetViews>
  <sheetFormatPr defaultRowHeight="12"/>
  <cols>
    <col min="1" max="1" width="8.7265625" style="1"/>
    <col min="2" max="2" width="26.36328125" style="1" customWidth="1"/>
    <col min="3" max="3" width="27.7265625" style="1" customWidth="1"/>
    <col min="4" max="4" width="79.81640625" style="1" customWidth="1"/>
    <col min="5" max="16384" width="8.7265625" style="1"/>
  </cols>
  <sheetData>
    <row r="2" spans="2:4">
      <c r="B2" s="4" t="s">
        <v>3488</v>
      </c>
      <c r="C2" s="4" t="s">
        <v>2953</v>
      </c>
      <c r="D2" s="4" t="s">
        <v>3487</v>
      </c>
    </row>
    <row r="3" spans="2:4" ht="36">
      <c r="B3" s="3" t="s">
        <v>2685</v>
      </c>
      <c r="C3" s="6" t="s">
        <v>3477</v>
      </c>
      <c r="D3" s="6" t="s">
        <v>3482</v>
      </c>
    </row>
    <row r="4" spans="2:4" ht="24">
      <c r="B4" s="3" t="s">
        <v>2685</v>
      </c>
      <c r="C4" s="6" t="s">
        <v>3478</v>
      </c>
      <c r="D4" s="6" t="s">
        <v>3483</v>
      </c>
    </row>
    <row r="5" spans="2:4" ht="36">
      <c r="B5" s="3" t="s">
        <v>2685</v>
      </c>
      <c r="C5" s="6" t="s">
        <v>3479</v>
      </c>
      <c r="D5" s="6" t="s">
        <v>3484</v>
      </c>
    </row>
    <row r="6" spans="2:4" ht="36">
      <c r="B6" s="3" t="s">
        <v>2685</v>
      </c>
      <c r="C6" s="6" t="s">
        <v>3480</v>
      </c>
      <c r="D6" s="6" t="s">
        <v>3485</v>
      </c>
    </row>
    <row r="7" spans="2:4" ht="36">
      <c r="B7" s="3" t="s">
        <v>2685</v>
      </c>
      <c r="C7" s="6" t="s">
        <v>3481</v>
      </c>
      <c r="D7" s="6" t="s">
        <v>3486</v>
      </c>
    </row>
    <row r="8" spans="2:4" ht="24">
      <c r="B8" s="3" t="s">
        <v>2891</v>
      </c>
      <c r="C8" s="6" t="s">
        <v>3489</v>
      </c>
      <c r="D8" s="3" t="s">
        <v>3493</v>
      </c>
    </row>
    <row r="9" spans="2:4" ht="24">
      <c r="B9" s="3" t="s">
        <v>2891</v>
      </c>
      <c r="C9" s="6" t="s">
        <v>3490</v>
      </c>
      <c r="D9" s="6" t="s">
        <v>3494</v>
      </c>
    </row>
    <row r="10" spans="2:4" ht="24">
      <c r="B10" s="3" t="s">
        <v>2891</v>
      </c>
      <c r="C10" s="6" t="s">
        <v>3491</v>
      </c>
      <c r="D10" s="6" t="s">
        <v>3495</v>
      </c>
    </row>
    <row r="11" spans="2:4" ht="48">
      <c r="B11" s="3" t="s">
        <v>2891</v>
      </c>
      <c r="C11" s="6" t="s">
        <v>3492</v>
      </c>
      <c r="D11" s="6" t="s">
        <v>3496</v>
      </c>
    </row>
    <row r="12" spans="2:4" ht="60">
      <c r="B12" s="3" t="s">
        <v>3497</v>
      </c>
      <c r="C12" s="6" t="s">
        <v>3498</v>
      </c>
      <c r="D12" s="6" t="s">
        <v>3505</v>
      </c>
    </row>
    <row r="13" spans="2:4" ht="24">
      <c r="B13" s="3" t="s">
        <v>3497</v>
      </c>
      <c r="C13" s="6" t="s">
        <v>3499</v>
      </c>
      <c r="D13" s="6" t="s">
        <v>3506</v>
      </c>
    </row>
    <row r="14" spans="2:4" ht="36">
      <c r="B14" s="3" t="s">
        <v>3497</v>
      </c>
      <c r="C14" s="6" t="s">
        <v>3500</v>
      </c>
      <c r="D14" s="6" t="s">
        <v>3507</v>
      </c>
    </row>
    <row r="15" spans="2:4" ht="36">
      <c r="B15" s="3" t="s">
        <v>3497</v>
      </c>
      <c r="C15" s="6" t="s">
        <v>3501</v>
      </c>
      <c r="D15" s="6" t="s">
        <v>3508</v>
      </c>
    </row>
    <row r="16" spans="2:4" ht="36">
      <c r="B16" s="3" t="s">
        <v>3497</v>
      </c>
      <c r="C16" s="6" t="s">
        <v>3502</v>
      </c>
      <c r="D16" s="6" t="s">
        <v>3509</v>
      </c>
    </row>
    <row r="17" spans="2:4" ht="24">
      <c r="B17" s="3" t="s">
        <v>3497</v>
      </c>
      <c r="C17" s="6" t="s">
        <v>3503</v>
      </c>
      <c r="D17" s="3" t="s">
        <v>3510</v>
      </c>
    </row>
    <row r="18" spans="2:4" ht="36">
      <c r="B18" s="3" t="s">
        <v>3497</v>
      </c>
      <c r="C18" s="6" t="s">
        <v>3504</v>
      </c>
      <c r="D18" s="6" t="s">
        <v>3511</v>
      </c>
    </row>
    <row r="19" spans="2:4" ht="36">
      <c r="B19" s="3" t="s">
        <v>3312</v>
      </c>
      <c r="C19" s="6" t="s">
        <v>3512</v>
      </c>
      <c r="D19" s="6" t="s">
        <v>3515</v>
      </c>
    </row>
    <row r="20" spans="2:4" ht="36">
      <c r="B20" s="3" t="s">
        <v>3312</v>
      </c>
      <c r="C20" s="6" t="s">
        <v>3513</v>
      </c>
      <c r="D20" s="6" t="s">
        <v>3516</v>
      </c>
    </row>
    <row r="21" spans="2:4" ht="72">
      <c r="B21" s="3" t="s">
        <v>3312</v>
      </c>
      <c r="C21" s="6" t="s">
        <v>3514</v>
      </c>
      <c r="D21" s="6" t="s">
        <v>3517</v>
      </c>
    </row>
    <row r="22" spans="2:4" ht="24">
      <c r="B22" s="3" t="s">
        <v>3359</v>
      </c>
      <c r="C22" s="3" t="s">
        <v>3518</v>
      </c>
      <c r="D22" s="6" t="s">
        <v>3521</v>
      </c>
    </row>
    <row r="23" spans="2:4" ht="48">
      <c r="B23" s="3" t="s">
        <v>3359</v>
      </c>
      <c r="C23" s="3" t="s">
        <v>3519</v>
      </c>
      <c r="D23" s="6" t="s">
        <v>3522</v>
      </c>
    </row>
    <row r="24" spans="2:4" ht="36">
      <c r="B24" s="3" t="s">
        <v>3359</v>
      </c>
      <c r="C24" s="6" t="s">
        <v>3520</v>
      </c>
      <c r="D24" s="6" t="s">
        <v>3523</v>
      </c>
    </row>
    <row r="25" spans="2:4" ht="36">
      <c r="B25" s="3" t="s">
        <v>2691</v>
      </c>
      <c r="C25" s="6" t="s">
        <v>3524</v>
      </c>
      <c r="D25" s="6" t="s">
        <v>3527</v>
      </c>
    </row>
    <row r="26" spans="2:4" ht="60">
      <c r="B26" s="3" t="s">
        <v>2691</v>
      </c>
      <c r="C26" s="6" t="s">
        <v>3525</v>
      </c>
      <c r="D26" s="6" t="s">
        <v>3528</v>
      </c>
    </row>
    <row r="27" spans="2:4" ht="48">
      <c r="B27" s="3" t="s">
        <v>2691</v>
      </c>
      <c r="C27" s="6" t="s">
        <v>3526</v>
      </c>
      <c r="D27" s="6" t="s">
        <v>3529</v>
      </c>
    </row>
    <row r="28" spans="2:4" ht="36">
      <c r="B28" s="3" t="s">
        <v>2968</v>
      </c>
      <c r="C28" s="6" t="s">
        <v>3530</v>
      </c>
      <c r="D28" s="6" t="s">
        <v>3536</v>
      </c>
    </row>
    <row r="29" spans="2:4" ht="36">
      <c r="B29" s="3" t="s">
        <v>2968</v>
      </c>
      <c r="C29" s="6" t="s">
        <v>3531</v>
      </c>
      <c r="D29" s="6" t="s">
        <v>3537</v>
      </c>
    </row>
    <row r="30" spans="2:4" ht="48">
      <c r="B30" s="3" t="s">
        <v>2968</v>
      </c>
      <c r="C30" s="6" t="s">
        <v>3532</v>
      </c>
      <c r="D30" s="6" t="s">
        <v>3538</v>
      </c>
    </row>
    <row r="31" spans="2:4" ht="24">
      <c r="B31" s="3" t="s">
        <v>2968</v>
      </c>
      <c r="C31" s="6" t="s">
        <v>3533</v>
      </c>
      <c r="D31" s="6" t="s">
        <v>3539</v>
      </c>
    </row>
    <row r="32" spans="2:4" ht="24">
      <c r="B32" s="3" t="s">
        <v>2968</v>
      </c>
      <c r="C32" s="6" t="s">
        <v>3534</v>
      </c>
      <c r="D32" s="6" t="s">
        <v>3540</v>
      </c>
    </row>
    <row r="33" spans="2:4" ht="48">
      <c r="B33" s="3" t="s">
        <v>2968</v>
      </c>
      <c r="C33" s="6" t="s">
        <v>3535</v>
      </c>
      <c r="D33" s="6" t="s">
        <v>3541</v>
      </c>
    </row>
    <row r="34" spans="2:4" ht="24">
      <c r="B34" s="3" t="s">
        <v>3090</v>
      </c>
      <c r="C34" s="6" t="s">
        <v>3542</v>
      </c>
      <c r="D34" s="3" t="s">
        <v>3549</v>
      </c>
    </row>
    <row r="35" spans="2:4" ht="48">
      <c r="B35" s="3" t="s">
        <v>3090</v>
      </c>
      <c r="C35" s="6" t="s">
        <v>3543</v>
      </c>
      <c r="D35" s="6" t="s">
        <v>3550</v>
      </c>
    </row>
    <row r="36" spans="2:4" ht="60">
      <c r="B36" s="3" t="s">
        <v>3090</v>
      </c>
      <c r="C36" s="6" t="s">
        <v>3544</v>
      </c>
      <c r="D36" s="6" t="s">
        <v>3551</v>
      </c>
    </row>
    <row r="37" spans="2:4" ht="24">
      <c r="B37" s="3" t="s">
        <v>3090</v>
      </c>
      <c r="C37" s="6" t="s">
        <v>3545</v>
      </c>
      <c r="D37" s="6" t="s">
        <v>3552</v>
      </c>
    </row>
    <row r="38" spans="2:4" ht="24">
      <c r="B38" s="3" t="s">
        <v>3090</v>
      </c>
      <c r="C38" s="6" t="s">
        <v>3546</v>
      </c>
      <c r="D38" s="6" t="s">
        <v>3553</v>
      </c>
    </row>
    <row r="39" spans="2:4" ht="60">
      <c r="B39" s="3" t="s">
        <v>3090</v>
      </c>
      <c r="C39" s="3" t="s">
        <v>3547</v>
      </c>
      <c r="D39" s="6" t="s">
        <v>3554</v>
      </c>
    </row>
    <row r="40" spans="2:4" ht="36">
      <c r="B40" s="3" t="s">
        <v>3090</v>
      </c>
      <c r="C40" s="6" t="s">
        <v>3548</v>
      </c>
      <c r="D40" s="3" t="s">
        <v>3555</v>
      </c>
    </row>
  </sheetData>
  <autoFilter ref="B2:D40" xr:uid="{320A7814-1D85-4189-B5C8-EFDB9BFE099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F917D-634E-4A13-A5FC-86EE128651AF}">
  <dimension ref="B2:D22"/>
  <sheetViews>
    <sheetView showGridLines="0" workbookViewId="0">
      <pane ySplit="2" topLeftCell="A3" activePane="bottomLeft" state="frozen"/>
      <selection pane="bottomLeft" activeCell="B3" sqref="B3"/>
    </sheetView>
  </sheetViews>
  <sheetFormatPr defaultRowHeight="12"/>
  <cols>
    <col min="1" max="1" width="8.7265625" style="1"/>
    <col min="2" max="2" width="28.08984375" style="29" customWidth="1"/>
    <col min="3" max="3" width="36.08984375" style="1" customWidth="1"/>
    <col min="4" max="4" width="62.54296875" style="1" customWidth="1"/>
    <col min="5" max="16384" width="8.7265625" style="1"/>
  </cols>
  <sheetData>
    <row r="2" spans="2:4">
      <c r="B2" s="27" t="s">
        <v>3578</v>
      </c>
      <c r="C2" s="4" t="s">
        <v>3576</v>
      </c>
      <c r="D2" s="4" t="s">
        <v>3577</v>
      </c>
    </row>
    <row r="3" spans="2:4" ht="72">
      <c r="B3" s="28" t="s">
        <v>3556</v>
      </c>
      <c r="C3" s="6" t="s">
        <v>4368</v>
      </c>
      <c r="D3" s="6" t="s">
        <v>4369</v>
      </c>
    </row>
    <row r="4" spans="2:4" ht="60">
      <c r="B4" s="28" t="s">
        <v>3557</v>
      </c>
      <c r="C4" s="6" t="s">
        <v>4370</v>
      </c>
      <c r="D4" s="6" t="s">
        <v>4371</v>
      </c>
    </row>
    <row r="5" spans="2:4" ht="36">
      <c r="B5" s="28" t="s">
        <v>3558</v>
      </c>
      <c r="C5" s="6" t="s">
        <v>4372</v>
      </c>
      <c r="D5" s="6" t="s">
        <v>4373</v>
      </c>
    </row>
    <row r="6" spans="2:4" ht="60">
      <c r="B6" s="28" t="s">
        <v>3559</v>
      </c>
      <c r="C6" s="6" t="s">
        <v>4374</v>
      </c>
      <c r="D6" s="6" t="s">
        <v>4375</v>
      </c>
    </row>
    <row r="7" spans="2:4" ht="60">
      <c r="B7" s="28" t="s">
        <v>3560</v>
      </c>
      <c r="C7" s="6" t="s">
        <v>4376</v>
      </c>
      <c r="D7" s="6" t="s">
        <v>4377</v>
      </c>
    </row>
    <row r="8" spans="2:4" ht="60">
      <c r="B8" s="28" t="s">
        <v>3561</v>
      </c>
      <c r="C8" s="6" t="s">
        <v>4378</v>
      </c>
      <c r="D8" s="6" t="s">
        <v>4379</v>
      </c>
    </row>
    <row r="9" spans="2:4" ht="72">
      <c r="B9" s="28" t="s">
        <v>3562</v>
      </c>
      <c r="C9" s="6" t="s">
        <v>4380</v>
      </c>
      <c r="D9" s="6" t="s">
        <v>4381</v>
      </c>
    </row>
    <row r="10" spans="2:4" ht="48">
      <c r="B10" s="28" t="s">
        <v>3563</v>
      </c>
      <c r="C10" s="6" t="s">
        <v>4382</v>
      </c>
      <c r="D10" s="6" t="s">
        <v>4383</v>
      </c>
    </row>
    <row r="11" spans="2:4" ht="60">
      <c r="B11" s="28" t="s">
        <v>3564</v>
      </c>
      <c r="C11" s="6" t="s">
        <v>4384</v>
      </c>
      <c r="D11" s="6" t="s">
        <v>4385</v>
      </c>
    </row>
    <row r="12" spans="2:4" ht="60">
      <c r="B12" s="28" t="s">
        <v>3565</v>
      </c>
      <c r="C12" s="6" t="s">
        <v>4386</v>
      </c>
      <c r="D12" s="6" t="s">
        <v>4387</v>
      </c>
    </row>
    <row r="13" spans="2:4" ht="48">
      <c r="B13" s="28" t="s">
        <v>3566</v>
      </c>
      <c r="C13" s="6" t="s">
        <v>4388</v>
      </c>
      <c r="D13" s="6" t="s">
        <v>4389</v>
      </c>
    </row>
    <row r="14" spans="2:4" ht="60">
      <c r="B14" s="28" t="s">
        <v>3567</v>
      </c>
      <c r="C14" s="6" t="s">
        <v>4390</v>
      </c>
      <c r="D14" s="6" t="s">
        <v>4391</v>
      </c>
    </row>
    <row r="15" spans="2:4" ht="60">
      <c r="B15" s="28" t="s">
        <v>3568</v>
      </c>
      <c r="C15" s="6" t="s">
        <v>4392</v>
      </c>
      <c r="D15" s="6" t="s">
        <v>4393</v>
      </c>
    </row>
    <row r="16" spans="2:4" ht="48">
      <c r="B16" s="28" t="s">
        <v>3569</v>
      </c>
      <c r="C16" s="6" t="s">
        <v>4394</v>
      </c>
      <c r="D16" s="6" t="s">
        <v>4395</v>
      </c>
    </row>
    <row r="17" spans="2:4" ht="60">
      <c r="B17" s="28" t="s">
        <v>3570</v>
      </c>
      <c r="C17" s="6" t="s">
        <v>4396</v>
      </c>
      <c r="D17" s="6" t="s">
        <v>4397</v>
      </c>
    </row>
    <row r="18" spans="2:4" ht="72">
      <c r="B18" s="28" t="s">
        <v>3571</v>
      </c>
      <c r="C18" s="6" t="s">
        <v>4367</v>
      </c>
      <c r="D18" s="6" t="s">
        <v>4398</v>
      </c>
    </row>
    <row r="19" spans="2:4" ht="48">
      <c r="B19" s="28" t="s">
        <v>3572</v>
      </c>
      <c r="C19" s="6" t="s">
        <v>4399</v>
      </c>
      <c r="D19" s="6" t="s">
        <v>4400</v>
      </c>
    </row>
    <row r="20" spans="2:4" ht="48">
      <c r="B20" s="28" t="s">
        <v>3573</v>
      </c>
      <c r="C20" s="6" t="s">
        <v>4401</v>
      </c>
      <c r="D20" s="6" t="s">
        <v>4402</v>
      </c>
    </row>
    <row r="21" spans="2:4" ht="48">
      <c r="B21" s="28" t="s">
        <v>3574</v>
      </c>
      <c r="C21" s="6" t="s">
        <v>4403</v>
      </c>
      <c r="D21" s="6" t="s">
        <v>4404</v>
      </c>
    </row>
    <row r="22" spans="2:4" ht="96">
      <c r="B22" s="28" t="s">
        <v>3575</v>
      </c>
      <c r="C22" s="6" t="s">
        <v>4405</v>
      </c>
      <c r="D22" s="6" t="s">
        <v>4406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16</vt:i4>
      </vt:variant>
    </vt:vector>
  </HeadingPairs>
  <TitlesOfParts>
    <vt:vector size="16" baseType="lpstr">
      <vt:lpstr>Definations</vt:lpstr>
      <vt:lpstr>Data</vt:lpstr>
      <vt:lpstr>Summary</vt:lpstr>
      <vt:lpstr>All</vt:lpstr>
      <vt:lpstr>PMBOK</vt:lpstr>
      <vt:lpstr>Sheet9</vt:lpstr>
      <vt:lpstr>Answers WHY</vt:lpstr>
      <vt:lpstr>Others</vt:lpstr>
      <vt:lpstr>Tests</vt:lpstr>
      <vt:lpstr>math</vt:lpstr>
      <vt:lpstr>Terms</vt:lpstr>
      <vt:lpstr>Terms 2</vt:lpstr>
      <vt:lpstr>ITTO</vt:lpstr>
      <vt:lpstr>Rita Quick test</vt:lpstr>
      <vt:lpstr>Checking outcomes</vt:lpstr>
      <vt:lpstr>Meanings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2025-08-04T07:32:23Z</dcterms:created>
  <dcterms:modified xsi:type="dcterms:W3CDTF">2026-01-28T08:30:21Z</dcterms:modified>
</cp:coreProperties>
</file>